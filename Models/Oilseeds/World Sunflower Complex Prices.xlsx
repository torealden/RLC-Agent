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07AE7C5D-262C-420A-994D-76D93E74C614}" xr6:coauthVersionLast="47" xr6:coauthVersionMax="47" xr10:uidLastSave="{00000000-0000-0000-0000-000000000000}"/>
  <bookViews>
    <workbookView xWindow="1560" yWindow="1650" windowWidth="27240" windowHeight="14550" xr2:uid="{41AC84B0-3296-4D16-AFEC-1A50AE1440E5}"/>
  </bookViews>
  <sheets>
    <sheet name="Sunflower Oil Prices" sheetId="1" r:id="rId1"/>
    <sheet name="Sunflower Prices" sheetId="2" r:id="rId2"/>
    <sheet name="Crush Margins" sheetId="3" r:id="rId3"/>
    <sheet name="Crush Margins Monthly" sheetId="4" r:id="rId4"/>
    <sheet name="NWE Crush Chart" sheetId="5" r:id="rId5"/>
    <sheet name="Charts Print" sheetId="6" r:id="rId6"/>
    <sheet name="Ukraine Crush Chart" sheetId="7" r:id="rId7"/>
    <sheet name="Argentina Crush Chart" sheetId="8" r:id="rId8"/>
    <sheet name="France Crush Chart" sheetId="9" r:id="rId9"/>
    <sheet name="Italy Crush Chart" sheetId="10" r:id="rId10"/>
    <sheet name="Crush Margins Chart Data" sheetId="11" r:id="rId11"/>
    <sheet name="Sunflower Monthly" sheetId="12" r:id="rId12"/>
    <sheet name="Sun Oil Monthly" sheetId="13" r:id="rId13"/>
    <sheet name="Ukraine Sunflower" sheetId="14" r:id="rId14"/>
    <sheet name="Russia Sunflower" sheetId="15" r:id="rId15"/>
    <sheet name="Ukraine Sunoil" sheetId="16" r:id="rId16"/>
    <sheet name="Russia Sunoil" sheetId="17" r:id="rId17"/>
    <sheet name="EU Sunoil" sheetId="18" r:id="rId18"/>
    <sheet name="Argentina Sunoil" sheetId="19" r:id="rId19"/>
    <sheet name="Russian Taxes" sheetId="20" r:id="rId20"/>
  </sheets>
  <externalReferences>
    <externalReference r:id="rId21"/>
    <externalReference r:id="rId22"/>
  </externalReferences>
  <definedNames>
    <definedName name="_xlnm.Print_Area" localSheetId="5">'Charts Print'!$A$1:$U$43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20" l="1"/>
  <c r="K38" i="20"/>
  <c r="B38" i="20"/>
  <c r="L37" i="20"/>
  <c r="K37" i="20"/>
  <c r="B37" i="20"/>
  <c r="L36" i="20"/>
  <c r="K36" i="20"/>
  <c r="B36" i="20"/>
  <c r="L35" i="20"/>
  <c r="K35" i="20"/>
  <c r="B35" i="20"/>
  <c r="L34" i="20"/>
  <c r="K34" i="20"/>
  <c r="B34" i="20"/>
  <c r="L33" i="20"/>
  <c r="K33" i="20"/>
  <c r="B33" i="20"/>
  <c r="L32" i="20"/>
  <c r="K32" i="20"/>
  <c r="B32" i="20"/>
  <c r="L31" i="20"/>
  <c r="K31" i="20"/>
  <c r="B31" i="20"/>
  <c r="L30" i="20"/>
  <c r="K30" i="20"/>
  <c r="B30" i="20"/>
  <c r="L29" i="20"/>
  <c r="K29" i="20"/>
  <c r="B29" i="20"/>
  <c r="L28" i="20"/>
  <c r="K28" i="20"/>
  <c r="B28" i="20"/>
  <c r="L27" i="20"/>
  <c r="K27" i="20"/>
  <c r="B27" i="20"/>
  <c r="L26" i="20"/>
  <c r="K26" i="20"/>
  <c r="B26" i="20"/>
  <c r="L25" i="20"/>
  <c r="K25" i="20"/>
  <c r="B25" i="20"/>
  <c r="L24" i="20"/>
  <c r="K24" i="20"/>
  <c r="B24" i="20"/>
  <c r="L23" i="20"/>
  <c r="K23" i="20"/>
  <c r="B23" i="20"/>
  <c r="L22" i="20"/>
  <c r="K22" i="20"/>
  <c r="B22" i="20"/>
  <c r="L21" i="20"/>
  <c r="K21" i="20"/>
  <c r="B21" i="20"/>
  <c r="L20" i="20"/>
  <c r="K20" i="20"/>
  <c r="B20" i="20"/>
  <c r="L19" i="20"/>
  <c r="K19" i="20"/>
  <c r="B19" i="20"/>
  <c r="L18" i="20"/>
  <c r="K18" i="20"/>
  <c r="B18" i="20"/>
  <c r="L17" i="20"/>
  <c r="K17" i="20"/>
  <c r="B17" i="20"/>
  <c r="L16" i="20"/>
  <c r="K16" i="20"/>
  <c r="B16" i="20"/>
  <c r="L15" i="20"/>
  <c r="K15" i="20"/>
  <c r="B15" i="20"/>
  <c r="L14" i="20"/>
  <c r="K14" i="20"/>
  <c r="B14" i="20"/>
  <c r="L13" i="20"/>
  <c r="K13" i="20"/>
  <c r="B13" i="20"/>
  <c r="L12" i="20"/>
  <c r="K12" i="20"/>
  <c r="B12" i="20"/>
  <c r="L11" i="20"/>
  <c r="K11" i="20"/>
  <c r="B11" i="20"/>
  <c r="L10" i="20"/>
  <c r="K10" i="20"/>
  <c r="B10" i="20"/>
  <c r="L9" i="20"/>
  <c r="K9" i="20"/>
  <c r="B9" i="20"/>
  <c r="L8" i="20"/>
  <c r="K8" i="20"/>
  <c r="B8" i="20"/>
  <c r="L7" i="20"/>
  <c r="K7" i="20"/>
  <c r="B7" i="20"/>
  <c r="L6" i="20"/>
  <c r="K6" i="20"/>
  <c r="B6" i="20"/>
  <c r="L5" i="20"/>
  <c r="K5" i="20"/>
  <c r="B5" i="20"/>
  <c r="L4" i="20"/>
  <c r="K4" i="20"/>
  <c r="B4" i="20"/>
  <c r="N3" i="20"/>
  <c r="M3" i="20"/>
  <c r="L3" i="20"/>
  <c r="K3" i="20"/>
  <c r="B3" i="20"/>
  <c r="N2" i="20"/>
  <c r="M2" i="20"/>
  <c r="L2" i="20"/>
  <c r="K2" i="20"/>
  <c r="B2" i="20"/>
  <c r="E2" i="20" s="1"/>
  <c r="F2" i="20" s="1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R23" i="13"/>
  <c r="C23" i="13"/>
  <c r="B23" i="13"/>
  <c r="R22" i="13"/>
  <c r="C22" i="13"/>
  <c r="B22" i="13"/>
  <c r="R21" i="13"/>
  <c r="C21" i="13"/>
  <c r="B21" i="13"/>
  <c r="R20" i="13"/>
  <c r="C20" i="13"/>
  <c r="B20" i="13"/>
  <c r="R19" i="13"/>
  <c r="C19" i="13"/>
  <c r="B19" i="13"/>
  <c r="R18" i="13"/>
  <c r="C18" i="13"/>
  <c r="B18" i="13"/>
  <c r="R17" i="13"/>
  <c r="C17" i="13"/>
  <c r="B17" i="13"/>
  <c r="R16" i="13"/>
  <c r="C16" i="13"/>
  <c r="B16" i="13"/>
  <c r="R15" i="13"/>
  <c r="C15" i="13"/>
  <c r="B15" i="13"/>
  <c r="R14" i="13"/>
  <c r="C14" i="13"/>
  <c r="B14" i="13"/>
  <c r="R13" i="13"/>
  <c r="C13" i="13"/>
  <c r="B13" i="13"/>
  <c r="R12" i="13"/>
  <c r="C12" i="13"/>
  <c r="B12" i="13"/>
  <c r="R11" i="13"/>
  <c r="C11" i="13"/>
  <c r="J11" i="13" s="1"/>
  <c r="S11" i="13" s="1"/>
  <c r="B11" i="13"/>
  <c r="R10" i="13"/>
  <c r="C10" i="13"/>
  <c r="B10" i="13"/>
  <c r="R9" i="13"/>
  <c r="C9" i="13"/>
  <c r="B9" i="13"/>
  <c r="R8" i="13"/>
  <c r="C8" i="13"/>
  <c r="B8" i="13"/>
  <c r="R7" i="13"/>
  <c r="C7" i="13"/>
  <c r="B7" i="13"/>
  <c r="R6" i="13"/>
  <c r="C6" i="13"/>
  <c r="B6" i="13"/>
  <c r="S5" i="13"/>
  <c r="R5" i="13"/>
  <c r="C5" i="13"/>
  <c r="B5" i="13"/>
  <c r="T4" i="13"/>
  <c r="S4" i="13"/>
  <c r="R4" i="13"/>
  <c r="D4" i="13"/>
  <c r="Q4" i="13" s="1"/>
  <c r="C4" i="13"/>
  <c r="B4" i="13"/>
  <c r="T3" i="13"/>
  <c r="S3" i="13"/>
  <c r="R3" i="13"/>
  <c r="C3" i="13"/>
  <c r="B3" i="13"/>
  <c r="C264" i="12"/>
  <c r="B264" i="12"/>
  <c r="C263" i="12"/>
  <c r="B263" i="12"/>
  <c r="C262" i="12"/>
  <c r="B262" i="12"/>
  <c r="C261" i="12"/>
  <c r="B261" i="12"/>
  <c r="C260" i="12"/>
  <c r="B260" i="12"/>
  <c r="C259" i="12"/>
  <c r="B259" i="12"/>
  <c r="C258" i="12"/>
  <c r="B258" i="12"/>
  <c r="C257" i="12"/>
  <c r="B257" i="12"/>
  <c r="C256" i="12"/>
  <c r="B256" i="12"/>
  <c r="C255" i="12"/>
  <c r="B255" i="12"/>
  <c r="C254" i="12"/>
  <c r="B254" i="12"/>
  <c r="C253" i="12"/>
  <c r="B253" i="12"/>
  <c r="C252" i="12"/>
  <c r="B252" i="12"/>
  <c r="C251" i="12"/>
  <c r="B251" i="12"/>
  <c r="C250" i="12"/>
  <c r="B250" i="12"/>
  <c r="C249" i="12"/>
  <c r="B249" i="12"/>
  <c r="C248" i="12"/>
  <c r="B248" i="12"/>
  <c r="C247" i="12"/>
  <c r="B247" i="12"/>
  <c r="C246" i="12"/>
  <c r="B246" i="12"/>
  <c r="C245" i="12"/>
  <c r="B245" i="12"/>
  <c r="C244" i="12"/>
  <c r="B244" i="12"/>
  <c r="C243" i="12"/>
  <c r="B243" i="12"/>
  <c r="C242" i="12"/>
  <c r="B242" i="12"/>
  <c r="C241" i="12"/>
  <c r="B241" i="12"/>
  <c r="C240" i="12"/>
  <c r="B240" i="12"/>
  <c r="C239" i="12"/>
  <c r="B239" i="12"/>
  <c r="C238" i="12"/>
  <c r="B238" i="12"/>
  <c r="C237" i="12"/>
  <c r="B237" i="12"/>
  <c r="C236" i="12"/>
  <c r="B236" i="12"/>
  <c r="C235" i="12"/>
  <c r="B235" i="12"/>
  <c r="C234" i="12"/>
  <c r="B234" i="12"/>
  <c r="C233" i="12"/>
  <c r="B233" i="12"/>
  <c r="C232" i="12"/>
  <c r="B232" i="12"/>
  <c r="C231" i="12"/>
  <c r="B231" i="12"/>
  <c r="C230" i="12"/>
  <c r="B230" i="12"/>
  <c r="C229" i="12"/>
  <c r="B229" i="12"/>
  <c r="C228" i="12"/>
  <c r="B228" i="12"/>
  <c r="C227" i="12"/>
  <c r="B227" i="12"/>
  <c r="C226" i="12"/>
  <c r="B226" i="12"/>
  <c r="C225" i="12"/>
  <c r="B225" i="12"/>
  <c r="C224" i="12"/>
  <c r="B224" i="12"/>
  <c r="C223" i="12"/>
  <c r="B223" i="12"/>
  <c r="C222" i="12"/>
  <c r="B222" i="12"/>
  <c r="C221" i="12"/>
  <c r="B221" i="12"/>
  <c r="C220" i="12"/>
  <c r="B220" i="12"/>
  <c r="C219" i="12"/>
  <c r="B219" i="12"/>
  <c r="C218" i="12"/>
  <c r="B218" i="12"/>
  <c r="C217" i="12"/>
  <c r="B217" i="12"/>
  <c r="C216" i="12"/>
  <c r="B216" i="12"/>
  <c r="C215" i="12"/>
  <c r="B215" i="12"/>
  <c r="C214" i="12"/>
  <c r="B214" i="12"/>
  <c r="C213" i="12"/>
  <c r="B213" i="12"/>
  <c r="C212" i="12"/>
  <c r="B212" i="12"/>
  <c r="C211" i="12"/>
  <c r="B211" i="12"/>
  <c r="C210" i="12"/>
  <c r="B210" i="12"/>
  <c r="C209" i="12"/>
  <c r="B209" i="12"/>
  <c r="C208" i="12"/>
  <c r="B208" i="12"/>
  <c r="C207" i="12"/>
  <c r="B207" i="12"/>
  <c r="D207" i="12" s="1"/>
  <c r="C206" i="12"/>
  <c r="B206" i="12"/>
  <c r="C205" i="12"/>
  <c r="B205" i="12"/>
  <c r="D205" i="12" s="1"/>
  <c r="C204" i="12"/>
  <c r="B204" i="12"/>
  <c r="C203" i="12"/>
  <c r="B203" i="12"/>
  <c r="C202" i="12"/>
  <c r="B202" i="12"/>
  <c r="C201" i="12"/>
  <c r="B201" i="12"/>
  <c r="C200" i="12"/>
  <c r="B200" i="12"/>
  <c r="C199" i="12"/>
  <c r="B199" i="12"/>
  <c r="C198" i="12"/>
  <c r="B198" i="12"/>
  <c r="C197" i="12"/>
  <c r="B197" i="12"/>
  <c r="C196" i="12"/>
  <c r="B196" i="12"/>
  <c r="D196" i="12" s="1"/>
  <c r="C195" i="12"/>
  <c r="B195" i="12"/>
  <c r="C194" i="12"/>
  <c r="B194" i="12"/>
  <c r="C193" i="12"/>
  <c r="B193" i="12"/>
  <c r="C192" i="12"/>
  <c r="B192" i="12"/>
  <c r="C191" i="12"/>
  <c r="B191" i="12"/>
  <c r="C190" i="12"/>
  <c r="B190" i="12"/>
  <c r="C189" i="12"/>
  <c r="B189" i="12"/>
  <c r="C188" i="12"/>
  <c r="B188" i="12"/>
  <c r="C187" i="12"/>
  <c r="B187" i="12"/>
  <c r="C186" i="12"/>
  <c r="B186" i="12"/>
  <c r="C185" i="12"/>
  <c r="B185" i="12"/>
  <c r="C184" i="12"/>
  <c r="B184" i="12"/>
  <c r="C183" i="12"/>
  <c r="B183" i="12"/>
  <c r="C182" i="12"/>
  <c r="B182" i="12"/>
  <c r="C181" i="12"/>
  <c r="B181" i="12"/>
  <c r="C180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C170" i="12"/>
  <c r="B170" i="12"/>
  <c r="C169" i="12"/>
  <c r="B169" i="12"/>
  <c r="D169" i="12" s="1"/>
  <c r="C168" i="12"/>
  <c r="B168" i="12"/>
  <c r="C167" i="12"/>
  <c r="B167" i="12"/>
  <c r="C166" i="12"/>
  <c r="B166" i="12"/>
  <c r="C165" i="12"/>
  <c r="B165" i="12"/>
  <c r="C164" i="12"/>
  <c r="B164" i="12"/>
  <c r="C163" i="12"/>
  <c r="B163" i="12"/>
  <c r="C162" i="12"/>
  <c r="B162" i="12"/>
  <c r="C161" i="12"/>
  <c r="B161" i="12"/>
  <c r="C160" i="12"/>
  <c r="B160" i="12"/>
  <c r="C159" i="12"/>
  <c r="B159" i="12"/>
  <c r="C158" i="12"/>
  <c r="B158" i="12"/>
  <c r="C157" i="12"/>
  <c r="B157" i="12"/>
  <c r="C156" i="12"/>
  <c r="B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D139" i="12" s="1"/>
  <c r="C138" i="12"/>
  <c r="B138" i="12"/>
  <c r="C137" i="12"/>
  <c r="B137" i="12"/>
  <c r="C136" i="12"/>
  <c r="B136" i="12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C124" i="12"/>
  <c r="B124" i="12"/>
  <c r="C123" i="12"/>
  <c r="B123" i="12"/>
  <c r="C122" i="12"/>
  <c r="B122" i="12"/>
  <c r="D122" i="12" s="1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D99" i="12" s="1"/>
  <c r="C98" i="12"/>
  <c r="D98" i="12" s="1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D88" i="12" s="1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D79" i="12" s="1"/>
  <c r="B79" i="12"/>
  <c r="C78" i="12"/>
  <c r="B78" i="12"/>
  <c r="D78" i="12" s="1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D70" i="12" s="1"/>
  <c r="B70" i="12"/>
  <c r="C69" i="12"/>
  <c r="B69" i="12"/>
  <c r="C68" i="12"/>
  <c r="B68" i="12"/>
  <c r="C67" i="12"/>
  <c r="B67" i="12"/>
  <c r="C66" i="12"/>
  <c r="B66" i="12"/>
  <c r="C65" i="12"/>
  <c r="B65" i="12"/>
  <c r="C64" i="12"/>
  <c r="B64" i="12"/>
  <c r="C63" i="12"/>
  <c r="B63" i="12"/>
  <c r="C62" i="12"/>
  <c r="D62" i="12" s="1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D26" i="12" s="1"/>
  <c r="C25" i="12"/>
  <c r="B25" i="12"/>
  <c r="D25" i="12" s="1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C4" i="12"/>
  <c r="B4" i="12"/>
  <c r="C3" i="12"/>
  <c r="B3" i="12"/>
  <c r="D2" i="12"/>
  <c r="C2" i="12"/>
  <c r="B2" i="12"/>
  <c r="C153" i="4"/>
  <c r="B153" i="4"/>
  <c r="C152" i="4"/>
  <c r="B152" i="4"/>
  <c r="C151" i="4"/>
  <c r="B151" i="4"/>
  <c r="C150" i="4"/>
  <c r="D150" i="4" s="1"/>
  <c r="N7" i="11" s="1"/>
  <c r="B150" i="4"/>
  <c r="C149" i="4"/>
  <c r="B149" i="4"/>
  <c r="C148" i="4"/>
  <c r="B148" i="4"/>
  <c r="C147" i="4"/>
  <c r="B147" i="4"/>
  <c r="C146" i="4"/>
  <c r="B146" i="4"/>
  <c r="H145" i="4"/>
  <c r="M59" i="11" s="1"/>
  <c r="F145" i="4"/>
  <c r="M44" i="11" s="1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H134" i="4" s="1"/>
  <c r="M48" i="11" s="1"/>
  <c r="C133" i="4"/>
  <c r="B133" i="4"/>
  <c r="C132" i="4"/>
  <c r="B132" i="4"/>
  <c r="C131" i="4"/>
  <c r="B131" i="4"/>
  <c r="C130" i="4"/>
  <c r="B130" i="4"/>
  <c r="C129" i="4"/>
  <c r="B129" i="4"/>
  <c r="D129" i="4" s="1"/>
  <c r="L10" i="11" s="1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H122" i="4" s="1"/>
  <c r="L48" i="11" s="1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H111" i="4"/>
  <c r="K49" i="11" s="1"/>
  <c r="C111" i="4"/>
  <c r="B111" i="4"/>
  <c r="C110" i="4"/>
  <c r="B110" i="4"/>
  <c r="C109" i="4"/>
  <c r="B109" i="4"/>
  <c r="C108" i="4"/>
  <c r="B108" i="4"/>
  <c r="E108" i="4" s="1"/>
  <c r="J28" i="11" s="1"/>
  <c r="C107" i="4"/>
  <c r="B107" i="4"/>
  <c r="C106" i="4"/>
  <c r="B106" i="4"/>
  <c r="C105" i="4"/>
  <c r="B105" i="4"/>
  <c r="C104" i="4"/>
  <c r="B104" i="4"/>
  <c r="C103" i="4"/>
  <c r="B103" i="4"/>
  <c r="I102" i="4"/>
  <c r="J67" i="11" s="1"/>
  <c r="C102" i="4"/>
  <c r="B102" i="4"/>
  <c r="C101" i="4"/>
  <c r="B101" i="4"/>
  <c r="C100" i="4"/>
  <c r="B100" i="4"/>
  <c r="C99" i="4"/>
  <c r="B99" i="4"/>
  <c r="C98" i="4"/>
  <c r="B98" i="4"/>
  <c r="E98" i="4" s="1"/>
  <c r="J18" i="11" s="1"/>
  <c r="C97" i="4"/>
  <c r="B97" i="4"/>
  <c r="C96" i="4"/>
  <c r="B96" i="4"/>
  <c r="C95" i="4"/>
  <c r="B95" i="4"/>
  <c r="H95" i="4" s="1"/>
  <c r="I57" i="11" s="1"/>
  <c r="E94" i="4"/>
  <c r="I26" i="11" s="1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I78" i="4"/>
  <c r="H67" i="11" s="1"/>
  <c r="H78" i="4"/>
  <c r="H52" i="11" s="1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H69" i="4"/>
  <c r="G55" i="11" s="1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I62" i="4" s="1"/>
  <c r="G63" i="11" s="1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I55" i="4"/>
  <c r="F68" i="11" s="1"/>
  <c r="H55" i="4"/>
  <c r="F53" i="11" s="1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H45" i="4" s="1"/>
  <c r="E55" i="11" s="1"/>
  <c r="B45" i="4"/>
  <c r="C44" i="4"/>
  <c r="B44" i="4"/>
  <c r="C43" i="4"/>
  <c r="B43" i="4"/>
  <c r="C42" i="4"/>
  <c r="B42" i="4"/>
  <c r="C41" i="4"/>
  <c r="B41" i="4"/>
  <c r="E41" i="4" s="1"/>
  <c r="E21" i="11" s="1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H30" i="4"/>
  <c r="D52" i="11" s="1"/>
  <c r="E30" i="4"/>
  <c r="D22" i="11" s="1"/>
  <c r="C30" i="4"/>
  <c r="B30" i="4"/>
  <c r="C29" i="4"/>
  <c r="B29" i="4"/>
  <c r="C28" i="4"/>
  <c r="B28" i="4"/>
  <c r="C27" i="4"/>
  <c r="B27" i="4"/>
  <c r="C26" i="4"/>
  <c r="B26" i="4"/>
  <c r="C25" i="4"/>
  <c r="B25" i="4"/>
  <c r="I25" i="4" s="1"/>
  <c r="C74" i="11" s="1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I15" i="4" s="1"/>
  <c r="C64" i="11" s="1"/>
  <c r="B15" i="4"/>
  <c r="C14" i="4"/>
  <c r="B14" i="4"/>
  <c r="C13" i="4"/>
  <c r="B13" i="4"/>
  <c r="C12" i="4"/>
  <c r="B12" i="4"/>
  <c r="C11" i="4"/>
  <c r="D11" i="4" s="1"/>
  <c r="B12" i="11" s="1"/>
  <c r="B11" i="4"/>
  <c r="C10" i="4"/>
  <c r="B10" i="4"/>
  <c r="C9" i="4"/>
  <c r="B9" i="4"/>
  <c r="C8" i="4"/>
  <c r="B8" i="4"/>
  <c r="C7" i="4"/>
  <c r="B7" i="4"/>
  <c r="H6" i="4"/>
  <c r="B52" i="11" s="1"/>
  <c r="C6" i="4"/>
  <c r="B6" i="4"/>
  <c r="C5" i="4"/>
  <c r="H5" i="4" s="1"/>
  <c r="B51" i="11" s="1"/>
  <c r="B5" i="4"/>
  <c r="C4" i="4"/>
  <c r="B4" i="4"/>
  <c r="C3" i="4"/>
  <c r="B3" i="4"/>
  <c r="C2" i="4"/>
  <c r="B2" i="4"/>
  <c r="I3174" i="3"/>
  <c r="H3174" i="3"/>
  <c r="G3174" i="3"/>
  <c r="F3174" i="3"/>
  <c r="D3174" i="3"/>
  <c r="C3174" i="3"/>
  <c r="B3174" i="3"/>
  <c r="I3173" i="3"/>
  <c r="H3173" i="3"/>
  <c r="G3173" i="3"/>
  <c r="F3173" i="3"/>
  <c r="D3173" i="3"/>
  <c r="C3173" i="3"/>
  <c r="B3173" i="3"/>
  <c r="C3172" i="3"/>
  <c r="B3172" i="3"/>
  <c r="C3171" i="3"/>
  <c r="B3171" i="3"/>
  <c r="C3170" i="3"/>
  <c r="B3170" i="3"/>
  <c r="C3169" i="3"/>
  <c r="B3169" i="3"/>
  <c r="C3168" i="3"/>
  <c r="B3168" i="3"/>
  <c r="C3167" i="3"/>
  <c r="B3167" i="3"/>
  <c r="C3166" i="3"/>
  <c r="B3166" i="3"/>
  <c r="C3165" i="3"/>
  <c r="B3165" i="3"/>
  <c r="C3164" i="3"/>
  <c r="B3164" i="3"/>
  <c r="C3163" i="3"/>
  <c r="B3163" i="3"/>
  <c r="C3162" i="3"/>
  <c r="B3162" i="3"/>
  <c r="C3161" i="3"/>
  <c r="B3161" i="3"/>
  <c r="C3160" i="3"/>
  <c r="B3160" i="3"/>
  <c r="C3159" i="3"/>
  <c r="B3159" i="3"/>
  <c r="C3158" i="3"/>
  <c r="B3158" i="3"/>
  <c r="C3157" i="3"/>
  <c r="B3157" i="3"/>
  <c r="C3156" i="3"/>
  <c r="B3156" i="3"/>
  <c r="C3155" i="3"/>
  <c r="B3155" i="3"/>
  <c r="C3154" i="3"/>
  <c r="B3154" i="3"/>
  <c r="C3153" i="3"/>
  <c r="B3153" i="3"/>
  <c r="C3152" i="3"/>
  <c r="B3152" i="3"/>
  <c r="C3151" i="3"/>
  <c r="B3151" i="3"/>
  <c r="C3150" i="3"/>
  <c r="B3150" i="3"/>
  <c r="C3149" i="3"/>
  <c r="B3149" i="3"/>
  <c r="C3148" i="3"/>
  <c r="B3148" i="3"/>
  <c r="C3147" i="3"/>
  <c r="B3147" i="3"/>
  <c r="C3146" i="3"/>
  <c r="B3146" i="3"/>
  <c r="C3145" i="3"/>
  <c r="B3145" i="3"/>
  <c r="C3144" i="3"/>
  <c r="B3144" i="3"/>
  <c r="C3143" i="3"/>
  <c r="B3143" i="3"/>
  <c r="C3142" i="3"/>
  <c r="B3142" i="3"/>
  <c r="C3141" i="3"/>
  <c r="B3141" i="3"/>
  <c r="C3140" i="3"/>
  <c r="B3140" i="3"/>
  <c r="C3139" i="3"/>
  <c r="B3139" i="3"/>
  <c r="C3138" i="3"/>
  <c r="B3138" i="3"/>
  <c r="C3137" i="3"/>
  <c r="B3137" i="3"/>
  <c r="C3136" i="3"/>
  <c r="B3136" i="3"/>
  <c r="C3135" i="3"/>
  <c r="B3135" i="3"/>
  <c r="C3134" i="3"/>
  <c r="B3134" i="3"/>
  <c r="C3133" i="3"/>
  <c r="B3133" i="3"/>
  <c r="C3132" i="3"/>
  <c r="B3132" i="3"/>
  <c r="C3131" i="3"/>
  <c r="B3131" i="3"/>
  <c r="C3130" i="3"/>
  <c r="B3130" i="3"/>
  <c r="C3129" i="3"/>
  <c r="B3129" i="3"/>
  <c r="C3128" i="3"/>
  <c r="B3128" i="3"/>
  <c r="C3127" i="3"/>
  <c r="B3127" i="3"/>
  <c r="C3126" i="3"/>
  <c r="B3126" i="3"/>
  <c r="C3125" i="3"/>
  <c r="B3125" i="3"/>
  <c r="C3124" i="3"/>
  <c r="B3124" i="3"/>
  <c r="C3123" i="3"/>
  <c r="B3123" i="3"/>
  <c r="C3122" i="3"/>
  <c r="B3122" i="3"/>
  <c r="C3121" i="3"/>
  <c r="B3121" i="3"/>
  <c r="C3120" i="3"/>
  <c r="B3120" i="3"/>
  <c r="C3119" i="3"/>
  <c r="B3119" i="3"/>
  <c r="C3118" i="3"/>
  <c r="B3118" i="3"/>
  <c r="C3117" i="3"/>
  <c r="B3117" i="3"/>
  <c r="C3116" i="3"/>
  <c r="B3116" i="3"/>
  <c r="C3115" i="3"/>
  <c r="B3115" i="3"/>
  <c r="C3114" i="3"/>
  <c r="B3114" i="3"/>
  <c r="C3113" i="3"/>
  <c r="B3113" i="3"/>
  <c r="C3112" i="3"/>
  <c r="B3112" i="3"/>
  <c r="C3111" i="3"/>
  <c r="B3111" i="3"/>
  <c r="C3110" i="3"/>
  <c r="B3110" i="3"/>
  <c r="C3109" i="3"/>
  <c r="B3109" i="3"/>
  <c r="C3108" i="3"/>
  <c r="B3108" i="3"/>
  <c r="C3107" i="3"/>
  <c r="B3107" i="3"/>
  <c r="C3106" i="3"/>
  <c r="B3106" i="3"/>
  <c r="C3105" i="3"/>
  <c r="B3105" i="3"/>
  <c r="C3104" i="3"/>
  <c r="B3104" i="3"/>
  <c r="C3103" i="3"/>
  <c r="B3103" i="3"/>
  <c r="C3102" i="3"/>
  <c r="B3102" i="3"/>
  <c r="C3101" i="3"/>
  <c r="B3101" i="3"/>
  <c r="C3100" i="3"/>
  <c r="B3100" i="3"/>
  <c r="C3099" i="3"/>
  <c r="B3099" i="3"/>
  <c r="C3098" i="3"/>
  <c r="B3098" i="3"/>
  <c r="C3097" i="3"/>
  <c r="B3097" i="3"/>
  <c r="C3096" i="3"/>
  <c r="B3096" i="3"/>
  <c r="C3095" i="3"/>
  <c r="B3095" i="3"/>
  <c r="C3094" i="3"/>
  <c r="B3094" i="3"/>
  <c r="C3093" i="3"/>
  <c r="B3093" i="3"/>
  <c r="C3092" i="3"/>
  <c r="B3092" i="3"/>
  <c r="C3091" i="3"/>
  <c r="B3091" i="3"/>
  <c r="C3090" i="3"/>
  <c r="B3090" i="3"/>
  <c r="C3089" i="3"/>
  <c r="B3089" i="3"/>
  <c r="C3088" i="3"/>
  <c r="B3088" i="3"/>
  <c r="C3087" i="3"/>
  <c r="B3087" i="3"/>
  <c r="C3086" i="3"/>
  <c r="B3086" i="3"/>
  <c r="C3085" i="3"/>
  <c r="B3085" i="3"/>
  <c r="C3084" i="3"/>
  <c r="B3084" i="3"/>
  <c r="C3083" i="3"/>
  <c r="B3083" i="3"/>
  <c r="C3082" i="3"/>
  <c r="B3082" i="3"/>
  <c r="C3081" i="3"/>
  <c r="B3081" i="3"/>
  <c r="C3080" i="3"/>
  <c r="B3080" i="3"/>
  <c r="C3079" i="3"/>
  <c r="B3079" i="3"/>
  <c r="C3078" i="3"/>
  <c r="B3078" i="3"/>
  <c r="C3077" i="3"/>
  <c r="B3077" i="3"/>
  <c r="C3076" i="3"/>
  <c r="B3076" i="3"/>
  <c r="C3075" i="3"/>
  <c r="B3075" i="3"/>
  <c r="C3074" i="3"/>
  <c r="B3074" i="3"/>
  <c r="C3073" i="3"/>
  <c r="B3073" i="3"/>
  <c r="C3072" i="3"/>
  <c r="B3072" i="3"/>
  <c r="C3071" i="3"/>
  <c r="B3071" i="3"/>
  <c r="C3070" i="3"/>
  <c r="B3070" i="3"/>
  <c r="C3069" i="3"/>
  <c r="B3069" i="3"/>
  <c r="C3068" i="3"/>
  <c r="B3068" i="3"/>
  <c r="C3067" i="3"/>
  <c r="B3067" i="3"/>
  <c r="C3066" i="3"/>
  <c r="B3066" i="3"/>
  <c r="C3065" i="3"/>
  <c r="B3065" i="3"/>
  <c r="C3064" i="3"/>
  <c r="B3064" i="3"/>
  <c r="C3063" i="3"/>
  <c r="B3063" i="3"/>
  <c r="C3062" i="3"/>
  <c r="B3062" i="3"/>
  <c r="C3061" i="3"/>
  <c r="B3061" i="3"/>
  <c r="C3060" i="3"/>
  <c r="B3060" i="3"/>
  <c r="C3059" i="3"/>
  <c r="B3059" i="3"/>
  <c r="C3058" i="3"/>
  <c r="B3058" i="3"/>
  <c r="C3057" i="3"/>
  <c r="B3057" i="3"/>
  <c r="C3056" i="3"/>
  <c r="B3056" i="3"/>
  <c r="C3055" i="3"/>
  <c r="B3055" i="3"/>
  <c r="C3054" i="3"/>
  <c r="B3054" i="3"/>
  <c r="C3053" i="3"/>
  <c r="B3053" i="3"/>
  <c r="C3052" i="3"/>
  <c r="B3052" i="3"/>
  <c r="C3051" i="3"/>
  <c r="B3051" i="3"/>
  <c r="C3050" i="3"/>
  <c r="B3050" i="3"/>
  <c r="C3049" i="3"/>
  <c r="B3049" i="3"/>
  <c r="C3048" i="3"/>
  <c r="B3048" i="3"/>
  <c r="C3047" i="3"/>
  <c r="B3047" i="3"/>
  <c r="C3046" i="3"/>
  <c r="B3046" i="3"/>
  <c r="C3045" i="3"/>
  <c r="B3045" i="3"/>
  <c r="C3044" i="3"/>
  <c r="B3044" i="3"/>
  <c r="C3043" i="3"/>
  <c r="B3043" i="3"/>
  <c r="C3042" i="3"/>
  <c r="B3042" i="3"/>
  <c r="C3041" i="3"/>
  <c r="B3041" i="3"/>
  <c r="C3040" i="3"/>
  <c r="B3040" i="3"/>
  <c r="C3039" i="3"/>
  <c r="B3039" i="3"/>
  <c r="C3038" i="3"/>
  <c r="B3038" i="3"/>
  <c r="C3037" i="3"/>
  <c r="B3037" i="3"/>
  <c r="C3036" i="3"/>
  <c r="B3036" i="3"/>
  <c r="C3035" i="3"/>
  <c r="B3035" i="3"/>
  <c r="C3034" i="3"/>
  <c r="B3034" i="3"/>
  <c r="C3033" i="3"/>
  <c r="B3033" i="3"/>
  <c r="C3032" i="3"/>
  <c r="B3032" i="3"/>
  <c r="C3031" i="3"/>
  <c r="B3031" i="3"/>
  <c r="C3030" i="3"/>
  <c r="B3030" i="3"/>
  <c r="C3029" i="3"/>
  <c r="B3029" i="3"/>
  <c r="C3028" i="3"/>
  <c r="B3028" i="3"/>
  <c r="C3027" i="3"/>
  <c r="B3027" i="3"/>
  <c r="C3026" i="3"/>
  <c r="B3026" i="3"/>
  <c r="C3025" i="3"/>
  <c r="B3025" i="3"/>
  <c r="C3024" i="3"/>
  <c r="B3024" i="3"/>
  <c r="C3023" i="3"/>
  <c r="B3023" i="3"/>
  <c r="C3022" i="3"/>
  <c r="B3022" i="3"/>
  <c r="C3021" i="3"/>
  <c r="B3021" i="3"/>
  <c r="C3020" i="3"/>
  <c r="B3020" i="3"/>
  <c r="C3019" i="3"/>
  <c r="B3019" i="3"/>
  <c r="C3018" i="3"/>
  <c r="B3018" i="3"/>
  <c r="C3017" i="3"/>
  <c r="B3017" i="3"/>
  <c r="C3016" i="3"/>
  <c r="B3016" i="3"/>
  <c r="C3015" i="3"/>
  <c r="B3015" i="3"/>
  <c r="C3014" i="3"/>
  <c r="B3014" i="3"/>
  <c r="C3013" i="3"/>
  <c r="B3013" i="3"/>
  <c r="C3012" i="3"/>
  <c r="B3012" i="3"/>
  <c r="C3011" i="3"/>
  <c r="B3011" i="3"/>
  <c r="C3010" i="3"/>
  <c r="B3010" i="3"/>
  <c r="C3009" i="3"/>
  <c r="B3009" i="3"/>
  <c r="C3008" i="3"/>
  <c r="B3008" i="3"/>
  <c r="C3007" i="3"/>
  <c r="B3007" i="3"/>
  <c r="C3006" i="3"/>
  <c r="B3006" i="3"/>
  <c r="C3005" i="3"/>
  <c r="B3005" i="3"/>
  <c r="C3004" i="3"/>
  <c r="B3004" i="3"/>
  <c r="C3003" i="3"/>
  <c r="B3003" i="3"/>
  <c r="C3002" i="3"/>
  <c r="B3002" i="3"/>
  <c r="C3001" i="3"/>
  <c r="B3001" i="3"/>
  <c r="C3000" i="3"/>
  <c r="B3000" i="3"/>
  <c r="C2999" i="3"/>
  <c r="B2999" i="3"/>
  <c r="C2998" i="3"/>
  <c r="B2998" i="3"/>
  <c r="C2997" i="3"/>
  <c r="B2997" i="3"/>
  <c r="C2996" i="3"/>
  <c r="B2996" i="3"/>
  <c r="C2995" i="3"/>
  <c r="B2995" i="3"/>
  <c r="C2994" i="3"/>
  <c r="B2994" i="3"/>
  <c r="C2993" i="3"/>
  <c r="B2993" i="3"/>
  <c r="C2992" i="3"/>
  <c r="B2992" i="3"/>
  <c r="C2991" i="3"/>
  <c r="B2991" i="3"/>
  <c r="C2990" i="3"/>
  <c r="B2990" i="3"/>
  <c r="C2989" i="3"/>
  <c r="B2989" i="3"/>
  <c r="C2988" i="3"/>
  <c r="B2988" i="3"/>
  <c r="C2987" i="3"/>
  <c r="B2987" i="3"/>
  <c r="C2986" i="3"/>
  <c r="B2986" i="3"/>
  <c r="C2985" i="3"/>
  <c r="B2985" i="3"/>
  <c r="C2984" i="3"/>
  <c r="B2984" i="3"/>
  <c r="C2983" i="3"/>
  <c r="B2983" i="3"/>
  <c r="C2982" i="3"/>
  <c r="B2982" i="3"/>
  <c r="C2981" i="3"/>
  <c r="B2981" i="3"/>
  <c r="C2980" i="3"/>
  <c r="B2980" i="3"/>
  <c r="C2979" i="3"/>
  <c r="B2979" i="3"/>
  <c r="C2978" i="3"/>
  <c r="B2978" i="3"/>
  <c r="C2977" i="3"/>
  <c r="B2977" i="3"/>
  <c r="C2976" i="3"/>
  <c r="B2976" i="3"/>
  <c r="C2975" i="3"/>
  <c r="B2975" i="3"/>
  <c r="C2974" i="3"/>
  <c r="B2974" i="3"/>
  <c r="C2973" i="3"/>
  <c r="B2973" i="3"/>
  <c r="C2972" i="3"/>
  <c r="B2972" i="3"/>
  <c r="C2971" i="3"/>
  <c r="B2971" i="3"/>
  <c r="C2970" i="3"/>
  <c r="B2970" i="3"/>
  <c r="C2969" i="3"/>
  <c r="B2969" i="3"/>
  <c r="C2968" i="3"/>
  <c r="B2968" i="3"/>
  <c r="C2967" i="3"/>
  <c r="B2967" i="3"/>
  <c r="C2966" i="3"/>
  <c r="B2966" i="3"/>
  <c r="C2965" i="3"/>
  <c r="B2965" i="3"/>
  <c r="C2964" i="3"/>
  <c r="B2964" i="3"/>
  <c r="C2963" i="3"/>
  <c r="B2963" i="3"/>
  <c r="C2962" i="3"/>
  <c r="B2962" i="3"/>
  <c r="C2961" i="3"/>
  <c r="B2961" i="3"/>
  <c r="C2960" i="3"/>
  <c r="B2960" i="3"/>
  <c r="C2959" i="3"/>
  <c r="B2959" i="3"/>
  <c r="C2958" i="3"/>
  <c r="B2958" i="3"/>
  <c r="C2957" i="3"/>
  <c r="B2957" i="3"/>
  <c r="C2956" i="3"/>
  <c r="B2956" i="3"/>
  <c r="C2955" i="3"/>
  <c r="B2955" i="3"/>
  <c r="C2954" i="3"/>
  <c r="B2954" i="3"/>
  <c r="C2953" i="3"/>
  <c r="B2953" i="3"/>
  <c r="C2952" i="3"/>
  <c r="B2952" i="3"/>
  <c r="C2951" i="3"/>
  <c r="B2951" i="3"/>
  <c r="C2950" i="3"/>
  <c r="B2950" i="3"/>
  <c r="C2949" i="3"/>
  <c r="B2949" i="3"/>
  <c r="C2948" i="3"/>
  <c r="B2948" i="3"/>
  <c r="C2947" i="3"/>
  <c r="B2947" i="3"/>
  <c r="C2946" i="3"/>
  <c r="B2946" i="3"/>
  <c r="C2945" i="3"/>
  <c r="B2945" i="3"/>
  <c r="C2944" i="3"/>
  <c r="B2944" i="3"/>
  <c r="C2943" i="3"/>
  <c r="B2943" i="3"/>
  <c r="C2942" i="3"/>
  <c r="B2942" i="3"/>
  <c r="C2941" i="3"/>
  <c r="B2941" i="3"/>
  <c r="C2940" i="3"/>
  <c r="B2940" i="3"/>
  <c r="C2939" i="3"/>
  <c r="B2939" i="3"/>
  <c r="C2938" i="3"/>
  <c r="B2938" i="3"/>
  <c r="C2937" i="3"/>
  <c r="B2937" i="3"/>
  <c r="C2936" i="3"/>
  <c r="B2936" i="3"/>
  <c r="C2935" i="3"/>
  <c r="B2935" i="3"/>
  <c r="C2934" i="3"/>
  <c r="B2934" i="3"/>
  <c r="C2933" i="3"/>
  <c r="B2933" i="3"/>
  <c r="C2932" i="3"/>
  <c r="B2932" i="3"/>
  <c r="C2931" i="3"/>
  <c r="B2931" i="3"/>
  <c r="C2930" i="3"/>
  <c r="B2930" i="3"/>
  <c r="C2929" i="3"/>
  <c r="B2929" i="3"/>
  <c r="C2928" i="3"/>
  <c r="B2928" i="3"/>
  <c r="C2927" i="3"/>
  <c r="B2927" i="3"/>
  <c r="C2926" i="3"/>
  <c r="B2926" i="3"/>
  <c r="C2925" i="3"/>
  <c r="B2925" i="3"/>
  <c r="C2924" i="3"/>
  <c r="B2924" i="3"/>
  <c r="C2923" i="3"/>
  <c r="B2923" i="3"/>
  <c r="C2922" i="3"/>
  <c r="B2922" i="3"/>
  <c r="C2921" i="3"/>
  <c r="B2921" i="3"/>
  <c r="C2920" i="3"/>
  <c r="B2920" i="3"/>
  <c r="C2919" i="3"/>
  <c r="B2919" i="3"/>
  <c r="C2918" i="3"/>
  <c r="B2918" i="3"/>
  <c r="C2917" i="3"/>
  <c r="B2917" i="3"/>
  <c r="C2916" i="3"/>
  <c r="B2916" i="3"/>
  <c r="C2915" i="3"/>
  <c r="B2915" i="3"/>
  <c r="C2914" i="3"/>
  <c r="B2914" i="3"/>
  <c r="C2913" i="3"/>
  <c r="B2913" i="3"/>
  <c r="C2912" i="3"/>
  <c r="B2912" i="3"/>
  <c r="C2911" i="3"/>
  <c r="B2911" i="3"/>
  <c r="C2910" i="3"/>
  <c r="B2910" i="3"/>
  <c r="C2909" i="3"/>
  <c r="B2909" i="3"/>
  <c r="C2908" i="3"/>
  <c r="B2908" i="3"/>
  <c r="C2907" i="3"/>
  <c r="B2907" i="3"/>
  <c r="C2906" i="3"/>
  <c r="B2906" i="3"/>
  <c r="C2905" i="3"/>
  <c r="B2905" i="3"/>
  <c r="C2904" i="3"/>
  <c r="B2904" i="3"/>
  <c r="C2903" i="3"/>
  <c r="B2903" i="3"/>
  <c r="C2902" i="3"/>
  <c r="B2902" i="3"/>
  <c r="C2901" i="3"/>
  <c r="B2901" i="3"/>
  <c r="C2900" i="3"/>
  <c r="B2900" i="3"/>
  <c r="C2899" i="3"/>
  <c r="B2899" i="3"/>
  <c r="C2898" i="3"/>
  <c r="B2898" i="3"/>
  <c r="C2897" i="3"/>
  <c r="B2897" i="3"/>
  <c r="C2896" i="3"/>
  <c r="B2896" i="3"/>
  <c r="C2895" i="3"/>
  <c r="B2895" i="3"/>
  <c r="C2894" i="3"/>
  <c r="B2894" i="3"/>
  <c r="C2893" i="3"/>
  <c r="B2893" i="3"/>
  <c r="C2892" i="3"/>
  <c r="B2892" i="3"/>
  <c r="C2891" i="3"/>
  <c r="B2891" i="3"/>
  <c r="C2890" i="3"/>
  <c r="B2890" i="3"/>
  <c r="C2889" i="3"/>
  <c r="B2889" i="3"/>
  <c r="C2888" i="3"/>
  <c r="B2888" i="3"/>
  <c r="C2887" i="3"/>
  <c r="B2887" i="3"/>
  <c r="C2886" i="3"/>
  <c r="B2886" i="3"/>
  <c r="C2885" i="3"/>
  <c r="B2885" i="3"/>
  <c r="C2884" i="3"/>
  <c r="B2884" i="3"/>
  <c r="C2883" i="3"/>
  <c r="B2883" i="3"/>
  <c r="C2882" i="3"/>
  <c r="B2882" i="3"/>
  <c r="C2881" i="3"/>
  <c r="B2881" i="3"/>
  <c r="C2880" i="3"/>
  <c r="B2880" i="3"/>
  <c r="C2879" i="3"/>
  <c r="B2879" i="3"/>
  <c r="C2878" i="3"/>
  <c r="B2878" i="3"/>
  <c r="C2877" i="3"/>
  <c r="B2877" i="3"/>
  <c r="C2876" i="3"/>
  <c r="B2876" i="3"/>
  <c r="C2875" i="3"/>
  <c r="B2875" i="3"/>
  <c r="C2874" i="3"/>
  <c r="B2874" i="3"/>
  <c r="C2873" i="3"/>
  <c r="B2873" i="3"/>
  <c r="C2872" i="3"/>
  <c r="B2872" i="3"/>
  <c r="C2871" i="3"/>
  <c r="B2871" i="3"/>
  <c r="C2870" i="3"/>
  <c r="B2870" i="3"/>
  <c r="C2869" i="3"/>
  <c r="B2869" i="3"/>
  <c r="C2868" i="3"/>
  <c r="B2868" i="3"/>
  <c r="C2867" i="3"/>
  <c r="B2867" i="3"/>
  <c r="C2866" i="3"/>
  <c r="B2866" i="3"/>
  <c r="C2865" i="3"/>
  <c r="B2865" i="3"/>
  <c r="C2864" i="3"/>
  <c r="B2864" i="3"/>
  <c r="C2863" i="3"/>
  <c r="B2863" i="3"/>
  <c r="C2862" i="3"/>
  <c r="B2862" i="3"/>
  <c r="C2861" i="3"/>
  <c r="B2861" i="3"/>
  <c r="C2860" i="3"/>
  <c r="B2860" i="3"/>
  <c r="C2859" i="3"/>
  <c r="B2859" i="3"/>
  <c r="C2858" i="3"/>
  <c r="B2858" i="3"/>
  <c r="C2857" i="3"/>
  <c r="B2857" i="3"/>
  <c r="C2856" i="3"/>
  <c r="B2856" i="3"/>
  <c r="C2855" i="3"/>
  <c r="B2855" i="3"/>
  <c r="C2854" i="3"/>
  <c r="B2854" i="3"/>
  <c r="C2853" i="3"/>
  <c r="B2853" i="3"/>
  <c r="C2852" i="3"/>
  <c r="B2852" i="3"/>
  <c r="C2851" i="3"/>
  <c r="B2851" i="3"/>
  <c r="C2850" i="3"/>
  <c r="B2850" i="3"/>
  <c r="C2849" i="3"/>
  <c r="B2849" i="3"/>
  <c r="C2848" i="3"/>
  <c r="B2848" i="3"/>
  <c r="C2847" i="3"/>
  <c r="B2847" i="3"/>
  <c r="C2846" i="3"/>
  <c r="B2846" i="3"/>
  <c r="C2845" i="3"/>
  <c r="B2845" i="3"/>
  <c r="C2844" i="3"/>
  <c r="B2844" i="3"/>
  <c r="C2843" i="3"/>
  <c r="B2843" i="3"/>
  <c r="C2842" i="3"/>
  <c r="B2842" i="3"/>
  <c r="C2841" i="3"/>
  <c r="B2841" i="3"/>
  <c r="C2840" i="3"/>
  <c r="B2840" i="3"/>
  <c r="C2839" i="3"/>
  <c r="B2839" i="3"/>
  <c r="C2838" i="3"/>
  <c r="B2838" i="3"/>
  <c r="C2837" i="3"/>
  <c r="B2837" i="3"/>
  <c r="C2836" i="3"/>
  <c r="B2836" i="3"/>
  <c r="C2835" i="3"/>
  <c r="B2835" i="3"/>
  <c r="C2834" i="3"/>
  <c r="B2834" i="3"/>
  <c r="C2833" i="3"/>
  <c r="B2833" i="3"/>
  <c r="C2832" i="3"/>
  <c r="B2832" i="3"/>
  <c r="C2831" i="3"/>
  <c r="B2831" i="3"/>
  <c r="C2830" i="3"/>
  <c r="B2830" i="3"/>
  <c r="C2829" i="3"/>
  <c r="B2829" i="3"/>
  <c r="C2828" i="3"/>
  <c r="B2828" i="3"/>
  <c r="C2827" i="3"/>
  <c r="B2827" i="3"/>
  <c r="C2826" i="3"/>
  <c r="B2826" i="3"/>
  <c r="C2825" i="3"/>
  <c r="B2825" i="3"/>
  <c r="C2824" i="3"/>
  <c r="B2824" i="3"/>
  <c r="C2823" i="3"/>
  <c r="B2823" i="3"/>
  <c r="C2822" i="3"/>
  <c r="B2822" i="3"/>
  <c r="C2821" i="3"/>
  <c r="B2821" i="3"/>
  <c r="C2820" i="3"/>
  <c r="B2820" i="3"/>
  <c r="C2819" i="3"/>
  <c r="B2819" i="3"/>
  <c r="C2818" i="3"/>
  <c r="B2818" i="3"/>
  <c r="C2817" i="3"/>
  <c r="B2817" i="3"/>
  <c r="C2816" i="3"/>
  <c r="B2816" i="3"/>
  <c r="C2815" i="3"/>
  <c r="B2815" i="3"/>
  <c r="C2814" i="3"/>
  <c r="B2814" i="3"/>
  <c r="C2813" i="3"/>
  <c r="B2813" i="3"/>
  <c r="C2812" i="3"/>
  <c r="B2812" i="3"/>
  <c r="C2811" i="3"/>
  <c r="B2811" i="3"/>
  <c r="C2810" i="3"/>
  <c r="B2810" i="3"/>
  <c r="C2809" i="3"/>
  <c r="B2809" i="3"/>
  <c r="C2808" i="3"/>
  <c r="B2808" i="3"/>
  <c r="C2807" i="3"/>
  <c r="B2807" i="3"/>
  <c r="C2806" i="3"/>
  <c r="B2806" i="3"/>
  <c r="C2805" i="3"/>
  <c r="B2805" i="3"/>
  <c r="C2804" i="3"/>
  <c r="B2804" i="3"/>
  <c r="C2803" i="3"/>
  <c r="B2803" i="3"/>
  <c r="C2802" i="3"/>
  <c r="B2802" i="3"/>
  <c r="C2801" i="3"/>
  <c r="B2801" i="3"/>
  <c r="C2800" i="3"/>
  <c r="B2800" i="3"/>
  <c r="C2799" i="3"/>
  <c r="B2799" i="3"/>
  <c r="C2798" i="3"/>
  <c r="B2798" i="3"/>
  <c r="C2797" i="3"/>
  <c r="B2797" i="3"/>
  <c r="C2796" i="3"/>
  <c r="B2796" i="3"/>
  <c r="C2795" i="3"/>
  <c r="B2795" i="3"/>
  <c r="C2794" i="3"/>
  <c r="B2794" i="3"/>
  <c r="C2793" i="3"/>
  <c r="B2793" i="3"/>
  <c r="C2792" i="3"/>
  <c r="B2792" i="3"/>
  <c r="C2791" i="3"/>
  <c r="B2791" i="3"/>
  <c r="C2790" i="3"/>
  <c r="B2790" i="3"/>
  <c r="C2789" i="3"/>
  <c r="B2789" i="3"/>
  <c r="C2788" i="3"/>
  <c r="B2788" i="3"/>
  <c r="C2787" i="3"/>
  <c r="B2787" i="3"/>
  <c r="C2786" i="3"/>
  <c r="B2786" i="3"/>
  <c r="C2785" i="3"/>
  <c r="B2785" i="3"/>
  <c r="C2784" i="3"/>
  <c r="B2784" i="3"/>
  <c r="C2783" i="3"/>
  <c r="B2783" i="3"/>
  <c r="C2782" i="3"/>
  <c r="B2782" i="3"/>
  <c r="C2781" i="3"/>
  <c r="B2781" i="3"/>
  <c r="C2780" i="3"/>
  <c r="B2780" i="3"/>
  <c r="C2779" i="3"/>
  <c r="B2779" i="3"/>
  <c r="C2778" i="3"/>
  <c r="B2778" i="3"/>
  <c r="C2777" i="3"/>
  <c r="B2777" i="3"/>
  <c r="C2776" i="3"/>
  <c r="B2776" i="3"/>
  <c r="C2775" i="3"/>
  <c r="B2775" i="3"/>
  <c r="C2774" i="3"/>
  <c r="B2774" i="3"/>
  <c r="C2773" i="3"/>
  <c r="B2773" i="3"/>
  <c r="C2772" i="3"/>
  <c r="B2772" i="3"/>
  <c r="C2771" i="3"/>
  <c r="B2771" i="3"/>
  <c r="C2770" i="3"/>
  <c r="B2770" i="3"/>
  <c r="C2769" i="3"/>
  <c r="B2769" i="3"/>
  <c r="C2768" i="3"/>
  <c r="B2768" i="3"/>
  <c r="C2767" i="3"/>
  <c r="B2767" i="3"/>
  <c r="C2766" i="3"/>
  <c r="B2766" i="3"/>
  <c r="C2765" i="3"/>
  <c r="B2765" i="3"/>
  <c r="C2764" i="3"/>
  <c r="B2764" i="3"/>
  <c r="C2763" i="3"/>
  <c r="B2763" i="3"/>
  <c r="C2762" i="3"/>
  <c r="B2762" i="3"/>
  <c r="C2761" i="3"/>
  <c r="B2761" i="3"/>
  <c r="C2760" i="3"/>
  <c r="B2760" i="3"/>
  <c r="C2759" i="3"/>
  <c r="B2759" i="3"/>
  <c r="C2758" i="3"/>
  <c r="B2758" i="3"/>
  <c r="C2757" i="3"/>
  <c r="B2757" i="3"/>
  <c r="C2756" i="3"/>
  <c r="B2756" i="3"/>
  <c r="C2755" i="3"/>
  <c r="B2755" i="3"/>
  <c r="C2754" i="3"/>
  <c r="B2754" i="3"/>
  <c r="C2753" i="3"/>
  <c r="B2753" i="3"/>
  <c r="C2752" i="3"/>
  <c r="B2752" i="3"/>
  <c r="C2751" i="3"/>
  <c r="B2751" i="3"/>
  <c r="C2750" i="3"/>
  <c r="B2750" i="3"/>
  <c r="C2749" i="3"/>
  <c r="B2749" i="3"/>
  <c r="C2748" i="3"/>
  <c r="B2748" i="3"/>
  <c r="C2747" i="3"/>
  <c r="B2747" i="3"/>
  <c r="C2746" i="3"/>
  <c r="B2746" i="3"/>
  <c r="C2745" i="3"/>
  <c r="B2745" i="3"/>
  <c r="C2744" i="3"/>
  <c r="B2744" i="3"/>
  <c r="C2743" i="3"/>
  <c r="B2743" i="3"/>
  <c r="C2742" i="3"/>
  <c r="B2742" i="3"/>
  <c r="C2741" i="3"/>
  <c r="B2741" i="3"/>
  <c r="C2740" i="3"/>
  <c r="B2740" i="3"/>
  <c r="C2739" i="3"/>
  <c r="B2739" i="3"/>
  <c r="C2738" i="3"/>
  <c r="B2738" i="3"/>
  <c r="C2737" i="3"/>
  <c r="B2737" i="3"/>
  <c r="C2736" i="3"/>
  <c r="B2736" i="3"/>
  <c r="C2735" i="3"/>
  <c r="B2735" i="3"/>
  <c r="C2734" i="3"/>
  <c r="B2734" i="3"/>
  <c r="C2733" i="3"/>
  <c r="B2733" i="3"/>
  <c r="C2732" i="3"/>
  <c r="B2732" i="3"/>
  <c r="C2731" i="3"/>
  <c r="B2731" i="3"/>
  <c r="C2730" i="3"/>
  <c r="B2730" i="3"/>
  <c r="C2729" i="3"/>
  <c r="B2729" i="3"/>
  <c r="C2728" i="3"/>
  <c r="B2728" i="3"/>
  <c r="C2727" i="3"/>
  <c r="B2727" i="3"/>
  <c r="C2726" i="3"/>
  <c r="B2726" i="3"/>
  <c r="C2725" i="3"/>
  <c r="B2725" i="3"/>
  <c r="C2724" i="3"/>
  <c r="B2724" i="3"/>
  <c r="C2723" i="3"/>
  <c r="B2723" i="3"/>
  <c r="C2722" i="3"/>
  <c r="B2722" i="3"/>
  <c r="C2721" i="3"/>
  <c r="B2721" i="3"/>
  <c r="C2720" i="3"/>
  <c r="B2720" i="3"/>
  <c r="C2719" i="3"/>
  <c r="B2719" i="3"/>
  <c r="C2718" i="3"/>
  <c r="B2718" i="3"/>
  <c r="C2717" i="3"/>
  <c r="B2717" i="3"/>
  <c r="C2716" i="3"/>
  <c r="B2716" i="3"/>
  <c r="C2715" i="3"/>
  <c r="B2715" i="3"/>
  <c r="C2714" i="3"/>
  <c r="B2714" i="3"/>
  <c r="C2713" i="3"/>
  <c r="B2713" i="3"/>
  <c r="C2712" i="3"/>
  <c r="B2712" i="3"/>
  <c r="C2711" i="3"/>
  <c r="B2711" i="3"/>
  <c r="C2710" i="3"/>
  <c r="B2710" i="3"/>
  <c r="C2709" i="3"/>
  <c r="B2709" i="3"/>
  <c r="C2708" i="3"/>
  <c r="B2708" i="3"/>
  <c r="C2707" i="3"/>
  <c r="B2707" i="3"/>
  <c r="C2706" i="3"/>
  <c r="B2706" i="3"/>
  <c r="C2705" i="3"/>
  <c r="B2705" i="3"/>
  <c r="C2704" i="3"/>
  <c r="B2704" i="3"/>
  <c r="C2703" i="3"/>
  <c r="B2703" i="3"/>
  <c r="C2702" i="3"/>
  <c r="B2702" i="3"/>
  <c r="C2701" i="3"/>
  <c r="B2701" i="3"/>
  <c r="C2700" i="3"/>
  <c r="B2700" i="3"/>
  <c r="C2699" i="3"/>
  <c r="B2699" i="3"/>
  <c r="C2698" i="3"/>
  <c r="B2698" i="3"/>
  <c r="C2697" i="3"/>
  <c r="B2697" i="3"/>
  <c r="C2696" i="3"/>
  <c r="B2696" i="3"/>
  <c r="C2695" i="3"/>
  <c r="B2695" i="3"/>
  <c r="C2694" i="3"/>
  <c r="B2694" i="3"/>
  <c r="C2693" i="3"/>
  <c r="B2693" i="3"/>
  <c r="C2692" i="3"/>
  <c r="B2692" i="3"/>
  <c r="C2691" i="3"/>
  <c r="B2691" i="3"/>
  <c r="C2690" i="3"/>
  <c r="B2690" i="3"/>
  <c r="C2689" i="3"/>
  <c r="B2689" i="3"/>
  <c r="C2688" i="3"/>
  <c r="B2688" i="3"/>
  <c r="C2687" i="3"/>
  <c r="B2687" i="3"/>
  <c r="C2686" i="3"/>
  <c r="B2686" i="3"/>
  <c r="C2685" i="3"/>
  <c r="B2685" i="3"/>
  <c r="C2684" i="3"/>
  <c r="B2684" i="3"/>
  <c r="C2683" i="3"/>
  <c r="B2683" i="3"/>
  <c r="C2682" i="3"/>
  <c r="B2682" i="3"/>
  <c r="C2681" i="3"/>
  <c r="B2681" i="3"/>
  <c r="C2680" i="3"/>
  <c r="B2680" i="3"/>
  <c r="C2679" i="3"/>
  <c r="B2679" i="3"/>
  <c r="C2678" i="3"/>
  <c r="B2678" i="3"/>
  <c r="C2677" i="3"/>
  <c r="B2677" i="3"/>
  <c r="C2676" i="3"/>
  <c r="B2676" i="3"/>
  <c r="C2675" i="3"/>
  <c r="B2675" i="3"/>
  <c r="C2674" i="3"/>
  <c r="B2674" i="3"/>
  <c r="C2673" i="3"/>
  <c r="B2673" i="3"/>
  <c r="C2672" i="3"/>
  <c r="B2672" i="3"/>
  <c r="C2671" i="3"/>
  <c r="B2671" i="3"/>
  <c r="C2670" i="3"/>
  <c r="B2670" i="3"/>
  <c r="C2669" i="3"/>
  <c r="B2669" i="3"/>
  <c r="C2668" i="3"/>
  <c r="B2668" i="3"/>
  <c r="C2667" i="3"/>
  <c r="B2667" i="3"/>
  <c r="C2666" i="3"/>
  <c r="B2666" i="3"/>
  <c r="C2665" i="3"/>
  <c r="B2665" i="3"/>
  <c r="C2664" i="3"/>
  <c r="B2664" i="3"/>
  <c r="C2663" i="3"/>
  <c r="B2663" i="3"/>
  <c r="C2662" i="3"/>
  <c r="B2662" i="3"/>
  <c r="C2661" i="3"/>
  <c r="B2661" i="3"/>
  <c r="C2660" i="3"/>
  <c r="B2660" i="3"/>
  <c r="C2659" i="3"/>
  <c r="B2659" i="3"/>
  <c r="C2658" i="3"/>
  <c r="B2658" i="3"/>
  <c r="C2657" i="3"/>
  <c r="B2657" i="3"/>
  <c r="C2656" i="3"/>
  <c r="B2656" i="3"/>
  <c r="C2655" i="3"/>
  <c r="B2655" i="3"/>
  <c r="C2654" i="3"/>
  <c r="B2654" i="3"/>
  <c r="C2653" i="3"/>
  <c r="B2653" i="3"/>
  <c r="C2652" i="3"/>
  <c r="B2652" i="3"/>
  <c r="C2651" i="3"/>
  <c r="B2651" i="3"/>
  <c r="C2650" i="3"/>
  <c r="B2650" i="3"/>
  <c r="C2649" i="3"/>
  <c r="B2649" i="3"/>
  <c r="C2648" i="3"/>
  <c r="B2648" i="3"/>
  <c r="C2647" i="3"/>
  <c r="B2647" i="3"/>
  <c r="C2646" i="3"/>
  <c r="B2646" i="3"/>
  <c r="C2645" i="3"/>
  <c r="B2645" i="3"/>
  <c r="C2644" i="3"/>
  <c r="B2644" i="3"/>
  <c r="C2643" i="3"/>
  <c r="B2643" i="3"/>
  <c r="C2642" i="3"/>
  <c r="B2642" i="3"/>
  <c r="C2641" i="3"/>
  <c r="B2641" i="3"/>
  <c r="C2640" i="3"/>
  <c r="B2640" i="3"/>
  <c r="C2639" i="3"/>
  <c r="B2639" i="3"/>
  <c r="C2638" i="3"/>
  <c r="B2638" i="3"/>
  <c r="C2637" i="3"/>
  <c r="B2637" i="3"/>
  <c r="C2636" i="3"/>
  <c r="B2636" i="3"/>
  <c r="C2635" i="3"/>
  <c r="B2635" i="3"/>
  <c r="C2634" i="3"/>
  <c r="B2634" i="3"/>
  <c r="C2633" i="3"/>
  <c r="B2633" i="3"/>
  <c r="C2632" i="3"/>
  <c r="B2632" i="3"/>
  <c r="C2631" i="3"/>
  <c r="B2631" i="3"/>
  <c r="C2630" i="3"/>
  <c r="B2630" i="3"/>
  <c r="C2629" i="3"/>
  <c r="B2629" i="3"/>
  <c r="C2628" i="3"/>
  <c r="B2628" i="3"/>
  <c r="C2627" i="3"/>
  <c r="B2627" i="3"/>
  <c r="C2626" i="3"/>
  <c r="B2626" i="3"/>
  <c r="C2625" i="3"/>
  <c r="B2625" i="3"/>
  <c r="C2624" i="3"/>
  <c r="B2624" i="3"/>
  <c r="C2623" i="3"/>
  <c r="B2623" i="3"/>
  <c r="C2622" i="3"/>
  <c r="B2622" i="3"/>
  <c r="C2621" i="3"/>
  <c r="B2621" i="3"/>
  <c r="C2620" i="3"/>
  <c r="B2620" i="3"/>
  <c r="C2619" i="3"/>
  <c r="B2619" i="3"/>
  <c r="C2618" i="3"/>
  <c r="B2618" i="3"/>
  <c r="C2617" i="3"/>
  <c r="B2617" i="3"/>
  <c r="C2616" i="3"/>
  <c r="B2616" i="3"/>
  <c r="C2615" i="3"/>
  <c r="B2615" i="3"/>
  <c r="C2614" i="3"/>
  <c r="B2614" i="3"/>
  <c r="C2613" i="3"/>
  <c r="B2613" i="3"/>
  <c r="C2612" i="3"/>
  <c r="B2612" i="3"/>
  <c r="C2611" i="3"/>
  <c r="B2611" i="3"/>
  <c r="C2610" i="3"/>
  <c r="B2610" i="3"/>
  <c r="C2609" i="3"/>
  <c r="B2609" i="3"/>
  <c r="C2608" i="3"/>
  <c r="B2608" i="3"/>
  <c r="C2607" i="3"/>
  <c r="B2607" i="3"/>
  <c r="C2606" i="3"/>
  <c r="B2606" i="3"/>
  <c r="C2605" i="3"/>
  <c r="B2605" i="3"/>
  <c r="C2604" i="3"/>
  <c r="B2604" i="3"/>
  <c r="C2603" i="3"/>
  <c r="B2603" i="3"/>
  <c r="C2602" i="3"/>
  <c r="B2602" i="3"/>
  <c r="C2601" i="3"/>
  <c r="B2601" i="3"/>
  <c r="C2600" i="3"/>
  <c r="B2600" i="3"/>
  <c r="C2599" i="3"/>
  <c r="B2599" i="3"/>
  <c r="C2598" i="3"/>
  <c r="B2598" i="3"/>
  <c r="C2597" i="3"/>
  <c r="B2597" i="3"/>
  <c r="C2596" i="3"/>
  <c r="B2596" i="3"/>
  <c r="C2595" i="3"/>
  <c r="B2595" i="3"/>
  <c r="C2594" i="3"/>
  <c r="B2594" i="3"/>
  <c r="C2593" i="3"/>
  <c r="B2593" i="3"/>
  <c r="C2592" i="3"/>
  <c r="B2592" i="3"/>
  <c r="C2591" i="3"/>
  <c r="B2591" i="3"/>
  <c r="C2590" i="3"/>
  <c r="B2590" i="3"/>
  <c r="C2589" i="3"/>
  <c r="B2589" i="3"/>
  <c r="C2588" i="3"/>
  <c r="B2588" i="3"/>
  <c r="C2587" i="3"/>
  <c r="B2587" i="3"/>
  <c r="C2586" i="3"/>
  <c r="B2586" i="3"/>
  <c r="C2585" i="3"/>
  <c r="B2585" i="3"/>
  <c r="C2584" i="3"/>
  <c r="B2584" i="3"/>
  <c r="C2583" i="3"/>
  <c r="B2583" i="3"/>
  <c r="C2582" i="3"/>
  <c r="B2582" i="3"/>
  <c r="C2581" i="3"/>
  <c r="B2581" i="3"/>
  <c r="C2580" i="3"/>
  <c r="B2580" i="3"/>
  <c r="C2579" i="3"/>
  <c r="B2579" i="3"/>
  <c r="C2578" i="3"/>
  <c r="B2578" i="3"/>
  <c r="C2577" i="3"/>
  <c r="B2577" i="3"/>
  <c r="C2576" i="3"/>
  <c r="B2576" i="3"/>
  <c r="C2575" i="3"/>
  <c r="B2575" i="3"/>
  <c r="C2574" i="3"/>
  <c r="B2574" i="3"/>
  <c r="C2573" i="3"/>
  <c r="B2573" i="3"/>
  <c r="C2572" i="3"/>
  <c r="B2572" i="3"/>
  <c r="C2571" i="3"/>
  <c r="B2571" i="3"/>
  <c r="C2570" i="3"/>
  <c r="B2570" i="3"/>
  <c r="C2569" i="3"/>
  <c r="B2569" i="3"/>
  <c r="C2568" i="3"/>
  <c r="B2568" i="3"/>
  <c r="C2567" i="3"/>
  <c r="B2567" i="3"/>
  <c r="C2566" i="3"/>
  <c r="B2566" i="3"/>
  <c r="C2565" i="3"/>
  <c r="B2565" i="3"/>
  <c r="C2564" i="3"/>
  <c r="B2564" i="3"/>
  <c r="C2563" i="3"/>
  <c r="B2563" i="3"/>
  <c r="C2562" i="3"/>
  <c r="B2562" i="3"/>
  <c r="C2561" i="3"/>
  <c r="B2561" i="3"/>
  <c r="C2560" i="3"/>
  <c r="B2560" i="3"/>
  <c r="C2559" i="3"/>
  <c r="B2559" i="3"/>
  <c r="C2558" i="3"/>
  <c r="B2558" i="3"/>
  <c r="C2557" i="3"/>
  <c r="B2557" i="3"/>
  <c r="C2556" i="3"/>
  <c r="B2556" i="3"/>
  <c r="C2555" i="3"/>
  <c r="B2555" i="3"/>
  <c r="C2554" i="3"/>
  <c r="B2554" i="3"/>
  <c r="C2553" i="3"/>
  <c r="B2553" i="3"/>
  <c r="C2552" i="3"/>
  <c r="B2552" i="3"/>
  <c r="C2551" i="3"/>
  <c r="B2551" i="3"/>
  <c r="C2550" i="3"/>
  <c r="B2550" i="3"/>
  <c r="C2549" i="3"/>
  <c r="B2549" i="3"/>
  <c r="C2548" i="3"/>
  <c r="B2548" i="3"/>
  <c r="C2547" i="3"/>
  <c r="B2547" i="3"/>
  <c r="C2546" i="3"/>
  <c r="B2546" i="3"/>
  <c r="C2545" i="3"/>
  <c r="B2545" i="3"/>
  <c r="C2544" i="3"/>
  <c r="B2544" i="3"/>
  <c r="C2543" i="3"/>
  <c r="B2543" i="3"/>
  <c r="C2542" i="3"/>
  <c r="B2542" i="3"/>
  <c r="C2541" i="3"/>
  <c r="B2541" i="3"/>
  <c r="C2540" i="3"/>
  <c r="B2540" i="3"/>
  <c r="C2539" i="3"/>
  <c r="B2539" i="3"/>
  <c r="C2538" i="3"/>
  <c r="B2538" i="3"/>
  <c r="C2537" i="3"/>
  <c r="B2537" i="3"/>
  <c r="C2536" i="3"/>
  <c r="B2536" i="3"/>
  <c r="C2535" i="3"/>
  <c r="B2535" i="3"/>
  <c r="C2534" i="3"/>
  <c r="B2534" i="3"/>
  <c r="C2533" i="3"/>
  <c r="B2533" i="3"/>
  <c r="C2532" i="3"/>
  <c r="B2532" i="3"/>
  <c r="C2531" i="3"/>
  <c r="B2531" i="3"/>
  <c r="C2530" i="3"/>
  <c r="B2530" i="3"/>
  <c r="C2529" i="3"/>
  <c r="B2529" i="3"/>
  <c r="C2528" i="3"/>
  <c r="B2528" i="3"/>
  <c r="C2527" i="3"/>
  <c r="B2527" i="3"/>
  <c r="C2526" i="3"/>
  <c r="B2526" i="3"/>
  <c r="C2525" i="3"/>
  <c r="B2525" i="3"/>
  <c r="C2524" i="3"/>
  <c r="B2524" i="3"/>
  <c r="C2523" i="3"/>
  <c r="B2523" i="3"/>
  <c r="C2522" i="3"/>
  <c r="B2522" i="3"/>
  <c r="C2521" i="3"/>
  <c r="B2521" i="3"/>
  <c r="C2520" i="3"/>
  <c r="B2520" i="3"/>
  <c r="C2519" i="3"/>
  <c r="B2519" i="3"/>
  <c r="C2518" i="3"/>
  <c r="B2518" i="3"/>
  <c r="C2517" i="3"/>
  <c r="B2517" i="3"/>
  <c r="C2516" i="3"/>
  <c r="B2516" i="3"/>
  <c r="C2515" i="3"/>
  <c r="B2515" i="3"/>
  <c r="C2514" i="3"/>
  <c r="B2514" i="3"/>
  <c r="C2513" i="3"/>
  <c r="B2513" i="3"/>
  <c r="C2512" i="3"/>
  <c r="B2512" i="3"/>
  <c r="C2511" i="3"/>
  <c r="B2511" i="3"/>
  <c r="C2510" i="3"/>
  <c r="B2510" i="3"/>
  <c r="C2509" i="3"/>
  <c r="B2509" i="3"/>
  <c r="C2508" i="3"/>
  <c r="B2508" i="3"/>
  <c r="C2507" i="3"/>
  <c r="B2507" i="3"/>
  <c r="C2506" i="3"/>
  <c r="B2506" i="3"/>
  <c r="C2505" i="3"/>
  <c r="B2505" i="3"/>
  <c r="C2504" i="3"/>
  <c r="B2504" i="3"/>
  <c r="C2503" i="3"/>
  <c r="B2503" i="3"/>
  <c r="C2502" i="3"/>
  <c r="B2502" i="3"/>
  <c r="C2501" i="3"/>
  <c r="B2501" i="3"/>
  <c r="C2500" i="3"/>
  <c r="B2500" i="3"/>
  <c r="C2499" i="3"/>
  <c r="B2499" i="3"/>
  <c r="C2498" i="3"/>
  <c r="B2498" i="3"/>
  <c r="C2497" i="3"/>
  <c r="B2497" i="3"/>
  <c r="C2496" i="3"/>
  <c r="B2496" i="3"/>
  <c r="C2495" i="3"/>
  <c r="B2495" i="3"/>
  <c r="C2494" i="3"/>
  <c r="B2494" i="3"/>
  <c r="C2493" i="3"/>
  <c r="B2493" i="3"/>
  <c r="C2492" i="3"/>
  <c r="B2492" i="3"/>
  <c r="C2491" i="3"/>
  <c r="B2491" i="3"/>
  <c r="C2490" i="3"/>
  <c r="B2490" i="3"/>
  <c r="C2489" i="3"/>
  <c r="B2489" i="3"/>
  <c r="C2488" i="3"/>
  <c r="B2488" i="3"/>
  <c r="C2487" i="3"/>
  <c r="B2487" i="3"/>
  <c r="C2486" i="3"/>
  <c r="B2486" i="3"/>
  <c r="C2485" i="3"/>
  <c r="B2485" i="3"/>
  <c r="C2484" i="3"/>
  <c r="B2484" i="3"/>
  <c r="C2483" i="3"/>
  <c r="B2483" i="3"/>
  <c r="C2482" i="3"/>
  <c r="B2482" i="3"/>
  <c r="C2481" i="3"/>
  <c r="B2481" i="3"/>
  <c r="C2480" i="3"/>
  <c r="B2480" i="3"/>
  <c r="C2479" i="3"/>
  <c r="B2479" i="3"/>
  <c r="C2478" i="3"/>
  <c r="B2478" i="3"/>
  <c r="C2477" i="3"/>
  <c r="B2477" i="3"/>
  <c r="C2476" i="3"/>
  <c r="B2476" i="3"/>
  <c r="C2475" i="3"/>
  <c r="B2475" i="3"/>
  <c r="C2474" i="3"/>
  <c r="B2474" i="3"/>
  <c r="C2473" i="3"/>
  <c r="B2473" i="3"/>
  <c r="C2472" i="3"/>
  <c r="B2472" i="3"/>
  <c r="C2471" i="3"/>
  <c r="B2471" i="3"/>
  <c r="C2470" i="3"/>
  <c r="B2470" i="3"/>
  <c r="C2469" i="3"/>
  <c r="B2469" i="3"/>
  <c r="C2468" i="3"/>
  <c r="B2468" i="3"/>
  <c r="C2467" i="3"/>
  <c r="B2467" i="3"/>
  <c r="C2466" i="3"/>
  <c r="B2466" i="3"/>
  <c r="C2465" i="3"/>
  <c r="B2465" i="3"/>
  <c r="C2464" i="3"/>
  <c r="B2464" i="3"/>
  <c r="C2463" i="3"/>
  <c r="B2463" i="3"/>
  <c r="C2462" i="3"/>
  <c r="B2462" i="3"/>
  <c r="C2461" i="3"/>
  <c r="B2461" i="3"/>
  <c r="C2460" i="3"/>
  <c r="B2460" i="3"/>
  <c r="C2459" i="3"/>
  <c r="B2459" i="3"/>
  <c r="C2458" i="3"/>
  <c r="B2458" i="3"/>
  <c r="C2457" i="3"/>
  <c r="B2457" i="3"/>
  <c r="C2456" i="3"/>
  <c r="B2456" i="3"/>
  <c r="C2455" i="3"/>
  <c r="B2455" i="3"/>
  <c r="C2454" i="3"/>
  <c r="B2454" i="3"/>
  <c r="C2453" i="3"/>
  <c r="B2453" i="3"/>
  <c r="C2452" i="3"/>
  <c r="B2452" i="3"/>
  <c r="C2451" i="3"/>
  <c r="B2451" i="3"/>
  <c r="C2450" i="3"/>
  <c r="B2450" i="3"/>
  <c r="C2449" i="3"/>
  <c r="B2449" i="3"/>
  <c r="C2448" i="3"/>
  <c r="B2448" i="3"/>
  <c r="C2447" i="3"/>
  <c r="B2447" i="3"/>
  <c r="C2446" i="3"/>
  <c r="B2446" i="3"/>
  <c r="C2445" i="3"/>
  <c r="B2445" i="3"/>
  <c r="C2444" i="3"/>
  <c r="B2444" i="3"/>
  <c r="C2443" i="3"/>
  <c r="B2443" i="3"/>
  <c r="C2442" i="3"/>
  <c r="B2442" i="3"/>
  <c r="C2441" i="3"/>
  <c r="B2441" i="3"/>
  <c r="C2440" i="3"/>
  <c r="B2440" i="3"/>
  <c r="C2439" i="3"/>
  <c r="B2439" i="3"/>
  <c r="C2438" i="3"/>
  <c r="B2438" i="3"/>
  <c r="C2437" i="3"/>
  <c r="B2437" i="3"/>
  <c r="C2436" i="3"/>
  <c r="B2436" i="3"/>
  <c r="C2435" i="3"/>
  <c r="B2435" i="3"/>
  <c r="C2434" i="3"/>
  <c r="B2434" i="3"/>
  <c r="C2433" i="3"/>
  <c r="B2433" i="3"/>
  <c r="C2432" i="3"/>
  <c r="B2432" i="3"/>
  <c r="C2431" i="3"/>
  <c r="B2431" i="3"/>
  <c r="C2430" i="3"/>
  <c r="B2430" i="3"/>
  <c r="C2429" i="3"/>
  <c r="B2429" i="3"/>
  <c r="C2428" i="3"/>
  <c r="B2428" i="3"/>
  <c r="C2427" i="3"/>
  <c r="B2427" i="3"/>
  <c r="C2426" i="3"/>
  <c r="B2426" i="3"/>
  <c r="C2425" i="3"/>
  <c r="B2425" i="3"/>
  <c r="C2424" i="3"/>
  <c r="B2424" i="3"/>
  <c r="C2423" i="3"/>
  <c r="B2423" i="3"/>
  <c r="C2422" i="3"/>
  <c r="B2422" i="3"/>
  <c r="C2421" i="3"/>
  <c r="B2421" i="3"/>
  <c r="C2420" i="3"/>
  <c r="B2420" i="3"/>
  <c r="C2419" i="3"/>
  <c r="B2419" i="3"/>
  <c r="C2418" i="3"/>
  <c r="B2418" i="3"/>
  <c r="C2417" i="3"/>
  <c r="B2417" i="3"/>
  <c r="C2416" i="3"/>
  <c r="B2416" i="3"/>
  <c r="C2415" i="3"/>
  <c r="B2415" i="3"/>
  <c r="C2414" i="3"/>
  <c r="B2414" i="3"/>
  <c r="C2413" i="3"/>
  <c r="B2413" i="3"/>
  <c r="C2412" i="3"/>
  <c r="B2412" i="3"/>
  <c r="C2411" i="3"/>
  <c r="B2411" i="3"/>
  <c r="C2410" i="3"/>
  <c r="B2410" i="3"/>
  <c r="C2409" i="3"/>
  <c r="B2409" i="3"/>
  <c r="C2408" i="3"/>
  <c r="B2408" i="3"/>
  <c r="C2407" i="3"/>
  <c r="B2407" i="3"/>
  <c r="C2406" i="3"/>
  <c r="B2406" i="3"/>
  <c r="C2405" i="3"/>
  <c r="B2405" i="3"/>
  <c r="C2404" i="3"/>
  <c r="B2404" i="3"/>
  <c r="C2403" i="3"/>
  <c r="B2403" i="3"/>
  <c r="C2402" i="3"/>
  <c r="B2402" i="3"/>
  <c r="C2401" i="3"/>
  <c r="B2401" i="3"/>
  <c r="C2400" i="3"/>
  <c r="B2400" i="3"/>
  <c r="C2399" i="3"/>
  <c r="B2399" i="3"/>
  <c r="C2398" i="3"/>
  <c r="B2398" i="3"/>
  <c r="C2397" i="3"/>
  <c r="B2397" i="3"/>
  <c r="C2396" i="3"/>
  <c r="B2396" i="3"/>
  <c r="C2395" i="3"/>
  <c r="B2395" i="3"/>
  <c r="C2394" i="3"/>
  <c r="B2394" i="3"/>
  <c r="C2393" i="3"/>
  <c r="B2393" i="3"/>
  <c r="C2392" i="3"/>
  <c r="B2392" i="3"/>
  <c r="C2391" i="3"/>
  <c r="B2391" i="3"/>
  <c r="C2390" i="3"/>
  <c r="B2390" i="3"/>
  <c r="C2389" i="3"/>
  <c r="B2389" i="3"/>
  <c r="C2388" i="3"/>
  <c r="B2388" i="3"/>
  <c r="C2387" i="3"/>
  <c r="B2387" i="3"/>
  <c r="C2386" i="3"/>
  <c r="B2386" i="3"/>
  <c r="C2385" i="3"/>
  <c r="B2385" i="3"/>
  <c r="C2384" i="3"/>
  <c r="B2384" i="3"/>
  <c r="C2383" i="3"/>
  <c r="B2383" i="3"/>
  <c r="C2382" i="3"/>
  <c r="B2382" i="3"/>
  <c r="C2381" i="3"/>
  <c r="B2381" i="3"/>
  <c r="C2380" i="3"/>
  <c r="B2380" i="3"/>
  <c r="C2379" i="3"/>
  <c r="B2379" i="3"/>
  <c r="C2378" i="3"/>
  <c r="B2378" i="3"/>
  <c r="C2377" i="3"/>
  <c r="B2377" i="3"/>
  <c r="C2376" i="3"/>
  <c r="B2376" i="3"/>
  <c r="C2375" i="3"/>
  <c r="B2375" i="3"/>
  <c r="C2374" i="3"/>
  <c r="B2374" i="3"/>
  <c r="C2373" i="3"/>
  <c r="B2373" i="3"/>
  <c r="C2372" i="3"/>
  <c r="B2372" i="3"/>
  <c r="C2371" i="3"/>
  <c r="B2371" i="3"/>
  <c r="C2370" i="3"/>
  <c r="B2370" i="3"/>
  <c r="C2369" i="3"/>
  <c r="B2369" i="3"/>
  <c r="C2368" i="3"/>
  <c r="B2368" i="3"/>
  <c r="C2367" i="3"/>
  <c r="B2367" i="3"/>
  <c r="C2366" i="3"/>
  <c r="B2366" i="3"/>
  <c r="C2365" i="3"/>
  <c r="B2365" i="3"/>
  <c r="C2364" i="3"/>
  <c r="B2364" i="3"/>
  <c r="C2363" i="3"/>
  <c r="B2363" i="3"/>
  <c r="C2362" i="3"/>
  <c r="B2362" i="3"/>
  <c r="C2361" i="3"/>
  <c r="B2361" i="3"/>
  <c r="C2360" i="3"/>
  <c r="B2360" i="3"/>
  <c r="C2359" i="3"/>
  <c r="B2359" i="3"/>
  <c r="C2358" i="3"/>
  <c r="B2358" i="3"/>
  <c r="C2357" i="3"/>
  <c r="B2357" i="3"/>
  <c r="C2356" i="3"/>
  <c r="B2356" i="3"/>
  <c r="C2355" i="3"/>
  <c r="B2355" i="3"/>
  <c r="C2354" i="3"/>
  <c r="B2354" i="3"/>
  <c r="C2353" i="3"/>
  <c r="B2353" i="3"/>
  <c r="C2352" i="3"/>
  <c r="B2352" i="3"/>
  <c r="C2351" i="3"/>
  <c r="B2351" i="3"/>
  <c r="C2350" i="3"/>
  <c r="B2350" i="3"/>
  <c r="C2349" i="3"/>
  <c r="B2349" i="3"/>
  <c r="C2348" i="3"/>
  <c r="B2348" i="3"/>
  <c r="C2347" i="3"/>
  <c r="B2347" i="3"/>
  <c r="C2346" i="3"/>
  <c r="B2346" i="3"/>
  <c r="C2345" i="3"/>
  <c r="B2345" i="3"/>
  <c r="C2344" i="3"/>
  <c r="B2344" i="3"/>
  <c r="C2343" i="3"/>
  <c r="B2343" i="3"/>
  <c r="C2342" i="3"/>
  <c r="B2342" i="3"/>
  <c r="C2341" i="3"/>
  <c r="B2341" i="3"/>
  <c r="C2340" i="3"/>
  <c r="B2340" i="3"/>
  <c r="C2339" i="3"/>
  <c r="B2339" i="3"/>
  <c r="C2338" i="3"/>
  <c r="B2338" i="3"/>
  <c r="C2337" i="3"/>
  <c r="B2337" i="3"/>
  <c r="C2336" i="3"/>
  <c r="B2336" i="3"/>
  <c r="C2335" i="3"/>
  <c r="B2335" i="3"/>
  <c r="C2334" i="3"/>
  <c r="B2334" i="3"/>
  <c r="C2333" i="3"/>
  <c r="B2333" i="3"/>
  <c r="C2332" i="3"/>
  <c r="B2332" i="3"/>
  <c r="C2331" i="3"/>
  <c r="B2331" i="3"/>
  <c r="C2330" i="3"/>
  <c r="B2330" i="3"/>
  <c r="C2329" i="3"/>
  <c r="B2329" i="3"/>
  <c r="C2328" i="3"/>
  <c r="B2328" i="3"/>
  <c r="C2327" i="3"/>
  <c r="B2327" i="3"/>
  <c r="C2326" i="3"/>
  <c r="B2326" i="3"/>
  <c r="C2325" i="3"/>
  <c r="B2325" i="3"/>
  <c r="C2324" i="3"/>
  <c r="B2324" i="3"/>
  <c r="C2323" i="3"/>
  <c r="B2323" i="3"/>
  <c r="C2322" i="3"/>
  <c r="B2322" i="3"/>
  <c r="C2321" i="3"/>
  <c r="B2321" i="3"/>
  <c r="C2320" i="3"/>
  <c r="B2320" i="3"/>
  <c r="C2319" i="3"/>
  <c r="B2319" i="3"/>
  <c r="C2318" i="3"/>
  <c r="B2318" i="3"/>
  <c r="C2317" i="3"/>
  <c r="B2317" i="3"/>
  <c r="C2316" i="3"/>
  <c r="B2316" i="3"/>
  <c r="C2315" i="3"/>
  <c r="B2315" i="3"/>
  <c r="C2314" i="3"/>
  <c r="B2314" i="3"/>
  <c r="C2313" i="3"/>
  <c r="B2313" i="3"/>
  <c r="C2312" i="3"/>
  <c r="B2312" i="3"/>
  <c r="C2311" i="3"/>
  <c r="B2311" i="3"/>
  <c r="C2310" i="3"/>
  <c r="B2310" i="3"/>
  <c r="C2309" i="3"/>
  <c r="B2309" i="3"/>
  <c r="C2308" i="3"/>
  <c r="B2308" i="3"/>
  <c r="C2307" i="3"/>
  <c r="B2307" i="3"/>
  <c r="C2306" i="3"/>
  <c r="B2306" i="3"/>
  <c r="C2305" i="3"/>
  <c r="B2305" i="3"/>
  <c r="C2304" i="3"/>
  <c r="B2304" i="3"/>
  <c r="C2303" i="3"/>
  <c r="B2303" i="3"/>
  <c r="C2302" i="3"/>
  <c r="B2302" i="3"/>
  <c r="C2301" i="3"/>
  <c r="B2301" i="3"/>
  <c r="C2300" i="3"/>
  <c r="B2300" i="3"/>
  <c r="C2299" i="3"/>
  <c r="B2299" i="3"/>
  <c r="C2298" i="3"/>
  <c r="B2298" i="3"/>
  <c r="C2297" i="3"/>
  <c r="B2297" i="3"/>
  <c r="C2296" i="3"/>
  <c r="B2296" i="3"/>
  <c r="C2295" i="3"/>
  <c r="B2295" i="3"/>
  <c r="C2294" i="3"/>
  <c r="B2294" i="3"/>
  <c r="C2293" i="3"/>
  <c r="B2293" i="3"/>
  <c r="C2292" i="3"/>
  <c r="B2292" i="3"/>
  <c r="C2291" i="3"/>
  <c r="B2291" i="3"/>
  <c r="C2290" i="3"/>
  <c r="B2290" i="3"/>
  <c r="C2289" i="3"/>
  <c r="B2289" i="3"/>
  <c r="C2288" i="3"/>
  <c r="B2288" i="3"/>
  <c r="C2287" i="3"/>
  <c r="B2287" i="3"/>
  <c r="C2286" i="3"/>
  <c r="B2286" i="3"/>
  <c r="C2285" i="3"/>
  <c r="B2285" i="3"/>
  <c r="C2284" i="3"/>
  <c r="B2284" i="3"/>
  <c r="C2283" i="3"/>
  <c r="B2283" i="3"/>
  <c r="C2282" i="3"/>
  <c r="B2282" i="3"/>
  <c r="C2281" i="3"/>
  <c r="B2281" i="3"/>
  <c r="C2280" i="3"/>
  <c r="B2280" i="3"/>
  <c r="C2279" i="3"/>
  <c r="B2279" i="3"/>
  <c r="C2278" i="3"/>
  <c r="B2278" i="3"/>
  <c r="C2277" i="3"/>
  <c r="B2277" i="3"/>
  <c r="C2276" i="3"/>
  <c r="B2276" i="3"/>
  <c r="C2275" i="3"/>
  <c r="B2275" i="3"/>
  <c r="C2274" i="3"/>
  <c r="B2274" i="3"/>
  <c r="C2273" i="3"/>
  <c r="B2273" i="3"/>
  <c r="C2272" i="3"/>
  <c r="B2272" i="3"/>
  <c r="C2271" i="3"/>
  <c r="B2271" i="3"/>
  <c r="C2270" i="3"/>
  <c r="B2270" i="3"/>
  <c r="C2269" i="3"/>
  <c r="B2269" i="3"/>
  <c r="C2268" i="3"/>
  <c r="B2268" i="3"/>
  <c r="C2267" i="3"/>
  <c r="B2267" i="3"/>
  <c r="C2266" i="3"/>
  <c r="B2266" i="3"/>
  <c r="C2265" i="3"/>
  <c r="B2265" i="3"/>
  <c r="C2264" i="3"/>
  <c r="B2264" i="3"/>
  <c r="C2263" i="3"/>
  <c r="B2263" i="3"/>
  <c r="C2262" i="3"/>
  <c r="B2262" i="3"/>
  <c r="C2261" i="3"/>
  <c r="B2261" i="3"/>
  <c r="C2260" i="3"/>
  <c r="B2260" i="3"/>
  <c r="C2259" i="3"/>
  <c r="B2259" i="3"/>
  <c r="C2258" i="3"/>
  <c r="B2258" i="3"/>
  <c r="C2257" i="3"/>
  <c r="B2257" i="3"/>
  <c r="C2256" i="3"/>
  <c r="B2256" i="3"/>
  <c r="C2255" i="3"/>
  <c r="B2255" i="3"/>
  <c r="C2254" i="3"/>
  <c r="B2254" i="3"/>
  <c r="C2253" i="3"/>
  <c r="B2253" i="3"/>
  <c r="C2252" i="3"/>
  <c r="B2252" i="3"/>
  <c r="C2251" i="3"/>
  <c r="B2251" i="3"/>
  <c r="C2250" i="3"/>
  <c r="B2250" i="3"/>
  <c r="C2249" i="3"/>
  <c r="B2249" i="3"/>
  <c r="C2248" i="3"/>
  <c r="B2248" i="3"/>
  <c r="C2247" i="3"/>
  <c r="B2247" i="3"/>
  <c r="C2246" i="3"/>
  <c r="B2246" i="3"/>
  <c r="C2245" i="3"/>
  <c r="B2245" i="3"/>
  <c r="C2244" i="3"/>
  <c r="B2244" i="3"/>
  <c r="C2243" i="3"/>
  <c r="B2243" i="3"/>
  <c r="C2242" i="3"/>
  <c r="B2242" i="3"/>
  <c r="C2241" i="3"/>
  <c r="B2241" i="3"/>
  <c r="C2240" i="3"/>
  <c r="B2240" i="3"/>
  <c r="C2239" i="3"/>
  <c r="B2239" i="3"/>
  <c r="C2238" i="3"/>
  <c r="B2238" i="3"/>
  <c r="C2237" i="3"/>
  <c r="B2237" i="3"/>
  <c r="C2236" i="3"/>
  <c r="B2236" i="3"/>
  <c r="C2235" i="3"/>
  <c r="B2235" i="3"/>
  <c r="C2234" i="3"/>
  <c r="B2234" i="3"/>
  <c r="C2233" i="3"/>
  <c r="B2233" i="3"/>
  <c r="C2232" i="3"/>
  <c r="B2232" i="3"/>
  <c r="C2231" i="3"/>
  <c r="B2231" i="3"/>
  <c r="C2230" i="3"/>
  <c r="B2230" i="3"/>
  <c r="C2229" i="3"/>
  <c r="B2229" i="3"/>
  <c r="C2228" i="3"/>
  <c r="B2228" i="3"/>
  <c r="C2227" i="3"/>
  <c r="B2227" i="3"/>
  <c r="C2226" i="3"/>
  <c r="B2226" i="3"/>
  <c r="C2225" i="3"/>
  <c r="B2225" i="3"/>
  <c r="C2224" i="3"/>
  <c r="B2224" i="3"/>
  <c r="C2223" i="3"/>
  <c r="B2223" i="3"/>
  <c r="C2222" i="3"/>
  <c r="B2222" i="3"/>
  <c r="C2221" i="3"/>
  <c r="B2221" i="3"/>
  <c r="C2220" i="3"/>
  <c r="B2220" i="3"/>
  <c r="C2219" i="3"/>
  <c r="B2219" i="3"/>
  <c r="C2218" i="3"/>
  <c r="B2218" i="3"/>
  <c r="C2217" i="3"/>
  <c r="B2217" i="3"/>
  <c r="C2216" i="3"/>
  <c r="B2216" i="3"/>
  <c r="C2215" i="3"/>
  <c r="B2215" i="3"/>
  <c r="C2214" i="3"/>
  <c r="B2214" i="3"/>
  <c r="C2213" i="3"/>
  <c r="B2213" i="3"/>
  <c r="C2212" i="3"/>
  <c r="B2212" i="3"/>
  <c r="C2211" i="3"/>
  <c r="B2211" i="3"/>
  <c r="C2210" i="3"/>
  <c r="B2210" i="3"/>
  <c r="C2209" i="3"/>
  <c r="B2209" i="3"/>
  <c r="C2208" i="3"/>
  <c r="B2208" i="3"/>
  <c r="C2207" i="3"/>
  <c r="B2207" i="3"/>
  <c r="C2206" i="3"/>
  <c r="B2206" i="3"/>
  <c r="C2205" i="3"/>
  <c r="B2205" i="3"/>
  <c r="C2204" i="3"/>
  <c r="B2204" i="3"/>
  <c r="C2203" i="3"/>
  <c r="B2203" i="3"/>
  <c r="C2202" i="3"/>
  <c r="B2202" i="3"/>
  <c r="C2201" i="3"/>
  <c r="B2201" i="3"/>
  <c r="C2200" i="3"/>
  <c r="B2200" i="3"/>
  <c r="C2199" i="3"/>
  <c r="B2199" i="3"/>
  <c r="C2198" i="3"/>
  <c r="B2198" i="3"/>
  <c r="C2197" i="3"/>
  <c r="B2197" i="3"/>
  <c r="C2196" i="3"/>
  <c r="B2196" i="3"/>
  <c r="C2195" i="3"/>
  <c r="B2195" i="3"/>
  <c r="C2194" i="3"/>
  <c r="B2194" i="3"/>
  <c r="C2193" i="3"/>
  <c r="B2193" i="3"/>
  <c r="C2192" i="3"/>
  <c r="B2192" i="3"/>
  <c r="C2191" i="3"/>
  <c r="B2191" i="3"/>
  <c r="C2190" i="3"/>
  <c r="B2190" i="3"/>
  <c r="C2189" i="3"/>
  <c r="B2189" i="3"/>
  <c r="C2188" i="3"/>
  <c r="B2188" i="3"/>
  <c r="C2187" i="3"/>
  <c r="B2187" i="3"/>
  <c r="C2186" i="3"/>
  <c r="B2186" i="3"/>
  <c r="C2185" i="3"/>
  <c r="B2185" i="3"/>
  <c r="C2184" i="3"/>
  <c r="B2184" i="3"/>
  <c r="C2183" i="3"/>
  <c r="B2183" i="3"/>
  <c r="C2182" i="3"/>
  <c r="B2182" i="3"/>
  <c r="C2181" i="3"/>
  <c r="B2181" i="3"/>
  <c r="C2180" i="3"/>
  <c r="B2180" i="3"/>
  <c r="C2179" i="3"/>
  <c r="B2179" i="3"/>
  <c r="C2178" i="3"/>
  <c r="B2178" i="3"/>
  <c r="C2177" i="3"/>
  <c r="B2177" i="3"/>
  <c r="C2176" i="3"/>
  <c r="B2176" i="3"/>
  <c r="C2175" i="3"/>
  <c r="B2175" i="3"/>
  <c r="C2174" i="3"/>
  <c r="B2174" i="3"/>
  <c r="C2173" i="3"/>
  <c r="B2173" i="3"/>
  <c r="C2172" i="3"/>
  <c r="B2172" i="3"/>
  <c r="C2171" i="3"/>
  <c r="B2171" i="3"/>
  <c r="C2170" i="3"/>
  <c r="B2170" i="3"/>
  <c r="C2169" i="3"/>
  <c r="B2169" i="3"/>
  <c r="C2168" i="3"/>
  <c r="B2168" i="3"/>
  <c r="C2167" i="3"/>
  <c r="B2167" i="3"/>
  <c r="C2166" i="3"/>
  <c r="B2166" i="3"/>
  <c r="C2165" i="3"/>
  <c r="B2165" i="3"/>
  <c r="C2164" i="3"/>
  <c r="B2164" i="3"/>
  <c r="C2163" i="3"/>
  <c r="B2163" i="3"/>
  <c r="C2162" i="3"/>
  <c r="B2162" i="3"/>
  <c r="C2161" i="3"/>
  <c r="B2161" i="3"/>
  <c r="C2160" i="3"/>
  <c r="B2160" i="3"/>
  <c r="C2159" i="3"/>
  <c r="B2159" i="3"/>
  <c r="C2158" i="3"/>
  <c r="B2158" i="3"/>
  <c r="C2157" i="3"/>
  <c r="B2157" i="3"/>
  <c r="C2156" i="3"/>
  <c r="B2156" i="3"/>
  <c r="C2155" i="3"/>
  <c r="B2155" i="3"/>
  <c r="C2154" i="3"/>
  <c r="B2154" i="3"/>
  <c r="C2153" i="3"/>
  <c r="B2153" i="3"/>
  <c r="C2152" i="3"/>
  <c r="B2152" i="3"/>
  <c r="C2151" i="3"/>
  <c r="B2151" i="3"/>
  <c r="C2150" i="3"/>
  <c r="B2150" i="3"/>
  <c r="C2149" i="3"/>
  <c r="B2149" i="3"/>
  <c r="C2148" i="3"/>
  <c r="B2148" i="3"/>
  <c r="C2147" i="3"/>
  <c r="B2147" i="3"/>
  <c r="C2146" i="3"/>
  <c r="B2146" i="3"/>
  <c r="C2145" i="3"/>
  <c r="B2145" i="3"/>
  <c r="C2144" i="3"/>
  <c r="B2144" i="3"/>
  <c r="C2143" i="3"/>
  <c r="B2143" i="3"/>
  <c r="C2142" i="3"/>
  <c r="B2142" i="3"/>
  <c r="C2141" i="3"/>
  <c r="B2141" i="3"/>
  <c r="C2140" i="3"/>
  <c r="B2140" i="3"/>
  <c r="C2139" i="3"/>
  <c r="B2139" i="3"/>
  <c r="C2138" i="3"/>
  <c r="B2138" i="3"/>
  <c r="C2137" i="3"/>
  <c r="B2137" i="3"/>
  <c r="C2136" i="3"/>
  <c r="B2136" i="3"/>
  <c r="C2135" i="3"/>
  <c r="B2135" i="3"/>
  <c r="C2134" i="3"/>
  <c r="B2134" i="3"/>
  <c r="C2133" i="3"/>
  <c r="B2133" i="3"/>
  <c r="C2132" i="3"/>
  <c r="B2132" i="3"/>
  <c r="C2131" i="3"/>
  <c r="B2131" i="3"/>
  <c r="C2130" i="3"/>
  <c r="B2130" i="3"/>
  <c r="C2129" i="3"/>
  <c r="B2129" i="3"/>
  <c r="C2128" i="3"/>
  <c r="B2128" i="3"/>
  <c r="C2127" i="3"/>
  <c r="B2127" i="3"/>
  <c r="C2126" i="3"/>
  <c r="B2126" i="3"/>
  <c r="C2125" i="3"/>
  <c r="B2125" i="3"/>
  <c r="C2124" i="3"/>
  <c r="B2124" i="3"/>
  <c r="C2123" i="3"/>
  <c r="B2123" i="3"/>
  <c r="C2122" i="3"/>
  <c r="B2122" i="3"/>
  <c r="C2121" i="3"/>
  <c r="B2121" i="3"/>
  <c r="C2120" i="3"/>
  <c r="B2120" i="3"/>
  <c r="C2119" i="3"/>
  <c r="B2119" i="3"/>
  <c r="C2118" i="3"/>
  <c r="B2118" i="3"/>
  <c r="C2117" i="3"/>
  <c r="B2117" i="3"/>
  <c r="C2116" i="3"/>
  <c r="B2116" i="3"/>
  <c r="C2115" i="3"/>
  <c r="B2115" i="3"/>
  <c r="C2114" i="3"/>
  <c r="B2114" i="3"/>
  <c r="C2113" i="3"/>
  <c r="B2113" i="3"/>
  <c r="C2112" i="3"/>
  <c r="B2112" i="3"/>
  <c r="C2111" i="3"/>
  <c r="B2111" i="3"/>
  <c r="C2110" i="3"/>
  <c r="B2110" i="3"/>
  <c r="C2109" i="3"/>
  <c r="B2109" i="3"/>
  <c r="C2108" i="3"/>
  <c r="B2108" i="3"/>
  <c r="C2107" i="3"/>
  <c r="B2107" i="3"/>
  <c r="C2106" i="3"/>
  <c r="B2106" i="3"/>
  <c r="C2105" i="3"/>
  <c r="B2105" i="3"/>
  <c r="C2104" i="3"/>
  <c r="B2104" i="3"/>
  <c r="C2103" i="3"/>
  <c r="B2103" i="3"/>
  <c r="C2102" i="3"/>
  <c r="B2102" i="3"/>
  <c r="C2101" i="3"/>
  <c r="B2101" i="3"/>
  <c r="C2100" i="3"/>
  <c r="B2100" i="3"/>
  <c r="C2099" i="3"/>
  <c r="B2099" i="3"/>
  <c r="C2098" i="3"/>
  <c r="B2098" i="3"/>
  <c r="C2097" i="3"/>
  <c r="B2097" i="3"/>
  <c r="C2096" i="3"/>
  <c r="B2096" i="3"/>
  <c r="C2095" i="3"/>
  <c r="B2095" i="3"/>
  <c r="C2094" i="3"/>
  <c r="B2094" i="3"/>
  <c r="C2093" i="3"/>
  <c r="B2093" i="3"/>
  <c r="C2092" i="3"/>
  <c r="B2092" i="3"/>
  <c r="C2091" i="3"/>
  <c r="B2091" i="3"/>
  <c r="C2090" i="3"/>
  <c r="B2090" i="3"/>
  <c r="C2089" i="3"/>
  <c r="B2089" i="3"/>
  <c r="C2088" i="3"/>
  <c r="B2088" i="3"/>
  <c r="C2087" i="3"/>
  <c r="B2087" i="3"/>
  <c r="C2086" i="3"/>
  <c r="B2086" i="3"/>
  <c r="C2085" i="3"/>
  <c r="B2085" i="3"/>
  <c r="C2084" i="3"/>
  <c r="B2084" i="3"/>
  <c r="C2083" i="3"/>
  <c r="B2083" i="3"/>
  <c r="C2082" i="3"/>
  <c r="B2082" i="3"/>
  <c r="C2081" i="3"/>
  <c r="B2081" i="3"/>
  <c r="C2080" i="3"/>
  <c r="B2080" i="3"/>
  <c r="C2079" i="3"/>
  <c r="B2079" i="3"/>
  <c r="C2078" i="3"/>
  <c r="B2078" i="3"/>
  <c r="C2077" i="3"/>
  <c r="B2077" i="3"/>
  <c r="C2076" i="3"/>
  <c r="B2076" i="3"/>
  <c r="C2075" i="3"/>
  <c r="B2075" i="3"/>
  <c r="C2074" i="3"/>
  <c r="B2074" i="3"/>
  <c r="C2073" i="3"/>
  <c r="B2073" i="3"/>
  <c r="C2072" i="3"/>
  <c r="B2072" i="3"/>
  <c r="C2071" i="3"/>
  <c r="B2071" i="3"/>
  <c r="C2070" i="3"/>
  <c r="B2070" i="3"/>
  <c r="C2069" i="3"/>
  <c r="B2069" i="3"/>
  <c r="C2068" i="3"/>
  <c r="B2068" i="3"/>
  <c r="C2067" i="3"/>
  <c r="B2067" i="3"/>
  <c r="C2066" i="3"/>
  <c r="B2066" i="3"/>
  <c r="C2065" i="3"/>
  <c r="B2065" i="3"/>
  <c r="C2064" i="3"/>
  <c r="B2064" i="3"/>
  <c r="C2063" i="3"/>
  <c r="B2063" i="3"/>
  <c r="C2062" i="3"/>
  <c r="B2062" i="3"/>
  <c r="C2061" i="3"/>
  <c r="B2061" i="3"/>
  <c r="C2060" i="3"/>
  <c r="B2060" i="3"/>
  <c r="C2059" i="3"/>
  <c r="B2059" i="3"/>
  <c r="C2058" i="3"/>
  <c r="B2058" i="3"/>
  <c r="C2057" i="3"/>
  <c r="B2057" i="3"/>
  <c r="C2056" i="3"/>
  <c r="B2056" i="3"/>
  <c r="C2055" i="3"/>
  <c r="B2055" i="3"/>
  <c r="C2054" i="3"/>
  <c r="B2054" i="3"/>
  <c r="C2053" i="3"/>
  <c r="B2053" i="3"/>
  <c r="C2052" i="3"/>
  <c r="B2052" i="3"/>
  <c r="C2051" i="3"/>
  <c r="B2051" i="3"/>
  <c r="C2050" i="3"/>
  <c r="B2050" i="3"/>
  <c r="C2049" i="3"/>
  <c r="B2049" i="3"/>
  <c r="C2048" i="3"/>
  <c r="B2048" i="3"/>
  <c r="C2047" i="3"/>
  <c r="B2047" i="3"/>
  <c r="C2046" i="3"/>
  <c r="B2046" i="3"/>
  <c r="C2045" i="3"/>
  <c r="B2045" i="3"/>
  <c r="C2044" i="3"/>
  <c r="B2044" i="3"/>
  <c r="C2043" i="3"/>
  <c r="B2043" i="3"/>
  <c r="C2042" i="3"/>
  <c r="B2042" i="3"/>
  <c r="C2041" i="3"/>
  <c r="B2041" i="3"/>
  <c r="C2040" i="3"/>
  <c r="B2040" i="3"/>
  <c r="C2039" i="3"/>
  <c r="B2039" i="3"/>
  <c r="C2038" i="3"/>
  <c r="B2038" i="3"/>
  <c r="C2037" i="3"/>
  <c r="B2037" i="3"/>
  <c r="C2036" i="3"/>
  <c r="B2036" i="3"/>
  <c r="C2035" i="3"/>
  <c r="B2035" i="3"/>
  <c r="C2034" i="3"/>
  <c r="B2034" i="3"/>
  <c r="C2033" i="3"/>
  <c r="B2033" i="3"/>
  <c r="C2032" i="3"/>
  <c r="B2032" i="3"/>
  <c r="C2031" i="3"/>
  <c r="B2031" i="3"/>
  <c r="C2030" i="3"/>
  <c r="B2030" i="3"/>
  <c r="C2029" i="3"/>
  <c r="B2029" i="3"/>
  <c r="C2028" i="3"/>
  <c r="B2028" i="3"/>
  <c r="C2027" i="3"/>
  <c r="B2027" i="3"/>
  <c r="C2026" i="3"/>
  <c r="B2026" i="3"/>
  <c r="C2025" i="3"/>
  <c r="B2025" i="3"/>
  <c r="C2024" i="3"/>
  <c r="B2024" i="3"/>
  <c r="C2023" i="3"/>
  <c r="B2023" i="3"/>
  <c r="C2022" i="3"/>
  <c r="B2022" i="3"/>
  <c r="C2021" i="3"/>
  <c r="B2021" i="3"/>
  <c r="C2020" i="3"/>
  <c r="B2020" i="3"/>
  <c r="C2019" i="3"/>
  <c r="B2019" i="3"/>
  <c r="C2018" i="3"/>
  <c r="B2018" i="3"/>
  <c r="C2017" i="3"/>
  <c r="B2017" i="3"/>
  <c r="C2016" i="3"/>
  <c r="B2016" i="3"/>
  <c r="C2015" i="3"/>
  <c r="B2015" i="3"/>
  <c r="C2014" i="3"/>
  <c r="B2014" i="3"/>
  <c r="C2013" i="3"/>
  <c r="B2013" i="3"/>
  <c r="C2012" i="3"/>
  <c r="B2012" i="3"/>
  <c r="C2011" i="3"/>
  <c r="B2011" i="3"/>
  <c r="C2010" i="3"/>
  <c r="B2010" i="3"/>
  <c r="C2009" i="3"/>
  <c r="B2009" i="3"/>
  <c r="C2008" i="3"/>
  <c r="B2008" i="3"/>
  <c r="C2007" i="3"/>
  <c r="B2007" i="3"/>
  <c r="C2006" i="3"/>
  <c r="B2006" i="3"/>
  <c r="C2005" i="3"/>
  <c r="B2005" i="3"/>
  <c r="C2004" i="3"/>
  <c r="B2004" i="3"/>
  <c r="C2003" i="3"/>
  <c r="B2003" i="3"/>
  <c r="C2002" i="3"/>
  <c r="B2002" i="3"/>
  <c r="C2001" i="3"/>
  <c r="B2001" i="3"/>
  <c r="C2000" i="3"/>
  <c r="B2000" i="3"/>
  <c r="C1999" i="3"/>
  <c r="B1999" i="3"/>
  <c r="C1998" i="3"/>
  <c r="B1998" i="3"/>
  <c r="C1997" i="3"/>
  <c r="B1997" i="3"/>
  <c r="C1996" i="3"/>
  <c r="B1996" i="3"/>
  <c r="C1995" i="3"/>
  <c r="B1995" i="3"/>
  <c r="C1994" i="3"/>
  <c r="B1994" i="3"/>
  <c r="C1993" i="3"/>
  <c r="B1993" i="3"/>
  <c r="C1992" i="3"/>
  <c r="B1992" i="3"/>
  <c r="C1991" i="3"/>
  <c r="B1991" i="3"/>
  <c r="C1990" i="3"/>
  <c r="B1990" i="3"/>
  <c r="C1989" i="3"/>
  <c r="B1989" i="3"/>
  <c r="C1988" i="3"/>
  <c r="B1988" i="3"/>
  <c r="C1987" i="3"/>
  <c r="B1987" i="3"/>
  <c r="C1986" i="3"/>
  <c r="B1986" i="3"/>
  <c r="C1985" i="3"/>
  <c r="B1985" i="3"/>
  <c r="C1984" i="3"/>
  <c r="B1984" i="3"/>
  <c r="C1983" i="3"/>
  <c r="B1983" i="3"/>
  <c r="C1982" i="3"/>
  <c r="B1982" i="3"/>
  <c r="C1981" i="3"/>
  <c r="B1981" i="3"/>
  <c r="C1980" i="3"/>
  <c r="B1980" i="3"/>
  <c r="C1979" i="3"/>
  <c r="B1979" i="3"/>
  <c r="C1978" i="3"/>
  <c r="B1978" i="3"/>
  <c r="C1977" i="3"/>
  <c r="B1977" i="3"/>
  <c r="C1976" i="3"/>
  <c r="B1976" i="3"/>
  <c r="C1975" i="3"/>
  <c r="B1975" i="3"/>
  <c r="C1974" i="3"/>
  <c r="B1974" i="3"/>
  <c r="C1973" i="3"/>
  <c r="B1973" i="3"/>
  <c r="C1972" i="3"/>
  <c r="B1972" i="3"/>
  <c r="C1971" i="3"/>
  <c r="B1971" i="3"/>
  <c r="C1970" i="3"/>
  <c r="B1970" i="3"/>
  <c r="C1969" i="3"/>
  <c r="B1969" i="3"/>
  <c r="C1968" i="3"/>
  <c r="B1968" i="3"/>
  <c r="C1967" i="3"/>
  <c r="B1967" i="3"/>
  <c r="C1966" i="3"/>
  <c r="B1966" i="3"/>
  <c r="C1965" i="3"/>
  <c r="B1965" i="3"/>
  <c r="C1964" i="3"/>
  <c r="B1964" i="3"/>
  <c r="C1963" i="3"/>
  <c r="B1963" i="3"/>
  <c r="C1962" i="3"/>
  <c r="B1962" i="3"/>
  <c r="C1961" i="3"/>
  <c r="B1961" i="3"/>
  <c r="C1960" i="3"/>
  <c r="B1960" i="3"/>
  <c r="C1959" i="3"/>
  <c r="B1959" i="3"/>
  <c r="C1958" i="3"/>
  <c r="B1958" i="3"/>
  <c r="C1957" i="3"/>
  <c r="B1957" i="3"/>
  <c r="C1956" i="3"/>
  <c r="B1956" i="3"/>
  <c r="C1955" i="3"/>
  <c r="B1955" i="3"/>
  <c r="C1954" i="3"/>
  <c r="B1954" i="3"/>
  <c r="C1953" i="3"/>
  <c r="B1953" i="3"/>
  <c r="C1952" i="3"/>
  <c r="B1952" i="3"/>
  <c r="C1951" i="3"/>
  <c r="B1951" i="3"/>
  <c r="C1950" i="3"/>
  <c r="B1950" i="3"/>
  <c r="C1949" i="3"/>
  <c r="B1949" i="3"/>
  <c r="C1948" i="3"/>
  <c r="B1948" i="3"/>
  <c r="C1947" i="3"/>
  <c r="B1947" i="3"/>
  <c r="C1946" i="3"/>
  <c r="B1946" i="3"/>
  <c r="C1945" i="3"/>
  <c r="B1945" i="3"/>
  <c r="C1944" i="3"/>
  <c r="B1944" i="3"/>
  <c r="C1943" i="3"/>
  <c r="B1943" i="3"/>
  <c r="C1942" i="3"/>
  <c r="B1942" i="3"/>
  <c r="C1941" i="3"/>
  <c r="B1941" i="3"/>
  <c r="C1940" i="3"/>
  <c r="B1940" i="3"/>
  <c r="C1939" i="3"/>
  <c r="B1939" i="3"/>
  <c r="C1938" i="3"/>
  <c r="B1938" i="3"/>
  <c r="C1937" i="3"/>
  <c r="B1937" i="3"/>
  <c r="C1936" i="3"/>
  <c r="B1936" i="3"/>
  <c r="C1935" i="3"/>
  <c r="B1935" i="3"/>
  <c r="C1934" i="3"/>
  <c r="B1934" i="3"/>
  <c r="C1933" i="3"/>
  <c r="B1933" i="3"/>
  <c r="C1932" i="3"/>
  <c r="B1932" i="3"/>
  <c r="C1931" i="3"/>
  <c r="B1931" i="3"/>
  <c r="C1930" i="3"/>
  <c r="B1930" i="3"/>
  <c r="C1929" i="3"/>
  <c r="B1929" i="3"/>
  <c r="C1928" i="3"/>
  <c r="B1928" i="3"/>
  <c r="C1927" i="3"/>
  <c r="B1927" i="3"/>
  <c r="C1926" i="3"/>
  <c r="B1926" i="3"/>
  <c r="C1925" i="3"/>
  <c r="B1925" i="3"/>
  <c r="C1924" i="3"/>
  <c r="B1924" i="3"/>
  <c r="C1923" i="3"/>
  <c r="B1923" i="3"/>
  <c r="C1922" i="3"/>
  <c r="B1922" i="3"/>
  <c r="C1921" i="3"/>
  <c r="B1921" i="3"/>
  <c r="C1920" i="3"/>
  <c r="B1920" i="3"/>
  <c r="C1919" i="3"/>
  <c r="B1919" i="3"/>
  <c r="C1918" i="3"/>
  <c r="B1918" i="3"/>
  <c r="C1917" i="3"/>
  <c r="B1917" i="3"/>
  <c r="C1916" i="3"/>
  <c r="B1916" i="3"/>
  <c r="C1915" i="3"/>
  <c r="B1915" i="3"/>
  <c r="C1914" i="3"/>
  <c r="B1914" i="3"/>
  <c r="C1913" i="3"/>
  <c r="B1913" i="3"/>
  <c r="C1912" i="3"/>
  <c r="B1912" i="3"/>
  <c r="C1911" i="3"/>
  <c r="B1911" i="3"/>
  <c r="C1910" i="3"/>
  <c r="B1910" i="3"/>
  <c r="C1909" i="3"/>
  <c r="B1909" i="3"/>
  <c r="C1908" i="3"/>
  <c r="B1908" i="3"/>
  <c r="C1907" i="3"/>
  <c r="B1907" i="3"/>
  <c r="C1906" i="3"/>
  <c r="B1906" i="3"/>
  <c r="C1905" i="3"/>
  <c r="B1905" i="3"/>
  <c r="C1904" i="3"/>
  <c r="B1904" i="3"/>
  <c r="C1903" i="3"/>
  <c r="B1903" i="3"/>
  <c r="C1902" i="3"/>
  <c r="B1902" i="3"/>
  <c r="C1901" i="3"/>
  <c r="B1901" i="3"/>
  <c r="C1900" i="3"/>
  <c r="B1900" i="3"/>
  <c r="C1899" i="3"/>
  <c r="B1899" i="3"/>
  <c r="C1898" i="3"/>
  <c r="B1898" i="3"/>
  <c r="C1897" i="3"/>
  <c r="B1897" i="3"/>
  <c r="C1896" i="3"/>
  <c r="B1896" i="3"/>
  <c r="C1895" i="3"/>
  <c r="B1895" i="3"/>
  <c r="C1894" i="3"/>
  <c r="B1894" i="3"/>
  <c r="C1893" i="3"/>
  <c r="B1893" i="3"/>
  <c r="C1892" i="3"/>
  <c r="B1892" i="3"/>
  <c r="C1891" i="3"/>
  <c r="B1891" i="3"/>
  <c r="C1890" i="3"/>
  <c r="B1890" i="3"/>
  <c r="C1889" i="3"/>
  <c r="B1889" i="3"/>
  <c r="C1888" i="3"/>
  <c r="B1888" i="3"/>
  <c r="C1887" i="3"/>
  <c r="B1887" i="3"/>
  <c r="C1886" i="3"/>
  <c r="B1886" i="3"/>
  <c r="C1885" i="3"/>
  <c r="B1885" i="3"/>
  <c r="C1884" i="3"/>
  <c r="B1884" i="3"/>
  <c r="C1883" i="3"/>
  <c r="B1883" i="3"/>
  <c r="C1882" i="3"/>
  <c r="B1882" i="3"/>
  <c r="C1881" i="3"/>
  <c r="B1881" i="3"/>
  <c r="C1880" i="3"/>
  <c r="B1880" i="3"/>
  <c r="C1879" i="3"/>
  <c r="B1879" i="3"/>
  <c r="C1878" i="3"/>
  <c r="B1878" i="3"/>
  <c r="C1877" i="3"/>
  <c r="B1877" i="3"/>
  <c r="C1876" i="3"/>
  <c r="B1876" i="3"/>
  <c r="C1875" i="3"/>
  <c r="B1875" i="3"/>
  <c r="C1874" i="3"/>
  <c r="B1874" i="3"/>
  <c r="C1873" i="3"/>
  <c r="B1873" i="3"/>
  <c r="C1872" i="3"/>
  <c r="B1872" i="3"/>
  <c r="C1871" i="3"/>
  <c r="B1871" i="3"/>
  <c r="C1870" i="3"/>
  <c r="B1870" i="3"/>
  <c r="C1869" i="3"/>
  <c r="B1869" i="3"/>
  <c r="C1868" i="3"/>
  <c r="B1868" i="3"/>
  <c r="C1867" i="3"/>
  <c r="B1867" i="3"/>
  <c r="C1866" i="3"/>
  <c r="B1866" i="3"/>
  <c r="C1865" i="3"/>
  <c r="B1865" i="3"/>
  <c r="C1864" i="3"/>
  <c r="B1864" i="3"/>
  <c r="C1863" i="3"/>
  <c r="B1863" i="3"/>
  <c r="C1862" i="3"/>
  <c r="B1862" i="3"/>
  <c r="C1861" i="3"/>
  <c r="B1861" i="3"/>
  <c r="C1860" i="3"/>
  <c r="B1860" i="3"/>
  <c r="C1859" i="3"/>
  <c r="B1859" i="3"/>
  <c r="C1858" i="3"/>
  <c r="B1858" i="3"/>
  <c r="C1857" i="3"/>
  <c r="B1857" i="3"/>
  <c r="C1856" i="3"/>
  <c r="B1856" i="3"/>
  <c r="C1855" i="3"/>
  <c r="B1855" i="3"/>
  <c r="C1854" i="3"/>
  <c r="B1854" i="3"/>
  <c r="C1853" i="3"/>
  <c r="B1853" i="3"/>
  <c r="C1852" i="3"/>
  <c r="B1852" i="3"/>
  <c r="C1851" i="3"/>
  <c r="B1851" i="3"/>
  <c r="C1850" i="3"/>
  <c r="B1850" i="3"/>
  <c r="C1849" i="3"/>
  <c r="B1849" i="3"/>
  <c r="C1848" i="3"/>
  <c r="B1848" i="3"/>
  <c r="C1847" i="3"/>
  <c r="B1847" i="3"/>
  <c r="C1846" i="3"/>
  <c r="B1846" i="3"/>
  <c r="C1845" i="3"/>
  <c r="B1845" i="3"/>
  <c r="C1844" i="3"/>
  <c r="B1844" i="3"/>
  <c r="C1843" i="3"/>
  <c r="B1843" i="3"/>
  <c r="C1842" i="3"/>
  <c r="B1842" i="3"/>
  <c r="C1841" i="3"/>
  <c r="B1841" i="3"/>
  <c r="C1840" i="3"/>
  <c r="B1840" i="3"/>
  <c r="C1839" i="3"/>
  <c r="B1839" i="3"/>
  <c r="C1838" i="3"/>
  <c r="B1838" i="3"/>
  <c r="C1837" i="3"/>
  <c r="B1837" i="3"/>
  <c r="C1836" i="3"/>
  <c r="B1836" i="3"/>
  <c r="C1835" i="3"/>
  <c r="B1835" i="3"/>
  <c r="C1834" i="3"/>
  <c r="B1834" i="3"/>
  <c r="C1833" i="3"/>
  <c r="B1833" i="3"/>
  <c r="C1832" i="3"/>
  <c r="B1832" i="3"/>
  <c r="C1831" i="3"/>
  <c r="B1831" i="3"/>
  <c r="C1830" i="3"/>
  <c r="B1830" i="3"/>
  <c r="C1829" i="3"/>
  <c r="B1829" i="3"/>
  <c r="C1828" i="3"/>
  <c r="B1828" i="3"/>
  <c r="C1827" i="3"/>
  <c r="B1827" i="3"/>
  <c r="C1826" i="3"/>
  <c r="B1826" i="3"/>
  <c r="C1825" i="3"/>
  <c r="B1825" i="3"/>
  <c r="C1824" i="3"/>
  <c r="B1824" i="3"/>
  <c r="C1823" i="3"/>
  <c r="B1823" i="3"/>
  <c r="C1822" i="3"/>
  <c r="B1822" i="3"/>
  <c r="C1821" i="3"/>
  <c r="B1821" i="3"/>
  <c r="C1820" i="3"/>
  <c r="B1820" i="3"/>
  <c r="C1819" i="3"/>
  <c r="B1819" i="3"/>
  <c r="C1818" i="3"/>
  <c r="B1818" i="3"/>
  <c r="C1817" i="3"/>
  <c r="B1817" i="3"/>
  <c r="C1816" i="3"/>
  <c r="B1816" i="3"/>
  <c r="C1815" i="3"/>
  <c r="B1815" i="3"/>
  <c r="C1814" i="3"/>
  <c r="B1814" i="3"/>
  <c r="C1813" i="3"/>
  <c r="B1813" i="3"/>
  <c r="C1812" i="3"/>
  <c r="B1812" i="3"/>
  <c r="C1811" i="3"/>
  <c r="B1811" i="3"/>
  <c r="C1810" i="3"/>
  <c r="B1810" i="3"/>
  <c r="C1809" i="3"/>
  <c r="B1809" i="3"/>
  <c r="C1808" i="3"/>
  <c r="B1808" i="3"/>
  <c r="C1807" i="3"/>
  <c r="B1807" i="3"/>
  <c r="C1806" i="3"/>
  <c r="B1806" i="3"/>
  <c r="C1805" i="3"/>
  <c r="B1805" i="3"/>
  <c r="C1804" i="3"/>
  <c r="B1804" i="3"/>
  <c r="C1803" i="3"/>
  <c r="B1803" i="3"/>
  <c r="C1802" i="3"/>
  <c r="B1802" i="3"/>
  <c r="C1801" i="3"/>
  <c r="B1801" i="3"/>
  <c r="C1800" i="3"/>
  <c r="B1800" i="3"/>
  <c r="C1799" i="3"/>
  <c r="B1799" i="3"/>
  <c r="C1798" i="3"/>
  <c r="B1798" i="3"/>
  <c r="C1797" i="3"/>
  <c r="B1797" i="3"/>
  <c r="C1796" i="3"/>
  <c r="B1796" i="3"/>
  <c r="C1795" i="3"/>
  <c r="B1795" i="3"/>
  <c r="C1794" i="3"/>
  <c r="B1794" i="3"/>
  <c r="C1793" i="3"/>
  <c r="B1793" i="3"/>
  <c r="C1792" i="3"/>
  <c r="B1792" i="3"/>
  <c r="C1791" i="3"/>
  <c r="B1791" i="3"/>
  <c r="C1790" i="3"/>
  <c r="B1790" i="3"/>
  <c r="C1789" i="3"/>
  <c r="B1789" i="3"/>
  <c r="C1788" i="3"/>
  <c r="B1788" i="3"/>
  <c r="C1787" i="3"/>
  <c r="B1787" i="3"/>
  <c r="C1786" i="3"/>
  <c r="B1786" i="3"/>
  <c r="C1785" i="3"/>
  <c r="B1785" i="3"/>
  <c r="C1784" i="3"/>
  <c r="B1784" i="3"/>
  <c r="C1783" i="3"/>
  <c r="B1783" i="3"/>
  <c r="C1782" i="3"/>
  <c r="B1782" i="3"/>
  <c r="C1781" i="3"/>
  <c r="B1781" i="3"/>
  <c r="C1780" i="3"/>
  <c r="B1780" i="3"/>
  <c r="C1779" i="3"/>
  <c r="B1779" i="3"/>
  <c r="C1778" i="3"/>
  <c r="B1778" i="3"/>
  <c r="C1777" i="3"/>
  <c r="B1777" i="3"/>
  <c r="C1776" i="3"/>
  <c r="B1776" i="3"/>
  <c r="C1775" i="3"/>
  <c r="B1775" i="3"/>
  <c r="C1774" i="3"/>
  <c r="B1774" i="3"/>
  <c r="C1773" i="3"/>
  <c r="B1773" i="3"/>
  <c r="C1772" i="3"/>
  <c r="B1772" i="3"/>
  <c r="C1771" i="3"/>
  <c r="B1771" i="3"/>
  <c r="C1770" i="3"/>
  <c r="B1770" i="3"/>
  <c r="C1769" i="3"/>
  <c r="B1769" i="3"/>
  <c r="C1768" i="3"/>
  <c r="B1768" i="3"/>
  <c r="C1767" i="3"/>
  <c r="B1767" i="3"/>
  <c r="C1766" i="3"/>
  <c r="B1766" i="3"/>
  <c r="C1765" i="3"/>
  <c r="B1765" i="3"/>
  <c r="C1764" i="3"/>
  <c r="B1764" i="3"/>
  <c r="C1763" i="3"/>
  <c r="B1763" i="3"/>
  <c r="C1762" i="3"/>
  <c r="B1762" i="3"/>
  <c r="C1761" i="3"/>
  <c r="B1761" i="3"/>
  <c r="C1760" i="3"/>
  <c r="B1760" i="3"/>
  <c r="C1759" i="3"/>
  <c r="B1759" i="3"/>
  <c r="C1758" i="3"/>
  <c r="B1758" i="3"/>
  <c r="C1757" i="3"/>
  <c r="B1757" i="3"/>
  <c r="C1756" i="3"/>
  <c r="B1756" i="3"/>
  <c r="C1755" i="3"/>
  <c r="B1755" i="3"/>
  <c r="C1754" i="3"/>
  <c r="B1754" i="3"/>
  <c r="C1753" i="3"/>
  <c r="B1753" i="3"/>
  <c r="C1752" i="3"/>
  <c r="B1752" i="3"/>
  <c r="C1751" i="3"/>
  <c r="B1751" i="3"/>
  <c r="C1750" i="3"/>
  <c r="B1750" i="3"/>
  <c r="C1749" i="3"/>
  <c r="B1749" i="3"/>
  <c r="C1748" i="3"/>
  <c r="B1748" i="3"/>
  <c r="C1747" i="3"/>
  <c r="B1747" i="3"/>
  <c r="C1746" i="3"/>
  <c r="B1746" i="3"/>
  <c r="C1745" i="3"/>
  <c r="B1745" i="3"/>
  <c r="C1744" i="3"/>
  <c r="B1744" i="3"/>
  <c r="C1743" i="3"/>
  <c r="B1743" i="3"/>
  <c r="C1742" i="3"/>
  <c r="B1742" i="3"/>
  <c r="C1741" i="3"/>
  <c r="B1741" i="3"/>
  <c r="C1740" i="3"/>
  <c r="B1740" i="3"/>
  <c r="C1739" i="3"/>
  <c r="B1739" i="3"/>
  <c r="C1738" i="3"/>
  <c r="B1738" i="3"/>
  <c r="C1737" i="3"/>
  <c r="B1737" i="3"/>
  <c r="C1736" i="3"/>
  <c r="B1736" i="3"/>
  <c r="C1735" i="3"/>
  <c r="B1735" i="3"/>
  <c r="C1734" i="3"/>
  <c r="B1734" i="3"/>
  <c r="C1733" i="3"/>
  <c r="B1733" i="3"/>
  <c r="C1732" i="3"/>
  <c r="B1732" i="3"/>
  <c r="C1731" i="3"/>
  <c r="B1731" i="3"/>
  <c r="C1730" i="3"/>
  <c r="B1730" i="3"/>
  <c r="C1729" i="3"/>
  <c r="B1729" i="3"/>
  <c r="C1728" i="3"/>
  <c r="B1728" i="3"/>
  <c r="C1727" i="3"/>
  <c r="B1727" i="3"/>
  <c r="C1726" i="3"/>
  <c r="B1726" i="3"/>
  <c r="C1725" i="3"/>
  <c r="B1725" i="3"/>
  <c r="C1724" i="3"/>
  <c r="B1724" i="3"/>
  <c r="C1723" i="3"/>
  <c r="B1723" i="3"/>
  <c r="C1722" i="3"/>
  <c r="B1722" i="3"/>
  <c r="C1721" i="3"/>
  <c r="B1721" i="3"/>
  <c r="C1720" i="3"/>
  <c r="B1720" i="3"/>
  <c r="C1719" i="3"/>
  <c r="B1719" i="3"/>
  <c r="C1718" i="3"/>
  <c r="B1718" i="3"/>
  <c r="C1717" i="3"/>
  <c r="B1717" i="3"/>
  <c r="C1716" i="3"/>
  <c r="B1716" i="3"/>
  <c r="C1715" i="3"/>
  <c r="B1715" i="3"/>
  <c r="C1714" i="3"/>
  <c r="B1714" i="3"/>
  <c r="C1713" i="3"/>
  <c r="B1713" i="3"/>
  <c r="C1712" i="3"/>
  <c r="B1712" i="3"/>
  <c r="C1711" i="3"/>
  <c r="B1711" i="3"/>
  <c r="C1710" i="3"/>
  <c r="B1710" i="3"/>
  <c r="C1709" i="3"/>
  <c r="B1709" i="3"/>
  <c r="C1708" i="3"/>
  <c r="B1708" i="3"/>
  <c r="C1707" i="3"/>
  <c r="B1707" i="3"/>
  <c r="C1706" i="3"/>
  <c r="B1706" i="3"/>
  <c r="C1705" i="3"/>
  <c r="B1705" i="3"/>
  <c r="C1704" i="3"/>
  <c r="B1704" i="3"/>
  <c r="C1703" i="3"/>
  <c r="B1703" i="3"/>
  <c r="C1702" i="3"/>
  <c r="B1702" i="3"/>
  <c r="C1701" i="3"/>
  <c r="B1701" i="3"/>
  <c r="C1700" i="3"/>
  <c r="B1700" i="3"/>
  <c r="C1699" i="3"/>
  <c r="B1699" i="3"/>
  <c r="C1698" i="3"/>
  <c r="B1698" i="3"/>
  <c r="C1697" i="3"/>
  <c r="B1697" i="3"/>
  <c r="C1696" i="3"/>
  <c r="B1696" i="3"/>
  <c r="C1695" i="3"/>
  <c r="B1695" i="3"/>
  <c r="C1694" i="3"/>
  <c r="B1694" i="3"/>
  <c r="C1693" i="3"/>
  <c r="B1693" i="3"/>
  <c r="C1692" i="3"/>
  <c r="B1692" i="3"/>
  <c r="C1691" i="3"/>
  <c r="B1691" i="3"/>
  <c r="C1690" i="3"/>
  <c r="B1690" i="3"/>
  <c r="C1689" i="3"/>
  <c r="B1689" i="3"/>
  <c r="C1688" i="3"/>
  <c r="B1688" i="3"/>
  <c r="C1687" i="3"/>
  <c r="B1687" i="3"/>
  <c r="C1686" i="3"/>
  <c r="B1686" i="3"/>
  <c r="C1685" i="3"/>
  <c r="B1685" i="3"/>
  <c r="C1684" i="3"/>
  <c r="B1684" i="3"/>
  <c r="C1683" i="3"/>
  <c r="B1683" i="3"/>
  <c r="C1682" i="3"/>
  <c r="B1682" i="3"/>
  <c r="C1681" i="3"/>
  <c r="B1681" i="3"/>
  <c r="C1680" i="3"/>
  <c r="B1680" i="3"/>
  <c r="C1679" i="3"/>
  <c r="B1679" i="3"/>
  <c r="C1678" i="3"/>
  <c r="B1678" i="3"/>
  <c r="C1677" i="3"/>
  <c r="B1677" i="3"/>
  <c r="C1676" i="3"/>
  <c r="B1676" i="3"/>
  <c r="C1675" i="3"/>
  <c r="B1675" i="3"/>
  <c r="C1674" i="3"/>
  <c r="B1674" i="3"/>
  <c r="C1673" i="3"/>
  <c r="B1673" i="3"/>
  <c r="C1672" i="3"/>
  <c r="B1672" i="3"/>
  <c r="C1671" i="3"/>
  <c r="B1671" i="3"/>
  <c r="C1670" i="3"/>
  <c r="B1670" i="3"/>
  <c r="C1669" i="3"/>
  <c r="B1669" i="3"/>
  <c r="C1668" i="3"/>
  <c r="B1668" i="3"/>
  <c r="C1667" i="3"/>
  <c r="B1667" i="3"/>
  <c r="C1666" i="3"/>
  <c r="B1666" i="3"/>
  <c r="C1665" i="3"/>
  <c r="B1665" i="3"/>
  <c r="C1664" i="3"/>
  <c r="B1664" i="3"/>
  <c r="C1663" i="3"/>
  <c r="B1663" i="3"/>
  <c r="C1662" i="3"/>
  <c r="B1662" i="3"/>
  <c r="C1661" i="3"/>
  <c r="B1661" i="3"/>
  <c r="C1660" i="3"/>
  <c r="B1660" i="3"/>
  <c r="C1659" i="3"/>
  <c r="B1659" i="3"/>
  <c r="C1658" i="3"/>
  <c r="B1658" i="3"/>
  <c r="C1657" i="3"/>
  <c r="B1657" i="3"/>
  <c r="C1656" i="3"/>
  <c r="B1656" i="3"/>
  <c r="C1655" i="3"/>
  <c r="B1655" i="3"/>
  <c r="C1654" i="3"/>
  <c r="B1654" i="3"/>
  <c r="C1653" i="3"/>
  <c r="B1653" i="3"/>
  <c r="C1652" i="3"/>
  <c r="B1652" i="3"/>
  <c r="C1651" i="3"/>
  <c r="B1651" i="3"/>
  <c r="C1650" i="3"/>
  <c r="B1650" i="3"/>
  <c r="C1649" i="3"/>
  <c r="B1649" i="3"/>
  <c r="C1648" i="3"/>
  <c r="B1648" i="3"/>
  <c r="C1647" i="3"/>
  <c r="B1647" i="3"/>
  <c r="C1646" i="3"/>
  <c r="B1646" i="3"/>
  <c r="C1645" i="3"/>
  <c r="B1645" i="3"/>
  <c r="C1644" i="3"/>
  <c r="B1644" i="3"/>
  <c r="C1643" i="3"/>
  <c r="B1643" i="3"/>
  <c r="C1642" i="3"/>
  <c r="B1642" i="3"/>
  <c r="C1641" i="3"/>
  <c r="B1641" i="3"/>
  <c r="C1640" i="3"/>
  <c r="B1640" i="3"/>
  <c r="C1639" i="3"/>
  <c r="B1639" i="3"/>
  <c r="C1638" i="3"/>
  <c r="B1638" i="3"/>
  <c r="C1637" i="3"/>
  <c r="B1637" i="3"/>
  <c r="C1636" i="3"/>
  <c r="B1636" i="3"/>
  <c r="C1635" i="3"/>
  <c r="B1635" i="3"/>
  <c r="C1634" i="3"/>
  <c r="B1634" i="3"/>
  <c r="C1633" i="3"/>
  <c r="B1633" i="3"/>
  <c r="C1632" i="3"/>
  <c r="B1632" i="3"/>
  <c r="C1631" i="3"/>
  <c r="B1631" i="3"/>
  <c r="C1630" i="3"/>
  <c r="B1630" i="3"/>
  <c r="C1629" i="3"/>
  <c r="B1629" i="3"/>
  <c r="C1628" i="3"/>
  <c r="B1628" i="3"/>
  <c r="C1627" i="3"/>
  <c r="B1627" i="3"/>
  <c r="C1626" i="3"/>
  <c r="B1626" i="3"/>
  <c r="C1625" i="3"/>
  <c r="B1625" i="3"/>
  <c r="C1624" i="3"/>
  <c r="B1624" i="3"/>
  <c r="C1623" i="3"/>
  <c r="B1623" i="3"/>
  <c r="C1622" i="3"/>
  <c r="B1622" i="3"/>
  <c r="C1621" i="3"/>
  <c r="B1621" i="3"/>
  <c r="C1620" i="3"/>
  <c r="B1620" i="3"/>
  <c r="C1619" i="3"/>
  <c r="B1619" i="3"/>
  <c r="C1618" i="3"/>
  <c r="B1618" i="3"/>
  <c r="C1617" i="3"/>
  <c r="B1617" i="3"/>
  <c r="C1616" i="3"/>
  <c r="B1616" i="3"/>
  <c r="C1615" i="3"/>
  <c r="B1615" i="3"/>
  <c r="C1614" i="3"/>
  <c r="B1614" i="3"/>
  <c r="C1613" i="3"/>
  <c r="B1613" i="3"/>
  <c r="C1612" i="3"/>
  <c r="B1612" i="3"/>
  <c r="C1611" i="3"/>
  <c r="B1611" i="3"/>
  <c r="C1610" i="3"/>
  <c r="B1610" i="3"/>
  <c r="C1609" i="3"/>
  <c r="B1609" i="3"/>
  <c r="C1608" i="3"/>
  <c r="B1608" i="3"/>
  <c r="C1607" i="3"/>
  <c r="B1607" i="3"/>
  <c r="C1606" i="3"/>
  <c r="B1606" i="3"/>
  <c r="C1605" i="3"/>
  <c r="B1605" i="3"/>
  <c r="C1604" i="3"/>
  <c r="B1604" i="3"/>
  <c r="C1603" i="3"/>
  <c r="B1603" i="3"/>
  <c r="C1602" i="3"/>
  <c r="B1602" i="3"/>
  <c r="C1601" i="3"/>
  <c r="B1601" i="3"/>
  <c r="C1600" i="3"/>
  <c r="B1600" i="3"/>
  <c r="C1599" i="3"/>
  <c r="B1599" i="3"/>
  <c r="C1598" i="3"/>
  <c r="B1598" i="3"/>
  <c r="C1597" i="3"/>
  <c r="B1597" i="3"/>
  <c r="C1596" i="3"/>
  <c r="B1596" i="3"/>
  <c r="C1595" i="3"/>
  <c r="B1595" i="3"/>
  <c r="C1594" i="3"/>
  <c r="B1594" i="3"/>
  <c r="C1593" i="3"/>
  <c r="B1593" i="3"/>
  <c r="C1592" i="3"/>
  <c r="B1592" i="3"/>
  <c r="C1591" i="3"/>
  <c r="B1591" i="3"/>
  <c r="C1590" i="3"/>
  <c r="B1590" i="3"/>
  <c r="C1589" i="3"/>
  <c r="B1589" i="3"/>
  <c r="C1588" i="3"/>
  <c r="B1588" i="3"/>
  <c r="C1587" i="3"/>
  <c r="B1587" i="3"/>
  <c r="C1586" i="3"/>
  <c r="B1586" i="3"/>
  <c r="C1585" i="3"/>
  <c r="B1585" i="3"/>
  <c r="C1584" i="3"/>
  <c r="B1584" i="3"/>
  <c r="C1583" i="3"/>
  <c r="B1583" i="3"/>
  <c r="C1582" i="3"/>
  <c r="B1582" i="3"/>
  <c r="C1581" i="3"/>
  <c r="B1581" i="3"/>
  <c r="C1580" i="3"/>
  <c r="B1580" i="3"/>
  <c r="C1579" i="3"/>
  <c r="B1579" i="3"/>
  <c r="C1578" i="3"/>
  <c r="B1578" i="3"/>
  <c r="C1577" i="3"/>
  <c r="B1577" i="3"/>
  <c r="C1576" i="3"/>
  <c r="B1576" i="3"/>
  <c r="C1575" i="3"/>
  <c r="B1575" i="3"/>
  <c r="C1574" i="3"/>
  <c r="B1574" i="3"/>
  <c r="C1573" i="3"/>
  <c r="B1573" i="3"/>
  <c r="C1572" i="3"/>
  <c r="B1572" i="3"/>
  <c r="C1571" i="3"/>
  <c r="B1571" i="3"/>
  <c r="C1570" i="3"/>
  <c r="B1570" i="3"/>
  <c r="C1569" i="3"/>
  <c r="B1569" i="3"/>
  <c r="C1568" i="3"/>
  <c r="B1568" i="3"/>
  <c r="C1567" i="3"/>
  <c r="B1567" i="3"/>
  <c r="C1566" i="3"/>
  <c r="B1566" i="3"/>
  <c r="C1565" i="3"/>
  <c r="B1565" i="3"/>
  <c r="C1564" i="3"/>
  <c r="B1564" i="3"/>
  <c r="C1563" i="3"/>
  <c r="B1563" i="3"/>
  <c r="C1562" i="3"/>
  <c r="B1562" i="3"/>
  <c r="C1561" i="3"/>
  <c r="B1561" i="3"/>
  <c r="C1560" i="3"/>
  <c r="B1560" i="3"/>
  <c r="C1559" i="3"/>
  <c r="B1559" i="3"/>
  <c r="C1558" i="3"/>
  <c r="B1558" i="3"/>
  <c r="C1557" i="3"/>
  <c r="B1557" i="3"/>
  <c r="C1556" i="3"/>
  <c r="B1556" i="3"/>
  <c r="C1555" i="3"/>
  <c r="B1555" i="3"/>
  <c r="C1554" i="3"/>
  <c r="B1554" i="3"/>
  <c r="C1553" i="3"/>
  <c r="B1553" i="3"/>
  <c r="C1552" i="3"/>
  <c r="B1552" i="3"/>
  <c r="C1551" i="3"/>
  <c r="B1551" i="3"/>
  <c r="C1550" i="3"/>
  <c r="B1550" i="3"/>
  <c r="C1549" i="3"/>
  <c r="B1549" i="3"/>
  <c r="C1548" i="3"/>
  <c r="B1548" i="3"/>
  <c r="C1547" i="3"/>
  <c r="B1547" i="3"/>
  <c r="C1546" i="3"/>
  <c r="B1546" i="3"/>
  <c r="C1545" i="3"/>
  <c r="B1545" i="3"/>
  <c r="C1544" i="3"/>
  <c r="B1544" i="3"/>
  <c r="C1543" i="3"/>
  <c r="B1543" i="3"/>
  <c r="C1542" i="3"/>
  <c r="B1542" i="3"/>
  <c r="C1541" i="3"/>
  <c r="B1541" i="3"/>
  <c r="C1540" i="3"/>
  <c r="B1540" i="3"/>
  <c r="C1539" i="3"/>
  <c r="B1539" i="3"/>
  <c r="C1538" i="3"/>
  <c r="B1538" i="3"/>
  <c r="C1537" i="3"/>
  <c r="B1537" i="3"/>
  <c r="C1536" i="3"/>
  <c r="B1536" i="3"/>
  <c r="C1535" i="3"/>
  <c r="B1535" i="3"/>
  <c r="C1534" i="3"/>
  <c r="B1534" i="3"/>
  <c r="C1533" i="3"/>
  <c r="B1533" i="3"/>
  <c r="C1532" i="3"/>
  <c r="B1532" i="3"/>
  <c r="C1531" i="3"/>
  <c r="B1531" i="3"/>
  <c r="C1530" i="3"/>
  <c r="B1530" i="3"/>
  <c r="C1529" i="3"/>
  <c r="B1529" i="3"/>
  <c r="C1528" i="3"/>
  <c r="B1528" i="3"/>
  <c r="C1527" i="3"/>
  <c r="B1527" i="3"/>
  <c r="C1526" i="3"/>
  <c r="B1526" i="3"/>
  <c r="C1525" i="3"/>
  <c r="B1525" i="3"/>
  <c r="C1524" i="3"/>
  <c r="B1524" i="3"/>
  <c r="C1523" i="3"/>
  <c r="B1523" i="3"/>
  <c r="C1522" i="3"/>
  <c r="B1522" i="3"/>
  <c r="C1521" i="3"/>
  <c r="B1521" i="3"/>
  <c r="C1520" i="3"/>
  <c r="B1520" i="3"/>
  <c r="C1519" i="3"/>
  <c r="B1519" i="3"/>
  <c r="C1518" i="3"/>
  <c r="B1518" i="3"/>
  <c r="C1517" i="3"/>
  <c r="B1517" i="3"/>
  <c r="C1516" i="3"/>
  <c r="B1516" i="3"/>
  <c r="C1515" i="3"/>
  <c r="B1515" i="3"/>
  <c r="C1514" i="3"/>
  <c r="B1514" i="3"/>
  <c r="C1513" i="3"/>
  <c r="B1513" i="3"/>
  <c r="C1512" i="3"/>
  <c r="B1512" i="3"/>
  <c r="C1511" i="3"/>
  <c r="B1511" i="3"/>
  <c r="C1510" i="3"/>
  <c r="B1510" i="3"/>
  <c r="C1509" i="3"/>
  <c r="B1509" i="3"/>
  <c r="C1508" i="3"/>
  <c r="B1508" i="3"/>
  <c r="C1507" i="3"/>
  <c r="B1507" i="3"/>
  <c r="C1506" i="3"/>
  <c r="B1506" i="3"/>
  <c r="C1505" i="3"/>
  <c r="B1505" i="3"/>
  <c r="C1504" i="3"/>
  <c r="B1504" i="3"/>
  <c r="C1503" i="3"/>
  <c r="B1503" i="3"/>
  <c r="C1502" i="3"/>
  <c r="B1502" i="3"/>
  <c r="C1501" i="3"/>
  <c r="B1501" i="3"/>
  <c r="C1500" i="3"/>
  <c r="B1500" i="3"/>
  <c r="C1499" i="3"/>
  <c r="B1499" i="3"/>
  <c r="C1498" i="3"/>
  <c r="B1498" i="3"/>
  <c r="C1497" i="3"/>
  <c r="B1497" i="3"/>
  <c r="C1496" i="3"/>
  <c r="B1496" i="3"/>
  <c r="C1495" i="3"/>
  <c r="B1495" i="3"/>
  <c r="C1494" i="3"/>
  <c r="B1494" i="3"/>
  <c r="C1493" i="3"/>
  <c r="B1493" i="3"/>
  <c r="C1492" i="3"/>
  <c r="B1492" i="3"/>
  <c r="C1491" i="3"/>
  <c r="B1491" i="3"/>
  <c r="C1490" i="3"/>
  <c r="B1490" i="3"/>
  <c r="C1489" i="3"/>
  <c r="B1489" i="3"/>
  <c r="C1488" i="3"/>
  <c r="B1488" i="3"/>
  <c r="C1487" i="3"/>
  <c r="B1487" i="3"/>
  <c r="C1486" i="3"/>
  <c r="B1486" i="3"/>
  <c r="C1485" i="3"/>
  <c r="B1485" i="3"/>
  <c r="C1484" i="3"/>
  <c r="B1484" i="3"/>
  <c r="C1483" i="3"/>
  <c r="B1483" i="3"/>
  <c r="C1482" i="3"/>
  <c r="B1482" i="3"/>
  <c r="C1481" i="3"/>
  <c r="B1481" i="3"/>
  <c r="C1480" i="3"/>
  <c r="B1480" i="3"/>
  <c r="C1479" i="3"/>
  <c r="B1479" i="3"/>
  <c r="C1478" i="3"/>
  <c r="B1478" i="3"/>
  <c r="C1477" i="3"/>
  <c r="B1477" i="3"/>
  <c r="C1476" i="3"/>
  <c r="B1476" i="3"/>
  <c r="C1475" i="3"/>
  <c r="B1475" i="3"/>
  <c r="C1474" i="3"/>
  <c r="B1474" i="3"/>
  <c r="C1473" i="3"/>
  <c r="B1473" i="3"/>
  <c r="C1472" i="3"/>
  <c r="B1472" i="3"/>
  <c r="C1471" i="3"/>
  <c r="B1471" i="3"/>
  <c r="C1470" i="3"/>
  <c r="B1470" i="3"/>
  <c r="C1469" i="3"/>
  <c r="B1469" i="3"/>
  <c r="C1468" i="3"/>
  <c r="B1468" i="3"/>
  <c r="C1467" i="3"/>
  <c r="B1467" i="3"/>
  <c r="C1466" i="3"/>
  <c r="B1466" i="3"/>
  <c r="C1465" i="3"/>
  <c r="B1465" i="3"/>
  <c r="C1464" i="3"/>
  <c r="B1464" i="3"/>
  <c r="C1463" i="3"/>
  <c r="B1463" i="3"/>
  <c r="C1462" i="3"/>
  <c r="B1462" i="3"/>
  <c r="C1461" i="3"/>
  <c r="B1461" i="3"/>
  <c r="C1460" i="3"/>
  <c r="B1460" i="3"/>
  <c r="C1459" i="3"/>
  <c r="B1459" i="3"/>
  <c r="C1458" i="3"/>
  <c r="B1458" i="3"/>
  <c r="C1457" i="3"/>
  <c r="B1457" i="3"/>
  <c r="C1456" i="3"/>
  <c r="B1456" i="3"/>
  <c r="C1455" i="3"/>
  <c r="B1455" i="3"/>
  <c r="C1454" i="3"/>
  <c r="B1454" i="3"/>
  <c r="C1453" i="3"/>
  <c r="B1453" i="3"/>
  <c r="C1452" i="3"/>
  <c r="B1452" i="3"/>
  <c r="C1451" i="3"/>
  <c r="B1451" i="3"/>
  <c r="C1450" i="3"/>
  <c r="B1450" i="3"/>
  <c r="C1449" i="3"/>
  <c r="B1449" i="3"/>
  <c r="C1448" i="3"/>
  <c r="B1448" i="3"/>
  <c r="C1447" i="3"/>
  <c r="B1447" i="3"/>
  <c r="C1446" i="3"/>
  <c r="B1446" i="3"/>
  <c r="C1445" i="3"/>
  <c r="B1445" i="3"/>
  <c r="C1444" i="3"/>
  <c r="B1444" i="3"/>
  <c r="C1443" i="3"/>
  <c r="B1443" i="3"/>
  <c r="C1442" i="3"/>
  <c r="B1442" i="3"/>
  <c r="C1441" i="3"/>
  <c r="B1441" i="3"/>
  <c r="C1440" i="3"/>
  <c r="B1440" i="3"/>
  <c r="C1439" i="3"/>
  <c r="B1439" i="3"/>
  <c r="C1438" i="3"/>
  <c r="B1438" i="3"/>
  <c r="C1437" i="3"/>
  <c r="B1437" i="3"/>
  <c r="C1436" i="3"/>
  <c r="B1436" i="3"/>
  <c r="C1435" i="3"/>
  <c r="B1435" i="3"/>
  <c r="C1434" i="3"/>
  <c r="B1434" i="3"/>
  <c r="C1433" i="3"/>
  <c r="B1433" i="3"/>
  <c r="C1432" i="3"/>
  <c r="B1432" i="3"/>
  <c r="C1431" i="3"/>
  <c r="B1431" i="3"/>
  <c r="C1430" i="3"/>
  <c r="B1430" i="3"/>
  <c r="C1429" i="3"/>
  <c r="B1429" i="3"/>
  <c r="C1428" i="3"/>
  <c r="B1428" i="3"/>
  <c r="C1427" i="3"/>
  <c r="B1427" i="3"/>
  <c r="C1426" i="3"/>
  <c r="B1426" i="3"/>
  <c r="C1425" i="3"/>
  <c r="B1425" i="3"/>
  <c r="C1424" i="3"/>
  <c r="B1424" i="3"/>
  <c r="C1423" i="3"/>
  <c r="B1423" i="3"/>
  <c r="C1422" i="3"/>
  <c r="B1422" i="3"/>
  <c r="C1421" i="3"/>
  <c r="B1421" i="3"/>
  <c r="C1420" i="3"/>
  <c r="B1420" i="3"/>
  <c r="C1419" i="3"/>
  <c r="B1419" i="3"/>
  <c r="C1418" i="3"/>
  <c r="B1418" i="3"/>
  <c r="C1417" i="3"/>
  <c r="B1417" i="3"/>
  <c r="C1416" i="3"/>
  <c r="B1416" i="3"/>
  <c r="C1415" i="3"/>
  <c r="B1415" i="3"/>
  <c r="C1414" i="3"/>
  <c r="B1414" i="3"/>
  <c r="C1413" i="3"/>
  <c r="B1413" i="3"/>
  <c r="C1412" i="3"/>
  <c r="B1412" i="3"/>
  <c r="C1411" i="3"/>
  <c r="B1411" i="3"/>
  <c r="C1410" i="3"/>
  <c r="B1410" i="3"/>
  <c r="C1409" i="3"/>
  <c r="B1409" i="3"/>
  <c r="C1408" i="3"/>
  <c r="B1408" i="3"/>
  <c r="C1407" i="3"/>
  <c r="B1407" i="3"/>
  <c r="C1406" i="3"/>
  <c r="B1406" i="3"/>
  <c r="C1405" i="3"/>
  <c r="B1405" i="3"/>
  <c r="C1404" i="3"/>
  <c r="B1404" i="3"/>
  <c r="C1403" i="3"/>
  <c r="B1403" i="3"/>
  <c r="C1402" i="3"/>
  <c r="B1402" i="3"/>
  <c r="C1401" i="3"/>
  <c r="B1401" i="3"/>
  <c r="C1400" i="3"/>
  <c r="B1400" i="3"/>
  <c r="C1399" i="3"/>
  <c r="B1399" i="3"/>
  <c r="C1398" i="3"/>
  <c r="B1398" i="3"/>
  <c r="C1397" i="3"/>
  <c r="B1397" i="3"/>
  <c r="C1396" i="3"/>
  <c r="B1396" i="3"/>
  <c r="C1395" i="3"/>
  <c r="B1395" i="3"/>
  <c r="C1394" i="3"/>
  <c r="B1394" i="3"/>
  <c r="C1393" i="3"/>
  <c r="B1393" i="3"/>
  <c r="C1392" i="3"/>
  <c r="B1392" i="3"/>
  <c r="C1391" i="3"/>
  <c r="B1391" i="3"/>
  <c r="C1390" i="3"/>
  <c r="B1390" i="3"/>
  <c r="C1389" i="3"/>
  <c r="B1389" i="3"/>
  <c r="C1388" i="3"/>
  <c r="B1388" i="3"/>
  <c r="C1387" i="3"/>
  <c r="B1387" i="3"/>
  <c r="C1386" i="3"/>
  <c r="B1386" i="3"/>
  <c r="C1385" i="3"/>
  <c r="B1385" i="3"/>
  <c r="C1384" i="3"/>
  <c r="B1384" i="3"/>
  <c r="C1383" i="3"/>
  <c r="B1383" i="3"/>
  <c r="C1382" i="3"/>
  <c r="B1382" i="3"/>
  <c r="C1381" i="3"/>
  <c r="B1381" i="3"/>
  <c r="C1380" i="3"/>
  <c r="B1380" i="3"/>
  <c r="C1379" i="3"/>
  <c r="B1379" i="3"/>
  <c r="C1378" i="3"/>
  <c r="B1378" i="3"/>
  <c r="C1377" i="3"/>
  <c r="B1377" i="3"/>
  <c r="C1376" i="3"/>
  <c r="B1376" i="3"/>
  <c r="C1375" i="3"/>
  <c r="B1375" i="3"/>
  <c r="C1374" i="3"/>
  <c r="B1374" i="3"/>
  <c r="C1373" i="3"/>
  <c r="B1373" i="3"/>
  <c r="C1372" i="3"/>
  <c r="B1372" i="3"/>
  <c r="C1371" i="3"/>
  <c r="B1371" i="3"/>
  <c r="C1370" i="3"/>
  <c r="B1370" i="3"/>
  <c r="C1369" i="3"/>
  <c r="B1369" i="3"/>
  <c r="C1368" i="3"/>
  <c r="B1368" i="3"/>
  <c r="C1367" i="3"/>
  <c r="B1367" i="3"/>
  <c r="C1366" i="3"/>
  <c r="B1366" i="3"/>
  <c r="C1365" i="3"/>
  <c r="B1365" i="3"/>
  <c r="C1364" i="3"/>
  <c r="B1364" i="3"/>
  <c r="C1363" i="3"/>
  <c r="B1363" i="3"/>
  <c r="C1362" i="3"/>
  <c r="B1362" i="3"/>
  <c r="C1361" i="3"/>
  <c r="B1361" i="3"/>
  <c r="C1360" i="3"/>
  <c r="B1360" i="3"/>
  <c r="C1359" i="3"/>
  <c r="B1359" i="3"/>
  <c r="C1358" i="3"/>
  <c r="B1358" i="3"/>
  <c r="C1357" i="3"/>
  <c r="B1357" i="3"/>
  <c r="C1356" i="3"/>
  <c r="B1356" i="3"/>
  <c r="C1355" i="3"/>
  <c r="B1355" i="3"/>
  <c r="C1354" i="3"/>
  <c r="B1354" i="3"/>
  <c r="C1353" i="3"/>
  <c r="B1353" i="3"/>
  <c r="C1352" i="3"/>
  <c r="B1352" i="3"/>
  <c r="C1351" i="3"/>
  <c r="B1351" i="3"/>
  <c r="C1350" i="3"/>
  <c r="B1350" i="3"/>
  <c r="C1349" i="3"/>
  <c r="B1349" i="3"/>
  <c r="C1348" i="3"/>
  <c r="B1348" i="3"/>
  <c r="C1347" i="3"/>
  <c r="B1347" i="3"/>
  <c r="C1346" i="3"/>
  <c r="B1346" i="3"/>
  <c r="C1345" i="3"/>
  <c r="B1345" i="3"/>
  <c r="C1344" i="3"/>
  <c r="B1344" i="3"/>
  <c r="C1343" i="3"/>
  <c r="B1343" i="3"/>
  <c r="C1342" i="3"/>
  <c r="B1342" i="3"/>
  <c r="C1341" i="3"/>
  <c r="B1341" i="3"/>
  <c r="C1340" i="3"/>
  <c r="B1340" i="3"/>
  <c r="C1339" i="3"/>
  <c r="B1339" i="3"/>
  <c r="C1338" i="3"/>
  <c r="B1338" i="3"/>
  <c r="C1337" i="3"/>
  <c r="B1337" i="3"/>
  <c r="C1336" i="3"/>
  <c r="B1336" i="3"/>
  <c r="C1335" i="3"/>
  <c r="B1335" i="3"/>
  <c r="C1334" i="3"/>
  <c r="B1334" i="3"/>
  <c r="C1333" i="3"/>
  <c r="B1333" i="3"/>
  <c r="C1332" i="3"/>
  <c r="B1332" i="3"/>
  <c r="C1331" i="3"/>
  <c r="B1331" i="3"/>
  <c r="C1330" i="3"/>
  <c r="B1330" i="3"/>
  <c r="C1329" i="3"/>
  <c r="B1329" i="3"/>
  <c r="C1328" i="3"/>
  <c r="B1328" i="3"/>
  <c r="C1327" i="3"/>
  <c r="B1327" i="3"/>
  <c r="C1326" i="3"/>
  <c r="B1326" i="3"/>
  <c r="C1325" i="3"/>
  <c r="B1325" i="3"/>
  <c r="C1324" i="3"/>
  <c r="B1324" i="3"/>
  <c r="C1323" i="3"/>
  <c r="B1323" i="3"/>
  <c r="C1322" i="3"/>
  <c r="B1322" i="3"/>
  <c r="C1321" i="3"/>
  <c r="B1321" i="3"/>
  <c r="C1320" i="3"/>
  <c r="B1320" i="3"/>
  <c r="C1319" i="3"/>
  <c r="B1319" i="3"/>
  <c r="C1318" i="3"/>
  <c r="B1318" i="3"/>
  <c r="C1317" i="3"/>
  <c r="B1317" i="3"/>
  <c r="C1316" i="3"/>
  <c r="B1316" i="3"/>
  <c r="C1315" i="3"/>
  <c r="B1315" i="3"/>
  <c r="C1314" i="3"/>
  <c r="B1314" i="3"/>
  <c r="C1313" i="3"/>
  <c r="B1313" i="3"/>
  <c r="C1312" i="3"/>
  <c r="B1312" i="3"/>
  <c r="C1311" i="3"/>
  <c r="B1311" i="3"/>
  <c r="C1310" i="3"/>
  <c r="B1310" i="3"/>
  <c r="C1309" i="3"/>
  <c r="B1309" i="3"/>
  <c r="C1308" i="3"/>
  <c r="B1308" i="3"/>
  <c r="C1307" i="3"/>
  <c r="B1307" i="3"/>
  <c r="C1306" i="3"/>
  <c r="B1306" i="3"/>
  <c r="C1305" i="3"/>
  <c r="B1305" i="3"/>
  <c r="C1304" i="3"/>
  <c r="B1304" i="3"/>
  <c r="C1303" i="3"/>
  <c r="B1303" i="3"/>
  <c r="C1302" i="3"/>
  <c r="B1302" i="3"/>
  <c r="C1301" i="3"/>
  <c r="B1301" i="3"/>
  <c r="C1300" i="3"/>
  <c r="B1300" i="3"/>
  <c r="C1299" i="3"/>
  <c r="B1299" i="3"/>
  <c r="C1298" i="3"/>
  <c r="B1298" i="3"/>
  <c r="C1297" i="3"/>
  <c r="B1297" i="3"/>
  <c r="C1296" i="3"/>
  <c r="B1296" i="3"/>
  <c r="C1295" i="3"/>
  <c r="B1295" i="3"/>
  <c r="C1294" i="3"/>
  <c r="B1294" i="3"/>
  <c r="C1293" i="3"/>
  <c r="B1293" i="3"/>
  <c r="C1292" i="3"/>
  <c r="B1292" i="3"/>
  <c r="C1291" i="3"/>
  <c r="B1291" i="3"/>
  <c r="C1290" i="3"/>
  <c r="B1290" i="3"/>
  <c r="C1289" i="3"/>
  <c r="B1289" i="3"/>
  <c r="C1288" i="3"/>
  <c r="B1288" i="3"/>
  <c r="C1287" i="3"/>
  <c r="B1287" i="3"/>
  <c r="C1286" i="3"/>
  <c r="B1286" i="3"/>
  <c r="C1285" i="3"/>
  <c r="B1285" i="3"/>
  <c r="C1284" i="3"/>
  <c r="B1284" i="3"/>
  <c r="C1283" i="3"/>
  <c r="B1283" i="3"/>
  <c r="C1282" i="3"/>
  <c r="B1282" i="3"/>
  <c r="C1281" i="3"/>
  <c r="B1281" i="3"/>
  <c r="C1280" i="3"/>
  <c r="B1280" i="3"/>
  <c r="C1279" i="3"/>
  <c r="B1279" i="3"/>
  <c r="C1278" i="3"/>
  <c r="B1278" i="3"/>
  <c r="C1277" i="3"/>
  <c r="B1277" i="3"/>
  <c r="C1276" i="3"/>
  <c r="B1276" i="3"/>
  <c r="C1275" i="3"/>
  <c r="B1275" i="3"/>
  <c r="C1274" i="3"/>
  <c r="B1274" i="3"/>
  <c r="C1273" i="3"/>
  <c r="B1273" i="3"/>
  <c r="C1272" i="3"/>
  <c r="B1272" i="3"/>
  <c r="C1271" i="3"/>
  <c r="B1271" i="3"/>
  <c r="C1270" i="3"/>
  <c r="B1270" i="3"/>
  <c r="C1269" i="3"/>
  <c r="B1269" i="3"/>
  <c r="C1268" i="3"/>
  <c r="B1268" i="3"/>
  <c r="C1267" i="3"/>
  <c r="B1267" i="3"/>
  <c r="C1266" i="3"/>
  <c r="B1266" i="3"/>
  <c r="C1265" i="3"/>
  <c r="B1265" i="3"/>
  <c r="C1264" i="3"/>
  <c r="B1264" i="3"/>
  <c r="C1263" i="3"/>
  <c r="B1263" i="3"/>
  <c r="C1262" i="3"/>
  <c r="B1262" i="3"/>
  <c r="C1261" i="3"/>
  <c r="B1261" i="3"/>
  <c r="C1260" i="3"/>
  <c r="B1260" i="3"/>
  <c r="C1259" i="3"/>
  <c r="B1259" i="3"/>
  <c r="C1258" i="3"/>
  <c r="B1258" i="3"/>
  <c r="C1257" i="3"/>
  <c r="B1257" i="3"/>
  <c r="C1256" i="3"/>
  <c r="B1256" i="3"/>
  <c r="C1255" i="3"/>
  <c r="B1255" i="3"/>
  <c r="C1254" i="3"/>
  <c r="B1254" i="3"/>
  <c r="C1253" i="3"/>
  <c r="B1253" i="3"/>
  <c r="C1252" i="3"/>
  <c r="B1252" i="3"/>
  <c r="C1251" i="3"/>
  <c r="B1251" i="3"/>
  <c r="C1250" i="3"/>
  <c r="B1250" i="3"/>
  <c r="C1249" i="3"/>
  <c r="B1249" i="3"/>
  <c r="C1248" i="3"/>
  <c r="B1248" i="3"/>
  <c r="C1247" i="3"/>
  <c r="B1247" i="3"/>
  <c r="C1246" i="3"/>
  <c r="B1246" i="3"/>
  <c r="C1245" i="3"/>
  <c r="B1245" i="3"/>
  <c r="C1244" i="3"/>
  <c r="B1244" i="3"/>
  <c r="C1243" i="3"/>
  <c r="B1243" i="3"/>
  <c r="C1242" i="3"/>
  <c r="B1242" i="3"/>
  <c r="C1241" i="3"/>
  <c r="B1241" i="3"/>
  <c r="C1240" i="3"/>
  <c r="B1240" i="3"/>
  <c r="C1239" i="3"/>
  <c r="B1239" i="3"/>
  <c r="C1238" i="3"/>
  <c r="B1238" i="3"/>
  <c r="C1237" i="3"/>
  <c r="B1237" i="3"/>
  <c r="C1236" i="3"/>
  <c r="B1236" i="3"/>
  <c r="C1235" i="3"/>
  <c r="B1235" i="3"/>
  <c r="C1234" i="3"/>
  <c r="B1234" i="3"/>
  <c r="C1233" i="3"/>
  <c r="B1233" i="3"/>
  <c r="C1232" i="3"/>
  <c r="B1232" i="3"/>
  <c r="C1231" i="3"/>
  <c r="B1231" i="3"/>
  <c r="C1230" i="3"/>
  <c r="B1230" i="3"/>
  <c r="C1229" i="3"/>
  <c r="B1229" i="3"/>
  <c r="C1228" i="3"/>
  <c r="B1228" i="3"/>
  <c r="C1227" i="3"/>
  <c r="B1227" i="3"/>
  <c r="C1226" i="3"/>
  <c r="B1226" i="3"/>
  <c r="C1225" i="3"/>
  <c r="B1225" i="3"/>
  <c r="C1224" i="3"/>
  <c r="B1224" i="3"/>
  <c r="C1223" i="3"/>
  <c r="B1223" i="3"/>
  <c r="C1222" i="3"/>
  <c r="B1222" i="3"/>
  <c r="C1221" i="3"/>
  <c r="B1221" i="3"/>
  <c r="C1220" i="3"/>
  <c r="B1220" i="3"/>
  <c r="C1219" i="3"/>
  <c r="B1219" i="3"/>
  <c r="C1218" i="3"/>
  <c r="B1218" i="3"/>
  <c r="C1217" i="3"/>
  <c r="B1217" i="3"/>
  <c r="C1216" i="3"/>
  <c r="B1216" i="3"/>
  <c r="C1215" i="3"/>
  <c r="B1215" i="3"/>
  <c r="C1214" i="3"/>
  <c r="B1214" i="3"/>
  <c r="C1213" i="3"/>
  <c r="B1213" i="3"/>
  <c r="C1212" i="3"/>
  <c r="B1212" i="3"/>
  <c r="C1211" i="3"/>
  <c r="B1211" i="3"/>
  <c r="C1210" i="3"/>
  <c r="B1210" i="3"/>
  <c r="C1209" i="3"/>
  <c r="B1209" i="3"/>
  <c r="C1208" i="3"/>
  <c r="B1208" i="3"/>
  <c r="C1207" i="3"/>
  <c r="B1207" i="3"/>
  <c r="C1206" i="3"/>
  <c r="B1206" i="3"/>
  <c r="C1205" i="3"/>
  <c r="B1205" i="3"/>
  <c r="C1204" i="3"/>
  <c r="B1204" i="3"/>
  <c r="C1203" i="3"/>
  <c r="B1203" i="3"/>
  <c r="C1202" i="3"/>
  <c r="B1202" i="3"/>
  <c r="C1201" i="3"/>
  <c r="B1201" i="3"/>
  <c r="C1200" i="3"/>
  <c r="B1200" i="3"/>
  <c r="C1199" i="3"/>
  <c r="B1199" i="3"/>
  <c r="C1198" i="3"/>
  <c r="B1198" i="3"/>
  <c r="C1197" i="3"/>
  <c r="B1197" i="3"/>
  <c r="C1196" i="3"/>
  <c r="B1196" i="3"/>
  <c r="C1195" i="3"/>
  <c r="B1195" i="3"/>
  <c r="C1194" i="3"/>
  <c r="B1194" i="3"/>
  <c r="C1193" i="3"/>
  <c r="B1193" i="3"/>
  <c r="C1192" i="3"/>
  <c r="B1192" i="3"/>
  <c r="C1191" i="3"/>
  <c r="B1191" i="3"/>
  <c r="C1190" i="3"/>
  <c r="B1190" i="3"/>
  <c r="C1189" i="3"/>
  <c r="B1189" i="3"/>
  <c r="C1188" i="3"/>
  <c r="B1188" i="3"/>
  <c r="C1187" i="3"/>
  <c r="B1187" i="3"/>
  <c r="C1186" i="3"/>
  <c r="B1186" i="3"/>
  <c r="C1185" i="3"/>
  <c r="B1185" i="3"/>
  <c r="C1184" i="3"/>
  <c r="B1184" i="3"/>
  <c r="C1183" i="3"/>
  <c r="B1183" i="3"/>
  <c r="C1182" i="3"/>
  <c r="B1182" i="3"/>
  <c r="C1181" i="3"/>
  <c r="B1181" i="3"/>
  <c r="C1180" i="3"/>
  <c r="B1180" i="3"/>
  <c r="C1179" i="3"/>
  <c r="B1179" i="3"/>
  <c r="C1178" i="3"/>
  <c r="B1178" i="3"/>
  <c r="C1177" i="3"/>
  <c r="B1177" i="3"/>
  <c r="C1176" i="3"/>
  <c r="B1176" i="3"/>
  <c r="C1175" i="3"/>
  <c r="B1175" i="3"/>
  <c r="C1174" i="3"/>
  <c r="B1174" i="3"/>
  <c r="C1173" i="3"/>
  <c r="B1173" i="3"/>
  <c r="C1172" i="3"/>
  <c r="B1172" i="3"/>
  <c r="C1171" i="3"/>
  <c r="B1171" i="3"/>
  <c r="C1170" i="3"/>
  <c r="B1170" i="3"/>
  <c r="C1169" i="3"/>
  <c r="B1169" i="3"/>
  <c r="C1168" i="3"/>
  <c r="B1168" i="3"/>
  <c r="C1167" i="3"/>
  <c r="B1167" i="3"/>
  <c r="C1166" i="3"/>
  <c r="B1166" i="3"/>
  <c r="C1165" i="3"/>
  <c r="B1165" i="3"/>
  <c r="C1164" i="3"/>
  <c r="B1164" i="3"/>
  <c r="C1163" i="3"/>
  <c r="B1163" i="3"/>
  <c r="C1162" i="3"/>
  <c r="B1162" i="3"/>
  <c r="C1161" i="3"/>
  <c r="B1161" i="3"/>
  <c r="C1160" i="3"/>
  <c r="B1160" i="3"/>
  <c r="C1159" i="3"/>
  <c r="B1159" i="3"/>
  <c r="C1158" i="3"/>
  <c r="B1158" i="3"/>
  <c r="C1157" i="3"/>
  <c r="B1157" i="3"/>
  <c r="C1156" i="3"/>
  <c r="B1156" i="3"/>
  <c r="C1155" i="3"/>
  <c r="B1155" i="3"/>
  <c r="C1154" i="3"/>
  <c r="B1154" i="3"/>
  <c r="C1153" i="3"/>
  <c r="B1153" i="3"/>
  <c r="C1152" i="3"/>
  <c r="B1152" i="3"/>
  <c r="C1151" i="3"/>
  <c r="B1151" i="3"/>
  <c r="C1150" i="3"/>
  <c r="B1150" i="3"/>
  <c r="C1149" i="3"/>
  <c r="B1149" i="3"/>
  <c r="C1148" i="3"/>
  <c r="B1148" i="3"/>
  <c r="C1147" i="3"/>
  <c r="B1147" i="3"/>
  <c r="C1146" i="3"/>
  <c r="B1146" i="3"/>
  <c r="C1145" i="3"/>
  <c r="B1145" i="3"/>
  <c r="C1144" i="3"/>
  <c r="B1144" i="3"/>
  <c r="C1143" i="3"/>
  <c r="B1143" i="3"/>
  <c r="C1142" i="3"/>
  <c r="B1142" i="3"/>
  <c r="C1141" i="3"/>
  <c r="B1141" i="3"/>
  <c r="C1140" i="3"/>
  <c r="B1140" i="3"/>
  <c r="C1139" i="3"/>
  <c r="B1139" i="3"/>
  <c r="C1138" i="3"/>
  <c r="B1138" i="3"/>
  <c r="C1137" i="3"/>
  <c r="B1137" i="3"/>
  <c r="C1136" i="3"/>
  <c r="B1136" i="3"/>
  <c r="C1135" i="3"/>
  <c r="B1135" i="3"/>
  <c r="C1134" i="3"/>
  <c r="B1134" i="3"/>
  <c r="C1133" i="3"/>
  <c r="B1133" i="3"/>
  <c r="C1132" i="3"/>
  <c r="B1132" i="3"/>
  <c r="C1131" i="3"/>
  <c r="B1131" i="3"/>
  <c r="C1130" i="3"/>
  <c r="B1130" i="3"/>
  <c r="C1129" i="3"/>
  <c r="B1129" i="3"/>
  <c r="C1128" i="3"/>
  <c r="B1128" i="3"/>
  <c r="C1127" i="3"/>
  <c r="B1127" i="3"/>
  <c r="C1126" i="3"/>
  <c r="B1126" i="3"/>
  <c r="C1125" i="3"/>
  <c r="B1125" i="3"/>
  <c r="C1124" i="3"/>
  <c r="B1124" i="3"/>
  <c r="C1123" i="3"/>
  <c r="B1123" i="3"/>
  <c r="C1122" i="3"/>
  <c r="B1122" i="3"/>
  <c r="C1121" i="3"/>
  <c r="B1121" i="3"/>
  <c r="C1120" i="3"/>
  <c r="B1120" i="3"/>
  <c r="C1119" i="3"/>
  <c r="B1119" i="3"/>
  <c r="C1118" i="3"/>
  <c r="B1118" i="3"/>
  <c r="C1117" i="3"/>
  <c r="B1117" i="3"/>
  <c r="C1116" i="3"/>
  <c r="B1116" i="3"/>
  <c r="C1115" i="3"/>
  <c r="B1115" i="3"/>
  <c r="C1114" i="3"/>
  <c r="B1114" i="3"/>
  <c r="C1113" i="3"/>
  <c r="B1113" i="3"/>
  <c r="C1112" i="3"/>
  <c r="B1112" i="3"/>
  <c r="C1111" i="3"/>
  <c r="B1111" i="3"/>
  <c r="C1110" i="3"/>
  <c r="B1110" i="3"/>
  <c r="C1109" i="3"/>
  <c r="B1109" i="3"/>
  <c r="C1108" i="3"/>
  <c r="B1108" i="3"/>
  <c r="C1107" i="3"/>
  <c r="B1107" i="3"/>
  <c r="C1106" i="3"/>
  <c r="B1106" i="3"/>
  <c r="C1105" i="3"/>
  <c r="B1105" i="3"/>
  <c r="C1104" i="3"/>
  <c r="B1104" i="3"/>
  <c r="C1103" i="3"/>
  <c r="B1103" i="3"/>
  <c r="C1102" i="3"/>
  <c r="B1102" i="3"/>
  <c r="C1101" i="3"/>
  <c r="B1101" i="3"/>
  <c r="C1100" i="3"/>
  <c r="B1100" i="3"/>
  <c r="C1099" i="3"/>
  <c r="B1099" i="3"/>
  <c r="C1098" i="3"/>
  <c r="B1098" i="3"/>
  <c r="C1097" i="3"/>
  <c r="B1097" i="3"/>
  <c r="C1096" i="3"/>
  <c r="B1096" i="3"/>
  <c r="C1095" i="3"/>
  <c r="B1095" i="3"/>
  <c r="C1094" i="3"/>
  <c r="B1094" i="3"/>
  <c r="C1093" i="3"/>
  <c r="B1093" i="3"/>
  <c r="C1092" i="3"/>
  <c r="B1092" i="3"/>
  <c r="C1091" i="3"/>
  <c r="B1091" i="3"/>
  <c r="C1090" i="3"/>
  <c r="B1090" i="3"/>
  <c r="C1089" i="3"/>
  <c r="B1089" i="3"/>
  <c r="C1088" i="3"/>
  <c r="B1088" i="3"/>
  <c r="C1087" i="3"/>
  <c r="B1087" i="3"/>
  <c r="C1086" i="3"/>
  <c r="B1086" i="3"/>
  <c r="C1085" i="3"/>
  <c r="B1085" i="3"/>
  <c r="C1084" i="3"/>
  <c r="B1084" i="3"/>
  <c r="C1083" i="3"/>
  <c r="B1083" i="3"/>
  <c r="C1082" i="3"/>
  <c r="B1082" i="3"/>
  <c r="C1081" i="3"/>
  <c r="B1081" i="3"/>
  <c r="C1080" i="3"/>
  <c r="B1080" i="3"/>
  <c r="C1079" i="3"/>
  <c r="B1079" i="3"/>
  <c r="C1078" i="3"/>
  <c r="B1078" i="3"/>
  <c r="C1077" i="3"/>
  <c r="B1077" i="3"/>
  <c r="C1076" i="3"/>
  <c r="B1076" i="3"/>
  <c r="C1075" i="3"/>
  <c r="B1075" i="3"/>
  <c r="C1074" i="3"/>
  <c r="B1074" i="3"/>
  <c r="C1073" i="3"/>
  <c r="B1073" i="3"/>
  <c r="C1072" i="3"/>
  <c r="B1072" i="3"/>
  <c r="C1071" i="3"/>
  <c r="B1071" i="3"/>
  <c r="C1070" i="3"/>
  <c r="B1070" i="3"/>
  <c r="C1069" i="3"/>
  <c r="B1069" i="3"/>
  <c r="C1068" i="3"/>
  <c r="B1068" i="3"/>
  <c r="C1067" i="3"/>
  <c r="B1067" i="3"/>
  <c r="C1066" i="3"/>
  <c r="B1066" i="3"/>
  <c r="C1065" i="3"/>
  <c r="B1065" i="3"/>
  <c r="C1064" i="3"/>
  <c r="B1064" i="3"/>
  <c r="C1063" i="3"/>
  <c r="B1063" i="3"/>
  <c r="C1062" i="3"/>
  <c r="B1062" i="3"/>
  <c r="C1061" i="3"/>
  <c r="B1061" i="3"/>
  <c r="C1060" i="3"/>
  <c r="B1060" i="3"/>
  <c r="C1059" i="3"/>
  <c r="B1059" i="3"/>
  <c r="C1058" i="3"/>
  <c r="B1058" i="3"/>
  <c r="C1057" i="3"/>
  <c r="B1057" i="3"/>
  <c r="C1056" i="3"/>
  <c r="B1056" i="3"/>
  <c r="C1055" i="3"/>
  <c r="B1055" i="3"/>
  <c r="C1054" i="3"/>
  <c r="B1054" i="3"/>
  <c r="C1053" i="3"/>
  <c r="B1053" i="3"/>
  <c r="C1052" i="3"/>
  <c r="B1052" i="3"/>
  <c r="C1051" i="3"/>
  <c r="B1051" i="3"/>
  <c r="C1050" i="3"/>
  <c r="B1050" i="3"/>
  <c r="C1049" i="3"/>
  <c r="B1049" i="3"/>
  <c r="C1048" i="3"/>
  <c r="B1048" i="3"/>
  <c r="C1047" i="3"/>
  <c r="B1047" i="3"/>
  <c r="C1046" i="3"/>
  <c r="B1046" i="3"/>
  <c r="C1045" i="3"/>
  <c r="B1045" i="3"/>
  <c r="C1044" i="3"/>
  <c r="B1044" i="3"/>
  <c r="C1043" i="3"/>
  <c r="B1043" i="3"/>
  <c r="C1042" i="3"/>
  <c r="B1042" i="3"/>
  <c r="C1041" i="3"/>
  <c r="B1041" i="3"/>
  <c r="C1040" i="3"/>
  <c r="B1040" i="3"/>
  <c r="C1039" i="3"/>
  <c r="B1039" i="3"/>
  <c r="C1038" i="3"/>
  <c r="B1038" i="3"/>
  <c r="C1037" i="3"/>
  <c r="B1037" i="3"/>
  <c r="C1036" i="3"/>
  <c r="B1036" i="3"/>
  <c r="C1035" i="3"/>
  <c r="B1035" i="3"/>
  <c r="C1034" i="3"/>
  <c r="B1034" i="3"/>
  <c r="C1033" i="3"/>
  <c r="B1033" i="3"/>
  <c r="C1032" i="3"/>
  <c r="B1032" i="3"/>
  <c r="C1031" i="3"/>
  <c r="B1031" i="3"/>
  <c r="C1030" i="3"/>
  <c r="B1030" i="3"/>
  <c r="C1029" i="3"/>
  <c r="B1029" i="3"/>
  <c r="C1028" i="3"/>
  <c r="B1028" i="3"/>
  <c r="C1027" i="3"/>
  <c r="B1027" i="3"/>
  <c r="C1026" i="3"/>
  <c r="B1026" i="3"/>
  <c r="C1025" i="3"/>
  <c r="B1025" i="3"/>
  <c r="C1024" i="3"/>
  <c r="B1024" i="3"/>
  <c r="C1023" i="3"/>
  <c r="B1023" i="3"/>
  <c r="C1022" i="3"/>
  <c r="B1022" i="3"/>
  <c r="C1021" i="3"/>
  <c r="B1021" i="3"/>
  <c r="C1020" i="3"/>
  <c r="B1020" i="3"/>
  <c r="C1019" i="3"/>
  <c r="B1019" i="3"/>
  <c r="C1018" i="3"/>
  <c r="B1018" i="3"/>
  <c r="C1017" i="3"/>
  <c r="B1017" i="3"/>
  <c r="C1016" i="3"/>
  <c r="B1016" i="3"/>
  <c r="C1015" i="3"/>
  <c r="B1015" i="3"/>
  <c r="C1014" i="3"/>
  <c r="B1014" i="3"/>
  <c r="C1013" i="3"/>
  <c r="B1013" i="3"/>
  <c r="C1012" i="3"/>
  <c r="B1012" i="3"/>
  <c r="C1011" i="3"/>
  <c r="B1011" i="3"/>
  <c r="C1010" i="3"/>
  <c r="B1010" i="3"/>
  <c r="C1009" i="3"/>
  <c r="B1009" i="3"/>
  <c r="C1008" i="3"/>
  <c r="B1008" i="3"/>
  <c r="C1007" i="3"/>
  <c r="B1007" i="3"/>
  <c r="C1006" i="3"/>
  <c r="B1006" i="3"/>
  <c r="C1005" i="3"/>
  <c r="B1005" i="3"/>
  <c r="C1004" i="3"/>
  <c r="B1004" i="3"/>
  <c r="C1003" i="3"/>
  <c r="B1003" i="3"/>
  <c r="C1002" i="3"/>
  <c r="B1002" i="3"/>
  <c r="C1001" i="3"/>
  <c r="B1001" i="3"/>
  <c r="C1000" i="3"/>
  <c r="B1000" i="3"/>
  <c r="C999" i="3"/>
  <c r="B999" i="3"/>
  <c r="C998" i="3"/>
  <c r="B998" i="3"/>
  <c r="C997" i="3"/>
  <c r="B997" i="3"/>
  <c r="C996" i="3"/>
  <c r="B996" i="3"/>
  <c r="C995" i="3"/>
  <c r="B995" i="3"/>
  <c r="C994" i="3"/>
  <c r="B994" i="3"/>
  <c r="C993" i="3"/>
  <c r="B993" i="3"/>
  <c r="C992" i="3"/>
  <c r="B992" i="3"/>
  <c r="C991" i="3"/>
  <c r="B991" i="3"/>
  <c r="C990" i="3"/>
  <c r="B990" i="3"/>
  <c r="C989" i="3"/>
  <c r="B989" i="3"/>
  <c r="C988" i="3"/>
  <c r="B988" i="3"/>
  <c r="C987" i="3"/>
  <c r="B987" i="3"/>
  <c r="C986" i="3"/>
  <c r="B986" i="3"/>
  <c r="C985" i="3"/>
  <c r="B985" i="3"/>
  <c r="C984" i="3"/>
  <c r="B984" i="3"/>
  <c r="C983" i="3"/>
  <c r="B983" i="3"/>
  <c r="C982" i="3"/>
  <c r="B982" i="3"/>
  <c r="C981" i="3"/>
  <c r="B981" i="3"/>
  <c r="C980" i="3"/>
  <c r="B980" i="3"/>
  <c r="C979" i="3"/>
  <c r="B979" i="3"/>
  <c r="C978" i="3"/>
  <c r="B978" i="3"/>
  <c r="C977" i="3"/>
  <c r="B977" i="3"/>
  <c r="C976" i="3"/>
  <c r="B976" i="3"/>
  <c r="C975" i="3"/>
  <c r="B975" i="3"/>
  <c r="C974" i="3"/>
  <c r="B974" i="3"/>
  <c r="C973" i="3"/>
  <c r="B973" i="3"/>
  <c r="C972" i="3"/>
  <c r="B972" i="3"/>
  <c r="C971" i="3"/>
  <c r="B971" i="3"/>
  <c r="C970" i="3"/>
  <c r="B970" i="3"/>
  <c r="C969" i="3"/>
  <c r="B969" i="3"/>
  <c r="C968" i="3"/>
  <c r="B968" i="3"/>
  <c r="C967" i="3"/>
  <c r="B967" i="3"/>
  <c r="C966" i="3"/>
  <c r="B966" i="3"/>
  <c r="C965" i="3"/>
  <c r="B965" i="3"/>
  <c r="C964" i="3"/>
  <c r="B964" i="3"/>
  <c r="C963" i="3"/>
  <c r="B963" i="3"/>
  <c r="C962" i="3"/>
  <c r="B962" i="3"/>
  <c r="C961" i="3"/>
  <c r="B961" i="3"/>
  <c r="C960" i="3"/>
  <c r="B960" i="3"/>
  <c r="C959" i="3"/>
  <c r="B959" i="3"/>
  <c r="C958" i="3"/>
  <c r="B958" i="3"/>
  <c r="C957" i="3"/>
  <c r="B957" i="3"/>
  <c r="C956" i="3"/>
  <c r="B956" i="3"/>
  <c r="C955" i="3"/>
  <c r="B955" i="3"/>
  <c r="C954" i="3"/>
  <c r="B954" i="3"/>
  <c r="C953" i="3"/>
  <c r="B953" i="3"/>
  <c r="C952" i="3"/>
  <c r="B952" i="3"/>
  <c r="C951" i="3"/>
  <c r="B951" i="3"/>
  <c r="C950" i="3"/>
  <c r="B950" i="3"/>
  <c r="C949" i="3"/>
  <c r="B949" i="3"/>
  <c r="C948" i="3"/>
  <c r="B948" i="3"/>
  <c r="C947" i="3"/>
  <c r="B947" i="3"/>
  <c r="C946" i="3"/>
  <c r="B946" i="3"/>
  <c r="C945" i="3"/>
  <c r="B945" i="3"/>
  <c r="C944" i="3"/>
  <c r="B944" i="3"/>
  <c r="C943" i="3"/>
  <c r="B943" i="3"/>
  <c r="C942" i="3"/>
  <c r="B942" i="3"/>
  <c r="C941" i="3"/>
  <c r="B941" i="3"/>
  <c r="C940" i="3"/>
  <c r="B940" i="3"/>
  <c r="C939" i="3"/>
  <c r="B939" i="3"/>
  <c r="C938" i="3"/>
  <c r="B938" i="3"/>
  <c r="C937" i="3"/>
  <c r="B937" i="3"/>
  <c r="C936" i="3"/>
  <c r="B936" i="3"/>
  <c r="C935" i="3"/>
  <c r="B935" i="3"/>
  <c r="C934" i="3"/>
  <c r="B934" i="3"/>
  <c r="C933" i="3"/>
  <c r="B933" i="3"/>
  <c r="C932" i="3"/>
  <c r="B932" i="3"/>
  <c r="C931" i="3"/>
  <c r="B931" i="3"/>
  <c r="C930" i="3"/>
  <c r="B930" i="3"/>
  <c r="C929" i="3"/>
  <c r="B929" i="3"/>
  <c r="C928" i="3"/>
  <c r="B928" i="3"/>
  <c r="C927" i="3"/>
  <c r="B927" i="3"/>
  <c r="C926" i="3"/>
  <c r="B926" i="3"/>
  <c r="C925" i="3"/>
  <c r="B925" i="3"/>
  <c r="C924" i="3"/>
  <c r="B924" i="3"/>
  <c r="C923" i="3"/>
  <c r="B923" i="3"/>
  <c r="C922" i="3"/>
  <c r="B922" i="3"/>
  <c r="C921" i="3"/>
  <c r="B921" i="3"/>
  <c r="C920" i="3"/>
  <c r="B920" i="3"/>
  <c r="C919" i="3"/>
  <c r="B919" i="3"/>
  <c r="C918" i="3"/>
  <c r="B918" i="3"/>
  <c r="C917" i="3"/>
  <c r="B917" i="3"/>
  <c r="C916" i="3"/>
  <c r="B916" i="3"/>
  <c r="C915" i="3"/>
  <c r="B915" i="3"/>
  <c r="C914" i="3"/>
  <c r="B914" i="3"/>
  <c r="C913" i="3"/>
  <c r="B913" i="3"/>
  <c r="C912" i="3"/>
  <c r="B912" i="3"/>
  <c r="C911" i="3"/>
  <c r="B911" i="3"/>
  <c r="C910" i="3"/>
  <c r="B910" i="3"/>
  <c r="C909" i="3"/>
  <c r="B909" i="3"/>
  <c r="C908" i="3"/>
  <c r="B908" i="3"/>
  <c r="C907" i="3"/>
  <c r="B907" i="3"/>
  <c r="C906" i="3"/>
  <c r="B906" i="3"/>
  <c r="C905" i="3"/>
  <c r="B905" i="3"/>
  <c r="C904" i="3"/>
  <c r="B904" i="3"/>
  <c r="C903" i="3"/>
  <c r="B903" i="3"/>
  <c r="C902" i="3"/>
  <c r="B902" i="3"/>
  <c r="C901" i="3"/>
  <c r="B901" i="3"/>
  <c r="C900" i="3"/>
  <c r="B900" i="3"/>
  <c r="C899" i="3"/>
  <c r="B899" i="3"/>
  <c r="C898" i="3"/>
  <c r="B898" i="3"/>
  <c r="C897" i="3"/>
  <c r="B897" i="3"/>
  <c r="C896" i="3"/>
  <c r="B896" i="3"/>
  <c r="C895" i="3"/>
  <c r="B895" i="3"/>
  <c r="C894" i="3"/>
  <c r="B894" i="3"/>
  <c r="C893" i="3"/>
  <c r="B893" i="3"/>
  <c r="C892" i="3"/>
  <c r="B892" i="3"/>
  <c r="C891" i="3"/>
  <c r="B891" i="3"/>
  <c r="C890" i="3"/>
  <c r="B890" i="3"/>
  <c r="C889" i="3"/>
  <c r="B889" i="3"/>
  <c r="C888" i="3"/>
  <c r="B888" i="3"/>
  <c r="C887" i="3"/>
  <c r="B887" i="3"/>
  <c r="C886" i="3"/>
  <c r="B886" i="3"/>
  <c r="C885" i="3"/>
  <c r="B885" i="3"/>
  <c r="C884" i="3"/>
  <c r="B884" i="3"/>
  <c r="C883" i="3"/>
  <c r="B883" i="3"/>
  <c r="C882" i="3"/>
  <c r="B882" i="3"/>
  <c r="C881" i="3"/>
  <c r="B881" i="3"/>
  <c r="C880" i="3"/>
  <c r="B880" i="3"/>
  <c r="C879" i="3"/>
  <c r="B879" i="3"/>
  <c r="C878" i="3"/>
  <c r="B878" i="3"/>
  <c r="C877" i="3"/>
  <c r="B877" i="3"/>
  <c r="C876" i="3"/>
  <c r="B876" i="3"/>
  <c r="C875" i="3"/>
  <c r="B875" i="3"/>
  <c r="C874" i="3"/>
  <c r="B874" i="3"/>
  <c r="C873" i="3"/>
  <c r="B873" i="3"/>
  <c r="C872" i="3"/>
  <c r="B872" i="3"/>
  <c r="C871" i="3"/>
  <c r="B871" i="3"/>
  <c r="C870" i="3"/>
  <c r="B870" i="3"/>
  <c r="C869" i="3"/>
  <c r="B869" i="3"/>
  <c r="C868" i="3"/>
  <c r="B868" i="3"/>
  <c r="C867" i="3"/>
  <c r="B867" i="3"/>
  <c r="C866" i="3"/>
  <c r="B866" i="3"/>
  <c r="C865" i="3"/>
  <c r="B865" i="3"/>
  <c r="C864" i="3"/>
  <c r="B864" i="3"/>
  <c r="C863" i="3"/>
  <c r="B863" i="3"/>
  <c r="C862" i="3"/>
  <c r="B862" i="3"/>
  <c r="C861" i="3"/>
  <c r="B861" i="3"/>
  <c r="C860" i="3"/>
  <c r="B860" i="3"/>
  <c r="C859" i="3"/>
  <c r="B859" i="3"/>
  <c r="C858" i="3"/>
  <c r="B858" i="3"/>
  <c r="C857" i="3"/>
  <c r="B857" i="3"/>
  <c r="C856" i="3"/>
  <c r="B856" i="3"/>
  <c r="C855" i="3"/>
  <c r="B855" i="3"/>
  <c r="C854" i="3"/>
  <c r="B854" i="3"/>
  <c r="C853" i="3"/>
  <c r="B853" i="3"/>
  <c r="C852" i="3"/>
  <c r="B852" i="3"/>
  <c r="C851" i="3"/>
  <c r="B851" i="3"/>
  <c r="C850" i="3"/>
  <c r="B850" i="3"/>
  <c r="C849" i="3"/>
  <c r="B849" i="3"/>
  <c r="C848" i="3"/>
  <c r="B848" i="3"/>
  <c r="C847" i="3"/>
  <c r="B847" i="3"/>
  <c r="C846" i="3"/>
  <c r="B846" i="3"/>
  <c r="C845" i="3"/>
  <c r="B845" i="3"/>
  <c r="C844" i="3"/>
  <c r="B844" i="3"/>
  <c r="C843" i="3"/>
  <c r="B843" i="3"/>
  <c r="C842" i="3"/>
  <c r="B842" i="3"/>
  <c r="C841" i="3"/>
  <c r="B841" i="3"/>
  <c r="C840" i="3"/>
  <c r="B840" i="3"/>
  <c r="C839" i="3"/>
  <c r="B839" i="3"/>
  <c r="C838" i="3"/>
  <c r="B838" i="3"/>
  <c r="C837" i="3"/>
  <c r="B837" i="3"/>
  <c r="C836" i="3"/>
  <c r="B836" i="3"/>
  <c r="C835" i="3"/>
  <c r="B835" i="3"/>
  <c r="C834" i="3"/>
  <c r="B834" i="3"/>
  <c r="C833" i="3"/>
  <c r="B833" i="3"/>
  <c r="C832" i="3"/>
  <c r="B832" i="3"/>
  <c r="C831" i="3"/>
  <c r="B831" i="3"/>
  <c r="C830" i="3"/>
  <c r="B830" i="3"/>
  <c r="C829" i="3"/>
  <c r="B829" i="3"/>
  <c r="C828" i="3"/>
  <c r="B828" i="3"/>
  <c r="C827" i="3"/>
  <c r="B827" i="3"/>
  <c r="C826" i="3"/>
  <c r="B826" i="3"/>
  <c r="C825" i="3"/>
  <c r="B825" i="3"/>
  <c r="C824" i="3"/>
  <c r="B824" i="3"/>
  <c r="C823" i="3"/>
  <c r="B823" i="3"/>
  <c r="C822" i="3"/>
  <c r="B822" i="3"/>
  <c r="C821" i="3"/>
  <c r="B821" i="3"/>
  <c r="C820" i="3"/>
  <c r="B820" i="3"/>
  <c r="C819" i="3"/>
  <c r="B819" i="3"/>
  <c r="C818" i="3"/>
  <c r="B818" i="3"/>
  <c r="C817" i="3"/>
  <c r="B817" i="3"/>
  <c r="C816" i="3"/>
  <c r="B816" i="3"/>
  <c r="C815" i="3"/>
  <c r="B815" i="3"/>
  <c r="C814" i="3"/>
  <c r="B814" i="3"/>
  <c r="C813" i="3"/>
  <c r="B813" i="3"/>
  <c r="C812" i="3"/>
  <c r="B812" i="3"/>
  <c r="C811" i="3"/>
  <c r="B811" i="3"/>
  <c r="C810" i="3"/>
  <c r="B810" i="3"/>
  <c r="C809" i="3"/>
  <c r="B809" i="3"/>
  <c r="C808" i="3"/>
  <c r="B808" i="3"/>
  <c r="C807" i="3"/>
  <c r="B807" i="3"/>
  <c r="C806" i="3"/>
  <c r="B806" i="3"/>
  <c r="C805" i="3"/>
  <c r="B805" i="3"/>
  <c r="C804" i="3"/>
  <c r="B804" i="3"/>
  <c r="C803" i="3"/>
  <c r="B803" i="3"/>
  <c r="C802" i="3"/>
  <c r="B802" i="3"/>
  <c r="C801" i="3"/>
  <c r="B801" i="3"/>
  <c r="C800" i="3"/>
  <c r="B800" i="3"/>
  <c r="C799" i="3"/>
  <c r="B799" i="3"/>
  <c r="C798" i="3"/>
  <c r="B798" i="3"/>
  <c r="C797" i="3"/>
  <c r="B797" i="3"/>
  <c r="C796" i="3"/>
  <c r="B796" i="3"/>
  <c r="C795" i="3"/>
  <c r="B795" i="3"/>
  <c r="C794" i="3"/>
  <c r="B794" i="3"/>
  <c r="C793" i="3"/>
  <c r="B793" i="3"/>
  <c r="C792" i="3"/>
  <c r="B792" i="3"/>
  <c r="C791" i="3"/>
  <c r="B791" i="3"/>
  <c r="C790" i="3"/>
  <c r="B790" i="3"/>
  <c r="C789" i="3"/>
  <c r="B789" i="3"/>
  <c r="C788" i="3"/>
  <c r="B788" i="3"/>
  <c r="C787" i="3"/>
  <c r="B787" i="3"/>
  <c r="C786" i="3"/>
  <c r="B786" i="3"/>
  <c r="C785" i="3"/>
  <c r="B785" i="3"/>
  <c r="C784" i="3"/>
  <c r="B784" i="3"/>
  <c r="C783" i="3"/>
  <c r="B783" i="3"/>
  <c r="C782" i="3"/>
  <c r="B782" i="3"/>
  <c r="C781" i="3"/>
  <c r="B781" i="3"/>
  <c r="C780" i="3"/>
  <c r="B780" i="3"/>
  <c r="C779" i="3"/>
  <c r="B779" i="3"/>
  <c r="C778" i="3"/>
  <c r="B778" i="3"/>
  <c r="C777" i="3"/>
  <c r="B777" i="3"/>
  <c r="C776" i="3"/>
  <c r="B776" i="3"/>
  <c r="C775" i="3"/>
  <c r="B775" i="3"/>
  <c r="C774" i="3"/>
  <c r="B774" i="3"/>
  <c r="C773" i="3"/>
  <c r="B773" i="3"/>
  <c r="C772" i="3"/>
  <c r="B772" i="3"/>
  <c r="C771" i="3"/>
  <c r="B771" i="3"/>
  <c r="C770" i="3"/>
  <c r="B770" i="3"/>
  <c r="C769" i="3"/>
  <c r="B769" i="3"/>
  <c r="C768" i="3"/>
  <c r="B768" i="3"/>
  <c r="C767" i="3"/>
  <c r="B767" i="3"/>
  <c r="C766" i="3"/>
  <c r="B766" i="3"/>
  <c r="C765" i="3"/>
  <c r="B765" i="3"/>
  <c r="C764" i="3"/>
  <c r="B764" i="3"/>
  <c r="C763" i="3"/>
  <c r="B763" i="3"/>
  <c r="C762" i="3"/>
  <c r="B762" i="3"/>
  <c r="C761" i="3"/>
  <c r="B761" i="3"/>
  <c r="C760" i="3"/>
  <c r="B760" i="3"/>
  <c r="C759" i="3"/>
  <c r="B759" i="3"/>
  <c r="C758" i="3"/>
  <c r="B758" i="3"/>
  <c r="C757" i="3"/>
  <c r="B757" i="3"/>
  <c r="C756" i="3"/>
  <c r="B756" i="3"/>
  <c r="C755" i="3"/>
  <c r="B755" i="3"/>
  <c r="C754" i="3"/>
  <c r="B754" i="3"/>
  <c r="C753" i="3"/>
  <c r="B753" i="3"/>
  <c r="C752" i="3"/>
  <c r="B752" i="3"/>
  <c r="C751" i="3"/>
  <c r="B751" i="3"/>
  <c r="C750" i="3"/>
  <c r="B750" i="3"/>
  <c r="C749" i="3"/>
  <c r="B749" i="3"/>
  <c r="C748" i="3"/>
  <c r="B748" i="3"/>
  <c r="C747" i="3"/>
  <c r="B747" i="3"/>
  <c r="C746" i="3"/>
  <c r="B746" i="3"/>
  <c r="C745" i="3"/>
  <c r="B745" i="3"/>
  <c r="C744" i="3"/>
  <c r="B744" i="3"/>
  <c r="C743" i="3"/>
  <c r="B743" i="3"/>
  <c r="C742" i="3"/>
  <c r="B742" i="3"/>
  <c r="C741" i="3"/>
  <c r="B741" i="3"/>
  <c r="C740" i="3"/>
  <c r="B740" i="3"/>
  <c r="C739" i="3"/>
  <c r="B739" i="3"/>
  <c r="C738" i="3"/>
  <c r="B738" i="3"/>
  <c r="C737" i="3"/>
  <c r="B737" i="3"/>
  <c r="C736" i="3"/>
  <c r="B736" i="3"/>
  <c r="C735" i="3"/>
  <c r="B735" i="3"/>
  <c r="C734" i="3"/>
  <c r="B734" i="3"/>
  <c r="C733" i="3"/>
  <c r="B733" i="3"/>
  <c r="C732" i="3"/>
  <c r="B732" i="3"/>
  <c r="C731" i="3"/>
  <c r="B731" i="3"/>
  <c r="C730" i="3"/>
  <c r="B730" i="3"/>
  <c r="C729" i="3"/>
  <c r="B729" i="3"/>
  <c r="C728" i="3"/>
  <c r="B728" i="3"/>
  <c r="C727" i="3"/>
  <c r="B727" i="3"/>
  <c r="C726" i="3"/>
  <c r="B726" i="3"/>
  <c r="C725" i="3"/>
  <c r="B725" i="3"/>
  <c r="C724" i="3"/>
  <c r="B724" i="3"/>
  <c r="C723" i="3"/>
  <c r="B723" i="3"/>
  <c r="C722" i="3"/>
  <c r="B722" i="3"/>
  <c r="C721" i="3"/>
  <c r="B721" i="3"/>
  <c r="C720" i="3"/>
  <c r="B720" i="3"/>
  <c r="C719" i="3"/>
  <c r="B719" i="3"/>
  <c r="C718" i="3"/>
  <c r="B718" i="3"/>
  <c r="C717" i="3"/>
  <c r="B717" i="3"/>
  <c r="C716" i="3"/>
  <c r="B716" i="3"/>
  <c r="C715" i="3"/>
  <c r="B715" i="3"/>
  <c r="C714" i="3"/>
  <c r="B714" i="3"/>
  <c r="C713" i="3"/>
  <c r="B713" i="3"/>
  <c r="C712" i="3"/>
  <c r="B712" i="3"/>
  <c r="C711" i="3"/>
  <c r="B711" i="3"/>
  <c r="C710" i="3"/>
  <c r="B710" i="3"/>
  <c r="C709" i="3"/>
  <c r="B709" i="3"/>
  <c r="C708" i="3"/>
  <c r="B708" i="3"/>
  <c r="C707" i="3"/>
  <c r="B707" i="3"/>
  <c r="C706" i="3"/>
  <c r="B706" i="3"/>
  <c r="C705" i="3"/>
  <c r="B705" i="3"/>
  <c r="C704" i="3"/>
  <c r="B704" i="3"/>
  <c r="C703" i="3"/>
  <c r="B703" i="3"/>
  <c r="C702" i="3"/>
  <c r="B702" i="3"/>
  <c r="C701" i="3"/>
  <c r="B701" i="3"/>
  <c r="C700" i="3"/>
  <c r="B700" i="3"/>
  <c r="C699" i="3"/>
  <c r="B699" i="3"/>
  <c r="C698" i="3"/>
  <c r="B698" i="3"/>
  <c r="C697" i="3"/>
  <c r="B697" i="3"/>
  <c r="C696" i="3"/>
  <c r="B696" i="3"/>
  <c r="C695" i="3"/>
  <c r="B695" i="3"/>
  <c r="C694" i="3"/>
  <c r="B694" i="3"/>
  <c r="C693" i="3"/>
  <c r="B693" i="3"/>
  <c r="C692" i="3"/>
  <c r="B692" i="3"/>
  <c r="C691" i="3"/>
  <c r="B691" i="3"/>
  <c r="C690" i="3"/>
  <c r="B690" i="3"/>
  <c r="C689" i="3"/>
  <c r="B689" i="3"/>
  <c r="C688" i="3"/>
  <c r="B688" i="3"/>
  <c r="C687" i="3"/>
  <c r="B687" i="3"/>
  <c r="C686" i="3"/>
  <c r="B686" i="3"/>
  <c r="C685" i="3"/>
  <c r="B685" i="3"/>
  <c r="C684" i="3"/>
  <c r="B684" i="3"/>
  <c r="C683" i="3"/>
  <c r="B683" i="3"/>
  <c r="C682" i="3"/>
  <c r="B682" i="3"/>
  <c r="C681" i="3"/>
  <c r="B681" i="3"/>
  <c r="C680" i="3"/>
  <c r="B680" i="3"/>
  <c r="C679" i="3"/>
  <c r="B679" i="3"/>
  <c r="C678" i="3"/>
  <c r="B678" i="3"/>
  <c r="C677" i="3"/>
  <c r="B677" i="3"/>
  <c r="C676" i="3"/>
  <c r="B676" i="3"/>
  <c r="C675" i="3"/>
  <c r="B675" i="3"/>
  <c r="C674" i="3"/>
  <c r="B674" i="3"/>
  <c r="C673" i="3"/>
  <c r="B673" i="3"/>
  <c r="C672" i="3"/>
  <c r="B672" i="3"/>
  <c r="C671" i="3"/>
  <c r="B671" i="3"/>
  <c r="C670" i="3"/>
  <c r="B670" i="3"/>
  <c r="C669" i="3"/>
  <c r="B669" i="3"/>
  <c r="C668" i="3"/>
  <c r="B668" i="3"/>
  <c r="C667" i="3"/>
  <c r="B667" i="3"/>
  <c r="C666" i="3"/>
  <c r="B666" i="3"/>
  <c r="C665" i="3"/>
  <c r="B665" i="3"/>
  <c r="C664" i="3"/>
  <c r="B664" i="3"/>
  <c r="C663" i="3"/>
  <c r="B663" i="3"/>
  <c r="C662" i="3"/>
  <c r="B662" i="3"/>
  <c r="C661" i="3"/>
  <c r="B661" i="3"/>
  <c r="C660" i="3"/>
  <c r="B660" i="3"/>
  <c r="C659" i="3"/>
  <c r="B659" i="3"/>
  <c r="C658" i="3"/>
  <c r="B658" i="3"/>
  <c r="C657" i="3"/>
  <c r="B657" i="3"/>
  <c r="C656" i="3"/>
  <c r="B656" i="3"/>
  <c r="C655" i="3"/>
  <c r="B655" i="3"/>
  <c r="C654" i="3"/>
  <c r="B654" i="3"/>
  <c r="C653" i="3"/>
  <c r="B653" i="3"/>
  <c r="C652" i="3"/>
  <c r="B652" i="3"/>
  <c r="C651" i="3"/>
  <c r="B651" i="3"/>
  <c r="C650" i="3"/>
  <c r="B650" i="3"/>
  <c r="C649" i="3"/>
  <c r="B649" i="3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C640" i="3"/>
  <c r="B640" i="3"/>
  <c r="C639" i="3"/>
  <c r="B639" i="3"/>
  <c r="C638" i="3"/>
  <c r="B638" i="3"/>
  <c r="C637" i="3"/>
  <c r="B637" i="3"/>
  <c r="C636" i="3"/>
  <c r="B636" i="3"/>
  <c r="C635" i="3"/>
  <c r="B635" i="3"/>
  <c r="C634" i="3"/>
  <c r="B634" i="3"/>
  <c r="C633" i="3"/>
  <c r="B633" i="3"/>
  <c r="C632" i="3"/>
  <c r="B632" i="3"/>
  <c r="C631" i="3"/>
  <c r="B631" i="3"/>
  <c r="C630" i="3"/>
  <c r="B630" i="3"/>
  <c r="C629" i="3"/>
  <c r="B629" i="3"/>
  <c r="C628" i="3"/>
  <c r="B628" i="3"/>
  <c r="C627" i="3"/>
  <c r="B627" i="3"/>
  <c r="C626" i="3"/>
  <c r="B626" i="3"/>
  <c r="C625" i="3"/>
  <c r="B625" i="3"/>
  <c r="C624" i="3"/>
  <c r="B624" i="3"/>
  <c r="C623" i="3"/>
  <c r="B623" i="3"/>
  <c r="C622" i="3"/>
  <c r="B622" i="3"/>
  <c r="C621" i="3"/>
  <c r="B621" i="3"/>
  <c r="C620" i="3"/>
  <c r="B620" i="3"/>
  <c r="C619" i="3"/>
  <c r="B619" i="3"/>
  <c r="C618" i="3"/>
  <c r="B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606" i="3"/>
  <c r="B606" i="3"/>
  <c r="C605" i="3"/>
  <c r="B605" i="3"/>
  <c r="C604" i="3"/>
  <c r="B604" i="3"/>
  <c r="C603" i="3"/>
  <c r="B603" i="3"/>
  <c r="C602" i="3"/>
  <c r="B602" i="3"/>
  <c r="C601" i="3"/>
  <c r="B601" i="3"/>
  <c r="C600" i="3"/>
  <c r="B600" i="3"/>
  <c r="C599" i="3"/>
  <c r="B599" i="3"/>
  <c r="C598" i="3"/>
  <c r="B598" i="3"/>
  <c r="C597" i="3"/>
  <c r="B597" i="3"/>
  <c r="C596" i="3"/>
  <c r="B596" i="3"/>
  <c r="C595" i="3"/>
  <c r="B595" i="3"/>
  <c r="C594" i="3"/>
  <c r="B594" i="3"/>
  <c r="C593" i="3"/>
  <c r="B593" i="3"/>
  <c r="C592" i="3"/>
  <c r="B592" i="3"/>
  <c r="C591" i="3"/>
  <c r="B591" i="3"/>
  <c r="C590" i="3"/>
  <c r="B590" i="3"/>
  <c r="C589" i="3"/>
  <c r="B589" i="3"/>
  <c r="C588" i="3"/>
  <c r="B588" i="3"/>
  <c r="C587" i="3"/>
  <c r="B587" i="3"/>
  <c r="C586" i="3"/>
  <c r="B586" i="3"/>
  <c r="C585" i="3"/>
  <c r="B585" i="3"/>
  <c r="C584" i="3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H117" i="4" s="1"/>
  <c r="K55" i="11" s="1"/>
  <c r="C7" i="3"/>
  <c r="B7" i="3"/>
  <c r="C6" i="3"/>
  <c r="B6" i="3"/>
  <c r="C5" i="3"/>
  <c r="B5" i="3"/>
  <c r="C4" i="3"/>
  <c r="B4" i="3"/>
  <c r="C3" i="3"/>
  <c r="B3" i="3"/>
  <c r="C2" i="3"/>
  <c r="B2" i="3"/>
  <c r="H5255" i="2"/>
  <c r="I5255" i="2" s="1"/>
  <c r="E5255" i="2"/>
  <c r="D5255" i="2"/>
  <c r="F5255" i="2" s="1"/>
  <c r="C5255" i="2"/>
  <c r="B5255" i="2"/>
  <c r="H5254" i="2"/>
  <c r="I5254" i="2" s="1"/>
  <c r="E5254" i="2"/>
  <c r="D5254" i="2"/>
  <c r="F5254" i="2" s="1"/>
  <c r="C5254" i="2"/>
  <c r="B5254" i="2"/>
  <c r="I5253" i="2"/>
  <c r="H5253" i="2"/>
  <c r="E5253" i="2"/>
  <c r="D5253" i="2"/>
  <c r="F5253" i="2" s="1"/>
  <c r="C5253" i="2"/>
  <c r="B5253" i="2"/>
  <c r="H5252" i="2"/>
  <c r="I5252" i="2" s="1"/>
  <c r="E5252" i="2"/>
  <c r="D5252" i="2"/>
  <c r="F5252" i="2" s="1"/>
  <c r="C5252" i="2"/>
  <c r="B5252" i="2"/>
  <c r="H5251" i="2"/>
  <c r="I5251" i="2" s="1"/>
  <c r="E5251" i="2"/>
  <c r="D5251" i="2"/>
  <c r="F5251" i="2" s="1"/>
  <c r="C5251" i="2"/>
  <c r="B5251" i="2"/>
  <c r="H5250" i="2"/>
  <c r="I5250" i="2" s="1"/>
  <c r="F5250" i="2"/>
  <c r="E5250" i="2"/>
  <c r="D5250" i="2"/>
  <c r="C5250" i="2"/>
  <c r="B5250" i="2"/>
  <c r="H5249" i="2"/>
  <c r="I5249" i="2" s="1"/>
  <c r="E5249" i="2"/>
  <c r="D5249" i="2"/>
  <c r="F5249" i="2" s="1"/>
  <c r="C5249" i="2"/>
  <c r="B5249" i="2"/>
  <c r="H5248" i="2"/>
  <c r="I5248" i="2" s="1"/>
  <c r="E5248" i="2"/>
  <c r="D5248" i="2"/>
  <c r="F5248" i="2" s="1"/>
  <c r="C5248" i="2"/>
  <c r="B5248" i="2"/>
  <c r="H5247" i="2"/>
  <c r="I5247" i="2" s="1"/>
  <c r="E5247" i="2"/>
  <c r="D5247" i="2"/>
  <c r="F5247" i="2" s="1"/>
  <c r="C5247" i="2"/>
  <c r="B5247" i="2"/>
  <c r="H5246" i="2"/>
  <c r="I5246" i="2" s="1"/>
  <c r="E5246" i="2"/>
  <c r="D5246" i="2"/>
  <c r="F5246" i="2" s="1"/>
  <c r="C5246" i="2"/>
  <c r="B5246" i="2"/>
  <c r="I5245" i="2"/>
  <c r="F5245" i="2"/>
  <c r="C5245" i="2"/>
  <c r="B5245" i="2"/>
  <c r="I5244" i="2"/>
  <c r="F5244" i="2"/>
  <c r="C5244" i="2"/>
  <c r="B5244" i="2"/>
  <c r="I5243" i="2"/>
  <c r="F5243" i="2"/>
  <c r="C5243" i="2"/>
  <c r="B5243" i="2"/>
  <c r="I5242" i="2"/>
  <c r="F5242" i="2"/>
  <c r="C5242" i="2"/>
  <c r="B5242" i="2"/>
  <c r="I5241" i="2"/>
  <c r="F5241" i="2"/>
  <c r="C5241" i="2"/>
  <c r="B5241" i="2"/>
  <c r="I5240" i="2"/>
  <c r="F5240" i="2"/>
  <c r="C5240" i="2"/>
  <c r="B5240" i="2"/>
  <c r="I5239" i="2"/>
  <c r="F5239" i="2"/>
  <c r="C5239" i="2"/>
  <c r="B5239" i="2"/>
  <c r="I5238" i="2"/>
  <c r="F5238" i="2"/>
  <c r="C5238" i="2"/>
  <c r="B5238" i="2"/>
  <c r="I5237" i="2"/>
  <c r="F5237" i="2"/>
  <c r="C5237" i="2"/>
  <c r="B5237" i="2"/>
  <c r="I5236" i="2"/>
  <c r="F5236" i="2"/>
  <c r="C5236" i="2"/>
  <c r="B5236" i="2"/>
  <c r="I5235" i="2"/>
  <c r="F5235" i="2"/>
  <c r="C5235" i="2"/>
  <c r="B5235" i="2"/>
  <c r="I5234" i="2"/>
  <c r="F5234" i="2"/>
  <c r="C5234" i="2"/>
  <c r="B5234" i="2"/>
  <c r="I5233" i="2"/>
  <c r="F5233" i="2"/>
  <c r="C5233" i="2"/>
  <c r="B5233" i="2"/>
  <c r="I5232" i="2"/>
  <c r="F5232" i="2"/>
  <c r="C5232" i="2"/>
  <c r="B5232" i="2"/>
  <c r="I5231" i="2"/>
  <c r="F5231" i="2"/>
  <c r="C5231" i="2"/>
  <c r="B5231" i="2"/>
  <c r="I5230" i="2"/>
  <c r="F5230" i="2"/>
  <c r="C5230" i="2"/>
  <c r="B5230" i="2"/>
  <c r="I5229" i="2"/>
  <c r="F5229" i="2"/>
  <c r="C5229" i="2"/>
  <c r="B5229" i="2"/>
  <c r="I5228" i="2"/>
  <c r="F5228" i="2"/>
  <c r="C5228" i="2"/>
  <c r="B5228" i="2"/>
  <c r="H5227" i="2"/>
  <c r="I5227" i="2" s="1"/>
  <c r="F5227" i="2"/>
  <c r="C5227" i="2"/>
  <c r="B5227" i="2"/>
  <c r="I5226" i="2"/>
  <c r="F5226" i="2"/>
  <c r="C5226" i="2"/>
  <c r="B5226" i="2"/>
  <c r="I5225" i="2"/>
  <c r="F5225" i="2"/>
  <c r="C5225" i="2"/>
  <c r="B5225" i="2"/>
  <c r="I5224" i="2"/>
  <c r="F5224" i="2"/>
  <c r="C5224" i="2"/>
  <c r="B5224" i="2"/>
  <c r="I5223" i="2"/>
  <c r="F5223" i="2"/>
  <c r="C5223" i="2"/>
  <c r="B5223" i="2"/>
  <c r="I5222" i="2"/>
  <c r="H5222" i="2"/>
  <c r="F5222" i="2"/>
  <c r="C5222" i="2"/>
  <c r="B5222" i="2"/>
  <c r="I5221" i="2"/>
  <c r="F5221" i="2"/>
  <c r="C5221" i="2"/>
  <c r="B5221" i="2"/>
  <c r="I5220" i="2"/>
  <c r="F5220" i="2"/>
  <c r="C5220" i="2"/>
  <c r="B5220" i="2"/>
  <c r="I5219" i="2"/>
  <c r="F5219" i="2"/>
  <c r="C5219" i="2"/>
  <c r="B5219" i="2"/>
  <c r="I5218" i="2"/>
  <c r="F5218" i="2"/>
  <c r="C5218" i="2"/>
  <c r="B5218" i="2"/>
  <c r="I5217" i="2"/>
  <c r="F5217" i="2"/>
  <c r="C5217" i="2"/>
  <c r="B5217" i="2"/>
  <c r="I5216" i="2"/>
  <c r="F5216" i="2"/>
  <c r="C5216" i="2"/>
  <c r="B5216" i="2"/>
  <c r="I5215" i="2"/>
  <c r="F5215" i="2"/>
  <c r="C5215" i="2"/>
  <c r="B5215" i="2"/>
  <c r="I5214" i="2"/>
  <c r="F5214" i="2"/>
  <c r="C5214" i="2"/>
  <c r="B5214" i="2"/>
  <c r="I5213" i="2"/>
  <c r="F5213" i="2"/>
  <c r="C5213" i="2"/>
  <c r="B5213" i="2"/>
  <c r="I5212" i="2"/>
  <c r="F5212" i="2"/>
  <c r="C5212" i="2"/>
  <c r="B5212" i="2"/>
  <c r="I5211" i="2"/>
  <c r="F5211" i="2"/>
  <c r="C5211" i="2"/>
  <c r="B5211" i="2"/>
  <c r="I5210" i="2"/>
  <c r="F5210" i="2"/>
  <c r="C5210" i="2"/>
  <c r="B5210" i="2"/>
  <c r="I5209" i="2"/>
  <c r="F5209" i="2"/>
  <c r="C5209" i="2"/>
  <c r="B5209" i="2"/>
  <c r="I5208" i="2"/>
  <c r="F5208" i="2"/>
  <c r="C5208" i="2"/>
  <c r="B5208" i="2"/>
  <c r="I5207" i="2"/>
  <c r="F5207" i="2"/>
  <c r="C5207" i="2"/>
  <c r="B5207" i="2"/>
  <c r="I5206" i="2"/>
  <c r="F5206" i="2"/>
  <c r="C5206" i="2"/>
  <c r="B5206" i="2"/>
  <c r="I5205" i="2"/>
  <c r="F5205" i="2"/>
  <c r="C5205" i="2"/>
  <c r="B5205" i="2"/>
  <c r="I5204" i="2"/>
  <c r="F5204" i="2"/>
  <c r="C5204" i="2"/>
  <c r="B5204" i="2"/>
  <c r="I5203" i="2"/>
  <c r="F5203" i="2"/>
  <c r="C5203" i="2"/>
  <c r="B5203" i="2"/>
  <c r="I5202" i="2"/>
  <c r="F5202" i="2"/>
  <c r="C5202" i="2"/>
  <c r="B5202" i="2"/>
  <c r="I5201" i="2"/>
  <c r="F5201" i="2"/>
  <c r="C5201" i="2"/>
  <c r="B5201" i="2"/>
  <c r="I5200" i="2"/>
  <c r="F5200" i="2"/>
  <c r="C5200" i="2"/>
  <c r="B5200" i="2"/>
  <c r="I5199" i="2"/>
  <c r="F5199" i="2"/>
  <c r="C5199" i="2"/>
  <c r="B5199" i="2"/>
  <c r="I5198" i="2"/>
  <c r="F5198" i="2"/>
  <c r="C5198" i="2"/>
  <c r="B5198" i="2"/>
  <c r="I5197" i="2"/>
  <c r="F5197" i="2"/>
  <c r="C5197" i="2"/>
  <c r="B5197" i="2"/>
  <c r="I5196" i="2"/>
  <c r="F5196" i="2"/>
  <c r="C5196" i="2"/>
  <c r="B5196" i="2"/>
  <c r="I5195" i="2"/>
  <c r="F5195" i="2"/>
  <c r="C5195" i="2"/>
  <c r="B5195" i="2"/>
  <c r="I5194" i="2"/>
  <c r="F5194" i="2"/>
  <c r="C5194" i="2"/>
  <c r="D189" i="12" s="1"/>
  <c r="B5194" i="2"/>
  <c r="I5193" i="2"/>
  <c r="F5193" i="2"/>
  <c r="C5193" i="2"/>
  <c r="B5193" i="2"/>
  <c r="H5192" i="2"/>
  <c r="I5192" i="2" s="1"/>
  <c r="F5192" i="2"/>
  <c r="C5192" i="2"/>
  <c r="B5192" i="2"/>
  <c r="I5191" i="2"/>
  <c r="F5191" i="2"/>
  <c r="C5191" i="2"/>
  <c r="B5191" i="2"/>
  <c r="I5190" i="2"/>
  <c r="F5190" i="2"/>
  <c r="C5190" i="2"/>
  <c r="B5190" i="2"/>
  <c r="I5189" i="2"/>
  <c r="F5189" i="2"/>
  <c r="C5189" i="2"/>
  <c r="B5189" i="2"/>
  <c r="F5188" i="2"/>
  <c r="C5188" i="2"/>
  <c r="B5188" i="2"/>
  <c r="I5187" i="2"/>
  <c r="H5187" i="2"/>
  <c r="H5188" i="2" s="1"/>
  <c r="I5188" i="2" s="1"/>
  <c r="F5187" i="2"/>
  <c r="C5187" i="2"/>
  <c r="B5187" i="2"/>
  <c r="I5186" i="2"/>
  <c r="F5186" i="2"/>
  <c r="C5186" i="2"/>
  <c r="B5186" i="2"/>
  <c r="I5185" i="2"/>
  <c r="F5185" i="2"/>
  <c r="C5185" i="2"/>
  <c r="B5185" i="2"/>
  <c r="I5184" i="2"/>
  <c r="F5184" i="2"/>
  <c r="C5184" i="2"/>
  <c r="B5184" i="2"/>
  <c r="I5183" i="2"/>
  <c r="F5183" i="2"/>
  <c r="C5183" i="2"/>
  <c r="B5183" i="2"/>
  <c r="I5182" i="2"/>
  <c r="F5182" i="2"/>
  <c r="C5182" i="2"/>
  <c r="B5182" i="2"/>
  <c r="I5181" i="2"/>
  <c r="F5181" i="2"/>
  <c r="C5181" i="2"/>
  <c r="B5181" i="2"/>
  <c r="I5180" i="2"/>
  <c r="F5180" i="2"/>
  <c r="C5180" i="2"/>
  <c r="B5180" i="2"/>
  <c r="I5179" i="2"/>
  <c r="F5179" i="2"/>
  <c r="C5179" i="2"/>
  <c r="B5179" i="2"/>
  <c r="I5178" i="2"/>
  <c r="F5178" i="2"/>
  <c r="C5178" i="2"/>
  <c r="B5178" i="2"/>
  <c r="I5177" i="2"/>
  <c r="F5177" i="2"/>
  <c r="C5177" i="2"/>
  <c r="B5177" i="2"/>
  <c r="I5176" i="2"/>
  <c r="F5176" i="2"/>
  <c r="C5176" i="2"/>
  <c r="B5176" i="2"/>
  <c r="I5175" i="2"/>
  <c r="F5175" i="2"/>
  <c r="C5175" i="2"/>
  <c r="B5175" i="2"/>
  <c r="I5174" i="2"/>
  <c r="F5174" i="2"/>
  <c r="C5174" i="2"/>
  <c r="B5174" i="2"/>
  <c r="I5173" i="2"/>
  <c r="F5173" i="2"/>
  <c r="C5173" i="2"/>
  <c r="B5173" i="2"/>
  <c r="I5172" i="2"/>
  <c r="F5172" i="2"/>
  <c r="C5172" i="2"/>
  <c r="B5172" i="2"/>
  <c r="I5171" i="2"/>
  <c r="F5171" i="2"/>
  <c r="C5171" i="2"/>
  <c r="B5171" i="2"/>
  <c r="I5170" i="2"/>
  <c r="F5170" i="2"/>
  <c r="C5170" i="2"/>
  <c r="B5170" i="2"/>
  <c r="I5169" i="2"/>
  <c r="F5169" i="2"/>
  <c r="C5169" i="2"/>
  <c r="B5169" i="2"/>
  <c r="I5168" i="2"/>
  <c r="F5168" i="2"/>
  <c r="C5168" i="2"/>
  <c r="B5168" i="2"/>
  <c r="I5167" i="2"/>
  <c r="F5167" i="2"/>
  <c r="C5167" i="2"/>
  <c r="B5167" i="2"/>
  <c r="I5166" i="2"/>
  <c r="F5166" i="2"/>
  <c r="C5166" i="2"/>
  <c r="B5166" i="2"/>
  <c r="I5165" i="2"/>
  <c r="F5165" i="2"/>
  <c r="C5165" i="2"/>
  <c r="B5165" i="2"/>
  <c r="I5164" i="2"/>
  <c r="F5164" i="2"/>
  <c r="C5164" i="2"/>
  <c r="B5164" i="2"/>
  <c r="I5163" i="2"/>
  <c r="F5163" i="2"/>
  <c r="C5163" i="2"/>
  <c r="B5163" i="2"/>
  <c r="I5162" i="2"/>
  <c r="F5162" i="2"/>
  <c r="C5162" i="2"/>
  <c r="B5162" i="2"/>
  <c r="I5161" i="2"/>
  <c r="F5161" i="2"/>
  <c r="C5161" i="2"/>
  <c r="B5161" i="2"/>
  <c r="I5160" i="2"/>
  <c r="F5160" i="2"/>
  <c r="C5160" i="2"/>
  <c r="B5160" i="2"/>
  <c r="I5159" i="2"/>
  <c r="F5159" i="2"/>
  <c r="C5159" i="2"/>
  <c r="B5159" i="2"/>
  <c r="I5158" i="2"/>
  <c r="F5158" i="2"/>
  <c r="C5158" i="2"/>
  <c r="B5158" i="2"/>
  <c r="I5157" i="2"/>
  <c r="F5157" i="2"/>
  <c r="C5157" i="2"/>
  <c r="B5157" i="2"/>
  <c r="I5156" i="2"/>
  <c r="F5156" i="2"/>
  <c r="C5156" i="2"/>
  <c r="B5156" i="2"/>
  <c r="I5155" i="2"/>
  <c r="F5155" i="2"/>
  <c r="C5155" i="2"/>
  <c r="B5155" i="2"/>
  <c r="I5154" i="2"/>
  <c r="F5154" i="2"/>
  <c r="C5154" i="2"/>
  <c r="B5154" i="2"/>
  <c r="I5153" i="2"/>
  <c r="F5153" i="2"/>
  <c r="C5153" i="2"/>
  <c r="B5153" i="2"/>
  <c r="I5152" i="2"/>
  <c r="F5152" i="2"/>
  <c r="C5152" i="2"/>
  <c r="B5152" i="2"/>
  <c r="I5151" i="2"/>
  <c r="F5151" i="2"/>
  <c r="C5151" i="2"/>
  <c r="B5151" i="2"/>
  <c r="I5150" i="2"/>
  <c r="F5150" i="2"/>
  <c r="C5150" i="2"/>
  <c r="B5150" i="2"/>
  <c r="I5149" i="2"/>
  <c r="F5149" i="2"/>
  <c r="C5149" i="2"/>
  <c r="B5149" i="2"/>
  <c r="I5148" i="2"/>
  <c r="F5148" i="2"/>
  <c r="C5148" i="2"/>
  <c r="B5148" i="2"/>
  <c r="H5147" i="2"/>
  <c r="I5147" i="2" s="1"/>
  <c r="F5147" i="2"/>
  <c r="C5147" i="2"/>
  <c r="B5147" i="2"/>
  <c r="I5146" i="2"/>
  <c r="F5146" i="2"/>
  <c r="C5146" i="2"/>
  <c r="B5146" i="2"/>
  <c r="I5145" i="2"/>
  <c r="F5145" i="2"/>
  <c r="C5145" i="2"/>
  <c r="B5145" i="2"/>
  <c r="I5144" i="2"/>
  <c r="F5144" i="2"/>
  <c r="C5144" i="2"/>
  <c r="B5144" i="2"/>
  <c r="I5143" i="2"/>
  <c r="F5143" i="2"/>
  <c r="C5143" i="2"/>
  <c r="B5143" i="2"/>
  <c r="I5142" i="2"/>
  <c r="F5142" i="2"/>
  <c r="C5142" i="2"/>
  <c r="B5142" i="2"/>
  <c r="I5141" i="2"/>
  <c r="F5141" i="2"/>
  <c r="C5141" i="2"/>
  <c r="B5141" i="2"/>
  <c r="I5140" i="2"/>
  <c r="F5140" i="2"/>
  <c r="C5140" i="2"/>
  <c r="B5140" i="2"/>
  <c r="I5139" i="2"/>
  <c r="F5139" i="2"/>
  <c r="C5139" i="2"/>
  <c r="B5139" i="2"/>
  <c r="I5138" i="2"/>
  <c r="F5138" i="2"/>
  <c r="C5138" i="2"/>
  <c r="B5138" i="2"/>
  <c r="I5137" i="2"/>
  <c r="F5137" i="2"/>
  <c r="C5137" i="2"/>
  <c r="B5137" i="2"/>
  <c r="I5136" i="2"/>
  <c r="F5136" i="2"/>
  <c r="C5136" i="2"/>
  <c r="B5136" i="2"/>
  <c r="I5135" i="2"/>
  <c r="F5135" i="2"/>
  <c r="C5135" i="2"/>
  <c r="B5135" i="2"/>
  <c r="I5134" i="2"/>
  <c r="F5134" i="2"/>
  <c r="C5134" i="2"/>
  <c r="B5134" i="2"/>
  <c r="I5133" i="2"/>
  <c r="F5133" i="2"/>
  <c r="C5133" i="2"/>
  <c r="B5133" i="2"/>
  <c r="I5132" i="2"/>
  <c r="F5132" i="2"/>
  <c r="C5132" i="2"/>
  <c r="B5132" i="2"/>
  <c r="I5131" i="2"/>
  <c r="F5131" i="2"/>
  <c r="C5131" i="2"/>
  <c r="B5131" i="2"/>
  <c r="I5130" i="2"/>
  <c r="F5130" i="2"/>
  <c r="C5130" i="2"/>
  <c r="B5130" i="2"/>
  <c r="I5129" i="2"/>
  <c r="F5129" i="2"/>
  <c r="C5129" i="2"/>
  <c r="B5129" i="2"/>
  <c r="I5128" i="2"/>
  <c r="F5128" i="2"/>
  <c r="C5128" i="2"/>
  <c r="B5128" i="2"/>
  <c r="I5127" i="2"/>
  <c r="F5127" i="2"/>
  <c r="C5127" i="2"/>
  <c r="B5127" i="2"/>
  <c r="I5126" i="2"/>
  <c r="F5126" i="2"/>
  <c r="C5126" i="2"/>
  <c r="B5126" i="2"/>
  <c r="I5125" i="2"/>
  <c r="F5125" i="2"/>
  <c r="C5125" i="2"/>
  <c r="B5125" i="2"/>
  <c r="I5124" i="2"/>
  <c r="F5124" i="2"/>
  <c r="C5124" i="2"/>
  <c r="B5124" i="2"/>
  <c r="I5123" i="2"/>
  <c r="F5123" i="2"/>
  <c r="C5123" i="2"/>
  <c r="B5123" i="2"/>
  <c r="I5122" i="2"/>
  <c r="F5122" i="2"/>
  <c r="C5122" i="2"/>
  <c r="B5122" i="2"/>
  <c r="I5121" i="2"/>
  <c r="F5121" i="2"/>
  <c r="C5121" i="2"/>
  <c r="B5121" i="2"/>
  <c r="I5120" i="2"/>
  <c r="F5120" i="2"/>
  <c r="C5120" i="2"/>
  <c r="B5120" i="2"/>
  <c r="I5119" i="2"/>
  <c r="F5119" i="2"/>
  <c r="C5119" i="2"/>
  <c r="B5119" i="2"/>
  <c r="I5118" i="2"/>
  <c r="F5118" i="2"/>
  <c r="C5118" i="2"/>
  <c r="B5118" i="2"/>
  <c r="I5117" i="2"/>
  <c r="F5117" i="2"/>
  <c r="C5117" i="2"/>
  <c r="B5117" i="2"/>
  <c r="I5116" i="2"/>
  <c r="F5116" i="2"/>
  <c r="C5116" i="2"/>
  <c r="B5116" i="2"/>
  <c r="I5115" i="2"/>
  <c r="F5115" i="2"/>
  <c r="C5115" i="2"/>
  <c r="B5115" i="2"/>
  <c r="I5114" i="2"/>
  <c r="F5114" i="2"/>
  <c r="C5114" i="2"/>
  <c r="B5114" i="2"/>
  <c r="I5113" i="2"/>
  <c r="F5113" i="2"/>
  <c r="C5113" i="2"/>
  <c r="B5113" i="2"/>
  <c r="I5112" i="2"/>
  <c r="F5112" i="2"/>
  <c r="C5112" i="2"/>
  <c r="B5112" i="2"/>
  <c r="I5111" i="2"/>
  <c r="F5111" i="2"/>
  <c r="C5111" i="2"/>
  <c r="B5111" i="2"/>
  <c r="I5110" i="2"/>
  <c r="F5110" i="2"/>
  <c r="C5110" i="2"/>
  <c r="B5110" i="2"/>
  <c r="I5109" i="2"/>
  <c r="F5109" i="2"/>
  <c r="C5109" i="2"/>
  <c r="B5109" i="2"/>
  <c r="I5108" i="2"/>
  <c r="F5108" i="2"/>
  <c r="C5108" i="2"/>
  <c r="B5108" i="2"/>
  <c r="I5107" i="2"/>
  <c r="F5107" i="2"/>
  <c r="C5107" i="2"/>
  <c r="B5107" i="2"/>
  <c r="I5106" i="2"/>
  <c r="H5106" i="2"/>
  <c r="F5106" i="2"/>
  <c r="C5106" i="2"/>
  <c r="B5106" i="2"/>
  <c r="I5105" i="2"/>
  <c r="H5105" i="2"/>
  <c r="F5105" i="2"/>
  <c r="C5105" i="2"/>
  <c r="B5105" i="2"/>
  <c r="I5104" i="2"/>
  <c r="F5104" i="2"/>
  <c r="C5104" i="2"/>
  <c r="B5104" i="2"/>
  <c r="I5103" i="2"/>
  <c r="I5102" i="2"/>
  <c r="F5102" i="2"/>
  <c r="C5102" i="2"/>
  <c r="B5102" i="2"/>
  <c r="I5101" i="2"/>
  <c r="H5101" i="2"/>
  <c r="F5101" i="2"/>
  <c r="C5101" i="2"/>
  <c r="B5101" i="2"/>
  <c r="I5100" i="2"/>
  <c r="F5100" i="2"/>
  <c r="C5100" i="2"/>
  <c r="B5100" i="2"/>
  <c r="I5099" i="2"/>
  <c r="F5099" i="2"/>
  <c r="C5099" i="2"/>
  <c r="B5099" i="2"/>
  <c r="I5098" i="2"/>
  <c r="F5098" i="2"/>
  <c r="C5098" i="2"/>
  <c r="B5098" i="2"/>
  <c r="I5097" i="2"/>
  <c r="H5097" i="2"/>
  <c r="F5097" i="2"/>
  <c r="C5097" i="2"/>
  <c r="B5097" i="2"/>
  <c r="I5096" i="2"/>
  <c r="F5096" i="2"/>
  <c r="C5096" i="2"/>
  <c r="B5096" i="2"/>
  <c r="I5095" i="2"/>
  <c r="F5095" i="2"/>
  <c r="C5095" i="2"/>
  <c r="B5095" i="2"/>
  <c r="I5094" i="2"/>
  <c r="F5094" i="2"/>
  <c r="C5094" i="2"/>
  <c r="B5094" i="2"/>
  <c r="I5093" i="2"/>
  <c r="F5093" i="2"/>
  <c r="C5093" i="2"/>
  <c r="B5093" i="2"/>
  <c r="I5092" i="2"/>
  <c r="F5092" i="2"/>
  <c r="C5092" i="2"/>
  <c r="B5092" i="2"/>
  <c r="I5091" i="2"/>
  <c r="F5091" i="2"/>
  <c r="C5091" i="2"/>
  <c r="B5091" i="2"/>
  <c r="I5090" i="2"/>
  <c r="F5090" i="2"/>
  <c r="C5090" i="2"/>
  <c r="B5090" i="2"/>
  <c r="I5089" i="2"/>
  <c r="F5089" i="2"/>
  <c r="C5089" i="2"/>
  <c r="B5089" i="2"/>
  <c r="I5088" i="2"/>
  <c r="F5088" i="2"/>
  <c r="C5088" i="2"/>
  <c r="B5088" i="2"/>
  <c r="I5087" i="2"/>
  <c r="F5087" i="2"/>
  <c r="C5087" i="2"/>
  <c r="B5087" i="2"/>
  <c r="I5086" i="2"/>
  <c r="F5086" i="2"/>
  <c r="C5086" i="2"/>
  <c r="B5086" i="2"/>
  <c r="I5085" i="2"/>
  <c r="F5085" i="2"/>
  <c r="C5085" i="2"/>
  <c r="B5085" i="2"/>
  <c r="I5084" i="2"/>
  <c r="F5084" i="2"/>
  <c r="C5084" i="2"/>
  <c r="B5084" i="2"/>
  <c r="I5083" i="2"/>
  <c r="F5083" i="2"/>
  <c r="C5083" i="2"/>
  <c r="B5083" i="2"/>
  <c r="I5082" i="2"/>
  <c r="F5082" i="2"/>
  <c r="C5082" i="2"/>
  <c r="B5082" i="2"/>
  <c r="I5081" i="2"/>
  <c r="F5081" i="2"/>
  <c r="C5081" i="2"/>
  <c r="B5081" i="2"/>
  <c r="I5080" i="2"/>
  <c r="F5080" i="2"/>
  <c r="C5080" i="2"/>
  <c r="B5080" i="2"/>
  <c r="I5079" i="2"/>
  <c r="F5079" i="2"/>
  <c r="C5079" i="2"/>
  <c r="B5079" i="2"/>
  <c r="I5078" i="2"/>
  <c r="F5078" i="2"/>
  <c r="C5078" i="2"/>
  <c r="B5078" i="2"/>
  <c r="I5077" i="2"/>
  <c r="F5077" i="2"/>
  <c r="C5077" i="2"/>
  <c r="B5077" i="2"/>
  <c r="I5076" i="2"/>
  <c r="F5076" i="2"/>
  <c r="C5076" i="2"/>
  <c r="B5076" i="2"/>
  <c r="I5075" i="2"/>
  <c r="F5075" i="2"/>
  <c r="C5075" i="2"/>
  <c r="B5075" i="2"/>
  <c r="I5074" i="2"/>
  <c r="F5074" i="2"/>
  <c r="C5074" i="2"/>
  <c r="B5074" i="2"/>
  <c r="I5073" i="2"/>
  <c r="F5073" i="2"/>
  <c r="C5073" i="2"/>
  <c r="B5073" i="2"/>
  <c r="I5072" i="2"/>
  <c r="F5072" i="2"/>
  <c r="C5072" i="2"/>
  <c r="B5072" i="2"/>
  <c r="I5071" i="2"/>
  <c r="F5071" i="2"/>
  <c r="C5071" i="2"/>
  <c r="B5071" i="2"/>
  <c r="I5070" i="2"/>
  <c r="F5070" i="2"/>
  <c r="C5070" i="2"/>
  <c r="B5070" i="2"/>
  <c r="I5069" i="2"/>
  <c r="F5069" i="2"/>
  <c r="C5069" i="2"/>
  <c r="B5069" i="2"/>
  <c r="I5068" i="2"/>
  <c r="F5068" i="2"/>
  <c r="C5068" i="2"/>
  <c r="B5068" i="2"/>
  <c r="I5067" i="2"/>
  <c r="F5067" i="2"/>
  <c r="C5067" i="2"/>
  <c r="B5067" i="2"/>
  <c r="I5066" i="2"/>
  <c r="F5066" i="2"/>
  <c r="C5066" i="2"/>
  <c r="B5066" i="2"/>
  <c r="I5065" i="2"/>
  <c r="F5065" i="2"/>
  <c r="C5065" i="2"/>
  <c r="B5065" i="2"/>
  <c r="I5064" i="2"/>
  <c r="F5064" i="2"/>
  <c r="C5064" i="2"/>
  <c r="B5064" i="2"/>
  <c r="I5063" i="2"/>
  <c r="F5063" i="2"/>
  <c r="C5063" i="2"/>
  <c r="B5063" i="2"/>
  <c r="I5062" i="2"/>
  <c r="F5062" i="2"/>
  <c r="C5062" i="2"/>
  <c r="B5062" i="2"/>
  <c r="I5061" i="2"/>
  <c r="F5061" i="2"/>
  <c r="C5061" i="2"/>
  <c r="B5061" i="2"/>
  <c r="I5060" i="2"/>
  <c r="F5060" i="2"/>
  <c r="C5060" i="2"/>
  <c r="B5060" i="2"/>
  <c r="I5059" i="2"/>
  <c r="F5059" i="2"/>
  <c r="C5059" i="2"/>
  <c r="B5059" i="2"/>
  <c r="I5058" i="2"/>
  <c r="F5058" i="2"/>
  <c r="C5058" i="2"/>
  <c r="B5058" i="2"/>
  <c r="I5057" i="2"/>
  <c r="F5057" i="2"/>
  <c r="C5057" i="2"/>
  <c r="B5057" i="2"/>
  <c r="I5056" i="2"/>
  <c r="F5056" i="2"/>
  <c r="C5056" i="2"/>
  <c r="B5056" i="2"/>
  <c r="I5055" i="2"/>
  <c r="F5055" i="2"/>
  <c r="C5055" i="2"/>
  <c r="B5055" i="2"/>
  <c r="I5054" i="2"/>
  <c r="F5054" i="2"/>
  <c r="C5054" i="2"/>
  <c r="B5054" i="2"/>
  <c r="I5053" i="2"/>
  <c r="F5053" i="2"/>
  <c r="C5053" i="2"/>
  <c r="B5053" i="2"/>
  <c r="I5052" i="2"/>
  <c r="F5052" i="2"/>
  <c r="C5052" i="2"/>
  <c r="B5052" i="2"/>
  <c r="I5051" i="2"/>
  <c r="F5051" i="2"/>
  <c r="C5051" i="2"/>
  <c r="B5051" i="2"/>
  <c r="I5050" i="2"/>
  <c r="F5050" i="2"/>
  <c r="C5050" i="2"/>
  <c r="B5050" i="2"/>
  <c r="I5049" i="2"/>
  <c r="F5049" i="2"/>
  <c r="C5049" i="2"/>
  <c r="B5049" i="2"/>
  <c r="I5048" i="2"/>
  <c r="F5048" i="2"/>
  <c r="C5048" i="2"/>
  <c r="B5048" i="2"/>
  <c r="I5047" i="2"/>
  <c r="F5047" i="2"/>
  <c r="C5047" i="2"/>
  <c r="B5047" i="2"/>
  <c r="I5046" i="2"/>
  <c r="F5046" i="2"/>
  <c r="C5046" i="2"/>
  <c r="B5046" i="2"/>
  <c r="I5045" i="2"/>
  <c r="H5045" i="2"/>
  <c r="F5045" i="2"/>
  <c r="C5045" i="2"/>
  <c r="B5045" i="2"/>
  <c r="I5044" i="2"/>
  <c r="F5044" i="2"/>
  <c r="C5044" i="2"/>
  <c r="B5044" i="2"/>
  <c r="I5043" i="2"/>
  <c r="F5043" i="2"/>
  <c r="C5043" i="2"/>
  <c r="B5043" i="2"/>
  <c r="I5042" i="2"/>
  <c r="F5042" i="2"/>
  <c r="C5042" i="2"/>
  <c r="B5042" i="2"/>
  <c r="I5041" i="2"/>
  <c r="F5041" i="2"/>
  <c r="C5041" i="2"/>
  <c r="B5041" i="2"/>
  <c r="I5040" i="2"/>
  <c r="F5040" i="2"/>
  <c r="C5040" i="2"/>
  <c r="B5040" i="2"/>
  <c r="I5039" i="2"/>
  <c r="F5039" i="2"/>
  <c r="C5039" i="2"/>
  <c r="B5039" i="2"/>
  <c r="I5038" i="2"/>
  <c r="F5038" i="2"/>
  <c r="C5038" i="2"/>
  <c r="B5038" i="2"/>
  <c r="I5037" i="2"/>
  <c r="F5037" i="2"/>
  <c r="C5037" i="2"/>
  <c r="B5037" i="2"/>
  <c r="I5036" i="2"/>
  <c r="F5036" i="2"/>
  <c r="C5036" i="2"/>
  <c r="B5036" i="2"/>
  <c r="I5035" i="2"/>
  <c r="F5035" i="2"/>
  <c r="C5035" i="2"/>
  <c r="B5035" i="2"/>
  <c r="I5034" i="2"/>
  <c r="F5034" i="2"/>
  <c r="C5034" i="2"/>
  <c r="B5034" i="2"/>
  <c r="I5033" i="2"/>
  <c r="F5033" i="2"/>
  <c r="C5033" i="2"/>
  <c r="B5033" i="2"/>
  <c r="I5032" i="2"/>
  <c r="F5032" i="2"/>
  <c r="C5032" i="2"/>
  <c r="B5032" i="2"/>
  <c r="I5031" i="2"/>
  <c r="F5031" i="2"/>
  <c r="C5031" i="2"/>
  <c r="B5031" i="2"/>
  <c r="I5030" i="2"/>
  <c r="F5030" i="2"/>
  <c r="C5030" i="2"/>
  <c r="B5030" i="2"/>
  <c r="I5029" i="2"/>
  <c r="F5029" i="2"/>
  <c r="C5029" i="2"/>
  <c r="B5029" i="2"/>
  <c r="I5028" i="2"/>
  <c r="F5028" i="2"/>
  <c r="C5028" i="2"/>
  <c r="B5028" i="2"/>
  <c r="I5027" i="2"/>
  <c r="F5027" i="2"/>
  <c r="C5027" i="2"/>
  <c r="B5027" i="2"/>
  <c r="I5026" i="2"/>
  <c r="F5026" i="2"/>
  <c r="C5026" i="2"/>
  <c r="B5026" i="2"/>
  <c r="I5025" i="2"/>
  <c r="F5025" i="2"/>
  <c r="C5025" i="2"/>
  <c r="B5025" i="2"/>
  <c r="I5024" i="2"/>
  <c r="F5024" i="2"/>
  <c r="C5024" i="2"/>
  <c r="B5024" i="2"/>
  <c r="I5023" i="2"/>
  <c r="F5023" i="2"/>
  <c r="C5023" i="2"/>
  <c r="B5023" i="2"/>
  <c r="I5022" i="2"/>
  <c r="F5022" i="2"/>
  <c r="C5022" i="2"/>
  <c r="B5022" i="2"/>
  <c r="I5021" i="2"/>
  <c r="F5021" i="2"/>
  <c r="C5021" i="2"/>
  <c r="B5021" i="2"/>
  <c r="I5020" i="2"/>
  <c r="F5020" i="2"/>
  <c r="C5020" i="2"/>
  <c r="B5020" i="2"/>
  <c r="I5019" i="2"/>
  <c r="F5019" i="2"/>
  <c r="C5019" i="2"/>
  <c r="B5019" i="2"/>
  <c r="I5018" i="2"/>
  <c r="F5018" i="2"/>
  <c r="C5018" i="2"/>
  <c r="B5018" i="2"/>
  <c r="I5017" i="2"/>
  <c r="F5017" i="2"/>
  <c r="C5017" i="2"/>
  <c r="B5017" i="2"/>
  <c r="I5016" i="2"/>
  <c r="F5016" i="2"/>
  <c r="C5016" i="2"/>
  <c r="B5016" i="2"/>
  <c r="I5015" i="2"/>
  <c r="F5015" i="2"/>
  <c r="C5015" i="2"/>
  <c r="B5015" i="2"/>
  <c r="I5014" i="2"/>
  <c r="F5014" i="2"/>
  <c r="C5014" i="2"/>
  <c r="B5014" i="2"/>
  <c r="I5013" i="2"/>
  <c r="F5013" i="2"/>
  <c r="C5013" i="2"/>
  <c r="B5013" i="2"/>
  <c r="I5012" i="2"/>
  <c r="F5012" i="2"/>
  <c r="C5012" i="2"/>
  <c r="B5012" i="2"/>
  <c r="I5011" i="2"/>
  <c r="F5011" i="2"/>
  <c r="C5011" i="2"/>
  <c r="B5011" i="2"/>
  <c r="I5010" i="2"/>
  <c r="F5010" i="2"/>
  <c r="C5010" i="2"/>
  <c r="B5010" i="2"/>
  <c r="I5009" i="2"/>
  <c r="F5009" i="2"/>
  <c r="C5009" i="2"/>
  <c r="B5009" i="2"/>
  <c r="I5008" i="2"/>
  <c r="H5008" i="2"/>
  <c r="F5008" i="2"/>
  <c r="C5008" i="2"/>
  <c r="B5008" i="2"/>
  <c r="I5007" i="2"/>
  <c r="F5007" i="2"/>
  <c r="C5007" i="2"/>
  <c r="B5007" i="2"/>
  <c r="I5006" i="2"/>
  <c r="F5006" i="2"/>
  <c r="C5006" i="2"/>
  <c r="B5006" i="2"/>
  <c r="I5005" i="2"/>
  <c r="F5005" i="2"/>
  <c r="C5005" i="2"/>
  <c r="B5005" i="2"/>
  <c r="I5004" i="2"/>
  <c r="F5004" i="2"/>
  <c r="C5004" i="2"/>
  <c r="B5004" i="2"/>
  <c r="I5003" i="2"/>
  <c r="F5003" i="2"/>
  <c r="C5003" i="2"/>
  <c r="B5003" i="2"/>
  <c r="I5002" i="2"/>
  <c r="F5002" i="2"/>
  <c r="C5002" i="2"/>
  <c r="B5002" i="2"/>
  <c r="I5001" i="2"/>
  <c r="F5001" i="2"/>
  <c r="C5001" i="2"/>
  <c r="B5001" i="2"/>
  <c r="I5000" i="2"/>
  <c r="F5000" i="2"/>
  <c r="C5000" i="2"/>
  <c r="B5000" i="2"/>
  <c r="I4999" i="2"/>
  <c r="F4999" i="2"/>
  <c r="C4999" i="2"/>
  <c r="B4999" i="2"/>
  <c r="I4998" i="2"/>
  <c r="F4998" i="2"/>
  <c r="C4998" i="2"/>
  <c r="B4998" i="2"/>
  <c r="I4997" i="2"/>
  <c r="F4997" i="2"/>
  <c r="C4997" i="2"/>
  <c r="B4997" i="2"/>
  <c r="I4996" i="2"/>
  <c r="F4996" i="2"/>
  <c r="C4996" i="2"/>
  <c r="B4996" i="2"/>
  <c r="I4995" i="2"/>
  <c r="F4995" i="2"/>
  <c r="C4995" i="2"/>
  <c r="B4995" i="2"/>
  <c r="I4994" i="2"/>
  <c r="F4994" i="2"/>
  <c r="C4994" i="2"/>
  <c r="B4994" i="2"/>
  <c r="I4993" i="2"/>
  <c r="F4993" i="2"/>
  <c r="C4993" i="2"/>
  <c r="B4993" i="2"/>
  <c r="I4992" i="2"/>
  <c r="F4992" i="2"/>
  <c r="C4992" i="2"/>
  <c r="B4992" i="2"/>
  <c r="I4991" i="2"/>
  <c r="F4991" i="2"/>
  <c r="C4991" i="2"/>
  <c r="B4991" i="2"/>
  <c r="I4990" i="2"/>
  <c r="F4990" i="2"/>
  <c r="C4990" i="2"/>
  <c r="B4990" i="2"/>
  <c r="I4989" i="2"/>
  <c r="F4989" i="2"/>
  <c r="C4989" i="2"/>
  <c r="B4989" i="2"/>
  <c r="I4988" i="2"/>
  <c r="F4988" i="2"/>
  <c r="C4988" i="2"/>
  <c r="B4988" i="2"/>
  <c r="I4987" i="2"/>
  <c r="F4987" i="2"/>
  <c r="C4987" i="2"/>
  <c r="B4987" i="2"/>
  <c r="I4986" i="2"/>
  <c r="F4986" i="2"/>
  <c r="C4986" i="2"/>
  <c r="B4986" i="2"/>
  <c r="I4985" i="2"/>
  <c r="F4985" i="2"/>
  <c r="C4985" i="2"/>
  <c r="B4985" i="2"/>
  <c r="I4984" i="2"/>
  <c r="F4984" i="2"/>
  <c r="C4984" i="2"/>
  <c r="B4984" i="2"/>
  <c r="I4983" i="2"/>
  <c r="F4983" i="2"/>
  <c r="C4983" i="2"/>
  <c r="B4983" i="2"/>
  <c r="I4982" i="2"/>
  <c r="F4982" i="2"/>
  <c r="C4982" i="2"/>
  <c r="B4982" i="2"/>
  <c r="I4981" i="2"/>
  <c r="F4981" i="2"/>
  <c r="C4981" i="2"/>
  <c r="B4981" i="2"/>
  <c r="I4980" i="2"/>
  <c r="F4980" i="2"/>
  <c r="C4980" i="2"/>
  <c r="B4980" i="2"/>
  <c r="I4979" i="2"/>
  <c r="F4979" i="2"/>
  <c r="C4979" i="2"/>
  <c r="B4979" i="2"/>
  <c r="I4978" i="2"/>
  <c r="F4978" i="2"/>
  <c r="C4978" i="2"/>
  <c r="B4978" i="2"/>
  <c r="I4977" i="2"/>
  <c r="F4977" i="2"/>
  <c r="C4977" i="2"/>
  <c r="B4977" i="2"/>
  <c r="I4976" i="2"/>
  <c r="F4976" i="2"/>
  <c r="C4976" i="2"/>
  <c r="B4976" i="2"/>
  <c r="I4975" i="2"/>
  <c r="F4975" i="2"/>
  <c r="C4975" i="2"/>
  <c r="B4975" i="2"/>
  <c r="I4974" i="2"/>
  <c r="F4974" i="2"/>
  <c r="C4974" i="2"/>
  <c r="B4974" i="2"/>
  <c r="I4973" i="2"/>
  <c r="F4973" i="2"/>
  <c r="C4973" i="2"/>
  <c r="B4973" i="2"/>
  <c r="I4972" i="2"/>
  <c r="I4971" i="2"/>
  <c r="F4971" i="2"/>
  <c r="C4971" i="2"/>
  <c r="B4971" i="2"/>
  <c r="I4970" i="2"/>
  <c r="F4970" i="2"/>
  <c r="C4970" i="2"/>
  <c r="B4970" i="2"/>
  <c r="I4969" i="2"/>
  <c r="F4969" i="2"/>
  <c r="C4969" i="2"/>
  <c r="B4969" i="2"/>
  <c r="H4968" i="2"/>
  <c r="I4968" i="2" s="1"/>
  <c r="F4968" i="2"/>
  <c r="C4968" i="2"/>
  <c r="B4968" i="2"/>
  <c r="I4967" i="2"/>
  <c r="F4967" i="2"/>
  <c r="C4967" i="2"/>
  <c r="B4967" i="2"/>
  <c r="I4966" i="2"/>
  <c r="F4966" i="2"/>
  <c r="C4966" i="2"/>
  <c r="B4966" i="2"/>
  <c r="I4965" i="2"/>
  <c r="F4965" i="2"/>
  <c r="C4965" i="2"/>
  <c r="B4965" i="2"/>
  <c r="I4964" i="2"/>
  <c r="F4964" i="2"/>
  <c r="C4964" i="2"/>
  <c r="B4964" i="2"/>
  <c r="I4963" i="2"/>
  <c r="F4963" i="2"/>
  <c r="C4963" i="2"/>
  <c r="B4963" i="2"/>
  <c r="I4962" i="2"/>
  <c r="F4962" i="2"/>
  <c r="C4962" i="2"/>
  <c r="B4962" i="2"/>
  <c r="I4961" i="2"/>
  <c r="F4961" i="2"/>
  <c r="C4961" i="2"/>
  <c r="B4961" i="2"/>
  <c r="I4960" i="2"/>
  <c r="F4960" i="2"/>
  <c r="C4960" i="2"/>
  <c r="B4960" i="2"/>
  <c r="I4959" i="2"/>
  <c r="F4959" i="2"/>
  <c r="C4959" i="2"/>
  <c r="B4959" i="2"/>
  <c r="I4958" i="2"/>
  <c r="F4958" i="2"/>
  <c r="C4958" i="2"/>
  <c r="B4958" i="2"/>
  <c r="I4957" i="2"/>
  <c r="F4957" i="2"/>
  <c r="C4957" i="2"/>
  <c r="B4957" i="2"/>
  <c r="I4956" i="2"/>
  <c r="F4956" i="2"/>
  <c r="C4956" i="2"/>
  <c r="B4956" i="2"/>
  <c r="I4955" i="2"/>
  <c r="F4955" i="2"/>
  <c r="C4955" i="2"/>
  <c r="B4955" i="2"/>
  <c r="I4954" i="2"/>
  <c r="F4954" i="2"/>
  <c r="C4954" i="2"/>
  <c r="B4954" i="2"/>
  <c r="H4953" i="2"/>
  <c r="I4953" i="2" s="1"/>
  <c r="F4953" i="2"/>
  <c r="C4953" i="2"/>
  <c r="B4953" i="2"/>
  <c r="I4952" i="2"/>
  <c r="F4952" i="2"/>
  <c r="C4952" i="2"/>
  <c r="B4952" i="2"/>
  <c r="I4951" i="2"/>
  <c r="F4951" i="2"/>
  <c r="C4951" i="2"/>
  <c r="B4951" i="2"/>
  <c r="I4950" i="2"/>
  <c r="F4950" i="2"/>
  <c r="C4950" i="2"/>
  <c r="B4950" i="2"/>
  <c r="I4949" i="2"/>
  <c r="F4949" i="2"/>
  <c r="C4949" i="2"/>
  <c r="B4949" i="2"/>
  <c r="I4948" i="2"/>
  <c r="F4948" i="2"/>
  <c r="C4948" i="2"/>
  <c r="B4948" i="2"/>
  <c r="I4947" i="2"/>
  <c r="F4947" i="2"/>
  <c r="C4947" i="2"/>
  <c r="B4947" i="2"/>
  <c r="I4946" i="2"/>
  <c r="F4946" i="2"/>
  <c r="C4946" i="2"/>
  <c r="B4946" i="2"/>
  <c r="I4945" i="2"/>
  <c r="F4945" i="2"/>
  <c r="C4945" i="2"/>
  <c r="B4945" i="2"/>
  <c r="I4944" i="2"/>
  <c r="F4944" i="2"/>
  <c r="C4944" i="2"/>
  <c r="B4944" i="2"/>
  <c r="I4943" i="2"/>
  <c r="F4943" i="2"/>
  <c r="C4943" i="2"/>
  <c r="B4943" i="2"/>
  <c r="I4942" i="2"/>
  <c r="F4942" i="2"/>
  <c r="C4942" i="2"/>
  <c r="B4942" i="2"/>
  <c r="I4941" i="2"/>
  <c r="F4941" i="2"/>
  <c r="C4941" i="2"/>
  <c r="B4941" i="2"/>
  <c r="I4940" i="2"/>
  <c r="F4940" i="2"/>
  <c r="C4940" i="2"/>
  <c r="B4940" i="2"/>
  <c r="I4939" i="2"/>
  <c r="F4939" i="2"/>
  <c r="C4939" i="2"/>
  <c r="B4939" i="2"/>
  <c r="I4938" i="2"/>
  <c r="F4938" i="2"/>
  <c r="C4938" i="2"/>
  <c r="B4938" i="2"/>
  <c r="I4937" i="2"/>
  <c r="F4937" i="2"/>
  <c r="C4937" i="2"/>
  <c r="B4937" i="2"/>
  <c r="I4936" i="2"/>
  <c r="F4936" i="2"/>
  <c r="C4936" i="2"/>
  <c r="B4936" i="2"/>
  <c r="I4935" i="2"/>
  <c r="F4935" i="2"/>
  <c r="C4935" i="2"/>
  <c r="B4935" i="2"/>
  <c r="I4934" i="2"/>
  <c r="H4934" i="2"/>
  <c r="F4934" i="2"/>
  <c r="C4934" i="2"/>
  <c r="B4934" i="2"/>
  <c r="I4933" i="2"/>
  <c r="F4933" i="2"/>
  <c r="C4933" i="2"/>
  <c r="B4933" i="2"/>
  <c r="I4932" i="2"/>
  <c r="F4932" i="2"/>
  <c r="C4932" i="2"/>
  <c r="B4932" i="2"/>
  <c r="I4931" i="2"/>
  <c r="F4931" i="2"/>
  <c r="C4931" i="2"/>
  <c r="B4931" i="2"/>
  <c r="I4930" i="2"/>
  <c r="F4930" i="2"/>
  <c r="C4930" i="2"/>
  <c r="B4930" i="2"/>
  <c r="I4929" i="2"/>
  <c r="F4929" i="2"/>
  <c r="C4929" i="2"/>
  <c r="B4929" i="2"/>
  <c r="H4928" i="2"/>
  <c r="I4928" i="2" s="1"/>
  <c r="F4928" i="2"/>
  <c r="C4928" i="2"/>
  <c r="B4928" i="2"/>
  <c r="I4927" i="2"/>
  <c r="F4927" i="2"/>
  <c r="C4927" i="2"/>
  <c r="B4927" i="2"/>
  <c r="I4926" i="2"/>
  <c r="F4926" i="2"/>
  <c r="C4926" i="2"/>
  <c r="B4926" i="2"/>
  <c r="I4925" i="2"/>
  <c r="F4925" i="2"/>
  <c r="C4925" i="2"/>
  <c r="B4925" i="2"/>
  <c r="I4924" i="2"/>
  <c r="F4924" i="2"/>
  <c r="C4924" i="2"/>
  <c r="B4924" i="2"/>
  <c r="I4923" i="2"/>
  <c r="F4923" i="2"/>
  <c r="C4923" i="2"/>
  <c r="B4923" i="2"/>
  <c r="I4922" i="2"/>
  <c r="F4922" i="2"/>
  <c r="C4922" i="2"/>
  <c r="B4922" i="2"/>
  <c r="I4921" i="2"/>
  <c r="F4921" i="2"/>
  <c r="C4921" i="2"/>
  <c r="B4921" i="2"/>
  <c r="I4920" i="2"/>
  <c r="F4920" i="2"/>
  <c r="C4920" i="2"/>
  <c r="B4920" i="2"/>
  <c r="H4919" i="2"/>
  <c r="I4919" i="2" s="1"/>
  <c r="F4919" i="2"/>
  <c r="C4919" i="2"/>
  <c r="B4919" i="2"/>
  <c r="I4918" i="2"/>
  <c r="F4918" i="2"/>
  <c r="C4918" i="2"/>
  <c r="B4918" i="2"/>
  <c r="I4917" i="2"/>
  <c r="F4917" i="2"/>
  <c r="C4917" i="2"/>
  <c r="B4917" i="2"/>
  <c r="I4916" i="2"/>
  <c r="F4916" i="2"/>
  <c r="C4916" i="2"/>
  <c r="B4916" i="2"/>
  <c r="I4915" i="2"/>
  <c r="F4915" i="2"/>
  <c r="C4915" i="2"/>
  <c r="B4915" i="2"/>
  <c r="I4914" i="2"/>
  <c r="F4914" i="2"/>
  <c r="C4914" i="2"/>
  <c r="B4914" i="2"/>
  <c r="I4913" i="2"/>
  <c r="F4913" i="2"/>
  <c r="C4913" i="2"/>
  <c r="B4913" i="2"/>
  <c r="I4912" i="2"/>
  <c r="F4912" i="2"/>
  <c r="C4912" i="2"/>
  <c r="B4912" i="2"/>
  <c r="I4911" i="2"/>
  <c r="F4911" i="2"/>
  <c r="C4911" i="2"/>
  <c r="B4911" i="2"/>
  <c r="I4910" i="2"/>
  <c r="F4910" i="2"/>
  <c r="C4910" i="2"/>
  <c r="B4910" i="2"/>
  <c r="I4909" i="2"/>
  <c r="F4909" i="2"/>
  <c r="C4909" i="2"/>
  <c r="B4909" i="2"/>
  <c r="I4908" i="2"/>
  <c r="F4908" i="2"/>
  <c r="C4908" i="2"/>
  <c r="B4908" i="2"/>
  <c r="I4907" i="2"/>
  <c r="F4907" i="2"/>
  <c r="C4907" i="2"/>
  <c r="B4907" i="2"/>
  <c r="I4906" i="2"/>
  <c r="F4906" i="2"/>
  <c r="C4906" i="2"/>
  <c r="B4906" i="2"/>
  <c r="I4905" i="2"/>
  <c r="F4905" i="2"/>
  <c r="C4905" i="2"/>
  <c r="B4905" i="2"/>
  <c r="I4904" i="2"/>
  <c r="F4904" i="2"/>
  <c r="C4904" i="2"/>
  <c r="B4904" i="2"/>
  <c r="I4903" i="2"/>
  <c r="F4903" i="2"/>
  <c r="C4903" i="2"/>
  <c r="B4903" i="2"/>
  <c r="I4902" i="2"/>
  <c r="F4902" i="2"/>
  <c r="C4902" i="2"/>
  <c r="B4902" i="2"/>
  <c r="I4901" i="2"/>
  <c r="F4901" i="2"/>
  <c r="C4901" i="2"/>
  <c r="B4901" i="2"/>
  <c r="I4900" i="2"/>
  <c r="F4900" i="2"/>
  <c r="C4900" i="2"/>
  <c r="B4900" i="2"/>
  <c r="I4899" i="2"/>
  <c r="F4899" i="2"/>
  <c r="C4899" i="2"/>
  <c r="B4899" i="2"/>
  <c r="I4898" i="2"/>
  <c r="F4898" i="2"/>
  <c r="C4898" i="2"/>
  <c r="B4898" i="2"/>
  <c r="I4897" i="2"/>
  <c r="F4897" i="2"/>
  <c r="C4897" i="2"/>
  <c r="B4897" i="2"/>
  <c r="I4896" i="2"/>
  <c r="F4896" i="2"/>
  <c r="C4896" i="2"/>
  <c r="B4896" i="2"/>
  <c r="I4895" i="2"/>
  <c r="F4895" i="2"/>
  <c r="C4895" i="2"/>
  <c r="B4895" i="2"/>
  <c r="I4894" i="2"/>
  <c r="F4894" i="2"/>
  <c r="C4894" i="2"/>
  <c r="B4894" i="2"/>
  <c r="I4893" i="2"/>
  <c r="F4893" i="2"/>
  <c r="C4893" i="2"/>
  <c r="B4893" i="2"/>
  <c r="I4892" i="2"/>
  <c r="F4892" i="2"/>
  <c r="C4892" i="2"/>
  <c r="B4892" i="2"/>
  <c r="I4891" i="2"/>
  <c r="F4891" i="2"/>
  <c r="C4891" i="2"/>
  <c r="B4891" i="2"/>
  <c r="H4890" i="2"/>
  <c r="I4890" i="2" s="1"/>
  <c r="F4890" i="2"/>
  <c r="C4890" i="2"/>
  <c r="B4890" i="2"/>
  <c r="I4889" i="2"/>
  <c r="F4889" i="2"/>
  <c r="C4889" i="2"/>
  <c r="B4889" i="2"/>
  <c r="I4888" i="2"/>
  <c r="F4888" i="2"/>
  <c r="C4888" i="2"/>
  <c r="B4888" i="2"/>
  <c r="I4887" i="2"/>
  <c r="F4887" i="2"/>
  <c r="C4887" i="2"/>
  <c r="B4887" i="2"/>
  <c r="I4886" i="2"/>
  <c r="F4886" i="2"/>
  <c r="C4886" i="2"/>
  <c r="B4886" i="2"/>
  <c r="I4885" i="2"/>
  <c r="F4885" i="2"/>
  <c r="C4885" i="2"/>
  <c r="B4885" i="2"/>
  <c r="I4884" i="2"/>
  <c r="F4884" i="2"/>
  <c r="C4884" i="2"/>
  <c r="B4884" i="2"/>
  <c r="I4883" i="2"/>
  <c r="F4883" i="2"/>
  <c r="C4883" i="2"/>
  <c r="B4883" i="2"/>
  <c r="I4882" i="2"/>
  <c r="F4882" i="2"/>
  <c r="C4882" i="2"/>
  <c r="B4882" i="2"/>
  <c r="I4881" i="2"/>
  <c r="F4881" i="2"/>
  <c r="C4881" i="2"/>
  <c r="B4881" i="2"/>
  <c r="I4880" i="2"/>
  <c r="F4880" i="2"/>
  <c r="C4880" i="2"/>
  <c r="B4880" i="2"/>
  <c r="I4879" i="2"/>
  <c r="F4879" i="2"/>
  <c r="C4879" i="2"/>
  <c r="B4879" i="2"/>
  <c r="I4878" i="2"/>
  <c r="F4878" i="2"/>
  <c r="C4878" i="2"/>
  <c r="B4878" i="2"/>
  <c r="I4877" i="2"/>
  <c r="F4877" i="2"/>
  <c r="C4877" i="2"/>
  <c r="B4877" i="2"/>
  <c r="I4876" i="2"/>
  <c r="F4876" i="2"/>
  <c r="C4876" i="2"/>
  <c r="B4876" i="2"/>
  <c r="I4875" i="2"/>
  <c r="I4874" i="2"/>
  <c r="F4874" i="2"/>
  <c r="C4874" i="2"/>
  <c r="B4874" i="2"/>
  <c r="I4873" i="2"/>
  <c r="F4873" i="2"/>
  <c r="C4873" i="2"/>
  <c r="B4873" i="2"/>
  <c r="I4872" i="2"/>
  <c r="F4872" i="2"/>
  <c r="C4872" i="2"/>
  <c r="B4872" i="2"/>
  <c r="I4871" i="2"/>
  <c r="F4871" i="2"/>
  <c r="C4871" i="2"/>
  <c r="B4871" i="2"/>
  <c r="I4870" i="2"/>
  <c r="F4870" i="2"/>
  <c r="C4870" i="2"/>
  <c r="B4870" i="2"/>
  <c r="I4869" i="2"/>
  <c r="F4869" i="2"/>
  <c r="C4869" i="2"/>
  <c r="B4869" i="2"/>
  <c r="I4868" i="2"/>
  <c r="F4868" i="2"/>
  <c r="C4868" i="2"/>
  <c r="B4868" i="2"/>
  <c r="I4867" i="2"/>
  <c r="F4867" i="2"/>
  <c r="C4867" i="2"/>
  <c r="B4867" i="2"/>
  <c r="I4866" i="2"/>
  <c r="F4866" i="2"/>
  <c r="C4866" i="2"/>
  <c r="B4866" i="2"/>
  <c r="I4865" i="2"/>
  <c r="F4865" i="2"/>
  <c r="C4865" i="2"/>
  <c r="B4865" i="2"/>
  <c r="I4864" i="2"/>
  <c r="F4864" i="2"/>
  <c r="C4864" i="2"/>
  <c r="B4864" i="2"/>
  <c r="I4863" i="2"/>
  <c r="F4863" i="2"/>
  <c r="C4863" i="2"/>
  <c r="B4863" i="2"/>
  <c r="I4862" i="2"/>
  <c r="F4862" i="2"/>
  <c r="C4862" i="2"/>
  <c r="B4862" i="2"/>
  <c r="I4861" i="2"/>
  <c r="F4861" i="2"/>
  <c r="C4861" i="2"/>
  <c r="B4861" i="2"/>
  <c r="I4860" i="2"/>
  <c r="F4860" i="2"/>
  <c r="C4860" i="2"/>
  <c r="B4860" i="2"/>
  <c r="I4859" i="2"/>
  <c r="F4859" i="2"/>
  <c r="C4859" i="2"/>
  <c r="B4859" i="2"/>
  <c r="I4858" i="2"/>
  <c r="F4858" i="2"/>
  <c r="C4858" i="2"/>
  <c r="B4858" i="2"/>
  <c r="I4857" i="2"/>
  <c r="F4857" i="2"/>
  <c r="C4857" i="2"/>
  <c r="B4857" i="2"/>
  <c r="I4856" i="2"/>
  <c r="F4856" i="2"/>
  <c r="C4856" i="2"/>
  <c r="B4856" i="2"/>
  <c r="I4855" i="2"/>
  <c r="I4854" i="2"/>
  <c r="F4854" i="2"/>
  <c r="C4854" i="2"/>
  <c r="B4854" i="2"/>
  <c r="I4853" i="2"/>
  <c r="F4853" i="2"/>
  <c r="C4853" i="2"/>
  <c r="B4853" i="2"/>
  <c r="I4852" i="2"/>
  <c r="F4852" i="2"/>
  <c r="C4852" i="2"/>
  <c r="B4852" i="2"/>
  <c r="I4851" i="2"/>
  <c r="F4851" i="2"/>
  <c r="C4851" i="2"/>
  <c r="B4851" i="2"/>
  <c r="H4850" i="2"/>
  <c r="I4850" i="2" s="1"/>
  <c r="F4850" i="2"/>
  <c r="C4850" i="2"/>
  <c r="B4850" i="2"/>
  <c r="I4849" i="2"/>
  <c r="F4849" i="2"/>
  <c r="C4849" i="2"/>
  <c r="B4849" i="2"/>
  <c r="I4848" i="2"/>
  <c r="F4848" i="2"/>
  <c r="C4848" i="2"/>
  <c r="B4848" i="2"/>
  <c r="I4847" i="2"/>
  <c r="F4847" i="2"/>
  <c r="C4847" i="2"/>
  <c r="B4847" i="2"/>
  <c r="I4846" i="2"/>
  <c r="F4846" i="2"/>
  <c r="C4846" i="2"/>
  <c r="B4846" i="2"/>
  <c r="I4845" i="2"/>
  <c r="F4845" i="2"/>
  <c r="C4845" i="2"/>
  <c r="B4845" i="2"/>
  <c r="I4844" i="2"/>
  <c r="F4844" i="2"/>
  <c r="C4844" i="2"/>
  <c r="B4844" i="2"/>
  <c r="I4843" i="2"/>
  <c r="F4843" i="2"/>
  <c r="C4843" i="2"/>
  <c r="B4843" i="2"/>
  <c r="F4842" i="2"/>
  <c r="C4842" i="2"/>
  <c r="B4842" i="2"/>
  <c r="F4841" i="2"/>
  <c r="C4841" i="2"/>
  <c r="B4841" i="2"/>
  <c r="F4840" i="2"/>
  <c r="C4840" i="2"/>
  <c r="B4840" i="2"/>
  <c r="F4839" i="2"/>
  <c r="C4839" i="2"/>
  <c r="B4839" i="2"/>
  <c r="F4838" i="2"/>
  <c r="C4838" i="2"/>
  <c r="B4838" i="2"/>
  <c r="F4837" i="2"/>
  <c r="C4837" i="2"/>
  <c r="B4837" i="2"/>
  <c r="F4836" i="2"/>
  <c r="C4836" i="2"/>
  <c r="B4836" i="2"/>
  <c r="F4835" i="2"/>
  <c r="C4835" i="2"/>
  <c r="B4835" i="2"/>
  <c r="F4834" i="2"/>
  <c r="C4834" i="2"/>
  <c r="B4834" i="2"/>
  <c r="F4833" i="2"/>
  <c r="C4833" i="2"/>
  <c r="B4833" i="2"/>
  <c r="F4832" i="2"/>
  <c r="C4832" i="2"/>
  <c r="B4832" i="2"/>
  <c r="F4831" i="2"/>
  <c r="C4831" i="2"/>
  <c r="B4831" i="2"/>
  <c r="F4830" i="2"/>
  <c r="C4830" i="2"/>
  <c r="B4830" i="2"/>
  <c r="F4829" i="2"/>
  <c r="C4829" i="2"/>
  <c r="B4829" i="2"/>
  <c r="F4828" i="2"/>
  <c r="C4828" i="2"/>
  <c r="B4828" i="2"/>
  <c r="F4827" i="2"/>
  <c r="C4827" i="2"/>
  <c r="B4827" i="2"/>
  <c r="F4826" i="2"/>
  <c r="C4826" i="2"/>
  <c r="B4826" i="2"/>
  <c r="F4825" i="2"/>
  <c r="C4825" i="2"/>
  <c r="B4825" i="2"/>
  <c r="F4824" i="2"/>
  <c r="C4824" i="2"/>
  <c r="B4824" i="2"/>
  <c r="F4823" i="2"/>
  <c r="C4823" i="2"/>
  <c r="B4823" i="2"/>
  <c r="F4822" i="2"/>
  <c r="C4822" i="2"/>
  <c r="B4822" i="2"/>
  <c r="F4821" i="2"/>
  <c r="C4821" i="2"/>
  <c r="B4821" i="2"/>
  <c r="F4820" i="2"/>
  <c r="C4820" i="2"/>
  <c r="B4820" i="2"/>
  <c r="F4819" i="2"/>
  <c r="C4819" i="2"/>
  <c r="B4819" i="2"/>
  <c r="F4818" i="2"/>
  <c r="C4818" i="2"/>
  <c r="B4818" i="2"/>
  <c r="F4817" i="2"/>
  <c r="C4817" i="2"/>
  <c r="B4817" i="2"/>
  <c r="F4816" i="2"/>
  <c r="C4816" i="2"/>
  <c r="B4816" i="2"/>
  <c r="F4815" i="2"/>
  <c r="C4815" i="2"/>
  <c r="B4815" i="2"/>
  <c r="F4814" i="2"/>
  <c r="C4814" i="2"/>
  <c r="B4814" i="2"/>
  <c r="F4813" i="2"/>
  <c r="C4813" i="2"/>
  <c r="B4813" i="2"/>
  <c r="F4812" i="2"/>
  <c r="C4812" i="2"/>
  <c r="B4812" i="2"/>
  <c r="F4811" i="2"/>
  <c r="C4811" i="2"/>
  <c r="B4811" i="2"/>
  <c r="F4810" i="2"/>
  <c r="C4810" i="2"/>
  <c r="B4810" i="2"/>
  <c r="F4809" i="2"/>
  <c r="C4809" i="2"/>
  <c r="B4809" i="2"/>
  <c r="F4808" i="2"/>
  <c r="C4808" i="2"/>
  <c r="B4808" i="2"/>
  <c r="F4807" i="2"/>
  <c r="C4807" i="2"/>
  <c r="B4807" i="2"/>
  <c r="F4806" i="2"/>
  <c r="C4806" i="2"/>
  <c r="B4806" i="2"/>
  <c r="F4805" i="2"/>
  <c r="C4805" i="2"/>
  <c r="B4805" i="2"/>
  <c r="F4804" i="2"/>
  <c r="C4804" i="2"/>
  <c r="B4804" i="2"/>
  <c r="F4803" i="2"/>
  <c r="C4803" i="2"/>
  <c r="B4803" i="2"/>
  <c r="F4802" i="2"/>
  <c r="C4802" i="2"/>
  <c r="B4802" i="2"/>
  <c r="F4801" i="2"/>
  <c r="C4801" i="2"/>
  <c r="B4801" i="2"/>
  <c r="F4800" i="2"/>
  <c r="C4800" i="2"/>
  <c r="B4800" i="2"/>
  <c r="F4799" i="2"/>
  <c r="C4799" i="2"/>
  <c r="B4799" i="2"/>
  <c r="F4798" i="2"/>
  <c r="C4798" i="2"/>
  <c r="B4798" i="2"/>
  <c r="F4797" i="2"/>
  <c r="C4797" i="2"/>
  <c r="B4797" i="2"/>
  <c r="F4796" i="2"/>
  <c r="C4796" i="2"/>
  <c r="B4796" i="2"/>
  <c r="F4795" i="2"/>
  <c r="C4795" i="2"/>
  <c r="B4795" i="2"/>
  <c r="F4794" i="2"/>
  <c r="C4794" i="2"/>
  <c r="B4794" i="2"/>
  <c r="F4793" i="2"/>
  <c r="C4793" i="2"/>
  <c r="B4793" i="2"/>
  <c r="F4792" i="2"/>
  <c r="C4792" i="2"/>
  <c r="B4792" i="2"/>
  <c r="F4791" i="2"/>
  <c r="C4791" i="2"/>
  <c r="B4791" i="2"/>
  <c r="F4790" i="2"/>
  <c r="C4790" i="2"/>
  <c r="B4790" i="2"/>
  <c r="F4789" i="2"/>
  <c r="C4789" i="2"/>
  <c r="B4789" i="2"/>
  <c r="F4788" i="2"/>
  <c r="C4788" i="2"/>
  <c r="B4788" i="2"/>
  <c r="F4787" i="2"/>
  <c r="C4787" i="2"/>
  <c r="B4787" i="2"/>
  <c r="F4786" i="2"/>
  <c r="C4786" i="2"/>
  <c r="B4786" i="2"/>
  <c r="F4785" i="2"/>
  <c r="C4785" i="2"/>
  <c r="B4785" i="2"/>
  <c r="F4784" i="2"/>
  <c r="C4784" i="2"/>
  <c r="B4784" i="2"/>
  <c r="F4783" i="2"/>
  <c r="C4783" i="2"/>
  <c r="B4783" i="2"/>
  <c r="F4782" i="2"/>
  <c r="C4782" i="2"/>
  <c r="B4782" i="2"/>
  <c r="F4781" i="2"/>
  <c r="C4781" i="2"/>
  <c r="B4781" i="2"/>
  <c r="F4780" i="2"/>
  <c r="C4780" i="2"/>
  <c r="B4780" i="2"/>
  <c r="F4779" i="2"/>
  <c r="C4779" i="2"/>
  <c r="B4779" i="2"/>
  <c r="F4778" i="2"/>
  <c r="C4778" i="2"/>
  <c r="B4778" i="2"/>
  <c r="F4777" i="2"/>
  <c r="C4777" i="2"/>
  <c r="B4777" i="2"/>
  <c r="F4776" i="2"/>
  <c r="C4776" i="2"/>
  <c r="B4776" i="2"/>
  <c r="F4775" i="2"/>
  <c r="C4775" i="2"/>
  <c r="B4775" i="2"/>
  <c r="F4774" i="2"/>
  <c r="C4774" i="2"/>
  <c r="B4774" i="2"/>
  <c r="F4773" i="2"/>
  <c r="C4773" i="2"/>
  <c r="B4773" i="2"/>
  <c r="F4772" i="2"/>
  <c r="C4772" i="2"/>
  <c r="B4772" i="2"/>
  <c r="F4771" i="2"/>
  <c r="C4771" i="2"/>
  <c r="B4771" i="2"/>
  <c r="F4770" i="2"/>
  <c r="C4770" i="2"/>
  <c r="B4770" i="2"/>
  <c r="F4769" i="2"/>
  <c r="C4769" i="2"/>
  <c r="B4769" i="2"/>
  <c r="F4768" i="2"/>
  <c r="C4768" i="2"/>
  <c r="B4768" i="2"/>
  <c r="F4767" i="2"/>
  <c r="C4767" i="2"/>
  <c r="B4767" i="2"/>
  <c r="F4766" i="2"/>
  <c r="C4766" i="2"/>
  <c r="B4766" i="2"/>
  <c r="F4765" i="2"/>
  <c r="C4765" i="2"/>
  <c r="B4765" i="2"/>
  <c r="F4764" i="2"/>
  <c r="C4764" i="2"/>
  <c r="B4764" i="2"/>
  <c r="F4763" i="2"/>
  <c r="C4763" i="2"/>
  <c r="B4763" i="2"/>
  <c r="F4762" i="2"/>
  <c r="C4762" i="2"/>
  <c r="B4762" i="2"/>
  <c r="F4761" i="2"/>
  <c r="C4761" i="2"/>
  <c r="B4761" i="2"/>
  <c r="F4760" i="2"/>
  <c r="C4760" i="2"/>
  <c r="B4760" i="2"/>
  <c r="F4759" i="2"/>
  <c r="C4759" i="2"/>
  <c r="B4759" i="2"/>
  <c r="F4758" i="2"/>
  <c r="C4758" i="2"/>
  <c r="B4758" i="2"/>
  <c r="F4757" i="2"/>
  <c r="C4757" i="2"/>
  <c r="B4757" i="2"/>
  <c r="F4756" i="2"/>
  <c r="C4756" i="2"/>
  <c r="B4756" i="2"/>
  <c r="F4755" i="2"/>
  <c r="C4755" i="2"/>
  <c r="B4755" i="2"/>
  <c r="F4754" i="2"/>
  <c r="C4754" i="2"/>
  <c r="B4754" i="2"/>
  <c r="F4753" i="2"/>
  <c r="C4753" i="2"/>
  <c r="B4753" i="2"/>
  <c r="F4752" i="2"/>
  <c r="C4752" i="2"/>
  <c r="B4752" i="2"/>
  <c r="F4751" i="2"/>
  <c r="C4751" i="2"/>
  <c r="B4751" i="2"/>
  <c r="F4750" i="2"/>
  <c r="C4750" i="2"/>
  <c r="B4750" i="2"/>
  <c r="F4749" i="2"/>
  <c r="C4749" i="2"/>
  <c r="B4749" i="2"/>
  <c r="F4748" i="2"/>
  <c r="C4748" i="2"/>
  <c r="B4748" i="2"/>
  <c r="F4747" i="2"/>
  <c r="C4747" i="2"/>
  <c r="B4747" i="2"/>
  <c r="F4746" i="2"/>
  <c r="C4746" i="2"/>
  <c r="B4746" i="2"/>
  <c r="F4745" i="2"/>
  <c r="C4745" i="2"/>
  <c r="B4745" i="2"/>
  <c r="F4744" i="2"/>
  <c r="C4744" i="2"/>
  <c r="B4744" i="2"/>
  <c r="F4743" i="2"/>
  <c r="C4743" i="2"/>
  <c r="B4743" i="2"/>
  <c r="F4742" i="2"/>
  <c r="C4742" i="2"/>
  <c r="B4742" i="2"/>
  <c r="F4741" i="2"/>
  <c r="C4741" i="2"/>
  <c r="B4741" i="2"/>
  <c r="F4740" i="2"/>
  <c r="C4740" i="2"/>
  <c r="B4740" i="2"/>
  <c r="F4739" i="2"/>
  <c r="C4739" i="2"/>
  <c r="B4739" i="2"/>
  <c r="F4738" i="2"/>
  <c r="C4738" i="2"/>
  <c r="B4738" i="2"/>
  <c r="F4737" i="2"/>
  <c r="C4737" i="2"/>
  <c r="B4737" i="2"/>
  <c r="F4736" i="2"/>
  <c r="C4736" i="2"/>
  <c r="B4736" i="2"/>
  <c r="F4735" i="2"/>
  <c r="C4735" i="2"/>
  <c r="B4735" i="2"/>
  <c r="F4734" i="2"/>
  <c r="C4734" i="2"/>
  <c r="B4734" i="2"/>
  <c r="F4733" i="2"/>
  <c r="C4733" i="2"/>
  <c r="B4733" i="2"/>
  <c r="F4732" i="2"/>
  <c r="C4732" i="2"/>
  <c r="B4732" i="2"/>
  <c r="F4731" i="2"/>
  <c r="C4731" i="2"/>
  <c r="B4731" i="2"/>
  <c r="F4730" i="2"/>
  <c r="C4730" i="2"/>
  <c r="B4730" i="2"/>
  <c r="F4729" i="2"/>
  <c r="C4729" i="2"/>
  <c r="B4729" i="2"/>
  <c r="F4728" i="2"/>
  <c r="C4728" i="2"/>
  <c r="B4728" i="2"/>
  <c r="F4727" i="2"/>
  <c r="C4727" i="2"/>
  <c r="B4727" i="2"/>
  <c r="F4726" i="2"/>
  <c r="C4726" i="2"/>
  <c r="B4726" i="2"/>
  <c r="F4725" i="2"/>
  <c r="C4725" i="2"/>
  <c r="B4725" i="2"/>
  <c r="F4724" i="2"/>
  <c r="C4724" i="2"/>
  <c r="B4724" i="2"/>
  <c r="F4723" i="2"/>
  <c r="C4723" i="2"/>
  <c r="B4723" i="2"/>
  <c r="F4722" i="2"/>
  <c r="C4722" i="2"/>
  <c r="B4722" i="2"/>
  <c r="F4721" i="2"/>
  <c r="C4721" i="2"/>
  <c r="B4721" i="2"/>
  <c r="F4720" i="2"/>
  <c r="C4720" i="2"/>
  <c r="B4720" i="2"/>
  <c r="F4719" i="2"/>
  <c r="C4719" i="2"/>
  <c r="B4719" i="2"/>
  <c r="F4718" i="2"/>
  <c r="C4718" i="2"/>
  <c r="B4718" i="2"/>
  <c r="F4717" i="2"/>
  <c r="C4717" i="2"/>
  <c r="B4717" i="2"/>
  <c r="F4716" i="2"/>
  <c r="C4716" i="2"/>
  <c r="B4716" i="2"/>
  <c r="F4715" i="2"/>
  <c r="C4715" i="2"/>
  <c r="B4715" i="2"/>
  <c r="F4714" i="2"/>
  <c r="C4714" i="2"/>
  <c r="B4714" i="2"/>
  <c r="F4713" i="2"/>
  <c r="C4713" i="2"/>
  <c r="B4713" i="2"/>
  <c r="F4712" i="2"/>
  <c r="C4712" i="2"/>
  <c r="B4712" i="2"/>
  <c r="F4711" i="2"/>
  <c r="C4711" i="2"/>
  <c r="B4711" i="2"/>
  <c r="F4710" i="2"/>
  <c r="C4710" i="2"/>
  <c r="B4710" i="2"/>
  <c r="F4709" i="2"/>
  <c r="C4709" i="2"/>
  <c r="B4709" i="2"/>
  <c r="F4708" i="2"/>
  <c r="C4708" i="2"/>
  <c r="B4708" i="2"/>
  <c r="F4707" i="2"/>
  <c r="C4707" i="2"/>
  <c r="B4707" i="2"/>
  <c r="F4706" i="2"/>
  <c r="C4706" i="2"/>
  <c r="B4706" i="2"/>
  <c r="F4705" i="2"/>
  <c r="C4705" i="2"/>
  <c r="B4705" i="2"/>
  <c r="F4704" i="2"/>
  <c r="C4704" i="2"/>
  <c r="B4704" i="2"/>
  <c r="F4703" i="2"/>
  <c r="C4703" i="2"/>
  <c r="B4703" i="2"/>
  <c r="F4702" i="2"/>
  <c r="C4702" i="2"/>
  <c r="B4702" i="2"/>
  <c r="F4701" i="2"/>
  <c r="C4701" i="2"/>
  <c r="B4701" i="2"/>
  <c r="F4700" i="2"/>
  <c r="C4700" i="2"/>
  <c r="B4700" i="2"/>
  <c r="F4699" i="2"/>
  <c r="C4699" i="2"/>
  <c r="B4699" i="2"/>
  <c r="F4698" i="2"/>
  <c r="C4698" i="2"/>
  <c r="B4698" i="2"/>
  <c r="F4697" i="2"/>
  <c r="C4697" i="2"/>
  <c r="B4697" i="2"/>
  <c r="F4696" i="2"/>
  <c r="C4696" i="2"/>
  <c r="B4696" i="2"/>
  <c r="F4695" i="2"/>
  <c r="C4695" i="2"/>
  <c r="B4695" i="2"/>
  <c r="F4694" i="2"/>
  <c r="C4694" i="2"/>
  <c r="B4694" i="2"/>
  <c r="F4693" i="2"/>
  <c r="C4693" i="2"/>
  <c r="B4693" i="2"/>
  <c r="F4692" i="2"/>
  <c r="C4692" i="2"/>
  <c r="B4692" i="2"/>
  <c r="F4691" i="2"/>
  <c r="C4691" i="2"/>
  <c r="B4691" i="2"/>
  <c r="F4690" i="2"/>
  <c r="C4690" i="2"/>
  <c r="B4690" i="2"/>
  <c r="F4689" i="2"/>
  <c r="C4689" i="2"/>
  <c r="B4689" i="2"/>
  <c r="F4688" i="2"/>
  <c r="C4688" i="2"/>
  <c r="B4688" i="2"/>
  <c r="F4687" i="2"/>
  <c r="C4687" i="2"/>
  <c r="B4687" i="2"/>
  <c r="F4686" i="2"/>
  <c r="C4686" i="2"/>
  <c r="B4686" i="2"/>
  <c r="F4685" i="2"/>
  <c r="C4685" i="2"/>
  <c r="B4685" i="2"/>
  <c r="F4684" i="2"/>
  <c r="C4684" i="2"/>
  <c r="B4684" i="2"/>
  <c r="F4683" i="2"/>
  <c r="C4683" i="2"/>
  <c r="B4683" i="2"/>
  <c r="F4682" i="2"/>
  <c r="C4682" i="2"/>
  <c r="B4682" i="2"/>
  <c r="F4681" i="2"/>
  <c r="C4681" i="2"/>
  <c r="B4681" i="2"/>
  <c r="F4680" i="2"/>
  <c r="C4680" i="2"/>
  <c r="B4680" i="2"/>
  <c r="F4679" i="2"/>
  <c r="C4679" i="2"/>
  <c r="B4679" i="2"/>
  <c r="F4678" i="2"/>
  <c r="C4678" i="2"/>
  <c r="B4678" i="2"/>
  <c r="F4677" i="2"/>
  <c r="C4677" i="2"/>
  <c r="B4677" i="2"/>
  <c r="F4676" i="2"/>
  <c r="C4676" i="2"/>
  <c r="B4676" i="2"/>
  <c r="F4675" i="2"/>
  <c r="C4675" i="2"/>
  <c r="B4675" i="2"/>
  <c r="F4674" i="2"/>
  <c r="C4674" i="2"/>
  <c r="B4674" i="2"/>
  <c r="F4673" i="2"/>
  <c r="C4673" i="2"/>
  <c r="B4673" i="2"/>
  <c r="F4672" i="2"/>
  <c r="C4672" i="2"/>
  <c r="B4672" i="2"/>
  <c r="F4671" i="2"/>
  <c r="C4671" i="2"/>
  <c r="B4671" i="2"/>
  <c r="F4670" i="2"/>
  <c r="C4670" i="2"/>
  <c r="B4670" i="2"/>
  <c r="F4669" i="2"/>
  <c r="C4669" i="2"/>
  <c r="B4669" i="2"/>
  <c r="F4668" i="2"/>
  <c r="C4668" i="2"/>
  <c r="B4668" i="2"/>
  <c r="F4667" i="2"/>
  <c r="C4667" i="2"/>
  <c r="B4667" i="2"/>
  <c r="F4666" i="2"/>
  <c r="C4666" i="2"/>
  <c r="B4666" i="2"/>
  <c r="F4665" i="2"/>
  <c r="C4665" i="2"/>
  <c r="B4665" i="2"/>
  <c r="F4664" i="2"/>
  <c r="C4664" i="2"/>
  <c r="B4664" i="2"/>
  <c r="F4663" i="2"/>
  <c r="C4663" i="2"/>
  <c r="B4663" i="2"/>
  <c r="F4662" i="2"/>
  <c r="C4662" i="2"/>
  <c r="B4662" i="2"/>
  <c r="F4661" i="2"/>
  <c r="C4661" i="2"/>
  <c r="B4661" i="2"/>
  <c r="F4660" i="2"/>
  <c r="C4660" i="2"/>
  <c r="B4660" i="2"/>
  <c r="F4659" i="2"/>
  <c r="C4659" i="2"/>
  <c r="B4659" i="2"/>
  <c r="F4658" i="2"/>
  <c r="C4658" i="2"/>
  <c r="B4658" i="2"/>
  <c r="F4657" i="2"/>
  <c r="C4657" i="2"/>
  <c r="B4657" i="2"/>
  <c r="F4656" i="2"/>
  <c r="C4656" i="2"/>
  <c r="B4656" i="2"/>
  <c r="F4655" i="2"/>
  <c r="C4655" i="2"/>
  <c r="B4655" i="2"/>
  <c r="F4654" i="2"/>
  <c r="C4654" i="2"/>
  <c r="B4654" i="2"/>
  <c r="F4653" i="2"/>
  <c r="C4653" i="2"/>
  <c r="B4653" i="2"/>
  <c r="F4652" i="2"/>
  <c r="C4652" i="2"/>
  <c r="B4652" i="2"/>
  <c r="F4651" i="2"/>
  <c r="C4651" i="2"/>
  <c r="B4651" i="2"/>
  <c r="F4650" i="2"/>
  <c r="C4650" i="2"/>
  <c r="B4650" i="2"/>
  <c r="F4649" i="2"/>
  <c r="C4649" i="2"/>
  <c r="B4649" i="2"/>
  <c r="F4648" i="2"/>
  <c r="C4648" i="2"/>
  <c r="B4648" i="2"/>
  <c r="F4647" i="2"/>
  <c r="C4647" i="2"/>
  <c r="B4647" i="2"/>
  <c r="F4646" i="2"/>
  <c r="C4646" i="2"/>
  <c r="B4646" i="2"/>
  <c r="F4645" i="2"/>
  <c r="C4645" i="2"/>
  <c r="B4645" i="2"/>
  <c r="F4644" i="2"/>
  <c r="C4644" i="2"/>
  <c r="B4644" i="2"/>
  <c r="F4643" i="2"/>
  <c r="C4643" i="2"/>
  <c r="B4643" i="2"/>
  <c r="F4642" i="2"/>
  <c r="C4642" i="2"/>
  <c r="B4642" i="2"/>
  <c r="F4641" i="2"/>
  <c r="C4641" i="2"/>
  <c r="B4641" i="2"/>
  <c r="F4640" i="2"/>
  <c r="C4640" i="2"/>
  <c r="B4640" i="2"/>
  <c r="F4639" i="2"/>
  <c r="C4639" i="2"/>
  <c r="B4639" i="2"/>
  <c r="F4638" i="2"/>
  <c r="C4638" i="2"/>
  <c r="B4638" i="2"/>
  <c r="F4637" i="2"/>
  <c r="C4637" i="2"/>
  <c r="B4637" i="2"/>
  <c r="F4636" i="2"/>
  <c r="C4636" i="2"/>
  <c r="B4636" i="2"/>
  <c r="F4635" i="2"/>
  <c r="C4635" i="2"/>
  <c r="B4635" i="2"/>
  <c r="F4634" i="2"/>
  <c r="C4634" i="2"/>
  <c r="B4634" i="2"/>
  <c r="F4633" i="2"/>
  <c r="C4633" i="2"/>
  <c r="B4633" i="2"/>
  <c r="F4632" i="2"/>
  <c r="C4632" i="2"/>
  <c r="B4632" i="2"/>
  <c r="F4631" i="2"/>
  <c r="C4631" i="2"/>
  <c r="B4631" i="2"/>
  <c r="F4630" i="2"/>
  <c r="C4630" i="2"/>
  <c r="B4630" i="2"/>
  <c r="F4629" i="2"/>
  <c r="C4629" i="2"/>
  <c r="B4629" i="2"/>
  <c r="F4628" i="2"/>
  <c r="C4628" i="2"/>
  <c r="B4628" i="2"/>
  <c r="F4627" i="2"/>
  <c r="C4627" i="2"/>
  <c r="B4627" i="2"/>
  <c r="F4626" i="2"/>
  <c r="C4626" i="2"/>
  <c r="B4626" i="2"/>
  <c r="F4625" i="2"/>
  <c r="C4625" i="2"/>
  <c r="B4625" i="2"/>
  <c r="F4624" i="2"/>
  <c r="C4624" i="2"/>
  <c r="B4624" i="2"/>
  <c r="F4623" i="2"/>
  <c r="C4623" i="2"/>
  <c r="B4623" i="2"/>
  <c r="F4622" i="2"/>
  <c r="C4622" i="2"/>
  <c r="B4622" i="2"/>
  <c r="F4621" i="2"/>
  <c r="C4621" i="2"/>
  <c r="B4621" i="2"/>
  <c r="F4620" i="2"/>
  <c r="C4620" i="2"/>
  <c r="B4620" i="2"/>
  <c r="F4619" i="2"/>
  <c r="C4619" i="2"/>
  <c r="B4619" i="2"/>
  <c r="F4618" i="2"/>
  <c r="C4618" i="2"/>
  <c r="B4618" i="2"/>
  <c r="F4617" i="2"/>
  <c r="C4617" i="2"/>
  <c r="B4617" i="2"/>
  <c r="F4616" i="2"/>
  <c r="C4616" i="2"/>
  <c r="B4616" i="2"/>
  <c r="F4615" i="2"/>
  <c r="C4615" i="2"/>
  <c r="B4615" i="2"/>
  <c r="F4614" i="2"/>
  <c r="C4614" i="2"/>
  <c r="B4614" i="2"/>
  <c r="F4613" i="2"/>
  <c r="C4613" i="2"/>
  <c r="B4613" i="2"/>
  <c r="F4612" i="2"/>
  <c r="C4612" i="2"/>
  <c r="B4612" i="2"/>
  <c r="F4611" i="2"/>
  <c r="C4611" i="2"/>
  <c r="B4611" i="2"/>
  <c r="F4610" i="2"/>
  <c r="C4610" i="2"/>
  <c r="B4610" i="2"/>
  <c r="F4609" i="2"/>
  <c r="C4609" i="2"/>
  <c r="B4609" i="2"/>
  <c r="F4608" i="2"/>
  <c r="C4608" i="2"/>
  <c r="B4608" i="2"/>
  <c r="F4607" i="2"/>
  <c r="C4607" i="2"/>
  <c r="B4607" i="2"/>
  <c r="F4606" i="2"/>
  <c r="C4606" i="2"/>
  <c r="B4606" i="2"/>
  <c r="F4605" i="2"/>
  <c r="C4605" i="2"/>
  <c r="B4605" i="2"/>
  <c r="F4604" i="2"/>
  <c r="C4604" i="2"/>
  <c r="B4604" i="2"/>
  <c r="F4603" i="2"/>
  <c r="C4603" i="2"/>
  <c r="B4603" i="2"/>
  <c r="F4602" i="2"/>
  <c r="C4602" i="2"/>
  <c r="B4602" i="2"/>
  <c r="F4601" i="2"/>
  <c r="C4601" i="2"/>
  <c r="B4601" i="2"/>
  <c r="F4600" i="2"/>
  <c r="C4600" i="2"/>
  <c r="B4600" i="2"/>
  <c r="F4599" i="2"/>
  <c r="C4599" i="2"/>
  <c r="B4599" i="2"/>
  <c r="F4598" i="2"/>
  <c r="C4598" i="2"/>
  <c r="B4598" i="2"/>
  <c r="F4597" i="2"/>
  <c r="C4597" i="2"/>
  <c r="B4597" i="2"/>
  <c r="F4596" i="2"/>
  <c r="C4596" i="2"/>
  <c r="B4596" i="2"/>
  <c r="F4595" i="2"/>
  <c r="C4595" i="2"/>
  <c r="B4595" i="2"/>
  <c r="F4594" i="2"/>
  <c r="C4594" i="2"/>
  <c r="B4594" i="2"/>
  <c r="F4593" i="2"/>
  <c r="C4593" i="2"/>
  <c r="B4593" i="2"/>
  <c r="F4592" i="2"/>
  <c r="C4592" i="2"/>
  <c r="B4592" i="2"/>
  <c r="F4591" i="2"/>
  <c r="C4591" i="2"/>
  <c r="B4591" i="2"/>
  <c r="F4590" i="2"/>
  <c r="C4590" i="2"/>
  <c r="B4590" i="2"/>
  <c r="F4589" i="2"/>
  <c r="C4589" i="2"/>
  <c r="B4589" i="2"/>
  <c r="F4588" i="2"/>
  <c r="C4588" i="2"/>
  <c r="B4588" i="2"/>
  <c r="F4587" i="2"/>
  <c r="C4587" i="2"/>
  <c r="B4587" i="2"/>
  <c r="F4586" i="2"/>
  <c r="C4586" i="2"/>
  <c r="B4586" i="2"/>
  <c r="F4585" i="2"/>
  <c r="C4585" i="2"/>
  <c r="B4585" i="2"/>
  <c r="F4584" i="2"/>
  <c r="C4584" i="2"/>
  <c r="B4584" i="2"/>
  <c r="F4583" i="2"/>
  <c r="C4583" i="2"/>
  <c r="B4583" i="2"/>
  <c r="F4582" i="2"/>
  <c r="C4582" i="2"/>
  <c r="B4582" i="2"/>
  <c r="F4581" i="2"/>
  <c r="C4581" i="2"/>
  <c r="B4581" i="2"/>
  <c r="F4580" i="2"/>
  <c r="C4580" i="2"/>
  <c r="B4580" i="2"/>
  <c r="F4579" i="2"/>
  <c r="C4579" i="2"/>
  <c r="B4579" i="2"/>
  <c r="F4578" i="2"/>
  <c r="C4578" i="2"/>
  <c r="B4578" i="2"/>
  <c r="F4577" i="2"/>
  <c r="C4577" i="2"/>
  <c r="B4577" i="2"/>
  <c r="F4576" i="2"/>
  <c r="C4576" i="2"/>
  <c r="B4576" i="2"/>
  <c r="F4575" i="2"/>
  <c r="C4575" i="2"/>
  <c r="B4575" i="2"/>
  <c r="F4574" i="2"/>
  <c r="C4574" i="2"/>
  <c r="B4574" i="2"/>
  <c r="F4573" i="2"/>
  <c r="C4573" i="2"/>
  <c r="B4573" i="2"/>
  <c r="F4572" i="2"/>
  <c r="C4572" i="2"/>
  <c r="B4572" i="2"/>
  <c r="F4571" i="2"/>
  <c r="C4571" i="2"/>
  <c r="B4571" i="2"/>
  <c r="F4570" i="2"/>
  <c r="C4570" i="2"/>
  <c r="B4570" i="2"/>
  <c r="F4569" i="2"/>
  <c r="C4569" i="2"/>
  <c r="B4569" i="2"/>
  <c r="F4568" i="2"/>
  <c r="C4568" i="2"/>
  <c r="B4568" i="2"/>
  <c r="F4567" i="2"/>
  <c r="C4567" i="2"/>
  <c r="B4567" i="2"/>
  <c r="F4566" i="2"/>
  <c r="C4566" i="2"/>
  <c r="B4566" i="2"/>
  <c r="F4565" i="2"/>
  <c r="C4565" i="2"/>
  <c r="B4565" i="2"/>
  <c r="F4564" i="2"/>
  <c r="C4564" i="2"/>
  <c r="B4564" i="2"/>
  <c r="F4563" i="2"/>
  <c r="C4563" i="2"/>
  <c r="B4563" i="2"/>
  <c r="F4562" i="2"/>
  <c r="C4562" i="2"/>
  <c r="B4562" i="2"/>
  <c r="F4561" i="2"/>
  <c r="C4561" i="2"/>
  <c r="B4561" i="2"/>
  <c r="F4560" i="2"/>
  <c r="C4560" i="2"/>
  <c r="B4560" i="2"/>
  <c r="F4559" i="2"/>
  <c r="C4559" i="2"/>
  <c r="B4559" i="2"/>
  <c r="F4558" i="2"/>
  <c r="C4558" i="2"/>
  <c r="B4558" i="2"/>
  <c r="F4557" i="2"/>
  <c r="C4557" i="2"/>
  <c r="B4557" i="2"/>
  <c r="F4556" i="2"/>
  <c r="C4556" i="2"/>
  <c r="B4556" i="2"/>
  <c r="F4555" i="2"/>
  <c r="C4555" i="2"/>
  <c r="B4555" i="2"/>
  <c r="F4554" i="2"/>
  <c r="C4554" i="2"/>
  <c r="B4554" i="2"/>
  <c r="F4553" i="2"/>
  <c r="C4553" i="2"/>
  <c r="B4553" i="2"/>
  <c r="F4552" i="2"/>
  <c r="C4552" i="2"/>
  <c r="B4552" i="2"/>
  <c r="F4551" i="2"/>
  <c r="C4551" i="2"/>
  <c r="B4551" i="2"/>
  <c r="F4550" i="2"/>
  <c r="C4550" i="2"/>
  <c r="B4550" i="2"/>
  <c r="F4549" i="2"/>
  <c r="C4549" i="2"/>
  <c r="B4549" i="2"/>
  <c r="F4548" i="2"/>
  <c r="C4548" i="2"/>
  <c r="B4548" i="2"/>
  <c r="F4547" i="2"/>
  <c r="C4547" i="2"/>
  <c r="B4547" i="2"/>
  <c r="F4546" i="2"/>
  <c r="C4546" i="2"/>
  <c r="B4546" i="2"/>
  <c r="F4545" i="2"/>
  <c r="C4545" i="2"/>
  <c r="B4545" i="2"/>
  <c r="F4544" i="2"/>
  <c r="C4544" i="2"/>
  <c r="B4544" i="2"/>
  <c r="F4543" i="2"/>
  <c r="C4543" i="2"/>
  <c r="B4543" i="2"/>
  <c r="F4542" i="2"/>
  <c r="C4542" i="2"/>
  <c r="B4542" i="2"/>
  <c r="F4541" i="2"/>
  <c r="C4541" i="2"/>
  <c r="B4541" i="2"/>
  <c r="F4540" i="2"/>
  <c r="C4540" i="2"/>
  <c r="B4540" i="2"/>
  <c r="F4539" i="2"/>
  <c r="C4539" i="2"/>
  <c r="B4539" i="2"/>
  <c r="F4538" i="2"/>
  <c r="C4538" i="2"/>
  <c r="B4538" i="2"/>
  <c r="F4537" i="2"/>
  <c r="C4537" i="2"/>
  <c r="B4537" i="2"/>
  <c r="F4536" i="2"/>
  <c r="C4536" i="2"/>
  <c r="B4536" i="2"/>
  <c r="F4535" i="2"/>
  <c r="C4535" i="2"/>
  <c r="B4535" i="2"/>
  <c r="F4534" i="2"/>
  <c r="C4534" i="2"/>
  <c r="B4534" i="2"/>
  <c r="F4533" i="2"/>
  <c r="C4533" i="2"/>
  <c r="B4533" i="2"/>
  <c r="F4532" i="2"/>
  <c r="C4532" i="2"/>
  <c r="B4532" i="2"/>
  <c r="F4531" i="2"/>
  <c r="C4531" i="2"/>
  <c r="B4531" i="2"/>
  <c r="F4530" i="2"/>
  <c r="C4530" i="2"/>
  <c r="B4530" i="2"/>
  <c r="F4529" i="2"/>
  <c r="C4529" i="2"/>
  <c r="B4529" i="2"/>
  <c r="F4528" i="2"/>
  <c r="C4528" i="2"/>
  <c r="B4528" i="2"/>
  <c r="F4527" i="2"/>
  <c r="C4527" i="2"/>
  <c r="B4527" i="2"/>
  <c r="F4526" i="2"/>
  <c r="C4526" i="2"/>
  <c r="B4526" i="2"/>
  <c r="F4525" i="2"/>
  <c r="C4525" i="2"/>
  <c r="B4525" i="2"/>
  <c r="F4524" i="2"/>
  <c r="C4524" i="2"/>
  <c r="B4524" i="2"/>
  <c r="F4523" i="2"/>
  <c r="C4523" i="2"/>
  <c r="B4523" i="2"/>
  <c r="F4522" i="2"/>
  <c r="C4522" i="2"/>
  <c r="B4522" i="2"/>
  <c r="F4521" i="2"/>
  <c r="C4521" i="2"/>
  <c r="B4521" i="2"/>
  <c r="F4520" i="2"/>
  <c r="C4520" i="2"/>
  <c r="B4520" i="2"/>
  <c r="F4519" i="2"/>
  <c r="C4519" i="2"/>
  <c r="B4519" i="2"/>
  <c r="F4518" i="2"/>
  <c r="C4518" i="2"/>
  <c r="B4518" i="2"/>
  <c r="F4517" i="2"/>
  <c r="C4517" i="2"/>
  <c r="B4517" i="2"/>
  <c r="F4516" i="2"/>
  <c r="C4516" i="2"/>
  <c r="B4516" i="2"/>
  <c r="F4515" i="2"/>
  <c r="C4515" i="2"/>
  <c r="B4515" i="2"/>
  <c r="F4514" i="2"/>
  <c r="C4514" i="2"/>
  <c r="B4514" i="2"/>
  <c r="F4513" i="2"/>
  <c r="C4513" i="2"/>
  <c r="B4513" i="2"/>
  <c r="F4512" i="2"/>
  <c r="C4512" i="2"/>
  <c r="B4512" i="2"/>
  <c r="F4511" i="2"/>
  <c r="C4511" i="2"/>
  <c r="B4511" i="2"/>
  <c r="F4510" i="2"/>
  <c r="C4510" i="2"/>
  <c r="B4510" i="2"/>
  <c r="F4509" i="2"/>
  <c r="C4509" i="2"/>
  <c r="B4509" i="2"/>
  <c r="F4508" i="2"/>
  <c r="C4508" i="2"/>
  <c r="B4508" i="2"/>
  <c r="F4507" i="2"/>
  <c r="C4507" i="2"/>
  <c r="B4507" i="2"/>
  <c r="F4506" i="2"/>
  <c r="C4506" i="2"/>
  <c r="B4506" i="2"/>
  <c r="F4505" i="2"/>
  <c r="C4505" i="2"/>
  <c r="B4505" i="2"/>
  <c r="F4504" i="2"/>
  <c r="C4504" i="2"/>
  <c r="B4504" i="2"/>
  <c r="F4503" i="2"/>
  <c r="C4503" i="2"/>
  <c r="B4503" i="2"/>
  <c r="F4502" i="2"/>
  <c r="C4502" i="2"/>
  <c r="B4502" i="2"/>
  <c r="F4501" i="2"/>
  <c r="C4501" i="2"/>
  <c r="B4501" i="2"/>
  <c r="F4500" i="2"/>
  <c r="C4500" i="2"/>
  <c r="B4500" i="2"/>
  <c r="F4499" i="2"/>
  <c r="C4499" i="2"/>
  <c r="B4499" i="2"/>
  <c r="F4498" i="2"/>
  <c r="C4498" i="2"/>
  <c r="B4498" i="2"/>
  <c r="F4497" i="2"/>
  <c r="C4497" i="2"/>
  <c r="B4497" i="2"/>
  <c r="F4496" i="2"/>
  <c r="C4496" i="2"/>
  <c r="B4496" i="2"/>
  <c r="F4495" i="2"/>
  <c r="C4495" i="2"/>
  <c r="B4495" i="2"/>
  <c r="F4494" i="2"/>
  <c r="C4494" i="2"/>
  <c r="B4494" i="2"/>
  <c r="F4493" i="2"/>
  <c r="C4493" i="2"/>
  <c r="B4493" i="2"/>
  <c r="F4492" i="2"/>
  <c r="C4492" i="2"/>
  <c r="B4492" i="2"/>
  <c r="F4491" i="2"/>
  <c r="C4491" i="2"/>
  <c r="B4491" i="2"/>
  <c r="F4490" i="2"/>
  <c r="C4490" i="2"/>
  <c r="B4490" i="2"/>
  <c r="F4489" i="2"/>
  <c r="C4489" i="2"/>
  <c r="B4489" i="2"/>
  <c r="F4488" i="2"/>
  <c r="C4488" i="2"/>
  <c r="B4488" i="2"/>
  <c r="F4487" i="2"/>
  <c r="C4487" i="2"/>
  <c r="B4487" i="2"/>
  <c r="F4486" i="2"/>
  <c r="C4486" i="2"/>
  <c r="B4486" i="2"/>
  <c r="F4485" i="2"/>
  <c r="C4485" i="2"/>
  <c r="B4485" i="2"/>
  <c r="F4484" i="2"/>
  <c r="C4484" i="2"/>
  <c r="B4484" i="2"/>
  <c r="F4483" i="2"/>
  <c r="C4483" i="2"/>
  <c r="B4483" i="2"/>
  <c r="F4482" i="2"/>
  <c r="C4482" i="2"/>
  <c r="B4482" i="2"/>
  <c r="F4481" i="2"/>
  <c r="C4481" i="2"/>
  <c r="B4481" i="2"/>
  <c r="F4480" i="2"/>
  <c r="C4480" i="2"/>
  <c r="B4480" i="2"/>
  <c r="F4479" i="2"/>
  <c r="C4479" i="2"/>
  <c r="B4479" i="2"/>
  <c r="F4478" i="2"/>
  <c r="C4478" i="2"/>
  <c r="B4478" i="2"/>
  <c r="F4477" i="2"/>
  <c r="C4477" i="2"/>
  <c r="B4477" i="2"/>
  <c r="F4476" i="2"/>
  <c r="C4476" i="2"/>
  <c r="B4476" i="2"/>
  <c r="F4475" i="2"/>
  <c r="C4475" i="2"/>
  <c r="B4475" i="2"/>
  <c r="F4474" i="2"/>
  <c r="C4474" i="2"/>
  <c r="B4474" i="2"/>
  <c r="F4473" i="2"/>
  <c r="C4473" i="2"/>
  <c r="B4473" i="2"/>
  <c r="F4472" i="2"/>
  <c r="C4472" i="2"/>
  <c r="B4472" i="2"/>
  <c r="F4471" i="2"/>
  <c r="C4471" i="2"/>
  <c r="B4471" i="2"/>
  <c r="F4470" i="2"/>
  <c r="C4470" i="2"/>
  <c r="B4470" i="2"/>
  <c r="F4469" i="2"/>
  <c r="C4469" i="2"/>
  <c r="B4469" i="2"/>
  <c r="F4468" i="2"/>
  <c r="C4468" i="2"/>
  <c r="B4468" i="2"/>
  <c r="F4467" i="2"/>
  <c r="C4467" i="2"/>
  <c r="B4467" i="2"/>
  <c r="F4466" i="2"/>
  <c r="C4466" i="2"/>
  <c r="B4466" i="2"/>
  <c r="F4465" i="2"/>
  <c r="C4465" i="2"/>
  <c r="B4465" i="2"/>
  <c r="F4464" i="2"/>
  <c r="C4464" i="2"/>
  <c r="B4464" i="2"/>
  <c r="F4463" i="2"/>
  <c r="C4463" i="2"/>
  <c r="B4463" i="2"/>
  <c r="F4462" i="2"/>
  <c r="C4462" i="2"/>
  <c r="B4462" i="2"/>
  <c r="F4461" i="2"/>
  <c r="C4461" i="2"/>
  <c r="B4461" i="2"/>
  <c r="F4460" i="2"/>
  <c r="C4460" i="2"/>
  <c r="B4460" i="2"/>
  <c r="F4459" i="2"/>
  <c r="C4459" i="2"/>
  <c r="B4459" i="2"/>
  <c r="F4458" i="2"/>
  <c r="C4458" i="2"/>
  <c r="B4458" i="2"/>
  <c r="F4457" i="2"/>
  <c r="C4457" i="2"/>
  <c r="B4457" i="2"/>
  <c r="F4456" i="2"/>
  <c r="C4456" i="2"/>
  <c r="B4456" i="2"/>
  <c r="F4455" i="2"/>
  <c r="C4455" i="2"/>
  <c r="B4455" i="2"/>
  <c r="F4454" i="2"/>
  <c r="C4454" i="2"/>
  <c r="B4454" i="2"/>
  <c r="F4453" i="2"/>
  <c r="C4453" i="2"/>
  <c r="B4453" i="2"/>
  <c r="F4452" i="2"/>
  <c r="C4452" i="2"/>
  <c r="B4452" i="2"/>
  <c r="F4451" i="2"/>
  <c r="C4451" i="2"/>
  <c r="B4451" i="2"/>
  <c r="F4450" i="2"/>
  <c r="C4450" i="2"/>
  <c r="B4450" i="2"/>
  <c r="F4449" i="2"/>
  <c r="C4449" i="2"/>
  <c r="B4449" i="2"/>
  <c r="F4448" i="2"/>
  <c r="C4448" i="2"/>
  <c r="B4448" i="2"/>
  <c r="F4447" i="2"/>
  <c r="C4447" i="2"/>
  <c r="B4447" i="2"/>
  <c r="F4446" i="2"/>
  <c r="C4446" i="2"/>
  <c r="B4446" i="2"/>
  <c r="F4445" i="2"/>
  <c r="C4445" i="2"/>
  <c r="B4445" i="2"/>
  <c r="F4444" i="2"/>
  <c r="C4444" i="2"/>
  <c r="B4444" i="2"/>
  <c r="F4443" i="2"/>
  <c r="C4443" i="2"/>
  <c r="B4443" i="2"/>
  <c r="F4442" i="2"/>
  <c r="C4442" i="2"/>
  <c r="B4442" i="2"/>
  <c r="F4441" i="2"/>
  <c r="C4441" i="2"/>
  <c r="B4441" i="2"/>
  <c r="F4440" i="2"/>
  <c r="C4440" i="2"/>
  <c r="B4440" i="2"/>
  <c r="F4439" i="2"/>
  <c r="C4439" i="2"/>
  <c r="B4439" i="2"/>
  <c r="F4438" i="2"/>
  <c r="C4438" i="2"/>
  <c r="B4438" i="2"/>
  <c r="F4437" i="2"/>
  <c r="C4437" i="2"/>
  <c r="B4437" i="2"/>
  <c r="F4436" i="2"/>
  <c r="C4436" i="2"/>
  <c r="B4436" i="2"/>
  <c r="F4435" i="2"/>
  <c r="C4435" i="2"/>
  <c r="B4435" i="2"/>
  <c r="F4434" i="2"/>
  <c r="C4434" i="2"/>
  <c r="B4434" i="2"/>
  <c r="F4433" i="2"/>
  <c r="C4433" i="2"/>
  <c r="B4433" i="2"/>
  <c r="F4432" i="2"/>
  <c r="C4432" i="2"/>
  <c r="B4432" i="2"/>
  <c r="F4431" i="2"/>
  <c r="C4431" i="2"/>
  <c r="B4431" i="2"/>
  <c r="F4430" i="2"/>
  <c r="C4430" i="2"/>
  <c r="B4430" i="2"/>
  <c r="F4429" i="2"/>
  <c r="C4429" i="2"/>
  <c r="B4429" i="2"/>
  <c r="F4428" i="2"/>
  <c r="C4428" i="2"/>
  <c r="B4428" i="2"/>
  <c r="F4427" i="2"/>
  <c r="C4427" i="2"/>
  <c r="B4427" i="2"/>
  <c r="F4426" i="2"/>
  <c r="C4426" i="2"/>
  <c r="B4426" i="2"/>
  <c r="F4425" i="2"/>
  <c r="C4425" i="2"/>
  <c r="B4425" i="2"/>
  <c r="F4424" i="2"/>
  <c r="C4424" i="2"/>
  <c r="B4424" i="2"/>
  <c r="F4423" i="2"/>
  <c r="C4423" i="2"/>
  <c r="B4423" i="2"/>
  <c r="F4422" i="2"/>
  <c r="C4422" i="2"/>
  <c r="B4422" i="2"/>
  <c r="F4421" i="2"/>
  <c r="C4421" i="2"/>
  <c r="B4421" i="2"/>
  <c r="F4420" i="2"/>
  <c r="C4420" i="2"/>
  <c r="B4420" i="2"/>
  <c r="F4419" i="2"/>
  <c r="C4419" i="2"/>
  <c r="B4419" i="2"/>
  <c r="F4418" i="2"/>
  <c r="C4418" i="2"/>
  <c r="B4418" i="2"/>
  <c r="F4417" i="2"/>
  <c r="C4417" i="2"/>
  <c r="B4417" i="2"/>
  <c r="F4416" i="2"/>
  <c r="C4416" i="2"/>
  <c r="B4416" i="2"/>
  <c r="F4415" i="2"/>
  <c r="C4415" i="2"/>
  <c r="B4415" i="2"/>
  <c r="F4414" i="2"/>
  <c r="C4414" i="2"/>
  <c r="B4414" i="2"/>
  <c r="F4413" i="2"/>
  <c r="C4413" i="2"/>
  <c r="B4413" i="2"/>
  <c r="F4412" i="2"/>
  <c r="C4412" i="2"/>
  <c r="B4412" i="2"/>
  <c r="F4411" i="2"/>
  <c r="C4411" i="2"/>
  <c r="B4411" i="2"/>
  <c r="F4410" i="2"/>
  <c r="C4410" i="2"/>
  <c r="B4410" i="2"/>
  <c r="F4409" i="2"/>
  <c r="C4409" i="2"/>
  <c r="B4409" i="2"/>
  <c r="F4408" i="2"/>
  <c r="C4408" i="2"/>
  <c r="B4408" i="2"/>
  <c r="F4407" i="2"/>
  <c r="C4407" i="2"/>
  <c r="B4407" i="2"/>
  <c r="F4406" i="2"/>
  <c r="C4406" i="2"/>
  <c r="B4406" i="2"/>
  <c r="F4405" i="2"/>
  <c r="C4405" i="2"/>
  <c r="B4405" i="2"/>
  <c r="F4404" i="2"/>
  <c r="C4404" i="2"/>
  <c r="B4404" i="2"/>
  <c r="F4403" i="2"/>
  <c r="C4403" i="2"/>
  <c r="B4403" i="2"/>
  <c r="F4402" i="2"/>
  <c r="C4402" i="2"/>
  <c r="B4402" i="2"/>
  <c r="F4401" i="2"/>
  <c r="C4401" i="2"/>
  <c r="B4401" i="2"/>
  <c r="F4400" i="2"/>
  <c r="C4400" i="2"/>
  <c r="B4400" i="2"/>
  <c r="F4399" i="2"/>
  <c r="C4399" i="2"/>
  <c r="B4399" i="2"/>
  <c r="F4398" i="2"/>
  <c r="C4398" i="2"/>
  <c r="B4398" i="2"/>
  <c r="F4397" i="2"/>
  <c r="C4397" i="2"/>
  <c r="B4397" i="2"/>
  <c r="F4396" i="2"/>
  <c r="C4396" i="2"/>
  <c r="B4396" i="2"/>
  <c r="F4395" i="2"/>
  <c r="C4395" i="2"/>
  <c r="B4395" i="2"/>
  <c r="F4394" i="2"/>
  <c r="C4394" i="2"/>
  <c r="B4394" i="2"/>
  <c r="F4393" i="2"/>
  <c r="C4393" i="2"/>
  <c r="B4393" i="2"/>
  <c r="F4392" i="2"/>
  <c r="C4392" i="2"/>
  <c r="B4392" i="2"/>
  <c r="F4391" i="2"/>
  <c r="C4391" i="2"/>
  <c r="B4391" i="2"/>
  <c r="F4390" i="2"/>
  <c r="C4390" i="2"/>
  <c r="B4390" i="2"/>
  <c r="F4389" i="2"/>
  <c r="C4389" i="2"/>
  <c r="B4389" i="2"/>
  <c r="F4388" i="2"/>
  <c r="C4388" i="2"/>
  <c r="B4388" i="2"/>
  <c r="F4387" i="2"/>
  <c r="C4387" i="2"/>
  <c r="B4387" i="2"/>
  <c r="F4386" i="2"/>
  <c r="C4386" i="2"/>
  <c r="B4386" i="2"/>
  <c r="F4385" i="2"/>
  <c r="C4385" i="2"/>
  <c r="B4385" i="2"/>
  <c r="F4384" i="2"/>
  <c r="C4384" i="2"/>
  <c r="B4384" i="2"/>
  <c r="F4383" i="2"/>
  <c r="C4383" i="2"/>
  <c r="B4383" i="2"/>
  <c r="F4382" i="2"/>
  <c r="C4382" i="2"/>
  <c r="B4382" i="2"/>
  <c r="F4381" i="2"/>
  <c r="C4381" i="2"/>
  <c r="B4381" i="2"/>
  <c r="F4380" i="2"/>
  <c r="C4380" i="2"/>
  <c r="B4380" i="2"/>
  <c r="F4379" i="2"/>
  <c r="C4379" i="2"/>
  <c r="B4379" i="2"/>
  <c r="F4378" i="2"/>
  <c r="C4378" i="2"/>
  <c r="B4378" i="2"/>
  <c r="F4377" i="2"/>
  <c r="C4377" i="2"/>
  <c r="B4377" i="2"/>
  <c r="F4376" i="2"/>
  <c r="C4376" i="2"/>
  <c r="B4376" i="2"/>
  <c r="F4375" i="2"/>
  <c r="C4375" i="2"/>
  <c r="B4375" i="2"/>
  <c r="F4374" i="2"/>
  <c r="C4374" i="2"/>
  <c r="B4374" i="2"/>
  <c r="F4373" i="2"/>
  <c r="C4373" i="2"/>
  <c r="B4373" i="2"/>
  <c r="F4372" i="2"/>
  <c r="C4372" i="2"/>
  <c r="B4372" i="2"/>
  <c r="F4371" i="2"/>
  <c r="C4371" i="2"/>
  <c r="B4371" i="2"/>
  <c r="F4370" i="2"/>
  <c r="C4370" i="2"/>
  <c r="B4370" i="2"/>
  <c r="F4369" i="2"/>
  <c r="C4369" i="2"/>
  <c r="B4369" i="2"/>
  <c r="F4368" i="2"/>
  <c r="C4368" i="2"/>
  <c r="B4368" i="2"/>
  <c r="F4367" i="2"/>
  <c r="C4367" i="2"/>
  <c r="B4367" i="2"/>
  <c r="F4366" i="2"/>
  <c r="C4366" i="2"/>
  <c r="B4366" i="2"/>
  <c r="F4365" i="2"/>
  <c r="C4365" i="2"/>
  <c r="B4365" i="2"/>
  <c r="F4364" i="2"/>
  <c r="C4364" i="2"/>
  <c r="B4364" i="2"/>
  <c r="F4363" i="2"/>
  <c r="C4363" i="2"/>
  <c r="B4363" i="2"/>
  <c r="F4362" i="2"/>
  <c r="C4362" i="2"/>
  <c r="B4362" i="2"/>
  <c r="F4361" i="2"/>
  <c r="C4361" i="2"/>
  <c r="B4361" i="2"/>
  <c r="F4360" i="2"/>
  <c r="C4360" i="2"/>
  <c r="B4360" i="2"/>
  <c r="F4359" i="2"/>
  <c r="C4359" i="2"/>
  <c r="B4359" i="2"/>
  <c r="F4358" i="2"/>
  <c r="C4358" i="2"/>
  <c r="B4358" i="2"/>
  <c r="F4357" i="2"/>
  <c r="C4357" i="2"/>
  <c r="B4357" i="2"/>
  <c r="F4356" i="2"/>
  <c r="C4356" i="2"/>
  <c r="B4356" i="2"/>
  <c r="F4355" i="2"/>
  <c r="C4355" i="2"/>
  <c r="B4355" i="2"/>
  <c r="F4354" i="2"/>
  <c r="C4354" i="2"/>
  <c r="B4354" i="2"/>
  <c r="F4353" i="2"/>
  <c r="C4353" i="2"/>
  <c r="B4353" i="2"/>
  <c r="F4352" i="2"/>
  <c r="C4352" i="2"/>
  <c r="B4352" i="2"/>
  <c r="F4351" i="2"/>
  <c r="C4351" i="2"/>
  <c r="B4351" i="2"/>
  <c r="F4350" i="2"/>
  <c r="C4350" i="2"/>
  <c r="B4350" i="2"/>
  <c r="F4349" i="2"/>
  <c r="C4349" i="2"/>
  <c r="B4349" i="2"/>
  <c r="F4348" i="2"/>
  <c r="C4348" i="2"/>
  <c r="B4348" i="2"/>
  <c r="F4347" i="2"/>
  <c r="C4347" i="2"/>
  <c r="B4347" i="2"/>
  <c r="F4346" i="2"/>
  <c r="C4346" i="2"/>
  <c r="B4346" i="2"/>
  <c r="F4345" i="2"/>
  <c r="C4345" i="2"/>
  <c r="B4345" i="2"/>
  <c r="F4344" i="2"/>
  <c r="C4344" i="2"/>
  <c r="B4344" i="2"/>
  <c r="F4343" i="2"/>
  <c r="C4343" i="2"/>
  <c r="B4343" i="2"/>
  <c r="F4342" i="2"/>
  <c r="C4342" i="2"/>
  <c r="B4342" i="2"/>
  <c r="F4341" i="2"/>
  <c r="C4341" i="2"/>
  <c r="B4341" i="2"/>
  <c r="F4340" i="2"/>
  <c r="C4340" i="2"/>
  <c r="B4340" i="2"/>
  <c r="F4339" i="2"/>
  <c r="C4339" i="2"/>
  <c r="B4339" i="2"/>
  <c r="F4338" i="2"/>
  <c r="C4338" i="2"/>
  <c r="B4338" i="2"/>
  <c r="F4337" i="2"/>
  <c r="C4337" i="2"/>
  <c r="B4337" i="2"/>
  <c r="F4336" i="2"/>
  <c r="C4336" i="2"/>
  <c r="B4336" i="2"/>
  <c r="F4335" i="2"/>
  <c r="C4335" i="2"/>
  <c r="B4335" i="2"/>
  <c r="F4334" i="2"/>
  <c r="C4334" i="2"/>
  <c r="B4334" i="2"/>
  <c r="F4333" i="2"/>
  <c r="C4333" i="2"/>
  <c r="B4333" i="2"/>
  <c r="F4332" i="2"/>
  <c r="C4332" i="2"/>
  <c r="B4332" i="2"/>
  <c r="F4331" i="2"/>
  <c r="C4331" i="2"/>
  <c r="B4331" i="2"/>
  <c r="F4330" i="2"/>
  <c r="C4330" i="2"/>
  <c r="B4330" i="2"/>
  <c r="F4329" i="2"/>
  <c r="C4329" i="2"/>
  <c r="B4329" i="2"/>
  <c r="F4328" i="2"/>
  <c r="C4328" i="2"/>
  <c r="B4328" i="2"/>
  <c r="F4327" i="2"/>
  <c r="C4327" i="2"/>
  <c r="B4327" i="2"/>
  <c r="F4326" i="2"/>
  <c r="C4326" i="2"/>
  <c r="B4326" i="2"/>
  <c r="F4325" i="2"/>
  <c r="C4325" i="2"/>
  <c r="B4325" i="2"/>
  <c r="F4324" i="2"/>
  <c r="C4324" i="2"/>
  <c r="B4324" i="2"/>
  <c r="F4323" i="2"/>
  <c r="C4323" i="2"/>
  <c r="B4323" i="2"/>
  <c r="F4322" i="2"/>
  <c r="C4322" i="2"/>
  <c r="B4322" i="2"/>
  <c r="F4321" i="2"/>
  <c r="C4321" i="2"/>
  <c r="B4321" i="2"/>
  <c r="F4320" i="2"/>
  <c r="C4320" i="2"/>
  <c r="B4320" i="2"/>
  <c r="F4319" i="2"/>
  <c r="C4319" i="2"/>
  <c r="B4319" i="2"/>
  <c r="F4318" i="2"/>
  <c r="C4318" i="2"/>
  <c r="B4318" i="2"/>
  <c r="F4317" i="2"/>
  <c r="C4317" i="2"/>
  <c r="B4317" i="2"/>
  <c r="F4316" i="2"/>
  <c r="C4316" i="2"/>
  <c r="B4316" i="2"/>
  <c r="F4315" i="2"/>
  <c r="C4315" i="2"/>
  <c r="B4315" i="2"/>
  <c r="F4314" i="2"/>
  <c r="C4314" i="2"/>
  <c r="B4314" i="2"/>
  <c r="F4313" i="2"/>
  <c r="C4313" i="2"/>
  <c r="B4313" i="2"/>
  <c r="F4312" i="2"/>
  <c r="C4312" i="2"/>
  <c r="B4312" i="2"/>
  <c r="F4311" i="2"/>
  <c r="C4311" i="2"/>
  <c r="B4311" i="2"/>
  <c r="F4310" i="2"/>
  <c r="C4310" i="2"/>
  <c r="B4310" i="2"/>
  <c r="F4309" i="2"/>
  <c r="C4309" i="2"/>
  <c r="B4309" i="2"/>
  <c r="F4308" i="2"/>
  <c r="C4308" i="2"/>
  <c r="B4308" i="2"/>
  <c r="F4307" i="2"/>
  <c r="C4307" i="2"/>
  <c r="B4307" i="2"/>
  <c r="F4306" i="2"/>
  <c r="C4306" i="2"/>
  <c r="B4306" i="2"/>
  <c r="F4305" i="2"/>
  <c r="C4305" i="2"/>
  <c r="B4305" i="2"/>
  <c r="F4304" i="2"/>
  <c r="C4304" i="2"/>
  <c r="B4304" i="2"/>
  <c r="F4303" i="2"/>
  <c r="C4303" i="2"/>
  <c r="B4303" i="2"/>
  <c r="F4302" i="2"/>
  <c r="C4302" i="2"/>
  <c r="B4302" i="2"/>
  <c r="F4301" i="2"/>
  <c r="C4301" i="2"/>
  <c r="B4301" i="2"/>
  <c r="F4300" i="2"/>
  <c r="C4300" i="2"/>
  <c r="B4300" i="2"/>
  <c r="F4299" i="2"/>
  <c r="C4299" i="2"/>
  <c r="B4299" i="2"/>
  <c r="F4298" i="2"/>
  <c r="C4298" i="2"/>
  <c r="B4298" i="2"/>
  <c r="F4297" i="2"/>
  <c r="C4297" i="2"/>
  <c r="B4297" i="2"/>
  <c r="F4296" i="2"/>
  <c r="C4296" i="2"/>
  <c r="B4296" i="2"/>
  <c r="F4295" i="2"/>
  <c r="C4295" i="2"/>
  <c r="B4295" i="2"/>
  <c r="F4294" i="2"/>
  <c r="C4294" i="2"/>
  <c r="B4294" i="2"/>
  <c r="F4293" i="2"/>
  <c r="C4293" i="2"/>
  <c r="B4293" i="2"/>
  <c r="F4292" i="2"/>
  <c r="C4292" i="2"/>
  <c r="B4292" i="2"/>
  <c r="F4291" i="2"/>
  <c r="C4291" i="2"/>
  <c r="B4291" i="2"/>
  <c r="F4290" i="2"/>
  <c r="C4290" i="2"/>
  <c r="B4290" i="2"/>
  <c r="F4289" i="2"/>
  <c r="C4289" i="2"/>
  <c r="B4289" i="2"/>
  <c r="F4288" i="2"/>
  <c r="C4288" i="2"/>
  <c r="B4288" i="2"/>
  <c r="F4287" i="2"/>
  <c r="C4287" i="2"/>
  <c r="B4287" i="2"/>
  <c r="F4286" i="2"/>
  <c r="C4286" i="2"/>
  <c r="B4286" i="2"/>
  <c r="F4285" i="2"/>
  <c r="C4285" i="2"/>
  <c r="B4285" i="2"/>
  <c r="F4284" i="2"/>
  <c r="C4284" i="2"/>
  <c r="B4284" i="2"/>
  <c r="F4283" i="2"/>
  <c r="C4283" i="2"/>
  <c r="B4283" i="2"/>
  <c r="F4282" i="2"/>
  <c r="C4282" i="2"/>
  <c r="B4282" i="2"/>
  <c r="F4281" i="2"/>
  <c r="C4281" i="2"/>
  <c r="B4281" i="2"/>
  <c r="F4280" i="2"/>
  <c r="C4280" i="2"/>
  <c r="B4280" i="2"/>
  <c r="F4279" i="2"/>
  <c r="C4279" i="2"/>
  <c r="B4279" i="2"/>
  <c r="F4278" i="2"/>
  <c r="C4278" i="2"/>
  <c r="B4278" i="2"/>
  <c r="F4277" i="2"/>
  <c r="C4277" i="2"/>
  <c r="B4277" i="2"/>
  <c r="F4276" i="2"/>
  <c r="C4276" i="2"/>
  <c r="B4276" i="2"/>
  <c r="F4275" i="2"/>
  <c r="C4275" i="2"/>
  <c r="B4275" i="2"/>
  <c r="F4274" i="2"/>
  <c r="C4274" i="2"/>
  <c r="B4274" i="2"/>
  <c r="F4273" i="2"/>
  <c r="C4273" i="2"/>
  <c r="B4273" i="2"/>
  <c r="F4272" i="2"/>
  <c r="C4272" i="2"/>
  <c r="B4272" i="2"/>
  <c r="F4271" i="2"/>
  <c r="C4271" i="2"/>
  <c r="B4271" i="2"/>
  <c r="F4270" i="2"/>
  <c r="C4270" i="2"/>
  <c r="B4270" i="2"/>
  <c r="F4269" i="2"/>
  <c r="C4269" i="2"/>
  <c r="B4269" i="2"/>
  <c r="F4268" i="2"/>
  <c r="C4268" i="2"/>
  <c r="B4268" i="2"/>
  <c r="F4267" i="2"/>
  <c r="C4267" i="2"/>
  <c r="B4267" i="2"/>
  <c r="F4266" i="2"/>
  <c r="C4266" i="2"/>
  <c r="B4266" i="2"/>
  <c r="F4265" i="2"/>
  <c r="C4265" i="2"/>
  <c r="B4265" i="2"/>
  <c r="F4264" i="2"/>
  <c r="C4264" i="2"/>
  <c r="B4264" i="2"/>
  <c r="F4263" i="2"/>
  <c r="C4263" i="2"/>
  <c r="B4263" i="2"/>
  <c r="F4262" i="2"/>
  <c r="C4262" i="2"/>
  <c r="B4262" i="2"/>
  <c r="F4261" i="2"/>
  <c r="C4261" i="2"/>
  <c r="B4261" i="2"/>
  <c r="F4260" i="2"/>
  <c r="C4260" i="2"/>
  <c r="B4260" i="2"/>
  <c r="F4259" i="2"/>
  <c r="C4259" i="2"/>
  <c r="B4259" i="2"/>
  <c r="F4258" i="2"/>
  <c r="C4258" i="2"/>
  <c r="B4258" i="2"/>
  <c r="F4257" i="2"/>
  <c r="C4257" i="2"/>
  <c r="B4257" i="2"/>
  <c r="F4256" i="2"/>
  <c r="C4256" i="2"/>
  <c r="B4256" i="2"/>
  <c r="F4255" i="2"/>
  <c r="C4255" i="2"/>
  <c r="B4255" i="2"/>
  <c r="F4254" i="2"/>
  <c r="C4254" i="2"/>
  <c r="B4254" i="2"/>
  <c r="F4253" i="2"/>
  <c r="C4253" i="2"/>
  <c r="B4253" i="2"/>
  <c r="F4252" i="2"/>
  <c r="C4252" i="2"/>
  <c r="B4252" i="2"/>
  <c r="F4251" i="2"/>
  <c r="C4251" i="2"/>
  <c r="B4251" i="2"/>
  <c r="F4250" i="2"/>
  <c r="C4250" i="2"/>
  <c r="B4250" i="2"/>
  <c r="F4249" i="2"/>
  <c r="C4249" i="2"/>
  <c r="B4249" i="2"/>
  <c r="F4248" i="2"/>
  <c r="C4248" i="2"/>
  <c r="B4248" i="2"/>
  <c r="F4247" i="2"/>
  <c r="C4247" i="2"/>
  <c r="B4247" i="2"/>
  <c r="F4246" i="2"/>
  <c r="C4246" i="2"/>
  <c r="B4246" i="2"/>
  <c r="F4245" i="2"/>
  <c r="C4245" i="2"/>
  <c r="B4245" i="2"/>
  <c r="F4244" i="2"/>
  <c r="C4244" i="2"/>
  <c r="B4244" i="2"/>
  <c r="F4243" i="2"/>
  <c r="C4243" i="2"/>
  <c r="B4243" i="2"/>
  <c r="F4242" i="2"/>
  <c r="C4242" i="2"/>
  <c r="B4242" i="2"/>
  <c r="F4241" i="2"/>
  <c r="C4241" i="2"/>
  <c r="B4241" i="2"/>
  <c r="F4240" i="2"/>
  <c r="C4240" i="2"/>
  <c r="B4240" i="2"/>
  <c r="F4239" i="2"/>
  <c r="C4239" i="2"/>
  <c r="B4239" i="2"/>
  <c r="F4238" i="2"/>
  <c r="C4238" i="2"/>
  <c r="B4238" i="2"/>
  <c r="F4237" i="2"/>
  <c r="C4237" i="2"/>
  <c r="B4237" i="2"/>
  <c r="F4236" i="2"/>
  <c r="C4236" i="2"/>
  <c r="B4236" i="2"/>
  <c r="F4235" i="2"/>
  <c r="C4235" i="2"/>
  <c r="B4235" i="2"/>
  <c r="F4234" i="2"/>
  <c r="C4234" i="2"/>
  <c r="B4234" i="2"/>
  <c r="F4233" i="2"/>
  <c r="C4233" i="2"/>
  <c r="B4233" i="2"/>
  <c r="F4232" i="2"/>
  <c r="C4232" i="2"/>
  <c r="B4232" i="2"/>
  <c r="F4231" i="2"/>
  <c r="C4231" i="2"/>
  <c r="B4231" i="2"/>
  <c r="F4230" i="2"/>
  <c r="C4230" i="2"/>
  <c r="B4230" i="2"/>
  <c r="F4229" i="2"/>
  <c r="C4229" i="2"/>
  <c r="B4229" i="2"/>
  <c r="F4228" i="2"/>
  <c r="C4228" i="2"/>
  <c r="B4228" i="2"/>
  <c r="F4227" i="2"/>
  <c r="C4227" i="2"/>
  <c r="B4227" i="2"/>
  <c r="F4226" i="2"/>
  <c r="C4226" i="2"/>
  <c r="B4226" i="2"/>
  <c r="F4225" i="2"/>
  <c r="C4225" i="2"/>
  <c r="B4225" i="2"/>
  <c r="F4224" i="2"/>
  <c r="C4224" i="2"/>
  <c r="B4224" i="2"/>
  <c r="F4223" i="2"/>
  <c r="C4223" i="2"/>
  <c r="B4223" i="2"/>
  <c r="F4222" i="2"/>
  <c r="C4222" i="2"/>
  <c r="B4222" i="2"/>
  <c r="F4221" i="2"/>
  <c r="C4221" i="2"/>
  <c r="B4221" i="2"/>
  <c r="F4220" i="2"/>
  <c r="C4220" i="2"/>
  <c r="B4220" i="2"/>
  <c r="F4219" i="2"/>
  <c r="C4219" i="2"/>
  <c r="B4219" i="2"/>
  <c r="F4218" i="2"/>
  <c r="C4218" i="2"/>
  <c r="B4218" i="2"/>
  <c r="F4217" i="2"/>
  <c r="C4217" i="2"/>
  <c r="B4217" i="2"/>
  <c r="F4216" i="2"/>
  <c r="C4216" i="2"/>
  <c r="B4216" i="2"/>
  <c r="F4215" i="2"/>
  <c r="C4215" i="2"/>
  <c r="B4215" i="2"/>
  <c r="F4214" i="2"/>
  <c r="C4214" i="2"/>
  <c r="B4214" i="2"/>
  <c r="F4213" i="2"/>
  <c r="C4213" i="2"/>
  <c r="B4213" i="2"/>
  <c r="F4212" i="2"/>
  <c r="C4212" i="2"/>
  <c r="B4212" i="2"/>
  <c r="F4211" i="2"/>
  <c r="C4211" i="2"/>
  <c r="B4211" i="2"/>
  <c r="F4210" i="2"/>
  <c r="C4210" i="2"/>
  <c r="B4210" i="2"/>
  <c r="F4209" i="2"/>
  <c r="C4209" i="2"/>
  <c r="B4209" i="2"/>
  <c r="F4208" i="2"/>
  <c r="C4208" i="2"/>
  <c r="B4208" i="2"/>
  <c r="F4207" i="2"/>
  <c r="C4207" i="2"/>
  <c r="B4207" i="2"/>
  <c r="F4206" i="2"/>
  <c r="C4206" i="2"/>
  <c r="B4206" i="2"/>
  <c r="F4205" i="2"/>
  <c r="C4205" i="2"/>
  <c r="B4205" i="2"/>
  <c r="F4204" i="2"/>
  <c r="C4204" i="2"/>
  <c r="B4204" i="2"/>
  <c r="F4203" i="2"/>
  <c r="C4203" i="2"/>
  <c r="B4203" i="2"/>
  <c r="F4202" i="2"/>
  <c r="C4202" i="2"/>
  <c r="B4202" i="2"/>
  <c r="F4201" i="2"/>
  <c r="C4201" i="2"/>
  <c r="B4201" i="2"/>
  <c r="F4200" i="2"/>
  <c r="C4200" i="2"/>
  <c r="B4200" i="2"/>
  <c r="F4199" i="2"/>
  <c r="C4199" i="2"/>
  <c r="B4199" i="2"/>
  <c r="F4198" i="2"/>
  <c r="C4198" i="2"/>
  <c r="B4198" i="2"/>
  <c r="F4197" i="2"/>
  <c r="C4197" i="2"/>
  <c r="B4197" i="2"/>
  <c r="F4196" i="2"/>
  <c r="C4196" i="2"/>
  <c r="B4196" i="2"/>
  <c r="F4195" i="2"/>
  <c r="C4195" i="2"/>
  <c r="B4195" i="2"/>
  <c r="F4194" i="2"/>
  <c r="C4194" i="2"/>
  <c r="B4194" i="2"/>
  <c r="F4193" i="2"/>
  <c r="C4193" i="2"/>
  <c r="B4193" i="2"/>
  <c r="F4192" i="2"/>
  <c r="C4192" i="2"/>
  <c r="B4192" i="2"/>
  <c r="F4191" i="2"/>
  <c r="C4191" i="2"/>
  <c r="B4191" i="2"/>
  <c r="F4190" i="2"/>
  <c r="C4190" i="2"/>
  <c r="B4190" i="2"/>
  <c r="F4189" i="2"/>
  <c r="C4189" i="2"/>
  <c r="B4189" i="2"/>
  <c r="F4188" i="2"/>
  <c r="C4188" i="2"/>
  <c r="B4188" i="2"/>
  <c r="F4187" i="2"/>
  <c r="C4187" i="2"/>
  <c r="B4187" i="2"/>
  <c r="F4186" i="2"/>
  <c r="C4186" i="2"/>
  <c r="B4186" i="2"/>
  <c r="F4185" i="2"/>
  <c r="C4185" i="2"/>
  <c r="B4185" i="2"/>
  <c r="F4184" i="2"/>
  <c r="C4184" i="2"/>
  <c r="B4184" i="2"/>
  <c r="F4183" i="2"/>
  <c r="C4183" i="2"/>
  <c r="B4183" i="2"/>
  <c r="F4182" i="2"/>
  <c r="C4182" i="2"/>
  <c r="B4182" i="2"/>
  <c r="F4181" i="2"/>
  <c r="C4181" i="2"/>
  <c r="B4181" i="2"/>
  <c r="F4180" i="2"/>
  <c r="C4180" i="2"/>
  <c r="B4180" i="2"/>
  <c r="F4179" i="2"/>
  <c r="C4179" i="2"/>
  <c r="B4179" i="2"/>
  <c r="F4178" i="2"/>
  <c r="C4178" i="2"/>
  <c r="B4178" i="2"/>
  <c r="F4177" i="2"/>
  <c r="C4177" i="2"/>
  <c r="B4177" i="2"/>
  <c r="F4176" i="2"/>
  <c r="C4176" i="2"/>
  <c r="B4176" i="2"/>
  <c r="F4175" i="2"/>
  <c r="C4175" i="2"/>
  <c r="B4175" i="2"/>
  <c r="F4174" i="2"/>
  <c r="C4174" i="2"/>
  <c r="B4174" i="2"/>
  <c r="F4173" i="2"/>
  <c r="C4173" i="2"/>
  <c r="B4173" i="2"/>
  <c r="F4172" i="2"/>
  <c r="C4172" i="2"/>
  <c r="B4172" i="2"/>
  <c r="F4171" i="2"/>
  <c r="C4171" i="2"/>
  <c r="B4171" i="2"/>
  <c r="F4170" i="2"/>
  <c r="C4170" i="2"/>
  <c r="B4170" i="2"/>
  <c r="F4169" i="2"/>
  <c r="C4169" i="2"/>
  <c r="B4169" i="2"/>
  <c r="F4168" i="2"/>
  <c r="C4168" i="2"/>
  <c r="B4168" i="2"/>
  <c r="F4167" i="2"/>
  <c r="C4167" i="2"/>
  <c r="B4167" i="2"/>
  <c r="F4166" i="2"/>
  <c r="C4166" i="2"/>
  <c r="B4166" i="2"/>
  <c r="F4165" i="2"/>
  <c r="C4165" i="2"/>
  <c r="B4165" i="2"/>
  <c r="F4164" i="2"/>
  <c r="C4164" i="2"/>
  <c r="B4164" i="2"/>
  <c r="F4163" i="2"/>
  <c r="C4163" i="2"/>
  <c r="B4163" i="2"/>
  <c r="F4162" i="2"/>
  <c r="C4162" i="2"/>
  <c r="B4162" i="2"/>
  <c r="F4161" i="2"/>
  <c r="C4161" i="2"/>
  <c r="B4161" i="2"/>
  <c r="F4160" i="2"/>
  <c r="C4160" i="2"/>
  <c r="B4160" i="2"/>
  <c r="F4159" i="2"/>
  <c r="C4159" i="2"/>
  <c r="B4159" i="2"/>
  <c r="F4158" i="2"/>
  <c r="C4158" i="2"/>
  <c r="B4158" i="2"/>
  <c r="F4157" i="2"/>
  <c r="C4157" i="2"/>
  <c r="B4157" i="2"/>
  <c r="F4156" i="2"/>
  <c r="C4156" i="2"/>
  <c r="B4156" i="2"/>
  <c r="F4155" i="2"/>
  <c r="C4155" i="2"/>
  <c r="B4155" i="2"/>
  <c r="F4154" i="2"/>
  <c r="C4154" i="2"/>
  <c r="B4154" i="2"/>
  <c r="F4153" i="2"/>
  <c r="C4153" i="2"/>
  <c r="B4153" i="2"/>
  <c r="F4152" i="2"/>
  <c r="C4152" i="2"/>
  <c r="B4152" i="2"/>
  <c r="F4151" i="2"/>
  <c r="C4151" i="2"/>
  <c r="B4151" i="2"/>
  <c r="F4150" i="2"/>
  <c r="C4150" i="2"/>
  <c r="B4150" i="2"/>
  <c r="F4149" i="2"/>
  <c r="C4149" i="2"/>
  <c r="B4149" i="2"/>
  <c r="F4148" i="2"/>
  <c r="C4148" i="2"/>
  <c r="B4148" i="2"/>
  <c r="F4147" i="2"/>
  <c r="C4147" i="2"/>
  <c r="B4147" i="2"/>
  <c r="F4146" i="2"/>
  <c r="C4146" i="2"/>
  <c r="B4146" i="2"/>
  <c r="F4145" i="2"/>
  <c r="C4145" i="2"/>
  <c r="B4145" i="2"/>
  <c r="F4144" i="2"/>
  <c r="C4144" i="2"/>
  <c r="B4144" i="2"/>
  <c r="F4143" i="2"/>
  <c r="C4143" i="2"/>
  <c r="B4143" i="2"/>
  <c r="F4142" i="2"/>
  <c r="C4142" i="2"/>
  <c r="B4142" i="2"/>
  <c r="F4141" i="2"/>
  <c r="C4141" i="2"/>
  <c r="B4141" i="2"/>
  <c r="F4140" i="2"/>
  <c r="C4140" i="2"/>
  <c r="B4140" i="2"/>
  <c r="F4139" i="2"/>
  <c r="C4139" i="2"/>
  <c r="B4139" i="2"/>
  <c r="F4138" i="2"/>
  <c r="C4138" i="2"/>
  <c r="B4138" i="2"/>
  <c r="F4137" i="2"/>
  <c r="C4137" i="2"/>
  <c r="B4137" i="2"/>
  <c r="F4136" i="2"/>
  <c r="C4136" i="2"/>
  <c r="B4136" i="2"/>
  <c r="F4135" i="2"/>
  <c r="C4135" i="2"/>
  <c r="B4135" i="2"/>
  <c r="F4134" i="2"/>
  <c r="C4134" i="2"/>
  <c r="B4134" i="2"/>
  <c r="F4133" i="2"/>
  <c r="C4133" i="2"/>
  <c r="B4133" i="2"/>
  <c r="F4132" i="2"/>
  <c r="C4132" i="2"/>
  <c r="B4132" i="2"/>
  <c r="F4131" i="2"/>
  <c r="C4131" i="2"/>
  <c r="B4131" i="2"/>
  <c r="F4130" i="2"/>
  <c r="C4130" i="2"/>
  <c r="B4130" i="2"/>
  <c r="F4129" i="2"/>
  <c r="C4129" i="2"/>
  <c r="B4129" i="2"/>
  <c r="F4128" i="2"/>
  <c r="C4128" i="2"/>
  <c r="B4128" i="2"/>
  <c r="F4127" i="2"/>
  <c r="C4127" i="2"/>
  <c r="B4127" i="2"/>
  <c r="F4126" i="2"/>
  <c r="C4126" i="2"/>
  <c r="B4126" i="2"/>
  <c r="F4125" i="2"/>
  <c r="C4125" i="2"/>
  <c r="B4125" i="2"/>
  <c r="F4124" i="2"/>
  <c r="C4124" i="2"/>
  <c r="B4124" i="2"/>
  <c r="F4123" i="2"/>
  <c r="C4123" i="2"/>
  <c r="B4123" i="2"/>
  <c r="F4122" i="2"/>
  <c r="C4122" i="2"/>
  <c r="B4122" i="2"/>
  <c r="F4121" i="2"/>
  <c r="C4121" i="2"/>
  <c r="B4121" i="2"/>
  <c r="F4120" i="2"/>
  <c r="C4120" i="2"/>
  <c r="B4120" i="2"/>
  <c r="F4119" i="2"/>
  <c r="C4119" i="2"/>
  <c r="B4119" i="2"/>
  <c r="F4118" i="2"/>
  <c r="C4118" i="2"/>
  <c r="B4118" i="2"/>
  <c r="F4117" i="2"/>
  <c r="C4117" i="2"/>
  <c r="B4117" i="2"/>
  <c r="F4116" i="2"/>
  <c r="C4116" i="2"/>
  <c r="B4116" i="2"/>
  <c r="F4115" i="2"/>
  <c r="C4115" i="2"/>
  <c r="B4115" i="2"/>
  <c r="F4114" i="2"/>
  <c r="C4114" i="2"/>
  <c r="B4114" i="2"/>
  <c r="F4113" i="2"/>
  <c r="C4113" i="2"/>
  <c r="B4113" i="2"/>
  <c r="F4112" i="2"/>
  <c r="C4112" i="2"/>
  <c r="B4112" i="2"/>
  <c r="F4111" i="2"/>
  <c r="C4111" i="2"/>
  <c r="B4111" i="2"/>
  <c r="F4110" i="2"/>
  <c r="C4110" i="2"/>
  <c r="B4110" i="2"/>
  <c r="F4109" i="2"/>
  <c r="C4109" i="2"/>
  <c r="B4109" i="2"/>
  <c r="F4108" i="2"/>
  <c r="C4108" i="2"/>
  <c r="B4108" i="2"/>
  <c r="F4107" i="2"/>
  <c r="C4107" i="2"/>
  <c r="B4107" i="2"/>
  <c r="F4106" i="2"/>
  <c r="C4106" i="2"/>
  <c r="B4106" i="2"/>
  <c r="F4105" i="2"/>
  <c r="C4105" i="2"/>
  <c r="B4105" i="2"/>
  <c r="F4104" i="2"/>
  <c r="C4104" i="2"/>
  <c r="B4104" i="2"/>
  <c r="F4103" i="2"/>
  <c r="C4103" i="2"/>
  <c r="B4103" i="2"/>
  <c r="F4102" i="2"/>
  <c r="C4102" i="2"/>
  <c r="B4102" i="2"/>
  <c r="F4101" i="2"/>
  <c r="C4101" i="2"/>
  <c r="B4101" i="2"/>
  <c r="F4100" i="2"/>
  <c r="C4100" i="2"/>
  <c r="B4100" i="2"/>
  <c r="F4099" i="2"/>
  <c r="C4099" i="2"/>
  <c r="B4099" i="2"/>
  <c r="F4098" i="2"/>
  <c r="C4098" i="2"/>
  <c r="B4098" i="2"/>
  <c r="F4097" i="2"/>
  <c r="C4097" i="2"/>
  <c r="B4097" i="2"/>
  <c r="F4096" i="2"/>
  <c r="C4096" i="2"/>
  <c r="B4096" i="2"/>
  <c r="F4095" i="2"/>
  <c r="C4095" i="2"/>
  <c r="B4095" i="2"/>
  <c r="F4094" i="2"/>
  <c r="C4094" i="2"/>
  <c r="B4094" i="2"/>
  <c r="F4093" i="2"/>
  <c r="C4093" i="2"/>
  <c r="B4093" i="2"/>
  <c r="F4092" i="2"/>
  <c r="C4092" i="2"/>
  <c r="B4092" i="2"/>
  <c r="F4091" i="2"/>
  <c r="C4091" i="2"/>
  <c r="B4091" i="2"/>
  <c r="F4090" i="2"/>
  <c r="C4090" i="2"/>
  <c r="B4090" i="2"/>
  <c r="F4089" i="2"/>
  <c r="C4089" i="2"/>
  <c r="B4089" i="2"/>
  <c r="F4088" i="2"/>
  <c r="C4088" i="2"/>
  <c r="B4088" i="2"/>
  <c r="F4087" i="2"/>
  <c r="C4087" i="2"/>
  <c r="B4087" i="2"/>
  <c r="F4086" i="2"/>
  <c r="C4086" i="2"/>
  <c r="B4086" i="2"/>
  <c r="F4085" i="2"/>
  <c r="C4085" i="2"/>
  <c r="B4085" i="2"/>
  <c r="F4084" i="2"/>
  <c r="C4084" i="2"/>
  <c r="B4084" i="2"/>
  <c r="F4083" i="2"/>
  <c r="C4083" i="2"/>
  <c r="B4083" i="2"/>
  <c r="F4082" i="2"/>
  <c r="C4082" i="2"/>
  <c r="B4082" i="2"/>
  <c r="F4081" i="2"/>
  <c r="C4081" i="2"/>
  <c r="B4081" i="2"/>
  <c r="F4080" i="2"/>
  <c r="C4080" i="2"/>
  <c r="B4080" i="2"/>
  <c r="F4079" i="2"/>
  <c r="C4079" i="2"/>
  <c r="B4079" i="2"/>
  <c r="F4078" i="2"/>
  <c r="C4078" i="2"/>
  <c r="B4078" i="2"/>
  <c r="F4077" i="2"/>
  <c r="C4077" i="2"/>
  <c r="B4077" i="2"/>
  <c r="F4076" i="2"/>
  <c r="C4076" i="2"/>
  <c r="B4076" i="2"/>
  <c r="F4075" i="2"/>
  <c r="C4075" i="2"/>
  <c r="B4075" i="2"/>
  <c r="F4074" i="2"/>
  <c r="C4074" i="2"/>
  <c r="B4074" i="2"/>
  <c r="F4073" i="2"/>
  <c r="C4073" i="2"/>
  <c r="B4073" i="2"/>
  <c r="F4072" i="2"/>
  <c r="C4072" i="2"/>
  <c r="B4072" i="2"/>
  <c r="F4071" i="2"/>
  <c r="C4071" i="2"/>
  <c r="B4071" i="2"/>
  <c r="F4070" i="2"/>
  <c r="C4070" i="2"/>
  <c r="B4070" i="2"/>
  <c r="F4069" i="2"/>
  <c r="C4069" i="2"/>
  <c r="B4069" i="2"/>
  <c r="F4068" i="2"/>
  <c r="C4068" i="2"/>
  <c r="B4068" i="2"/>
  <c r="F4067" i="2"/>
  <c r="C4067" i="2"/>
  <c r="B4067" i="2"/>
  <c r="F4066" i="2"/>
  <c r="C4066" i="2"/>
  <c r="B4066" i="2"/>
  <c r="F4065" i="2"/>
  <c r="C4065" i="2"/>
  <c r="B4065" i="2"/>
  <c r="F4064" i="2"/>
  <c r="C4064" i="2"/>
  <c r="B4064" i="2"/>
  <c r="F4063" i="2"/>
  <c r="C4063" i="2"/>
  <c r="B4063" i="2"/>
  <c r="F4062" i="2"/>
  <c r="C4062" i="2"/>
  <c r="B4062" i="2"/>
  <c r="F4061" i="2"/>
  <c r="C4061" i="2"/>
  <c r="B4061" i="2"/>
  <c r="F4060" i="2"/>
  <c r="C4060" i="2"/>
  <c r="B4060" i="2"/>
  <c r="F4059" i="2"/>
  <c r="C4059" i="2"/>
  <c r="B4059" i="2"/>
  <c r="F4058" i="2"/>
  <c r="C4058" i="2"/>
  <c r="B4058" i="2"/>
  <c r="F4057" i="2"/>
  <c r="C4057" i="2"/>
  <c r="B4057" i="2"/>
  <c r="F4056" i="2"/>
  <c r="C4056" i="2"/>
  <c r="B4056" i="2"/>
  <c r="F4055" i="2"/>
  <c r="C4055" i="2"/>
  <c r="B4055" i="2"/>
  <c r="F4054" i="2"/>
  <c r="C4054" i="2"/>
  <c r="B4054" i="2"/>
  <c r="F4053" i="2"/>
  <c r="C4053" i="2"/>
  <c r="B4053" i="2"/>
  <c r="F4052" i="2"/>
  <c r="C4052" i="2"/>
  <c r="B4052" i="2"/>
  <c r="F4051" i="2"/>
  <c r="C4051" i="2"/>
  <c r="B4051" i="2"/>
  <c r="F4050" i="2"/>
  <c r="C4050" i="2"/>
  <c r="B4050" i="2"/>
  <c r="F4049" i="2"/>
  <c r="C4049" i="2"/>
  <c r="B4049" i="2"/>
  <c r="F4048" i="2"/>
  <c r="C4048" i="2"/>
  <c r="B4048" i="2"/>
  <c r="F4047" i="2"/>
  <c r="C4047" i="2"/>
  <c r="B4047" i="2"/>
  <c r="F4046" i="2"/>
  <c r="C4046" i="2"/>
  <c r="B4046" i="2"/>
  <c r="F4045" i="2"/>
  <c r="C4045" i="2"/>
  <c r="B4045" i="2"/>
  <c r="F4044" i="2"/>
  <c r="C4044" i="2"/>
  <c r="B4044" i="2"/>
  <c r="F4043" i="2"/>
  <c r="C4043" i="2"/>
  <c r="B4043" i="2"/>
  <c r="F4042" i="2"/>
  <c r="C4042" i="2"/>
  <c r="B4042" i="2"/>
  <c r="F4041" i="2"/>
  <c r="C4041" i="2"/>
  <c r="B4041" i="2"/>
  <c r="F4040" i="2"/>
  <c r="C4040" i="2"/>
  <c r="B4040" i="2"/>
  <c r="F4039" i="2"/>
  <c r="C4039" i="2"/>
  <c r="B4039" i="2"/>
  <c r="F4038" i="2"/>
  <c r="C4038" i="2"/>
  <c r="B4038" i="2"/>
  <c r="F4037" i="2"/>
  <c r="C4037" i="2"/>
  <c r="B4037" i="2"/>
  <c r="F4036" i="2"/>
  <c r="C4036" i="2"/>
  <c r="B4036" i="2"/>
  <c r="F4035" i="2"/>
  <c r="C4035" i="2"/>
  <c r="B4035" i="2"/>
  <c r="F4034" i="2"/>
  <c r="C4034" i="2"/>
  <c r="B4034" i="2"/>
  <c r="F4033" i="2"/>
  <c r="C4033" i="2"/>
  <c r="B4033" i="2"/>
  <c r="F4032" i="2"/>
  <c r="C4032" i="2"/>
  <c r="B4032" i="2"/>
  <c r="F4031" i="2"/>
  <c r="C4031" i="2"/>
  <c r="B4031" i="2"/>
  <c r="F4030" i="2"/>
  <c r="C4030" i="2"/>
  <c r="B4030" i="2"/>
  <c r="F4029" i="2"/>
  <c r="C4029" i="2"/>
  <c r="B4029" i="2"/>
  <c r="F4028" i="2"/>
  <c r="C4028" i="2"/>
  <c r="B4028" i="2"/>
  <c r="F4027" i="2"/>
  <c r="C4027" i="2"/>
  <c r="B4027" i="2"/>
  <c r="F4026" i="2"/>
  <c r="C4026" i="2"/>
  <c r="B4026" i="2"/>
  <c r="F4025" i="2"/>
  <c r="C4025" i="2"/>
  <c r="B4025" i="2"/>
  <c r="F4024" i="2"/>
  <c r="C4024" i="2"/>
  <c r="B4024" i="2"/>
  <c r="F4023" i="2"/>
  <c r="C4023" i="2"/>
  <c r="B4023" i="2"/>
  <c r="F4022" i="2"/>
  <c r="C4022" i="2"/>
  <c r="B4022" i="2"/>
  <c r="F4021" i="2"/>
  <c r="C4021" i="2"/>
  <c r="B4021" i="2"/>
  <c r="F4020" i="2"/>
  <c r="C4020" i="2"/>
  <c r="B4020" i="2"/>
  <c r="F4019" i="2"/>
  <c r="C4019" i="2"/>
  <c r="B4019" i="2"/>
  <c r="F4018" i="2"/>
  <c r="C4018" i="2"/>
  <c r="B4018" i="2"/>
  <c r="F4017" i="2"/>
  <c r="C4017" i="2"/>
  <c r="B4017" i="2"/>
  <c r="F4016" i="2"/>
  <c r="C4016" i="2"/>
  <c r="B4016" i="2"/>
  <c r="F4015" i="2"/>
  <c r="C4015" i="2"/>
  <c r="B4015" i="2"/>
  <c r="F4014" i="2"/>
  <c r="C4014" i="2"/>
  <c r="B4014" i="2"/>
  <c r="F4013" i="2"/>
  <c r="C4013" i="2"/>
  <c r="B4013" i="2"/>
  <c r="F4012" i="2"/>
  <c r="C4012" i="2"/>
  <c r="B4012" i="2"/>
  <c r="F4011" i="2"/>
  <c r="C4011" i="2"/>
  <c r="B4011" i="2"/>
  <c r="F4010" i="2"/>
  <c r="C4010" i="2"/>
  <c r="B4010" i="2"/>
  <c r="F4009" i="2"/>
  <c r="C4009" i="2"/>
  <c r="B4009" i="2"/>
  <c r="F4008" i="2"/>
  <c r="C4008" i="2"/>
  <c r="B4008" i="2"/>
  <c r="F4007" i="2"/>
  <c r="C4007" i="2"/>
  <c r="B4007" i="2"/>
  <c r="F4006" i="2"/>
  <c r="C4006" i="2"/>
  <c r="B4006" i="2"/>
  <c r="F4005" i="2"/>
  <c r="C4005" i="2"/>
  <c r="B4005" i="2"/>
  <c r="F4004" i="2"/>
  <c r="C4004" i="2"/>
  <c r="B4004" i="2"/>
  <c r="F4003" i="2"/>
  <c r="C4003" i="2"/>
  <c r="B4003" i="2"/>
  <c r="F4002" i="2"/>
  <c r="C4002" i="2"/>
  <c r="B4002" i="2"/>
  <c r="F4001" i="2"/>
  <c r="C4001" i="2"/>
  <c r="B4001" i="2"/>
  <c r="F4000" i="2"/>
  <c r="C4000" i="2"/>
  <c r="B4000" i="2"/>
  <c r="F3999" i="2"/>
  <c r="C3999" i="2"/>
  <c r="B3999" i="2"/>
  <c r="F3998" i="2"/>
  <c r="C3998" i="2"/>
  <c r="B3998" i="2"/>
  <c r="F3997" i="2"/>
  <c r="C3997" i="2"/>
  <c r="B3997" i="2"/>
  <c r="F3996" i="2"/>
  <c r="C3996" i="2"/>
  <c r="B3996" i="2"/>
  <c r="F3995" i="2"/>
  <c r="C3995" i="2"/>
  <c r="B3995" i="2"/>
  <c r="F3994" i="2"/>
  <c r="C3994" i="2"/>
  <c r="B3994" i="2"/>
  <c r="F3993" i="2"/>
  <c r="C3993" i="2"/>
  <c r="B3993" i="2"/>
  <c r="F3992" i="2"/>
  <c r="C3992" i="2"/>
  <c r="B3992" i="2"/>
  <c r="F3991" i="2"/>
  <c r="C3991" i="2"/>
  <c r="B3991" i="2"/>
  <c r="F3990" i="2"/>
  <c r="C3990" i="2"/>
  <c r="B3990" i="2"/>
  <c r="F3989" i="2"/>
  <c r="C3989" i="2"/>
  <c r="B3989" i="2"/>
  <c r="F3988" i="2"/>
  <c r="C3988" i="2"/>
  <c r="B3988" i="2"/>
  <c r="F3987" i="2"/>
  <c r="C3987" i="2"/>
  <c r="B3987" i="2"/>
  <c r="F3986" i="2"/>
  <c r="C3986" i="2"/>
  <c r="B3986" i="2"/>
  <c r="F3985" i="2"/>
  <c r="C3985" i="2"/>
  <c r="B3985" i="2"/>
  <c r="F3984" i="2"/>
  <c r="C3984" i="2"/>
  <c r="B3984" i="2"/>
  <c r="F3983" i="2"/>
  <c r="C3983" i="2"/>
  <c r="B3983" i="2"/>
  <c r="F3982" i="2"/>
  <c r="C3982" i="2"/>
  <c r="B3982" i="2"/>
  <c r="F3981" i="2"/>
  <c r="C3981" i="2"/>
  <c r="B3981" i="2"/>
  <c r="F3980" i="2"/>
  <c r="C3980" i="2"/>
  <c r="B3980" i="2"/>
  <c r="F3979" i="2"/>
  <c r="C3979" i="2"/>
  <c r="B3979" i="2"/>
  <c r="F3978" i="2"/>
  <c r="C3978" i="2"/>
  <c r="B3978" i="2"/>
  <c r="F3977" i="2"/>
  <c r="C3977" i="2"/>
  <c r="B3977" i="2"/>
  <c r="F3976" i="2"/>
  <c r="C3976" i="2"/>
  <c r="B3976" i="2"/>
  <c r="F3975" i="2"/>
  <c r="C3975" i="2"/>
  <c r="B3975" i="2"/>
  <c r="F3974" i="2"/>
  <c r="C3974" i="2"/>
  <c r="B3974" i="2"/>
  <c r="F3973" i="2"/>
  <c r="C3973" i="2"/>
  <c r="B3973" i="2"/>
  <c r="F3972" i="2"/>
  <c r="C3972" i="2"/>
  <c r="B3972" i="2"/>
  <c r="F3971" i="2"/>
  <c r="C3971" i="2"/>
  <c r="B3971" i="2"/>
  <c r="F3970" i="2"/>
  <c r="C3970" i="2"/>
  <c r="B3970" i="2"/>
  <c r="F3969" i="2"/>
  <c r="C3969" i="2"/>
  <c r="B3969" i="2"/>
  <c r="F3968" i="2"/>
  <c r="C3968" i="2"/>
  <c r="B3968" i="2"/>
  <c r="F3967" i="2"/>
  <c r="C3967" i="2"/>
  <c r="B3967" i="2"/>
  <c r="F3966" i="2"/>
  <c r="C3966" i="2"/>
  <c r="B3966" i="2"/>
  <c r="F3965" i="2"/>
  <c r="C3965" i="2"/>
  <c r="B3965" i="2"/>
  <c r="F3964" i="2"/>
  <c r="C3964" i="2"/>
  <c r="B3964" i="2"/>
  <c r="F3963" i="2"/>
  <c r="C3963" i="2"/>
  <c r="B3963" i="2"/>
  <c r="F3962" i="2"/>
  <c r="C3962" i="2"/>
  <c r="B3962" i="2"/>
  <c r="F3961" i="2"/>
  <c r="C3961" i="2"/>
  <c r="B3961" i="2"/>
  <c r="F3960" i="2"/>
  <c r="C3960" i="2"/>
  <c r="B3960" i="2"/>
  <c r="F3959" i="2"/>
  <c r="C3959" i="2"/>
  <c r="B3959" i="2"/>
  <c r="F3958" i="2"/>
  <c r="C3958" i="2"/>
  <c r="B3958" i="2"/>
  <c r="F3957" i="2"/>
  <c r="C3957" i="2"/>
  <c r="B3957" i="2"/>
  <c r="F3956" i="2"/>
  <c r="C3956" i="2"/>
  <c r="B3956" i="2"/>
  <c r="F3955" i="2"/>
  <c r="C3955" i="2"/>
  <c r="B3955" i="2"/>
  <c r="F3954" i="2"/>
  <c r="C3954" i="2"/>
  <c r="B3954" i="2"/>
  <c r="F3953" i="2"/>
  <c r="C3953" i="2"/>
  <c r="B3953" i="2"/>
  <c r="F3952" i="2"/>
  <c r="C3952" i="2"/>
  <c r="B3952" i="2"/>
  <c r="F3951" i="2"/>
  <c r="C3951" i="2"/>
  <c r="B3951" i="2"/>
  <c r="F3950" i="2"/>
  <c r="C3950" i="2"/>
  <c r="B3950" i="2"/>
  <c r="F3949" i="2"/>
  <c r="C3949" i="2"/>
  <c r="B3949" i="2"/>
  <c r="F3948" i="2"/>
  <c r="C3948" i="2"/>
  <c r="B3948" i="2"/>
  <c r="F3947" i="2"/>
  <c r="C3947" i="2"/>
  <c r="B3947" i="2"/>
  <c r="F3946" i="2"/>
  <c r="C3946" i="2"/>
  <c r="B3946" i="2"/>
  <c r="F3945" i="2"/>
  <c r="C3945" i="2"/>
  <c r="B3945" i="2"/>
  <c r="F3944" i="2"/>
  <c r="C3944" i="2"/>
  <c r="B3944" i="2"/>
  <c r="F3943" i="2"/>
  <c r="C3943" i="2"/>
  <c r="B3943" i="2"/>
  <c r="F3942" i="2"/>
  <c r="C3942" i="2"/>
  <c r="B3942" i="2"/>
  <c r="F3941" i="2"/>
  <c r="C3941" i="2"/>
  <c r="B3941" i="2"/>
  <c r="F3940" i="2"/>
  <c r="C3940" i="2"/>
  <c r="B3940" i="2"/>
  <c r="F3939" i="2"/>
  <c r="C3939" i="2"/>
  <c r="B3939" i="2"/>
  <c r="F3938" i="2"/>
  <c r="C3938" i="2"/>
  <c r="B3938" i="2"/>
  <c r="F3937" i="2"/>
  <c r="C3937" i="2"/>
  <c r="B3937" i="2"/>
  <c r="F3936" i="2"/>
  <c r="C3936" i="2"/>
  <c r="B3936" i="2"/>
  <c r="F3935" i="2"/>
  <c r="C3935" i="2"/>
  <c r="B3935" i="2"/>
  <c r="F3934" i="2"/>
  <c r="C3934" i="2"/>
  <c r="B3934" i="2"/>
  <c r="F3933" i="2"/>
  <c r="C3933" i="2"/>
  <c r="B3933" i="2"/>
  <c r="F3932" i="2"/>
  <c r="C3932" i="2"/>
  <c r="B3932" i="2"/>
  <c r="F3931" i="2"/>
  <c r="C3931" i="2"/>
  <c r="B3931" i="2"/>
  <c r="F3930" i="2"/>
  <c r="C3930" i="2"/>
  <c r="B3930" i="2"/>
  <c r="F3929" i="2"/>
  <c r="C3929" i="2"/>
  <c r="B3929" i="2"/>
  <c r="F3928" i="2"/>
  <c r="C3928" i="2"/>
  <c r="B3928" i="2"/>
  <c r="F3927" i="2"/>
  <c r="C3927" i="2"/>
  <c r="B3927" i="2"/>
  <c r="F3926" i="2"/>
  <c r="C3926" i="2"/>
  <c r="B3926" i="2"/>
  <c r="F3925" i="2"/>
  <c r="C3925" i="2"/>
  <c r="B3925" i="2"/>
  <c r="F3924" i="2"/>
  <c r="C3924" i="2"/>
  <c r="B3924" i="2"/>
  <c r="F3923" i="2"/>
  <c r="C3923" i="2"/>
  <c r="B3923" i="2"/>
  <c r="F3922" i="2"/>
  <c r="C3922" i="2"/>
  <c r="B3922" i="2"/>
  <c r="F3921" i="2"/>
  <c r="C3921" i="2"/>
  <c r="B3921" i="2"/>
  <c r="F3920" i="2"/>
  <c r="C3920" i="2"/>
  <c r="B3920" i="2"/>
  <c r="F3919" i="2"/>
  <c r="C3919" i="2"/>
  <c r="B3919" i="2"/>
  <c r="F3918" i="2"/>
  <c r="C3918" i="2"/>
  <c r="B3918" i="2"/>
  <c r="F3917" i="2"/>
  <c r="C3917" i="2"/>
  <c r="B3917" i="2"/>
  <c r="F3916" i="2"/>
  <c r="C3916" i="2"/>
  <c r="B3916" i="2"/>
  <c r="F3915" i="2"/>
  <c r="C3915" i="2"/>
  <c r="B3915" i="2"/>
  <c r="F3914" i="2"/>
  <c r="C3914" i="2"/>
  <c r="B3914" i="2"/>
  <c r="F3913" i="2"/>
  <c r="C3913" i="2"/>
  <c r="B3913" i="2"/>
  <c r="F3912" i="2"/>
  <c r="C3912" i="2"/>
  <c r="B3912" i="2"/>
  <c r="F3911" i="2"/>
  <c r="C3911" i="2"/>
  <c r="B3911" i="2"/>
  <c r="F3910" i="2"/>
  <c r="C3910" i="2"/>
  <c r="B3910" i="2"/>
  <c r="F3909" i="2"/>
  <c r="C3909" i="2"/>
  <c r="B3909" i="2"/>
  <c r="F3908" i="2"/>
  <c r="C3908" i="2"/>
  <c r="B3908" i="2"/>
  <c r="F3907" i="2"/>
  <c r="C3907" i="2"/>
  <c r="B3907" i="2"/>
  <c r="F3906" i="2"/>
  <c r="C3906" i="2"/>
  <c r="B3906" i="2"/>
  <c r="F3905" i="2"/>
  <c r="C3905" i="2"/>
  <c r="B3905" i="2"/>
  <c r="F3904" i="2"/>
  <c r="C3904" i="2"/>
  <c r="B3904" i="2"/>
  <c r="F3903" i="2"/>
  <c r="C3903" i="2"/>
  <c r="B3903" i="2"/>
  <c r="F3902" i="2"/>
  <c r="C3902" i="2"/>
  <c r="B3902" i="2"/>
  <c r="F3901" i="2"/>
  <c r="C3901" i="2"/>
  <c r="B3901" i="2"/>
  <c r="F3900" i="2"/>
  <c r="C3900" i="2"/>
  <c r="B3900" i="2"/>
  <c r="F3899" i="2"/>
  <c r="C3899" i="2"/>
  <c r="B3899" i="2"/>
  <c r="F3898" i="2"/>
  <c r="C3898" i="2"/>
  <c r="B3898" i="2"/>
  <c r="F3897" i="2"/>
  <c r="C3897" i="2"/>
  <c r="B3897" i="2"/>
  <c r="F3896" i="2"/>
  <c r="C3896" i="2"/>
  <c r="B3896" i="2"/>
  <c r="F3895" i="2"/>
  <c r="C3895" i="2"/>
  <c r="B3895" i="2"/>
  <c r="F3894" i="2"/>
  <c r="C3894" i="2"/>
  <c r="B3894" i="2"/>
  <c r="F3893" i="2"/>
  <c r="C3893" i="2"/>
  <c r="B3893" i="2"/>
  <c r="F3892" i="2"/>
  <c r="C3892" i="2"/>
  <c r="B3892" i="2"/>
  <c r="F3891" i="2"/>
  <c r="C3891" i="2"/>
  <c r="B3891" i="2"/>
  <c r="F3890" i="2"/>
  <c r="C3890" i="2"/>
  <c r="B3890" i="2"/>
  <c r="F3889" i="2"/>
  <c r="C3889" i="2"/>
  <c r="B3889" i="2"/>
  <c r="F3888" i="2"/>
  <c r="C3888" i="2"/>
  <c r="B3888" i="2"/>
  <c r="F3887" i="2"/>
  <c r="C3887" i="2"/>
  <c r="B3887" i="2"/>
  <c r="F3886" i="2"/>
  <c r="C3886" i="2"/>
  <c r="B3886" i="2"/>
  <c r="F3885" i="2"/>
  <c r="C3885" i="2"/>
  <c r="B3885" i="2"/>
  <c r="F3884" i="2"/>
  <c r="C3884" i="2"/>
  <c r="B3884" i="2"/>
  <c r="F3883" i="2"/>
  <c r="C3883" i="2"/>
  <c r="B3883" i="2"/>
  <c r="F3882" i="2"/>
  <c r="C3882" i="2"/>
  <c r="B3882" i="2"/>
  <c r="F3881" i="2"/>
  <c r="C3881" i="2"/>
  <c r="B3881" i="2"/>
  <c r="F3880" i="2"/>
  <c r="C3880" i="2"/>
  <c r="B3880" i="2"/>
  <c r="F3879" i="2"/>
  <c r="C3879" i="2"/>
  <c r="B3879" i="2"/>
  <c r="F3878" i="2"/>
  <c r="C3878" i="2"/>
  <c r="B3878" i="2"/>
  <c r="F3877" i="2"/>
  <c r="C3877" i="2"/>
  <c r="B3877" i="2"/>
  <c r="F3876" i="2"/>
  <c r="C3876" i="2"/>
  <c r="B3876" i="2"/>
  <c r="F3875" i="2"/>
  <c r="C3875" i="2"/>
  <c r="B3875" i="2"/>
  <c r="F3874" i="2"/>
  <c r="C3874" i="2"/>
  <c r="B3874" i="2"/>
  <c r="F3873" i="2"/>
  <c r="C3873" i="2"/>
  <c r="B3873" i="2"/>
  <c r="F3872" i="2"/>
  <c r="C3872" i="2"/>
  <c r="B3872" i="2"/>
  <c r="F3871" i="2"/>
  <c r="C3871" i="2"/>
  <c r="B3871" i="2"/>
  <c r="F3870" i="2"/>
  <c r="C3870" i="2"/>
  <c r="B3870" i="2"/>
  <c r="F3869" i="2"/>
  <c r="C3869" i="2"/>
  <c r="B3869" i="2"/>
  <c r="F3868" i="2"/>
  <c r="C3868" i="2"/>
  <c r="B3868" i="2"/>
  <c r="F3867" i="2"/>
  <c r="C3867" i="2"/>
  <c r="B3867" i="2"/>
  <c r="F3866" i="2"/>
  <c r="C3866" i="2"/>
  <c r="B3866" i="2"/>
  <c r="F3865" i="2"/>
  <c r="C3865" i="2"/>
  <c r="B3865" i="2"/>
  <c r="F3864" i="2"/>
  <c r="C3864" i="2"/>
  <c r="B3864" i="2"/>
  <c r="F3863" i="2"/>
  <c r="C3863" i="2"/>
  <c r="B3863" i="2"/>
  <c r="F3862" i="2"/>
  <c r="C3862" i="2"/>
  <c r="B3862" i="2"/>
  <c r="F3861" i="2"/>
  <c r="C3861" i="2"/>
  <c r="B3861" i="2"/>
  <c r="F3860" i="2"/>
  <c r="C3860" i="2"/>
  <c r="B3860" i="2"/>
  <c r="F3859" i="2"/>
  <c r="C3859" i="2"/>
  <c r="B3859" i="2"/>
  <c r="F3858" i="2"/>
  <c r="C3858" i="2"/>
  <c r="B3858" i="2"/>
  <c r="F3857" i="2"/>
  <c r="C3857" i="2"/>
  <c r="B3857" i="2"/>
  <c r="F3856" i="2"/>
  <c r="C3856" i="2"/>
  <c r="B3856" i="2"/>
  <c r="F3855" i="2"/>
  <c r="C3855" i="2"/>
  <c r="B3855" i="2"/>
  <c r="F3854" i="2"/>
  <c r="C3854" i="2"/>
  <c r="B3854" i="2"/>
  <c r="F3853" i="2"/>
  <c r="C3853" i="2"/>
  <c r="B3853" i="2"/>
  <c r="F3852" i="2"/>
  <c r="C3852" i="2"/>
  <c r="B3852" i="2"/>
  <c r="F3851" i="2"/>
  <c r="C3851" i="2"/>
  <c r="B3851" i="2"/>
  <c r="F3850" i="2"/>
  <c r="C3850" i="2"/>
  <c r="B3850" i="2"/>
  <c r="F3849" i="2"/>
  <c r="C3849" i="2"/>
  <c r="B3849" i="2"/>
  <c r="F3848" i="2"/>
  <c r="C3848" i="2"/>
  <c r="B3848" i="2"/>
  <c r="F3847" i="2"/>
  <c r="C3847" i="2"/>
  <c r="B3847" i="2"/>
  <c r="F3846" i="2"/>
  <c r="C3846" i="2"/>
  <c r="B3846" i="2"/>
  <c r="F3845" i="2"/>
  <c r="C3845" i="2"/>
  <c r="B3845" i="2"/>
  <c r="F3844" i="2"/>
  <c r="C3844" i="2"/>
  <c r="B3844" i="2"/>
  <c r="F3843" i="2"/>
  <c r="C3843" i="2"/>
  <c r="B3843" i="2"/>
  <c r="F3842" i="2"/>
  <c r="C3842" i="2"/>
  <c r="B3842" i="2"/>
  <c r="F3841" i="2"/>
  <c r="C3841" i="2"/>
  <c r="B3841" i="2"/>
  <c r="F3840" i="2"/>
  <c r="C3840" i="2"/>
  <c r="B3840" i="2"/>
  <c r="F3839" i="2"/>
  <c r="C3839" i="2"/>
  <c r="B3839" i="2"/>
  <c r="F3838" i="2"/>
  <c r="C3838" i="2"/>
  <c r="B3838" i="2"/>
  <c r="F3837" i="2"/>
  <c r="C3837" i="2"/>
  <c r="B3837" i="2"/>
  <c r="F3836" i="2"/>
  <c r="C3836" i="2"/>
  <c r="B3836" i="2"/>
  <c r="F3835" i="2"/>
  <c r="C3835" i="2"/>
  <c r="B3835" i="2"/>
  <c r="F3834" i="2"/>
  <c r="C3834" i="2"/>
  <c r="B3834" i="2"/>
  <c r="F3833" i="2"/>
  <c r="C3833" i="2"/>
  <c r="B3833" i="2"/>
  <c r="F3832" i="2"/>
  <c r="C3832" i="2"/>
  <c r="B3832" i="2"/>
  <c r="F3831" i="2"/>
  <c r="C3831" i="2"/>
  <c r="B3831" i="2"/>
  <c r="F3830" i="2"/>
  <c r="C3830" i="2"/>
  <c r="B3830" i="2"/>
  <c r="F3829" i="2"/>
  <c r="C3829" i="2"/>
  <c r="B3829" i="2"/>
  <c r="F3828" i="2"/>
  <c r="C3828" i="2"/>
  <c r="B3828" i="2"/>
  <c r="F3827" i="2"/>
  <c r="C3827" i="2"/>
  <c r="B3827" i="2"/>
  <c r="F3826" i="2"/>
  <c r="C3826" i="2"/>
  <c r="B3826" i="2"/>
  <c r="F3825" i="2"/>
  <c r="C3825" i="2"/>
  <c r="B3825" i="2"/>
  <c r="F3824" i="2"/>
  <c r="C3824" i="2"/>
  <c r="B3824" i="2"/>
  <c r="F3823" i="2"/>
  <c r="C3823" i="2"/>
  <c r="B3823" i="2"/>
  <c r="F3822" i="2"/>
  <c r="C3822" i="2"/>
  <c r="B3822" i="2"/>
  <c r="F3821" i="2"/>
  <c r="C3821" i="2"/>
  <c r="B3821" i="2"/>
  <c r="F3820" i="2"/>
  <c r="C3820" i="2"/>
  <c r="B3820" i="2"/>
  <c r="F3819" i="2"/>
  <c r="C3819" i="2"/>
  <c r="B3819" i="2"/>
  <c r="F3818" i="2"/>
  <c r="C3818" i="2"/>
  <c r="B3818" i="2"/>
  <c r="F3817" i="2"/>
  <c r="C3817" i="2"/>
  <c r="B3817" i="2"/>
  <c r="F3816" i="2"/>
  <c r="C3816" i="2"/>
  <c r="B3816" i="2"/>
  <c r="F3815" i="2"/>
  <c r="C3815" i="2"/>
  <c r="B3815" i="2"/>
  <c r="F3814" i="2"/>
  <c r="C3814" i="2"/>
  <c r="B3814" i="2"/>
  <c r="F3813" i="2"/>
  <c r="C3813" i="2"/>
  <c r="B3813" i="2"/>
  <c r="F3812" i="2"/>
  <c r="C3812" i="2"/>
  <c r="B3812" i="2"/>
  <c r="F3811" i="2"/>
  <c r="C3811" i="2"/>
  <c r="B3811" i="2"/>
  <c r="F3810" i="2"/>
  <c r="C3810" i="2"/>
  <c r="B3810" i="2"/>
  <c r="F3809" i="2"/>
  <c r="C3809" i="2"/>
  <c r="B3809" i="2"/>
  <c r="F3808" i="2"/>
  <c r="C3808" i="2"/>
  <c r="B3808" i="2"/>
  <c r="F3807" i="2"/>
  <c r="C3807" i="2"/>
  <c r="B3807" i="2"/>
  <c r="F3806" i="2"/>
  <c r="C3806" i="2"/>
  <c r="B3806" i="2"/>
  <c r="F3805" i="2"/>
  <c r="C3805" i="2"/>
  <c r="B3805" i="2"/>
  <c r="F3804" i="2"/>
  <c r="C3804" i="2"/>
  <c r="B3804" i="2"/>
  <c r="F3803" i="2"/>
  <c r="C3803" i="2"/>
  <c r="B3803" i="2"/>
  <c r="F3802" i="2"/>
  <c r="C3802" i="2"/>
  <c r="B3802" i="2"/>
  <c r="F3801" i="2"/>
  <c r="C3801" i="2"/>
  <c r="B3801" i="2"/>
  <c r="F3800" i="2"/>
  <c r="C3800" i="2"/>
  <c r="B3800" i="2"/>
  <c r="F3799" i="2"/>
  <c r="C3799" i="2"/>
  <c r="B3799" i="2"/>
  <c r="F3798" i="2"/>
  <c r="C3798" i="2"/>
  <c r="B3798" i="2"/>
  <c r="F3797" i="2"/>
  <c r="C3797" i="2"/>
  <c r="B3797" i="2"/>
  <c r="F3796" i="2"/>
  <c r="C3796" i="2"/>
  <c r="B3796" i="2"/>
  <c r="F3795" i="2"/>
  <c r="C3795" i="2"/>
  <c r="B3795" i="2"/>
  <c r="F3794" i="2"/>
  <c r="C3794" i="2"/>
  <c r="B3794" i="2"/>
  <c r="F3793" i="2"/>
  <c r="C3793" i="2"/>
  <c r="B3793" i="2"/>
  <c r="F3792" i="2"/>
  <c r="C3792" i="2"/>
  <c r="B3792" i="2"/>
  <c r="F3791" i="2"/>
  <c r="C3791" i="2"/>
  <c r="B3791" i="2"/>
  <c r="F3790" i="2"/>
  <c r="C3790" i="2"/>
  <c r="B3790" i="2"/>
  <c r="F3789" i="2"/>
  <c r="C3789" i="2"/>
  <c r="B3789" i="2"/>
  <c r="F3788" i="2"/>
  <c r="C3788" i="2"/>
  <c r="B3788" i="2"/>
  <c r="F3787" i="2"/>
  <c r="C3787" i="2"/>
  <c r="B3787" i="2"/>
  <c r="F3786" i="2"/>
  <c r="C3786" i="2"/>
  <c r="B3786" i="2"/>
  <c r="F3785" i="2"/>
  <c r="C3785" i="2"/>
  <c r="B3785" i="2"/>
  <c r="F3784" i="2"/>
  <c r="C3784" i="2"/>
  <c r="B3784" i="2"/>
  <c r="F3783" i="2"/>
  <c r="C3783" i="2"/>
  <c r="B3783" i="2"/>
  <c r="F3782" i="2"/>
  <c r="C3782" i="2"/>
  <c r="B3782" i="2"/>
  <c r="F3781" i="2"/>
  <c r="C3781" i="2"/>
  <c r="B3781" i="2"/>
  <c r="F3780" i="2"/>
  <c r="C3780" i="2"/>
  <c r="B3780" i="2"/>
  <c r="F3779" i="2"/>
  <c r="C3779" i="2"/>
  <c r="B3779" i="2"/>
  <c r="F3778" i="2"/>
  <c r="C3778" i="2"/>
  <c r="B3778" i="2"/>
  <c r="F3777" i="2"/>
  <c r="C3777" i="2"/>
  <c r="B3777" i="2"/>
  <c r="F3776" i="2"/>
  <c r="C3776" i="2"/>
  <c r="B3776" i="2"/>
  <c r="F3775" i="2"/>
  <c r="C3775" i="2"/>
  <c r="B3775" i="2"/>
  <c r="F3774" i="2"/>
  <c r="C3774" i="2"/>
  <c r="B3774" i="2"/>
  <c r="F3773" i="2"/>
  <c r="C3773" i="2"/>
  <c r="B3773" i="2"/>
  <c r="F3772" i="2"/>
  <c r="C3772" i="2"/>
  <c r="B3772" i="2"/>
  <c r="F3771" i="2"/>
  <c r="C3771" i="2"/>
  <c r="B3771" i="2"/>
  <c r="F3770" i="2"/>
  <c r="C3770" i="2"/>
  <c r="B3770" i="2"/>
  <c r="F3769" i="2"/>
  <c r="C3769" i="2"/>
  <c r="B3769" i="2"/>
  <c r="F3768" i="2"/>
  <c r="C3768" i="2"/>
  <c r="B3768" i="2"/>
  <c r="F3767" i="2"/>
  <c r="C3767" i="2"/>
  <c r="B3767" i="2"/>
  <c r="F3766" i="2"/>
  <c r="C3766" i="2"/>
  <c r="B3766" i="2"/>
  <c r="F3765" i="2"/>
  <c r="C3765" i="2"/>
  <c r="B3765" i="2"/>
  <c r="F3764" i="2"/>
  <c r="C3764" i="2"/>
  <c r="B3764" i="2"/>
  <c r="F3763" i="2"/>
  <c r="C3763" i="2"/>
  <c r="B3763" i="2"/>
  <c r="F3762" i="2"/>
  <c r="C3762" i="2"/>
  <c r="B3762" i="2"/>
  <c r="F3761" i="2"/>
  <c r="C3761" i="2"/>
  <c r="B3761" i="2"/>
  <c r="F3760" i="2"/>
  <c r="C3760" i="2"/>
  <c r="B3760" i="2"/>
  <c r="F3759" i="2"/>
  <c r="C3759" i="2"/>
  <c r="B3759" i="2"/>
  <c r="F3758" i="2"/>
  <c r="C3758" i="2"/>
  <c r="B3758" i="2"/>
  <c r="F3757" i="2"/>
  <c r="C3757" i="2"/>
  <c r="B3757" i="2"/>
  <c r="F3756" i="2"/>
  <c r="C3756" i="2"/>
  <c r="B3756" i="2"/>
  <c r="F3755" i="2"/>
  <c r="C3755" i="2"/>
  <c r="B3755" i="2"/>
  <c r="F3754" i="2"/>
  <c r="C3754" i="2"/>
  <c r="B3754" i="2"/>
  <c r="F3753" i="2"/>
  <c r="C3753" i="2"/>
  <c r="B3753" i="2"/>
  <c r="F3752" i="2"/>
  <c r="C3752" i="2"/>
  <c r="B3752" i="2"/>
  <c r="F3751" i="2"/>
  <c r="C3751" i="2"/>
  <c r="B3751" i="2"/>
  <c r="F3750" i="2"/>
  <c r="C3750" i="2"/>
  <c r="B3750" i="2"/>
  <c r="F3749" i="2"/>
  <c r="C3749" i="2"/>
  <c r="B3749" i="2"/>
  <c r="F3748" i="2"/>
  <c r="C3748" i="2"/>
  <c r="B3748" i="2"/>
  <c r="F3747" i="2"/>
  <c r="C3747" i="2"/>
  <c r="B3747" i="2"/>
  <c r="F3746" i="2"/>
  <c r="C3746" i="2"/>
  <c r="B3746" i="2"/>
  <c r="F3745" i="2"/>
  <c r="C3745" i="2"/>
  <c r="B3745" i="2"/>
  <c r="F3744" i="2"/>
  <c r="C3744" i="2"/>
  <c r="B3744" i="2"/>
  <c r="F3743" i="2"/>
  <c r="C3743" i="2"/>
  <c r="B3743" i="2"/>
  <c r="F3742" i="2"/>
  <c r="C3742" i="2"/>
  <c r="B3742" i="2"/>
  <c r="F3741" i="2"/>
  <c r="C3741" i="2"/>
  <c r="B3741" i="2"/>
  <c r="F3740" i="2"/>
  <c r="C3740" i="2"/>
  <c r="B3740" i="2"/>
  <c r="F3739" i="2"/>
  <c r="C3739" i="2"/>
  <c r="B3739" i="2"/>
  <c r="F3738" i="2"/>
  <c r="C3738" i="2"/>
  <c r="B3738" i="2"/>
  <c r="F3737" i="2"/>
  <c r="C3737" i="2"/>
  <c r="B3737" i="2"/>
  <c r="F3736" i="2"/>
  <c r="C3736" i="2"/>
  <c r="B3736" i="2"/>
  <c r="F3735" i="2"/>
  <c r="C3735" i="2"/>
  <c r="B3735" i="2"/>
  <c r="F3734" i="2"/>
  <c r="C3734" i="2"/>
  <c r="B3734" i="2"/>
  <c r="F3733" i="2"/>
  <c r="C3733" i="2"/>
  <c r="B3733" i="2"/>
  <c r="F3732" i="2"/>
  <c r="C3732" i="2"/>
  <c r="B3732" i="2"/>
  <c r="F3731" i="2"/>
  <c r="C3731" i="2"/>
  <c r="B3731" i="2"/>
  <c r="F3730" i="2"/>
  <c r="C3730" i="2"/>
  <c r="B3730" i="2"/>
  <c r="F3729" i="2"/>
  <c r="C3729" i="2"/>
  <c r="B3729" i="2"/>
  <c r="F3728" i="2"/>
  <c r="C3728" i="2"/>
  <c r="B3728" i="2"/>
  <c r="F3727" i="2"/>
  <c r="C3727" i="2"/>
  <c r="B3727" i="2"/>
  <c r="F3726" i="2"/>
  <c r="C3726" i="2"/>
  <c r="B3726" i="2"/>
  <c r="F3725" i="2"/>
  <c r="C3725" i="2"/>
  <c r="B3725" i="2"/>
  <c r="F3724" i="2"/>
  <c r="C3724" i="2"/>
  <c r="B3724" i="2"/>
  <c r="F3723" i="2"/>
  <c r="C3723" i="2"/>
  <c r="B3723" i="2"/>
  <c r="F3722" i="2"/>
  <c r="C3722" i="2"/>
  <c r="B3722" i="2"/>
  <c r="F3721" i="2"/>
  <c r="C3721" i="2"/>
  <c r="B3721" i="2"/>
  <c r="F3720" i="2"/>
  <c r="C3720" i="2"/>
  <c r="B3720" i="2"/>
  <c r="F3719" i="2"/>
  <c r="C3719" i="2"/>
  <c r="B3719" i="2"/>
  <c r="F3718" i="2"/>
  <c r="C3718" i="2"/>
  <c r="B3718" i="2"/>
  <c r="F3717" i="2"/>
  <c r="C3717" i="2"/>
  <c r="B3717" i="2"/>
  <c r="F3716" i="2"/>
  <c r="C3716" i="2"/>
  <c r="B3716" i="2"/>
  <c r="F3715" i="2"/>
  <c r="C3715" i="2"/>
  <c r="B3715" i="2"/>
  <c r="F3714" i="2"/>
  <c r="C3714" i="2"/>
  <c r="B3714" i="2"/>
  <c r="F3713" i="2"/>
  <c r="C3713" i="2"/>
  <c r="B3713" i="2"/>
  <c r="F3712" i="2"/>
  <c r="C3712" i="2"/>
  <c r="B3712" i="2"/>
  <c r="F3711" i="2"/>
  <c r="C3711" i="2"/>
  <c r="B3711" i="2"/>
  <c r="F3710" i="2"/>
  <c r="C3710" i="2"/>
  <c r="B3710" i="2"/>
  <c r="F3709" i="2"/>
  <c r="C3709" i="2"/>
  <c r="B3709" i="2"/>
  <c r="F3708" i="2"/>
  <c r="C3708" i="2"/>
  <c r="B3708" i="2"/>
  <c r="F3707" i="2"/>
  <c r="C3707" i="2"/>
  <c r="B3707" i="2"/>
  <c r="F3706" i="2"/>
  <c r="C3706" i="2"/>
  <c r="B3706" i="2"/>
  <c r="F3705" i="2"/>
  <c r="C3705" i="2"/>
  <c r="B3705" i="2"/>
  <c r="F3704" i="2"/>
  <c r="C3704" i="2"/>
  <c r="B3704" i="2"/>
  <c r="F3703" i="2"/>
  <c r="C3703" i="2"/>
  <c r="B3703" i="2"/>
  <c r="F3702" i="2"/>
  <c r="C3702" i="2"/>
  <c r="B3702" i="2"/>
  <c r="F3701" i="2"/>
  <c r="C3701" i="2"/>
  <c r="B3701" i="2"/>
  <c r="F3700" i="2"/>
  <c r="C3700" i="2"/>
  <c r="B3700" i="2"/>
  <c r="F3699" i="2"/>
  <c r="C3699" i="2"/>
  <c r="B3699" i="2"/>
  <c r="F3698" i="2"/>
  <c r="C3698" i="2"/>
  <c r="B3698" i="2"/>
  <c r="F3697" i="2"/>
  <c r="C3697" i="2"/>
  <c r="B3697" i="2"/>
  <c r="F3696" i="2"/>
  <c r="C3696" i="2"/>
  <c r="B3696" i="2"/>
  <c r="F3695" i="2"/>
  <c r="C3695" i="2"/>
  <c r="B3695" i="2"/>
  <c r="F3694" i="2"/>
  <c r="C3694" i="2"/>
  <c r="B3694" i="2"/>
  <c r="F3693" i="2"/>
  <c r="C3693" i="2"/>
  <c r="B3693" i="2"/>
  <c r="F3692" i="2"/>
  <c r="C3692" i="2"/>
  <c r="B3692" i="2"/>
  <c r="F3691" i="2"/>
  <c r="C3691" i="2"/>
  <c r="B3691" i="2"/>
  <c r="F3690" i="2"/>
  <c r="C3690" i="2"/>
  <c r="B3690" i="2"/>
  <c r="F3689" i="2"/>
  <c r="C3689" i="2"/>
  <c r="B3689" i="2"/>
  <c r="F3688" i="2"/>
  <c r="C3688" i="2"/>
  <c r="B3688" i="2"/>
  <c r="F3687" i="2"/>
  <c r="C3687" i="2"/>
  <c r="B3687" i="2"/>
  <c r="F3686" i="2"/>
  <c r="C3686" i="2"/>
  <c r="B3686" i="2"/>
  <c r="F3685" i="2"/>
  <c r="C3685" i="2"/>
  <c r="B3685" i="2"/>
  <c r="F3684" i="2"/>
  <c r="C3684" i="2"/>
  <c r="B3684" i="2"/>
  <c r="F3683" i="2"/>
  <c r="C3683" i="2"/>
  <c r="B3683" i="2"/>
  <c r="F3682" i="2"/>
  <c r="C3682" i="2"/>
  <c r="B3682" i="2"/>
  <c r="F3681" i="2"/>
  <c r="C3681" i="2"/>
  <c r="B3681" i="2"/>
  <c r="F3680" i="2"/>
  <c r="C3680" i="2"/>
  <c r="B3680" i="2"/>
  <c r="F3679" i="2"/>
  <c r="C3679" i="2"/>
  <c r="B3679" i="2"/>
  <c r="F3678" i="2"/>
  <c r="C3678" i="2"/>
  <c r="B3678" i="2"/>
  <c r="F3677" i="2"/>
  <c r="C3677" i="2"/>
  <c r="B3677" i="2"/>
  <c r="F3676" i="2"/>
  <c r="C3676" i="2"/>
  <c r="B3676" i="2"/>
  <c r="F3675" i="2"/>
  <c r="C3675" i="2"/>
  <c r="B3675" i="2"/>
  <c r="F3674" i="2"/>
  <c r="C3674" i="2"/>
  <c r="B3674" i="2"/>
  <c r="F3673" i="2"/>
  <c r="C3673" i="2"/>
  <c r="B3673" i="2"/>
  <c r="F3672" i="2"/>
  <c r="C3672" i="2"/>
  <c r="B3672" i="2"/>
  <c r="F3671" i="2"/>
  <c r="C3671" i="2"/>
  <c r="B3671" i="2"/>
  <c r="F3670" i="2"/>
  <c r="C3670" i="2"/>
  <c r="B3670" i="2"/>
  <c r="F3669" i="2"/>
  <c r="C3669" i="2"/>
  <c r="B3669" i="2"/>
  <c r="F3668" i="2"/>
  <c r="C3668" i="2"/>
  <c r="B3668" i="2"/>
  <c r="F3667" i="2"/>
  <c r="C3667" i="2"/>
  <c r="B3667" i="2"/>
  <c r="F3666" i="2"/>
  <c r="C3666" i="2"/>
  <c r="B3666" i="2"/>
  <c r="F3665" i="2"/>
  <c r="C3665" i="2"/>
  <c r="B3665" i="2"/>
  <c r="F3664" i="2"/>
  <c r="C3664" i="2"/>
  <c r="B3664" i="2"/>
  <c r="F3663" i="2"/>
  <c r="C3663" i="2"/>
  <c r="B3663" i="2"/>
  <c r="F3662" i="2"/>
  <c r="C3662" i="2"/>
  <c r="B3662" i="2"/>
  <c r="F3661" i="2"/>
  <c r="C3661" i="2"/>
  <c r="B3661" i="2"/>
  <c r="F3660" i="2"/>
  <c r="C3660" i="2"/>
  <c r="B3660" i="2"/>
  <c r="F3659" i="2"/>
  <c r="C3659" i="2"/>
  <c r="B3659" i="2"/>
  <c r="F3658" i="2"/>
  <c r="C3658" i="2"/>
  <c r="B3658" i="2"/>
  <c r="F3657" i="2"/>
  <c r="C3657" i="2"/>
  <c r="B3657" i="2"/>
  <c r="F3656" i="2"/>
  <c r="C3656" i="2"/>
  <c r="B3656" i="2"/>
  <c r="F3655" i="2"/>
  <c r="C3655" i="2"/>
  <c r="B3655" i="2"/>
  <c r="F3654" i="2"/>
  <c r="C3654" i="2"/>
  <c r="B3654" i="2"/>
  <c r="F3653" i="2"/>
  <c r="C3653" i="2"/>
  <c r="B3653" i="2"/>
  <c r="F3652" i="2"/>
  <c r="C3652" i="2"/>
  <c r="B3652" i="2"/>
  <c r="F3651" i="2"/>
  <c r="C3651" i="2"/>
  <c r="B3651" i="2"/>
  <c r="F3650" i="2"/>
  <c r="C3650" i="2"/>
  <c r="B3650" i="2"/>
  <c r="F3649" i="2"/>
  <c r="C3649" i="2"/>
  <c r="B3649" i="2"/>
  <c r="F3648" i="2"/>
  <c r="C3648" i="2"/>
  <c r="B3648" i="2"/>
  <c r="F3647" i="2"/>
  <c r="C3647" i="2"/>
  <c r="B3647" i="2"/>
  <c r="F3646" i="2"/>
  <c r="C3646" i="2"/>
  <c r="B3646" i="2"/>
  <c r="F3645" i="2"/>
  <c r="C3645" i="2"/>
  <c r="B3645" i="2"/>
  <c r="F3644" i="2"/>
  <c r="C3644" i="2"/>
  <c r="B3644" i="2"/>
  <c r="F3643" i="2"/>
  <c r="C3643" i="2"/>
  <c r="B3643" i="2"/>
  <c r="F3642" i="2"/>
  <c r="C3642" i="2"/>
  <c r="B3642" i="2"/>
  <c r="F3641" i="2"/>
  <c r="C3641" i="2"/>
  <c r="B3641" i="2"/>
  <c r="F3640" i="2"/>
  <c r="C3640" i="2"/>
  <c r="B3640" i="2"/>
  <c r="F3639" i="2"/>
  <c r="C3639" i="2"/>
  <c r="B3639" i="2"/>
  <c r="F3638" i="2"/>
  <c r="C3638" i="2"/>
  <c r="B3638" i="2"/>
  <c r="F3637" i="2"/>
  <c r="C3637" i="2"/>
  <c r="B3637" i="2"/>
  <c r="F3636" i="2"/>
  <c r="C3636" i="2"/>
  <c r="B3636" i="2"/>
  <c r="F3635" i="2"/>
  <c r="C3635" i="2"/>
  <c r="B3635" i="2"/>
  <c r="F3634" i="2"/>
  <c r="C3634" i="2"/>
  <c r="B3634" i="2"/>
  <c r="F3633" i="2"/>
  <c r="C3633" i="2"/>
  <c r="B3633" i="2"/>
  <c r="F3632" i="2"/>
  <c r="C3632" i="2"/>
  <c r="B3632" i="2"/>
  <c r="F3631" i="2"/>
  <c r="C3631" i="2"/>
  <c r="B3631" i="2"/>
  <c r="F3630" i="2"/>
  <c r="C3630" i="2"/>
  <c r="B3630" i="2"/>
  <c r="F3629" i="2"/>
  <c r="C3629" i="2"/>
  <c r="B3629" i="2"/>
  <c r="F3628" i="2"/>
  <c r="C3628" i="2"/>
  <c r="B3628" i="2"/>
  <c r="F3627" i="2"/>
  <c r="C3627" i="2"/>
  <c r="B3627" i="2"/>
  <c r="F3626" i="2"/>
  <c r="C3626" i="2"/>
  <c r="B3626" i="2"/>
  <c r="F3625" i="2"/>
  <c r="C3625" i="2"/>
  <c r="B3625" i="2"/>
  <c r="F3624" i="2"/>
  <c r="C3624" i="2"/>
  <c r="B3624" i="2"/>
  <c r="F3623" i="2"/>
  <c r="C3623" i="2"/>
  <c r="B3623" i="2"/>
  <c r="F3622" i="2"/>
  <c r="C3622" i="2"/>
  <c r="B3622" i="2"/>
  <c r="F3621" i="2"/>
  <c r="C3621" i="2"/>
  <c r="B3621" i="2"/>
  <c r="F3620" i="2"/>
  <c r="C3620" i="2"/>
  <c r="B3620" i="2"/>
  <c r="F3619" i="2"/>
  <c r="C3619" i="2"/>
  <c r="B3619" i="2"/>
  <c r="F3618" i="2"/>
  <c r="C3618" i="2"/>
  <c r="B3618" i="2"/>
  <c r="F3617" i="2"/>
  <c r="C3617" i="2"/>
  <c r="B3617" i="2"/>
  <c r="F3616" i="2"/>
  <c r="C3616" i="2"/>
  <c r="B3616" i="2"/>
  <c r="F3615" i="2"/>
  <c r="C3615" i="2"/>
  <c r="B3615" i="2"/>
  <c r="F3614" i="2"/>
  <c r="C3614" i="2"/>
  <c r="B3614" i="2"/>
  <c r="F3613" i="2"/>
  <c r="C3613" i="2"/>
  <c r="B3613" i="2"/>
  <c r="F3612" i="2"/>
  <c r="C3612" i="2"/>
  <c r="B3612" i="2"/>
  <c r="F3611" i="2"/>
  <c r="C3611" i="2"/>
  <c r="B3611" i="2"/>
  <c r="F3610" i="2"/>
  <c r="C3610" i="2"/>
  <c r="B3610" i="2"/>
  <c r="F3609" i="2"/>
  <c r="C3609" i="2"/>
  <c r="B3609" i="2"/>
  <c r="F3608" i="2"/>
  <c r="C3608" i="2"/>
  <c r="B3608" i="2"/>
  <c r="F3607" i="2"/>
  <c r="C3607" i="2"/>
  <c r="B3607" i="2"/>
  <c r="F3606" i="2"/>
  <c r="C3606" i="2"/>
  <c r="B3606" i="2"/>
  <c r="F3605" i="2"/>
  <c r="C3605" i="2"/>
  <c r="B3605" i="2"/>
  <c r="F3604" i="2"/>
  <c r="C3604" i="2"/>
  <c r="B3604" i="2"/>
  <c r="F3603" i="2"/>
  <c r="C3603" i="2"/>
  <c r="B3603" i="2"/>
  <c r="F3602" i="2"/>
  <c r="C3602" i="2"/>
  <c r="B3602" i="2"/>
  <c r="F3601" i="2"/>
  <c r="C3601" i="2"/>
  <c r="B3601" i="2"/>
  <c r="F3600" i="2"/>
  <c r="C3600" i="2"/>
  <c r="B3600" i="2"/>
  <c r="F3599" i="2"/>
  <c r="C3599" i="2"/>
  <c r="B3599" i="2"/>
  <c r="F3598" i="2"/>
  <c r="C3598" i="2"/>
  <c r="B3598" i="2"/>
  <c r="F3597" i="2"/>
  <c r="C3597" i="2"/>
  <c r="B3597" i="2"/>
  <c r="F3596" i="2"/>
  <c r="C3596" i="2"/>
  <c r="B3596" i="2"/>
  <c r="F3595" i="2"/>
  <c r="C3595" i="2"/>
  <c r="B3595" i="2"/>
  <c r="F3594" i="2"/>
  <c r="C3594" i="2"/>
  <c r="B3594" i="2"/>
  <c r="F3593" i="2"/>
  <c r="C3593" i="2"/>
  <c r="B3593" i="2"/>
  <c r="F3592" i="2"/>
  <c r="C3592" i="2"/>
  <c r="B3592" i="2"/>
  <c r="F3591" i="2"/>
  <c r="C3591" i="2"/>
  <c r="B3591" i="2"/>
  <c r="F3590" i="2"/>
  <c r="C3590" i="2"/>
  <c r="B3590" i="2"/>
  <c r="F3589" i="2"/>
  <c r="C3589" i="2"/>
  <c r="B3589" i="2"/>
  <c r="F3588" i="2"/>
  <c r="C3588" i="2"/>
  <c r="B3588" i="2"/>
  <c r="F3587" i="2"/>
  <c r="C3587" i="2"/>
  <c r="B3587" i="2"/>
  <c r="F3586" i="2"/>
  <c r="C3586" i="2"/>
  <c r="B3586" i="2"/>
  <c r="F3585" i="2"/>
  <c r="C3585" i="2"/>
  <c r="B3585" i="2"/>
  <c r="F3584" i="2"/>
  <c r="C3584" i="2"/>
  <c r="B3584" i="2"/>
  <c r="F3583" i="2"/>
  <c r="C3583" i="2"/>
  <c r="B3583" i="2"/>
  <c r="F3582" i="2"/>
  <c r="C3582" i="2"/>
  <c r="B3582" i="2"/>
  <c r="F3581" i="2"/>
  <c r="C3581" i="2"/>
  <c r="B3581" i="2"/>
  <c r="F3580" i="2"/>
  <c r="C3580" i="2"/>
  <c r="B3580" i="2"/>
  <c r="F3579" i="2"/>
  <c r="C3579" i="2"/>
  <c r="B3579" i="2"/>
  <c r="F3578" i="2"/>
  <c r="C3578" i="2"/>
  <c r="B3578" i="2"/>
  <c r="F3577" i="2"/>
  <c r="C3577" i="2"/>
  <c r="B3577" i="2"/>
  <c r="F3576" i="2"/>
  <c r="C3576" i="2"/>
  <c r="B3576" i="2"/>
  <c r="F3575" i="2"/>
  <c r="C3575" i="2"/>
  <c r="B3575" i="2"/>
  <c r="F3574" i="2"/>
  <c r="C3574" i="2"/>
  <c r="B3574" i="2"/>
  <c r="F3573" i="2"/>
  <c r="C3573" i="2"/>
  <c r="B3573" i="2"/>
  <c r="F3572" i="2"/>
  <c r="C3572" i="2"/>
  <c r="B3572" i="2"/>
  <c r="F3571" i="2"/>
  <c r="C3571" i="2"/>
  <c r="B3571" i="2"/>
  <c r="F3570" i="2"/>
  <c r="C3570" i="2"/>
  <c r="B3570" i="2"/>
  <c r="F3569" i="2"/>
  <c r="C3569" i="2"/>
  <c r="B3569" i="2"/>
  <c r="F3568" i="2"/>
  <c r="C3568" i="2"/>
  <c r="B3568" i="2"/>
  <c r="F3567" i="2"/>
  <c r="C3567" i="2"/>
  <c r="B3567" i="2"/>
  <c r="F3566" i="2"/>
  <c r="C3566" i="2"/>
  <c r="B3566" i="2"/>
  <c r="F3565" i="2"/>
  <c r="C3565" i="2"/>
  <c r="B3565" i="2"/>
  <c r="F3564" i="2"/>
  <c r="C3564" i="2"/>
  <c r="B3564" i="2"/>
  <c r="F3563" i="2"/>
  <c r="C3563" i="2"/>
  <c r="B3563" i="2"/>
  <c r="F3562" i="2"/>
  <c r="C3562" i="2"/>
  <c r="B3562" i="2"/>
  <c r="F3561" i="2"/>
  <c r="C3561" i="2"/>
  <c r="B3561" i="2"/>
  <c r="F3560" i="2"/>
  <c r="C3560" i="2"/>
  <c r="B3560" i="2"/>
  <c r="F3559" i="2"/>
  <c r="C3559" i="2"/>
  <c r="B3559" i="2"/>
  <c r="F3558" i="2"/>
  <c r="C3558" i="2"/>
  <c r="B3558" i="2"/>
  <c r="F3557" i="2"/>
  <c r="C3557" i="2"/>
  <c r="B3557" i="2"/>
  <c r="F3556" i="2"/>
  <c r="C3556" i="2"/>
  <c r="B3556" i="2"/>
  <c r="F3555" i="2"/>
  <c r="C3555" i="2"/>
  <c r="B3555" i="2"/>
  <c r="F3554" i="2"/>
  <c r="C3554" i="2"/>
  <c r="B3554" i="2"/>
  <c r="F3553" i="2"/>
  <c r="C3553" i="2"/>
  <c r="B3553" i="2"/>
  <c r="F3552" i="2"/>
  <c r="C3552" i="2"/>
  <c r="B3552" i="2"/>
  <c r="F3551" i="2"/>
  <c r="C3551" i="2"/>
  <c r="B3551" i="2"/>
  <c r="F3550" i="2"/>
  <c r="C3550" i="2"/>
  <c r="B3550" i="2"/>
  <c r="F3549" i="2"/>
  <c r="C3549" i="2"/>
  <c r="B3549" i="2"/>
  <c r="F3548" i="2"/>
  <c r="C3548" i="2"/>
  <c r="B3548" i="2"/>
  <c r="F3547" i="2"/>
  <c r="C3547" i="2"/>
  <c r="B3547" i="2"/>
  <c r="F3546" i="2"/>
  <c r="C3546" i="2"/>
  <c r="B3546" i="2"/>
  <c r="F3545" i="2"/>
  <c r="C3545" i="2"/>
  <c r="B3545" i="2"/>
  <c r="F3544" i="2"/>
  <c r="C3544" i="2"/>
  <c r="B3544" i="2"/>
  <c r="F3543" i="2"/>
  <c r="C3543" i="2"/>
  <c r="B3543" i="2"/>
  <c r="F3542" i="2"/>
  <c r="C3542" i="2"/>
  <c r="B3542" i="2"/>
  <c r="F3541" i="2"/>
  <c r="C3541" i="2"/>
  <c r="B3541" i="2"/>
  <c r="F3540" i="2"/>
  <c r="C3540" i="2"/>
  <c r="B3540" i="2"/>
  <c r="F3539" i="2"/>
  <c r="C3539" i="2"/>
  <c r="B3539" i="2"/>
  <c r="F3538" i="2"/>
  <c r="C3538" i="2"/>
  <c r="B3538" i="2"/>
  <c r="F3537" i="2"/>
  <c r="C3537" i="2"/>
  <c r="B3537" i="2"/>
  <c r="F3536" i="2"/>
  <c r="C3536" i="2"/>
  <c r="B3536" i="2"/>
  <c r="F3535" i="2"/>
  <c r="C3535" i="2"/>
  <c r="B3535" i="2"/>
  <c r="F3534" i="2"/>
  <c r="C3534" i="2"/>
  <c r="B3534" i="2"/>
  <c r="F3533" i="2"/>
  <c r="C3533" i="2"/>
  <c r="B3533" i="2"/>
  <c r="F3532" i="2"/>
  <c r="C3532" i="2"/>
  <c r="B3532" i="2"/>
  <c r="F3531" i="2"/>
  <c r="C3531" i="2"/>
  <c r="B3531" i="2"/>
  <c r="F3530" i="2"/>
  <c r="C3530" i="2"/>
  <c r="B3530" i="2"/>
  <c r="F3529" i="2"/>
  <c r="C3529" i="2"/>
  <c r="B3529" i="2"/>
  <c r="F3528" i="2"/>
  <c r="C3528" i="2"/>
  <c r="B3528" i="2"/>
  <c r="F3527" i="2"/>
  <c r="C3527" i="2"/>
  <c r="B3527" i="2"/>
  <c r="F3526" i="2"/>
  <c r="C3526" i="2"/>
  <c r="B3526" i="2"/>
  <c r="F3525" i="2"/>
  <c r="C3525" i="2"/>
  <c r="B3525" i="2"/>
  <c r="F3524" i="2"/>
  <c r="C3524" i="2"/>
  <c r="B3524" i="2"/>
  <c r="F3523" i="2"/>
  <c r="C3523" i="2"/>
  <c r="B3523" i="2"/>
  <c r="F3522" i="2"/>
  <c r="C3522" i="2"/>
  <c r="B3522" i="2"/>
  <c r="F3521" i="2"/>
  <c r="C3521" i="2"/>
  <c r="B3521" i="2"/>
  <c r="F3520" i="2"/>
  <c r="C3520" i="2"/>
  <c r="B3520" i="2"/>
  <c r="F3519" i="2"/>
  <c r="C3519" i="2"/>
  <c r="B3519" i="2"/>
  <c r="F3518" i="2"/>
  <c r="C3518" i="2"/>
  <c r="B3518" i="2"/>
  <c r="F3517" i="2"/>
  <c r="C3517" i="2"/>
  <c r="B3517" i="2"/>
  <c r="F3516" i="2"/>
  <c r="C3516" i="2"/>
  <c r="B3516" i="2"/>
  <c r="F3515" i="2"/>
  <c r="C3515" i="2"/>
  <c r="B3515" i="2"/>
  <c r="F3514" i="2"/>
  <c r="C3514" i="2"/>
  <c r="B3514" i="2"/>
  <c r="F3513" i="2"/>
  <c r="C3513" i="2"/>
  <c r="B3513" i="2"/>
  <c r="F3512" i="2"/>
  <c r="C3512" i="2"/>
  <c r="B3512" i="2"/>
  <c r="F3511" i="2"/>
  <c r="C3511" i="2"/>
  <c r="B3511" i="2"/>
  <c r="F3510" i="2"/>
  <c r="C3510" i="2"/>
  <c r="B3510" i="2"/>
  <c r="F3509" i="2"/>
  <c r="C3509" i="2"/>
  <c r="B3509" i="2"/>
  <c r="F3508" i="2"/>
  <c r="C3508" i="2"/>
  <c r="B3508" i="2"/>
  <c r="F3507" i="2"/>
  <c r="C3507" i="2"/>
  <c r="B3507" i="2"/>
  <c r="F3506" i="2"/>
  <c r="C3506" i="2"/>
  <c r="B3506" i="2"/>
  <c r="F3505" i="2"/>
  <c r="C3505" i="2"/>
  <c r="B3505" i="2"/>
  <c r="F3504" i="2"/>
  <c r="C3504" i="2"/>
  <c r="B3504" i="2"/>
  <c r="F3503" i="2"/>
  <c r="C3503" i="2"/>
  <c r="B3503" i="2"/>
  <c r="F3502" i="2"/>
  <c r="C3502" i="2"/>
  <c r="B3502" i="2"/>
  <c r="F3501" i="2"/>
  <c r="C3501" i="2"/>
  <c r="B3501" i="2"/>
  <c r="F3500" i="2"/>
  <c r="C3500" i="2"/>
  <c r="B3500" i="2"/>
  <c r="F3499" i="2"/>
  <c r="C3499" i="2"/>
  <c r="B3499" i="2"/>
  <c r="F3498" i="2"/>
  <c r="C3498" i="2"/>
  <c r="B3498" i="2"/>
  <c r="F3497" i="2"/>
  <c r="C3497" i="2"/>
  <c r="B3497" i="2"/>
  <c r="F3496" i="2"/>
  <c r="C3496" i="2"/>
  <c r="B3496" i="2"/>
  <c r="F3495" i="2"/>
  <c r="C3495" i="2"/>
  <c r="B3495" i="2"/>
  <c r="F3494" i="2"/>
  <c r="C3494" i="2"/>
  <c r="B3494" i="2"/>
  <c r="F3493" i="2"/>
  <c r="C3493" i="2"/>
  <c r="B3493" i="2"/>
  <c r="F3492" i="2"/>
  <c r="C3492" i="2"/>
  <c r="B3492" i="2"/>
  <c r="F3491" i="2"/>
  <c r="C3491" i="2"/>
  <c r="B3491" i="2"/>
  <c r="F3490" i="2"/>
  <c r="C3490" i="2"/>
  <c r="B3490" i="2"/>
  <c r="F3489" i="2"/>
  <c r="C3489" i="2"/>
  <c r="B3489" i="2"/>
  <c r="F3488" i="2"/>
  <c r="C3488" i="2"/>
  <c r="B3488" i="2"/>
  <c r="F3487" i="2"/>
  <c r="C3487" i="2"/>
  <c r="B3487" i="2"/>
  <c r="F3486" i="2"/>
  <c r="C3486" i="2"/>
  <c r="B3486" i="2"/>
  <c r="F3485" i="2"/>
  <c r="C3485" i="2"/>
  <c r="B3485" i="2"/>
  <c r="F3484" i="2"/>
  <c r="C3484" i="2"/>
  <c r="B3484" i="2"/>
  <c r="F3483" i="2"/>
  <c r="C3483" i="2"/>
  <c r="B3483" i="2"/>
  <c r="F3482" i="2"/>
  <c r="C3482" i="2"/>
  <c r="B3482" i="2"/>
  <c r="F3481" i="2"/>
  <c r="C3481" i="2"/>
  <c r="B3481" i="2"/>
  <c r="F3480" i="2"/>
  <c r="C3480" i="2"/>
  <c r="B3480" i="2"/>
  <c r="F3479" i="2"/>
  <c r="C3479" i="2"/>
  <c r="B3479" i="2"/>
  <c r="F3478" i="2"/>
  <c r="C3478" i="2"/>
  <c r="B3478" i="2"/>
  <c r="F3477" i="2"/>
  <c r="C3477" i="2"/>
  <c r="B3477" i="2"/>
  <c r="F3476" i="2"/>
  <c r="C3476" i="2"/>
  <c r="B3476" i="2"/>
  <c r="F3475" i="2"/>
  <c r="C3475" i="2"/>
  <c r="B3475" i="2"/>
  <c r="F3474" i="2"/>
  <c r="C3474" i="2"/>
  <c r="B3474" i="2"/>
  <c r="F3473" i="2"/>
  <c r="C3473" i="2"/>
  <c r="B3473" i="2"/>
  <c r="F3472" i="2"/>
  <c r="C3472" i="2"/>
  <c r="B3472" i="2"/>
  <c r="F3471" i="2"/>
  <c r="C3471" i="2"/>
  <c r="B3471" i="2"/>
  <c r="F3470" i="2"/>
  <c r="C3470" i="2"/>
  <c r="B3470" i="2"/>
  <c r="F3469" i="2"/>
  <c r="C3469" i="2"/>
  <c r="B3469" i="2"/>
  <c r="F3468" i="2"/>
  <c r="C3468" i="2"/>
  <c r="B3468" i="2"/>
  <c r="F3467" i="2"/>
  <c r="C3467" i="2"/>
  <c r="B3467" i="2"/>
  <c r="F3466" i="2"/>
  <c r="C3466" i="2"/>
  <c r="B3466" i="2"/>
  <c r="F3465" i="2"/>
  <c r="C3465" i="2"/>
  <c r="B3465" i="2"/>
  <c r="F3464" i="2"/>
  <c r="C3464" i="2"/>
  <c r="B3464" i="2"/>
  <c r="F3463" i="2"/>
  <c r="C3463" i="2"/>
  <c r="B3463" i="2"/>
  <c r="F3462" i="2"/>
  <c r="C3462" i="2"/>
  <c r="B3462" i="2"/>
  <c r="F3461" i="2"/>
  <c r="C3461" i="2"/>
  <c r="B3461" i="2"/>
  <c r="F3460" i="2"/>
  <c r="C3460" i="2"/>
  <c r="B3460" i="2"/>
  <c r="F3459" i="2"/>
  <c r="C3459" i="2"/>
  <c r="B3459" i="2"/>
  <c r="F3458" i="2"/>
  <c r="C3458" i="2"/>
  <c r="B3458" i="2"/>
  <c r="F3457" i="2"/>
  <c r="C3457" i="2"/>
  <c r="B3457" i="2"/>
  <c r="F3456" i="2"/>
  <c r="C3456" i="2"/>
  <c r="B3456" i="2"/>
  <c r="F3455" i="2"/>
  <c r="C3455" i="2"/>
  <c r="B3455" i="2"/>
  <c r="F3454" i="2"/>
  <c r="C3454" i="2"/>
  <c r="B3454" i="2"/>
  <c r="F3453" i="2"/>
  <c r="C3453" i="2"/>
  <c r="B3453" i="2"/>
  <c r="F3452" i="2"/>
  <c r="C3452" i="2"/>
  <c r="B3452" i="2"/>
  <c r="F3451" i="2"/>
  <c r="C3451" i="2"/>
  <c r="B3451" i="2"/>
  <c r="F3450" i="2"/>
  <c r="C3450" i="2"/>
  <c r="B3450" i="2"/>
  <c r="F3449" i="2"/>
  <c r="C3449" i="2"/>
  <c r="B3449" i="2"/>
  <c r="F3448" i="2"/>
  <c r="C3448" i="2"/>
  <c r="B3448" i="2"/>
  <c r="F3447" i="2"/>
  <c r="C3447" i="2"/>
  <c r="B3447" i="2"/>
  <c r="F3446" i="2"/>
  <c r="C3446" i="2"/>
  <c r="B3446" i="2"/>
  <c r="F3445" i="2"/>
  <c r="C3445" i="2"/>
  <c r="B3445" i="2"/>
  <c r="F3444" i="2"/>
  <c r="C3444" i="2"/>
  <c r="B3444" i="2"/>
  <c r="F3443" i="2"/>
  <c r="C3443" i="2"/>
  <c r="B3443" i="2"/>
  <c r="F3442" i="2"/>
  <c r="C3442" i="2"/>
  <c r="B3442" i="2"/>
  <c r="F3441" i="2"/>
  <c r="C3441" i="2"/>
  <c r="B3441" i="2"/>
  <c r="F3440" i="2"/>
  <c r="C3440" i="2"/>
  <c r="B3440" i="2"/>
  <c r="F3439" i="2"/>
  <c r="C3439" i="2"/>
  <c r="B3439" i="2"/>
  <c r="F3438" i="2"/>
  <c r="C3438" i="2"/>
  <c r="B3438" i="2"/>
  <c r="F3437" i="2"/>
  <c r="C3437" i="2"/>
  <c r="B3437" i="2"/>
  <c r="F3436" i="2"/>
  <c r="C3436" i="2"/>
  <c r="B3436" i="2"/>
  <c r="F3435" i="2"/>
  <c r="C3435" i="2"/>
  <c r="B3435" i="2"/>
  <c r="F3434" i="2"/>
  <c r="C3434" i="2"/>
  <c r="B3434" i="2"/>
  <c r="F3433" i="2"/>
  <c r="C3433" i="2"/>
  <c r="B3433" i="2"/>
  <c r="F3432" i="2"/>
  <c r="C3432" i="2"/>
  <c r="B3432" i="2"/>
  <c r="F3431" i="2"/>
  <c r="C3431" i="2"/>
  <c r="B3431" i="2"/>
  <c r="F3430" i="2"/>
  <c r="C3430" i="2"/>
  <c r="B3430" i="2"/>
  <c r="F3429" i="2"/>
  <c r="C3429" i="2"/>
  <c r="B3429" i="2"/>
  <c r="F3428" i="2"/>
  <c r="C3428" i="2"/>
  <c r="B3428" i="2"/>
  <c r="F3427" i="2"/>
  <c r="C3427" i="2"/>
  <c r="B3427" i="2"/>
  <c r="F3426" i="2"/>
  <c r="C3426" i="2"/>
  <c r="B3426" i="2"/>
  <c r="F3425" i="2"/>
  <c r="C3425" i="2"/>
  <c r="B3425" i="2"/>
  <c r="F3424" i="2"/>
  <c r="C3424" i="2"/>
  <c r="B3424" i="2"/>
  <c r="F3423" i="2"/>
  <c r="C3423" i="2"/>
  <c r="B3423" i="2"/>
  <c r="F3422" i="2"/>
  <c r="C3422" i="2"/>
  <c r="B3422" i="2"/>
  <c r="F3421" i="2"/>
  <c r="C3421" i="2"/>
  <c r="B3421" i="2"/>
  <c r="F3420" i="2"/>
  <c r="C3420" i="2"/>
  <c r="B3420" i="2"/>
  <c r="F3419" i="2"/>
  <c r="C3419" i="2"/>
  <c r="B3419" i="2"/>
  <c r="F3418" i="2"/>
  <c r="C3418" i="2"/>
  <c r="B3418" i="2"/>
  <c r="F3417" i="2"/>
  <c r="C3417" i="2"/>
  <c r="B3417" i="2"/>
  <c r="F3416" i="2"/>
  <c r="C3416" i="2"/>
  <c r="B3416" i="2"/>
  <c r="F3415" i="2"/>
  <c r="C3415" i="2"/>
  <c r="B3415" i="2"/>
  <c r="F3414" i="2"/>
  <c r="C3414" i="2"/>
  <c r="B3414" i="2"/>
  <c r="F3413" i="2"/>
  <c r="C3413" i="2"/>
  <c r="B3413" i="2"/>
  <c r="F3412" i="2"/>
  <c r="C3412" i="2"/>
  <c r="B3412" i="2"/>
  <c r="F3411" i="2"/>
  <c r="C3411" i="2"/>
  <c r="B3411" i="2"/>
  <c r="F3410" i="2"/>
  <c r="C3410" i="2"/>
  <c r="B3410" i="2"/>
  <c r="F3409" i="2"/>
  <c r="C3409" i="2"/>
  <c r="B3409" i="2"/>
  <c r="F3408" i="2"/>
  <c r="C3408" i="2"/>
  <c r="B3408" i="2"/>
  <c r="F3407" i="2"/>
  <c r="C3407" i="2"/>
  <c r="B3407" i="2"/>
  <c r="F3406" i="2"/>
  <c r="C3406" i="2"/>
  <c r="B3406" i="2"/>
  <c r="F3405" i="2"/>
  <c r="C3405" i="2"/>
  <c r="B3405" i="2"/>
  <c r="F3404" i="2"/>
  <c r="C3404" i="2"/>
  <c r="B3404" i="2"/>
  <c r="F3403" i="2"/>
  <c r="C3403" i="2"/>
  <c r="B3403" i="2"/>
  <c r="F3402" i="2"/>
  <c r="C3402" i="2"/>
  <c r="B3402" i="2"/>
  <c r="F3401" i="2"/>
  <c r="C3401" i="2"/>
  <c r="B3401" i="2"/>
  <c r="F3400" i="2"/>
  <c r="C3400" i="2"/>
  <c r="B3400" i="2"/>
  <c r="F3399" i="2"/>
  <c r="C3399" i="2"/>
  <c r="B3399" i="2"/>
  <c r="F3398" i="2"/>
  <c r="C3398" i="2"/>
  <c r="B3398" i="2"/>
  <c r="F3397" i="2"/>
  <c r="C3397" i="2"/>
  <c r="B3397" i="2"/>
  <c r="F3396" i="2"/>
  <c r="C3396" i="2"/>
  <c r="B3396" i="2"/>
  <c r="F3395" i="2"/>
  <c r="C3395" i="2"/>
  <c r="B3395" i="2"/>
  <c r="F3394" i="2"/>
  <c r="C3394" i="2"/>
  <c r="B3394" i="2"/>
  <c r="F3393" i="2"/>
  <c r="C3393" i="2"/>
  <c r="B3393" i="2"/>
  <c r="F3392" i="2"/>
  <c r="C3392" i="2"/>
  <c r="B3392" i="2"/>
  <c r="F3391" i="2"/>
  <c r="C3391" i="2"/>
  <c r="B3391" i="2"/>
  <c r="F3390" i="2"/>
  <c r="C3390" i="2"/>
  <c r="B3390" i="2"/>
  <c r="F3389" i="2"/>
  <c r="C3389" i="2"/>
  <c r="B3389" i="2"/>
  <c r="F3388" i="2"/>
  <c r="C3388" i="2"/>
  <c r="B3388" i="2"/>
  <c r="F3387" i="2"/>
  <c r="C3387" i="2"/>
  <c r="B3387" i="2"/>
  <c r="F3386" i="2"/>
  <c r="C3386" i="2"/>
  <c r="B3386" i="2"/>
  <c r="F3385" i="2"/>
  <c r="C3385" i="2"/>
  <c r="B3385" i="2"/>
  <c r="F3384" i="2"/>
  <c r="C3384" i="2"/>
  <c r="B3384" i="2"/>
  <c r="F3383" i="2"/>
  <c r="C3383" i="2"/>
  <c r="B3383" i="2"/>
  <c r="F3382" i="2"/>
  <c r="C3382" i="2"/>
  <c r="B3382" i="2"/>
  <c r="F3381" i="2"/>
  <c r="C3381" i="2"/>
  <c r="B3381" i="2"/>
  <c r="F3380" i="2"/>
  <c r="C3380" i="2"/>
  <c r="B3380" i="2"/>
  <c r="F3379" i="2"/>
  <c r="C3379" i="2"/>
  <c r="B3379" i="2"/>
  <c r="F3378" i="2"/>
  <c r="C3378" i="2"/>
  <c r="B3378" i="2"/>
  <c r="F3377" i="2"/>
  <c r="C3377" i="2"/>
  <c r="B3377" i="2"/>
  <c r="F3376" i="2"/>
  <c r="C3376" i="2"/>
  <c r="B3376" i="2"/>
  <c r="F3375" i="2"/>
  <c r="C3375" i="2"/>
  <c r="B3375" i="2"/>
  <c r="F3374" i="2"/>
  <c r="C3374" i="2"/>
  <c r="B3374" i="2"/>
  <c r="F3373" i="2"/>
  <c r="C3373" i="2"/>
  <c r="B3373" i="2"/>
  <c r="F3372" i="2"/>
  <c r="C3372" i="2"/>
  <c r="B3372" i="2"/>
  <c r="F3371" i="2"/>
  <c r="C3371" i="2"/>
  <c r="B3371" i="2"/>
  <c r="F3370" i="2"/>
  <c r="C3370" i="2"/>
  <c r="B3370" i="2"/>
  <c r="F3369" i="2"/>
  <c r="C3369" i="2"/>
  <c r="B3369" i="2"/>
  <c r="F3368" i="2"/>
  <c r="C3368" i="2"/>
  <c r="B3368" i="2"/>
  <c r="F3367" i="2"/>
  <c r="C3367" i="2"/>
  <c r="B3367" i="2"/>
  <c r="F3366" i="2"/>
  <c r="C3366" i="2"/>
  <c r="B3366" i="2"/>
  <c r="F3365" i="2"/>
  <c r="C3365" i="2"/>
  <c r="B3365" i="2"/>
  <c r="F3364" i="2"/>
  <c r="C3364" i="2"/>
  <c r="B3364" i="2"/>
  <c r="F3363" i="2"/>
  <c r="C3363" i="2"/>
  <c r="B3363" i="2"/>
  <c r="F3362" i="2"/>
  <c r="C3362" i="2"/>
  <c r="B3362" i="2"/>
  <c r="F3361" i="2"/>
  <c r="C3361" i="2"/>
  <c r="B3361" i="2"/>
  <c r="F3360" i="2"/>
  <c r="C3360" i="2"/>
  <c r="B3360" i="2"/>
  <c r="F3359" i="2"/>
  <c r="C3359" i="2"/>
  <c r="B3359" i="2"/>
  <c r="F3358" i="2"/>
  <c r="C3358" i="2"/>
  <c r="B3358" i="2"/>
  <c r="F3357" i="2"/>
  <c r="C3357" i="2"/>
  <c r="B3357" i="2"/>
  <c r="F3356" i="2"/>
  <c r="C3356" i="2"/>
  <c r="B3356" i="2"/>
  <c r="F3355" i="2"/>
  <c r="C3355" i="2"/>
  <c r="B3355" i="2"/>
  <c r="F3354" i="2"/>
  <c r="C3354" i="2"/>
  <c r="B3354" i="2"/>
  <c r="F3353" i="2"/>
  <c r="C3353" i="2"/>
  <c r="B3353" i="2"/>
  <c r="F3352" i="2"/>
  <c r="C3352" i="2"/>
  <c r="B3352" i="2"/>
  <c r="F3351" i="2"/>
  <c r="C3351" i="2"/>
  <c r="B3351" i="2"/>
  <c r="F3350" i="2"/>
  <c r="C3350" i="2"/>
  <c r="B3350" i="2"/>
  <c r="F3349" i="2"/>
  <c r="C3349" i="2"/>
  <c r="B3349" i="2"/>
  <c r="F3348" i="2"/>
  <c r="C3348" i="2"/>
  <c r="B3348" i="2"/>
  <c r="F3347" i="2"/>
  <c r="C3347" i="2"/>
  <c r="B3347" i="2"/>
  <c r="F3346" i="2"/>
  <c r="C3346" i="2"/>
  <c r="B3346" i="2"/>
  <c r="F3345" i="2"/>
  <c r="C3345" i="2"/>
  <c r="B3345" i="2"/>
  <c r="F3344" i="2"/>
  <c r="C3344" i="2"/>
  <c r="B3344" i="2"/>
  <c r="F3343" i="2"/>
  <c r="C3343" i="2"/>
  <c r="B3343" i="2"/>
  <c r="F3342" i="2"/>
  <c r="C3342" i="2"/>
  <c r="B3342" i="2"/>
  <c r="F3341" i="2"/>
  <c r="C3341" i="2"/>
  <c r="B3341" i="2"/>
  <c r="F3340" i="2"/>
  <c r="C3340" i="2"/>
  <c r="B3340" i="2"/>
  <c r="F3339" i="2"/>
  <c r="C3339" i="2"/>
  <c r="B3339" i="2"/>
  <c r="F3338" i="2"/>
  <c r="C3338" i="2"/>
  <c r="B3338" i="2"/>
  <c r="F3337" i="2"/>
  <c r="C3337" i="2"/>
  <c r="B3337" i="2"/>
  <c r="F3336" i="2"/>
  <c r="C3336" i="2"/>
  <c r="B3336" i="2"/>
  <c r="F3335" i="2"/>
  <c r="C3335" i="2"/>
  <c r="B3335" i="2"/>
  <c r="F3334" i="2"/>
  <c r="C3334" i="2"/>
  <c r="B3334" i="2"/>
  <c r="F3333" i="2"/>
  <c r="C3333" i="2"/>
  <c r="B3333" i="2"/>
  <c r="F3332" i="2"/>
  <c r="C3332" i="2"/>
  <c r="B3332" i="2"/>
  <c r="F3331" i="2"/>
  <c r="C3331" i="2"/>
  <c r="B3331" i="2"/>
  <c r="F3330" i="2"/>
  <c r="C3330" i="2"/>
  <c r="B3330" i="2"/>
  <c r="F3329" i="2"/>
  <c r="C3329" i="2"/>
  <c r="B3329" i="2"/>
  <c r="F3328" i="2"/>
  <c r="C3328" i="2"/>
  <c r="B3328" i="2"/>
  <c r="F3327" i="2"/>
  <c r="C3327" i="2"/>
  <c r="B3327" i="2"/>
  <c r="F3326" i="2"/>
  <c r="C3326" i="2"/>
  <c r="B3326" i="2"/>
  <c r="F3325" i="2"/>
  <c r="C3325" i="2"/>
  <c r="B3325" i="2"/>
  <c r="F3324" i="2"/>
  <c r="C3324" i="2"/>
  <c r="B3324" i="2"/>
  <c r="F3323" i="2"/>
  <c r="C3323" i="2"/>
  <c r="B3323" i="2"/>
  <c r="F3322" i="2"/>
  <c r="C3322" i="2"/>
  <c r="B3322" i="2"/>
  <c r="F3321" i="2"/>
  <c r="C3321" i="2"/>
  <c r="B3321" i="2"/>
  <c r="F3320" i="2"/>
  <c r="C3320" i="2"/>
  <c r="B3320" i="2"/>
  <c r="F3319" i="2"/>
  <c r="C3319" i="2"/>
  <c r="B3319" i="2"/>
  <c r="F3318" i="2"/>
  <c r="C3318" i="2"/>
  <c r="B3318" i="2"/>
  <c r="F3317" i="2"/>
  <c r="C3317" i="2"/>
  <c r="B3317" i="2"/>
  <c r="F3316" i="2"/>
  <c r="C3316" i="2"/>
  <c r="B3316" i="2"/>
  <c r="F3315" i="2"/>
  <c r="C3315" i="2"/>
  <c r="B3315" i="2"/>
  <c r="F3314" i="2"/>
  <c r="C3314" i="2"/>
  <c r="B3314" i="2"/>
  <c r="F3313" i="2"/>
  <c r="C3313" i="2"/>
  <c r="B3313" i="2"/>
  <c r="F3312" i="2"/>
  <c r="C3312" i="2"/>
  <c r="B3312" i="2"/>
  <c r="F3311" i="2"/>
  <c r="C3311" i="2"/>
  <c r="B3311" i="2"/>
  <c r="F3310" i="2"/>
  <c r="C3310" i="2"/>
  <c r="B3310" i="2"/>
  <c r="F3309" i="2"/>
  <c r="C3309" i="2"/>
  <c r="B3309" i="2"/>
  <c r="F3308" i="2"/>
  <c r="C3308" i="2"/>
  <c r="B3308" i="2"/>
  <c r="F3307" i="2"/>
  <c r="C3307" i="2"/>
  <c r="B3307" i="2"/>
  <c r="F3306" i="2"/>
  <c r="C3306" i="2"/>
  <c r="B3306" i="2"/>
  <c r="F3305" i="2"/>
  <c r="C3305" i="2"/>
  <c r="B3305" i="2"/>
  <c r="F3304" i="2"/>
  <c r="C3304" i="2"/>
  <c r="B3304" i="2"/>
  <c r="F3303" i="2"/>
  <c r="C3303" i="2"/>
  <c r="B3303" i="2"/>
  <c r="F3302" i="2"/>
  <c r="C3302" i="2"/>
  <c r="B3302" i="2"/>
  <c r="F3301" i="2"/>
  <c r="C3301" i="2"/>
  <c r="B3301" i="2"/>
  <c r="F3300" i="2"/>
  <c r="C3300" i="2"/>
  <c r="B3300" i="2"/>
  <c r="F3299" i="2"/>
  <c r="C3299" i="2"/>
  <c r="B3299" i="2"/>
  <c r="F3298" i="2"/>
  <c r="C3298" i="2"/>
  <c r="B3298" i="2"/>
  <c r="F3297" i="2"/>
  <c r="C3297" i="2"/>
  <c r="B3297" i="2"/>
  <c r="F3296" i="2"/>
  <c r="C3296" i="2"/>
  <c r="B3296" i="2"/>
  <c r="F3295" i="2"/>
  <c r="C3295" i="2"/>
  <c r="B3295" i="2"/>
  <c r="F3294" i="2"/>
  <c r="C3294" i="2"/>
  <c r="B3294" i="2"/>
  <c r="F3293" i="2"/>
  <c r="C3293" i="2"/>
  <c r="B3293" i="2"/>
  <c r="F3292" i="2"/>
  <c r="C3292" i="2"/>
  <c r="B3292" i="2"/>
  <c r="F3291" i="2"/>
  <c r="C3291" i="2"/>
  <c r="B3291" i="2"/>
  <c r="F3290" i="2"/>
  <c r="C3290" i="2"/>
  <c r="B3290" i="2"/>
  <c r="F3289" i="2"/>
  <c r="C3289" i="2"/>
  <c r="B3289" i="2"/>
  <c r="F3288" i="2"/>
  <c r="C3288" i="2"/>
  <c r="B3288" i="2"/>
  <c r="F3287" i="2"/>
  <c r="C3287" i="2"/>
  <c r="B3287" i="2"/>
  <c r="F3286" i="2"/>
  <c r="C3286" i="2"/>
  <c r="B3286" i="2"/>
  <c r="F3285" i="2"/>
  <c r="C3285" i="2"/>
  <c r="B3285" i="2"/>
  <c r="F3284" i="2"/>
  <c r="C3284" i="2"/>
  <c r="B3284" i="2"/>
  <c r="F3283" i="2"/>
  <c r="C3283" i="2"/>
  <c r="B3283" i="2"/>
  <c r="F3282" i="2"/>
  <c r="C3282" i="2"/>
  <c r="B3282" i="2"/>
  <c r="F3281" i="2"/>
  <c r="C3281" i="2"/>
  <c r="B3281" i="2"/>
  <c r="F3280" i="2"/>
  <c r="C3280" i="2"/>
  <c r="B3280" i="2"/>
  <c r="F3279" i="2"/>
  <c r="C3279" i="2"/>
  <c r="B3279" i="2"/>
  <c r="F3278" i="2"/>
  <c r="C3278" i="2"/>
  <c r="B3278" i="2"/>
  <c r="F3277" i="2"/>
  <c r="C3277" i="2"/>
  <c r="B3277" i="2"/>
  <c r="F3276" i="2"/>
  <c r="C3276" i="2"/>
  <c r="B3276" i="2"/>
  <c r="F3275" i="2"/>
  <c r="C3275" i="2"/>
  <c r="B3275" i="2"/>
  <c r="F3274" i="2"/>
  <c r="C3274" i="2"/>
  <c r="B3274" i="2"/>
  <c r="F3273" i="2"/>
  <c r="C3273" i="2"/>
  <c r="B3273" i="2"/>
  <c r="F3272" i="2"/>
  <c r="C3272" i="2"/>
  <c r="B3272" i="2"/>
  <c r="F3271" i="2"/>
  <c r="C3271" i="2"/>
  <c r="B3271" i="2"/>
  <c r="F3270" i="2"/>
  <c r="C3270" i="2"/>
  <c r="B3270" i="2"/>
  <c r="F3269" i="2"/>
  <c r="C3269" i="2"/>
  <c r="B3269" i="2"/>
  <c r="F3268" i="2"/>
  <c r="C3268" i="2"/>
  <c r="B3268" i="2"/>
  <c r="F3267" i="2"/>
  <c r="C3267" i="2"/>
  <c r="B3267" i="2"/>
  <c r="F3266" i="2"/>
  <c r="C3266" i="2"/>
  <c r="B3266" i="2"/>
  <c r="F3265" i="2"/>
  <c r="C3265" i="2"/>
  <c r="B3265" i="2"/>
  <c r="F3264" i="2"/>
  <c r="C3264" i="2"/>
  <c r="B3264" i="2"/>
  <c r="F3263" i="2"/>
  <c r="C3263" i="2"/>
  <c r="B3263" i="2"/>
  <c r="F3262" i="2"/>
  <c r="C3262" i="2"/>
  <c r="B3262" i="2"/>
  <c r="F3261" i="2"/>
  <c r="C3261" i="2"/>
  <c r="B3261" i="2"/>
  <c r="F3260" i="2"/>
  <c r="C3260" i="2"/>
  <c r="B3260" i="2"/>
  <c r="F3259" i="2"/>
  <c r="C3259" i="2"/>
  <c r="B3259" i="2"/>
  <c r="F3258" i="2"/>
  <c r="C3258" i="2"/>
  <c r="B3258" i="2"/>
  <c r="F3257" i="2"/>
  <c r="C3257" i="2"/>
  <c r="B3257" i="2"/>
  <c r="F3256" i="2"/>
  <c r="C3256" i="2"/>
  <c r="B3256" i="2"/>
  <c r="F3255" i="2"/>
  <c r="C3255" i="2"/>
  <c r="B3255" i="2"/>
  <c r="F3254" i="2"/>
  <c r="C3254" i="2"/>
  <c r="B3254" i="2"/>
  <c r="F3253" i="2"/>
  <c r="C3253" i="2"/>
  <c r="B3253" i="2"/>
  <c r="F3252" i="2"/>
  <c r="C3252" i="2"/>
  <c r="B3252" i="2"/>
  <c r="F3251" i="2"/>
  <c r="C3251" i="2"/>
  <c r="B3251" i="2"/>
  <c r="F3250" i="2"/>
  <c r="C3250" i="2"/>
  <c r="B3250" i="2"/>
  <c r="F3249" i="2"/>
  <c r="C3249" i="2"/>
  <c r="B3249" i="2"/>
  <c r="F3248" i="2"/>
  <c r="C3248" i="2"/>
  <c r="B3248" i="2"/>
  <c r="F3247" i="2"/>
  <c r="C3247" i="2"/>
  <c r="B3247" i="2"/>
  <c r="F3246" i="2"/>
  <c r="C3246" i="2"/>
  <c r="B3246" i="2"/>
  <c r="F3245" i="2"/>
  <c r="C3245" i="2"/>
  <c r="B3245" i="2"/>
  <c r="F3244" i="2"/>
  <c r="C3244" i="2"/>
  <c r="B3244" i="2"/>
  <c r="F3243" i="2"/>
  <c r="C3243" i="2"/>
  <c r="B3243" i="2"/>
  <c r="F3242" i="2"/>
  <c r="C3242" i="2"/>
  <c r="B3242" i="2"/>
  <c r="F3241" i="2"/>
  <c r="C3241" i="2"/>
  <c r="B3241" i="2"/>
  <c r="F3240" i="2"/>
  <c r="C3240" i="2"/>
  <c r="B3240" i="2"/>
  <c r="F3239" i="2"/>
  <c r="C3239" i="2"/>
  <c r="B3239" i="2"/>
  <c r="F3238" i="2"/>
  <c r="C3238" i="2"/>
  <c r="B3238" i="2"/>
  <c r="F3237" i="2"/>
  <c r="C3237" i="2"/>
  <c r="B3237" i="2"/>
  <c r="F3236" i="2"/>
  <c r="C3236" i="2"/>
  <c r="B3236" i="2"/>
  <c r="F3235" i="2"/>
  <c r="C3235" i="2"/>
  <c r="B3235" i="2"/>
  <c r="F3234" i="2"/>
  <c r="C3234" i="2"/>
  <c r="B3234" i="2"/>
  <c r="F3233" i="2"/>
  <c r="C3233" i="2"/>
  <c r="B3233" i="2"/>
  <c r="F3232" i="2"/>
  <c r="C3232" i="2"/>
  <c r="B3232" i="2"/>
  <c r="F3231" i="2"/>
  <c r="C3231" i="2"/>
  <c r="B3231" i="2"/>
  <c r="F3230" i="2"/>
  <c r="C3230" i="2"/>
  <c r="B3230" i="2"/>
  <c r="F3229" i="2"/>
  <c r="C3229" i="2"/>
  <c r="B3229" i="2"/>
  <c r="F3228" i="2"/>
  <c r="C3228" i="2"/>
  <c r="B3228" i="2"/>
  <c r="F3227" i="2"/>
  <c r="C3227" i="2"/>
  <c r="B3227" i="2"/>
  <c r="F3226" i="2"/>
  <c r="C3226" i="2"/>
  <c r="B3226" i="2"/>
  <c r="F3225" i="2"/>
  <c r="C3225" i="2"/>
  <c r="B3225" i="2"/>
  <c r="F3224" i="2"/>
  <c r="C3224" i="2"/>
  <c r="B3224" i="2"/>
  <c r="F3223" i="2"/>
  <c r="C3223" i="2"/>
  <c r="B3223" i="2"/>
  <c r="F3222" i="2"/>
  <c r="C3222" i="2"/>
  <c r="B3222" i="2"/>
  <c r="F3221" i="2"/>
  <c r="C3221" i="2"/>
  <c r="B3221" i="2"/>
  <c r="F3220" i="2"/>
  <c r="C3220" i="2"/>
  <c r="B3220" i="2"/>
  <c r="F3219" i="2"/>
  <c r="C3219" i="2"/>
  <c r="B3219" i="2"/>
  <c r="F3218" i="2"/>
  <c r="C3218" i="2"/>
  <c r="B3218" i="2"/>
  <c r="F3217" i="2"/>
  <c r="C3217" i="2"/>
  <c r="B3217" i="2"/>
  <c r="F3216" i="2"/>
  <c r="C3216" i="2"/>
  <c r="B3216" i="2"/>
  <c r="F3215" i="2"/>
  <c r="C3215" i="2"/>
  <c r="B3215" i="2"/>
  <c r="F3214" i="2"/>
  <c r="C3214" i="2"/>
  <c r="B3214" i="2"/>
  <c r="F3213" i="2"/>
  <c r="C3213" i="2"/>
  <c r="B3213" i="2"/>
  <c r="F3212" i="2"/>
  <c r="C3212" i="2"/>
  <c r="B3212" i="2"/>
  <c r="F3211" i="2"/>
  <c r="C3211" i="2"/>
  <c r="B3211" i="2"/>
  <c r="F3210" i="2"/>
  <c r="C3210" i="2"/>
  <c r="B3210" i="2"/>
  <c r="F3209" i="2"/>
  <c r="C3209" i="2"/>
  <c r="B3209" i="2"/>
  <c r="F3208" i="2"/>
  <c r="C3208" i="2"/>
  <c r="B3208" i="2"/>
  <c r="F3207" i="2"/>
  <c r="C3207" i="2"/>
  <c r="B3207" i="2"/>
  <c r="F3206" i="2"/>
  <c r="C3206" i="2"/>
  <c r="B3206" i="2"/>
  <c r="F3205" i="2"/>
  <c r="C3205" i="2"/>
  <c r="B3205" i="2"/>
  <c r="F3204" i="2"/>
  <c r="C3204" i="2"/>
  <c r="B3204" i="2"/>
  <c r="F3203" i="2"/>
  <c r="C3203" i="2"/>
  <c r="B3203" i="2"/>
  <c r="F3202" i="2"/>
  <c r="C3202" i="2"/>
  <c r="B3202" i="2"/>
  <c r="F3201" i="2"/>
  <c r="C3201" i="2"/>
  <c r="B3201" i="2"/>
  <c r="F3200" i="2"/>
  <c r="C3200" i="2"/>
  <c r="B3200" i="2"/>
  <c r="F3199" i="2"/>
  <c r="C3199" i="2"/>
  <c r="B3199" i="2"/>
  <c r="F3198" i="2"/>
  <c r="C3198" i="2"/>
  <c r="B3198" i="2"/>
  <c r="F3197" i="2"/>
  <c r="C3197" i="2"/>
  <c r="B3197" i="2"/>
  <c r="F3196" i="2"/>
  <c r="C3196" i="2"/>
  <c r="B3196" i="2"/>
  <c r="F3195" i="2"/>
  <c r="C3195" i="2"/>
  <c r="B3195" i="2"/>
  <c r="F3194" i="2"/>
  <c r="C3194" i="2"/>
  <c r="B3194" i="2"/>
  <c r="F3193" i="2"/>
  <c r="C3193" i="2"/>
  <c r="B3193" i="2"/>
  <c r="F3192" i="2"/>
  <c r="C3192" i="2"/>
  <c r="B3192" i="2"/>
  <c r="F3191" i="2"/>
  <c r="C3191" i="2"/>
  <c r="B3191" i="2"/>
  <c r="F3190" i="2"/>
  <c r="C3190" i="2"/>
  <c r="B3190" i="2"/>
  <c r="F3189" i="2"/>
  <c r="C3189" i="2"/>
  <c r="B3189" i="2"/>
  <c r="F3188" i="2"/>
  <c r="C3188" i="2"/>
  <c r="B3188" i="2"/>
  <c r="F3187" i="2"/>
  <c r="C3187" i="2"/>
  <c r="B3187" i="2"/>
  <c r="F3186" i="2"/>
  <c r="C3186" i="2"/>
  <c r="B3186" i="2"/>
  <c r="F3185" i="2"/>
  <c r="C3185" i="2"/>
  <c r="B3185" i="2"/>
  <c r="F3184" i="2"/>
  <c r="C3184" i="2"/>
  <c r="B3184" i="2"/>
  <c r="F3183" i="2"/>
  <c r="C3183" i="2"/>
  <c r="B3183" i="2"/>
  <c r="F3182" i="2"/>
  <c r="C3182" i="2"/>
  <c r="B3182" i="2"/>
  <c r="F3181" i="2"/>
  <c r="C3181" i="2"/>
  <c r="B3181" i="2"/>
  <c r="F3180" i="2"/>
  <c r="C3180" i="2"/>
  <c r="B3180" i="2"/>
  <c r="F3179" i="2"/>
  <c r="C3179" i="2"/>
  <c r="B3179" i="2"/>
  <c r="F3178" i="2"/>
  <c r="C3178" i="2"/>
  <c r="B3178" i="2"/>
  <c r="F3177" i="2"/>
  <c r="C3177" i="2"/>
  <c r="B3177" i="2"/>
  <c r="F3176" i="2"/>
  <c r="C3176" i="2"/>
  <c r="B3176" i="2"/>
  <c r="F3175" i="2"/>
  <c r="C3175" i="2"/>
  <c r="B3175" i="2"/>
  <c r="F3174" i="2"/>
  <c r="C3174" i="2"/>
  <c r="B3174" i="2"/>
  <c r="F3173" i="2"/>
  <c r="C3173" i="2"/>
  <c r="B3173" i="2"/>
  <c r="F3172" i="2"/>
  <c r="C3172" i="2"/>
  <c r="B3172" i="2"/>
  <c r="F3171" i="2"/>
  <c r="C3171" i="2"/>
  <c r="B3171" i="2"/>
  <c r="F3170" i="2"/>
  <c r="C3170" i="2"/>
  <c r="B3170" i="2"/>
  <c r="F3169" i="2"/>
  <c r="C3169" i="2"/>
  <c r="B3169" i="2"/>
  <c r="F3168" i="2"/>
  <c r="C3168" i="2"/>
  <c r="B3168" i="2"/>
  <c r="F3167" i="2"/>
  <c r="C3167" i="2"/>
  <c r="B3167" i="2"/>
  <c r="F3166" i="2"/>
  <c r="C3166" i="2"/>
  <c r="B3166" i="2"/>
  <c r="F3165" i="2"/>
  <c r="C3165" i="2"/>
  <c r="B3165" i="2"/>
  <c r="F3164" i="2"/>
  <c r="C3164" i="2"/>
  <c r="B3164" i="2"/>
  <c r="F3163" i="2"/>
  <c r="C3163" i="2"/>
  <c r="B3163" i="2"/>
  <c r="F3162" i="2"/>
  <c r="C3162" i="2"/>
  <c r="B3162" i="2"/>
  <c r="F3161" i="2"/>
  <c r="C3161" i="2"/>
  <c r="B3161" i="2"/>
  <c r="F3160" i="2"/>
  <c r="C3160" i="2"/>
  <c r="B3160" i="2"/>
  <c r="F3159" i="2"/>
  <c r="C3159" i="2"/>
  <c r="B3159" i="2"/>
  <c r="F3158" i="2"/>
  <c r="C3158" i="2"/>
  <c r="B3158" i="2"/>
  <c r="F3157" i="2"/>
  <c r="C3157" i="2"/>
  <c r="B3157" i="2"/>
  <c r="F3156" i="2"/>
  <c r="C3156" i="2"/>
  <c r="B3156" i="2"/>
  <c r="F3155" i="2"/>
  <c r="C3155" i="2"/>
  <c r="B3155" i="2"/>
  <c r="F3154" i="2"/>
  <c r="C3154" i="2"/>
  <c r="B3154" i="2"/>
  <c r="F3153" i="2"/>
  <c r="C3153" i="2"/>
  <c r="B3153" i="2"/>
  <c r="F3152" i="2"/>
  <c r="C3152" i="2"/>
  <c r="B3152" i="2"/>
  <c r="F3151" i="2"/>
  <c r="C3151" i="2"/>
  <c r="B3151" i="2"/>
  <c r="F3150" i="2"/>
  <c r="C3150" i="2"/>
  <c r="B3150" i="2"/>
  <c r="F3149" i="2"/>
  <c r="C3149" i="2"/>
  <c r="B3149" i="2"/>
  <c r="F3148" i="2"/>
  <c r="C3148" i="2"/>
  <c r="B3148" i="2"/>
  <c r="F3147" i="2"/>
  <c r="C3147" i="2"/>
  <c r="B3147" i="2"/>
  <c r="F3146" i="2"/>
  <c r="C3146" i="2"/>
  <c r="B3146" i="2"/>
  <c r="F3145" i="2"/>
  <c r="C3145" i="2"/>
  <c r="B3145" i="2"/>
  <c r="F3144" i="2"/>
  <c r="C3144" i="2"/>
  <c r="B3144" i="2"/>
  <c r="F3143" i="2"/>
  <c r="C3143" i="2"/>
  <c r="B3143" i="2"/>
  <c r="F3142" i="2"/>
  <c r="C3142" i="2"/>
  <c r="B3142" i="2"/>
  <c r="F3141" i="2"/>
  <c r="C3141" i="2"/>
  <c r="B3141" i="2"/>
  <c r="F3140" i="2"/>
  <c r="C3140" i="2"/>
  <c r="B3140" i="2"/>
  <c r="F3139" i="2"/>
  <c r="C3139" i="2"/>
  <c r="B3139" i="2"/>
  <c r="F3138" i="2"/>
  <c r="C3138" i="2"/>
  <c r="B3138" i="2"/>
  <c r="F3137" i="2"/>
  <c r="C3137" i="2"/>
  <c r="B3137" i="2"/>
  <c r="F3136" i="2"/>
  <c r="C3136" i="2"/>
  <c r="B3136" i="2"/>
  <c r="F3135" i="2"/>
  <c r="C3135" i="2"/>
  <c r="B3135" i="2"/>
  <c r="F3134" i="2"/>
  <c r="C3134" i="2"/>
  <c r="B3134" i="2"/>
  <c r="F3133" i="2"/>
  <c r="C3133" i="2"/>
  <c r="B3133" i="2"/>
  <c r="F3132" i="2"/>
  <c r="C3132" i="2"/>
  <c r="B3132" i="2"/>
  <c r="F3131" i="2"/>
  <c r="C3131" i="2"/>
  <c r="B3131" i="2"/>
  <c r="F3130" i="2"/>
  <c r="C3130" i="2"/>
  <c r="B3130" i="2"/>
  <c r="F3129" i="2"/>
  <c r="C3129" i="2"/>
  <c r="B3129" i="2"/>
  <c r="F3128" i="2"/>
  <c r="C3128" i="2"/>
  <c r="B3128" i="2"/>
  <c r="F3127" i="2"/>
  <c r="C3127" i="2"/>
  <c r="B3127" i="2"/>
  <c r="F3126" i="2"/>
  <c r="C3126" i="2"/>
  <c r="B3126" i="2"/>
  <c r="F3125" i="2"/>
  <c r="C3125" i="2"/>
  <c r="B3125" i="2"/>
  <c r="F3124" i="2"/>
  <c r="C3124" i="2"/>
  <c r="B3124" i="2"/>
  <c r="F3123" i="2"/>
  <c r="C3123" i="2"/>
  <c r="B3123" i="2"/>
  <c r="F3122" i="2"/>
  <c r="C3122" i="2"/>
  <c r="B3122" i="2"/>
  <c r="F3121" i="2"/>
  <c r="C3121" i="2"/>
  <c r="B3121" i="2"/>
  <c r="F3120" i="2"/>
  <c r="C3120" i="2"/>
  <c r="B3120" i="2"/>
  <c r="F3119" i="2"/>
  <c r="C3119" i="2"/>
  <c r="B3119" i="2"/>
  <c r="F3118" i="2"/>
  <c r="C3118" i="2"/>
  <c r="B3118" i="2"/>
  <c r="F3117" i="2"/>
  <c r="C3117" i="2"/>
  <c r="B3117" i="2"/>
  <c r="F3116" i="2"/>
  <c r="C3116" i="2"/>
  <c r="B3116" i="2"/>
  <c r="F3115" i="2"/>
  <c r="C3115" i="2"/>
  <c r="B3115" i="2"/>
  <c r="F3114" i="2"/>
  <c r="C3114" i="2"/>
  <c r="B3114" i="2"/>
  <c r="F3113" i="2"/>
  <c r="C3113" i="2"/>
  <c r="B3113" i="2"/>
  <c r="F3112" i="2"/>
  <c r="C3112" i="2"/>
  <c r="B3112" i="2"/>
  <c r="F3111" i="2"/>
  <c r="C3111" i="2"/>
  <c r="B3111" i="2"/>
  <c r="F3110" i="2"/>
  <c r="C3110" i="2"/>
  <c r="B3110" i="2"/>
  <c r="F3109" i="2"/>
  <c r="C3109" i="2"/>
  <c r="B3109" i="2"/>
  <c r="F3108" i="2"/>
  <c r="C3108" i="2"/>
  <c r="B3108" i="2"/>
  <c r="F3107" i="2"/>
  <c r="C3107" i="2"/>
  <c r="B3107" i="2"/>
  <c r="F3106" i="2"/>
  <c r="C3106" i="2"/>
  <c r="B3106" i="2"/>
  <c r="F3105" i="2"/>
  <c r="C3105" i="2"/>
  <c r="B3105" i="2"/>
  <c r="F3104" i="2"/>
  <c r="C3104" i="2"/>
  <c r="B3104" i="2"/>
  <c r="F3103" i="2"/>
  <c r="C3103" i="2"/>
  <c r="B3103" i="2"/>
  <c r="F3102" i="2"/>
  <c r="C3102" i="2"/>
  <c r="B3102" i="2"/>
  <c r="F3101" i="2"/>
  <c r="C3101" i="2"/>
  <c r="B3101" i="2"/>
  <c r="F3100" i="2"/>
  <c r="C3100" i="2"/>
  <c r="B3100" i="2"/>
  <c r="F3099" i="2"/>
  <c r="C3099" i="2"/>
  <c r="B3099" i="2"/>
  <c r="F3098" i="2"/>
  <c r="C3098" i="2"/>
  <c r="B3098" i="2"/>
  <c r="F3097" i="2"/>
  <c r="C3097" i="2"/>
  <c r="B3097" i="2"/>
  <c r="F3096" i="2"/>
  <c r="C3096" i="2"/>
  <c r="B3096" i="2"/>
  <c r="F3095" i="2"/>
  <c r="C3095" i="2"/>
  <c r="B3095" i="2"/>
  <c r="F3094" i="2"/>
  <c r="C3094" i="2"/>
  <c r="B3094" i="2"/>
  <c r="F3093" i="2"/>
  <c r="C3093" i="2"/>
  <c r="B3093" i="2"/>
  <c r="F3092" i="2"/>
  <c r="C3092" i="2"/>
  <c r="B3092" i="2"/>
  <c r="F3091" i="2"/>
  <c r="C3091" i="2"/>
  <c r="B3091" i="2"/>
  <c r="F3090" i="2"/>
  <c r="C3090" i="2"/>
  <c r="B3090" i="2"/>
  <c r="F3089" i="2"/>
  <c r="C3089" i="2"/>
  <c r="B3089" i="2"/>
  <c r="F3088" i="2"/>
  <c r="C3088" i="2"/>
  <c r="B3088" i="2"/>
  <c r="F3087" i="2"/>
  <c r="C3087" i="2"/>
  <c r="B3087" i="2"/>
  <c r="F3086" i="2"/>
  <c r="C3086" i="2"/>
  <c r="B3086" i="2"/>
  <c r="F3085" i="2"/>
  <c r="C3085" i="2"/>
  <c r="B3085" i="2"/>
  <c r="F3084" i="2"/>
  <c r="C3084" i="2"/>
  <c r="B3084" i="2"/>
  <c r="F3083" i="2"/>
  <c r="C3083" i="2"/>
  <c r="B3083" i="2"/>
  <c r="F3082" i="2"/>
  <c r="C3082" i="2"/>
  <c r="B3082" i="2"/>
  <c r="F3081" i="2"/>
  <c r="C3081" i="2"/>
  <c r="B3081" i="2"/>
  <c r="F3080" i="2"/>
  <c r="C3080" i="2"/>
  <c r="B3080" i="2"/>
  <c r="F3079" i="2"/>
  <c r="C3079" i="2"/>
  <c r="B3079" i="2"/>
  <c r="F3078" i="2"/>
  <c r="C3078" i="2"/>
  <c r="B3078" i="2"/>
  <c r="F3077" i="2"/>
  <c r="C3077" i="2"/>
  <c r="B3077" i="2"/>
  <c r="F3076" i="2"/>
  <c r="C3076" i="2"/>
  <c r="B3076" i="2"/>
  <c r="F3075" i="2"/>
  <c r="C3075" i="2"/>
  <c r="B3075" i="2"/>
  <c r="F3074" i="2"/>
  <c r="C3074" i="2"/>
  <c r="B3074" i="2"/>
  <c r="F3073" i="2"/>
  <c r="C3073" i="2"/>
  <c r="B3073" i="2"/>
  <c r="F3072" i="2"/>
  <c r="C3072" i="2"/>
  <c r="B3072" i="2"/>
  <c r="F3071" i="2"/>
  <c r="C3071" i="2"/>
  <c r="B3071" i="2"/>
  <c r="F3070" i="2"/>
  <c r="C3070" i="2"/>
  <c r="B3070" i="2"/>
  <c r="F3069" i="2"/>
  <c r="C3069" i="2"/>
  <c r="B3069" i="2"/>
  <c r="F3068" i="2"/>
  <c r="C3068" i="2"/>
  <c r="B3068" i="2"/>
  <c r="F3067" i="2"/>
  <c r="C3067" i="2"/>
  <c r="B3067" i="2"/>
  <c r="F3066" i="2"/>
  <c r="C3066" i="2"/>
  <c r="B3066" i="2"/>
  <c r="F3065" i="2"/>
  <c r="C3065" i="2"/>
  <c r="B3065" i="2"/>
  <c r="F3064" i="2"/>
  <c r="C3064" i="2"/>
  <c r="B3064" i="2"/>
  <c r="F3063" i="2"/>
  <c r="C3063" i="2"/>
  <c r="B3063" i="2"/>
  <c r="F3062" i="2"/>
  <c r="C3062" i="2"/>
  <c r="B3062" i="2"/>
  <c r="F3061" i="2"/>
  <c r="C3061" i="2"/>
  <c r="B3061" i="2"/>
  <c r="F3060" i="2"/>
  <c r="C3060" i="2"/>
  <c r="B3060" i="2"/>
  <c r="F3059" i="2"/>
  <c r="C3059" i="2"/>
  <c r="B3059" i="2"/>
  <c r="F3058" i="2"/>
  <c r="C3058" i="2"/>
  <c r="B3058" i="2"/>
  <c r="F3057" i="2"/>
  <c r="C3057" i="2"/>
  <c r="B3057" i="2"/>
  <c r="F3056" i="2"/>
  <c r="C3056" i="2"/>
  <c r="B3056" i="2"/>
  <c r="F3055" i="2"/>
  <c r="C3055" i="2"/>
  <c r="B3055" i="2"/>
  <c r="F3054" i="2"/>
  <c r="C3054" i="2"/>
  <c r="B3054" i="2"/>
  <c r="F3053" i="2"/>
  <c r="C3053" i="2"/>
  <c r="B3053" i="2"/>
  <c r="F3052" i="2"/>
  <c r="C3052" i="2"/>
  <c r="B3052" i="2"/>
  <c r="F3051" i="2"/>
  <c r="C3051" i="2"/>
  <c r="B3051" i="2"/>
  <c r="F3050" i="2"/>
  <c r="C3050" i="2"/>
  <c r="B3050" i="2"/>
  <c r="F3049" i="2"/>
  <c r="C3049" i="2"/>
  <c r="B3049" i="2"/>
  <c r="F3048" i="2"/>
  <c r="C3048" i="2"/>
  <c r="B3048" i="2"/>
  <c r="F3047" i="2"/>
  <c r="C3047" i="2"/>
  <c r="B3047" i="2"/>
  <c r="F3046" i="2"/>
  <c r="C3046" i="2"/>
  <c r="B3046" i="2"/>
  <c r="F3045" i="2"/>
  <c r="C3045" i="2"/>
  <c r="B3045" i="2"/>
  <c r="F3044" i="2"/>
  <c r="C3044" i="2"/>
  <c r="B3044" i="2"/>
  <c r="F3043" i="2"/>
  <c r="C3043" i="2"/>
  <c r="B3043" i="2"/>
  <c r="F3042" i="2"/>
  <c r="C3042" i="2"/>
  <c r="B3042" i="2"/>
  <c r="F3041" i="2"/>
  <c r="C3041" i="2"/>
  <c r="B3041" i="2"/>
  <c r="F3040" i="2"/>
  <c r="C3040" i="2"/>
  <c r="B3040" i="2"/>
  <c r="F3039" i="2"/>
  <c r="C3039" i="2"/>
  <c r="B3039" i="2"/>
  <c r="F3038" i="2"/>
  <c r="C3038" i="2"/>
  <c r="B3038" i="2"/>
  <c r="F3037" i="2"/>
  <c r="C3037" i="2"/>
  <c r="B3037" i="2"/>
  <c r="F3036" i="2"/>
  <c r="C3036" i="2"/>
  <c r="B3036" i="2"/>
  <c r="F3035" i="2"/>
  <c r="C3035" i="2"/>
  <c r="B3035" i="2"/>
  <c r="F3034" i="2"/>
  <c r="C3034" i="2"/>
  <c r="B3034" i="2"/>
  <c r="F3033" i="2"/>
  <c r="C3033" i="2"/>
  <c r="B3033" i="2"/>
  <c r="F3032" i="2"/>
  <c r="C3032" i="2"/>
  <c r="B3032" i="2"/>
  <c r="F3031" i="2"/>
  <c r="C3031" i="2"/>
  <c r="B3031" i="2"/>
  <c r="F3030" i="2"/>
  <c r="C3030" i="2"/>
  <c r="B3030" i="2"/>
  <c r="F3029" i="2"/>
  <c r="C3029" i="2"/>
  <c r="B3029" i="2"/>
  <c r="F3028" i="2"/>
  <c r="C3028" i="2"/>
  <c r="B3028" i="2"/>
  <c r="F3027" i="2"/>
  <c r="C3027" i="2"/>
  <c r="B3027" i="2"/>
  <c r="F3026" i="2"/>
  <c r="C3026" i="2"/>
  <c r="B3026" i="2"/>
  <c r="F3025" i="2"/>
  <c r="C3025" i="2"/>
  <c r="B3025" i="2"/>
  <c r="F3024" i="2"/>
  <c r="C3024" i="2"/>
  <c r="B3024" i="2"/>
  <c r="F3023" i="2"/>
  <c r="C3023" i="2"/>
  <c r="B3023" i="2"/>
  <c r="F3022" i="2"/>
  <c r="C3022" i="2"/>
  <c r="B3022" i="2"/>
  <c r="F3021" i="2"/>
  <c r="C3021" i="2"/>
  <c r="B3021" i="2"/>
  <c r="F3020" i="2"/>
  <c r="C3020" i="2"/>
  <c r="B3020" i="2"/>
  <c r="F3019" i="2"/>
  <c r="C3019" i="2"/>
  <c r="B3019" i="2"/>
  <c r="F3018" i="2"/>
  <c r="C3018" i="2"/>
  <c r="B3018" i="2"/>
  <c r="F3017" i="2"/>
  <c r="C3017" i="2"/>
  <c r="B3017" i="2"/>
  <c r="F3016" i="2"/>
  <c r="C3016" i="2"/>
  <c r="B3016" i="2"/>
  <c r="F3015" i="2"/>
  <c r="C3015" i="2"/>
  <c r="B3015" i="2"/>
  <c r="F3014" i="2"/>
  <c r="C3014" i="2"/>
  <c r="B3014" i="2"/>
  <c r="F3013" i="2"/>
  <c r="C3013" i="2"/>
  <c r="B3013" i="2"/>
  <c r="F3012" i="2"/>
  <c r="C3012" i="2"/>
  <c r="B3012" i="2"/>
  <c r="F3011" i="2"/>
  <c r="C3011" i="2"/>
  <c r="B3011" i="2"/>
  <c r="F3010" i="2"/>
  <c r="C3010" i="2"/>
  <c r="B3010" i="2"/>
  <c r="F3009" i="2"/>
  <c r="C3009" i="2"/>
  <c r="B3009" i="2"/>
  <c r="F3008" i="2"/>
  <c r="C3008" i="2"/>
  <c r="B3008" i="2"/>
  <c r="F3007" i="2"/>
  <c r="C3007" i="2"/>
  <c r="B3007" i="2"/>
  <c r="F3006" i="2"/>
  <c r="C3006" i="2"/>
  <c r="B3006" i="2"/>
  <c r="F3005" i="2"/>
  <c r="C3005" i="2"/>
  <c r="B3005" i="2"/>
  <c r="F3004" i="2"/>
  <c r="C3004" i="2"/>
  <c r="B3004" i="2"/>
  <c r="F3003" i="2"/>
  <c r="C3003" i="2"/>
  <c r="B3003" i="2"/>
  <c r="F3002" i="2"/>
  <c r="C3002" i="2"/>
  <c r="B3002" i="2"/>
  <c r="F3001" i="2"/>
  <c r="C3001" i="2"/>
  <c r="B3001" i="2"/>
  <c r="F3000" i="2"/>
  <c r="C3000" i="2"/>
  <c r="B3000" i="2"/>
  <c r="F2999" i="2"/>
  <c r="C2999" i="2"/>
  <c r="B2999" i="2"/>
  <c r="F2998" i="2"/>
  <c r="C2998" i="2"/>
  <c r="B2998" i="2"/>
  <c r="F2997" i="2"/>
  <c r="C2997" i="2"/>
  <c r="B2997" i="2"/>
  <c r="F2996" i="2"/>
  <c r="C2996" i="2"/>
  <c r="B2996" i="2"/>
  <c r="F2995" i="2"/>
  <c r="C2995" i="2"/>
  <c r="B2995" i="2"/>
  <c r="F2994" i="2"/>
  <c r="C2994" i="2"/>
  <c r="B2994" i="2"/>
  <c r="F2993" i="2"/>
  <c r="C2993" i="2"/>
  <c r="B2993" i="2"/>
  <c r="F2992" i="2"/>
  <c r="C2992" i="2"/>
  <c r="B2992" i="2"/>
  <c r="F2991" i="2"/>
  <c r="C2991" i="2"/>
  <c r="B2991" i="2"/>
  <c r="F2990" i="2"/>
  <c r="C2990" i="2"/>
  <c r="B2990" i="2"/>
  <c r="F2989" i="2"/>
  <c r="C2989" i="2"/>
  <c r="B2989" i="2"/>
  <c r="F2988" i="2"/>
  <c r="C2988" i="2"/>
  <c r="B2988" i="2"/>
  <c r="F2987" i="2"/>
  <c r="C2987" i="2"/>
  <c r="B2987" i="2"/>
  <c r="F2986" i="2"/>
  <c r="C2986" i="2"/>
  <c r="B2986" i="2"/>
  <c r="F2985" i="2"/>
  <c r="C2985" i="2"/>
  <c r="B2985" i="2"/>
  <c r="F2984" i="2"/>
  <c r="C2984" i="2"/>
  <c r="B2984" i="2"/>
  <c r="F2983" i="2"/>
  <c r="C2983" i="2"/>
  <c r="B2983" i="2"/>
  <c r="F2982" i="2"/>
  <c r="C2982" i="2"/>
  <c r="B2982" i="2"/>
  <c r="F2981" i="2"/>
  <c r="C2981" i="2"/>
  <c r="B2981" i="2"/>
  <c r="F2980" i="2"/>
  <c r="C2980" i="2"/>
  <c r="B2980" i="2"/>
  <c r="F2979" i="2"/>
  <c r="C2979" i="2"/>
  <c r="B2979" i="2"/>
  <c r="F2978" i="2"/>
  <c r="C2978" i="2"/>
  <c r="B2978" i="2"/>
  <c r="F2977" i="2"/>
  <c r="C2977" i="2"/>
  <c r="B2977" i="2"/>
  <c r="F2976" i="2"/>
  <c r="C2976" i="2"/>
  <c r="B2976" i="2"/>
  <c r="F2975" i="2"/>
  <c r="C2975" i="2"/>
  <c r="B2975" i="2"/>
  <c r="F2974" i="2"/>
  <c r="C2974" i="2"/>
  <c r="B2974" i="2"/>
  <c r="F2973" i="2"/>
  <c r="C2973" i="2"/>
  <c r="B2973" i="2"/>
  <c r="F2972" i="2"/>
  <c r="C2972" i="2"/>
  <c r="B2972" i="2"/>
  <c r="F2971" i="2"/>
  <c r="C2971" i="2"/>
  <c r="B2971" i="2"/>
  <c r="F2970" i="2"/>
  <c r="C2970" i="2"/>
  <c r="B2970" i="2"/>
  <c r="F2969" i="2"/>
  <c r="C2969" i="2"/>
  <c r="B2969" i="2"/>
  <c r="F2968" i="2"/>
  <c r="C2968" i="2"/>
  <c r="B2968" i="2"/>
  <c r="F2967" i="2"/>
  <c r="C2967" i="2"/>
  <c r="B2967" i="2"/>
  <c r="F2966" i="2"/>
  <c r="C2966" i="2"/>
  <c r="B2966" i="2"/>
  <c r="F2965" i="2"/>
  <c r="C2965" i="2"/>
  <c r="B2965" i="2"/>
  <c r="F2964" i="2"/>
  <c r="C2964" i="2"/>
  <c r="B2964" i="2"/>
  <c r="F2963" i="2"/>
  <c r="C2963" i="2"/>
  <c r="B2963" i="2"/>
  <c r="F2962" i="2"/>
  <c r="C2962" i="2"/>
  <c r="B2962" i="2"/>
  <c r="F2961" i="2"/>
  <c r="C2961" i="2"/>
  <c r="B2961" i="2"/>
  <c r="F2960" i="2"/>
  <c r="C2960" i="2"/>
  <c r="B2960" i="2"/>
  <c r="F2959" i="2"/>
  <c r="C2959" i="2"/>
  <c r="B2959" i="2"/>
  <c r="F2958" i="2"/>
  <c r="C2958" i="2"/>
  <c r="B2958" i="2"/>
  <c r="F2957" i="2"/>
  <c r="C2957" i="2"/>
  <c r="B2957" i="2"/>
  <c r="F2956" i="2"/>
  <c r="C2956" i="2"/>
  <c r="B2956" i="2"/>
  <c r="F2955" i="2"/>
  <c r="C2955" i="2"/>
  <c r="B2955" i="2"/>
  <c r="F2954" i="2"/>
  <c r="C2954" i="2"/>
  <c r="B2954" i="2"/>
  <c r="F2953" i="2"/>
  <c r="C2953" i="2"/>
  <c r="B2953" i="2"/>
  <c r="F2952" i="2"/>
  <c r="C2952" i="2"/>
  <c r="B2952" i="2"/>
  <c r="F2951" i="2"/>
  <c r="C2951" i="2"/>
  <c r="B2951" i="2"/>
  <c r="F2950" i="2"/>
  <c r="C2950" i="2"/>
  <c r="B2950" i="2"/>
  <c r="F2949" i="2"/>
  <c r="C2949" i="2"/>
  <c r="B2949" i="2"/>
  <c r="F2948" i="2"/>
  <c r="C2948" i="2"/>
  <c r="B2948" i="2"/>
  <c r="F2947" i="2"/>
  <c r="C2947" i="2"/>
  <c r="B2947" i="2"/>
  <c r="F2946" i="2"/>
  <c r="C2946" i="2"/>
  <c r="B2946" i="2"/>
  <c r="F2945" i="2"/>
  <c r="C2945" i="2"/>
  <c r="B2945" i="2"/>
  <c r="F2944" i="2"/>
  <c r="C2944" i="2"/>
  <c r="B2944" i="2"/>
  <c r="F2943" i="2"/>
  <c r="C2943" i="2"/>
  <c r="B2943" i="2"/>
  <c r="F2942" i="2"/>
  <c r="C2942" i="2"/>
  <c r="B2942" i="2"/>
  <c r="F2941" i="2"/>
  <c r="C2941" i="2"/>
  <c r="B2941" i="2"/>
  <c r="F2940" i="2"/>
  <c r="C2940" i="2"/>
  <c r="B2940" i="2"/>
  <c r="F2939" i="2"/>
  <c r="C2939" i="2"/>
  <c r="B2939" i="2"/>
  <c r="F2938" i="2"/>
  <c r="C2938" i="2"/>
  <c r="B2938" i="2"/>
  <c r="F2937" i="2"/>
  <c r="C2937" i="2"/>
  <c r="B2937" i="2"/>
  <c r="F2936" i="2"/>
  <c r="C2936" i="2"/>
  <c r="B2936" i="2"/>
  <c r="F2935" i="2"/>
  <c r="C2935" i="2"/>
  <c r="B2935" i="2"/>
  <c r="F2934" i="2"/>
  <c r="C2934" i="2"/>
  <c r="B2934" i="2"/>
  <c r="F2933" i="2"/>
  <c r="C2933" i="2"/>
  <c r="B2933" i="2"/>
  <c r="F2932" i="2"/>
  <c r="C2932" i="2"/>
  <c r="B2932" i="2"/>
  <c r="F2931" i="2"/>
  <c r="C2931" i="2"/>
  <c r="B2931" i="2"/>
  <c r="F2930" i="2"/>
  <c r="C2930" i="2"/>
  <c r="B2930" i="2"/>
  <c r="F2929" i="2"/>
  <c r="C2929" i="2"/>
  <c r="B2929" i="2"/>
  <c r="F2928" i="2"/>
  <c r="C2928" i="2"/>
  <c r="B2928" i="2"/>
  <c r="F2927" i="2"/>
  <c r="C2927" i="2"/>
  <c r="B2927" i="2"/>
  <c r="F2926" i="2"/>
  <c r="C2926" i="2"/>
  <c r="B2926" i="2"/>
  <c r="F2925" i="2"/>
  <c r="C2925" i="2"/>
  <c r="B2925" i="2"/>
  <c r="F2924" i="2"/>
  <c r="C2924" i="2"/>
  <c r="B2924" i="2"/>
  <c r="F2923" i="2"/>
  <c r="C2923" i="2"/>
  <c r="B2923" i="2"/>
  <c r="F2922" i="2"/>
  <c r="C2922" i="2"/>
  <c r="B2922" i="2"/>
  <c r="F2921" i="2"/>
  <c r="C2921" i="2"/>
  <c r="B2921" i="2"/>
  <c r="F2920" i="2"/>
  <c r="C2920" i="2"/>
  <c r="B2920" i="2"/>
  <c r="F2919" i="2"/>
  <c r="C2919" i="2"/>
  <c r="B2919" i="2"/>
  <c r="F2918" i="2"/>
  <c r="C2918" i="2"/>
  <c r="B2918" i="2"/>
  <c r="F2917" i="2"/>
  <c r="C2917" i="2"/>
  <c r="B2917" i="2"/>
  <c r="F2916" i="2"/>
  <c r="C2916" i="2"/>
  <c r="B2916" i="2"/>
  <c r="F2915" i="2"/>
  <c r="C2915" i="2"/>
  <c r="B2915" i="2"/>
  <c r="F2914" i="2"/>
  <c r="C2914" i="2"/>
  <c r="B2914" i="2"/>
  <c r="F2913" i="2"/>
  <c r="C2913" i="2"/>
  <c r="B2913" i="2"/>
  <c r="F2912" i="2"/>
  <c r="C2912" i="2"/>
  <c r="B2912" i="2"/>
  <c r="F2911" i="2"/>
  <c r="C2911" i="2"/>
  <c r="B2911" i="2"/>
  <c r="F2910" i="2"/>
  <c r="C2910" i="2"/>
  <c r="B2910" i="2"/>
  <c r="F2909" i="2"/>
  <c r="C2909" i="2"/>
  <c r="B2909" i="2"/>
  <c r="F2908" i="2"/>
  <c r="C2908" i="2"/>
  <c r="B2908" i="2"/>
  <c r="F2907" i="2"/>
  <c r="C2907" i="2"/>
  <c r="B2907" i="2"/>
  <c r="F2906" i="2"/>
  <c r="C2906" i="2"/>
  <c r="B2906" i="2"/>
  <c r="F2905" i="2"/>
  <c r="C2905" i="2"/>
  <c r="B2905" i="2"/>
  <c r="F2904" i="2"/>
  <c r="C2904" i="2"/>
  <c r="B2904" i="2"/>
  <c r="F2903" i="2"/>
  <c r="C2903" i="2"/>
  <c r="B2903" i="2"/>
  <c r="F2902" i="2"/>
  <c r="C2902" i="2"/>
  <c r="B2902" i="2"/>
  <c r="F2901" i="2"/>
  <c r="C2901" i="2"/>
  <c r="B2901" i="2"/>
  <c r="F2900" i="2"/>
  <c r="C2900" i="2"/>
  <c r="B2900" i="2"/>
  <c r="F2899" i="2"/>
  <c r="C2899" i="2"/>
  <c r="B2899" i="2"/>
  <c r="F2898" i="2"/>
  <c r="C2898" i="2"/>
  <c r="B2898" i="2"/>
  <c r="F2897" i="2"/>
  <c r="C2897" i="2"/>
  <c r="B2897" i="2"/>
  <c r="F2896" i="2"/>
  <c r="C2896" i="2"/>
  <c r="B2896" i="2"/>
  <c r="F2895" i="2"/>
  <c r="C2895" i="2"/>
  <c r="B2895" i="2"/>
  <c r="F2894" i="2"/>
  <c r="C2894" i="2"/>
  <c r="B2894" i="2"/>
  <c r="F2893" i="2"/>
  <c r="C2893" i="2"/>
  <c r="B2893" i="2"/>
  <c r="F2892" i="2"/>
  <c r="C2892" i="2"/>
  <c r="B2892" i="2"/>
  <c r="F2891" i="2"/>
  <c r="C2891" i="2"/>
  <c r="B2891" i="2"/>
  <c r="F2890" i="2"/>
  <c r="C2890" i="2"/>
  <c r="B2890" i="2"/>
  <c r="F2889" i="2"/>
  <c r="C2889" i="2"/>
  <c r="B2889" i="2"/>
  <c r="F2888" i="2"/>
  <c r="C2888" i="2"/>
  <c r="B2888" i="2"/>
  <c r="F2887" i="2"/>
  <c r="C2887" i="2"/>
  <c r="B2887" i="2"/>
  <c r="F2886" i="2"/>
  <c r="C2886" i="2"/>
  <c r="B2886" i="2"/>
  <c r="F2885" i="2"/>
  <c r="C2885" i="2"/>
  <c r="B2885" i="2"/>
  <c r="F2884" i="2"/>
  <c r="C2884" i="2"/>
  <c r="B2884" i="2"/>
  <c r="F2883" i="2"/>
  <c r="C2883" i="2"/>
  <c r="B2883" i="2"/>
  <c r="F2882" i="2"/>
  <c r="C2882" i="2"/>
  <c r="B2882" i="2"/>
  <c r="F2881" i="2"/>
  <c r="C2881" i="2"/>
  <c r="B2881" i="2"/>
  <c r="F2880" i="2"/>
  <c r="C2880" i="2"/>
  <c r="B2880" i="2"/>
  <c r="F2879" i="2"/>
  <c r="C2879" i="2"/>
  <c r="B2879" i="2"/>
  <c r="F2878" i="2"/>
  <c r="C2878" i="2"/>
  <c r="B2878" i="2"/>
  <c r="F2877" i="2"/>
  <c r="C2877" i="2"/>
  <c r="B2877" i="2"/>
  <c r="F2876" i="2"/>
  <c r="C2876" i="2"/>
  <c r="B2876" i="2"/>
  <c r="F2875" i="2"/>
  <c r="C2875" i="2"/>
  <c r="B2875" i="2"/>
  <c r="F2874" i="2"/>
  <c r="C2874" i="2"/>
  <c r="B2874" i="2"/>
  <c r="F2873" i="2"/>
  <c r="C2873" i="2"/>
  <c r="B2873" i="2"/>
  <c r="F2872" i="2"/>
  <c r="C2872" i="2"/>
  <c r="B2872" i="2"/>
  <c r="F2871" i="2"/>
  <c r="C2871" i="2"/>
  <c r="B2871" i="2"/>
  <c r="F2870" i="2"/>
  <c r="C2870" i="2"/>
  <c r="B2870" i="2"/>
  <c r="F2869" i="2"/>
  <c r="C2869" i="2"/>
  <c r="B2869" i="2"/>
  <c r="F2868" i="2"/>
  <c r="C2868" i="2"/>
  <c r="B2868" i="2"/>
  <c r="F2867" i="2"/>
  <c r="C2867" i="2"/>
  <c r="B2867" i="2"/>
  <c r="F2866" i="2"/>
  <c r="C2866" i="2"/>
  <c r="B2866" i="2"/>
  <c r="F2865" i="2"/>
  <c r="C2865" i="2"/>
  <c r="B2865" i="2"/>
  <c r="F2864" i="2"/>
  <c r="C2864" i="2"/>
  <c r="B2864" i="2"/>
  <c r="F2863" i="2"/>
  <c r="C2863" i="2"/>
  <c r="B2863" i="2"/>
  <c r="F2862" i="2"/>
  <c r="C2862" i="2"/>
  <c r="B2862" i="2"/>
  <c r="F2861" i="2"/>
  <c r="C2861" i="2"/>
  <c r="B2861" i="2"/>
  <c r="F2860" i="2"/>
  <c r="C2860" i="2"/>
  <c r="B2860" i="2"/>
  <c r="F2859" i="2"/>
  <c r="C2859" i="2"/>
  <c r="B2859" i="2"/>
  <c r="F2858" i="2"/>
  <c r="C2858" i="2"/>
  <c r="B2858" i="2"/>
  <c r="F2857" i="2"/>
  <c r="C2857" i="2"/>
  <c r="B2857" i="2"/>
  <c r="F2856" i="2"/>
  <c r="C2856" i="2"/>
  <c r="B2856" i="2"/>
  <c r="F2855" i="2"/>
  <c r="C2855" i="2"/>
  <c r="B2855" i="2"/>
  <c r="F2854" i="2"/>
  <c r="C2854" i="2"/>
  <c r="B2854" i="2"/>
  <c r="F2853" i="2"/>
  <c r="C2853" i="2"/>
  <c r="B2853" i="2"/>
  <c r="F2852" i="2"/>
  <c r="C2852" i="2"/>
  <c r="B2852" i="2"/>
  <c r="F2851" i="2"/>
  <c r="C2851" i="2"/>
  <c r="B2851" i="2"/>
  <c r="F2850" i="2"/>
  <c r="C2850" i="2"/>
  <c r="B2850" i="2"/>
  <c r="F2849" i="2"/>
  <c r="C2849" i="2"/>
  <c r="B2849" i="2"/>
  <c r="F2848" i="2"/>
  <c r="C2848" i="2"/>
  <c r="B2848" i="2"/>
  <c r="F2847" i="2"/>
  <c r="C2847" i="2"/>
  <c r="B2847" i="2"/>
  <c r="F2846" i="2"/>
  <c r="C2846" i="2"/>
  <c r="B2846" i="2"/>
  <c r="F2845" i="2"/>
  <c r="C2845" i="2"/>
  <c r="B2845" i="2"/>
  <c r="F2844" i="2"/>
  <c r="C2844" i="2"/>
  <c r="B2844" i="2"/>
  <c r="F2843" i="2"/>
  <c r="C2843" i="2"/>
  <c r="B2843" i="2"/>
  <c r="F2842" i="2"/>
  <c r="C2842" i="2"/>
  <c r="B2842" i="2"/>
  <c r="F2841" i="2"/>
  <c r="C2841" i="2"/>
  <c r="B2841" i="2"/>
  <c r="F2840" i="2"/>
  <c r="C2840" i="2"/>
  <c r="B2840" i="2"/>
  <c r="F2839" i="2"/>
  <c r="C2839" i="2"/>
  <c r="B2839" i="2"/>
  <c r="F2838" i="2"/>
  <c r="C2838" i="2"/>
  <c r="B2838" i="2"/>
  <c r="F2837" i="2"/>
  <c r="C2837" i="2"/>
  <c r="B2837" i="2"/>
  <c r="F2836" i="2"/>
  <c r="C2836" i="2"/>
  <c r="B2836" i="2"/>
  <c r="F2835" i="2"/>
  <c r="C2835" i="2"/>
  <c r="B2835" i="2"/>
  <c r="F2834" i="2"/>
  <c r="C2834" i="2"/>
  <c r="B2834" i="2"/>
  <c r="F2833" i="2"/>
  <c r="C2833" i="2"/>
  <c r="B2833" i="2"/>
  <c r="F2832" i="2"/>
  <c r="C2832" i="2"/>
  <c r="B2832" i="2"/>
  <c r="F2831" i="2"/>
  <c r="C2831" i="2"/>
  <c r="B2831" i="2"/>
  <c r="F2830" i="2"/>
  <c r="C2830" i="2"/>
  <c r="B2830" i="2"/>
  <c r="F2829" i="2"/>
  <c r="C2829" i="2"/>
  <c r="B2829" i="2"/>
  <c r="F2828" i="2"/>
  <c r="C2828" i="2"/>
  <c r="B2828" i="2"/>
  <c r="F2827" i="2"/>
  <c r="C2827" i="2"/>
  <c r="B2827" i="2"/>
  <c r="F2826" i="2"/>
  <c r="C2826" i="2"/>
  <c r="B2826" i="2"/>
  <c r="F2825" i="2"/>
  <c r="C2825" i="2"/>
  <c r="B2825" i="2"/>
  <c r="F2824" i="2"/>
  <c r="C2824" i="2"/>
  <c r="B2824" i="2"/>
  <c r="F2823" i="2"/>
  <c r="C2823" i="2"/>
  <c r="B2823" i="2"/>
  <c r="F2822" i="2"/>
  <c r="C2822" i="2"/>
  <c r="B2822" i="2"/>
  <c r="F2821" i="2"/>
  <c r="C2821" i="2"/>
  <c r="B2821" i="2"/>
  <c r="F2820" i="2"/>
  <c r="C2820" i="2"/>
  <c r="B2820" i="2"/>
  <c r="F2819" i="2"/>
  <c r="C2819" i="2"/>
  <c r="B2819" i="2"/>
  <c r="F2818" i="2"/>
  <c r="C2818" i="2"/>
  <c r="B2818" i="2"/>
  <c r="F2817" i="2"/>
  <c r="C2817" i="2"/>
  <c r="B2817" i="2"/>
  <c r="F2816" i="2"/>
  <c r="C2816" i="2"/>
  <c r="B2816" i="2"/>
  <c r="F2815" i="2"/>
  <c r="C2815" i="2"/>
  <c r="B2815" i="2"/>
  <c r="F2814" i="2"/>
  <c r="C2814" i="2"/>
  <c r="B2814" i="2"/>
  <c r="F2813" i="2"/>
  <c r="C2813" i="2"/>
  <c r="B2813" i="2"/>
  <c r="F2812" i="2"/>
  <c r="C2812" i="2"/>
  <c r="B2812" i="2"/>
  <c r="F2811" i="2"/>
  <c r="C2811" i="2"/>
  <c r="B2811" i="2"/>
  <c r="F2810" i="2"/>
  <c r="C2810" i="2"/>
  <c r="B2810" i="2"/>
  <c r="F2809" i="2"/>
  <c r="C2809" i="2"/>
  <c r="B2809" i="2"/>
  <c r="F2808" i="2"/>
  <c r="C2808" i="2"/>
  <c r="B2808" i="2"/>
  <c r="F2807" i="2"/>
  <c r="C2807" i="2"/>
  <c r="B2807" i="2"/>
  <c r="F2806" i="2"/>
  <c r="C2806" i="2"/>
  <c r="B2806" i="2"/>
  <c r="F2805" i="2"/>
  <c r="C2805" i="2"/>
  <c r="B2805" i="2"/>
  <c r="F2804" i="2"/>
  <c r="C2804" i="2"/>
  <c r="B2804" i="2"/>
  <c r="F2803" i="2"/>
  <c r="C2803" i="2"/>
  <c r="B2803" i="2"/>
  <c r="F2802" i="2"/>
  <c r="C2802" i="2"/>
  <c r="B2802" i="2"/>
  <c r="F2801" i="2"/>
  <c r="C2801" i="2"/>
  <c r="B2801" i="2"/>
  <c r="F2800" i="2"/>
  <c r="C2800" i="2"/>
  <c r="B2800" i="2"/>
  <c r="F2799" i="2"/>
  <c r="C2799" i="2"/>
  <c r="B2799" i="2"/>
  <c r="F2798" i="2"/>
  <c r="C2798" i="2"/>
  <c r="B2798" i="2"/>
  <c r="F2797" i="2"/>
  <c r="C2797" i="2"/>
  <c r="B2797" i="2"/>
  <c r="F2796" i="2"/>
  <c r="C2796" i="2"/>
  <c r="B2796" i="2"/>
  <c r="F2795" i="2"/>
  <c r="C2795" i="2"/>
  <c r="B2795" i="2"/>
  <c r="F2794" i="2"/>
  <c r="C2794" i="2"/>
  <c r="B2794" i="2"/>
  <c r="F2793" i="2"/>
  <c r="C2793" i="2"/>
  <c r="B2793" i="2"/>
  <c r="F2792" i="2"/>
  <c r="C2792" i="2"/>
  <c r="B2792" i="2"/>
  <c r="F2791" i="2"/>
  <c r="C2791" i="2"/>
  <c r="B2791" i="2"/>
  <c r="F2790" i="2"/>
  <c r="C2790" i="2"/>
  <c r="B2790" i="2"/>
  <c r="F2789" i="2"/>
  <c r="C2789" i="2"/>
  <c r="B2789" i="2"/>
  <c r="F2788" i="2"/>
  <c r="C2788" i="2"/>
  <c r="B2788" i="2"/>
  <c r="F2787" i="2"/>
  <c r="C2787" i="2"/>
  <c r="B2787" i="2"/>
  <c r="F2786" i="2"/>
  <c r="C2786" i="2"/>
  <c r="B2786" i="2"/>
  <c r="F2785" i="2"/>
  <c r="C2785" i="2"/>
  <c r="B2785" i="2"/>
  <c r="F2784" i="2"/>
  <c r="C2784" i="2"/>
  <c r="B2784" i="2"/>
  <c r="F2783" i="2"/>
  <c r="C2783" i="2"/>
  <c r="B2783" i="2"/>
  <c r="F2782" i="2"/>
  <c r="C2782" i="2"/>
  <c r="B2782" i="2"/>
  <c r="F2781" i="2"/>
  <c r="C2781" i="2"/>
  <c r="B2781" i="2"/>
  <c r="F2780" i="2"/>
  <c r="C2780" i="2"/>
  <c r="B2780" i="2"/>
  <c r="F2779" i="2"/>
  <c r="C2779" i="2"/>
  <c r="B2779" i="2"/>
  <c r="F2778" i="2"/>
  <c r="C2778" i="2"/>
  <c r="B2778" i="2"/>
  <c r="F2777" i="2"/>
  <c r="C2777" i="2"/>
  <c r="B2777" i="2"/>
  <c r="F2776" i="2"/>
  <c r="C2776" i="2"/>
  <c r="B2776" i="2"/>
  <c r="F2775" i="2"/>
  <c r="C2775" i="2"/>
  <c r="B2775" i="2"/>
  <c r="F2774" i="2"/>
  <c r="C2774" i="2"/>
  <c r="B2774" i="2"/>
  <c r="F2773" i="2"/>
  <c r="C2773" i="2"/>
  <c r="B2773" i="2"/>
  <c r="F2772" i="2"/>
  <c r="C2772" i="2"/>
  <c r="B2772" i="2"/>
  <c r="F2771" i="2"/>
  <c r="C2771" i="2"/>
  <c r="B2771" i="2"/>
  <c r="F2770" i="2"/>
  <c r="C2770" i="2"/>
  <c r="B2770" i="2"/>
  <c r="F2769" i="2"/>
  <c r="C2769" i="2"/>
  <c r="B2769" i="2"/>
  <c r="F2768" i="2"/>
  <c r="C2768" i="2"/>
  <c r="B2768" i="2"/>
  <c r="F2767" i="2"/>
  <c r="C2767" i="2"/>
  <c r="B2767" i="2"/>
  <c r="F2766" i="2"/>
  <c r="C2766" i="2"/>
  <c r="B2766" i="2"/>
  <c r="F2765" i="2"/>
  <c r="C2765" i="2"/>
  <c r="B2765" i="2"/>
  <c r="F2764" i="2"/>
  <c r="C2764" i="2"/>
  <c r="B2764" i="2"/>
  <c r="F2763" i="2"/>
  <c r="C2763" i="2"/>
  <c r="B2763" i="2"/>
  <c r="F2762" i="2"/>
  <c r="C2762" i="2"/>
  <c r="B2762" i="2"/>
  <c r="F2761" i="2"/>
  <c r="C2761" i="2"/>
  <c r="B2761" i="2"/>
  <c r="F2760" i="2"/>
  <c r="C2760" i="2"/>
  <c r="B2760" i="2"/>
  <c r="F2759" i="2"/>
  <c r="C2759" i="2"/>
  <c r="B2759" i="2"/>
  <c r="F2758" i="2"/>
  <c r="C2758" i="2"/>
  <c r="B2758" i="2"/>
  <c r="F2757" i="2"/>
  <c r="C2757" i="2"/>
  <c r="B2757" i="2"/>
  <c r="F2756" i="2"/>
  <c r="C2756" i="2"/>
  <c r="B2756" i="2"/>
  <c r="F2755" i="2"/>
  <c r="C2755" i="2"/>
  <c r="B2755" i="2"/>
  <c r="F2754" i="2"/>
  <c r="C2754" i="2"/>
  <c r="B2754" i="2"/>
  <c r="F2753" i="2"/>
  <c r="C2753" i="2"/>
  <c r="B2753" i="2"/>
  <c r="F2752" i="2"/>
  <c r="C2752" i="2"/>
  <c r="B2752" i="2"/>
  <c r="F2751" i="2"/>
  <c r="C2751" i="2"/>
  <c r="B2751" i="2"/>
  <c r="F2750" i="2"/>
  <c r="C2750" i="2"/>
  <c r="B2750" i="2"/>
  <c r="F2749" i="2"/>
  <c r="C2749" i="2"/>
  <c r="B2749" i="2"/>
  <c r="F2748" i="2"/>
  <c r="C2748" i="2"/>
  <c r="B2748" i="2"/>
  <c r="F2747" i="2"/>
  <c r="C2747" i="2"/>
  <c r="B2747" i="2"/>
  <c r="F2746" i="2"/>
  <c r="C2746" i="2"/>
  <c r="B2746" i="2"/>
  <c r="F2745" i="2"/>
  <c r="C2745" i="2"/>
  <c r="B2745" i="2"/>
  <c r="F2744" i="2"/>
  <c r="C2744" i="2"/>
  <c r="B2744" i="2"/>
  <c r="F2743" i="2"/>
  <c r="C2743" i="2"/>
  <c r="B2743" i="2"/>
  <c r="F2742" i="2"/>
  <c r="C2742" i="2"/>
  <c r="B2742" i="2"/>
  <c r="F2741" i="2"/>
  <c r="C2741" i="2"/>
  <c r="B2741" i="2"/>
  <c r="F2740" i="2"/>
  <c r="C2740" i="2"/>
  <c r="B2740" i="2"/>
  <c r="F2739" i="2"/>
  <c r="C2739" i="2"/>
  <c r="B2739" i="2"/>
  <c r="F2738" i="2"/>
  <c r="C2738" i="2"/>
  <c r="B2738" i="2"/>
  <c r="F2737" i="2"/>
  <c r="C2737" i="2"/>
  <c r="B2737" i="2"/>
  <c r="F2736" i="2"/>
  <c r="C2736" i="2"/>
  <c r="B2736" i="2"/>
  <c r="F2735" i="2"/>
  <c r="C2735" i="2"/>
  <c r="B2735" i="2"/>
  <c r="F2734" i="2"/>
  <c r="C2734" i="2"/>
  <c r="B2734" i="2"/>
  <c r="F2733" i="2"/>
  <c r="C2733" i="2"/>
  <c r="B2733" i="2"/>
  <c r="F2732" i="2"/>
  <c r="C2732" i="2"/>
  <c r="B2732" i="2"/>
  <c r="F2731" i="2"/>
  <c r="C2731" i="2"/>
  <c r="B2731" i="2"/>
  <c r="F2730" i="2"/>
  <c r="C2730" i="2"/>
  <c r="B2730" i="2"/>
  <c r="F2729" i="2"/>
  <c r="C2729" i="2"/>
  <c r="B2729" i="2"/>
  <c r="F2728" i="2"/>
  <c r="C2728" i="2"/>
  <c r="B2728" i="2"/>
  <c r="F2727" i="2"/>
  <c r="C2727" i="2"/>
  <c r="B2727" i="2"/>
  <c r="F2726" i="2"/>
  <c r="C2726" i="2"/>
  <c r="B2726" i="2"/>
  <c r="F2725" i="2"/>
  <c r="C2725" i="2"/>
  <c r="B2725" i="2"/>
  <c r="F2724" i="2"/>
  <c r="C2724" i="2"/>
  <c r="B2724" i="2"/>
  <c r="F2723" i="2"/>
  <c r="C2723" i="2"/>
  <c r="B2723" i="2"/>
  <c r="F2722" i="2"/>
  <c r="C2722" i="2"/>
  <c r="B2722" i="2"/>
  <c r="F2721" i="2"/>
  <c r="C2721" i="2"/>
  <c r="B2721" i="2"/>
  <c r="F2720" i="2"/>
  <c r="C2720" i="2"/>
  <c r="B2720" i="2"/>
  <c r="F2719" i="2"/>
  <c r="C2719" i="2"/>
  <c r="B2719" i="2"/>
  <c r="F2718" i="2"/>
  <c r="C2718" i="2"/>
  <c r="B2718" i="2"/>
  <c r="F2717" i="2"/>
  <c r="C2717" i="2"/>
  <c r="B2717" i="2"/>
  <c r="F2716" i="2"/>
  <c r="C2716" i="2"/>
  <c r="B2716" i="2"/>
  <c r="F2715" i="2"/>
  <c r="C2715" i="2"/>
  <c r="B2715" i="2"/>
  <c r="F2714" i="2"/>
  <c r="C2714" i="2"/>
  <c r="B2714" i="2"/>
  <c r="F2713" i="2"/>
  <c r="C2713" i="2"/>
  <c r="B2713" i="2"/>
  <c r="F2712" i="2"/>
  <c r="C2712" i="2"/>
  <c r="B2712" i="2"/>
  <c r="F2711" i="2"/>
  <c r="C2711" i="2"/>
  <c r="B2711" i="2"/>
  <c r="F2710" i="2"/>
  <c r="C2710" i="2"/>
  <c r="B2710" i="2"/>
  <c r="F2709" i="2"/>
  <c r="C2709" i="2"/>
  <c r="B2709" i="2"/>
  <c r="F2708" i="2"/>
  <c r="C2708" i="2"/>
  <c r="B2708" i="2"/>
  <c r="F2707" i="2"/>
  <c r="C2707" i="2"/>
  <c r="B2707" i="2"/>
  <c r="F2706" i="2"/>
  <c r="C2706" i="2"/>
  <c r="B2706" i="2"/>
  <c r="F2705" i="2"/>
  <c r="C2705" i="2"/>
  <c r="B2705" i="2"/>
  <c r="F2704" i="2"/>
  <c r="C2704" i="2"/>
  <c r="B2704" i="2"/>
  <c r="F2703" i="2"/>
  <c r="C2703" i="2"/>
  <c r="B2703" i="2"/>
  <c r="F2702" i="2"/>
  <c r="C2702" i="2"/>
  <c r="B2702" i="2"/>
  <c r="F2701" i="2"/>
  <c r="C2701" i="2"/>
  <c r="B2701" i="2"/>
  <c r="F2700" i="2"/>
  <c r="C2700" i="2"/>
  <c r="B2700" i="2"/>
  <c r="F2699" i="2"/>
  <c r="C2699" i="2"/>
  <c r="B2699" i="2"/>
  <c r="F2698" i="2"/>
  <c r="C2698" i="2"/>
  <c r="B2698" i="2"/>
  <c r="F2697" i="2"/>
  <c r="C2697" i="2"/>
  <c r="B2697" i="2"/>
  <c r="F2696" i="2"/>
  <c r="C2696" i="2"/>
  <c r="B2696" i="2"/>
  <c r="F2695" i="2"/>
  <c r="C2695" i="2"/>
  <c r="B2695" i="2"/>
  <c r="F2694" i="2"/>
  <c r="C2694" i="2"/>
  <c r="B2694" i="2"/>
  <c r="F2693" i="2"/>
  <c r="C2693" i="2"/>
  <c r="B2693" i="2"/>
  <c r="F2692" i="2"/>
  <c r="C2692" i="2"/>
  <c r="B2692" i="2"/>
  <c r="F2691" i="2"/>
  <c r="C2691" i="2"/>
  <c r="B2691" i="2"/>
  <c r="F2690" i="2"/>
  <c r="C2690" i="2"/>
  <c r="B2690" i="2"/>
  <c r="F2689" i="2"/>
  <c r="C2689" i="2"/>
  <c r="B2689" i="2"/>
  <c r="F2688" i="2"/>
  <c r="C2688" i="2"/>
  <c r="B2688" i="2"/>
  <c r="F2687" i="2"/>
  <c r="C2687" i="2"/>
  <c r="B2687" i="2"/>
  <c r="F2686" i="2"/>
  <c r="C2686" i="2"/>
  <c r="B2686" i="2"/>
  <c r="F2685" i="2"/>
  <c r="C2685" i="2"/>
  <c r="B2685" i="2"/>
  <c r="F2684" i="2"/>
  <c r="C2684" i="2"/>
  <c r="B2684" i="2"/>
  <c r="F2683" i="2"/>
  <c r="C2683" i="2"/>
  <c r="B2683" i="2"/>
  <c r="F2682" i="2"/>
  <c r="C2682" i="2"/>
  <c r="B2682" i="2"/>
  <c r="F2681" i="2"/>
  <c r="C2681" i="2"/>
  <c r="B2681" i="2"/>
  <c r="F2680" i="2"/>
  <c r="C2680" i="2"/>
  <c r="B2680" i="2"/>
  <c r="F2679" i="2"/>
  <c r="C2679" i="2"/>
  <c r="B2679" i="2"/>
  <c r="F2678" i="2"/>
  <c r="C2678" i="2"/>
  <c r="B2678" i="2"/>
  <c r="F2677" i="2"/>
  <c r="C2677" i="2"/>
  <c r="B2677" i="2"/>
  <c r="F2676" i="2"/>
  <c r="C2676" i="2"/>
  <c r="B2676" i="2"/>
  <c r="F2675" i="2"/>
  <c r="C2675" i="2"/>
  <c r="B2675" i="2"/>
  <c r="F2674" i="2"/>
  <c r="C2674" i="2"/>
  <c r="B2674" i="2"/>
  <c r="F2673" i="2"/>
  <c r="C2673" i="2"/>
  <c r="B2673" i="2"/>
  <c r="F2672" i="2"/>
  <c r="C2672" i="2"/>
  <c r="B2672" i="2"/>
  <c r="F2671" i="2"/>
  <c r="C2671" i="2"/>
  <c r="B2671" i="2"/>
  <c r="F2670" i="2"/>
  <c r="C2670" i="2"/>
  <c r="B2670" i="2"/>
  <c r="F2669" i="2"/>
  <c r="C2669" i="2"/>
  <c r="B2669" i="2"/>
  <c r="F2668" i="2"/>
  <c r="C2668" i="2"/>
  <c r="B2668" i="2"/>
  <c r="F2667" i="2"/>
  <c r="C2667" i="2"/>
  <c r="B2667" i="2"/>
  <c r="F2666" i="2"/>
  <c r="C2666" i="2"/>
  <c r="B2666" i="2"/>
  <c r="F2665" i="2"/>
  <c r="C2665" i="2"/>
  <c r="B2665" i="2"/>
  <c r="F2664" i="2"/>
  <c r="C2664" i="2"/>
  <c r="B2664" i="2"/>
  <c r="F2663" i="2"/>
  <c r="C2663" i="2"/>
  <c r="B2663" i="2"/>
  <c r="F2662" i="2"/>
  <c r="C2662" i="2"/>
  <c r="B2662" i="2"/>
  <c r="F2661" i="2"/>
  <c r="C2661" i="2"/>
  <c r="B2661" i="2"/>
  <c r="F2660" i="2"/>
  <c r="C2660" i="2"/>
  <c r="B2660" i="2"/>
  <c r="F2659" i="2"/>
  <c r="C2659" i="2"/>
  <c r="B2659" i="2"/>
  <c r="F2658" i="2"/>
  <c r="C2658" i="2"/>
  <c r="B2658" i="2"/>
  <c r="F2657" i="2"/>
  <c r="C2657" i="2"/>
  <c r="B2657" i="2"/>
  <c r="F2656" i="2"/>
  <c r="C2656" i="2"/>
  <c r="B2656" i="2"/>
  <c r="F2655" i="2"/>
  <c r="C2655" i="2"/>
  <c r="B2655" i="2"/>
  <c r="F2654" i="2"/>
  <c r="C2654" i="2"/>
  <c r="B2654" i="2"/>
  <c r="F2653" i="2"/>
  <c r="C2653" i="2"/>
  <c r="B2653" i="2"/>
  <c r="F2652" i="2"/>
  <c r="C2652" i="2"/>
  <c r="B2652" i="2"/>
  <c r="F2651" i="2"/>
  <c r="C2651" i="2"/>
  <c r="B2651" i="2"/>
  <c r="F2650" i="2"/>
  <c r="C2650" i="2"/>
  <c r="B2650" i="2"/>
  <c r="F2649" i="2"/>
  <c r="C2649" i="2"/>
  <c r="B2649" i="2"/>
  <c r="F2648" i="2"/>
  <c r="C2648" i="2"/>
  <c r="B2648" i="2"/>
  <c r="F2647" i="2"/>
  <c r="C2647" i="2"/>
  <c r="B2647" i="2"/>
  <c r="F2646" i="2"/>
  <c r="C2646" i="2"/>
  <c r="B2646" i="2"/>
  <c r="F2645" i="2"/>
  <c r="C2645" i="2"/>
  <c r="B2645" i="2"/>
  <c r="F2644" i="2"/>
  <c r="C2644" i="2"/>
  <c r="B2644" i="2"/>
  <c r="F2643" i="2"/>
  <c r="C2643" i="2"/>
  <c r="B2643" i="2"/>
  <c r="F2642" i="2"/>
  <c r="C2642" i="2"/>
  <c r="B2642" i="2"/>
  <c r="F2641" i="2"/>
  <c r="C2641" i="2"/>
  <c r="B2641" i="2"/>
  <c r="F2640" i="2"/>
  <c r="C2640" i="2"/>
  <c r="B2640" i="2"/>
  <c r="F2639" i="2"/>
  <c r="C2639" i="2"/>
  <c r="B2639" i="2"/>
  <c r="F2638" i="2"/>
  <c r="C2638" i="2"/>
  <c r="B2638" i="2"/>
  <c r="F2637" i="2"/>
  <c r="C2637" i="2"/>
  <c r="B2637" i="2"/>
  <c r="F2636" i="2"/>
  <c r="C2636" i="2"/>
  <c r="B2636" i="2"/>
  <c r="F2635" i="2"/>
  <c r="C2635" i="2"/>
  <c r="B2635" i="2"/>
  <c r="F2634" i="2"/>
  <c r="C2634" i="2"/>
  <c r="B2634" i="2"/>
  <c r="F2633" i="2"/>
  <c r="C2633" i="2"/>
  <c r="B2633" i="2"/>
  <c r="F2632" i="2"/>
  <c r="C2632" i="2"/>
  <c r="B2632" i="2"/>
  <c r="F2631" i="2"/>
  <c r="C2631" i="2"/>
  <c r="B2631" i="2"/>
  <c r="F2630" i="2"/>
  <c r="C2630" i="2"/>
  <c r="B2630" i="2"/>
  <c r="F2629" i="2"/>
  <c r="C2629" i="2"/>
  <c r="B2629" i="2"/>
  <c r="F2628" i="2"/>
  <c r="C2628" i="2"/>
  <c r="B2628" i="2"/>
  <c r="F2627" i="2"/>
  <c r="C2627" i="2"/>
  <c r="B2627" i="2"/>
  <c r="F2626" i="2"/>
  <c r="C2626" i="2"/>
  <c r="B2626" i="2"/>
  <c r="F2625" i="2"/>
  <c r="C2625" i="2"/>
  <c r="B2625" i="2"/>
  <c r="F2624" i="2"/>
  <c r="C2624" i="2"/>
  <c r="B2624" i="2"/>
  <c r="F2623" i="2"/>
  <c r="C2623" i="2"/>
  <c r="B2623" i="2"/>
  <c r="F2622" i="2"/>
  <c r="C2622" i="2"/>
  <c r="B2622" i="2"/>
  <c r="F2621" i="2"/>
  <c r="C2621" i="2"/>
  <c r="B2621" i="2"/>
  <c r="F2620" i="2"/>
  <c r="C2620" i="2"/>
  <c r="B2620" i="2"/>
  <c r="F2619" i="2"/>
  <c r="C2619" i="2"/>
  <c r="B2619" i="2"/>
  <c r="F2618" i="2"/>
  <c r="C2618" i="2"/>
  <c r="B2618" i="2"/>
  <c r="F2617" i="2"/>
  <c r="C2617" i="2"/>
  <c r="B2617" i="2"/>
  <c r="F2616" i="2"/>
  <c r="C2616" i="2"/>
  <c r="B2616" i="2"/>
  <c r="F2615" i="2"/>
  <c r="C2615" i="2"/>
  <c r="B2615" i="2"/>
  <c r="F2614" i="2"/>
  <c r="C2614" i="2"/>
  <c r="B2614" i="2"/>
  <c r="F2613" i="2"/>
  <c r="C2613" i="2"/>
  <c r="B2613" i="2"/>
  <c r="F2612" i="2"/>
  <c r="C2612" i="2"/>
  <c r="B2612" i="2"/>
  <c r="F2611" i="2"/>
  <c r="C2611" i="2"/>
  <c r="B2611" i="2"/>
  <c r="F2610" i="2"/>
  <c r="C2610" i="2"/>
  <c r="B2610" i="2"/>
  <c r="F2609" i="2"/>
  <c r="C2609" i="2"/>
  <c r="B2609" i="2"/>
  <c r="F2608" i="2"/>
  <c r="C2608" i="2"/>
  <c r="B2608" i="2"/>
  <c r="F2607" i="2"/>
  <c r="C2607" i="2"/>
  <c r="B2607" i="2"/>
  <c r="F2606" i="2"/>
  <c r="C2606" i="2"/>
  <c r="B2606" i="2"/>
  <c r="F2605" i="2"/>
  <c r="C2605" i="2"/>
  <c r="B2605" i="2"/>
  <c r="F2604" i="2"/>
  <c r="C2604" i="2"/>
  <c r="B2604" i="2"/>
  <c r="F2603" i="2"/>
  <c r="C2603" i="2"/>
  <c r="B2603" i="2"/>
  <c r="F2602" i="2"/>
  <c r="C2602" i="2"/>
  <c r="B2602" i="2"/>
  <c r="F2601" i="2"/>
  <c r="C2601" i="2"/>
  <c r="B2601" i="2"/>
  <c r="F2600" i="2"/>
  <c r="C2600" i="2"/>
  <c r="B2600" i="2"/>
  <c r="F2599" i="2"/>
  <c r="C2599" i="2"/>
  <c r="B2599" i="2"/>
  <c r="F2598" i="2"/>
  <c r="C2598" i="2"/>
  <c r="B2598" i="2"/>
  <c r="F2597" i="2"/>
  <c r="C2597" i="2"/>
  <c r="B2597" i="2"/>
  <c r="F2596" i="2"/>
  <c r="C2596" i="2"/>
  <c r="B2596" i="2"/>
  <c r="F2595" i="2"/>
  <c r="C2595" i="2"/>
  <c r="B2595" i="2"/>
  <c r="F2594" i="2"/>
  <c r="C2594" i="2"/>
  <c r="B2594" i="2"/>
  <c r="F2593" i="2"/>
  <c r="C2593" i="2"/>
  <c r="B2593" i="2"/>
  <c r="F2592" i="2"/>
  <c r="C2592" i="2"/>
  <c r="B2592" i="2"/>
  <c r="F2591" i="2"/>
  <c r="C2591" i="2"/>
  <c r="B2591" i="2"/>
  <c r="F2590" i="2"/>
  <c r="C2590" i="2"/>
  <c r="B2590" i="2"/>
  <c r="F2589" i="2"/>
  <c r="C2589" i="2"/>
  <c r="B2589" i="2"/>
  <c r="F2588" i="2"/>
  <c r="C2588" i="2"/>
  <c r="B2588" i="2"/>
  <c r="F2587" i="2"/>
  <c r="C2587" i="2"/>
  <c r="B2587" i="2"/>
  <c r="F2586" i="2"/>
  <c r="C2586" i="2"/>
  <c r="B2586" i="2"/>
  <c r="F2585" i="2"/>
  <c r="C2585" i="2"/>
  <c r="B2585" i="2"/>
  <c r="F2584" i="2"/>
  <c r="C2584" i="2"/>
  <c r="B2584" i="2"/>
  <c r="F2583" i="2"/>
  <c r="C2583" i="2"/>
  <c r="B2583" i="2"/>
  <c r="F2582" i="2"/>
  <c r="C2582" i="2"/>
  <c r="B2582" i="2"/>
  <c r="F2581" i="2"/>
  <c r="C2581" i="2"/>
  <c r="B2581" i="2"/>
  <c r="F2580" i="2"/>
  <c r="C2580" i="2"/>
  <c r="B2580" i="2"/>
  <c r="F2579" i="2"/>
  <c r="C2579" i="2"/>
  <c r="B2579" i="2"/>
  <c r="F2578" i="2"/>
  <c r="C2578" i="2"/>
  <c r="B2578" i="2"/>
  <c r="F2577" i="2"/>
  <c r="C2577" i="2"/>
  <c r="B2577" i="2"/>
  <c r="F2576" i="2"/>
  <c r="C2576" i="2"/>
  <c r="B2576" i="2"/>
  <c r="F2575" i="2"/>
  <c r="C2575" i="2"/>
  <c r="B2575" i="2"/>
  <c r="F2574" i="2"/>
  <c r="C2574" i="2"/>
  <c r="B2574" i="2"/>
  <c r="F2573" i="2"/>
  <c r="C2573" i="2"/>
  <c r="B2573" i="2"/>
  <c r="F2572" i="2"/>
  <c r="C2572" i="2"/>
  <c r="B2572" i="2"/>
  <c r="F2571" i="2"/>
  <c r="C2571" i="2"/>
  <c r="B2571" i="2"/>
  <c r="F2570" i="2"/>
  <c r="C2570" i="2"/>
  <c r="B2570" i="2"/>
  <c r="F2569" i="2"/>
  <c r="C2569" i="2"/>
  <c r="B2569" i="2"/>
  <c r="F2568" i="2"/>
  <c r="C2568" i="2"/>
  <c r="B2568" i="2"/>
  <c r="F2567" i="2"/>
  <c r="C2567" i="2"/>
  <c r="B2567" i="2"/>
  <c r="F2566" i="2"/>
  <c r="C2566" i="2"/>
  <c r="B2566" i="2"/>
  <c r="F2565" i="2"/>
  <c r="C2565" i="2"/>
  <c r="B2565" i="2"/>
  <c r="F2564" i="2"/>
  <c r="C2564" i="2"/>
  <c r="B2564" i="2"/>
  <c r="F2563" i="2"/>
  <c r="C2563" i="2"/>
  <c r="B2563" i="2"/>
  <c r="F2562" i="2"/>
  <c r="C2562" i="2"/>
  <c r="B2562" i="2"/>
  <c r="F2561" i="2"/>
  <c r="C2561" i="2"/>
  <c r="B2561" i="2"/>
  <c r="F2560" i="2"/>
  <c r="C2560" i="2"/>
  <c r="B2560" i="2"/>
  <c r="F2559" i="2"/>
  <c r="C2559" i="2"/>
  <c r="B2559" i="2"/>
  <c r="F2558" i="2"/>
  <c r="C2558" i="2"/>
  <c r="B2558" i="2"/>
  <c r="F2557" i="2"/>
  <c r="C2557" i="2"/>
  <c r="B2557" i="2"/>
  <c r="F2556" i="2"/>
  <c r="C2556" i="2"/>
  <c r="B2556" i="2"/>
  <c r="F2555" i="2"/>
  <c r="C2555" i="2"/>
  <c r="B2555" i="2"/>
  <c r="F2554" i="2"/>
  <c r="C2554" i="2"/>
  <c r="B2554" i="2"/>
  <c r="F2553" i="2"/>
  <c r="C2553" i="2"/>
  <c r="B2553" i="2"/>
  <c r="F2552" i="2"/>
  <c r="C2552" i="2"/>
  <c r="B2552" i="2"/>
  <c r="F2551" i="2"/>
  <c r="C2551" i="2"/>
  <c r="B2551" i="2"/>
  <c r="F2550" i="2"/>
  <c r="C2550" i="2"/>
  <c r="B2550" i="2"/>
  <c r="F2549" i="2"/>
  <c r="C2549" i="2"/>
  <c r="B2549" i="2"/>
  <c r="F2548" i="2"/>
  <c r="C2548" i="2"/>
  <c r="B2548" i="2"/>
  <c r="F2547" i="2"/>
  <c r="C2547" i="2"/>
  <c r="B2547" i="2"/>
  <c r="F2546" i="2"/>
  <c r="C2546" i="2"/>
  <c r="B2546" i="2"/>
  <c r="F2545" i="2"/>
  <c r="C2545" i="2"/>
  <c r="B2545" i="2"/>
  <c r="F2544" i="2"/>
  <c r="C2544" i="2"/>
  <c r="B2544" i="2"/>
  <c r="F2543" i="2"/>
  <c r="C2543" i="2"/>
  <c r="B2543" i="2"/>
  <c r="F2542" i="2"/>
  <c r="C2542" i="2"/>
  <c r="B2542" i="2"/>
  <c r="F2541" i="2"/>
  <c r="C2541" i="2"/>
  <c r="B2541" i="2"/>
  <c r="F2540" i="2"/>
  <c r="C2540" i="2"/>
  <c r="B2540" i="2"/>
  <c r="F2539" i="2"/>
  <c r="C2539" i="2"/>
  <c r="B2539" i="2"/>
  <c r="F2538" i="2"/>
  <c r="C2538" i="2"/>
  <c r="B2538" i="2"/>
  <c r="F2537" i="2"/>
  <c r="C2537" i="2"/>
  <c r="B2537" i="2"/>
  <c r="F2536" i="2"/>
  <c r="C2536" i="2"/>
  <c r="B2536" i="2"/>
  <c r="F2535" i="2"/>
  <c r="C2535" i="2"/>
  <c r="B2535" i="2"/>
  <c r="F2534" i="2"/>
  <c r="C2534" i="2"/>
  <c r="B2534" i="2"/>
  <c r="F2533" i="2"/>
  <c r="C2533" i="2"/>
  <c r="B2533" i="2"/>
  <c r="F2532" i="2"/>
  <c r="C2532" i="2"/>
  <c r="B2532" i="2"/>
  <c r="F2531" i="2"/>
  <c r="C2531" i="2"/>
  <c r="B2531" i="2"/>
  <c r="F2530" i="2"/>
  <c r="C2530" i="2"/>
  <c r="B2530" i="2"/>
  <c r="F2529" i="2"/>
  <c r="C2529" i="2"/>
  <c r="B2529" i="2"/>
  <c r="F2528" i="2"/>
  <c r="C2528" i="2"/>
  <c r="B2528" i="2"/>
  <c r="F2527" i="2"/>
  <c r="C2527" i="2"/>
  <c r="B2527" i="2"/>
  <c r="F2526" i="2"/>
  <c r="C2526" i="2"/>
  <c r="B2526" i="2"/>
  <c r="F2525" i="2"/>
  <c r="C2525" i="2"/>
  <c r="B2525" i="2"/>
  <c r="F2524" i="2"/>
  <c r="C2524" i="2"/>
  <c r="B2524" i="2"/>
  <c r="F2523" i="2"/>
  <c r="C2523" i="2"/>
  <c r="B2523" i="2"/>
  <c r="F2522" i="2"/>
  <c r="C2522" i="2"/>
  <c r="B2522" i="2"/>
  <c r="F2521" i="2"/>
  <c r="C2521" i="2"/>
  <c r="B2521" i="2"/>
  <c r="F2520" i="2"/>
  <c r="C2520" i="2"/>
  <c r="B2520" i="2"/>
  <c r="F2519" i="2"/>
  <c r="C2519" i="2"/>
  <c r="B2519" i="2"/>
  <c r="F2518" i="2"/>
  <c r="C2518" i="2"/>
  <c r="B2518" i="2"/>
  <c r="F2517" i="2"/>
  <c r="C2517" i="2"/>
  <c r="B2517" i="2"/>
  <c r="F2516" i="2"/>
  <c r="C2516" i="2"/>
  <c r="B2516" i="2"/>
  <c r="F2515" i="2"/>
  <c r="C2515" i="2"/>
  <c r="B2515" i="2"/>
  <c r="F2514" i="2"/>
  <c r="C2514" i="2"/>
  <c r="B2514" i="2"/>
  <c r="F2513" i="2"/>
  <c r="C2513" i="2"/>
  <c r="B2513" i="2"/>
  <c r="F2512" i="2"/>
  <c r="C2512" i="2"/>
  <c r="B2512" i="2"/>
  <c r="F2511" i="2"/>
  <c r="C2511" i="2"/>
  <c r="B2511" i="2"/>
  <c r="F2510" i="2"/>
  <c r="C2510" i="2"/>
  <c r="B2510" i="2"/>
  <c r="F2509" i="2"/>
  <c r="C2509" i="2"/>
  <c r="B2509" i="2"/>
  <c r="F2508" i="2"/>
  <c r="C2508" i="2"/>
  <c r="B2508" i="2"/>
  <c r="F2507" i="2"/>
  <c r="C2507" i="2"/>
  <c r="B2507" i="2"/>
  <c r="F2506" i="2"/>
  <c r="C2506" i="2"/>
  <c r="B2506" i="2"/>
  <c r="F2505" i="2"/>
  <c r="C2505" i="2"/>
  <c r="B2505" i="2"/>
  <c r="F2504" i="2"/>
  <c r="C2504" i="2"/>
  <c r="B2504" i="2"/>
  <c r="F2503" i="2"/>
  <c r="C2503" i="2"/>
  <c r="B2503" i="2"/>
  <c r="F2502" i="2"/>
  <c r="C2502" i="2"/>
  <c r="B2502" i="2"/>
  <c r="F2501" i="2"/>
  <c r="C2501" i="2"/>
  <c r="B2501" i="2"/>
  <c r="F2500" i="2"/>
  <c r="C2500" i="2"/>
  <c r="B2500" i="2"/>
  <c r="F2499" i="2"/>
  <c r="C2499" i="2"/>
  <c r="B2499" i="2"/>
  <c r="F2498" i="2"/>
  <c r="C2498" i="2"/>
  <c r="B2498" i="2"/>
  <c r="F2497" i="2"/>
  <c r="C2497" i="2"/>
  <c r="B2497" i="2"/>
  <c r="F2496" i="2"/>
  <c r="C2496" i="2"/>
  <c r="B2496" i="2"/>
  <c r="F2495" i="2"/>
  <c r="C2495" i="2"/>
  <c r="B2495" i="2"/>
  <c r="F2494" i="2"/>
  <c r="C2494" i="2"/>
  <c r="B2494" i="2"/>
  <c r="F2493" i="2"/>
  <c r="C2493" i="2"/>
  <c r="B2493" i="2"/>
  <c r="F2492" i="2"/>
  <c r="C2492" i="2"/>
  <c r="B2492" i="2"/>
  <c r="F2491" i="2"/>
  <c r="C2491" i="2"/>
  <c r="B2491" i="2"/>
  <c r="F2490" i="2"/>
  <c r="C2490" i="2"/>
  <c r="B2490" i="2"/>
  <c r="F2489" i="2"/>
  <c r="C2489" i="2"/>
  <c r="B2489" i="2"/>
  <c r="F2488" i="2"/>
  <c r="C2488" i="2"/>
  <c r="B2488" i="2"/>
  <c r="F2487" i="2"/>
  <c r="C2487" i="2"/>
  <c r="B2487" i="2"/>
  <c r="F2486" i="2"/>
  <c r="C2486" i="2"/>
  <c r="B2486" i="2"/>
  <c r="F2485" i="2"/>
  <c r="C2485" i="2"/>
  <c r="B2485" i="2"/>
  <c r="F2484" i="2"/>
  <c r="C2484" i="2"/>
  <c r="B2484" i="2"/>
  <c r="F2483" i="2"/>
  <c r="C2483" i="2"/>
  <c r="B2483" i="2"/>
  <c r="F2482" i="2"/>
  <c r="C2482" i="2"/>
  <c r="B2482" i="2"/>
  <c r="F2481" i="2"/>
  <c r="C2481" i="2"/>
  <c r="B2481" i="2"/>
  <c r="F2480" i="2"/>
  <c r="C2480" i="2"/>
  <c r="B2480" i="2"/>
  <c r="F2479" i="2"/>
  <c r="C2479" i="2"/>
  <c r="B2479" i="2"/>
  <c r="F2478" i="2"/>
  <c r="C2478" i="2"/>
  <c r="B2478" i="2"/>
  <c r="F2477" i="2"/>
  <c r="C2477" i="2"/>
  <c r="B2477" i="2"/>
  <c r="F2476" i="2"/>
  <c r="C2476" i="2"/>
  <c r="B2476" i="2"/>
  <c r="F2475" i="2"/>
  <c r="C2475" i="2"/>
  <c r="B2475" i="2"/>
  <c r="F2474" i="2"/>
  <c r="C2474" i="2"/>
  <c r="B2474" i="2"/>
  <c r="F2473" i="2"/>
  <c r="C2473" i="2"/>
  <c r="B2473" i="2"/>
  <c r="F2472" i="2"/>
  <c r="C2472" i="2"/>
  <c r="B2472" i="2"/>
  <c r="F2471" i="2"/>
  <c r="C2471" i="2"/>
  <c r="B2471" i="2"/>
  <c r="F2470" i="2"/>
  <c r="C2470" i="2"/>
  <c r="B2470" i="2"/>
  <c r="F2469" i="2"/>
  <c r="C2469" i="2"/>
  <c r="B2469" i="2"/>
  <c r="F2468" i="2"/>
  <c r="C2468" i="2"/>
  <c r="B2468" i="2"/>
  <c r="F2467" i="2"/>
  <c r="C2467" i="2"/>
  <c r="B2467" i="2"/>
  <c r="F2466" i="2"/>
  <c r="C2466" i="2"/>
  <c r="B2466" i="2"/>
  <c r="F2465" i="2"/>
  <c r="C2465" i="2"/>
  <c r="B2465" i="2"/>
  <c r="F2464" i="2"/>
  <c r="C2464" i="2"/>
  <c r="B2464" i="2"/>
  <c r="F2463" i="2"/>
  <c r="C2463" i="2"/>
  <c r="B2463" i="2"/>
  <c r="F2462" i="2"/>
  <c r="C2462" i="2"/>
  <c r="B2462" i="2"/>
  <c r="F2461" i="2"/>
  <c r="C2461" i="2"/>
  <c r="B2461" i="2"/>
  <c r="F2460" i="2"/>
  <c r="C2460" i="2"/>
  <c r="B2460" i="2"/>
  <c r="F2459" i="2"/>
  <c r="C2459" i="2"/>
  <c r="B2459" i="2"/>
  <c r="F2458" i="2"/>
  <c r="C2458" i="2"/>
  <c r="B2458" i="2"/>
  <c r="F2457" i="2"/>
  <c r="C2457" i="2"/>
  <c r="B2457" i="2"/>
  <c r="F2456" i="2"/>
  <c r="C2456" i="2"/>
  <c r="B2456" i="2"/>
  <c r="F2455" i="2"/>
  <c r="C2455" i="2"/>
  <c r="B2455" i="2"/>
  <c r="F2454" i="2"/>
  <c r="C2454" i="2"/>
  <c r="B2454" i="2"/>
  <c r="F2453" i="2"/>
  <c r="C2453" i="2"/>
  <c r="B2453" i="2"/>
  <c r="F2452" i="2"/>
  <c r="C2452" i="2"/>
  <c r="B2452" i="2"/>
  <c r="F2451" i="2"/>
  <c r="C2451" i="2"/>
  <c r="B2451" i="2"/>
  <c r="F2450" i="2"/>
  <c r="C2450" i="2"/>
  <c r="B2450" i="2"/>
  <c r="F2449" i="2"/>
  <c r="C2449" i="2"/>
  <c r="B2449" i="2"/>
  <c r="F2448" i="2"/>
  <c r="C2448" i="2"/>
  <c r="B2448" i="2"/>
  <c r="F2447" i="2"/>
  <c r="C2447" i="2"/>
  <c r="B2447" i="2"/>
  <c r="F2446" i="2"/>
  <c r="C2446" i="2"/>
  <c r="B2446" i="2"/>
  <c r="F2445" i="2"/>
  <c r="C2445" i="2"/>
  <c r="B2445" i="2"/>
  <c r="F2444" i="2"/>
  <c r="C2444" i="2"/>
  <c r="B2444" i="2"/>
  <c r="F2443" i="2"/>
  <c r="C2443" i="2"/>
  <c r="B2443" i="2"/>
  <c r="F2442" i="2"/>
  <c r="C2442" i="2"/>
  <c r="B2442" i="2"/>
  <c r="F2441" i="2"/>
  <c r="C2441" i="2"/>
  <c r="B2441" i="2"/>
  <c r="F2440" i="2"/>
  <c r="C2440" i="2"/>
  <c r="B2440" i="2"/>
  <c r="F2439" i="2"/>
  <c r="C2439" i="2"/>
  <c r="B2439" i="2"/>
  <c r="F2438" i="2"/>
  <c r="C2438" i="2"/>
  <c r="B2438" i="2"/>
  <c r="F2437" i="2"/>
  <c r="C2437" i="2"/>
  <c r="B2437" i="2"/>
  <c r="F2436" i="2"/>
  <c r="C2436" i="2"/>
  <c r="B2436" i="2"/>
  <c r="F2435" i="2"/>
  <c r="C2435" i="2"/>
  <c r="B2435" i="2"/>
  <c r="F2434" i="2"/>
  <c r="C2434" i="2"/>
  <c r="B2434" i="2"/>
  <c r="F2433" i="2"/>
  <c r="C2433" i="2"/>
  <c r="B2433" i="2"/>
  <c r="F2432" i="2"/>
  <c r="C2432" i="2"/>
  <c r="B2432" i="2"/>
  <c r="F2431" i="2"/>
  <c r="C2431" i="2"/>
  <c r="B2431" i="2"/>
  <c r="F2430" i="2"/>
  <c r="C2430" i="2"/>
  <c r="B2430" i="2"/>
  <c r="F2429" i="2"/>
  <c r="C2429" i="2"/>
  <c r="B2429" i="2"/>
  <c r="F2428" i="2"/>
  <c r="C2428" i="2"/>
  <c r="B2428" i="2"/>
  <c r="F2427" i="2"/>
  <c r="C2427" i="2"/>
  <c r="B2427" i="2"/>
  <c r="F2426" i="2"/>
  <c r="C2426" i="2"/>
  <c r="B2426" i="2"/>
  <c r="F2425" i="2"/>
  <c r="C2425" i="2"/>
  <c r="B2425" i="2"/>
  <c r="F2424" i="2"/>
  <c r="C2424" i="2"/>
  <c r="B2424" i="2"/>
  <c r="F2423" i="2"/>
  <c r="C2423" i="2"/>
  <c r="B2423" i="2"/>
  <c r="F2422" i="2"/>
  <c r="C2422" i="2"/>
  <c r="B2422" i="2"/>
  <c r="F2421" i="2"/>
  <c r="C2421" i="2"/>
  <c r="B2421" i="2"/>
  <c r="F2420" i="2"/>
  <c r="C2420" i="2"/>
  <c r="B2420" i="2"/>
  <c r="F2419" i="2"/>
  <c r="C2419" i="2"/>
  <c r="B2419" i="2"/>
  <c r="F2418" i="2"/>
  <c r="C2418" i="2"/>
  <c r="B2418" i="2"/>
  <c r="F2417" i="2"/>
  <c r="C2417" i="2"/>
  <c r="B2417" i="2"/>
  <c r="F2416" i="2"/>
  <c r="C2416" i="2"/>
  <c r="B2416" i="2"/>
  <c r="F2415" i="2"/>
  <c r="C2415" i="2"/>
  <c r="B2415" i="2"/>
  <c r="F2414" i="2"/>
  <c r="C2414" i="2"/>
  <c r="B2414" i="2"/>
  <c r="F2413" i="2"/>
  <c r="C2413" i="2"/>
  <c r="B2413" i="2"/>
  <c r="F2412" i="2"/>
  <c r="C2412" i="2"/>
  <c r="B2412" i="2"/>
  <c r="F2411" i="2"/>
  <c r="C2411" i="2"/>
  <c r="B2411" i="2"/>
  <c r="F2410" i="2"/>
  <c r="C2410" i="2"/>
  <c r="B2410" i="2"/>
  <c r="F2409" i="2"/>
  <c r="C2409" i="2"/>
  <c r="B2409" i="2"/>
  <c r="F2408" i="2"/>
  <c r="C2408" i="2"/>
  <c r="B2408" i="2"/>
  <c r="F2407" i="2"/>
  <c r="C2407" i="2"/>
  <c r="B2407" i="2"/>
  <c r="F2406" i="2"/>
  <c r="C2406" i="2"/>
  <c r="B2406" i="2"/>
  <c r="F2405" i="2"/>
  <c r="C2405" i="2"/>
  <c r="B2405" i="2"/>
  <c r="F2404" i="2"/>
  <c r="C2404" i="2"/>
  <c r="B2404" i="2"/>
  <c r="F2403" i="2"/>
  <c r="C2403" i="2"/>
  <c r="B2403" i="2"/>
  <c r="F2402" i="2"/>
  <c r="C2402" i="2"/>
  <c r="B2402" i="2"/>
  <c r="F2401" i="2"/>
  <c r="C2401" i="2"/>
  <c r="B2401" i="2"/>
  <c r="F2400" i="2"/>
  <c r="C2400" i="2"/>
  <c r="B2400" i="2"/>
  <c r="F2399" i="2"/>
  <c r="C2399" i="2"/>
  <c r="B2399" i="2"/>
  <c r="F2398" i="2"/>
  <c r="C2398" i="2"/>
  <c r="B2398" i="2"/>
  <c r="F2397" i="2"/>
  <c r="C2397" i="2"/>
  <c r="B2397" i="2"/>
  <c r="F2396" i="2"/>
  <c r="C2396" i="2"/>
  <c r="B2396" i="2"/>
  <c r="F2395" i="2"/>
  <c r="C2395" i="2"/>
  <c r="B2395" i="2"/>
  <c r="F2394" i="2"/>
  <c r="C2394" i="2"/>
  <c r="B2394" i="2"/>
  <c r="F2393" i="2"/>
  <c r="C2393" i="2"/>
  <c r="B2393" i="2"/>
  <c r="F2392" i="2"/>
  <c r="C2392" i="2"/>
  <c r="B2392" i="2"/>
  <c r="F2391" i="2"/>
  <c r="C2391" i="2"/>
  <c r="B2391" i="2"/>
  <c r="F2390" i="2"/>
  <c r="C2390" i="2"/>
  <c r="B2390" i="2"/>
  <c r="F2389" i="2"/>
  <c r="C2389" i="2"/>
  <c r="B2389" i="2"/>
  <c r="F2388" i="2"/>
  <c r="C2388" i="2"/>
  <c r="B2388" i="2"/>
  <c r="F2387" i="2"/>
  <c r="C2387" i="2"/>
  <c r="B2387" i="2"/>
  <c r="F2386" i="2"/>
  <c r="C2386" i="2"/>
  <c r="B2386" i="2"/>
  <c r="F2385" i="2"/>
  <c r="C2385" i="2"/>
  <c r="B2385" i="2"/>
  <c r="F2384" i="2"/>
  <c r="C2384" i="2"/>
  <c r="B2384" i="2"/>
  <c r="F2383" i="2"/>
  <c r="C2383" i="2"/>
  <c r="B2383" i="2"/>
  <c r="F2382" i="2"/>
  <c r="C2382" i="2"/>
  <c r="B2382" i="2"/>
  <c r="F2381" i="2"/>
  <c r="C2381" i="2"/>
  <c r="B2381" i="2"/>
  <c r="F2380" i="2"/>
  <c r="C2380" i="2"/>
  <c r="B2380" i="2"/>
  <c r="F2379" i="2"/>
  <c r="C2379" i="2"/>
  <c r="B2379" i="2"/>
  <c r="F2378" i="2"/>
  <c r="C2378" i="2"/>
  <c r="B2378" i="2"/>
  <c r="F2377" i="2"/>
  <c r="C2377" i="2"/>
  <c r="B2377" i="2"/>
  <c r="F2376" i="2"/>
  <c r="C2376" i="2"/>
  <c r="B2376" i="2"/>
  <c r="F2375" i="2"/>
  <c r="C2375" i="2"/>
  <c r="B2375" i="2"/>
  <c r="F2374" i="2"/>
  <c r="C2374" i="2"/>
  <c r="B2374" i="2"/>
  <c r="F2373" i="2"/>
  <c r="C2373" i="2"/>
  <c r="B2373" i="2"/>
  <c r="F2372" i="2"/>
  <c r="C2372" i="2"/>
  <c r="B2372" i="2"/>
  <c r="F2371" i="2"/>
  <c r="C2371" i="2"/>
  <c r="B2371" i="2"/>
  <c r="F2370" i="2"/>
  <c r="C2370" i="2"/>
  <c r="B2370" i="2"/>
  <c r="F2369" i="2"/>
  <c r="C2369" i="2"/>
  <c r="B2369" i="2"/>
  <c r="F2368" i="2"/>
  <c r="C2368" i="2"/>
  <c r="B2368" i="2"/>
  <c r="F2367" i="2"/>
  <c r="C2367" i="2"/>
  <c r="B2367" i="2"/>
  <c r="F2366" i="2"/>
  <c r="C2366" i="2"/>
  <c r="B2366" i="2"/>
  <c r="F2365" i="2"/>
  <c r="C2365" i="2"/>
  <c r="B2365" i="2"/>
  <c r="F2364" i="2"/>
  <c r="C2364" i="2"/>
  <c r="B2364" i="2"/>
  <c r="F2363" i="2"/>
  <c r="C2363" i="2"/>
  <c r="B2363" i="2"/>
  <c r="F2362" i="2"/>
  <c r="C2362" i="2"/>
  <c r="B2362" i="2"/>
  <c r="F2361" i="2"/>
  <c r="C2361" i="2"/>
  <c r="B2361" i="2"/>
  <c r="F2360" i="2"/>
  <c r="C2360" i="2"/>
  <c r="B2360" i="2"/>
  <c r="F2359" i="2"/>
  <c r="C2359" i="2"/>
  <c r="B2359" i="2"/>
  <c r="F2358" i="2"/>
  <c r="C2358" i="2"/>
  <c r="B2358" i="2"/>
  <c r="F2357" i="2"/>
  <c r="C2357" i="2"/>
  <c r="B2357" i="2"/>
  <c r="F2356" i="2"/>
  <c r="C2356" i="2"/>
  <c r="B2356" i="2"/>
  <c r="F2355" i="2"/>
  <c r="C2355" i="2"/>
  <c r="B2355" i="2"/>
  <c r="F2354" i="2"/>
  <c r="C2354" i="2"/>
  <c r="B2354" i="2"/>
  <c r="F2353" i="2"/>
  <c r="C2353" i="2"/>
  <c r="B2353" i="2"/>
  <c r="F2352" i="2"/>
  <c r="C2352" i="2"/>
  <c r="B2352" i="2"/>
  <c r="F2351" i="2"/>
  <c r="C2351" i="2"/>
  <c r="B2351" i="2"/>
  <c r="F2350" i="2"/>
  <c r="C2350" i="2"/>
  <c r="B2350" i="2"/>
  <c r="F2349" i="2"/>
  <c r="C2349" i="2"/>
  <c r="B2349" i="2"/>
  <c r="F2348" i="2"/>
  <c r="C2348" i="2"/>
  <c r="B2348" i="2"/>
  <c r="F2347" i="2"/>
  <c r="C2347" i="2"/>
  <c r="B2347" i="2"/>
  <c r="F2346" i="2"/>
  <c r="C2346" i="2"/>
  <c r="B2346" i="2"/>
  <c r="F2345" i="2"/>
  <c r="C2345" i="2"/>
  <c r="B2345" i="2"/>
  <c r="F2344" i="2"/>
  <c r="C2344" i="2"/>
  <c r="B2344" i="2"/>
  <c r="F2343" i="2"/>
  <c r="C2343" i="2"/>
  <c r="B2343" i="2"/>
  <c r="F2342" i="2"/>
  <c r="C2342" i="2"/>
  <c r="B2342" i="2"/>
  <c r="F2341" i="2"/>
  <c r="C2341" i="2"/>
  <c r="B2341" i="2"/>
  <c r="F2340" i="2"/>
  <c r="C2340" i="2"/>
  <c r="B2340" i="2"/>
  <c r="F2339" i="2"/>
  <c r="C2339" i="2"/>
  <c r="B2339" i="2"/>
  <c r="F2338" i="2"/>
  <c r="C2338" i="2"/>
  <c r="B2338" i="2"/>
  <c r="F2337" i="2"/>
  <c r="C2337" i="2"/>
  <c r="B2337" i="2"/>
  <c r="F2336" i="2"/>
  <c r="C2336" i="2"/>
  <c r="B2336" i="2"/>
  <c r="F2335" i="2"/>
  <c r="C2335" i="2"/>
  <c r="B2335" i="2"/>
  <c r="F2334" i="2"/>
  <c r="C2334" i="2"/>
  <c r="B2334" i="2"/>
  <c r="F2333" i="2"/>
  <c r="C2333" i="2"/>
  <c r="B2333" i="2"/>
  <c r="F2332" i="2"/>
  <c r="C2332" i="2"/>
  <c r="B2332" i="2"/>
  <c r="F2331" i="2"/>
  <c r="C2331" i="2"/>
  <c r="B2331" i="2"/>
  <c r="F2330" i="2"/>
  <c r="C2330" i="2"/>
  <c r="B2330" i="2"/>
  <c r="F2329" i="2"/>
  <c r="C2329" i="2"/>
  <c r="B2329" i="2"/>
  <c r="F2328" i="2"/>
  <c r="C2328" i="2"/>
  <c r="B2328" i="2"/>
  <c r="F2327" i="2"/>
  <c r="C2327" i="2"/>
  <c r="B2327" i="2"/>
  <c r="F2326" i="2"/>
  <c r="C2326" i="2"/>
  <c r="B2326" i="2"/>
  <c r="F2325" i="2"/>
  <c r="C2325" i="2"/>
  <c r="B2325" i="2"/>
  <c r="F2324" i="2"/>
  <c r="C2324" i="2"/>
  <c r="B2324" i="2"/>
  <c r="F2323" i="2"/>
  <c r="C2323" i="2"/>
  <c r="B2323" i="2"/>
  <c r="F2322" i="2"/>
  <c r="C2322" i="2"/>
  <c r="B2322" i="2"/>
  <c r="F2321" i="2"/>
  <c r="C2321" i="2"/>
  <c r="B2321" i="2"/>
  <c r="F2320" i="2"/>
  <c r="C2320" i="2"/>
  <c r="B2320" i="2"/>
  <c r="F2319" i="2"/>
  <c r="C2319" i="2"/>
  <c r="B2319" i="2"/>
  <c r="F2318" i="2"/>
  <c r="C2318" i="2"/>
  <c r="B2318" i="2"/>
  <c r="F2317" i="2"/>
  <c r="C2317" i="2"/>
  <c r="B2317" i="2"/>
  <c r="F2316" i="2"/>
  <c r="C2316" i="2"/>
  <c r="B2316" i="2"/>
  <c r="F2315" i="2"/>
  <c r="C2315" i="2"/>
  <c r="B2315" i="2"/>
  <c r="F2314" i="2"/>
  <c r="C2314" i="2"/>
  <c r="B2314" i="2"/>
  <c r="F2313" i="2"/>
  <c r="C2313" i="2"/>
  <c r="B2313" i="2"/>
  <c r="F2312" i="2"/>
  <c r="C2312" i="2"/>
  <c r="B2312" i="2"/>
  <c r="F2311" i="2"/>
  <c r="C2311" i="2"/>
  <c r="B2311" i="2"/>
  <c r="F2310" i="2"/>
  <c r="C2310" i="2"/>
  <c r="B2310" i="2"/>
  <c r="F2309" i="2"/>
  <c r="C2309" i="2"/>
  <c r="B2309" i="2"/>
  <c r="F2308" i="2"/>
  <c r="C2308" i="2"/>
  <c r="B2308" i="2"/>
  <c r="F2307" i="2"/>
  <c r="C2307" i="2"/>
  <c r="B2307" i="2"/>
  <c r="F2306" i="2"/>
  <c r="C2306" i="2"/>
  <c r="B2306" i="2"/>
  <c r="F2305" i="2"/>
  <c r="C2305" i="2"/>
  <c r="B2305" i="2"/>
  <c r="F2304" i="2"/>
  <c r="C2304" i="2"/>
  <c r="B2304" i="2"/>
  <c r="F2303" i="2"/>
  <c r="C2303" i="2"/>
  <c r="B2303" i="2"/>
  <c r="F2302" i="2"/>
  <c r="C2302" i="2"/>
  <c r="B2302" i="2"/>
  <c r="F2301" i="2"/>
  <c r="C2301" i="2"/>
  <c r="B2301" i="2"/>
  <c r="F2300" i="2"/>
  <c r="C2300" i="2"/>
  <c r="B2300" i="2"/>
  <c r="F2299" i="2"/>
  <c r="C2299" i="2"/>
  <c r="B2299" i="2"/>
  <c r="F2298" i="2"/>
  <c r="C2298" i="2"/>
  <c r="B2298" i="2"/>
  <c r="F2297" i="2"/>
  <c r="C2297" i="2"/>
  <c r="B2297" i="2"/>
  <c r="F2296" i="2"/>
  <c r="C2296" i="2"/>
  <c r="B2296" i="2"/>
  <c r="F2295" i="2"/>
  <c r="C2295" i="2"/>
  <c r="B2295" i="2"/>
  <c r="F2294" i="2"/>
  <c r="C2294" i="2"/>
  <c r="B2294" i="2"/>
  <c r="F2293" i="2"/>
  <c r="C2293" i="2"/>
  <c r="B2293" i="2"/>
  <c r="F2292" i="2"/>
  <c r="C2292" i="2"/>
  <c r="B2292" i="2"/>
  <c r="F2291" i="2"/>
  <c r="C2291" i="2"/>
  <c r="B2291" i="2"/>
  <c r="F2290" i="2"/>
  <c r="C2290" i="2"/>
  <c r="B2290" i="2"/>
  <c r="F2289" i="2"/>
  <c r="C2289" i="2"/>
  <c r="B2289" i="2"/>
  <c r="F2288" i="2"/>
  <c r="C2288" i="2"/>
  <c r="B2288" i="2"/>
  <c r="F2287" i="2"/>
  <c r="C2287" i="2"/>
  <c r="B2287" i="2"/>
  <c r="F2286" i="2"/>
  <c r="C2286" i="2"/>
  <c r="B2286" i="2"/>
  <c r="F2285" i="2"/>
  <c r="C2285" i="2"/>
  <c r="B2285" i="2"/>
  <c r="F2284" i="2"/>
  <c r="C2284" i="2"/>
  <c r="B2284" i="2"/>
  <c r="F2283" i="2"/>
  <c r="C2283" i="2"/>
  <c r="B2283" i="2"/>
  <c r="F2282" i="2"/>
  <c r="C2282" i="2"/>
  <c r="B2282" i="2"/>
  <c r="F2281" i="2"/>
  <c r="C2281" i="2"/>
  <c r="B2281" i="2"/>
  <c r="F2280" i="2"/>
  <c r="C2280" i="2"/>
  <c r="B2280" i="2"/>
  <c r="F2279" i="2"/>
  <c r="C2279" i="2"/>
  <c r="B2279" i="2"/>
  <c r="F2278" i="2"/>
  <c r="C2278" i="2"/>
  <c r="B2278" i="2"/>
  <c r="F2277" i="2"/>
  <c r="C2277" i="2"/>
  <c r="B2277" i="2"/>
  <c r="F2276" i="2"/>
  <c r="C2276" i="2"/>
  <c r="B2276" i="2"/>
  <c r="F2275" i="2"/>
  <c r="C2275" i="2"/>
  <c r="B2275" i="2"/>
  <c r="F2274" i="2"/>
  <c r="C2274" i="2"/>
  <c r="B2274" i="2"/>
  <c r="F2273" i="2"/>
  <c r="C2273" i="2"/>
  <c r="B2273" i="2"/>
  <c r="F2272" i="2"/>
  <c r="C2272" i="2"/>
  <c r="B2272" i="2"/>
  <c r="F2271" i="2"/>
  <c r="C2271" i="2"/>
  <c r="B2271" i="2"/>
  <c r="F2270" i="2"/>
  <c r="C2270" i="2"/>
  <c r="B2270" i="2"/>
  <c r="F2269" i="2"/>
  <c r="C2269" i="2"/>
  <c r="B2269" i="2"/>
  <c r="F2268" i="2"/>
  <c r="C2268" i="2"/>
  <c r="B2268" i="2"/>
  <c r="F2267" i="2"/>
  <c r="C2267" i="2"/>
  <c r="B2267" i="2"/>
  <c r="F2266" i="2"/>
  <c r="C2266" i="2"/>
  <c r="B2266" i="2"/>
  <c r="F2265" i="2"/>
  <c r="C2265" i="2"/>
  <c r="B2265" i="2"/>
  <c r="F2264" i="2"/>
  <c r="C2264" i="2"/>
  <c r="B2264" i="2"/>
  <c r="F2263" i="2"/>
  <c r="C2263" i="2"/>
  <c r="B2263" i="2"/>
  <c r="F2262" i="2"/>
  <c r="C2262" i="2"/>
  <c r="B2262" i="2"/>
  <c r="F2261" i="2"/>
  <c r="C2261" i="2"/>
  <c r="B2261" i="2"/>
  <c r="F2260" i="2"/>
  <c r="C2260" i="2"/>
  <c r="B2260" i="2"/>
  <c r="F2259" i="2"/>
  <c r="C2259" i="2"/>
  <c r="B2259" i="2"/>
  <c r="F2258" i="2"/>
  <c r="C2258" i="2"/>
  <c r="B2258" i="2"/>
  <c r="F2257" i="2"/>
  <c r="C2257" i="2"/>
  <c r="B2257" i="2"/>
  <c r="F2256" i="2"/>
  <c r="C2256" i="2"/>
  <c r="B2256" i="2"/>
  <c r="F2255" i="2"/>
  <c r="C2255" i="2"/>
  <c r="B2255" i="2"/>
  <c r="F2254" i="2"/>
  <c r="C2254" i="2"/>
  <c r="B2254" i="2"/>
  <c r="F2253" i="2"/>
  <c r="C2253" i="2"/>
  <c r="B2253" i="2"/>
  <c r="F2252" i="2"/>
  <c r="C2252" i="2"/>
  <c r="B2252" i="2"/>
  <c r="F2251" i="2"/>
  <c r="C2251" i="2"/>
  <c r="B2251" i="2"/>
  <c r="F2250" i="2"/>
  <c r="C2250" i="2"/>
  <c r="B2250" i="2"/>
  <c r="F2249" i="2"/>
  <c r="C2249" i="2"/>
  <c r="B2249" i="2"/>
  <c r="F2248" i="2"/>
  <c r="C2248" i="2"/>
  <c r="B2248" i="2"/>
  <c r="F2247" i="2"/>
  <c r="C2247" i="2"/>
  <c r="B2247" i="2"/>
  <c r="F2246" i="2"/>
  <c r="C2246" i="2"/>
  <c r="B2246" i="2"/>
  <c r="F2245" i="2"/>
  <c r="C2245" i="2"/>
  <c r="B2245" i="2"/>
  <c r="F2244" i="2"/>
  <c r="C2244" i="2"/>
  <c r="B2244" i="2"/>
  <c r="F2243" i="2"/>
  <c r="C2243" i="2"/>
  <c r="B2243" i="2"/>
  <c r="F2242" i="2"/>
  <c r="C2242" i="2"/>
  <c r="B2242" i="2"/>
  <c r="F2241" i="2"/>
  <c r="C2241" i="2"/>
  <c r="B2241" i="2"/>
  <c r="F2240" i="2"/>
  <c r="C2240" i="2"/>
  <c r="B2240" i="2"/>
  <c r="F2239" i="2"/>
  <c r="C2239" i="2"/>
  <c r="B2239" i="2"/>
  <c r="F2238" i="2"/>
  <c r="C2238" i="2"/>
  <c r="B2238" i="2"/>
  <c r="F2237" i="2"/>
  <c r="C2237" i="2"/>
  <c r="B2237" i="2"/>
  <c r="F2236" i="2"/>
  <c r="C2236" i="2"/>
  <c r="B2236" i="2"/>
  <c r="F2235" i="2"/>
  <c r="C2235" i="2"/>
  <c r="B2235" i="2"/>
  <c r="F2234" i="2"/>
  <c r="C2234" i="2"/>
  <c r="B2234" i="2"/>
  <c r="F2233" i="2"/>
  <c r="C2233" i="2"/>
  <c r="B2233" i="2"/>
  <c r="F2232" i="2"/>
  <c r="C2232" i="2"/>
  <c r="B2232" i="2"/>
  <c r="F2231" i="2"/>
  <c r="C2231" i="2"/>
  <c r="B2231" i="2"/>
  <c r="F2230" i="2"/>
  <c r="C2230" i="2"/>
  <c r="B2230" i="2"/>
  <c r="F2229" i="2"/>
  <c r="C2229" i="2"/>
  <c r="B2229" i="2"/>
  <c r="F2228" i="2"/>
  <c r="C2228" i="2"/>
  <c r="B2228" i="2"/>
  <c r="F2227" i="2"/>
  <c r="C2227" i="2"/>
  <c r="B2227" i="2"/>
  <c r="F2226" i="2"/>
  <c r="C2226" i="2"/>
  <c r="B2226" i="2"/>
  <c r="F2225" i="2"/>
  <c r="C2225" i="2"/>
  <c r="B2225" i="2"/>
  <c r="F2224" i="2"/>
  <c r="C2224" i="2"/>
  <c r="B2224" i="2"/>
  <c r="F2223" i="2"/>
  <c r="C2223" i="2"/>
  <c r="B2223" i="2"/>
  <c r="F2222" i="2"/>
  <c r="C2222" i="2"/>
  <c r="B2222" i="2"/>
  <c r="F2221" i="2"/>
  <c r="C2221" i="2"/>
  <c r="B2221" i="2"/>
  <c r="F2220" i="2"/>
  <c r="C2220" i="2"/>
  <c r="B2220" i="2"/>
  <c r="F2219" i="2"/>
  <c r="C2219" i="2"/>
  <c r="B2219" i="2"/>
  <c r="F2218" i="2"/>
  <c r="C2218" i="2"/>
  <c r="B2218" i="2"/>
  <c r="F2217" i="2"/>
  <c r="C2217" i="2"/>
  <c r="B2217" i="2"/>
  <c r="F2216" i="2"/>
  <c r="C2216" i="2"/>
  <c r="B2216" i="2"/>
  <c r="F2215" i="2"/>
  <c r="C2215" i="2"/>
  <c r="B2215" i="2"/>
  <c r="F2214" i="2"/>
  <c r="C2214" i="2"/>
  <c r="B2214" i="2"/>
  <c r="F2213" i="2"/>
  <c r="C2213" i="2"/>
  <c r="B2213" i="2"/>
  <c r="F2212" i="2"/>
  <c r="C2212" i="2"/>
  <c r="B2212" i="2"/>
  <c r="F2211" i="2"/>
  <c r="C2211" i="2"/>
  <c r="B2211" i="2"/>
  <c r="F2210" i="2"/>
  <c r="C2210" i="2"/>
  <c r="B2210" i="2"/>
  <c r="F2209" i="2"/>
  <c r="C2209" i="2"/>
  <c r="B2209" i="2"/>
  <c r="F2208" i="2"/>
  <c r="C2208" i="2"/>
  <c r="B2208" i="2"/>
  <c r="F2207" i="2"/>
  <c r="C2207" i="2"/>
  <c r="B2207" i="2"/>
  <c r="F2206" i="2"/>
  <c r="C2206" i="2"/>
  <c r="B2206" i="2"/>
  <c r="F2205" i="2"/>
  <c r="C2205" i="2"/>
  <c r="B2205" i="2"/>
  <c r="F2204" i="2"/>
  <c r="C2204" i="2"/>
  <c r="B2204" i="2"/>
  <c r="F2203" i="2"/>
  <c r="C2203" i="2"/>
  <c r="B2203" i="2"/>
  <c r="F2202" i="2"/>
  <c r="C2202" i="2"/>
  <c r="B2202" i="2"/>
  <c r="F2201" i="2"/>
  <c r="C2201" i="2"/>
  <c r="B2201" i="2"/>
  <c r="F2200" i="2"/>
  <c r="C2200" i="2"/>
  <c r="B2200" i="2"/>
  <c r="F2199" i="2"/>
  <c r="C2199" i="2"/>
  <c r="B2199" i="2"/>
  <c r="F2198" i="2"/>
  <c r="C2198" i="2"/>
  <c r="B2198" i="2"/>
  <c r="F2197" i="2"/>
  <c r="C2197" i="2"/>
  <c r="B2197" i="2"/>
  <c r="F2196" i="2"/>
  <c r="C2196" i="2"/>
  <c r="B2196" i="2"/>
  <c r="F2195" i="2"/>
  <c r="C2195" i="2"/>
  <c r="B2195" i="2"/>
  <c r="F2194" i="2"/>
  <c r="C2194" i="2"/>
  <c r="B2194" i="2"/>
  <c r="F2193" i="2"/>
  <c r="C2193" i="2"/>
  <c r="B2193" i="2"/>
  <c r="F2192" i="2"/>
  <c r="C2192" i="2"/>
  <c r="B2192" i="2"/>
  <c r="F2191" i="2"/>
  <c r="C2191" i="2"/>
  <c r="B2191" i="2"/>
  <c r="F2190" i="2"/>
  <c r="C2190" i="2"/>
  <c r="B2190" i="2"/>
  <c r="F2189" i="2"/>
  <c r="C2189" i="2"/>
  <c r="B2189" i="2"/>
  <c r="F2188" i="2"/>
  <c r="C2188" i="2"/>
  <c r="B2188" i="2"/>
  <c r="F2187" i="2"/>
  <c r="C2187" i="2"/>
  <c r="B2187" i="2"/>
  <c r="F2186" i="2"/>
  <c r="C2186" i="2"/>
  <c r="B2186" i="2"/>
  <c r="F2185" i="2"/>
  <c r="C2185" i="2"/>
  <c r="B2185" i="2"/>
  <c r="F2184" i="2"/>
  <c r="C2184" i="2"/>
  <c r="B2184" i="2"/>
  <c r="F2183" i="2"/>
  <c r="C2183" i="2"/>
  <c r="B2183" i="2"/>
  <c r="F2182" i="2"/>
  <c r="C2182" i="2"/>
  <c r="B2182" i="2"/>
  <c r="F2181" i="2"/>
  <c r="C2181" i="2"/>
  <c r="B2181" i="2"/>
  <c r="F2180" i="2"/>
  <c r="C2180" i="2"/>
  <c r="B2180" i="2"/>
  <c r="F2179" i="2"/>
  <c r="C2179" i="2"/>
  <c r="B2179" i="2"/>
  <c r="F2178" i="2"/>
  <c r="C2178" i="2"/>
  <c r="B2178" i="2"/>
  <c r="F2177" i="2"/>
  <c r="C2177" i="2"/>
  <c r="B2177" i="2"/>
  <c r="F2176" i="2"/>
  <c r="C2176" i="2"/>
  <c r="B2176" i="2"/>
  <c r="F2175" i="2"/>
  <c r="C2175" i="2"/>
  <c r="B2175" i="2"/>
  <c r="F2174" i="2"/>
  <c r="C2174" i="2"/>
  <c r="B2174" i="2"/>
  <c r="F2173" i="2"/>
  <c r="C2173" i="2"/>
  <c r="B2173" i="2"/>
  <c r="F2172" i="2"/>
  <c r="C2172" i="2"/>
  <c r="B2172" i="2"/>
  <c r="F2171" i="2"/>
  <c r="C2171" i="2"/>
  <c r="B2171" i="2"/>
  <c r="F2170" i="2"/>
  <c r="C2170" i="2"/>
  <c r="B2170" i="2"/>
  <c r="F2169" i="2"/>
  <c r="C2169" i="2"/>
  <c r="B2169" i="2"/>
  <c r="F2168" i="2"/>
  <c r="C2168" i="2"/>
  <c r="B2168" i="2"/>
  <c r="F2167" i="2"/>
  <c r="C2167" i="2"/>
  <c r="B2167" i="2"/>
  <c r="F2166" i="2"/>
  <c r="C2166" i="2"/>
  <c r="B2166" i="2"/>
  <c r="F2165" i="2"/>
  <c r="C2165" i="2"/>
  <c r="B2165" i="2"/>
  <c r="F2164" i="2"/>
  <c r="C2164" i="2"/>
  <c r="B2164" i="2"/>
  <c r="F2163" i="2"/>
  <c r="C2163" i="2"/>
  <c r="B2163" i="2"/>
  <c r="F2162" i="2"/>
  <c r="C2162" i="2"/>
  <c r="B2162" i="2"/>
  <c r="F2161" i="2"/>
  <c r="C2161" i="2"/>
  <c r="B2161" i="2"/>
  <c r="F2160" i="2"/>
  <c r="C2160" i="2"/>
  <c r="B2160" i="2"/>
  <c r="F2159" i="2"/>
  <c r="C2159" i="2"/>
  <c r="B2159" i="2"/>
  <c r="F2158" i="2"/>
  <c r="C2158" i="2"/>
  <c r="B2158" i="2"/>
  <c r="F2157" i="2"/>
  <c r="C2157" i="2"/>
  <c r="B2157" i="2"/>
  <c r="F2156" i="2"/>
  <c r="C2156" i="2"/>
  <c r="B2156" i="2"/>
  <c r="F2155" i="2"/>
  <c r="C2155" i="2"/>
  <c r="B2155" i="2"/>
  <c r="F2154" i="2"/>
  <c r="C2154" i="2"/>
  <c r="B2154" i="2"/>
  <c r="F2153" i="2"/>
  <c r="C2153" i="2"/>
  <c r="B2153" i="2"/>
  <c r="F2152" i="2"/>
  <c r="C2152" i="2"/>
  <c r="B2152" i="2"/>
  <c r="F2151" i="2"/>
  <c r="C2151" i="2"/>
  <c r="B2151" i="2"/>
  <c r="F2150" i="2"/>
  <c r="C2150" i="2"/>
  <c r="B2150" i="2"/>
  <c r="F2149" i="2"/>
  <c r="C2149" i="2"/>
  <c r="B2149" i="2"/>
  <c r="F2148" i="2"/>
  <c r="C2148" i="2"/>
  <c r="B2148" i="2"/>
  <c r="F2147" i="2"/>
  <c r="C2147" i="2"/>
  <c r="B2147" i="2"/>
  <c r="F2146" i="2"/>
  <c r="C2146" i="2"/>
  <c r="B2146" i="2"/>
  <c r="F2145" i="2"/>
  <c r="C2145" i="2"/>
  <c r="B2145" i="2"/>
  <c r="F2144" i="2"/>
  <c r="C2144" i="2"/>
  <c r="B2144" i="2"/>
  <c r="F2143" i="2"/>
  <c r="C2143" i="2"/>
  <c r="B2143" i="2"/>
  <c r="F2142" i="2"/>
  <c r="C2142" i="2"/>
  <c r="B2142" i="2"/>
  <c r="F2141" i="2"/>
  <c r="C2141" i="2"/>
  <c r="B2141" i="2"/>
  <c r="F2140" i="2"/>
  <c r="C2140" i="2"/>
  <c r="B2140" i="2"/>
  <c r="F2139" i="2"/>
  <c r="C2139" i="2"/>
  <c r="B2139" i="2"/>
  <c r="F2138" i="2"/>
  <c r="C2138" i="2"/>
  <c r="B2138" i="2"/>
  <c r="F2137" i="2"/>
  <c r="C2137" i="2"/>
  <c r="B2137" i="2"/>
  <c r="F2136" i="2"/>
  <c r="C2136" i="2"/>
  <c r="B2136" i="2"/>
  <c r="F2135" i="2"/>
  <c r="C2135" i="2"/>
  <c r="B2135" i="2"/>
  <c r="F2134" i="2"/>
  <c r="C2134" i="2"/>
  <c r="B2134" i="2"/>
  <c r="F2133" i="2"/>
  <c r="C2133" i="2"/>
  <c r="B2133" i="2"/>
  <c r="F2132" i="2"/>
  <c r="C2132" i="2"/>
  <c r="B2132" i="2"/>
  <c r="F2131" i="2"/>
  <c r="C2131" i="2"/>
  <c r="B2131" i="2"/>
  <c r="F2130" i="2"/>
  <c r="C2130" i="2"/>
  <c r="B2130" i="2"/>
  <c r="F2129" i="2"/>
  <c r="C2129" i="2"/>
  <c r="B2129" i="2"/>
  <c r="F2128" i="2"/>
  <c r="C2128" i="2"/>
  <c r="B2128" i="2"/>
  <c r="F2127" i="2"/>
  <c r="C2127" i="2"/>
  <c r="B2127" i="2"/>
  <c r="F2126" i="2"/>
  <c r="C2126" i="2"/>
  <c r="B2126" i="2"/>
  <c r="F2125" i="2"/>
  <c r="C2125" i="2"/>
  <c r="B2125" i="2"/>
  <c r="F2124" i="2"/>
  <c r="C2124" i="2"/>
  <c r="B2124" i="2"/>
  <c r="F2123" i="2"/>
  <c r="C2123" i="2"/>
  <c r="B2123" i="2"/>
  <c r="F2122" i="2"/>
  <c r="C2122" i="2"/>
  <c r="B2122" i="2"/>
  <c r="F2121" i="2"/>
  <c r="C2121" i="2"/>
  <c r="B2121" i="2"/>
  <c r="F2120" i="2"/>
  <c r="C2120" i="2"/>
  <c r="B2120" i="2"/>
  <c r="F2119" i="2"/>
  <c r="C2119" i="2"/>
  <c r="B2119" i="2"/>
  <c r="F2118" i="2"/>
  <c r="C2118" i="2"/>
  <c r="B2118" i="2"/>
  <c r="F2117" i="2"/>
  <c r="C2117" i="2"/>
  <c r="B2117" i="2"/>
  <c r="F2116" i="2"/>
  <c r="C2116" i="2"/>
  <c r="B2116" i="2"/>
  <c r="F2115" i="2"/>
  <c r="C2115" i="2"/>
  <c r="B2115" i="2"/>
  <c r="F2114" i="2"/>
  <c r="C2114" i="2"/>
  <c r="B2114" i="2"/>
  <c r="F2113" i="2"/>
  <c r="C2113" i="2"/>
  <c r="B2113" i="2"/>
  <c r="F2112" i="2"/>
  <c r="C2112" i="2"/>
  <c r="B2112" i="2"/>
  <c r="F2111" i="2"/>
  <c r="C2111" i="2"/>
  <c r="B2111" i="2"/>
  <c r="F2110" i="2"/>
  <c r="C2110" i="2"/>
  <c r="B2110" i="2"/>
  <c r="F2109" i="2"/>
  <c r="C2109" i="2"/>
  <c r="B2109" i="2"/>
  <c r="F2108" i="2"/>
  <c r="C2108" i="2"/>
  <c r="B2108" i="2"/>
  <c r="F2107" i="2"/>
  <c r="C2107" i="2"/>
  <c r="B2107" i="2"/>
  <c r="F2106" i="2"/>
  <c r="C2106" i="2"/>
  <c r="B2106" i="2"/>
  <c r="F2105" i="2"/>
  <c r="C2105" i="2"/>
  <c r="B2105" i="2"/>
  <c r="F2104" i="2"/>
  <c r="C2104" i="2"/>
  <c r="B2104" i="2"/>
  <c r="F2103" i="2"/>
  <c r="C2103" i="2"/>
  <c r="B2103" i="2"/>
  <c r="F2102" i="2"/>
  <c r="C2102" i="2"/>
  <c r="B2102" i="2"/>
  <c r="F2101" i="2"/>
  <c r="C2101" i="2"/>
  <c r="B2101" i="2"/>
  <c r="F2100" i="2"/>
  <c r="C2100" i="2"/>
  <c r="B2100" i="2"/>
  <c r="F2099" i="2"/>
  <c r="C2099" i="2"/>
  <c r="B2099" i="2"/>
  <c r="F2098" i="2"/>
  <c r="C2098" i="2"/>
  <c r="B2098" i="2"/>
  <c r="F2097" i="2"/>
  <c r="C2097" i="2"/>
  <c r="B2097" i="2"/>
  <c r="F2096" i="2"/>
  <c r="C2096" i="2"/>
  <c r="B2096" i="2"/>
  <c r="F2095" i="2"/>
  <c r="C2095" i="2"/>
  <c r="B2095" i="2"/>
  <c r="F2094" i="2"/>
  <c r="C2094" i="2"/>
  <c r="B2094" i="2"/>
  <c r="F2093" i="2"/>
  <c r="C2093" i="2"/>
  <c r="B2093" i="2"/>
  <c r="F2092" i="2"/>
  <c r="C2092" i="2"/>
  <c r="B2092" i="2"/>
  <c r="F2091" i="2"/>
  <c r="C2091" i="2"/>
  <c r="B2091" i="2"/>
  <c r="F2090" i="2"/>
  <c r="C2090" i="2"/>
  <c r="B2090" i="2"/>
  <c r="F2089" i="2"/>
  <c r="C2089" i="2"/>
  <c r="B2089" i="2"/>
  <c r="F2088" i="2"/>
  <c r="C2088" i="2"/>
  <c r="B2088" i="2"/>
  <c r="F2087" i="2"/>
  <c r="C2087" i="2"/>
  <c r="B2087" i="2"/>
  <c r="F2086" i="2"/>
  <c r="C2086" i="2"/>
  <c r="B2086" i="2"/>
  <c r="F2085" i="2"/>
  <c r="C2085" i="2"/>
  <c r="B2085" i="2"/>
  <c r="F2084" i="2"/>
  <c r="C2084" i="2"/>
  <c r="B2084" i="2"/>
  <c r="F2083" i="2"/>
  <c r="C2083" i="2"/>
  <c r="B2083" i="2"/>
  <c r="F2082" i="2"/>
  <c r="C2082" i="2"/>
  <c r="B2082" i="2"/>
  <c r="F2081" i="2"/>
  <c r="C2081" i="2"/>
  <c r="B2081" i="2"/>
  <c r="F2080" i="2"/>
  <c r="C2080" i="2"/>
  <c r="B2080" i="2"/>
  <c r="F2079" i="2"/>
  <c r="C2079" i="2"/>
  <c r="B2079" i="2"/>
  <c r="F2078" i="2"/>
  <c r="C2078" i="2"/>
  <c r="B2078" i="2"/>
  <c r="F2077" i="2"/>
  <c r="C2077" i="2"/>
  <c r="B2077" i="2"/>
  <c r="F2076" i="2"/>
  <c r="C2076" i="2"/>
  <c r="B2076" i="2"/>
  <c r="F2075" i="2"/>
  <c r="C2075" i="2"/>
  <c r="B2075" i="2"/>
  <c r="F2074" i="2"/>
  <c r="C2074" i="2"/>
  <c r="B2074" i="2"/>
  <c r="F2073" i="2"/>
  <c r="C2073" i="2"/>
  <c r="B2073" i="2"/>
  <c r="F2072" i="2"/>
  <c r="C2072" i="2"/>
  <c r="B2072" i="2"/>
  <c r="F2071" i="2"/>
  <c r="C2071" i="2"/>
  <c r="B2071" i="2"/>
  <c r="F2070" i="2"/>
  <c r="C2070" i="2"/>
  <c r="B2070" i="2"/>
  <c r="F2069" i="2"/>
  <c r="C2069" i="2"/>
  <c r="B2069" i="2"/>
  <c r="F2068" i="2"/>
  <c r="C2068" i="2"/>
  <c r="B2068" i="2"/>
  <c r="F2067" i="2"/>
  <c r="C2067" i="2"/>
  <c r="B2067" i="2"/>
  <c r="F2066" i="2"/>
  <c r="C2066" i="2"/>
  <c r="B2066" i="2"/>
  <c r="F2065" i="2"/>
  <c r="C2065" i="2"/>
  <c r="B2065" i="2"/>
  <c r="F2064" i="2"/>
  <c r="C2064" i="2"/>
  <c r="B2064" i="2"/>
  <c r="F2063" i="2"/>
  <c r="C2063" i="2"/>
  <c r="B2063" i="2"/>
  <c r="F2062" i="2"/>
  <c r="C2062" i="2"/>
  <c r="B2062" i="2"/>
  <c r="F2061" i="2"/>
  <c r="C2061" i="2"/>
  <c r="B2061" i="2"/>
  <c r="F2060" i="2"/>
  <c r="C2060" i="2"/>
  <c r="B2060" i="2"/>
  <c r="F2059" i="2"/>
  <c r="C2059" i="2"/>
  <c r="B2059" i="2"/>
  <c r="F2058" i="2"/>
  <c r="C2058" i="2"/>
  <c r="B2058" i="2"/>
  <c r="F2057" i="2"/>
  <c r="C2057" i="2"/>
  <c r="B2057" i="2"/>
  <c r="F2056" i="2"/>
  <c r="C2056" i="2"/>
  <c r="B2056" i="2"/>
  <c r="F2055" i="2"/>
  <c r="C2055" i="2"/>
  <c r="B2055" i="2"/>
  <c r="F2054" i="2"/>
  <c r="C2054" i="2"/>
  <c r="B2054" i="2"/>
  <c r="F2053" i="2"/>
  <c r="C2053" i="2"/>
  <c r="B2053" i="2"/>
  <c r="F2052" i="2"/>
  <c r="C2052" i="2"/>
  <c r="B2052" i="2"/>
  <c r="F2051" i="2"/>
  <c r="C2051" i="2"/>
  <c r="B2051" i="2"/>
  <c r="F2050" i="2"/>
  <c r="C2050" i="2"/>
  <c r="B2050" i="2"/>
  <c r="F2049" i="2"/>
  <c r="C2049" i="2"/>
  <c r="B2049" i="2"/>
  <c r="F2048" i="2"/>
  <c r="C2048" i="2"/>
  <c r="B2048" i="2"/>
  <c r="F2047" i="2"/>
  <c r="C2047" i="2"/>
  <c r="B2047" i="2"/>
  <c r="F2046" i="2"/>
  <c r="C2046" i="2"/>
  <c r="B2046" i="2"/>
  <c r="F2045" i="2"/>
  <c r="C2045" i="2"/>
  <c r="B2045" i="2"/>
  <c r="F2044" i="2"/>
  <c r="C2044" i="2"/>
  <c r="B2044" i="2"/>
  <c r="F2043" i="2"/>
  <c r="C2043" i="2"/>
  <c r="B2043" i="2"/>
  <c r="F2042" i="2"/>
  <c r="C2042" i="2"/>
  <c r="B2042" i="2"/>
  <c r="F2041" i="2"/>
  <c r="C2041" i="2"/>
  <c r="B2041" i="2"/>
  <c r="F2040" i="2"/>
  <c r="C2040" i="2"/>
  <c r="B2040" i="2"/>
  <c r="F2039" i="2"/>
  <c r="C2039" i="2"/>
  <c r="B2039" i="2"/>
  <c r="F2038" i="2"/>
  <c r="C2038" i="2"/>
  <c r="B2038" i="2"/>
  <c r="F2037" i="2"/>
  <c r="C2037" i="2"/>
  <c r="B2037" i="2"/>
  <c r="F2036" i="2"/>
  <c r="C2036" i="2"/>
  <c r="B2036" i="2"/>
  <c r="F2035" i="2"/>
  <c r="C2035" i="2"/>
  <c r="B2035" i="2"/>
  <c r="F2034" i="2"/>
  <c r="C2034" i="2"/>
  <c r="B2034" i="2"/>
  <c r="F2033" i="2"/>
  <c r="C2033" i="2"/>
  <c r="B2033" i="2"/>
  <c r="F2032" i="2"/>
  <c r="C2032" i="2"/>
  <c r="B2032" i="2"/>
  <c r="F2031" i="2"/>
  <c r="C2031" i="2"/>
  <c r="B2031" i="2"/>
  <c r="F2030" i="2"/>
  <c r="C2030" i="2"/>
  <c r="B2030" i="2"/>
  <c r="F2029" i="2"/>
  <c r="C2029" i="2"/>
  <c r="B2029" i="2"/>
  <c r="F2028" i="2"/>
  <c r="C2028" i="2"/>
  <c r="B2028" i="2"/>
  <c r="F2027" i="2"/>
  <c r="C2027" i="2"/>
  <c r="B2027" i="2"/>
  <c r="F2026" i="2"/>
  <c r="C2026" i="2"/>
  <c r="B2026" i="2"/>
  <c r="F2025" i="2"/>
  <c r="C2025" i="2"/>
  <c r="B2025" i="2"/>
  <c r="F2024" i="2"/>
  <c r="C2024" i="2"/>
  <c r="B2024" i="2"/>
  <c r="F2023" i="2"/>
  <c r="C2023" i="2"/>
  <c r="B2023" i="2"/>
  <c r="F2022" i="2"/>
  <c r="C2022" i="2"/>
  <c r="B2022" i="2"/>
  <c r="F2021" i="2"/>
  <c r="C2021" i="2"/>
  <c r="B2021" i="2"/>
  <c r="F2020" i="2"/>
  <c r="C2020" i="2"/>
  <c r="B2020" i="2"/>
  <c r="F2019" i="2"/>
  <c r="C2019" i="2"/>
  <c r="B2019" i="2"/>
  <c r="F2018" i="2"/>
  <c r="C2018" i="2"/>
  <c r="B2018" i="2"/>
  <c r="F2017" i="2"/>
  <c r="C2017" i="2"/>
  <c r="B2017" i="2"/>
  <c r="F2016" i="2"/>
  <c r="C2016" i="2"/>
  <c r="B2016" i="2"/>
  <c r="F2015" i="2"/>
  <c r="C2015" i="2"/>
  <c r="B2015" i="2"/>
  <c r="F2014" i="2"/>
  <c r="C2014" i="2"/>
  <c r="B2014" i="2"/>
  <c r="F2013" i="2"/>
  <c r="C2013" i="2"/>
  <c r="B2013" i="2"/>
  <c r="F2012" i="2"/>
  <c r="C2012" i="2"/>
  <c r="B2012" i="2"/>
  <c r="F2011" i="2"/>
  <c r="C2011" i="2"/>
  <c r="B2011" i="2"/>
  <c r="F2010" i="2"/>
  <c r="C2010" i="2"/>
  <c r="B2010" i="2"/>
  <c r="F2009" i="2"/>
  <c r="C2009" i="2"/>
  <c r="B2009" i="2"/>
  <c r="F2008" i="2"/>
  <c r="C2008" i="2"/>
  <c r="B2008" i="2"/>
  <c r="F2007" i="2"/>
  <c r="C2007" i="2"/>
  <c r="B2007" i="2"/>
  <c r="F2006" i="2"/>
  <c r="C2006" i="2"/>
  <c r="B2006" i="2"/>
  <c r="F2005" i="2"/>
  <c r="C2005" i="2"/>
  <c r="B2005" i="2"/>
  <c r="F2004" i="2"/>
  <c r="C2004" i="2"/>
  <c r="B2004" i="2"/>
  <c r="F2003" i="2"/>
  <c r="C2003" i="2"/>
  <c r="B2003" i="2"/>
  <c r="F2002" i="2"/>
  <c r="C2002" i="2"/>
  <c r="B2002" i="2"/>
  <c r="F2001" i="2"/>
  <c r="C2001" i="2"/>
  <c r="B2001" i="2"/>
  <c r="F2000" i="2"/>
  <c r="C2000" i="2"/>
  <c r="B2000" i="2"/>
  <c r="F1999" i="2"/>
  <c r="C1999" i="2"/>
  <c r="B1999" i="2"/>
  <c r="F1998" i="2"/>
  <c r="C1998" i="2"/>
  <c r="B1998" i="2"/>
  <c r="F1997" i="2"/>
  <c r="C1997" i="2"/>
  <c r="B1997" i="2"/>
  <c r="F1996" i="2"/>
  <c r="C1996" i="2"/>
  <c r="B1996" i="2"/>
  <c r="F1995" i="2"/>
  <c r="C1995" i="2"/>
  <c r="B1995" i="2"/>
  <c r="F1994" i="2"/>
  <c r="C1994" i="2"/>
  <c r="B1994" i="2"/>
  <c r="F1993" i="2"/>
  <c r="C1993" i="2"/>
  <c r="B1993" i="2"/>
  <c r="F1992" i="2"/>
  <c r="C1992" i="2"/>
  <c r="B1992" i="2"/>
  <c r="F1991" i="2"/>
  <c r="C1991" i="2"/>
  <c r="B1991" i="2"/>
  <c r="F1990" i="2"/>
  <c r="C1990" i="2"/>
  <c r="B1990" i="2"/>
  <c r="F1989" i="2"/>
  <c r="C1989" i="2"/>
  <c r="B1989" i="2"/>
  <c r="F1988" i="2"/>
  <c r="C1988" i="2"/>
  <c r="B1988" i="2"/>
  <c r="F1987" i="2"/>
  <c r="C1987" i="2"/>
  <c r="B1987" i="2"/>
  <c r="F1986" i="2"/>
  <c r="C1986" i="2"/>
  <c r="B1986" i="2"/>
  <c r="F1985" i="2"/>
  <c r="C1985" i="2"/>
  <c r="B1985" i="2"/>
  <c r="F1984" i="2"/>
  <c r="C1984" i="2"/>
  <c r="B1984" i="2"/>
  <c r="F1983" i="2"/>
  <c r="C1983" i="2"/>
  <c r="B1983" i="2"/>
  <c r="F1982" i="2"/>
  <c r="C1982" i="2"/>
  <c r="B1982" i="2"/>
  <c r="F1981" i="2"/>
  <c r="C1981" i="2"/>
  <c r="B1981" i="2"/>
  <c r="F1980" i="2"/>
  <c r="C1980" i="2"/>
  <c r="B1980" i="2"/>
  <c r="F1979" i="2"/>
  <c r="C1979" i="2"/>
  <c r="B1979" i="2"/>
  <c r="F1978" i="2"/>
  <c r="C1978" i="2"/>
  <c r="B1978" i="2"/>
  <c r="F1977" i="2"/>
  <c r="C1977" i="2"/>
  <c r="B1977" i="2"/>
  <c r="F1976" i="2"/>
  <c r="C1976" i="2"/>
  <c r="B1976" i="2"/>
  <c r="F1975" i="2"/>
  <c r="C1975" i="2"/>
  <c r="B1975" i="2"/>
  <c r="F1974" i="2"/>
  <c r="C1974" i="2"/>
  <c r="B1974" i="2"/>
  <c r="F1973" i="2"/>
  <c r="C1973" i="2"/>
  <c r="B1973" i="2"/>
  <c r="F1972" i="2"/>
  <c r="C1972" i="2"/>
  <c r="B1972" i="2"/>
  <c r="F1971" i="2"/>
  <c r="C1971" i="2"/>
  <c r="B1971" i="2"/>
  <c r="F1970" i="2"/>
  <c r="C1970" i="2"/>
  <c r="B1970" i="2"/>
  <c r="F1969" i="2"/>
  <c r="C1969" i="2"/>
  <c r="B1969" i="2"/>
  <c r="F1968" i="2"/>
  <c r="C1968" i="2"/>
  <c r="B1968" i="2"/>
  <c r="F1967" i="2"/>
  <c r="C1967" i="2"/>
  <c r="B1967" i="2"/>
  <c r="F1966" i="2"/>
  <c r="C1966" i="2"/>
  <c r="B1966" i="2"/>
  <c r="F1965" i="2"/>
  <c r="C1965" i="2"/>
  <c r="B1965" i="2"/>
  <c r="F1964" i="2"/>
  <c r="C1964" i="2"/>
  <c r="B1964" i="2"/>
  <c r="F1963" i="2"/>
  <c r="C1963" i="2"/>
  <c r="B1963" i="2"/>
  <c r="F1962" i="2"/>
  <c r="C1962" i="2"/>
  <c r="B1962" i="2"/>
  <c r="F1961" i="2"/>
  <c r="C1961" i="2"/>
  <c r="B1961" i="2"/>
  <c r="F1960" i="2"/>
  <c r="C1960" i="2"/>
  <c r="B1960" i="2"/>
  <c r="F1959" i="2"/>
  <c r="C1959" i="2"/>
  <c r="B1959" i="2"/>
  <c r="F1958" i="2"/>
  <c r="C1958" i="2"/>
  <c r="B1958" i="2"/>
  <c r="F1957" i="2"/>
  <c r="C1957" i="2"/>
  <c r="B1957" i="2"/>
  <c r="F1956" i="2"/>
  <c r="C1956" i="2"/>
  <c r="B1956" i="2"/>
  <c r="F1955" i="2"/>
  <c r="C1955" i="2"/>
  <c r="B1955" i="2"/>
  <c r="F1954" i="2"/>
  <c r="C1954" i="2"/>
  <c r="B1954" i="2"/>
  <c r="F1953" i="2"/>
  <c r="C1953" i="2"/>
  <c r="B1953" i="2"/>
  <c r="F1952" i="2"/>
  <c r="C1952" i="2"/>
  <c r="B1952" i="2"/>
  <c r="F1951" i="2"/>
  <c r="C1951" i="2"/>
  <c r="B1951" i="2"/>
  <c r="F1950" i="2"/>
  <c r="C1950" i="2"/>
  <c r="B1950" i="2"/>
  <c r="F1949" i="2"/>
  <c r="C1949" i="2"/>
  <c r="B1949" i="2"/>
  <c r="F1948" i="2"/>
  <c r="C1948" i="2"/>
  <c r="B1948" i="2"/>
  <c r="F1947" i="2"/>
  <c r="C1947" i="2"/>
  <c r="B1947" i="2"/>
  <c r="F1946" i="2"/>
  <c r="C1946" i="2"/>
  <c r="B1946" i="2"/>
  <c r="F1945" i="2"/>
  <c r="C1945" i="2"/>
  <c r="B1945" i="2"/>
  <c r="F1944" i="2"/>
  <c r="C1944" i="2"/>
  <c r="B1944" i="2"/>
  <c r="F1943" i="2"/>
  <c r="C1943" i="2"/>
  <c r="B1943" i="2"/>
  <c r="F1942" i="2"/>
  <c r="C1942" i="2"/>
  <c r="B1942" i="2"/>
  <c r="F1941" i="2"/>
  <c r="C1941" i="2"/>
  <c r="B1941" i="2"/>
  <c r="F1940" i="2"/>
  <c r="C1940" i="2"/>
  <c r="B1940" i="2"/>
  <c r="F1939" i="2"/>
  <c r="C1939" i="2"/>
  <c r="B1939" i="2"/>
  <c r="F1938" i="2"/>
  <c r="C1938" i="2"/>
  <c r="B1938" i="2"/>
  <c r="F1937" i="2"/>
  <c r="C1937" i="2"/>
  <c r="B1937" i="2"/>
  <c r="F1936" i="2"/>
  <c r="C1936" i="2"/>
  <c r="B1936" i="2"/>
  <c r="F1935" i="2"/>
  <c r="C1935" i="2"/>
  <c r="B1935" i="2"/>
  <c r="F1934" i="2"/>
  <c r="C1934" i="2"/>
  <c r="B1934" i="2"/>
  <c r="F1933" i="2"/>
  <c r="C1933" i="2"/>
  <c r="B1933" i="2"/>
  <c r="F1932" i="2"/>
  <c r="C1932" i="2"/>
  <c r="B1932" i="2"/>
  <c r="F1931" i="2"/>
  <c r="C1931" i="2"/>
  <c r="B1931" i="2"/>
  <c r="F1930" i="2"/>
  <c r="C1930" i="2"/>
  <c r="B1930" i="2"/>
  <c r="F1929" i="2"/>
  <c r="C1929" i="2"/>
  <c r="B1929" i="2"/>
  <c r="F1928" i="2"/>
  <c r="C1928" i="2"/>
  <c r="B1928" i="2"/>
  <c r="F1927" i="2"/>
  <c r="C1927" i="2"/>
  <c r="B1927" i="2"/>
  <c r="F1926" i="2"/>
  <c r="C1926" i="2"/>
  <c r="B1926" i="2"/>
  <c r="F1925" i="2"/>
  <c r="C1925" i="2"/>
  <c r="B1925" i="2"/>
  <c r="F1924" i="2"/>
  <c r="C1924" i="2"/>
  <c r="B1924" i="2"/>
  <c r="F1923" i="2"/>
  <c r="C1923" i="2"/>
  <c r="B1923" i="2"/>
  <c r="F1922" i="2"/>
  <c r="C1922" i="2"/>
  <c r="B1922" i="2"/>
  <c r="F1921" i="2"/>
  <c r="C1921" i="2"/>
  <c r="B1921" i="2"/>
  <c r="F1920" i="2"/>
  <c r="C1920" i="2"/>
  <c r="B1920" i="2"/>
  <c r="F1919" i="2"/>
  <c r="C1919" i="2"/>
  <c r="B1919" i="2"/>
  <c r="F1918" i="2"/>
  <c r="C1918" i="2"/>
  <c r="B1918" i="2"/>
  <c r="F1917" i="2"/>
  <c r="C1917" i="2"/>
  <c r="B1917" i="2"/>
  <c r="F1916" i="2"/>
  <c r="C1916" i="2"/>
  <c r="B1916" i="2"/>
  <c r="F1915" i="2"/>
  <c r="C1915" i="2"/>
  <c r="B1915" i="2"/>
  <c r="F1914" i="2"/>
  <c r="C1914" i="2"/>
  <c r="B1914" i="2"/>
  <c r="F1913" i="2"/>
  <c r="C1913" i="2"/>
  <c r="B1913" i="2"/>
  <c r="F1912" i="2"/>
  <c r="C1912" i="2"/>
  <c r="B1912" i="2"/>
  <c r="F1911" i="2"/>
  <c r="C1911" i="2"/>
  <c r="B1911" i="2"/>
  <c r="F1910" i="2"/>
  <c r="C1910" i="2"/>
  <c r="B1910" i="2"/>
  <c r="F1909" i="2"/>
  <c r="C1909" i="2"/>
  <c r="B1909" i="2"/>
  <c r="F1908" i="2"/>
  <c r="C1908" i="2"/>
  <c r="B1908" i="2"/>
  <c r="F1907" i="2"/>
  <c r="C1907" i="2"/>
  <c r="B1907" i="2"/>
  <c r="F1906" i="2"/>
  <c r="C1906" i="2"/>
  <c r="B1906" i="2"/>
  <c r="F1905" i="2"/>
  <c r="C1905" i="2"/>
  <c r="B1905" i="2"/>
  <c r="F1904" i="2"/>
  <c r="C1904" i="2"/>
  <c r="B1904" i="2"/>
  <c r="F1903" i="2"/>
  <c r="C1903" i="2"/>
  <c r="B1903" i="2"/>
  <c r="F1902" i="2"/>
  <c r="C1902" i="2"/>
  <c r="B1902" i="2"/>
  <c r="F1901" i="2"/>
  <c r="C1901" i="2"/>
  <c r="B1901" i="2"/>
  <c r="F1900" i="2"/>
  <c r="C1900" i="2"/>
  <c r="B1900" i="2"/>
  <c r="F1899" i="2"/>
  <c r="C1899" i="2"/>
  <c r="B1899" i="2"/>
  <c r="F1898" i="2"/>
  <c r="C1898" i="2"/>
  <c r="B1898" i="2"/>
  <c r="F1897" i="2"/>
  <c r="C1897" i="2"/>
  <c r="B1897" i="2"/>
  <c r="F1896" i="2"/>
  <c r="C1896" i="2"/>
  <c r="B1896" i="2"/>
  <c r="F1895" i="2"/>
  <c r="C1895" i="2"/>
  <c r="B1895" i="2"/>
  <c r="F1894" i="2"/>
  <c r="C1894" i="2"/>
  <c r="B1894" i="2"/>
  <c r="F1893" i="2"/>
  <c r="C1893" i="2"/>
  <c r="B1893" i="2"/>
  <c r="F1892" i="2"/>
  <c r="C1892" i="2"/>
  <c r="B1892" i="2"/>
  <c r="F1891" i="2"/>
  <c r="C1891" i="2"/>
  <c r="B1891" i="2"/>
  <c r="F1890" i="2"/>
  <c r="C1890" i="2"/>
  <c r="B1890" i="2"/>
  <c r="F1889" i="2"/>
  <c r="C1889" i="2"/>
  <c r="B1889" i="2"/>
  <c r="F1888" i="2"/>
  <c r="C1888" i="2"/>
  <c r="B1888" i="2"/>
  <c r="F1887" i="2"/>
  <c r="C1887" i="2"/>
  <c r="B1887" i="2"/>
  <c r="F1886" i="2"/>
  <c r="C1886" i="2"/>
  <c r="B1886" i="2"/>
  <c r="F1885" i="2"/>
  <c r="C1885" i="2"/>
  <c r="B1885" i="2"/>
  <c r="F1884" i="2"/>
  <c r="C1884" i="2"/>
  <c r="B1884" i="2"/>
  <c r="F1883" i="2"/>
  <c r="C1883" i="2"/>
  <c r="B1883" i="2"/>
  <c r="F1882" i="2"/>
  <c r="C1882" i="2"/>
  <c r="B1882" i="2"/>
  <c r="F1881" i="2"/>
  <c r="C1881" i="2"/>
  <c r="B1881" i="2"/>
  <c r="F1880" i="2"/>
  <c r="C1880" i="2"/>
  <c r="B1880" i="2"/>
  <c r="F1879" i="2"/>
  <c r="C1879" i="2"/>
  <c r="B1879" i="2"/>
  <c r="F1878" i="2"/>
  <c r="C1878" i="2"/>
  <c r="B1878" i="2"/>
  <c r="F1877" i="2"/>
  <c r="C1877" i="2"/>
  <c r="B1877" i="2"/>
  <c r="F1876" i="2"/>
  <c r="C1876" i="2"/>
  <c r="B1876" i="2"/>
  <c r="F1875" i="2"/>
  <c r="C1875" i="2"/>
  <c r="B1875" i="2"/>
  <c r="F1874" i="2"/>
  <c r="C1874" i="2"/>
  <c r="B1874" i="2"/>
  <c r="F1873" i="2"/>
  <c r="C1873" i="2"/>
  <c r="B1873" i="2"/>
  <c r="F1872" i="2"/>
  <c r="C1872" i="2"/>
  <c r="B1872" i="2"/>
  <c r="F1871" i="2"/>
  <c r="C1871" i="2"/>
  <c r="B1871" i="2"/>
  <c r="F1870" i="2"/>
  <c r="C1870" i="2"/>
  <c r="B1870" i="2"/>
  <c r="F1869" i="2"/>
  <c r="C1869" i="2"/>
  <c r="B1869" i="2"/>
  <c r="F1868" i="2"/>
  <c r="C1868" i="2"/>
  <c r="B1868" i="2"/>
  <c r="F1867" i="2"/>
  <c r="C1867" i="2"/>
  <c r="B1867" i="2"/>
  <c r="F1866" i="2"/>
  <c r="C1866" i="2"/>
  <c r="B1866" i="2"/>
  <c r="F1865" i="2"/>
  <c r="C1865" i="2"/>
  <c r="B1865" i="2"/>
  <c r="F1864" i="2"/>
  <c r="C1864" i="2"/>
  <c r="B1864" i="2"/>
  <c r="F1863" i="2"/>
  <c r="C1863" i="2"/>
  <c r="B1863" i="2"/>
  <c r="F1862" i="2"/>
  <c r="C1862" i="2"/>
  <c r="B1862" i="2"/>
  <c r="F1861" i="2"/>
  <c r="C1861" i="2"/>
  <c r="B1861" i="2"/>
  <c r="F1860" i="2"/>
  <c r="C1860" i="2"/>
  <c r="B1860" i="2"/>
  <c r="F1859" i="2"/>
  <c r="C1859" i="2"/>
  <c r="B1859" i="2"/>
  <c r="F1858" i="2"/>
  <c r="C1858" i="2"/>
  <c r="B1858" i="2"/>
  <c r="F1857" i="2"/>
  <c r="C1857" i="2"/>
  <c r="B1857" i="2"/>
  <c r="F1856" i="2"/>
  <c r="C1856" i="2"/>
  <c r="B1856" i="2"/>
  <c r="F1855" i="2"/>
  <c r="C1855" i="2"/>
  <c r="B1855" i="2"/>
  <c r="F1854" i="2"/>
  <c r="C1854" i="2"/>
  <c r="B1854" i="2"/>
  <c r="F1853" i="2"/>
  <c r="C1853" i="2"/>
  <c r="B1853" i="2"/>
  <c r="F1852" i="2"/>
  <c r="C1852" i="2"/>
  <c r="B1852" i="2"/>
  <c r="F1851" i="2"/>
  <c r="C1851" i="2"/>
  <c r="B1851" i="2"/>
  <c r="F1850" i="2"/>
  <c r="C1850" i="2"/>
  <c r="B1850" i="2"/>
  <c r="F1849" i="2"/>
  <c r="C1849" i="2"/>
  <c r="B1849" i="2"/>
  <c r="F1848" i="2"/>
  <c r="C1848" i="2"/>
  <c r="B1848" i="2"/>
  <c r="F1847" i="2"/>
  <c r="C1847" i="2"/>
  <c r="B1847" i="2"/>
  <c r="F1846" i="2"/>
  <c r="C1846" i="2"/>
  <c r="B1846" i="2"/>
  <c r="F1845" i="2"/>
  <c r="C1845" i="2"/>
  <c r="B1845" i="2"/>
  <c r="F1844" i="2"/>
  <c r="C1844" i="2"/>
  <c r="B1844" i="2"/>
  <c r="F1843" i="2"/>
  <c r="C1843" i="2"/>
  <c r="B1843" i="2"/>
  <c r="F1842" i="2"/>
  <c r="C1842" i="2"/>
  <c r="B1842" i="2"/>
  <c r="F1841" i="2"/>
  <c r="C1841" i="2"/>
  <c r="B1841" i="2"/>
  <c r="F1840" i="2"/>
  <c r="C1840" i="2"/>
  <c r="B1840" i="2"/>
  <c r="F1839" i="2"/>
  <c r="C1839" i="2"/>
  <c r="B1839" i="2"/>
  <c r="F1838" i="2"/>
  <c r="C1838" i="2"/>
  <c r="B1838" i="2"/>
  <c r="F1837" i="2"/>
  <c r="C1837" i="2"/>
  <c r="B1837" i="2"/>
  <c r="F1836" i="2"/>
  <c r="C1836" i="2"/>
  <c r="B1836" i="2"/>
  <c r="F1835" i="2"/>
  <c r="C1835" i="2"/>
  <c r="B1835" i="2"/>
  <c r="F1834" i="2"/>
  <c r="C1834" i="2"/>
  <c r="B1834" i="2"/>
  <c r="F1833" i="2"/>
  <c r="C1833" i="2"/>
  <c r="B1833" i="2"/>
  <c r="F1832" i="2"/>
  <c r="C1832" i="2"/>
  <c r="B1832" i="2"/>
  <c r="F1831" i="2"/>
  <c r="C1831" i="2"/>
  <c r="B1831" i="2"/>
  <c r="F1830" i="2"/>
  <c r="C1830" i="2"/>
  <c r="B1830" i="2"/>
  <c r="F1829" i="2"/>
  <c r="C1829" i="2"/>
  <c r="B1829" i="2"/>
  <c r="F1828" i="2"/>
  <c r="C1828" i="2"/>
  <c r="B1828" i="2"/>
  <c r="F1827" i="2"/>
  <c r="C1827" i="2"/>
  <c r="B1827" i="2"/>
  <c r="F1826" i="2"/>
  <c r="C1826" i="2"/>
  <c r="B1826" i="2"/>
  <c r="F1825" i="2"/>
  <c r="C1825" i="2"/>
  <c r="B1825" i="2"/>
  <c r="F1824" i="2"/>
  <c r="C1824" i="2"/>
  <c r="B1824" i="2"/>
  <c r="F1823" i="2"/>
  <c r="C1823" i="2"/>
  <c r="B1823" i="2"/>
  <c r="F1822" i="2"/>
  <c r="C1822" i="2"/>
  <c r="B1822" i="2"/>
  <c r="F1821" i="2"/>
  <c r="C1821" i="2"/>
  <c r="B1821" i="2"/>
  <c r="F1820" i="2"/>
  <c r="C1820" i="2"/>
  <c r="B1820" i="2"/>
  <c r="F1819" i="2"/>
  <c r="C1819" i="2"/>
  <c r="B1819" i="2"/>
  <c r="F1818" i="2"/>
  <c r="C1818" i="2"/>
  <c r="B1818" i="2"/>
  <c r="F1817" i="2"/>
  <c r="C1817" i="2"/>
  <c r="B1817" i="2"/>
  <c r="F1816" i="2"/>
  <c r="C1816" i="2"/>
  <c r="B1816" i="2"/>
  <c r="F1815" i="2"/>
  <c r="C1815" i="2"/>
  <c r="B1815" i="2"/>
  <c r="F1814" i="2"/>
  <c r="C1814" i="2"/>
  <c r="B1814" i="2"/>
  <c r="F1813" i="2"/>
  <c r="C1813" i="2"/>
  <c r="B1813" i="2"/>
  <c r="F1812" i="2"/>
  <c r="C1812" i="2"/>
  <c r="B1812" i="2"/>
  <c r="F1811" i="2"/>
  <c r="C1811" i="2"/>
  <c r="B1811" i="2"/>
  <c r="F1810" i="2"/>
  <c r="C1810" i="2"/>
  <c r="B1810" i="2"/>
  <c r="F1809" i="2"/>
  <c r="C1809" i="2"/>
  <c r="B1809" i="2"/>
  <c r="F1808" i="2"/>
  <c r="C1808" i="2"/>
  <c r="B1808" i="2"/>
  <c r="F1807" i="2"/>
  <c r="C1807" i="2"/>
  <c r="B1807" i="2"/>
  <c r="F1806" i="2"/>
  <c r="C1806" i="2"/>
  <c r="B1806" i="2"/>
  <c r="F1805" i="2"/>
  <c r="C1805" i="2"/>
  <c r="B1805" i="2"/>
  <c r="F1804" i="2"/>
  <c r="C1804" i="2"/>
  <c r="B1804" i="2"/>
  <c r="F1803" i="2"/>
  <c r="C1803" i="2"/>
  <c r="B1803" i="2"/>
  <c r="F1802" i="2"/>
  <c r="C1802" i="2"/>
  <c r="B1802" i="2"/>
  <c r="F1801" i="2"/>
  <c r="C1801" i="2"/>
  <c r="B1801" i="2"/>
  <c r="F1800" i="2"/>
  <c r="C1800" i="2"/>
  <c r="B1800" i="2"/>
  <c r="F1799" i="2"/>
  <c r="C1799" i="2"/>
  <c r="B1799" i="2"/>
  <c r="F1798" i="2"/>
  <c r="C1798" i="2"/>
  <c r="B1798" i="2"/>
  <c r="F1797" i="2"/>
  <c r="C1797" i="2"/>
  <c r="B1797" i="2"/>
  <c r="F1796" i="2"/>
  <c r="C1796" i="2"/>
  <c r="B1796" i="2"/>
  <c r="F1795" i="2"/>
  <c r="C1795" i="2"/>
  <c r="B1795" i="2"/>
  <c r="F1794" i="2"/>
  <c r="C1794" i="2"/>
  <c r="B1794" i="2"/>
  <c r="F1793" i="2"/>
  <c r="C1793" i="2"/>
  <c r="B1793" i="2"/>
  <c r="F1792" i="2"/>
  <c r="C1792" i="2"/>
  <c r="B1792" i="2"/>
  <c r="F1791" i="2"/>
  <c r="C1791" i="2"/>
  <c r="B1791" i="2"/>
  <c r="F1790" i="2"/>
  <c r="C1790" i="2"/>
  <c r="B1790" i="2"/>
  <c r="F1789" i="2"/>
  <c r="C1789" i="2"/>
  <c r="B1789" i="2"/>
  <c r="F1788" i="2"/>
  <c r="C1788" i="2"/>
  <c r="B1788" i="2"/>
  <c r="F1787" i="2"/>
  <c r="C1787" i="2"/>
  <c r="B1787" i="2"/>
  <c r="F1786" i="2"/>
  <c r="C1786" i="2"/>
  <c r="B1786" i="2"/>
  <c r="F1785" i="2"/>
  <c r="C1785" i="2"/>
  <c r="B1785" i="2"/>
  <c r="F1784" i="2"/>
  <c r="C1784" i="2"/>
  <c r="B1784" i="2"/>
  <c r="F1783" i="2"/>
  <c r="C1783" i="2"/>
  <c r="B1783" i="2"/>
  <c r="F1782" i="2"/>
  <c r="C1782" i="2"/>
  <c r="B1782" i="2"/>
  <c r="F1781" i="2"/>
  <c r="C1781" i="2"/>
  <c r="B1781" i="2"/>
  <c r="F1780" i="2"/>
  <c r="C1780" i="2"/>
  <c r="B1780" i="2"/>
  <c r="F1779" i="2"/>
  <c r="C1779" i="2"/>
  <c r="B1779" i="2"/>
  <c r="F1778" i="2"/>
  <c r="C1778" i="2"/>
  <c r="B1778" i="2"/>
  <c r="F1777" i="2"/>
  <c r="C1777" i="2"/>
  <c r="B1777" i="2"/>
  <c r="F1776" i="2"/>
  <c r="C1776" i="2"/>
  <c r="B1776" i="2"/>
  <c r="F1775" i="2"/>
  <c r="C1775" i="2"/>
  <c r="B1775" i="2"/>
  <c r="F1774" i="2"/>
  <c r="C1774" i="2"/>
  <c r="B1774" i="2"/>
  <c r="F1773" i="2"/>
  <c r="C1773" i="2"/>
  <c r="B1773" i="2"/>
  <c r="F1772" i="2"/>
  <c r="C1772" i="2"/>
  <c r="B1772" i="2"/>
  <c r="F1771" i="2"/>
  <c r="C1771" i="2"/>
  <c r="B1771" i="2"/>
  <c r="F1770" i="2"/>
  <c r="C1770" i="2"/>
  <c r="B1770" i="2"/>
  <c r="F1769" i="2"/>
  <c r="C1769" i="2"/>
  <c r="B1769" i="2"/>
  <c r="F1768" i="2"/>
  <c r="C1768" i="2"/>
  <c r="B1768" i="2"/>
  <c r="F1767" i="2"/>
  <c r="C1767" i="2"/>
  <c r="B1767" i="2"/>
  <c r="F1766" i="2"/>
  <c r="C1766" i="2"/>
  <c r="B1766" i="2"/>
  <c r="F1765" i="2"/>
  <c r="C1765" i="2"/>
  <c r="B1765" i="2"/>
  <c r="F1764" i="2"/>
  <c r="C1764" i="2"/>
  <c r="B1764" i="2"/>
  <c r="F1763" i="2"/>
  <c r="C1763" i="2"/>
  <c r="B1763" i="2"/>
  <c r="F1762" i="2"/>
  <c r="C1762" i="2"/>
  <c r="B1762" i="2"/>
  <c r="F1761" i="2"/>
  <c r="C1761" i="2"/>
  <c r="B1761" i="2"/>
  <c r="F1760" i="2"/>
  <c r="C1760" i="2"/>
  <c r="B1760" i="2"/>
  <c r="F1759" i="2"/>
  <c r="C1759" i="2"/>
  <c r="B1759" i="2"/>
  <c r="F1758" i="2"/>
  <c r="C1758" i="2"/>
  <c r="B1758" i="2"/>
  <c r="F1757" i="2"/>
  <c r="C1757" i="2"/>
  <c r="B1757" i="2"/>
  <c r="F1756" i="2"/>
  <c r="C1756" i="2"/>
  <c r="B1756" i="2"/>
  <c r="F1755" i="2"/>
  <c r="C1755" i="2"/>
  <c r="B1755" i="2"/>
  <c r="F1754" i="2"/>
  <c r="C1754" i="2"/>
  <c r="B1754" i="2"/>
  <c r="F1753" i="2"/>
  <c r="C1753" i="2"/>
  <c r="B1753" i="2"/>
  <c r="F1752" i="2"/>
  <c r="C1752" i="2"/>
  <c r="B1752" i="2"/>
  <c r="F1751" i="2"/>
  <c r="C1751" i="2"/>
  <c r="B1751" i="2"/>
  <c r="F1750" i="2"/>
  <c r="C1750" i="2"/>
  <c r="B1750" i="2"/>
  <c r="F1749" i="2"/>
  <c r="C1749" i="2"/>
  <c r="B1749" i="2"/>
  <c r="F1748" i="2"/>
  <c r="C1748" i="2"/>
  <c r="B1748" i="2"/>
  <c r="F1747" i="2"/>
  <c r="C1747" i="2"/>
  <c r="B1747" i="2"/>
  <c r="F1746" i="2"/>
  <c r="C1746" i="2"/>
  <c r="B1746" i="2"/>
  <c r="F1745" i="2"/>
  <c r="C1745" i="2"/>
  <c r="B1745" i="2"/>
  <c r="F1744" i="2"/>
  <c r="C1744" i="2"/>
  <c r="B1744" i="2"/>
  <c r="F1743" i="2"/>
  <c r="C1743" i="2"/>
  <c r="B1743" i="2"/>
  <c r="F1742" i="2"/>
  <c r="C1742" i="2"/>
  <c r="B1742" i="2"/>
  <c r="F1741" i="2"/>
  <c r="C1741" i="2"/>
  <c r="B1741" i="2"/>
  <c r="F1740" i="2"/>
  <c r="C1740" i="2"/>
  <c r="B1740" i="2"/>
  <c r="F1739" i="2"/>
  <c r="C1739" i="2"/>
  <c r="B1739" i="2"/>
  <c r="F1738" i="2"/>
  <c r="C1738" i="2"/>
  <c r="B1738" i="2"/>
  <c r="F1737" i="2"/>
  <c r="C1737" i="2"/>
  <c r="B1737" i="2"/>
  <c r="F1736" i="2"/>
  <c r="C1736" i="2"/>
  <c r="B1736" i="2"/>
  <c r="F1735" i="2"/>
  <c r="C1735" i="2"/>
  <c r="B1735" i="2"/>
  <c r="F1734" i="2"/>
  <c r="C1734" i="2"/>
  <c r="B1734" i="2"/>
  <c r="F1733" i="2"/>
  <c r="C1733" i="2"/>
  <c r="B1733" i="2"/>
  <c r="F1732" i="2"/>
  <c r="C1732" i="2"/>
  <c r="B1732" i="2"/>
  <c r="F1731" i="2"/>
  <c r="C1731" i="2"/>
  <c r="B1731" i="2"/>
  <c r="F1730" i="2"/>
  <c r="C1730" i="2"/>
  <c r="B1730" i="2"/>
  <c r="F1729" i="2"/>
  <c r="C1729" i="2"/>
  <c r="B1729" i="2"/>
  <c r="F1728" i="2"/>
  <c r="C1728" i="2"/>
  <c r="B1728" i="2"/>
  <c r="F1727" i="2"/>
  <c r="C1727" i="2"/>
  <c r="B1727" i="2"/>
  <c r="F1726" i="2"/>
  <c r="C1726" i="2"/>
  <c r="B1726" i="2"/>
  <c r="F1725" i="2"/>
  <c r="C1725" i="2"/>
  <c r="B1725" i="2"/>
  <c r="F1724" i="2"/>
  <c r="C1724" i="2"/>
  <c r="B1724" i="2"/>
  <c r="F1723" i="2"/>
  <c r="C1723" i="2"/>
  <c r="B1723" i="2"/>
  <c r="F1722" i="2"/>
  <c r="C1722" i="2"/>
  <c r="B1722" i="2"/>
  <c r="F1721" i="2"/>
  <c r="C1721" i="2"/>
  <c r="B1721" i="2"/>
  <c r="F1720" i="2"/>
  <c r="C1720" i="2"/>
  <c r="B1720" i="2"/>
  <c r="F1719" i="2"/>
  <c r="C1719" i="2"/>
  <c r="B1719" i="2"/>
  <c r="F1718" i="2"/>
  <c r="C1718" i="2"/>
  <c r="B1718" i="2"/>
  <c r="F1717" i="2"/>
  <c r="C1717" i="2"/>
  <c r="B1717" i="2"/>
  <c r="F1716" i="2"/>
  <c r="C1716" i="2"/>
  <c r="B1716" i="2"/>
  <c r="F1715" i="2"/>
  <c r="C1715" i="2"/>
  <c r="B1715" i="2"/>
  <c r="F1714" i="2"/>
  <c r="C1714" i="2"/>
  <c r="B1714" i="2"/>
  <c r="F1713" i="2"/>
  <c r="C1713" i="2"/>
  <c r="B1713" i="2"/>
  <c r="F1712" i="2"/>
  <c r="C1712" i="2"/>
  <c r="B1712" i="2"/>
  <c r="F1711" i="2"/>
  <c r="C1711" i="2"/>
  <c r="B1711" i="2"/>
  <c r="F1710" i="2"/>
  <c r="C1710" i="2"/>
  <c r="B1710" i="2"/>
  <c r="F1709" i="2"/>
  <c r="C1709" i="2"/>
  <c r="B1709" i="2"/>
  <c r="F1708" i="2"/>
  <c r="C1708" i="2"/>
  <c r="B1708" i="2"/>
  <c r="F1707" i="2"/>
  <c r="C1707" i="2"/>
  <c r="B1707" i="2"/>
  <c r="F1706" i="2"/>
  <c r="C1706" i="2"/>
  <c r="B1706" i="2"/>
  <c r="F1705" i="2"/>
  <c r="C1705" i="2"/>
  <c r="B1705" i="2"/>
  <c r="F1704" i="2"/>
  <c r="C1704" i="2"/>
  <c r="B1704" i="2"/>
  <c r="F1703" i="2"/>
  <c r="C1703" i="2"/>
  <c r="B1703" i="2"/>
  <c r="F1702" i="2"/>
  <c r="C1702" i="2"/>
  <c r="B1702" i="2"/>
  <c r="F1701" i="2"/>
  <c r="C1701" i="2"/>
  <c r="B1701" i="2"/>
  <c r="F1700" i="2"/>
  <c r="C1700" i="2"/>
  <c r="B1700" i="2"/>
  <c r="F1699" i="2"/>
  <c r="C1699" i="2"/>
  <c r="B1699" i="2"/>
  <c r="F1698" i="2"/>
  <c r="C1698" i="2"/>
  <c r="B1698" i="2"/>
  <c r="F1697" i="2"/>
  <c r="C1697" i="2"/>
  <c r="B1697" i="2"/>
  <c r="F1696" i="2"/>
  <c r="C1696" i="2"/>
  <c r="B1696" i="2"/>
  <c r="F1695" i="2"/>
  <c r="C1695" i="2"/>
  <c r="B1695" i="2"/>
  <c r="F1694" i="2"/>
  <c r="C1694" i="2"/>
  <c r="B1694" i="2"/>
  <c r="F1693" i="2"/>
  <c r="C1693" i="2"/>
  <c r="B1693" i="2"/>
  <c r="F1692" i="2"/>
  <c r="C1692" i="2"/>
  <c r="B1692" i="2"/>
  <c r="F1691" i="2"/>
  <c r="C1691" i="2"/>
  <c r="B1691" i="2"/>
  <c r="F1690" i="2"/>
  <c r="C1690" i="2"/>
  <c r="B1690" i="2"/>
  <c r="F1689" i="2"/>
  <c r="C1689" i="2"/>
  <c r="B1689" i="2"/>
  <c r="F1688" i="2"/>
  <c r="C1688" i="2"/>
  <c r="B1688" i="2"/>
  <c r="F1687" i="2"/>
  <c r="C1687" i="2"/>
  <c r="B1687" i="2"/>
  <c r="F1686" i="2"/>
  <c r="C1686" i="2"/>
  <c r="B1686" i="2"/>
  <c r="F1685" i="2"/>
  <c r="C1685" i="2"/>
  <c r="B1685" i="2"/>
  <c r="F1684" i="2"/>
  <c r="C1684" i="2"/>
  <c r="B1684" i="2"/>
  <c r="F1683" i="2"/>
  <c r="C1683" i="2"/>
  <c r="B1683" i="2"/>
  <c r="F1682" i="2"/>
  <c r="C1682" i="2"/>
  <c r="B1682" i="2"/>
  <c r="F1681" i="2"/>
  <c r="C1681" i="2"/>
  <c r="B1681" i="2"/>
  <c r="F1680" i="2"/>
  <c r="C1680" i="2"/>
  <c r="B1680" i="2"/>
  <c r="F1679" i="2"/>
  <c r="C1679" i="2"/>
  <c r="B1679" i="2"/>
  <c r="F1678" i="2"/>
  <c r="C1678" i="2"/>
  <c r="B1678" i="2"/>
  <c r="F1677" i="2"/>
  <c r="C1677" i="2"/>
  <c r="B1677" i="2"/>
  <c r="F1676" i="2"/>
  <c r="C1676" i="2"/>
  <c r="B1676" i="2"/>
  <c r="F1675" i="2"/>
  <c r="C1675" i="2"/>
  <c r="B1675" i="2"/>
  <c r="F1674" i="2"/>
  <c r="C1674" i="2"/>
  <c r="B1674" i="2"/>
  <c r="F1673" i="2"/>
  <c r="C1673" i="2"/>
  <c r="B1673" i="2"/>
  <c r="F1672" i="2"/>
  <c r="C1672" i="2"/>
  <c r="B1672" i="2"/>
  <c r="F1671" i="2"/>
  <c r="C1671" i="2"/>
  <c r="B1671" i="2"/>
  <c r="F1670" i="2"/>
  <c r="C1670" i="2"/>
  <c r="B1670" i="2"/>
  <c r="F1669" i="2"/>
  <c r="C1669" i="2"/>
  <c r="B1669" i="2"/>
  <c r="F1668" i="2"/>
  <c r="C1668" i="2"/>
  <c r="B1668" i="2"/>
  <c r="F1667" i="2"/>
  <c r="C1667" i="2"/>
  <c r="B1667" i="2"/>
  <c r="F1666" i="2"/>
  <c r="C1666" i="2"/>
  <c r="B1666" i="2"/>
  <c r="F1665" i="2"/>
  <c r="C1665" i="2"/>
  <c r="B1665" i="2"/>
  <c r="F1664" i="2"/>
  <c r="C1664" i="2"/>
  <c r="B1664" i="2"/>
  <c r="F1663" i="2"/>
  <c r="C1663" i="2"/>
  <c r="B1663" i="2"/>
  <c r="F1662" i="2"/>
  <c r="C1662" i="2"/>
  <c r="B1662" i="2"/>
  <c r="F1661" i="2"/>
  <c r="C1661" i="2"/>
  <c r="B1661" i="2"/>
  <c r="F1660" i="2"/>
  <c r="C1660" i="2"/>
  <c r="B1660" i="2"/>
  <c r="F1659" i="2"/>
  <c r="C1659" i="2"/>
  <c r="B1659" i="2"/>
  <c r="F1658" i="2"/>
  <c r="C1658" i="2"/>
  <c r="B1658" i="2"/>
  <c r="F1657" i="2"/>
  <c r="C1657" i="2"/>
  <c r="B1657" i="2"/>
  <c r="F1656" i="2"/>
  <c r="C1656" i="2"/>
  <c r="B1656" i="2"/>
  <c r="F1655" i="2"/>
  <c r="C1655" i="2"/>
  <c r="B1655" i="2"/>
  <c r="F1654" i="2"/>
  <c r="C1654" i="2"/>
  <c r="B1654" i="2"/>
  <c r="F1653" i="2"/>
  <c r="C1653" i="2"/>
  <c r="B1653" i="2"/>
  <c r="F1652" i="2"/>
  <c r="C1652" i="2"/>
  <c r="B1652" i="2"/>
  <c r="F1651" i="2"/>
  <c r="C1651" i="2"/>
  <c r="B1651" i="2"/>
  <c r="F1650" i="2"/>
  <c r="C1650" i="2"/>
  <c r="B1650" i="2"/>
  <c r="F1649" i="2"/>
  <c r="C1649" i="2"/>
  <c r="B1649" i="2"/>
  <c r="F1648" i="2"/>
  <c r="C1648" i="2"/>
  <c r="B1648" i="2"/>
  <c r="F1647" i="2"/>
  <c r="C1647" i="2"/>
  <c r="B1647" i="2"/>
  <c r="F1646" i="2"/>
  <c r="C1646" i="2"/>
  <c r="B1646" i="2"/>
  <c r="F1645" i="2"/>
  <c r="C1645" i="2"/>
  <c r="B1645" i="2"/>
  <c r="F1644" i="2"/>
  <c r="C1644" i="2"/>
  <c r="B1644" i="2"/>
  <c r="F1643" i="2"/>
  <c r="C1643" i="2"/>
  <c r="B1643" i="2"/>
  <c r="F1642" i="2"/>
  <c r="C1642" i="2"/>
  <c r="B1642" i="2"/>
  <c r="F1641" i="2"/>
  <c r="C1641" i="2"/>
  <c r="B1641" i="2"/>
  <c r="F1640" i="2"/>
  <c r="C1640" i="2"/>
  <c r="B1640" i="2"/>
  <c r="F1639" i="2"/>
  <c r="C1639" i="2"/>
  <c r="B1639" i="2"/>
  <c r="F1638" i="2"/>
  <c r="C1638" i="2"/>
  <c r="B1638" i="2"/>
  <c r="F1637" i="2"/>
  <c r="C1637" i="2"/>
  <c r="B1637" i="2"/>
  <c r="F1636" i="2"/>
  <c r="C1636" i="2"/>
  <c r="B1636" i="2"/>
  <c r="F1635" i="2"/>
  <c r="C1635" i="2"/>
  <c r="B1635" i="2"/>
  <c r="F1634" i="2"/>
  <c r="C1634" i="2"/>
  <c r="B1634" i="2"/>
  <c r="F1633" i="2"/>
  <c r="C1633" i="2"/>
  <c r="B1633" i="2"/>
  <c r="F1632" i="2"/>
  <c r="C1632" i="2"/>
  <c r="B1632" i="2"/>
  <c r="F1631" i="2"/>
  <c r="C1631" i="2"/>
  <c r="B1631" i="2"/>
  <c r="F1630" i="2"/>
  <c r="C1630" i="2"/>
  <c r="B1630" i="2"/>
  <c r="F1629" i="2"/>
  <c r="C1629" i="2"/>
  <c r="B1629" i="2"/>
  <c r="F1628" i="2"/>
  <c r="C1628" i="2"/>
  <c r="B1628" i="2"/>
  <c r="F1627" i="2"/>
  <c r="C1627" i="2"/>
  <c r="B1627" i="2"/>
  <c r="F1626" i="2"/>
  <c r="C1626" i="2"/>
  <c r="B1626" i="2"/>
  <c r="F1625" i="2"/>
  <c r="C1625" i="2"/>
  <c r="B1625" i="2"/>
  <c r="F1624" i="2"/>
  <c r="C1624" i="2"/>
  <c r="B1624" i="2"/>
  <c r="F1623" i="2"/>
  <c r="C1623" i="2"/>
  <c r="B1623" i="2"/>
  <c r="F1622" i="2"/>
  <c r="C1622" i="2"/>
  <c r="B1622" i="2"/>
  <c r="F1621" i="2"/>
  <c r="C1621" i="2"/>
  <c r="B1621" i="2"/>
  <c r="F1620" i="2"/>
  <c r="C1620" i="2"/>
  <c r="B1620" i="2"/>
  <c r="F1619" i="2"/>
  <c r="C1619" i="2"/>
  <c r="B1619" i="2"/>
  <c r="F1618" i="2"/>
  <c r="C1618" i="2"/>
  <c r="B1618" i="2"/>
  <c r="F1617" i="2"/>
  <c r="C1617" i="2"/>
  <c r="B1617" i="2"/>
  <c r="F1616" i="2"/>
  <c r="C1616" i="2"/>
  <c r="B1616" i="2"/>
  <c r="F1615" i="2"/>
  <c r="C1615" i="2"/>
  <c r="B1615" i="2"/>
  <c r="F1614" i="2"/>
  <c r="C1614" i="2"/>
  <c r="B1614" i="2"/>
  <c r="F1613" i="2"/>
  <c r="C1613" i="2"/>
  <c r="B1613" i="2"/>
  <c r="F1612" i="2"/>
  <c r="C1612" i="2"/>
  <c r="B1612" i="2"/>
  <c r="F1611" i="2"/>
  <c r="C1611" i="2"/>
  <c r="B1611" i="2"/>
  <c r="F1610" i="2"/>
  <c r="C1610" i="2"/>
  <c r="B1610" i="2"/>
  <c r="F1609" i="2"/>
  <c r="C1609" i="2"/>
  <c r="B1609" i="2"/>
  <c r="F1608" i="2"/>
  <c r="C1608" i="2"/>
  <c r="B1608" i="2"/>
  <c r="F1607" i="2"/>
  <c r="C1607" i="2"/>
  <c r="B1607" i="2"/>
  <c r="F1606" i="2"/>
  <c r="C1606" i="2"/>
  <c r="B1606" i="2"/>
  <c r="F1605" i="2"/>
  <c r="C1605" i="2"/>
  <c r="B1605" i="2"/>
  <c r="F1604" i="2"/>
  <c r="C1604" i="2"/>
  <c r="B1604" i="2"/>
  <c r="F1603" i="2"/>
  <c r="C1603" i="2"/>
  <c r="B1603" i="2"/>
  <c r="F1602" i="2"/>
  <c r="C1602" i="2"/>
  <c r="B1602" i="2"/>
  <c r="F1601" i="2"/>
  <c r="C1601" i="2"/>
  <c r="B1601" i="2"/>
  <c r="F1600" i="2"/>
  <c r="C1600" i="2"/>
  <c r="B1600" i="2"/>
  <c r="F1599" i="2"/>
  <c r="C1599" i="2"/>
  <c r="B1599" i="2"/>
  <c r="F1598" i="2"/>
  <c r="C1598" i="2"/>
  <c r="B1598" i="2"/>
  <c r="F1597" i="2"/>
  <c r="C1597" i="2"/>
  <c r="B1597" i="2"/>
  <c r="F1596" i="2"/>
  <c r="C1596" i="2"/>
  <c r="B1596" i="2"/>
  <c r="F1595" i="2"/>
  <c r="C1595" i="2"/>
  <c r="B1595" i="2"/>
  <c r="F1594" i="2"/>
  <c r="C1594" i="2"/>
  <c r="B1594" i="2"/>
  <c r="F1593" i="2"/>
  <c r="C1593" i="2"/>
  <c r="B1593" i="2"/>
  <c r="F1592" i="2"/>
  <c r="C1592" i="2"/>
  <c r="B1592" i="2"/>
  <c r="F1591" i="2"/>
  <c r="C1591" i="2"/>
  <c r="B1591" i="2"/>
  <c r="F1590" i="2"/>
  <c r="C1590" i="2"/>
  <c r="B1590" i="2"/>
  <c r="F1589" i="2"/>
  <c r="C1589" i="2"/>
  <c r="B1589" i="2"/>
  <c r="F1588" i="2"/>
  <c r="C1588" i="2"/>
  <c r="B1588" i="2"/>
  <c r="F1587" i="2"/>
  <c r="C1587" i="2"/>
  <c r="B1587" i="2"/>
  <c r="F1586" i="2"/>
  <c r="C1586" i="2"/>
  <c r="B1586" i="2"/>
  <c r="F1585" i="2"/>
  <c r="C1585" i="2"/>
  <c r="B1585" i="2"/>
  <c r="F1584" i="2"/>
  <c r="C1584" i="2"/>
  <c r="B1584" i="2"/>
  <c r="F1583" i="2"/>
  <c r="C1583" i="2"/>
  <c r="B1583" i="2"/>
  <c r="F1582" i="2"/>
  <c r="C1582" i="2"/>
  <c r="B1582" i="2"/>
  <c r="F1581" i="2"/>
  <c r="C1581" i="2"/>
  <c r="B1581" i="2"/>
  <c r="F1580" i="2"/>
  <c r="C1580" i="2"/>
  <c r="B1580" i="2"/>
  <c r="F1579" i="2"/>
  <c r="C1579" i="2"/>
  <c r="B1579" i="2"/>
  <c r="F1578" i="2"/>
  <c r="C1578" i="2"/>
  <c r="B1578" i="2"/>
  <c r="F1577" i="2"/>
  <c r="C1577" i="2"/>
  <c r="B1577" i="2"/>
  <c r="F1576" i="2"/>
  <c r="C1576" i="2"/>
  <c r="B1576" i="2"/>
  <c r="F1575" i="2"/>
  <c r="C1575" i="2"/>
  <c r="B1575" i="2"/>
  <c r="F1574" i="2"/>
  <c r="C1574" i="2"/>
  <c r="B1574" i="2"/>
  <c r="F1573" i="2"/>
  <c r="C1573" i="2"/>
  <c r="B1573" i="2"/>
  <c r="F1572" i="2"/>
  <c r="C1572" i="2"/>
  <c r="B1572" i="2"/>
  <c r="F1571" i="2"/>
  <c r="C1571" i="2"/>
  <c r="B1571" i="2"/>
  <c r="F1570" i="2"/>
  <c r="C1570" i="2"/>
  <c r="B1570" i="2"/>
  <c r="F1569" i="2"/>
  <c r="C1569" i="2"/>
  <c r="B1569" i="2"/>
  <c r="F1568" i="2"/>
  <c r="C1568" i="2"/>
  <c r="B1568" i="2"/>
  <c r="F1567" i="2"/>
  <c r="C1567" i="2"/>
  <c r="B1567" i="2"/>
  <c r="F1566" i="2"/>
  <c r="C1566" i="2"/>
  <c r="B1566" i="2"/>
  <c r="F1565" i="2"/>
  <c r="C1565" i="2"/>
  <c r="B1565" i="2"/>
  <c r="F1564" i="2"/>
  <c r="C1564" i="2"/>
  <c r="B1564" i="2"/>
  <c r="F1563" i="2"/>
  <c r="C1563" i="2"/>
  <c r="B1563" i="2"/>
  <c r="F1562" i="2"/>
  <c r="C1562" i="2"/>
  <c r="B1562" i="2"/>
  <c r="F1561" i="2"/>
  <c r="C1561" i="2"/>
  <c r="B1561" i="2"/>
  <c r="F1560" i="2"/>
  <c r="C1560" i="2"/>
  <c r="B1560" i="2"/>
  <c r="F1559" i="2"/>
  <c r="C1559" i="2"/>
  <c r="B1559" i="2"/>
  <c r="F1558" i="2"/>
  <c r="C1558" i="2"/>
  <c r="B1558" i="2"/>
  <c r="F1557" i="2"/>
  <c r="C1557" i="2"/>
  <c r="B1557" i="2"/>
  <c r="F1556" i="2"/>
  <c r="C1556" i="2"/>
  <c r="B1556" i="2"/>
  <c r="F1555" i="2"/>
  <c r="C1555" i="2"/>
  <c r="B1555" i="2"/>
  <c r="F1554" i="2"/>
  <c r="C1554" i="2"/>
  <c r="B1554" i="2"/>
  <c r="F1553" i="2"/>
  <c r="C1553" i="2"/>
  <c r="B1553" i="2"/>
  <c r="F1552" i="2"/>
  <c r="C1552" i="2"/>
  <c r="B1552" i="2"/>
  <c r="F1551" i="2"/>
  <c r="C1551" i="2"/>
  <c r="B1551" i="2"/>
  <c r="F1550" i="2"/>
  <c r="C1550" i="2"/>
  <c r="B1550" i="2"/>
  <c r="F1549" i="2"/>
  <c r="C1549" i="2"/>
  <c r="B1549" i="2"/>
  <c r="F1548" i="2"/>
  <c r="C1548" i="2"/>
  <c r="B1548" i="2"/>
  <c r="F1547" i="2"/>
  <c r="C1547" i="2"/>
  <c r="B1547" i="2"/>
  <c r="F1546" i="2"/>
  <c r="C1546" i="2"/>
  <c r="B1546" i="2"/>
  <c r="F1545" i="2"/>
  <c r="C1545" i="2"/>
  <c r="B1545" i="2"/>
  <c r="F1544" i="2"/>
  <c r="C1544" i="2"/>
  <c r="B1544" i="2"/>
  <c r="F1543" i="2"/>
  <c r="C1543" i="2"/>
  <c r="B1543" i="2"/>
  <c r="F1542" i="2"/>
  <c r="C1542" i="2"/>
  <c r="B1542" i="2"/>
  <c r="F1541" i="2"/>
  <c r="C1541" i="2"/>
  <c r="B1541" i="2"/>
  <c r="F1540" i="2"/>
  <c r="C1540" i="2"/>
  <c r="B1540" i="2"/>
  <c r="F1539" i="2"/>
  <c r="C1539" i="2"/>
  <c r="B1539" i="2"/>
  <c r="F1538" i="2"/>
  <c r="C1538" i="2"/>
  <c r="B1538" i="2"/>
  <c r="F1537" i="2"/>
  <c r="C1537" i="2"/>
  <c r="B1537" i="2"/>
  <c r="F1536" i="2"/>
  <c r="C1536" i="2"/>
  <c r="B1536" i="2"/>
  <c r="F1535" i="2"/>
  <c r="C1535" i="2"/>
  <c r="B1535" i="2"/>
  <c r="F1534" i="2"/>
  <c r="C1534" i="2"/>
  <c r="B1534" i="2"/>
  <c r="F1533" i="2"/>
  <c r="C1533" i="2"/>
  <c r="B1533" i="2"/>
  <c r="F1532" i="2"/>
  <c r="C1532" i="2"/>
  <c r="B1532" i="2"/>
  <c r="F1531" i="2"/>
  <c r="C1531" i="2"/>
  <c r="B1531" i="2"/>
  <c r="F1530" i="2"/>
  <c r="C1530" i="2"/>
  <c r="B1530" i="2"/>
  <c r="F1529" i="2"/>
  <c r="C1529" i="2"/>
  <c r="B1529" i="2"/>
  <c r="F1528" i="2"/>
  <c r="C1528" i="2"/>
  <c r="B1528" i="2"/>
  <c r="F1527" i="2"/>
  <c r="C1527" i="2"/>
  <c r="B1527" i="2"/>
  <c r="F1526" i="2"/>
  <c r="C1526" i="2"/>
  <c r="B1526" i="2"/>
  <c r="F1525" i="2"/>
  <c r="C1525" i="2"/>
  <c r="B1525" i="2"/>
  <c r="F1524" i="2"/>
  <c r="C1524" i="2"/>
  <c r="B1524" i="2"/>
  <c r="F1523" i="2"/>
  <c r="C1523" i="2"/>
  <c r="B1523" i="2"/>
  <c r="F1522" i="2"/>
  <c r="C1522" i="2"/>
  <c r="B1522" i="2"/>
  <c r="F1521" i="2"/>
  <c r="C1521" i="2"/>
  <c r="B1521" i="2"/>
  <c r="F1520" i="2"/>
  <c r="C1520" i="2"/>
  <c r="B1520" i="2"/>
  <c r="F1519" i="2"/>
  <c r="C1519" i="2"/>
  <c r="B1519" i="2"/>
  <c r="F1518" i="2"/>
  <c r="C1518" i="2"/>
  <c r="B1518" i="2"/>
  <c r="F1517" i="2"/>
  <c r="C1517" i="2"/>
  <c r="B1517" i="2"/>
  <c r="F1516" i="2"/>
  <c r="C1516" i="2"/>
  <c r="B1516" i="2"/>
  <c r="F1515" i="2"/>
  <c r="C1515" i="2"/>
  <c r="B1515" i="2"/>
  <c r="F1514" i="2"/>
  <c r="C1514" i="2"/>
  <c r="B1514" i="2"/>
  <c r="F1513" i="2"/>
  <c r="C1513" i="2"/>
  <c r="B1513" i="2"/>
  <c r="F1512" i="2"/>
  <c r="C1512" i="2"/>
  <c r="B1512" i="2"/>
  <c r="F1511" i="2"/>
  <c r="C1511" i="2"/>
  <c r="B1511" i="2"/>
  <c r="F1510" i="2"/>
  <c r="C1510" i="2"/>
  <c r="B1510" i="2"/>
  <c r="F1509" i="2"/>
  <c r="C1509" i="2"/>
  <c r="B1509" i="2"/>
  <c r="F1508" i="2"/>
  <c r="C1508" i="2"/>
  <c r="B1508" i="2"/>
  <c r="F1507" i="2"/>
  <c r="C1507" i="2"/>
  <c r="B1507" i="2"/>
  <c r="F1506" i="2"/>
  <c r="C1506" i="2"/>
  <c r="B1506" i="2"/>
  <c r="F1505" i="2"/>
  <c r="C1505" i="2"/>
  <c r="B1505" i="2"/>
  <c r="F1504" i="2"/>
  <c r="C1504" i="2"/>
  <c r="B1504" i="2"/>
  <c r="F1503" i="2"/>
  <c r="C1503" i="2"/>
  <c r="B1503" i="2"/>
  <c r="F1502" i="2"/>
  <c r="C1502" i="2"/>
  <c r="B1502" i="2"/>
  <c r="F1501" i="2"/>
  <c r="C1501" i="2"/>
  <c r="B1501" i="2"/>
  <c r="F1500" i="2"/>
  <c r="C1500" i="2"/>
  <c r="B1500" i="2"/>
  <c r="F1499" i="2"/>
  <c r="C1499" i="2"/>
  <c r="B1499" i="2"/>
  <c r="F1498" i="2"/>
  <c r="C1498" i="2"/>
  <c r="B1498" i="2"/>
  <c r="F1497" i="2"/>
  <c r="C1497" i="2"/>
  <c r="B1497" i="2"/>
  <c r="F1496" i="2"/>
  <c r="C1496" i="2"/>
  <c r="B1496" i="2"/>
  <c r="F1495" i="2"/>
  <c r="C1495" i="2"/>
  <c r="B1495" i="2"/>
  <c r="F1494" i="2"/>
  <c r="C1494" i="2"/>
  <c r="B1494" i="2"/>
  <c r="F1493" i="2"/>
  <c r="C1493" i="2"/>
  <c r="B1493" i="2"/>
  <c r="F1492" i="2"/>
  <c r="C1492" i="2"/>
  <c r="B1492" i="2"/>
  <c r="F1491" i="2"/>
  <c r="C1491" i="2"/>
  <c r="B1491" i="2"/>
  <c r="F1490" i="2"/>
  <c r="C1490" i="2"/>
  <c r="B1490" i="2"/>
  <c r="F1489" i="2"/>
  <c r="C1489" i="2"/>
  <c r="B1489" i="2"/>
  <c r="F1488" i="2"/>
  <c r="C1488" i="2"/>
  <c r="B1488" i="2"/>
  <c r="F1487" i="2"/>
  <c r="C1487" i="2"/>
  <c r="B1487" i="2"/>
  <c r="F1486" i="2"/>
  <c r="C1486" i="2"/>
  <c r="B1486" i="2"/>
  <c r="F1485" i="2"/>
  <c r="C1485" i="2"/>
  <c r="B1485" i="2"/>
  <c r="F1484" i="2"/>
  <c r="C1484" i="2"/>
  <c r="B1484" i="2"/>
  <c r="F1483" i="2"/>
  <c r="C1483" i="2"/>
  <c r="B1483" i="2"/>
  <c r="F1482" i="2"/>
  <c r="C1482" i="2"/>
  <c r="B1482" i="2"/>
  <c r="F1481" i="2"/>
  <c r="C1481" i="2"/>
  <c r="B1481" i="2"/>
  <c r="F1480" i="2"/>
  <c r="C1480" i="2"/>
  <c r="B1480" i="2"/>
  <c r="F1479" i="2"/>
  <c r="C1479" i="2"/>
  <c r="B1479" i="2"/>
  <c r="F1478" i="2"/>
  <c r="C1478" i="2"/>
  <c r="B1478" i="2"/>
  <c r="F1477" i="2"/>
  <c r="C1477" i="2"/>
  <c r="B1477" i="2"/>
  <c r="F1476" i="2"/>
  <c r="C1476" i="2"/>
  <c r="B1476" i="2"/>
  <c r="F1475" i="2"/>
  <c r="C1475" i="2"/>
  <c r="B1475" i="2"/>
  <c r="F1474" i="2"/>
  <c r="C1474" i="2"/>
  <c r="B1474" i="2"/>
  <c r="F1473" i="2"/>
  <c r="C1473" i="2"/>
  <c r="B1473" i="2"/>
  <c r="F1472" i="2"/>
  <c r="C1472" i="2"/>
  <c r="B1472" i="2"/>
  <c r="F1471" i="2"/>
  <c r="C1471" i="2"/>
  <c r="B1471" i="2"/>
  <c r="F1470" i="2"/>
  <c r="C1470" i="2"/>
  <c r="B1470" i="2"/>
  <c r="F1469" i="2"/>
  <c r="C1469" i="2"/>
  <c r="B1469" i="2"/>
  <c r="F1468" i="2"/>
  <c r="C1468" i="2"/>
  <c r="B1468" i="2"/>
  <c r="F1467" i="2"/>
  <c r="C1467" i="2"/>
  <c r="B1467" i="2"/>
  <c r="F1466" i="2"/>
  <c r="C1466" i="2"/>
  <c r="B1466" i="2"/>
  <c r="F1465" i="2"/>
  <c r="C1465" i="2"/>
  <c r="B1465" i="2"/>
  <c r="F1464" i="2"/>
  <c r="C1464" i="2"/>
  <c r="B1464" i="2"/>
  <c r="F1463" i="2"/>
  <c r="C1463" i="2"/>
  <c r="B1463" i="2"/>
  <c r="F1462" i="2"/>
  <c r="C1462" i="2"/>
  <c r="B1462" i="2"/>
  <c r="F1461" i="2"/>
  <c r="C1461" i="2"/>
  <c r="B1461" i="2"/>
  <c r="F1460" i="2"/>
  <c r="C1460" i="2"/>
  <c r="B1460" i="2"/>
  <c r="F1459" i="2"/>
  <c r="C1459" i="2"/>
  <c r="B1459" i="2"/>
  <c r="F1458" i="2"/>
  <c r="C1458" i="2"/>
  <c r="B1458" i="2"/>
  <c r="F1457" i="2"/>
  <c r="C1457" i="2"/>
  <c r="B1457" i="2"/>
  <c r="F1456" i="2"/>
  <c r="C1456" i="2"/>
  <c r="B1456" i="2"/>
  <c r="F1455" i="2"/>
  <c r="C1455" i="2"/>
  <c r="B1455" i="2"/>
  <c r="F1454" i="2"/>
  <c r="C1454" i="2"/>
  <c r="B1454" i="2"/>
  <c r="F1453" i="2"/>
  <c r="C1453" i="2"/>
  <c r="B1453" i="2"/>
  <c r="F1452" i="2"/>
  <c r="C1452" i="2"/>
  <c r="B1452" i="2"/>
  <c r="F1451" i="2"/>
  <c r="C1451" i="2"/>
  <c r="B1451" i="2"/>
  <c r="F1450" i="2"/>
  <c r="C1450" i="2"/>
  <c r="B1450" i="2"/>
  <c r="F1449" i="2"/>
  <c r="C1449" i="2"/>
  <c r="B1449" i="2"/>
  <c r="F1448" i="2"/>
  <c r="C1448" i="2"/>
  <c r="B1448" i="2"/>
  <c r="F1447" i="2"/>
  <c r="C1447" i="2"/>
  <c r="B1447" i="2"/>
  <c r="F1446" i="2"/>
  <c r="C1446" i="2"/>
  <c r="B1446" i="2"/>
  <c r="F1445" i="2"/>
  <c r="C1445" i="2"/>
  <c r="B1445" i="2"/>
  <c r="F1444" i="2"/>
  <c r="C1444" i="2"/>
  <c r="B1444" i="2"/>
  <c r="F1443" i="2"/>
  <c r="C1443" i="2"/>
  <c r="B1443" i="2"/>
  <c r="F1442" i="2"/>
  <c r="C1442" i="2"/>
  <c r="B1442" i="2"/>
  <c r="F1441" i="2"/>
  <c r="C1441" i="2"/>
  <c r="B1441" i="2"/>
  <c r="F1440" i="2"/>
  <c r="C1440" i="2"/>
  <c r="B1440" i="2"/>
  <c r="F1439" i="2"/>
  <c r="C1439" i="2"/>
  <c r="B1439" i="2"/>
  <c r="F1438" i="2"/>
  <c r="C1438" i="2"/>
  <c r="B1438" i="2"/>
  <c r="F1437" i="2"/>
  <c r="C1437" i="2"/>
  <c r="B1437" i="2"/>
  <c r="F1436" i="2"/>
  <c r="C1436" i="2"/>
  <c r="B1436" i="2"/>
  <c r="F1435" i="2"/>
  <c r="C1435" i="2"/>
  <c r="B1435" i="2"/>
  <c r="F1434" i="2"/>
  <c r="C1434" i="2"/>
  <c r="B1434" i="2"/>
  <c r="F1433" i="2"/>
  <c r="C1433" i="2"/>
  <c r="B1433" i="2"/>
  <c r="F1432" i="2"/>
  <c r="C1432" i="2"/>
  <c r="B1432" i="2"/>
  <c r="F1431" i="2"/>
  <c r="C1431" i="2"/>
  <c r="B1431" i="2"/>
  <c r="F1430" i="2"/>
  <c r="C1430" i="2"/>
  <c r="B1430" i="2"/>
  <c r="F1429" i="2"/>
  <c r="C1429" i="2"/>
  <c r="B1429" i="2"/>
  <c r="F1428" i="2"/>
  <c r="C1428" i="2"/>
  <c r="B1428" i="2"/>
  <c r="F1427" i="2"/>
  <c r="C1427" i="2"/>
  <c r="B1427" i="2"/>
  <c r="F1426" i="2"/>
  <c r="C1426" i="2"/>
  <c r="B1426" i="2"/>
  <c r="F1425" i="2"/>
  <c r="C1425" i="2"/>
  <c r="B1425" i="2"/>
  <c r="F1424" i="2"/>
  <c r="C1424" i="2"/>
  <c r="B1424" i="2"/>
  <c r="F1423" i="2"/>
  <c r="C1423" i="2"/>
  <c r="B1423" i="2"/>
  <c r="F1422" i="2"/>
  <c r="C1422" i="2"/>
  <c r="B1422" i="2"/>
  <c r="F1421" i="2"/>
  <c r="C1421" i="2"/>
  <c r="B1421" i="2"/>
  <c r="F1420" i="2"/>
  <c r="C1420" i="2"/>
  <c r="B1420" i="2"/>
  <c r="F1419" i="2"/>
  <c r="C1419" i="2"/>
  <c r="B1419" i="2"/>
  <c r="F1418" i="2"/>
  <c r="C1418" i="2"/>
  <c r="B1418" i="2"/>
  <c r="F1417" i="2"/>
  <c r="C1417" i="2"/>
  <c r="B1417" i="2"/>
  <c r="F1416" i="2"/>
  <c r="C1416" i="2"/>
  <c r="B1416" i="2"/>
  <c r="F1415" i="2"/>
  <c r="C1415" i="2"/>
  <c r="B1415" i="2"/>
  <c r="F1414" i="2"/>
  <c r="C1414" i="2"/>
  <c r="B1414" i="2"/>
  <c r="F1413" i="2"/>
  <c r="C1413" i="2"/>
  <c r="B1413" i="2"/>
  <c r="F1412" i="2"/>
  <c r="C1412" i="2"/>
  <c r="B1412" i="2"/>
  <c r="F1411" i="2"/>
  <c r="C1411" i="2"/>
  <c r="B1411" i="2"/>
  <c r="F1410" i="2"/>
  <c r="C1410" i="2"/>
  <c r="B1410" i="2"/>
  <c r="F1409" i="2"/>
  <c r="C1409" i="2"/>
  <c r="B1409" i="2"/>
  <c r="F1408" i="2"/>
  <c r="C1408" i="2"/>
  <c r="B1408" i="2"/>
  <c r="F1407" i="2"/>
  <c r="C1407" i="2"/>
  <c r="B1407" i="2"/>
  <c r="F1406" i="2"/>
  <c r="C1406" i="2"/>
  <c r="B1406" i="2"/>
  <c r="F1405" i="2"/>
  <c r="C1405" i="2"/>
  <c r="B1405" i="2"/>
  <c r="F1404" i="2"/>
  <c r="C1404" i="2"/>
  <c r="B1404" i="2"/>
  <c r="F1403" i="2"/>
  <c r="C1403" i="2"/>
  <c r="B1403" i="2"/>
  <c r="F1402" i="2"/>
  <c r="C1402" i="2"/>
  <c r="B1402" i="2"/>
  <c r="F1401" i="2"/>
  <c r="C1401" i="2"/>
  <c r="B1401" i="2"/>
  <c r="F1400" i="2"/>
  <c r="C1400" i="2"/>
  <c r="B1400" i="2"/>
  <c r="F1399" i="2"/>
  <c r="C1399" i="2"/>
  <c r="B1399" i="2"/>
  <c r="F1398" i="2"/>
  <c r="C1398" i="2"/>
  <c r="B1398" i="2"/>
  <c r="F1397" i="2"/>
  <c r="C1397" i="2"/>
  <c r="B1397" i="2"/>
  <c r="F1396" i="2"/>
  <c r="C1396" i="2"/>
  <c r="B1396" i="2"/>
  <c r="F1395" i="2"/>
  <c r="C1395" i="2"/>
  <c r="B1395" i="2"/>
  <c r="F1394" i="2"/>
  <c r="C1394" i="2"/>
  <c r="B1394" i="2"/>
  <c r="F1393" i="2"/>
  <c r="C1393" i="2"/>
  <c r="B1393" i="2"/>
  <c r="F1392" i="2"/>
  <c r="C1392" i="2"/>
  <c r="B1392" i="2"/>
  <c r="F1391" i="2"/>
  <c r="C1391" i="2"/>
  <c r="B1391" i="2"/>
  <c r="F1390" i="2"/>
  <c r="C1390" i="2"/>
  <c r="B1390" i="2"/>
  <c r="F1389" i="2"/>
  <c r="C1389" i="2"/>
  <c r="B1389" i="2"/>
  <c r="F1388" i="2"/>
  <c r="C1388" i="2"/>
  <c r="B1388" i="2"/>
  <c r="F1387" i="2"/>
  <c r="C1387" i="2"/>
  <c r="B1387" i="2"/>
  <c r="F1386" i="2"/>
  <c r="C1386" i="2"/>
  <c r="B1386" i="2"/>
  <c r="F1385" i="2"/>
  <c r="C1385" i="2"/>
  <c r="B1385" i="2"/>
  <c r="F1384" i="2"/>
  <c r="C1384" i="2"/>
  <c r="B1384" i="2"/>
  <c r="F1383" i="2"/>
  <c r="C1383" i="2"/>
  <c r="B1383" i="2"/>
  <c r="F1382" i="2"/>
  <c r="C1382" i="2"/>
  <c r="B1382" i="2"/>
  <c r="F1381" i="2"/>
  <c r="C1381" i="2"/>
  <c r="B1381" i="2"/>
  <c r="F1380" i="2"/>
  <c r="C1380" i="2"/>
  <c r="B1380" i="2"/>
  <c r="F1379" i="2"/>
  <c r="C1379" i="2"/>
  <c r="B1379" i="2"/>
  <c r="F1378" i="2"/>
  <c r="C1378" i="2"/>
  <c r="B1378" i="2"/>
  <c r="F1377" i="2"/>
  <c r="C1377" i="2"/>
  <c r="B1377" i="2"/>
  <c r="F1376" i="2"/>
  <c r="C1376" i="2"/>
  <c r="B1376" i="2"/>
  <c r="F1375" i="2"/>
  <c r="C1375" i="2"/>
  <c r="B1375" i="2"/>
  <c r="F1374" i="2"/>
  <c r="C1374" i="2"/>
  <c r="B1374" i="2"/>
  <c r="F1373" i="2"/>
  <c r="C1373" i="2"/>
  <c r="B1373" i="2"/>
  <c r="F1372" i="2"/>
  <c r="C1372" i="2"/>
  <c r="B1372" i="2"/>
  <c r="F1371" i="2"/>
  <c r="C1371" i="2"/>
  <c r="B1371" i="2"/>
  <c r="F1370" i="2"/>
  <c r="C1370" i="2"/>
  <c r="B1370" i="2"/>
  <c r="F1369" i="2"/>
  <c r="C1369" i="2"/>
  <c r="B1369" i="2"/>
  <c r="F1368" i="2"/>
  <c r="C1368" i="2"/>
  <c r="B1368" i="2"/>
  <c r="F1367" i="2"/>
  <c r="C1367" i="2"/>
  <c r="B1367" i="2"/>
  <c r="F1366" i="2"/>
  <c r="C1366" i="2"/>
  <c r="B1366" i="2"/>
  <c r="F1365" i="2"/>
  <c r="C1365" i="2"/>
  <c r="B1365" i="2"/>
  <c r="F1364" i="2"/>
  <c r="C1364" i="2"/>
  <c r="B1364" i="2"/>
  <c r="F1363" i="2"/>
  <c r="C1363" i="2"/>
  <c r="B1363" i="2"/>
  <c r="F1362" i="2"/>
  <c r="C1362" i="2"/>
  <c r="B1362" i="2"/>
  <c r="F1361" i="2"/>
  <c r="C1361" i="2"/>
  <c r="B1361" i="2"/>
  <c r="F1360" i="2"/>
  <c r="C1360" i="2"/>
  <c r="B1360" i="2"/>
  <c r="F1359" i="2"/>
  <c r="C1359" i="2"/>
  <c r="B1359" i="2"/>
  <c r="F1358" i="2"/>
  <c r="C1358" i="2"/>
  <c r="B1358" i="2"/>
  <c r="F1357" i="2"/>
  <c r="C1357" i="2"/>
  <c r="B1357" i="2"/>
  <c r="F1356" i="2"/>
  <c r="C1356" i="2"/>
  <c r="B1356" i="2"/>
  <c r="F1355" i="2"/>
  <c r="C1355" i="2"/>
  <c r="B1355" i="2"/>
  <c r="F1354" i="2"/>
  <c r="C1354" i="2"/>
  <c r="B1354" i="2"/>
  <c r="F1353" i="2"/>
  <c r="C1353" i="2"/>
  <c r="B1353" i="2"/>
  <c r="F1352" i="2"/>
  <c r="C1352" i="2"/>
  <c r="B1352" i="2"/>
  <c r="F1351" i="2"/>
  <c r="C1351" i="2"/>
  <c r="B1351" i="2"/>
  <c r="F1350" i="2"/>
  <c r="C1350" i="2"/>
  <c r="B1350" i="2"/>
  <c r="F1349" i="2"/>
  <c r="C1349" i="2"/>
  <c r="B1349" i="2"/>
  <c r="F1348" i="2"/>
  <c r="C1348" i="2"/>
  <c r="B1348" i="2"/>
  <c r="F1347" i="2"/>
  <c r="C1347" i="2"/>
  <c r="B1347" i="2"/>
  <c r="F1346" i="2"/>
  <c r="C1346" i="2"/>
  <c r="B1346" i="2"/>
  <c r="F1345" i="2"/>
  <c r="C1345" i="2"/>
  <c r="B1345" i="2"/>
  <c r="F1344" i="2"/>
  <c r="C1344" i="2"/>
  <c r="B1344" i="2"/>
  <c r="F1343" i="2"/>
  <c r="C1343" i="2"/>
  <c r="B1343" i="2"/>
  <c r="F1342" i="2"/>
  <c r="C1342" i="2"/>
  <c r="B1342" i="2"/>
  <c r="F1341" i="2"/>
  <c r="C1341" i="2"/>
  <c r="B1341" i="2"/>
  <c r="F1340" i="2"/>
  <c r="C1340" i="2"/>
  <c r="B1340" i="2"/>
  <c r="F1339" i="2"/>
  <c r="C1339" i="2"/>
  <c r="B1339" i="2"/>
  <c r="F1338" i="2"/>
  <c r="C1338" i="2"/>
  <c r="B1338" i="2"/>
  <c r="F1337" i="2"/>
  <c r="C1337" i="2"/>
  <c r="B1337" i="2"/>
  <c r="F1336" i="2"/>
  <c r="C1336" i="2"/>
  <c r="B1336" i="2"/>
  <c r="F1335" i="2"/>
  <c r="C1335" i="2"/>
  <c r="B1335" i="2"/>
  <c r="F1334" i="2"/>
  <c r="C1334" i="2"/>
  <c r="B1334" i="2"/>
  <c r="F1333" i="2"/>
  <c r="C1333" i="2"/>
  <c r="B1333" i="2"/>
  <c r="F1332" i="2"/>
  <c r="C1332" i="2"/>
  <c r="B1332" i="2"/>
  <c r="F1331" i="2"/>
  <c r="C1331" i="2"/>
  <c r="B1331" i="2"/>
  <c r="F1330" i="2"/>
  <c r="C1330" i="2"/>
  <c r="B1330" i="2"/>
  <c r="F1329" i="2"/>
  <c r="C1329" i="2"/>
  <c r="B1329" i="2"/>
  <c r="F1328" i="2"/>
  <c r="C1328" i="2"/>
  <c r="B1328" i="2"/>
  <c r="F1327" i="2"/>
  <c r="C1327" i="2"/>
  <c r="B1327" i="2"/>
  <c r="F1326" i="2"/>
  <c r="C1326" i="2"/>
  <c r="B1326" i="2"/>
  <c r="F1325" i="2"/>
  <c r="C1325" i="2"/>
  <c r="B1325" i="2"/>
  <c r="F1324" i="2"/>
  <c r="C1324" i="2"/>
  <c r="B1324" i="2"/>
  <c r="F1323" i="2"/>
  <c r="C1323" i="2"/>
  <c r="B1323" i="2"/>
  <c r="F1322" i="2"/>
  <c r="C1322" i="2"/>
  <c r="B1322" i="2"/>
  <c r="F1321" i="2"/>
  <c r="C1321" i="2"/>
  <c r="B1321" i="2"/>
  <c r="F1320" i="2"/>
  <c r="C1320" i="2"/>
  <c r="B1320" i="2"/>
  <c r="F1319" i="2"/>
  <c r="C1319" i="2"/>
  <c r="B1319" i="2"/>
  <c r="F1318" i="2"/>
  <c r="C1318" i="2"/>
  <c r="B1318" i="2"/>
  <c r="F1317" i="2"/>
  <c r="C1317" i="2"/>
  <c r="B1317" i="2"/>
  <c r="F1316" i="2"/>
  <c r="C1316" i="2"/>
  <c r="B1316" i="2"/>
  <c r="F1315" i="2"/>
  <c r="C1315" i="2"/>
  <c r="B1315" i="2"/>
  <c r="F1314" i="2"/>
  <c r="C1314" i="2"/>
  <c r="B1314" i="2"/>
  <c r="F1313" i="2"/>
  <c r="C1313" i="2"/>
  <c r="B1313" i="2"/>
  <c r="F1312" i="2"/>
  <c r="C1312" i="2"/>
  <c r="B1312" i="2"/>
  <c r="F1311" i="2"/>
  <c r="C1311" i="2"/>
  <c r="B1311" i="2"/>
  <c r="F1310" i="2"/>
  <c r="C1310" i="2"/>
  <c r="B1310" i="2"/>
  <c r="F1309" i="2"/>
  <c r="C1309" i="2"/>
  <c r="B1309" i="2"/>
  <c r="F1308" i="2"/>
  <c r="C1308" i="2"/>
  <c r="B1308" i="2"/>
  <c r="F1307" i="2"/>
  <c r="C1307" i="2"/>
  <c r="B1307" i="2"/>
  <c r="F1306" i="2"/>
  <c r="C1306" i="2"/>
  <c r="B1306" i="2"/>
  <c r="F1305" i="2"/>
  <c r="C1305" i="2"/>
  <c r="B1305" i="2"/>
  <c r="F1304" i="2"/>
  <c r="C1304" i="2"/>
  <c r="B1304" i="2"/>
  <c r="F1303" i="2"/>
  <c r="C1303" i="2"/>
  <c r="B1303" i="2"/>
  <c r="F1302" i="2"/>
  <c r="C1302" i="2"/>
  <c r="B1302" i="2"/>
  <c r="F1301" i="2"/>
  <c r="C1301" i="2"/>
  <c r="B1301" i="2"/>
  <c r="F1300" i="2"/>
  <c r="C1300" i="2"/>
  <c r="B1300" i="2"/>
  <c r="F1299" i="2"/>
  <c r="C1299" i="2"/>
  <c r="B1299" i="2"/>
  <c r="F1298" i="2"/>
  <c r="C1298" i="2"/>
  <c r="B1298" i="2"/>
  <c r="F1297" i="2"/>
  <c r="C1297" i="2"/>
  <c r="B1297" i="2"/>
  <c r="F1296" i="2"/>
  <c r="C1296" i="2"/>
  <c r="B1296" i="2"/>
  <c r="F1295" i="2"/>
  <c r="C1295" i="2"/>
  <c r="B1295" i="2"/>
  <c r="F1294" i="2"/>
  <c r="C1294" i="2"/>
  <c r="B1294" i="2"/>
  <c r="F1293" i="2"/>
  <c r="C1293" i="2"/>
  <c r="B1293" i="2"/>
  <c r="F1292" i="2"/>
  <c r="C1292" i="2"/>
  <c r="B1292" i="2"/>
  <c r="F1291" i="2"/>
  <c r="C1291" i="2"/>
  <c r="B1291" i="2"/>
  <c r="F1290" i="2"/>
  <c r="C1290" i="2"/>
  <c r="B1290" i="2"/>
  <c r="F1289" i="2"/>
  <c r="C1289" i="2"/>
  <c r="B1289" i="2"/>
  <c r="F1288" i="2"/>
  <c r="C1288" i="2"/>
  <c r="B1288" i="2"/>
  <c r="F1287" i="2"/>
  <c r="C1287" i="2"/>
  <c r="B1287" i="2"/>
  <c r="F1286" i="2"/>
  <c r="C1286" i="2"/>
  <c r="B1286" i="2"/>
  <c r="F1285" i="2"/>
  <c r="C1285" i="2"/>
  <c r="B1285" i="2"/>
  <c r="F1284" i="2"/>
  <c r="C1284" i="2"/>
  <c r="B1284" i="2"/>
  <c r="F1283" i="2"/>
  <c r="C1283" i="2"/>
  <c r="B1283" i="2"/>
  <c r="F1282" i="2"/>
  <c r="C1282" i="2"/>
  <c r="B1282" i="2"/>
  <c r="F1281" i="2"/>
  <c r="C1281" i="2"/>
  <c r="B1281" i="2"/>
  <c r="F1280" i="2"/>
  <c r="C1280" i="2"/>
  <c r="B1280" i="2"/>
  <c r="F1279" i="2"/>
  <c r="C1279" i="2"/>
  <c r="B1279" i="2"/>
  <c r="F1278" i="2"/>
  <c r="C1278" i="2"/>
  <c r="B1278" i="2"/>
  <c r="F1277" i="2"/>
  <c r="C1277" i="2"/>
  <c r="B1277" i="2"/>
  <c r="F1276" i="2"/>
  <c r="C1276" i="2"/>
  <c r="B1276" i="2"/>
  <c r="F1275" i="2"/>
  <c r="C1275" i="2"/>
  <c r="B1275" i="2"/>
  <c r="F1274" i="2"/>
  <c r="C1274" i="2"/>
  <c r="B1274" i="2"/>
  <c r="F1273" i="2"/>
  <c r="C1273" i="2"/>
  <c r="B1273" i="2"/>
  <c r="F1272" i="2"/>
  <c r="C1272" i="2"/>
  <c r="B1272" i="2"/>
  <c r="F1271" i="2"/>
  <c r="C1271" i="2"/>
  <c r="B1271" i="2"/>
  <c r="F1270" i="2"/>
  <c r="C1270" i="2"/>
  <c r="B1270" i="2"/>
  <c r="F1269" i="2"/>
  <c r="C1269" i="2"/>
  <c r="B1269" i="2"/>
  <c r="F1268" i="2"/>
  <c r="C1268" i="2"/>
  <c r="B1268" i="2"/>
  <c r="F1267" i="2"/>
  <c r="C1267" i="2"/>
  <c r="B1267" i="2"/>
  <c r="F1266" i="2"/>
  <c r="C1266" i="2"/>
  <c r="B1266" i="2"/>
  <c r="F1265" i="2"/>
  <c r="C1265" i="2"/>
  <c r="B1265" i="2"/>
  <c r="F1264" i="2"/>
  <c r="C1264" i="2"/>
  <c r="B1264" i="2"/>
  <c r="F1263" i="2"/>
  <c r="C1263" i="2"/>
  <c r="B1263" i="2"/>
  <c r="F1262" i="2"/>
  <c r="C1262" i="2"/>
  <c r="B1262" i="2"/>
  <c r="F1261" i="2"/>
  <c r="C1261" i="2"/>
  <c r="B1261" i="2"/>
  <c r="F1260" i="2"/>
  <c r="C1260" i="2"/>
  <c r="B1260" i="2"/>
  <c r="F1259" i="2"/>
  <c r="C1259" i="2"/>
  <c r="B1259" i="2"/>
  <c r="F1258" i="2"/>
  <c r="C1258" i="2"/>
  <c r="B1258" i="2"/>
  <c r="F1257" i="2"/>
  <c r="C1257" i="2"/>
  <c r="B1257" i="2"/>
  <c r="F1256" i="2"/>
  <c r="C1256" i="2"/>
  <c r="B1256" i="2"/>
  <c r="F1255" i="2"/>
  <c r="C1255" i="2"/>
  <c r="B1255" i="2"/>
  <c r="F1254" i="2"/>
  <c r="C1254" i="2"/>
  <c r="B1254" i="2"/>
  <c r="F1253" i="2"/>
  <c r="C1253" i="2"/>
  <c r="B1253" i="2"/>
  <c r="F1252" i="2"/>
  <c r="C1252" i="2"/>
  <c r="B1252" i="2"/>
  <c r="F1251" i="2"/>
  <c r="C1251" i="2"/>
  <c r="B1251" i="2"/>
  <c r="F1250" i="2"/>
  <c r="C1250" i="2"/>
  <c r="B1250" i="2"/>
  <c r="F1249" i="2"/>
  <c r="C1249" i="2"/>
  <c r="B1249" i="2"/>
  <c r="F1248" i="2"/>
  <c r="C1248" i="2"/>
  <c r="B1248" i="2"/>
  <c r="F1247" i="2"/>
  <c r="C1247" i="2"/>
  <c r="B1247" i="2"/>
  <c r="F1246" i="2"/>
  <c r="C1246" i="2"/>
  <c r="B1246" i="2"/>
  <c r="F1245" i="2"/>
  <c r="C1245" i="2"/>
  <c r="B1245" i="2"/>
  <c r="F1244" i="2"/>
  <c r="C1244" i="2"/>
  <c r="B1244" i="2"/>
  <c r="F1243" i="2"/>
  <c r="C1243" i="2"/>
  <c r="B1243" i="2"/>
  <c r="F1242" i="2"/>
  <c r="C1242" i="2"/>
  <c r="B1242" i="2"/>
  <c r="F1241" i="2"/>
  <c r="C1241" i="2"/>
  <c r="B1241" i="2"/>
  <c r="F1240" i="2"/>
  <c r="C1240" i="2"/>
  <c r="B1240" i="2"/>
  <c r="F1239" i="2"/>
  <c r="C1239" i="2"/>
  <c r="B1239" i="2"/>
  <c r="F1238" i="2"/>
  <c r="C1238" i="2"/>
  <c r="B1238" i="2"/>
  <c r="F1237" i="2"/>
  <c r="C1237" i="2"/>
  <c r="B1237" i="2"/>
  <c r="F1236" i="2"/>
  <c r="C1236" i="2"/>
  <c r="B1236" i="2"/>
  <c r="F1235" i="2"/>
  <c r="C1235" i="2"/>
  <c r="B1235" i="2"/>
  <c r="F1234" i="2"/>
  <c r="C1234" i="2"/>
  <c r="B1234" i="2"/>
  <c r="F1233" i="2"/>
  <c r="C1233" i="2"/>
  <c r="B1233" i="2"/>
  <c r="F1232" i="2"/>
  <c r="C1232" i="2"/>
  <c r="B1232" i="2"/>
  <c r="F1231" i="2"/>
  <c r="C1231" i="2"/>
  <c r="B1231" i="2"/>
  <c r="F1230" i="2"/>
  <c r="C1230" i="2"/>
  <c r="B1230" i="2"/>
  <c r="F1229" i="2"/>
  <c r="C1229" i="2"/>
  <c r="B1229" i="2"/>
  <c r="F1228" i="2"/>
  <c r="C1228" i="2"/>
  <c r="B1228" i="2"/>
  <c r="F1227" i="2"/>
  <c r="C1227" i="2"/>
  <c r="B1227" i="2"/>
  <c r="F1226" i="2"/>
  <c r="C1226" i="2"/>
  <c r="B1226" i="2"/>
  <c r="F1225" i="2"/>
  <c r="C1225" i="2"/>
  <c r="B1225" i="2"/>
  <c r="F1224" i="2"/>
  <c r="C1224" i="2"/>
  <c r="B1224" i="2"/>
  <c r="F1223" i="2"/>
  <c r="C1223" i="2"/>
  <c r="B1223" i="2"/>
  <c r="F1222" i="2"/>
  <c r="C1222" i="2"/>
  <c r="B1222" i="2"/>
  <c r="F1221" i="2"/>
  <c r="C1221" i="2"/>
  <c r="B1221" i="2"/>
  <c r="F1220" i="2"/>
  <c r="C1220" i="2"/>
  <c r="B1220" i="2"/>
  <c r="F1219" i="2"/>
  <c r="C1219" i="2"/>
  <c r="B1219" i="2"/>
  <c r="F1218" i="2"/>
  <c r="C1218" i="2"/>
  <c r="B1218" i="2"/>
  <c r="F1217" i="2"/>
  <c r="C1217" i="2"/>
  <c r="B1217" i="2"/>
  <c r="F1216" i="2"/>
  <c r="C1216" i="2"/>
  <c r="B1216" i="2"/>
  <c r="F1215" i="2"/>
  <c r="C1215" i="2"/>
  <c r="B1215" i="2"/>
  <c r="F1214" i="2"/>
  <c r="C1214" i="2"/>
  <c r="B1214" i="2"/>
  <c r="F1213" i="2"/>
  <c r="C1213" i="2"/>
  <c r="B1213" i="2"/>
  <c r="F1212" i="2"/>
  <c r="C1212" i="2"/>
  <c r="B1212" i="2"/>
  <c r="F1211" i="2"/>
  <c r="C1211" i="2"/>
  <c r="B1211" i="2"/>
  <c r="F1210" i="2"/>
  <c r="C1210" i="2"/>
  <c r="B1210" i="2"/>
  <c r="F1209" i="2"/>
  <c r="C1209" i="2"/>
  <c r="B1209" i="2"/>
  <c r="F1208" i="2"/>
  <c r="C1208" i="2"/>
  <c r="B1208" i="2"/>
  <c r="F1207" i="2"/>
  <c r="C1207" i="2"/>
  <c r="B1207" i="2"/>
  <c r="F1206" i="2"/>
  <c r="C1206" i="2"/>
  <c r="B1206" i="2"/>
  <c r="F1205" i="2"/>
  <c r="C1205" i="2"/>
  <c r="B1205" i="2"/>
  <c r="F1204" i="2"/>
  <c r="C1204" i="2"/>
  <c r="B1204" i="2"/>
  <c r="F1203" i="2"/>
  <c r="C1203" i="2"/>
  <c r="B1203" i="2"/>
  <c r="F1202" i="2"/>
  <c r="C1202" i="2"/>
  <c r="B1202" i="2"/>
  <c r="F1201" i="2"/>
  <c r="C1201" i="2"/>
  <c r="B1201" i="2"/>
  <c r="F1200" i="2"/>
  <c r="C1200" i="2"/>
  <c r="B1200" i="2"/>
  <c r="F1199" i="2"/>
  <c r="C1199" i="2"/>
  <c r="B1199" i="2"/>
  <c r="F1198" i="2"/>
  <c r="C1198" i="2"/>
  <c r="B1198" i="2"/>
  <c r="F1197" i="2"/>
  <c r="C1197" i="2"/>
  <c r="B1197" i="2"/>
  <c r="F1196" i="2"/>
  <c r="C1196" i="2"/>
  <c r="B1196" i="2"/>
  <c r="F1195" i="2"/>
  <c r="C1195" i="2"/>
  <c r="B1195" i="2"/>
  <c r="F1194" i="2"/>
  <c r="C1194" i="2"/>
  <c r="B1194" i="2"/>
  <c r="F1193" i="2"/>
  <c r="C1193" i="2"/>
  <c r="B1193" i="2"/>
  <c r="F1192" i="2"/>
  <c r="C1192" i="2"/>
  <c r="B1192" i="2"/>
  <c r="F1191" i="2"/>
  <c r="C1191" i="2"/>
  <c r="B1191" i="2"/>
  <c r="F1190" i="2"/>
  <c r="C1190" i="2"/>
  <c r="B1190" i="2"/>
  <c r="F1189" i="2"/>
  <c r="C1189" i="2"/>
  <c r="B1189" i="2"/>
  <c r="F1188" i="2"/>
  <c r="C1188" i="2"/>
  <c r="B1188" i="2"/>
  <c r="F1187" i="2"/>
  <c r="C1187" i="2"/>
  <c r="B1187" i="2"/>
  <c r="F1186" i="2"/>
  <c r="C1186" i="2"/>
  <c r="B1186" i="2"/>
  <c r="F1185" i="2"/>
  <c r="C1185" i="2"/>
  <c r="B1185" i="2"/>
  <c r="F1184" i="2"/>
  <c r="C1184" i="2"/>
  <c r="B1184" i="2"/>
  <c r="F1183" i="2"/>
  <c r="C1183" i="2"/>
  <c r="B1183" i="2"/>
  <c r="F1182" i="2"/>
  <c r="C1182" i="2"/>
  <c r="B1182" i="2"/>
  <c r="F1181" i="2"/>
  <c r="C1181" i="2"/>
  <c r="B1181" i="2"/>
  <c r="F1180" i="2"/>
  <c r="C1180" i="2"/>
  <c r="B1180" i="2"/>
  <c r="F1179" i="2"/>
  <c r="C1179" i="2"/>
  <c r="B1179" i="2"/>
  <c r="F1178" i="2"/>
  <c r="C1178" i="2"/>
  <c r="B1178" i="2"/>
  <c r="F1177" i="2"/>
  <c r="C1177" i="2"/>
  <c r="B1177" i="2"/>
  <c r="F1176" i="2"/>
  <c r="C1176" i="2"/>
  <c r="B1176" i="2"/>
  <c r="F1175" i="2"/>
  <c r="C1175" i="2"/>
  <c r="B1175" i="2"/>
  <c r="F1174" i="2"/>
  <c r="C1174" i="2"/>
  <c r="B1174" i="2"/>
  <c r="F1173" i="2"/>
  <c r="C1173" i="2"/>
  <c r="B1173" i="2"/>
  <c r="F1172" i="2"/>
  <c r="C1172" i="2"/>
  <c r="B1172" i="2"/>
  <c r="F1171" i="2"/>
  <c r="C1171" i="2"/>
  <c r="B1171" i="2"/>
  <c r="F1170" i="2"/>
  <c r="C1170" i="2"/>
  <c r="B1170" i="2"/>
  <c r="F1169" i="2"/>
  <c r="C1169" i="2"/>
  <c r="B1169" i="2"/>
  <c r="F1168" i="2"/>
  <c r="C1168" i="2"/>
  <c r="B1168" i="2"/>
  <c r="F1167" i="2"/>
  <c r="C1167" i="2"/>
  <c r="B1167" i="2"/>
  <c r="F1166" i="2"/>
  <c r="C1166" i="2"/>
  <c r="B1166" i="2"/>
  <c r="F1165" i="2"/>
  <c r="C1165" i="2"/>
  <c r="B1165" i="2"/>
  <c r="F1164" i="2"/>
  <c r="C1164" i="2"/>
  <c r="B1164" i="2"/>
  <c r="F1163" i="2"/>
  <c r="C1163" i="2"/>
  <c r="B1163" i="2"/>
  <c r="F1162" i="2"/>
  <c r="C1162" i="2"/>
  <c r="B1162" i="2"/>
  <c r="F1161" i="2"/>
  <c r="C1161" i="2"/>
  <c r="B1161" i="2"/>
  <c r="F1160" i="2"/>
  <c r="C1160" i="2"/>
  <c r="B1160" i="2"/>
  <c r="F1159" i="2"/>
  <c r="C1159" i="2"/>
  <c r="B1159" i="2"/>
  <c r="F1158" i="2"/>
  <c r="C1158" i="2"/>
  <c r="B1158" i="2"/>
  <c r="F1157" i="2"/>
  <c r="C1157" i="2"/>
  <c r="B1157" i="2"/>
  <c r="F1156" i="2"/>
  <c r="C1156" i="2"/>
  <c r="B1156" i="2"/>
  <c r="F1155" i="2"/>
  <c r="C1155" i="2"/>
  <c r="B1155" i="2"/>
  <c r="F1154" i="2"/>
  <c r="C1154" i="2"/>
  <c r="B1154" i="2"/>
  <c r="F1153" i="2"/>
  <c r="C1153" i="2"/>
  <c r="B1153" i="2"/>
  <c r="F1152" i="2"/>
  <c r="C1152" i="2"/>
  <c r="B1152" i="2"/>
  <c r="F1151" i="2"/>
  <c r="C1151" i="2"/>
  <c r="B1151" i="2"/>
  <c r="F1150" i="2"/>
  <c r="C1150" i="2"/>
  <c r="B1150" i="2"/>
  <c r="F1149" i="2"/>
  <c r="C1149" i="2"/>
  <c r="B1149" i="2"/>
  <c r="F1148" i="2"/>
  <c r="C1148" i="2"/>
  <c r="B1148" i="2"/>
  <c r="F1147" i="2"/>
  <c r="C1147" i="2"/>
  <c r="B1147" i="2"/>
  <c r="F1146" i="2"/>
  <c r="C1146" i="2"/>
  <c r="B1146" i="2"/>
  <c r="F1145" i="2"/>
  <c r="C1145" i="2"/>
  <c r="B1145" i="2"/>
  <c r="F1144" i="2"/>
  <c r="C1144" i="2"/>
  <c r="B1144" i="2"/>
  <c r="F1143" i="2"/>
  <c r="C1143" i="2"/>
  <c r="B1143" i="2"/>
  <c r="F1142" i="2"/>
  <c r="C1142" i="2"/>
  <c r="B1142" i="2"/>
  <c r="F1141" i="2"/>
  <c r="C1141" i="2"/>
  <c r="B1141" i="2"/>
  <c r="F1140" i="2"/>
  <c r="C1140" i="2"/>
  <c r="B1140" i="2"/>
  <c r="F1139" i="2"/>
  <c r="C1139" i="2"/>
  <c r="B1139" i="2"/>
  <c r="F1138" i="2"/>
  <c r="C1138" i="2"/>
  <c r="B1138" i="2"/>
  <c r="F1137" i="2"/>
  <c r="C1137" i="2"/>
  <c r="B1137" i="2"/>
  <c r="F1136" i="2"/>
  <c r="C1136" i="2"/>
  <c r="B1136" i="2"/>
  <c r="F1135" i="2"/>
  <c r="C1135" i="2"/>
  <c r="B1135" i="2"/>
  <c r="F1134" i="2"/>
  <c r="C1134" i="2"/>
  <c r="B1134" i="2"/>
  <c r="F1133" i="2"/>
  <c r="C1133" i="2"/>
  <c r="B1133" i="2"/>
  <c r="F1132" i="2"/>
  <c r="C1132" i="2"/>
  <c r="B1132" i="2"/>
  <c r="F1131" i="2"/>
  <c r="C1131" i="2"/>
  <c r="B1131" i="2"/>
  <c r="F1130" i="2"/>
  <c r="C1130" i="2"/>
  <c r="B1130" i="2"/>
  <c r="F1129" i="2"/>
  <c r="C1129" i="2"/>
  <c r="B1129" i="2"/>
  <c r="F1128" i="2"/>
  <c r="C1128" i="2"/>
  <c r="B1128" i="2"/>
  <c r="F1127" i="2"/>
  <c r="C1127" i="2"/>
  <c r="B1127" i="2"/>
  <c r="F1126" i="2"/>
  <c r="C1126" i="2"/>
  <c r="B1126" i="2"/>
  <c r="F1125" i="2"/>
  <c r="C1125" i="2"/>
  <c r="B1125" i="2"/>
  <c r="F1124" i="2"/>
  <c r="C1124" i="2"/>
  <c r="B1124" i="2"/>
  <c r="F1123" i="2"/>
  <c r="C1123" i="2"/>
  <c r="B1123" i="2"/>
  <c r="F1122" i="2"/>
  <c r="C1122" i="2"/>
  <c r="B1122" i="2"/>
  <c r="F1121" i="2"/>
  <c r="C1121" i="2"/>
  <c r="B1121" i="2"/>
  <c r="F1120" i="2"/>
  <c r="C1120" i="2"/>
  <c r="B1120" i="2"/>
  <c r="F1119" i="2"/>
  <c r="C1119" i="2"/>
  <c r="B1119" i="2"/>
  <c r="F1118" i="2"/>
  <c r="C1118" i="2"/>
  <c r="B1118" i="2"/>
  <c r="F1117" i="2"/>
  <c r="C1117" i="2"/>
  <c r="B1117" i="2"/>
  <c r="F1116" i="2"/>
  <c r="C1116" i="2"/>
  <c r="B1116" i="2"/>
  <c r="F1115" i="2"/>
  <c r="C1115" i="2"/>
  <c r="B1115" i="2"/>
  <c r="F1114" i="2"/>
  <c r="C1114" i="2"/>
  <c r="B1114" i="2"/>
  <c r="F1113" i="2"/>
  <c r="C1113" i="2"/>
  <c r="B1113" i="2"/>
  <c r="F1112" i="2"/>
  <c r="C1112" i="2"/>
  <c r="B1112" i="2"/>
  <c r="F1111" i="2"/>
  <c r="C1111" i="2"/>
  <c r="B1111" i="2"/>
  <c r="F1110" i="2"/>
  <c r="C1110" i="2"/>
  <c r="B1110" i="2"/>
  <c r="F1109" i="2"/>
  <c r="C1109" i="2"/>
  <c r="B1109" i="2"/>
  <c r="F1108" i="2"/>
  <c r="C1108" i="2"/>
  <c r="B1108" i="2"/>
  <c r="F1107" i="2"/>
  <c r="C1107" i="2"/>
  <c r="B1107" i="2"/>
  <c r="F1106" i="2"/>
  <c r="C1106" i="2"/>
  <c r="B1106" i="2"/>
  <c r="F1105" i="2"/>
  <c r="C1105" i="2"/>
  <c r="B1105" i="2"/>
  <c r="F1104" i="2"/>
  <c r="C1104" i="2"/>
  <c r="B1104" i="2"/>
  <c r="F1103" i="2"/>
  <c r="C1103" i="2"/>
  <c r="B1103" i="2"/>
  <c r="F1102" i="2"/>
  <c r="C1102" i="2"/>
  <c r="B1102" i="2"/>
  <c r="F1101" i="2"/>
  <c r="C1101" i="2"/>
  <c r="B1101" i="2"/>
  <c r="F1100" i="2"/>
  <c r="C1100" i="2"/>
  <c r="B1100" i="2"/>
  <c r="F1099" i="2"/>
  <c r="C1099" i="2"/>
  <c r="B1099" i="2"/>
  <c r="F1098" i="2"/>
  <c r="C1098" i="2"/>
  <c r="B1098" i="2"/>
  <c r="F1097" i="2"/>
  <c r="C1097" i="2"/>
  <c r="B1097" i="2"/>
  <c r="F1096" i="2"/>
  <c r="C1096" i="2"/>
  <c r="B1096" i="2"/>
  <c r="F1095" i="2"/>
  <c r="C1095" i="2"/>
  <c r="B1095" i="2"/>
  <c r="F1094" i="2"/>
  <c r="C1094" i="2"/>
  <c r="B1094" i="2"/>
  <c r="F1093" i="2"/>
  <c r="C1093" i="2"/>
  <c r="B1093" i="2"/>
  <c r="F1092" i="2"/>
  <c r="C1092" i="2"/>
  <c r="B1092" i="2"/>
  <c r="F1091" i="2"/>
  <c r="C1091" i="2"/>
  <c r="B1091" i="2"/>
  <c r="F1090" i="2"/>
  <c r="C1090" i="2"/>
  <c r="B1090" i="2"/>
  <c r="F1089" i="2"/>
  <c r="C1089" i="2"/>
  <c r="B1089" i="2"/>
  <c r="F1088" i="2"/>
  <c r="C1088" i="2"/>
  <c r="B1088" i="2"/>
  <c r="F1087" i="2"/>
  <c r="C1087" i="2"/>
  <c r="B1087" i="2"/>
  <c r="F1086" i="2"/>
  <c r="C1086" i="2"/>
  <c r="B1086" i="2"/>
  <c r="F1085" i="2"/>
  <c r="C1085" i="2"/>
  <c r="B1085" i="2"/>
  <c r="F1084" i="2"/>
  <c r="C1084" i="2"/>
  <c r="B1084" i="2"/>
  <c r="F1083" i="2"/>
  <c r="C1083" i="2"/>
  <c r="B1083" i="2"/>
  <c r="F1082" i="2"/>
  <c r="C1082" i="2"/>
  <c r="B1082" i="2"/>
  <c r="F1081" i="2"/>
  <c r="C1081" i="2"/>
  <c r="B1081" i="2"/>
  <c r="F1080" i="2"/>
  <c r="C1080" i="2"/>
  <c r="B1080" i="2"/>
  <c r="F1079" i="2"/>
  <c r="C1079" i="2"/>
  <c r="B1079" i="2"/>
  <c r="F1078" i="2"/>
  <c r="C1078" i="2"/>
  <c r="B1078" i="2"/>
  <c r="F1077" i="2"/>
  <c r="C1077" i="2"/>
  <c r="B1077" i="2"/>
  <c r="F1076" i="2"/>
  <c r="C1076" i="2"/>
  <c r="B1076" i="2"/>
  <c r="F1075" i="2"/>
  <c r="C1075" i="2"/>
  <c r="B1075" i="2"/>
  <c r="F1074" i="2"/>
  <c r="C1074" i="2"/>
  <c r="B1074" i="2"/>
  <c r="F1073" i="2"/>
  <c r="C1073" i="2"/>
  <c r="B1073" i="2"/>
  <c r="F1072" i="2"/>
  <c r="C1072" i="2"/>
  <c r="B1072" i="2"/>
  <c r="F1071" i="2"/>
  <c r="C1071" i="2"/>
  <c r="B1071" i="2"/>
  <c r="F1070" i="2"/>
  <c r="C1070" i="2"/>
  <c r="B1070" i="2"/>
  <c r="F1069" i="2"/>
  <c r="C1069" i="2"/>
  <c r="B1069" i="2"/>
  <c r="F1068" i="2"/>
  <c r="C1068" i="2"/>
  <c r="B1068" i="2"/>
  <c r="F1067" i="2"/>
  <c r="C1067" i="2"/>
  <c r="B1067" i="2"/>
  <c r="F1066" i="2"/>
  <c r="C1066" i="2"/>
  <c r="B1066" i="2"/>
  <c r="F1065" i="2"/>
  <c r="C1065" i="2"/>
  <c r="B1065" i="2"/>
  <c r="F1064" i="2"/>
  <c r="C1064" i="2"/>
  <c r="B1064" i="2"/>
  <c r="F1063" i="2"/>
  <c r="C1063" i="2"/>
  <c r="B1063" i="2"/>
  <c r="F1062" i="2"/>
  <c r="C1062" i="2"/>
  <c r="B1062" i="2"/>
  <c r="F1061" i="2"/>
  <c r="C1061" i="2"/>
  <c r="B1061" i="2"/>
  <c r="F1060" i="2"/>
  <c r="C1060" i="2"/>
  <c r="B1060" i="2"/>
  <c r="F1059" i="2"/>
  <c r="C1059" i="2"/>
  <c r="B1059" i="2"/>
  <c r="F1058" i="2"/>
  <c r="C1058" i="2"/>
  <c r="B1058" i="2"/>
  <c r="F1057" i="2"/>
  <c r="C1057" i="2"/>
  <c r="B1057" i="2"/>
  <c r="F1056" i="2"/>
  <c r="C1056" i="2"/>
  <c r="B1056" i="2"/>
  <c r="F1055" i="2"/>
  <c r="C1055" i="2"/>
  <c r="B1055" i="2"/>
  <c r="F1054" i="2"/>
  <c r="C1054" i="2"/>
  <c r="B1054" i="2"/>
  <c r="F1053" i="2"/>
  <c r="C1053" i="2"/>
  <c r="B1053" i="2"/>
  <c r="F1052" i="2"/>
  <c r="C1052" i="2"/>
  <c r="B1052" i="2"/>
  <c r="F1051" i="2"/>
  <c r="C1051" i="2"/>
  <c r="B1051" i="2"/>
  <c r="F1050" i="2"/>
  <c r="C1050" i="2"/>
  <c r="B1050" i="2"/>
  <c r="F1049" i="2"/>
  <c r="C1049" i="2"/>
  <c r="B1049" i="2"/>
  <c r="F1048" i="2"/>
  <c r="C1048" i="2"/>
  <c r="B1048" i="2"/>
  <c r="F1047" i="2"/>
  <c r="C1047" i="2"/>
  <c r="B1047" i="2"/>
  <c r="F1046" i="2"/>
  <c r="C1046" i="2"/>
  <c r="B1046" i="2"/>
  <c r="F1045" i="2"/>
  <c r="C1045" i="2"/>
  <c r="B1045" i="2"/>
  <c r="F1044" i="2"/>
  <c r="C1044" i="2"/>
  <c r="B1044" i="2"/>
  <c r="F1043" i="2"/>
  <c r="C1043" i="2"/>
  <c r="B1043" i="2"/>
  <c r="F1042" i="2"/>
  <c r="C1042" i="2"/>
  <c r="B1042" i="2"/>
  <c r="F1041" i="2"/>
  <c r="C1041" i="2"/>
  <c r="B1041" i="2"/>
  <c r="F1040" i="2"/>
  <c r="C1040" i="2"/>
  <c r="B1040" i="2"/>
  <c r="F1039" i="2"/>
  <c r="C1039" i="2"/>
  <c r="B1039" i="2"/>
  <c r="F1038" i="2"/>
  <c r="C1038" i="2"/>
  <c r="B1038" i="2"/>
  <c r="F1037" i="2"/>
  <c r="C1037" i="2"/>
  <c r="B1037" i="2"/>
  <c r="F1036" i="2"/>
  <c r="C1036" i="2"/>
  <c r="B1036" i="2"/>
  <c r="F1035" i="2"/>
  <c r="C1035" i="2"/>
  <c r="B1035" i="2"/>
  <c r="F1034" i="2"/>
  <c r="C1034" i="2"/>
  <c r="B1034" i="2"/>
  <c r="F1033" i="2"/>
  <c r="C1033" i="2"/>
  <c r="B1033" i="2"/>
  <c r="F1032" i="2"/>
  <c r="C1032" i="2"/>
  <c r="B1032" i="2"/>
  <c r="F1031" i="2"/>
  <c r="C1031" i="2"/>
  <c r="B1031" i="2"/>
  <c r="F1030" i="2"/>
  <c r="C1030" i="2"/>
  <c r="B1030" i="2"/>
  <c r="F1029" i="2"/>
  <c r="C1029" i="2"/>
  <c r="B1029" i="2"/>
  <c r="F1028" i="2"/>
  <c r="C1028" i="2"/>
  <c r="B1028" i="2"/>
  <c r="F1027" i="2"/>
  <c r="C1027" i="2"/>
  <c r="B1027" i="2"/>
  <c r="F1026" i="2"/>
  <c r="C1026" i="2"/>
  <c r="B1026" i="2"/>
  <c r="F1025" i="2"/>
  <c r="C1025" i="2"/>
  <c r="B1025" i="2"/>
  <c r="F1024" i="2"/>
  <c r="C1024" i="2"/>
  <c r="B1024" i="2"/>
  <c r="F1023" i="2"/>
  <c r="C1023" i="2"/>
  <c r="B1023" i="2"/>
  <c r="F1022" i="2"/>
  <c r="C1022" i="2"/>
  <c r="B1022" i="2"/>
  <c r="F1021" i="2"/>
  <c r="C1021" i="2"/>
  <c r="B1021" i="2"/>
  <c r="F1020" i="2"/>
  <c r="C1020" i="2"/>
  <c r="B1020" i="2"/>
  <c r="F1019" i="2"/>
  <c r="C1019" i="2"/>
  <c r="B1019" i="2"/>
  <c r="F1018" i="2"/>
  <c r="C1018" i="2"/>
  <c r="B1018" i="2"/>
  <c r="F1017" i="2"/>
  <c r="C1017" i="2"/>
  <c r="B1017" i="2"/>
  <c r="F1016" i="2"/>
  <c r="C1016" i="2"/>
  <c r="B1016" i="2"/>
  <c r="F1015" i="2"/>
  <c r="C1015" i="2"/>
  <c r="B1015" i="2"/>
  <c r="F1014" i="2"/>
  <c r="C1014" i="2"/>
  <c r="B1014" i="2"/>
  <c r="F1013" i="2"/>
  <c r="C1013" i="2"/>
  <c r="B1013" i="2"/>
  <c r="F1012" i="2"/>
  <c r="C1012" i="2"/>
  <c r="B1012" i="2"/>
  <c r="F1011" i="2"/>
  <c r="C1011" i="2"/>
  <c r="B1011" i="2"/>
  <c r="F1010" i="2"/>
  <c r="C1010" i="2"/>
  <c r="B1010" i="2"/>
  <c r="F1009" i="2"/>
  <c r="C1009" i="2"/>
  <c r="B1009" i="2"/>
  <c r="F1008" i="2"/>
  <c r="C1008" i="2"/>
  <c r="B1008" i="2"/>
  <c r="F1007" i="2"/>
  <c r="C1007" i="2"/>
  <c r="B1007" i="2"/>
  <c r="F1006" i="2"/>
  <c r="C1006" i="2"/>
  <c r="B1006" i="2"/>
  <c r="F1005" i="2"/>
  <c r="C1005" i="2"/>
  <c r="B1005" i="2"/>
  <c r="F1004" i="2"/>
  <c r="C1004" i="2"/>
  <c r="B1004" i="2"/>
  <c r="F1003" i="2"/>
  <c r="C1003" i="2"/>
  <c r="B1003" i="2"/>
  <c r="F1002" i="2"/>
  <c r="C1002" i="2"/>
  <c r="B1002" i="2"/>
  <c r="F1001" i="2"/>
  <c r="C1001" i="2"/>
  <c r="B1001" i="2"/>
  <c r="F1000" i="2"/>
  <c r="C1000" i="2"/>
  <c r="B1000" i="2"/>
  <c r="F999" i="2"/>
  <c r="C999" i="2"/>
  <c r="B999" i="2"/>
  <c r="F998" i="2"/>
  <c r="C998" i="2"/>
  <c r="B998" i="2"/>
  <c r="F997" i="2"/>
  <c r="C997" i="2"/>
  <c r="B997" i="2"/>
  <c r="F996" i="2"/>
  <c r="C996" i="2"/>
  <c r="B996" i="2"/>
  <c r="F995" i="2"/>
  <c r="C995" i="2"/>
  <c r="B995" i="2"/>
  <c r="F994" i="2"/>
  <c r="C994" i="2"/>
  <c r="B994" i="2"/>
  <c r="F993" i="2"/>
  <c r="C993" i="2"/>
  <c r="B993" i="2"/>
  <c r="F992" i="2"/>
  <c r="C992" i="2"/>
  <c r="B992" i="2"/>
  <c r="F991" i="2"/>
  <c r="C991" i="2"/>
  <c r="B991" i="2"/>
  <c r="F990" i="2"/>
  <c r="C990" i="2"/>
  <c r="B990" i="2"/>
  <c r="F989" i="2"/>
  <c r="C989" i="2"/>
  <c r="B989" i="2"/>
  <c r="F988" i="2"/>
  <c r="C988" i="2"/>
  <c r="B988" i="2"/>
  <c r="F987" i="2"/>
  <c r="C987" i="2"/>
  <c r="B987" i="2"/>
  <c r="F986" i="2"/>
  <c r="C986" i="2"/>
  <c r="B986" i="2"/>
  <c r="F985" i="2"/>
  <c r="C985" i="2"/>
  <c r="B985" i="2"/>
  <c r="F984" i="2"/>
  <c r="C984" i="2"/>
  <c r="B984" i="2"/>
  <c r="F983" i="2"/>
  <c r="C983" i="2"/>
  <c r="B983" i="2"/>
  <c r="F982" i="2"/>
  <c r="C982" i="2"/>
  <c r="B982" i="2"/>
  <c r="F981" i="2"/>
  <c r="C981" i="2"/>
  <c r="B981" i="2"/>
  <c r="F980" i="2"/>
  <c r="C980" i="2"/>
  <c r="B980" i="2"/>
  <c r="F979" i="2"/>
  <c r="C979" i="2"/>
  <c r="B979" i="2"/>
  <c r="F978" i="2"/>
  <c r="C978" i="2"/>
  <c r="B978" i="2"/>
  <c r="F977" i="2"/>
  <c r="C977" i="2"/>
  <c r="B977" i="2"/>
  <c r="F976" i="2"/>
  <c r="C976" i="2"/>
  <c r="B976" i="2"/>
  <c r="F975" i="2"/>
  <c r="C975" i="2"/>
  <c r="B975" i="2"/>
  <c r="F974" i="2"/>
  <c r="C974" i="2"/>
  <c r="B974" i="2"/>
  <c r="F973" i="2"/>
  <c r="C973" i="2"/>
  <c r="B973" i="2"/>
  <c r="F972" i="2"/>
  <c r="C972" i="2"/>
  <c r="B972" i="2"/>
  <c r="F971" i="2"/>
  <c r="C971" i="2"/>
  <c r="B971" i="2"/>
  <c r="F970" i="2"/>
  <c r="C970" i="2"/>
  <c r="B970" i="2"/>
  <c r="F969" i="2"/>
  <c r="C969" i="2"/>
  <c r="B969" i="2"/>
  <c r="F968" i="2"/>
  <c r="C968" i="2"/>
  <c r="B968" i="2"/>
  <c r="F967" i="2"/>
  <c r="C967" i="2"/>
  <c r="B967" i="2"/>
  <c r="F966" i="2"/>
  <c r="C966" i="2"/>
  <c r="B966" i="2"/>
  <c r="F965" i="2"/>
  <c r="C965" i="2"/>
  <c r="B965" i="2"/>
  <c r="F964" i="2"/>
  <c r="C964" i="2"/>
  <c r="B964" i="2"/>
  <c r="F963" i="2"/>
  <c r="C963" i="2"/>
  <c r="B963" i="2"/>
  <c r="F962" i="2"/>
  <c r="C962" i="2"/>
  <c r="B962" i="2"/>
  <c r="F961" i="2"/>
  <c r="C961" i="2"/>
  <c r="B961" i="2"/>
  <c r="F960" i="2"/>
  <c r="C960" i="2"/>
  <c r="B960" i="2"/>
  <c r="F959" i="2"/>
  <c r="C959" i="2"/>
  <c r="B959" i="2"/>
  <c r="F958" i="2"/>
  <c r="C958" i="2"/>
  <c r="B958" i="2"/>
  <c r="F957" i="2"/>
  <c r="C957" i="2"/>
  <c r="B957" i="2"/>
  <c r="F956" i="2"/>
  <c r="C956" i="2"/>
  <c r="B956" i="2"/>
  <c r="F955" i="2"/>
  <c r="C955" i="2"/>
  <c r="B955" i="2"/>
  <c r="F954" i="2"/>
  <c r="C954" i="2"/>
  <c r="B954" i="2"/>
  <c r="F953" i="2"/>
  <c r="C953" i="2"/>
  <c r="B953" i="2"/>
  <c r="F952" i="2"/>
  <c r="C952" i="2"/>
  <c r="B952" i="2"/>
  <c r="F951" i="2"/>
  <c r="C951" i="2"/>
  <c r="B951" i="2"/>
  <c r="F950" i="2"/>
  <c r="C950" i="2"/>
  <c r="B950" i="2"/>
  <c r="F949" i="2"/>
  <c r="C949" i="2"/>
  <c r="B949" i="2"/>
  <c r="F948" i="2"/>
  <c r="C948" i="2"/>
  <c r="B948" i="2"/>
  <c r="F947" i="2"/>
  <c r="C947" i="2"/>
  <c r="B947" i="2"/>
  <c r="F946" i="2"/>
  <c r="C946" i="2"/>
  <c r="B946" i="2"/>
  <c r="F945" i="2"/>
  <c r="C945" i="2"/>
  <c r="B945" i="2"/>
  <c r="F944" i="2"/>
  <c r="C944" i="2"/>
  <c r="B944" i="2"/>
  <c r="F943" i="2"/>
  <c r="C943" i="2"/>
  <c r="B943" i="2"/>
  <c r="F942" i="2"/>
  <c r="C942" i="2"/>
  <c r="B942" i="2"/>
  <c r="F941" i="2"/>
  <c r="C941" i="2"/>
  <c r="B941" i="2"/>
  <c r="F940" i="2"/>
  <c r="C940" i="2"/>
  <c r="B940" i="2"/>
  <c r="F939" i="2"/>
  <c r="C939" i="2"/>
  <c r="B939" i="2"/>
  <c r="F938" i="2"/>
  <c r="C938" i="2"/>
  <c r="B938" i="2"/>
  <c r="F937" i="2"/>
  <c r="C937" i="2"/>
  <c r="B937" i="2"/>
  <c r="F936" i="2"/>
  <c r="C936" i="2"/>
  <c r="B936" i="2"/>
  <c r="F935" i="2"/>
  <c r="C935" i="2"/>
  <c r="B935" i="2"/>
  <c r="F934" i="2"/>
  <c r="C934" i="2"/>
  <c r="B934" i="2"/>
  <c r="F933" i="2"/>
  <c r="C933" i="2"/>
  <c r="B933" i="2"/>
  <c r="F932" i="2"/>
  <c r="C932" i="2"/>
  <c r="B932" i="2"/>
  <c r="F931" i="2"/>
  <c r="C931" i="2"/>
  <c r="B931" i="2"/>
  <c r="F930" i="2"/>
  <c r="C930" i="2"/>
  <c r="B930" i="2"/>
  <c r="F929" i="2"/>
  <c r="C929" i="2"/>
  <c r="B929" i="2"/>
  <c r="F928" i="2"/>
  <c r="C928" i="2"/>
  <c r="B928" i="2"/>
  <c r="F927" i="2"/>
  <c r="C927" i="2"/>
  <c r="B927" i="2"/>
  <c r="F926" i="2"/>
  <c r="C926" i="2"/>
  <c r="B926" i="2"/>
  <c r="F925" i="2"/>
  <c r="C925" i="2"/>
  <c r="B925" i="2"/>
  <c r="F924" i="2"/>
  <c r="C924" i="2"/>
  <c r="B924" i="2"/>
  <c r="F923" i="2"/>
  <c r="C923" i="2"/>
  <c r="B923" i="2"/>
  <c r="F922" i="2"/>
  <c r="C922" i="2"/>
  <c r="B922" i="2"/>
  <c r="F921" i="2"/>
  <c r="C921" i="2"/>
  <c r="B921" i="2"/>
  <c r="F920" i="2"/>
  <c r="C920" i="2"/>
  <c r="B920" i="2"/>
  <c r="F919" i="2"/>
  <c r="C919" i="2"/>
  <c r="B919" i="2"/>
  <c r="F918" i="2"/>
  <c r="C918" i="2"/>
  <c r="B918" i="2"/>
  <c r="F917" i="2"/>
  <c r="C917" i="2"/>
  <c r="B917" i="2"/>
  <c r="F916" i="2"/>
  <c r="C916" i="2"/>
  <c r="B916" i="2"/>
  <c r="F915" i="2"/>
  <c r="C915" i="2"/>
  <c r="B915" i="2"/>
  <c r="F914" i="2"/>
  <c r="C914" i="2"/>
  <c r="B914" i="2"/>
  <c r="F913" i="2"/>
  <c r="C913" i="2"/>
  <c r="B913" i="2"/>
  <c r="F912" i="2"/>
  <c r="C912" i="2"/>
  <c r="B912" i="2"/>
  <c r="F911" i="2"/>
  <c r="C911" i="2"/>
  <c r="B911" i="2"/>
  <c r="F910" i="2"/>
  <c r="C910" i="2"/>
  <c r="B910" i="2"/>
  <c r="F909" i="2"/>
  <c r="C909" i="2"/>
  <c r="B909" i="2"/>
  <c r="F908" i="2"/>
  <c r="C908" i="2"/>
  <c r="B908" i="2"/>
  <c r="F907" i="2"/>
  <c r="C907" i="2"/>
  <c r="B907" i="2"/>
  <c r="F906" i="2"/>
  <c r="C906" i="2"/>
  <c r="B906" i="2"/>
  <c r="F905" i="2"/>
  <c r="C905" i="2"/>
  <c r="B905" i="2"/>
  <c r="F904" i="2"/>
  <c r="C904" i="2"/>
  <c r="B904" i="2"/>
  <c r="F903" i="2"/>
  <c r="C903" i="2"/>
  <c r="B903" i="2"/>
  <c r="F902" i="2"/>
  <c r="C902" i="2"/>
  <c r="B902" i="2"/>
  <c r="F901" i="2"/>
  <c r="C901" i="2"/>
  <c r="B901" i="2"/>
  <c r="F900" i="2"/>
  <c r="C900" i="2"/>
  <c r="B900" i="2"/>
  <c r="F899" i="2"/>
  <c r="C899" i="2"/>
  <c r="B899" i="2"/>
  <c r="F898" i="2"/>
  <c r="C898" i="2"/>
  <c r="B898" i="2"/>
  <c r="F897" i="2"/>
  <c r="C897" i="2"/>
  <c r="B897" i="2"/>
  <c r="F896" i="2"/>
  <c r="C896" i="2"/>
  <c r="B896" i="2"/>
  <c r="F895" i="2"/>
  <c r="C895" i="2"/>
  <c r="B895" i="2"/>
  <c r="F894" i="2"/>
  <c r="C894" i="2"/>
  <c r="B894" i="2"/>
  <c r="F893" i="2"/>
  <c r="C893" i="2"/>
  <c r="B893" i="2"/>
  <c r="F892" i="2"/>
  <c r="C892" i="2"/>
  <c r="B892" i="2"/>
  <c r="F891" i="2"/>
  <c r="C891" i="2"/>
  <c r="B891" i="2"/>
  <c r="F890" i="2"/>
  <c r="C890" i="2"/>
  <c r="B890" i="2"/>
  <c r="F889" i="2"/>
  <c r="C889" i="2"/>
  <c r="B889" i="2"/>
  <c r="F888" i="2"/>
  <c r="C888" i="2"/>
  <c r="B888" i="2"/>
  <c r="F887" i="2"/>
  <c r="C887" i="2"/>
  <c r="B887" i="2"/>
  <c r="F886" i="2"/>
  <c r="C886" i="2"/>
  <c r="B886" i="2"/>
  <c r="F885" i="2"/>
  <c r="C885" i="2"/>
  <c r="B885" i="2"/>
  <c r="F884" i="2"/>
  <c r="C884" i="2"/>
  <c r="B884" i="2"/>
  <c r="F883" i="2"/>
  <c r="C883" i="2"/>
  <c r="B883" i="2"/>
  <c r="F882" i="2"/>
  <c r="C882" i="2"/>
  <c r="B882" i="2"/>
  <c r="F881" i="2"/>
  <c r="C881" i="2"/>
  <c r="B881" i="2"/>
  <c r="F880" i="2"/>
  <c r="C880" i="2"/>
  <c r="B880" i="2"/>
  <c r="F879" i="2"/>
  <c r="C879" i="2"/>
  <c r="B879" i="2"/>
  <c r="F878" i="2"/>
  <c r="C878" i="2"/>
  <c r="B878" i="2"/>
  <c r="F877" i="2"/>
  <c r="C877" i="2"/>
  <c r="B877" i="2"/>
  <c r="F876" i="2"/>
  <c r="C876" i="2"/>
  <c r="B876" i="2"/>
  <c r="F875" i="2"/>
  <c r="C875" i="2"/>
  <c r="B875" i="2"/>
  <c r="F874" i="2"/>
  <c r="C874" i="2"/>
  <c r="B874" i="2"/>
  <c r="F873" i="2"/>
  <c r="C873" i="2"/>
  <c r="B873" i="2"/>
  <c r="F872" i="2"/>
  <c r="C872" i="2"/>
  <c r="B872" i="2"/>
  <c r="F871" i="2"/>
  <c r="C871" i="2"/>
  <c r="B871" i="2"/>
  <c r="F870" i="2"/>
  <c r="C870" i="2"/>
  <c r="B870" i="2"/>
  <c r="F869" i="2"/>
  <c r="C869" i="2"/>
  <c r="B869" i="2"/>
  <c r="F868" i="2"/>
  <c r="C868" i="2"/>
  <c r="B868" i="2"/>
  <c r="F867" i="2"/>
  <c r="C867" i="2"/>
  <c r="B867" i="2"/>
  <c r="F866" i="2"/>
  <c r="C866" i="2"/>
  <c r="B866" i="2"/>
  <c r="F865" i="2"/>
  <c r="C865" i="2"/>
  <c r="B865" i="2"/>
  <c r="F864" i="2"/>
  <c r="C864" i="2"/>
  <c r="B864" i="2"/>
  <c r="F863" i="2"/>
  <c r="C863" i="2"/>
  <c r="B863" i="2"/>
  <c r="F862" i="2"/>
  <c r="C862" i="2"/>
  <c r="B862" i="2"/>
  <c r="F861" i="2"/>
  <c r="C861" i="2"/>
  <c r="B861" i="2"/>
  <c r="F860" i="2"/>
  <c r="C860" i="2"/>
  <c r="B860" i="2"/>
  <c r="F859" i="2"/>
  <c r="C859" i="2"/>
  <c r="B859" i="2"/>
  <c r="F858" i="2"/>
  <c r="C858" i="2"/>
  <c r="B858" i="2"/>
  <c r="F857" i="2"/>
  <c r="C857" i="2"/>
  <c r="B857" i="2"/>
  <c r="F856" i="2"/>
  <c r="C856" i="2"/>
  <c r="B856" i="2"/>
  <c r="F855" i="2"/>
  <c r="C855" i="2"/>
  <c r="B855" i="2"/>
  <c r="F854" i="2"/>
  <c r="C854" i="2"/>
  <c r="B854" i="2"/>
  <c r="F853" i="2"/>
  <c r="C853" i="2"/>
  <c r="B853" i="2"/>
  <c r="F852" i="2"/>
  <c r="C852" i="2"/>
  <c r="B852" i="2"/>
  <c r="F851" i="2"/>
  <c r="C851" i="2"/>
  <c r="B851" i="2"/>
  <c r="F850" i="2"/>
  <c r="C850" i="2"/>
  <c r="B850" i="2"/>
  <c r="F849" i="2"/>
  <c r="C849" i="2"/>
  <c r="B849" i="2"/>
  <c r="F848" i="2"/>
  <c r="C848" i="2"/>
  <c r="B848" i="2"/>
  <c r="F847" i="2"/>
  <c r="C847" i="2"/>
  <c r="B847" i="2"/>
  <c r="F846" i="2"/>
  <c r="C846" i="2"/>
  <c r="B846" i="2"/>
  <c r="F845" i="2"/>
  <c r="C845" i="2"/>
  <c r="B845" i="2"/>
  <c r="F844" i="2"/>
  <c r="C844" i="2"/>
  <c r="B844" i="2"/>
  <c r="F843" i="2"/>
  <c r="C843" i="2"/>
  <c r="B843" i="2"/>
  <c r="F842" i="2"/>
  <c r="C842" i="2"/>
  <c r="B842" i="2"/>
  <c r="F841" i="2"/>
  <c r="C841" i="2"/>
  <c r="B841" i="2"/>
  <c r="F840" i="2"/>
  <c r="C840" i="2"/>
  <c r="B840" i="2"/>
  <c r="F839" i="2"/>
  <c r="C839" i="2"/>
  <c r="B839" i="2"/>
  <c r="F838" i="2"/>
  <c r="C838" i="2"/>
  <c r="B838" i="2"/>
  <c r="F837" i="2"/>
  <c r="C837" i="2"/>
  <c r="B837" i="2"/>
  <c r="F836" i="2"/>
  <c r="C836" i="2"/>
  <c r="B836" i="2"/>
  <c r="F835" i="2"/>
  <c r="C835" i="2"/>
  <c r="B835" i="2"/>
  <c r="F834" i="2"/>
  <c r="C834" i="2"/>
  <c r="B834" i="2"/>
  <c r="F833" i="2"/>
  <c r="C833" i="2"/>
  <c r="B833" i="2"/>
  <c r="F832" i="2"/>
  <c r="C832" i="2"/>
  <c r="B832" i="2"/>
  <c r="F831" i="2"/>
  <c r="C831" i="2"/>
  <c r="B831" i="2"/>
  <c r="F830" i="2"/>
  <c r="C830" i="2"/>
  <c r="B830" i="2"/>
  <c r="F829" i="2"/>
  <c r="C829" i="2"/>
  <c r="B829" i="2"/>
  <c r="F828" i="2"/>
  <c r="C828" i="2"/>
  <c r="B828" i="2"/>
  <c r="F827" i="2"/>
  <c r="C827" i="2"/>
  <c r="B827" i="2"/>
  <c r="F826" i="2"/>
  <c r="C826" i="2"/>
  <c r="B826" i="2"/>
  <c r="F825" i="2"/>
  <c r="C825" i="2"/>
  <c r="B825" i="2"/>
  <c r="F824" i="2"/>
  <c r="C824" i="2"/>
  <c r="B824" i="2"/>
  <c r="F823" i="2"/>
  <c r="C823" i="2"/>
  <c r="B823" i="2"/>
  <c r="F822" i="2"/>
  <c r="C822" i="2"/>
  <c r="B822" i="2"/>
  <c r="F821" i="2"/>
  <c r="C821" i="2"/>
  <c r="B821" i="2"/>
  <c r="F820" i="2"/>
  <c r="C820" i="2"/>
  <c r="B820" i="2"/>
  <c r="F819" i="2"/>
  <c r="C819" i="2"/>
  <c r="B819" i="2"/>
  <c r="F818" i="2"/>
  <c r="C818" i="2"/>
  <c r="B818" i="2"/>
  <c r="F817" i="2"/>
  <c r="C817" i="2"/>
  <c r="B817" i="2"/>
  <c r="F816" i="2"/>
  <c r="C816" i="2"/>
  <c r="B816" i="2"/>
  <c r="F815" i="2"/>
  <c r="C815" i="2"/>
  <c r="B815" i="2"/>
  <c r="F814" i="2"/>
  <c r="C814" i="2"/>
  <c r="B814" i="2"/>
  <c r="F813" i="2"/>
  <c r="C813" i="2"/>
  <c r="B813" i="2"/>
  <c r="F812" i="2"/>
  <c r="C812" i="2"/>
  <c r="B812" i="2"/>
  <c r="F811" i="2"/>
  <c r="C811" i="2"/>
  <c r="B811" i="2"/>
  <c r="F810" i="2"/>
  <c r="C810" i="2"/>
  <c r="B810" i="2"/>
  <c r="F809" i="2"/>
  <c r="C809" i="2"/>
  <c r="B809" i="2"/>
  <c r="F808" i="2"/>
  <c r="C808" i="2"/>
  <c r="B808" i="2"/>
  <c r="F807" i="2"/>
  <c r="C807" i="2"/>
  <c r="B807" i="2"/>
  <c r="F806" i="2"/>
  <c r="C806" i="2"/>
  <c r="B806" i="2"/>
  <c r="F805" i="2"/>
  <c r="C805" i="2"/>
  <c r="B805" i="2"/>
  <c r="F804" i="2"/>
  <c r="C804" i="2"/>
  <c r="B804" i="2"/>
  <c r="F803" i="2"/>
  <c r="C803" i="2"/>
  <c r="B803" i="2"/>
  <c r="F802" i="2"/>
  <c r="C802" i="2"/>
  <c r="B802" i="2"/>
  <c r="F801" i="2"/>
  <c r="C801" i="2"/>
  <c r="B801" i="2"/>
  <c r="F800" i="2"/>
  <c r="C800" i="2"/>
  <c r="B800" i="2"/>
  <c r="F799" i="2"/>
  <c r="C799" i="2"/>
  <c r="B799" i="2"/>
  <c r="F798" i="2"/>
  <c r="C798" i="2"/>
  <c r="B798" i="2"/>
  <c r="F797" i="2"/>
  <c r="C797" i="2"/>
  <c r="B797" i="2"/>
  <c r="F796" i="2"/>
  <c r="C796" i="2"/>
  <c r="B796" i="2"/>
  <c r="F795" i="2"/>
  <c r="C795" i="2"/>
  <c r="B795" i="2"/>
  <c r="F794" i="2"/>
  <c r="C794" i="2"/>
  <c r="B794" i="2"/>
  <c r="F793" i="2"/>
  <c r="C793" i="2"/>
  <c r="B793" i="2"/>
  <c r="F792" i="2"/>
  <c r="C792" i="2"/>
  <c r="B792" i="2"/>
  <c r="F791" i="2"/>
  <c r="C791" i="2"/>
  <c r="B791" i="2"/>
  <c r="F790" i="2"/>
  <c r="C790" i="2"/>
  <c r="B790" i="2"/>
  <c r="F789" i="2"/>
  <c r="C789" i="2"/>
  <c r="B789" i="2"/>
  <c r="F788" i="2"/>
  <c r="C788" i="2"/>
  <c r="B788" i="2"/>
  <c r="F787" i="2"/>
  <c r="C787" i="2"/>
  <c r="B787" i="2"/>
  <c r="F786" i="2"/>
  <c r="C786" i="2"/>
  <c r="B786" i="2"/>
  <c r="F785" i="2"/>
  <c r="C785" i="2"/>
  <c r="B785" i="2"/>
  <c r="F784" i="2"/>
  <c r="C784" i="2"/>
  <c r="B784" i="2"/>
  <c r="F783" i="2"/>
  <c r="C783" i="2"/>
  <c r="B783" i="2"/>
  <c r="F782" i="2"/>
  <c r="C782" i="2"/>
  <c r="B782" i="2"/>
  <c r="F781" i="2"/>
  <c r="C781" i="2"/>
  <c r="B781" i="2"/>
  <c r="F780" i="2"/>
  <c r="C780" i="2"/>
  <c r="B780" i="2"/>
  <c r="F779" i="2"/>
  <c r="C779" i="2"/>
  <c r="B779" i="2"/>
  <c r="F778" i="2"/>
  <c r="C778" i="2"/>
  <c r="B778" i="2"/>
  <c r="F777" i="2"/>
  <c r="C777" i="2"/>
  <c r="B777" i="2"/>
  <c r="F776" i="2"/>
  <c r="C776" i="2"/>
  <c r="B776" i="2"/>
  <c r="F775" i="2"/>
  <c r="C775" i="2"/>
  <c r="B775" i="2"/>
  <c r="F774" i="2"/>
  <c r="C774" i="2"/>
  <c r="B774" i="2"/>
  <c r="F773" i="2"/>
  <c r="C773" i="2"/>
  <c r="B773" i="2"/>
  <c r="F772" i="2"/>
  <c r="C772" i="2"/>
  <c r="B772" i="2"/>
  <c r="F771" i="2"/>
  <c r="C771" i="2"/>
  <c r="B771" i="2"/>
  <c r="F770" i="2"/>
  <c r="C770" i="2"/>
  <c r="B770" i="2"/>
  <c r="F769" i="2"/>
  <c r="C769" i="2"/>
  <c r="B769" i="2"/>
  <c r="F768" i="2"/>
  <c r="C768" i="2"/>
  <c r="B768" i="2"/>
  <c r="F767" i="2"/>
  <c r="C767" i="2"/>
  <c r="B767" i="2"/>
  <c r="F766" i="2"/>
  <c r="C766" i="2"/>
  <c r="B766" i="2"/>
  <c r="F765" i="2"/>
  <c r="C765" i="2"/>
  <c r="B765" i="2"/>
  <c r="F764" i="2"/>
  <c r="C764" i="2"/>
  <c r="B764" i="2"/>
  <c r="F763" i="2"/>
  <c r="C763" i="2"/>
  <c r="B763" i="2"/>
  <c r="F762" i="2"/>
  <c r="C762" i="2"/>
  <c r="B762" i="2"/>
  <c r="F761" i="2"/>
  <c r="C761" i="2"/>
  <c r="B761" i="2"/>
  <c r="F760" i="2"/>
  <c r="C760" i="2"/>
  <c r="B760" i="2"/>
  <c r="F759" i="2"/>
  <c r="C759" i="2"/>
  <c r="B759" i="2"/>
  <c r="F758" i="2"/>
  <c r="C758" i="2"/>
  <c r="B758" i="2"/>
  <c r="F757" i="2"/>
  <c r="C757" i="2"/>
  <c r="B757" i="2"/>
  <c r="F756" i="2"/>
  <c r="C756" i="2"/>
  <c r="B756" i="2"/>
  <c r="F755" i="2"/>
  <c r="C755" i="2"/>
  <c r="B755" i="2"/>
  <c r="F754" i="2"/>
  <c r="C754" i="2"/>
  <c r="B754" i="2"/>
  <c r="F753" i="2"/>
  <c r="C753" i="2"/>
  <c r="B753" i="2"/>
  <c r="F752" i="2"/>
  <c r="C752" i="2"/>
  <c r="B752" i="2"/>
  <c r="F751" i="2"/>
  <c r="C751" i="2"/>
  <c r="B751" i="2"/>
  <c r="F750" i="2"/>
  <c r="C750" i="2"/>
  <c r="B750" i="2"/>
  <c r="F749" i="2"/>
  <c r="C749" i="2"/>
  <c r="B749" i="2"/>
  <c r="F748" i="2"/>
  <c r="C748" i="2"/>
  <c r="B748" i="2"/>
  <c r="F747" i="2"/>
  <c r="C747" i="2"/>
  <c r="B747" i="2"/>
  <c r="F746" i="2"/>
  <c r="C746" i="2"/>
  <c r="B746" i="2"/>
  <c r="F745" i="2"/>
  <c r="C745" i="2"/>
  <c r="B745" i="2"/>
  <c r="F744" i="2"/>
  <c r="C744" i="2"/>
  <c r="B744" i="2"/>
  <c r="F743" i="2"/>
  <c r="C743" i="2"/>
  <c r="B743" i="2"/>
  <c r="F742" i="2"/>
  <c r="C742" i="2"/>
  <c r="B742" i="2"/>
  <c r="F741" i="2"/>
  <c r="C741" i="2"/>
  <c r="B741" i="2"/>
  <c r="F740" i="2"/>
  <c r="C740" i="2"/>
  <c r="B740" i="2"/>
  <c r="F739" i="2"/>
  <c r="C739" i="2"/>
  <c r="B739" i="2"/>
  <c r="F738" i="2"/>
  <c r="C738" i="2"/>
  <c r="B738" i="2"/>
  <c r="F737" i="2"/>
  <c r="C737" i="2"/>
  <c r="B737" i="2"/>
  <c r="F736" i="2"/>
  <c r="C736" i="2"/>
  <c r="B736" i="2"/>
  <c r="F735" i="2"/>
  <c r="C735" i="2"/>
  <c r="B735" i="2"/>
  <c r="F734" i="2"/>
  <c r="C734" i="2"/>
  <c r="B734" i="2"/>
  <c r="F733" i="2"/>
  <c r="C733" i="2"/>
  <c r="B733" i="2"/>
  <c r="F732" i="2"/>
  <c r="C732" i="2"/>
  <c r="B732" i="2"/>
  <c r="F731" i="2"/>
  <c r="C731" i="2"/>
  <c r="B731" i="2"/>
  <c r="F730" i="2"/>
  <c r="C730" i="2"/>
  <c r="B730" i="2"/>
  <c r="F729" i="2"/>
  <c r="C729" i="2"/>
  <c r="B729" i="2"/>
  <c r="F728" i="2"/>
  <c r="C728" i="2"/>
  <c r="B728" i="2"/>
  <c r="F727" i="2"/>
  <c r="C727" i="2"/>
  <c r="B727" i="2"/>
  <c r="F726" i="2"/>
  <c r="C726" i="2"/>
  <c r="B726" i="2"/>
  <c r="F725" i="2"/>
  <c r="C725" i="2"/>
  <c r="B725" i="2"/>
  <c r="F724" i="2"/>
  <c r="C724" i="2"/>
  <c r="B724" i="2"/>
  <c r="F723" i="2"/>
  <c r="C723" i="2"/>
  <c r="B723" i="2"/>
  <c r="F722" i="2"/>
  <c r="C722" i="2"/>
  <c r="B722" i="2"/>
  <c r="F721" i="2"/>
  <c r="C721" i="2"/>
  <c r="B721" i="2"/>
  <c r="F720" i="2"/>
  <c r="C720" i="2"/>
  <c r="B720" i="2"/>
  <c r="F719" i="2"/>
  <c r="C719" i="2"/>
  <c r="B719" i="2"/>
  <c r="F718" i="2"/>
  <c r="C718" i="2"/>
  <c r="B718" i="2"/>
  <c r="F717" i="2"/>
  <c r="C717" i="2"/>
  <c r="B717" i="2"/>
  <c r="F716" i="2"/>
  <c r="C716" i="2"/>
  <c r="B716" i="2"/>
  <c r="F715" i="2"/>
  <c r="C715" i="2"/>
  <c r="B715" i="2"/>
  <c r="F714" i="2"/>
  <c r="C714" i="2"/>
  <c r="B714" i="2"/>
  <c r="F713" i="2"/>
  <c r="C713" i="2"/>
  <c r="B713" i="2"/>
  <c r="F712" i="2"/>
  <c r="C712" i="2"/>
  <c r="B712" i="2"/>
  <c r="F711" i="2"/>
  <c r="C711" i="2"/>
  <c r="B711" i="2"/>
  <c r="F710" i="2"/>
  <c r="C710" i="2"/>
  <c r="B710" i="2"/>
  <c r="F709" i="2"/>
  <c r="C709" i="2"/>
  <c r="B709" i="2"/>
  <c r="F708" i="2"/>
  <c r="C708" i="2"/>
  <c r="B708" i="2"/>
  <c r="F707" i="2"/>
  <c r="C707" i="2"/>
  <c r="B707" i="2"/>
  <c r="F706" i="2"/>
  <c r="C706" i="2"/>
  <c r="B706" i="2"/>
  <c r="F705" i="2"/>
  <c r="C705" i="2"/>
  <c r="B705" i="2"/>
  <c r="F704" i="2"/>
  <c r="C704" i="2"/>
  <c r="B704" i="2"/>
  <c r="F703" i="2"/>
  <c r="C703" i="2"/>
  <c r="B703" i="2"/>
  <c r="F702" i="2"/>
  <c r="C702" i="2"/>
  <c r="B702" i="2"/>
  <c r="F701" i="2"/>
  <c r="C701" i="2"/>
  <c r="B701" i="2"/>
  <c r="F700" i="2"/>
  <c r="C700" i="2"/>
  <c r="B700" i="2"/>
  <c r="F699" i="2"/>
  <c r="C699" i="2"/>
  <c r="B699" i="2"/>
  <c r="F698" i="2"/>
  <c r="C698" i="2"/>
  <c r="B698" i="2"/>
  <c r="F697" i="2"/>
  <c r="C697" i="2"/>
  <c r="B697" i="2"/>
  <c r="F696" i="2"/>
  <c r="C696" i="2"/>
  <c r="B696" i="2"/>
  <c r="F695" i="2"/>
  <c r="C695" i="2"/>
  <c r="B695" i="2"/>
  <c r="F694" i="2"/>
  <c r="C694" i="2"/>
  <c r="B694" i="2"/>
  <c r="F693" i="2"/>
  <c r="C693" i="2"/>
  <c r="B693" i="2"/>
  <c r="F692" i="2"/>
  <c r="C692" i="2"/>
  <c r="B692" i="2"/>
  <c r="F691" i="2"/>
  <c r="C691" i="2"/>
  <c r="B691" i="2"/>
  <c r="F690" i="2"/>
  <c r="C690" i="2"/>
  <c r="B690" i="2"/>
  <c r="F689" i="2"/>
  <c r="C689" i="2"/>
  <c r="B689" i="2"/>
  <c r="F688" i="2"/>
  <c r="C688" i="2"/>
  <c r="B688" i="2"/>
  <c r="F687" i="2"/>
  <c r="C687" i="2"/>
  <c r="B687" i="2"/>
  <c r="F686" i="2"/>
  <c r="C686" i="2"/>
  <c r="B686" i="2"/>
  <c r="F685" i="2"/>
  <c r="C685" i="2"/>
  <c r="B685" i="2"/>
  <c r="F684" i="2"/>
  <c r="C684" i="2"/>
  <c r="B684" i="2"/>
  <c r="F683" i="2"/>
  <c r="C683" i="2"/>
  <c r="B683" i="2"/>
  <c r="F682" i="2"/>
  <c r="C682" i="2"/>
  <c r="B682" i="2"/>
  <c r="F681" i="2"/>
  <c r="C681" i="2"/>
  <c r="B681" i="2"/>
  <c r="F680" i="2"/>
  <c r="C680" i="2"/>
  <c r="B680" i="2"/>
  <c r="F679" i="2"/>
  <c r="C679" i="2"/>
  <c r="B679" i="2"/>
  <c r="F678" i="2"/>
  <c r="C678" i="2"/>
  <c r="B678" i="2"/>
  <c r="F677" i="2"/>
  <c r="C677" i="2"/>
  <c r="B677" i="2"/>
  <c r="F676" i="2"/>
  <c r="C676" i="2"/>
  <c r="B676" i="2"/>
  <c r="F675" i="2"/>
  <c r="C675" i="2"/>
  <c r="B675" i="2"/>
  <c r="F674" i="2"/>
  <c r="C674" i="2"/>
  <c r="B674" i="2"/>
  <c r="F673" i="2"/>
  <c r="C673" i="2"/>
  <c r="B673" i="2"/>
  <c r="F672" i="2"/>
  <c r="C672" i="2"/>
  <c r="B672" i="2"/>
  <c r="F671" i="2"/>
  <c r="C671" i="2"/>
  <c r="B671" i="2"/>
  <c r="F670" i="2"/>
  <c r="C670" i="2"/>
  <c r="B670" i="2"/>
  <c r="F669" i="2"/>
  <c r="C669" i="2"/>
  <c r="B669" i="2"/>
  <c r="F668" i="2"/>
  <c r="C668" i="2"/>
  <c r="B668" i="2"/>
  <c r="F667" i="2"/>
  <c r="C667" i="2"/>
  <c r="B667" i="2"/>
  <c r="F666" i="2"/>
  <c r="C666" i="2"/>
  <c r="B666" i="2"/>
  <c r="F665" i="2"/>
  <c r="C665" i="2"/>
  <c r="B665" i="2"/>
  <c r="F664" i="2"/>
  <c r="C664" i="2"/>
  <c r="B664" i="2"/>
  <c r="F663" i="2"/>
  <c r="C663" i="2"/>
  <c r="B663" i="2"/>
  <c r="F662" i="2"/>
  <c r="C662" i="2"/>
  <c r="B662" i="2"/>
  <c r="F661" i="2"/>
  <c r="C661" i="2"/>
  <c r="B661" i="2"/>
  <c r="F660" i="2"/>
  <c r="C660" i="2"/>
  <c r="B660" i="2"/>
  <c r="F659" i="2"/>
  <c r="C659" i="2"/>
  <c r="B659" i="2"/>
  <c r="F658" i="2"/>
  <c r="C658" i="2"/>
  <c r="B658" i="2"/>
  <c r="F657" i="2"/>
  <c r="C657" i="2"/>
  <c r="B657" i="2"/>
  <c r="F656" i="2"/>
  <c r="C656" i="2"/>
  <c r="B656" i="2"/>
  <c r="F655" i="2"/>
  <c r="C655" i="2"/>
  <c r="B655" i="2"/>
  <c r="F654" i="2"/>
  <c r="C654" i="2"/>
  <c r="B654" i="2"/>
  <c r="F653" i="2"/>
  <c r="C653" i="2"/>
  <c r="B653" i="2"/>
  <c r="F652" i="2"/>
  <c r="C652" i="2"/>
  <c r="B652" i="2"/>
  <c r="F651" i="2"/>
  <c r="C651" i="2"/>
  <c r="B651" i="2"/>
  <c r="F650" i="2"/>
  <c r="C650" i="2"/>
  <c r="B650" i="2"/>
  <c r="F649" i="2"/>
  <c r="C649" i="2"/>
  <c r="B649" i="2"/>
  <c r="F648" i="2"/>
  <c r="C648" i="2"/>
  <c r="B648" i="2"/>
  <c r="F647" i="2"/>
  <c r="C647" i="2"/>
  <c r="B647" i="2"/>
  <c r="F646" i="2"/>
  <c r="C646" i="2"/>
  <c r="B646" i="2"/>
  <c r="F645" i="2"/>
  <c r="C645" i="2"/>
  <c r="B645" i="2"/>
  <c r="F644" i="2"/>
  <c r="C644" i="2"/>
  <c r="B644" i="2"/>
  <c r="F643" i="2"/>
  <c r="C643" i="2"/>
  <c r="B643" i="2"/>
  <c r="F642" i="2"/>
  <c r="C642" i="2"/>
  <c r="B642" i="2"/>
  <c r="F641" i="2"/>
  <c r="C641" i="2"/>
  <c r="B641" i="2"/>
  <c r="F640" i="2"/>
  <c r="C640" i="2"/>
  <c r="B640" i="2"/>
  <c r="F639" i="2"/>
  <c r="C639" i="2"/>
  <c r="B639" i="2"/>
  <c r="F638" i="2"/>
  <c r="C638" i="2"/>
  <c r="B638" i="2"/>
  <c r="F637" i="2"/>
  <c r="C637" i="2"/>
  <c r="B637" i="2"/>
  <c r="F636" i="2"/>
  <c r="C636" i="2"/>
  <c r="B636" i="2"/>
  <c r="F635" i="2"/>
  <c r="C635" i="2"/>
  <c r="B635" i="2"/>
  <c r="F634" i="2"/>
  <c r="C634" i="2"/>
  <c r="B634" i="2"/>
  <c r="F633" i="2"/>
  <c r="C633" i="2"/>
  <c r="B633" i="2"/>
  <c r="F632" i="2"/>
  <c r="C632" i="2"/>
  <c r="B632" i="2"/>
  <c r="F631" i="2"/>
  <c r="C631" i="2"/>
  <c r="B631" i="2"/>
  <c r="F630" i="2"/>
  <c r="C630" i="2"/>
  <c r="B630" i="2"/>
  <c r="F629" i="2"/>
  <c r="C629" i="2"/>
  <c r="B629" i="2"/>
  <c r="F628" i="2"/>
  <c r="C628" i="2"/>
  <c r="B628" i="2"/>
  <c r="F627" i="2"/>
  <c r="C627" i="2"/>
  <c r="B627" i="2"/>
  <c r="F626" i="2"/>
  <c r="C626" i="2"/>
  <c r="B626" i="2"/>
  <c r="F625" i="2"/>
  <c r="C625" i="2"/>
  <c r="B625" i="2"/>
  <c r="F624" i="2"/>
  <c r="C624" i="2"/>
  <c r="B624" i="2"/>
  <c r="F623" i="2"/>
  <c r="C623" i="2"/>
  <c r="B623" i="2"/>
  <c r="F622" i="2"/>
  <c r="C622" i="2"/>
  <c r="B622" i="2"/>
  <c r="F621" i="2"/>
  <c r="C621" i="2"/>
  <c r="B621" i="2"/>
  <c r="F620" i="2"/>
  <c r="C620" i="2"/>
  <c r="B620" i="2"/>
  <c r="F619" i="2"/>
  <c r="C619" i="2"/>
  <c r="B619" i="2"/>
  <c r="F618" i="2"/>
  <c r="C618" i="2"/>
  <c r="B618" i="2"/>
  <c r="F617" i="2"/>
  <c r="C617" i="2"/>
  <c r="B617" i="2"/>
  <c r="F616" i="2"/>
  <c r="C616" i="2"/>
  <c r="B616" i="2"/>
  <c r="F615" i="2"/>
  <c r="C615" i="2"/>
  <c r="B615" i="2"/>
  <c r="F614" i="2"/>
  <c r="C614" i="2"/>
  <c r="B614" i="2"/>
  <c r="F613" i="2"/>
  <c r="C613" i="2"/>
  <c r="B613" i="2"/>
  <c r="F612" i="2"/>
  <c r="C612" i="2"/>
  <c r="B612" i="2"/>
  <c r="F611" i="2"/>
  <c r="C611" i="2"/>
  <c r="B611" i="2"/>
  <c r="F610" i="2"/>
  <c r="C610" i="2"/>
  <c r="B610" i="2"/>
  <c r="F609" i="2"/>
  <c r="C609" i="2"/>
  <c r="B609" i="2"/>
  <c r="F608" i="2"/>
  <c r="C608" i="2"/>
  <c r="B608" i="2"/>
  <c r="F607" i="2"/>
  <c r="C607" i="2"/>
  <c r="B607" i="2"/>
  <c r="F606" i="2"/>
  <c r="C606" i="2"/>
  <c r="B606" i="2"/>
  <c r="F605" i="2"/>
  <c r="C605" i="2"/>
  <c r="B605" i="2"/>
  <c r="F604" i="2"/>
  <c r="C604" i="2"/>
  <c r="B604" i="2"/>
  <c r="F603" i="2"/>
  <c r="C603" i="2"/>
  <c r="B603" i="2"/>
  <c r="F602" i="2"/>
  <c r="C602" i="2"/>
  <c r="B602" i="2"/>
  <c r="F601" i="2"/>
  <c r="C601" i="2"/>
  <c r="B601" i="2"/>
  <c r="F600" i="2"/>
  <c r="C600" i="2"/>
  <c r="B600" i="2"/>
  <c r="F599" i="2"/>
  <c r="C599" i="2"/>
  <c r="B599" i="2"/>
  <c r="F598" i="2"/>
  <c r="C598" i="2"/>
  <c r="B598" i="2"/>
  <c r="F597" i="2"/>
  <c r="C597" i="2"/>
  <c r="B597" i="2"/>
  <c r="F596" i="2"/>
  <c r="C596" i="2"/>
  <c r="B596" i="2"/>
  <c r="F595" i="2"/>
  <c r="C595" i="2"/>
  <c r="B595" i="2"/>
  <c r="F594" i="2"/>
  <c r="C594" i="2"/>
  <c r="B594" i="2"/>
  <c r="F593" i="2"/>
  <c r="C593" i="2"/>
  <c r="B593" i="2"/>
  <c r="F592" i="2"/>
  <c r="C592" i="2"/>
  <c r="B592" i="2"/>
  <c r="F591" i="2"/>
  <c r="C591" i="2"/>
  <c r="B591" i="2"/>
  <c r="F590" i="2"/>
  <c r="C590" i="2"/>
  <c r="B590" i="2"/>
  <c r="F589" i="2"/>
  <c r="C589" i="2"/>
  <c r="B589" i="2"/>
  <c r="F588" i="2"/>
  <c r="C588" i="2"/>
  <c r="B588" i="2"/>
  <c r="F587" i="2"/>
  <c r="C587" i="2"/>
  <c r="B587" i="2"/>
  <c r="F586" i="2"/>
  <c r="C586" i="2"/>
  <c r="B586" i="2"/>
  <c r="F585" i="2"/>
  <c r="C585" i="2"/>
  <c r="B585" i="2"/>
  <c r="F584" i="2"/>
  <c r="C584" i="2"/>
  <c r="B584" i="2"/>
  <c r="F583" i="2"/>
  <c r="C583" i="2"/>
  <c r="B583" i="2"/>
  <c r="F582" i="2"/>
  <c r="C582" i="2"/>
  <c r="B582" i="2"/>
  <c r="F581" i="2"/>
  <c r="C581" i="2"/>
  <c r="B581" i="2"/>
  <c r="F580" i="2"/>
  <c r="C580" i="2"/>
  <c r="B580" i="2"/>
  <c r="F579" i="2"/>
  <c r="C579" i="2"/>
  <c r="B579" i="2"/>
  <c r="F578" i="2"/>
  <c r="C578" i="2"/>
  <c r="B578" i="2"/>
  <c r="F577" i="2"/>
  <c r="C577" i="2"/>
  <c r="B577" i="2"/>
  <c r="F576" i="2"/>
  <c r="C576" i="2"/>
  <c r="B576" i="2"/>
  <c r="F575" i="2"/>
  <c r="C575" i="2"/>
  <c r="B575" i="2"/>
  <c r="F574" i="2"/>
  <c r="C574" i="2"/>
  <c r="B574" i="2"/>
  <c r="F573" i="2"/>
  <c r="C573" i="2"/>
  <c r="B573" i="2"/>
  <c r="F572" i="2"/>
  <c r="C572" i="2"/>
  <c r="B572" i="2"/>
  <c r="F571" i="2"/>
  <c r="C571" i="2"/>
  <c r="B571" i="2"/>
  <c r="F570" i="2"/>
  <c r="C570" i="2"/>
  <c r="B570" i="2"/>
  <c r="F569" i="2"/>
  <c r="C569" i="2"/>
  <c r="B569" i="2"/>
  <c r="F568" i="2"/>
  <c r="C568" i="2"/>
  <c r="B568" i="2"/>
  <c r="F567" i="2"/>
  <c r="C567" i="2"/>
  <c r="B567" i="2"/>
  <c r="F566" i="2"/>
  <c r="C566" i="2"/>
  <c r="B566" i="2"/>
  <c r="F565" i="2"/>
  <c r="C565" i="2"/>
  <c r="B565" i="2"/>
  <c r="F564" i="2"/>
  <c r="C564" i="2"/>
  <c r="B564" i="2"/>
  <c r="F563" i="2"/>
  <c r="C563" i="2"/>
  <c r="B563" i="2"/>
  <c r="F562" i="2"/>
  <c r="C562" i="2"/>
  <c r="B562" i="2"/>
  <c r="F561" i="2"/>
  <c r="C561" i="2"/>
  <c r="B561" i="2"/>
  <c r="F560" i="2"/>
  <c r="C560" i="2"/>
  <c r="B560" i="2"/>
  <c r="F559" i="2"/>
  <c r="C559" i="2"/>
  <c r="B559" i="2"/>
  <c r="F558" i="2"/>
  <c r="C558" i="2"/>
  <c r="B558" i="2"/>
  <c r="F557" i="2"/>
  <c r="C557" i="2"/>
  <c r="B557" i="2"/>
  <c r="F556" i="2"/>
  <c r="C556" i="2"/>
  <c r="B556" i="2"/>
  <c r="F555" i="2"/>
  <c r="C555" i="2"/>
  <c r="B555" i="2"/>
  <c r="F554" i="2"/>
  <c r="C554" i="2"/>
  <c r="B554" i="2"/>
  <c r="F553" i="2"/>
  <c r="C553" i="2"/>
  <c r="B553" i="2"/>
  <c r="F552" i="2"/>
  <c r="C552" i="2"/>
  <c r="B552" i="2"/>
  <c r="F551" i="2"/>
  <c r="C551" i="2"/>
  <c r="B551" i="2"/>
  <c r="F550" i="2"/>
  <c r="C550" i="2"/>
  <c r="B550" i="2"/>
  <c r="F549" i="2"/>
  <c r="C549" i="2"/>
  <c r="B549" i="2"/>
  <c r="F548" i="2"/>
  <c r="C548" i="2"/>
  <c r="B548" i="2"/>
  <c r="F547" i="2"/>
  <c r="C547" i="2"/>
  <c r="B547" i="2"/>
  <c r="F546" i="2"/>
  <c r="C546" i="2"/>
  <c r="B546" i="2"/>
  <c r="F545" i="2"/>
  <c r="C545" i="2"/>
  <c r="B545" i="2"/>
  <c r="F544" i="2"/>
  <c r="C544" i="2"/>
  <c r="B544" i="2"/>
  <c r="F543" i="2"/>
  <c r="C543" i="2"/>
  <c r="B543" i="2"/>
  <c r="F542" i="2"/>
  <c r="C542" i="2"/>
  <c r="B542" i="2"/>
  <c r="F541" i="2"/>
  <c r="C541" i="2"/>
  <c r="B541" i="2"/>
  <c r="F540" i="2"/>
  <c r="C540" i="2"/>
  <c r="B540" i="2"/>
  <c r="F539" i="2"/>
  <c r="C539" i="2"/>
  <c r="B539" i="2"/>
  <c r="F538" i="2"/>
  <c r="C538" i="2"/>
  <c r="B538" i="2"/>
  <c r="F537" i="2"/>
  <c r="C537" i="2"/>
  <c r="B537" i="2"/>
  <c r="F536" i="2"/>
  <c r="C536" i="2"/>
  <c r="B536" i="2"/>
  <c r="F535" i="2"/>
  <c r="C535" i="2"/>
  <c r="B535" i="2"/>
  <c r="F534" i="2"/>
  <c r="C534" i="2"/>
  <c r="B534" i="2"/>
  <c r="F533" i="2"/>
  <c r="C533" i="2"/>
  <c r="B533" i="2"/>
  <c r="F532" i="2"/>
  <c r="C532" i="2"/>
  <c r="B532" i="2"/>
  <c r="F531" i="2"/>
  <c r="C531" i="2"/>
  <c r="B531" i="2"/>
  <c r="F530" i="2"/>
  <c r="C530" i="2"/>
  <c r="B530" i="2"/>
  <c r="F529" i="2"/>
  <c r="C529" i="2"/>
  <c r="B529" i="2"/>
  <c r="F528" i="2"/>
  <c r="C528" i="2"/>
  <c r="B528" i="2"/>
  <c r="F527" i="2"/>
  <c r="C527" i="2"/>
  <c r="B527" i="2"/>
  <c r="F526" i="2"/>
  <c r="C526" i="2"/>
  <c r="B526" i="2"/>
  <c r="F525" i="2"/>
  <c r="C525" i="2"/>
  <c r="B525" i="2"/>
  <c r="F524" i="2"/>
  <c r="C524" i="2"/>
  <c r="B524" i="2"/>
  <c r="F523" i="2"/>
  <c r="C523" i="2"/>
  <c r="B523" i="2"/>
  <c r="F522" i="2"/>
  <c r="C522" i="2"/>
  <c r="B522" i="2"/>
  <c r="F521" i="2"/>
  <c r="C521" i="2"/>
  <c r="B521" i="2"/>
  <c r="F520" i="2"/>
  <c r="C520" i="2"/>
  <c r="B520" i="2"/>
  <c r="F519" i="2"/>
  <c r="C519" i="2"/>
  <c r="B519" i="2"/>
  <c r="F518" i="2"/>
  <c r="C518" i="2"/>
  <c r="B518" i="2"/>
  <c r="F517" i="2"/>
  <c r="C517" i="2"/>
  <c r="B517" i="2"/>
  <c r="F516" i="2"/>
  <c r="C516" i="2"/>
  <c r="B516" i="2"/>
  <c r="F515" i="2"/>
  <c r="C515" i="2"/>
  <c r="B515" i="2"/>
  <c r="F514" i="2"/>
  <c r="C514" i="2"/>
  <c r="B514" i="2"/>
  <c r="F513" i="2"/>
  <c r="C513" i="2"/>
  <c r="B513" i="2"/>
  <c r="F512" i="2"/>
  <c r="C512" i="2"/>
  <c r="B512" i="2"/>
  <c r="F511" i="2"/>
  <c r="C511" i="2"/>
  <c r="B511" i="2"/>
  <c r="F510" i="2"/>
  <c r="C510" i="2"/>
  <c r="B510" i="2"/>
  <c r="F509" i="2"/>
  <c r="C509" i="2"/>
  <c r="B509" i="2"/>
  <c r="F508" i="2"/>
  <c r="C508" i="2"/>
  <c r="B508" i="2"/>
  <c r="F507" i="2"/>
  <c r="C507" i="2"/>
  <c r="B507" i="2"/>
  <c r="F506" i="2"/>
  <c r="C506" i="2"/>
  <c r="B506" i="2"/>
  <c r="F505" i="2"/>
  <c r="C505" i="2"/>
  <c r="B505" i="2"/>
  <c r="F504" i="2"/>
  <c r="C504" i="2"/>
  <c r="B504" i="2"/>
  <c r="F503" i="2"/>
  <c r="C503" i="2"/>
  <c r="B503" i="2"/>
  <c r="F502" i="2"/>
  <c r="C502" i="2"/>
  <c r="B502" i="2"/>
  <c r="F501" i="2"/>
  <c r="C501" i="2"/>
  <c r="B501" i="2"/>
  <c r="F500" i="2"/>
  <c r="C500" i="2"/>
  <c r="B500" i="2"/>
  <c r="F499" i="2"/>
  <c r="C499" i="2"/>
  <c r="B499" i="2"/>
  <c r="F498" i="2"/>
  <c r="C498" i="2"/>
  <c r="B498" i="2"/>
  <c r="F497" i="2"/>
  <c r="C497" i="2"/>
  <c r="B497" i="2"/>
  <c r="F496" i="2"/>
  <c r="C496" i="2"/>
  <c r="B496" i="2"/>
  <c r="F495" i="2"/>
  <c r="C495" i="2"/>
  <c r="B495" i="2"/>
  <c r="F494" i="2"/>
  <c r="C494" i="2"/>
  <c r="B494" i="2"/>
  <c r="F493" i="2"/>
  <c r="C493" i="2"/>
  <c r="B493" i="2"/>
  <c r="F492" i="2"/>
  <c r="C492" i="2"/>
  <c r="B492" i="2"/>
  <c r="F491" i="2"/>
  <c r="C491" i="2"/>
  <c r="B491" i="2"/>
  <c r="F490" i="2"/>
  <c r="C490" i="2"/>
  <c r="B490" i="2"/>
  <c r="F489" i="2"/>
  <c r="C489" i="2"/>
  <c r="B489" i="2"/>
  <c r="F488" i="2"/>
  <c r="C488" i="2"/>
  <c r="B488" i="2"/>
  <c r="F487" i="2"/>
  <c r="C487" i="2"/>
  <c r="B487" i="2"/>
  <c r="F486" i="2"/>
  <c r="C486" i="2"/>
  <c r="B486" i="2"/>
  <c r="F485" i="2"/>
  <c r="C485" i="2"/>
  <c r="B485" i="2"/>
  <c r="F484" i="2"/>
  <c r="C484" i="2"/>
  <c r="B484" i="2"/>
  <c r="F483" i="2"/>
  <c r="C483" i="2"/>
  <c r="B483" i="2"/>
  <c r="F482" i="2"/>
  <c r="C482" i="2"/>
  <c r="B482" i="2"/>
  <c r="F481" i="2"/>
  <c r="C481" i="2"/>
  <c r="B481" i="2"/>
  <c r="F480" i="2"/>
  <c r="C480" i="2"/>
  <c r="B480" i="2"/>
  <c r="F479" i="2"/>
  <c r="C479" i="2"/>
  <c r="B479" i="2"/>
  <c r="F478" i="2"/>
  <c r="C478" i="2"/>
  <c r="B478" i="2"/>
  <c r="F477" i="2"/>
  <c r="C477" i="2"/>
  <c r="B477" i="2"/>
  <c r="F476" i="2"/>
  <c r="C476" i="2"/>
  <c r="B476" i="2"/>
  <c r="F475" i="2"/>
  <c r="C475" i="2"/>
  <c r="B475" i="2"/>
  <c r="F474" i="2"/>
  <c r="C474" i="2"/>
  <c r="B474" i="2"/>
  <c r="F473" i="2"/>
  <c r="C473" i="2"/>
  <c r="B473" i="2"/>
  <c r="F472" i="2"/>
  <c r="C472" i="2"/>
  <c r="B472" i="2"/>
  <c r="F471" i="2"/>
  <c r="C471" i="2"/>
  <c r="B471" i="2"/>
  <c r="F470" i="2"/>
  <c r="C470" i="2"/>
  <c r="B470" i="2"/>
  <c r="F469" i="2"/>
  <c r="C469" i="2"/>
  <c r="B469" i="2"/>
  <c r="F468" i="2"/>
  <c r="C468" i="2"/>
  <c r="B468" i="2"/>
  <c r="F467" i="2"/>
  <c r="C467" i="2"/>
  <c r="B467" i="2"/>
  <c r="F466" i="2"/>
  <c r="C466" i="2"/>
  <c r="B466" i="2"/>
  <c r="F465" i="2"/>
  <c r="C465" i="2"/>
  <c r="B465" i="2"/>
  <c r="F464" i="2"/>
  <c r="C464" i="2"/>
  <c r="B464" i="2"/>
  <c r="F463" i="2"/>
  <c r="C463" i="2"/>
  <c r="B463" i="2"/>
  <c r="F462" i="2"/>
  <c r="C462" i="2"/>
  <c r="B462" i="2"/>
  <c r="F461" i="2"/>
  <c r="C461" i="2"/>
  <c r="B461" i="2"/>
  <c r="F460" i="2"/>
  <c r="C460" i="2"/>
  <c r="B460" i="2"/>
  <c r="F459" i="2"/>
  <c r="C459" i="2"/>
  <c r="B459" i="2"/>
  <c r="F458" i="2"/>
  <c r="C458" i="2"/>
  <c r="B458" i="2"/>
  <c r="F457" i="2"/>
  <c r="C457" i="2"/>
  <c r="B457" i="2"/>
  <c r="F456" i="2"/>
  <c r="C456" i="2"/>
  <c r="B456" i="2"/>
  <c r="F455" i="2"/>
  <c r="C455" i="2"/>
  <c r="B455" i="2"/>
  <c r="F454" i="2"/>
  <c r="C454" i="2"/>
  <c r="B454" i="2"/>
  <c r="F453" i="2"/>
  <c r="C453" i="2"/>
  <c r="B453" i="2"/>
  <c r="F452" i="2"/>
  <c r="C452" i="2"/>
  <c r="B452" i="2"/>
  <c r="F451" i="2"/>
  <c r="C451" i="2"/>
  <c r="B451" i="2"/>
  <c r="F450" i="2"/>
  <c r="C450" i="2"/>
  <c r="B450" i="2"/>
  <c r="F449" i="2"/>
  <c r="C449" i="2"/>
  <c r="B449" i="2"/>
  <c r="F448" i="2"/>
  <c r="C448" i="2"/>
  <c r="B448" i="2"/>
  <c r="F447" i="2"/>
  <c r="C447" i="2"/>
  <c r="B447" i="2"/>
  <c r="F446" i="2"/>
  <c r="C446" i="2"/>
  <c r="B446" i="2"/>
  <c r="F445" i="2"/>
  <c r="C445" i="2"/>
  <c r="B445" i="2"/>
  <c r="F444" i="2"/>
  <c r="C444" i="2"/>
  <c r="B444" i="2"/>
  <c r="F443" i="2"/>
  <c r="C443" i="2"/>
  <c r="B443" i="2"/>
  <c r="F442" i="2"/>
  <c r="C442" i="2"/>
  <c r="B442" i="2"/>
  <c r="F441" i="2"/>
  <c r="C441" i="2"/>
  <c r="B441" i="2"/>
  <c r="F440" i="2"/>
  <c r="C440" i="2"/>
  <c r="B440" i="2"/>
  <c r="F439" i="2"/>
  <c r="C439" i="2"/>
  <c r="B439" i="2"/>
  <c r="F438" i="2"/>
  <c r="C438" i="2"/>
  <c r="B438" i="2"/>
  <c r="F437" i="2"/>
  <c r="C437" i="2"/>
  <c r="B437" i="2"/>
  <c r="F436" i="2"/>
  <c r="C436" i="2"/>
  <c r="B436" i="2"/>
  <c r="F435" i="2"/>
  <c r="C435" i="2"/>
  <c r="B435" i="2"/>
  <c r="F434" i="2"/>
  <c r="C434" i="2"/>
  <c r="B434" i="2"/>
  <c r="F433" i="2"/>
  <c r="C433" i="2"/>
  <c r="B433" i="2"/>
  <c r="F432" i="2"/>
  <c r="C432" i="2"/>
  <c r="B432" i="2"/>
  <c r="F431" i="2"/>
  <c r="C431" i="2"/>
  <c r="B431" i="2"/>
  <c r="F430" i="2"/>
  <c r="C430" i="2"/>
  <c r="B430" i="2"/>
  <c r="F429" i="2"/>
  <c r="C429" i="2"/>
  <c r="B429" i="2"/>
  <c r="F428" i="2"/>
  <c r="C428" i="2"/>
  <c r="B428" i="2"/>
  <c r="F427" i="2"/>
  <c r="C427" i="2"/>
  <c r="B427" i="2"/>
  <c r="F426" i="2"/>
  <c r="C426" i="2"/>
  <c r="B426" i="2"/>
  <c r="F425" i="2"/>
  <c r="C425" i="2"/>
  <c r="B425" i="2"/>
  <c r="F424" i="2"/>
  <c r="C424" i="2"/>
  <c r="B424" i="2"/>
  <c r="F423" i="2"/>
  <c r="C423" i="2"/>
  <c r="B423" i="2"/>
  <c r="F422" i="2"/>
  <c r="C422" i="2"/>
  <c r="B422" i="2"/>
  <c r="F421" i="2"/>
  <c r="C421" i="2"/>
  <c r="B421" i="2"/>
  <c r="F420" i="2"/>
  <c r="C420" i="2"/>
  <c r="B420" i="2"/>
  <c r="F419" i="2"/>
  <c r="C419" i="2"/>
  <c r="B419" i="2"/>
  <c r="F418" i="2"/>
  <c r="C418" i="2"/>
  <c r="B418" i="2"/>
  <c r="F417" i="2"/>
  <c r="C417" i="2"/>
  <c r="B417" i="2"/>
  <c r="F416" i="2"/>
  <c r="C416" i="2"/>
  <c r="B416" i="2"/>
  <c r="F415" i="2"/>
  <c r="C415" i="2"/>
  <c r="B415" i="2"/>
  <c r="F414" i="2"/>
  <c r="C414" i="2"/>
  <c r="B414" i="2"/>
  <c r="F413" i="2"/>
  <c r="C413" i="2"/>
  <c r="B413" i="2"/>
  <c r="F412" i="2"/>
  <c r="C412" i="2"/>
  <c r="B412" i="2"/>
  <c r="F411" i="2"/>
  <c r="C411" i="2"/>
  <c r="B411" i="2"/>
  <c r="F410" i="2"/>
  <c r="C410" i="2"/>
  <c r="B410" i="2"/>
  <c r="F409" i="2"/>
  <c r="C409" i="2"/>
  <c r="B409" i="2"/>
  <c r="F408" i="2"/>
  <c r="C408" i="2"/>
  <c r="B408" i="2"/>
  <c r="F407" i="2"/>
  <c r="C407" i="2"/>
  <c r="B407" i="2"/>
  <c r="F406" i="2"/>
  <c r="C406" i="2"/>
  <c r="B406" i="2"/>
  <c r="F405" i="2"/>
  <c r="C405" i="2"/>
  <c r="B405" i="2"/>
  <c r="F404" i="2"/>
  <c r="C404" i="2"/>
  <c r="B404" i="2"/>
  <c r="F403" i="2"/>
  <c r="C403" i="2"/>
  <c r="B403" i="2"/>
  <c r="F402" i="2"/>
  <c r="C402" i="2"/>
  <c r="B402" i="2"/>
  <c r="F401" i="2"/>
  <c r="C401" i="2"/>
  <c r="B401" i="2"/>
  <c r="F400" i="2"/>
  <c r="C400" i="2"/>
  <c r="B400" i="2"/>
  <c r="F399" i="2"/>
  <c r="C399" i="2"/>
  <c r="B399" i="2"/>
  <c r="F398" i="2"/>
  <c r="C398" i="2"/>
  <c r="B398" i="2"/>
  <c r="F397" i="2"/>
  <c r="C397" i="2"/>
  <c r="B397" i="2"/>
  <c r="F396" i="2"/>
  <c r="C396" i="2"/>
  <c r="B396" i="2"/>
  <c r="F395" i="2"/>
  <c r="C395" i="2"/>
  <c r="B395" i="2"/>
  <c r="F394" i="2"/>
  <c r="C394" i="2"/>
  <c r="B394" i="2"/>
  <c r="F393" i="2"/>
  <c r="C393" i="2"/>
  <c r="B393" i="2"/>
  <c r="F392" i="2"/>
  <c r="C392" i="2"/>
  <c r="B392" i="2"/>
  <c r="F391" i="2"/>
  <c r="C391" i="2"/>
  <c r="B391" i="2"/>
  <c r="F390" i="2"/>
  <c r="C390" i="2"/>
  <c r="B390" i="2"/>
  <c r="F389" i="2"/>
  <c r="C389" i="2"/>
  <c r="B389" i="2"/>
  <c r="F388" i="2"/>
  <c r="C388" i="2"/>
  <c r="B388" i="2"/>
  <c r="F387" i="2"/>
  <c r="C387" i="2"/>
  <c r="B387" i="2"/>
  <c r="F386" i="2"/>
  <c r="C386" i="2"/>
  <c r="B386" i="2"/>
  <c r="F385" i="2"/>
  <c r="C385" i="2"/>
  <c r="B385" i="2"/>
  <c r="F384" i="2"/>
  <c r="C384" i="2"/>
  <c r="B384" i="2"/>
  <c r="F383" i="2"/>
  <c r="C383" i="2"/>
  <c r="B383" i="2"/>
  <c r="F382" i="2"/>
  <c r="C382" i="2"/>
  <c r="B382" i="2"/>
  <c r="F381" i="2"/>
  <c r="C381" i="2"/>
  <c r="B381" i="2"/>
  <c r="F380" i="2"/>
  <c r="C380" i="2"/>
  <c r="B380" i="2"/>
  <c r="F379" i="2"/>
  <c r="C379" i="2"/>
  <c r="B379" i="2"/>
  <c r="F378" i="2"/>
  <c r="C378" i="2"/>
  <c r="B378" i="2"/>
  <c r="F377" i="2"/>
  <c r="C377" i="2"/>
  <c r="B377" i="2"/>
  <c r="F376" i="2"/>
  <c r="C376" i="2"/>
  <c r="B376" i="2"/>
  <c r="F375" i="2"/>
  <c r="C375" i="2"/>
  <c r="B375" i="2"/>
  <c r="F374" i="2"/>
  <c r="C374" i="2"/>
  <c r="B374" i="2"/>
  <c r="F373" i="2"/>
  <c r="C373" i="2"/>
  <c r="B373" i="2"/>
  <c r="F372" i="2"/>
  <c r="C372" i="2"/>
  <c r="B372" i="2"/>
  <c r="F371" i="2"/>
  <c r="C371" i="2"/>
  <c r="B371" i="2"/>
  <c r="F370" i="2"/>
  <c r="C370" i="2"/>
  <c r="B370" i="2"/>
  <c r="F369" i="2"/>
  <c r="C369" i="2"/>
  <c r="B369" i="2"/>
  <c r="F368" i="2"/>
  <c r="C368" i="2"/>
  <c r="B368" i="2"/>
  <c r="F367" i="2"/>
  <c r="C367" i="2"/>
  <c r="B367" i="2"/>
  <c r="F366" i="2"/>
  <c r="C366" i="2"/>
  <c r="B366" i="2"/>
  <c r="F365" i="2"/>
  <c r="C365" i="2"/>
  <c r="B365" i="2"/>
  <c r="F364" i="2"/>
  <c r="C364" i="2"/>
  <c r="B364" i="2"/>
  <c r="F363" i="2"/>
  <c r="C363" i="2"/>
  <c r="B363" i="2"/>
  <c r="F362" i="2"/>
  <c r="C362" i="2"/>
  <c r="B362" i="2"/>
  <c r="F361" i="2"/>
  <c r="C361" i="2"/>
  <c r="B361" i="2"/>
  <c r="F360" i="2"/>
  <c r="C360" i="2"/>
  <c r="B360" i="2"/>
  <c r="F359" i="2"/>
  <c r="C359" i="2"/>
  <c r="B359" i="2"/>
  <c r="F358" i="2"/>
  <c r="C358" i="2"/>
  <c r="B358" i="2"/>
  <c r="F357" i="2"/>
  <c r="C357" i="2"/>
  <c r="B357" i="2"/>
  <c r="F356" i="2"/>
  <c r="C356" i="2"/>
  <c r="B356" i="2"/>
  <c r="F355" i="2"/>
  <c r="C355" i="2"/>
  <c r="B355" i="2"/>
  <c r="F354" i="2"/>
  <c r="C354" i="2"/>
  <c r="B354" i="2"/>
  <c r="F353" i="2"/>
  <c r="C353" i="2"/>
  <c r="B353" i="2"/>
  <c r="F352" i="2"/>
  <c r="C352" i="2"/>
  <c r="B352" i="2"/>
  <c r="F351" i="2"/>
  <c r="C351" i="2"/>
  <c r="B351" i="2"/>
  <c r="F350" i="2"/>
  <c r="C350" i="2"/>
  <c r="B350" i="2"/>
  <c r="F349" i="2"/>
  <c r="C349" i="2"/>
  <c r="B349" i="2"/>
  <c r="F348" i="2"/>
  <c r="C348" i="2"/>
  <c r="B348" i="2"/>
  <c r="F347" i="2"/>
  <c r="C347" i="2"/>
  <c r="B347" i="2"/>
  <c r="F346" i="2"/>
  <c r="C346" i="2"/>
  <c r="B346" i="2"/>
  <c r="F345" i="2"/>
  <c r="C345" i="2"/>
  <c r="B345" i="2"/>
  <c r="F344" i="2"/>
  <c r="C344" i="2"/>
  <c r="B344" i="2"/>
  <c r="F343" i="2"/>
  <c r="C343" i="2"/>
  <c r="B343" i="2"/>
  <c r="F342" i="2"/>
  <c r="C342" i="2"/>
  <c r="B342" i="2"/>
  <c r="F341" i="2"/>
  <c r="C341" i="2"/>
  <c r="B341" i="2"/>
  <c r="F340" i="2"/>
  <c r="C340" i="2"/>
  <c r="B340" i="2"/>
  <c r="F339" i="2"/>
  <c r="C339" i="2"/>
  <c r="B339" i="2"/>
  <c r="F338" i="2"/>
  <c r="C338" i="2"/>
  <c r="B338" i="2"/>
  <c r="F337" i="2"/>
  <c r="C337" i="2"/>
  <c r="B337" i="2"/>
  <c r="F336" i="2"/>
  <c r="C336" i="2"/>
  <c r="B336" i="2"/>
  <c r="F335" i="2"/>
  <c r="C335" i="2"/>
  <c r="B335" i="2"/>
  <c r="F334" i="2"/>
  <c r="C334" i="2"/>
  <c r="B334" i="2"/>
  <c r="F333" i="2"/>
  <c r="C333" i="2"/>
  <c r="B333" i="2"/>
  <c r="F332" i="2"/>
  <c r="C332" i="2"/>
  <c r="B332" i="2"/>
  <c r="F331" i="2"/>
  <c r="C331" i="2"/>
  <c r="B331" i="2"/>
  <c r="F330" i="2"/>
  <c r="C330" i="2"/>
  <c r="B330" i="2"/>
  <c r="F329" i="2"/>
  <c r="C329" i="2"/>
  <c r="B329" i="2"/>
  <c r="F328" i="2"/>
  <c r="C328" i="2"/>
  <c r="B328" i="2"/>
  <c r="F327" i="2"/>
  <c r="C327" i="2"/>
  <c r="B327" i="2"/>
  <c r="F326" i="2"/>
  <c r="C326" i="2"/>
  <c r="B326" i="2"/>
  <c r="F325" i="2"/>
  <c r="C325" i="2"/>
  <c r="B325" i="2"/>
  <c r="F324" i="2"/>
  <c r="C324" i="2"/>
  <c r="B324" i="2"/>
  <c r="F323" i="2"/>
  <c r="C323" i="2"/>
  <c r="B323" i="2"/>
  <c r="F322" i="2"/>
  <c r="C322" i="2"/>
  <c r="B322" i="2"/>
  <c r="F321" i="2"/>
  <c r="C321" i="2"/>
  <c r="B321" i="2"/>
  <c r="F320" i="2"/>
  <c r="C320" i="2"/>
  <c r="B320" i="2"/>
  <c r="F319" i="2"/>
  <c r="C319" i="2"/>
  <c r="B319" i="2"/>
  <c r="F318" i="2"/>
  <c r="C318" i="2"/>
  <c r="B318" i="2"/>
  <c r="F317" i="2"/>
  <c r="C317" i="2"/>
  <c r="B317" i="2"/>
  <c r="F316" i="2"/>
  <c r="C316" i="2"/>
  <c r="B316" i="2"/>
  <c r="F315" i="2"/>
  <c r="C315" i="2"/>
  <c r="B315" i="2"/>
  <c r="F314" i="2"/>
  <c r="C314" i="2"/>
  <c r="B314" i="2"/>
  <c r="F313" i="2"/>
  <c r="C313" i="2"/>
  <c r="B313" i="2"/>
  <c r="F312" i="2"/>
  <c r="C312" i="2"/>
  <c r="B312" i="2"/>
  <c r="F311" i="2"/>
  <c r="C311" i="2"/>
  <c r="B311" i="2"/>
  <c r="F310" i="2"/>
  <c r="C310" i="2"/>
  <c r="B310" i="2"/>
  <c r="F309" i="2"/>
  <c r="C309" i="2"/>
  <c r="B309" i="2"/>
  <c r="F308" i="2"/>
  <c r="C308" i="2"/>
  <c r="B308" i="2"/>
  <c r="F307" i="2"/>
  <c r="C307" i="2"/>
  <c r="B307" i="2"/>
  <c r="F306" i="2"/>
  <c r="C306" i="2"/>
  <c r="B306" i="2"/>
  <c r="F305" i="2"/>
  <c r="C305" i="2"/>
  <c r="B305" i="2"/>
  <c r="F304" i="2"/>
  <c r="C304" i="2"/>
  <c r="B304" i="2"/>
  <c r="F303" i="2"/>
  <c r="C303" i="2"/>
  <c r="B303" i="2"/>
  <c r="F302" i="2"/>
  <c r="C302" i="2"/>
  <c r="B302" i="2"/>
  <c r="F301" i="2"/>
  <c r="C301" i="2"/>
  <c r="B301" i="2"/>
  <c r="F300" i="2"/>
  <c r="C300" i="2"/>
  <c r="B300" i="2"/>
  <c r="F299" i="2"/>
  <c r="C299" i="2"/>
  <c r="B299" i="2"/>
  <c r="F298" i="2"/>
  <c r="C298" i="2"/>
  <c r="B298" i="2"/>
  <c r="F297" i="2"/>
  <c r="C297" i="2"/>
  <c r="B297" i="2"/>
  <c r="F296" i="2"/>
  <c r="C296" i="2"/>
  <c r="B296" i="2"/>
  <c r="F295" i="2"/>
  <c r="C295" i="2"/>
  <c r="B295" i="2"/>
  <c r="F294" i="2"/>
  <c r="C294" i="2"/>
  <c r="B294" i="2"/>
  <c r="F293" i="2"/>
  <c r="C293" i="2"/>
  <c r="B293" i="2"/>
  <c r="F292" i="2"/>
  <c r="C292" i="2"/>
  <c r="B292" i="2"/>
  <c r="F291" i="2"/>
  <c r="C291" i="2"/>
  <c r="B291" i="2"/>
  <c r="F290" i="2"/>
  <c r="C290" i="2"/>
  <c r="B290" i="2"/>
  <c r="F289" i="2"/>
  <c r="C289" i="2"/>
  <c r="B289" i="2"/>
  <c r="F288" i="2"/>
  <c r="C288" i="2"/>
  <c r="B288" i="2"/>
  <c r="F287" i="2"/>
  <c r="C287" i="2"/>
  <c r="B287" i="2"/>
  <c r="F286" i="2"/>
  <c r="C286" i="2"/>
  <c r="B286" i="2"/>
  <c r="F285" i="2"/>
  <c r="C285" i="2"/>
  <c r="B285" i="2"/>
  <c r="F284" i="2"/>
  <c r="C284" i="2"/>
  <c r="B284" i="2"/>
  <c r="F283" i="2"/>
  <c r="C283" i="2"/>
  <c r="B283" i="2"/>
  <c r="F282" i="2"/>
  <c r="C282" i="2"/>
  <c r="B282" i="2"/>
  <c r="F281" i="2"/>
  <c r="C281" i="2"/>
  <c r="B281" i="2"/>
  <c r="F280" i="2"/>
  <c r="C280" i="2"/>
  <c r="B280" i="2"/>
  <c r="F279" i="2"/>
  <c r="C279" i="2"/>
  <c r="B279" i="2"/>
  <c r="F278" i="2"/>
  <c r="C278" i="2"/>
  <c r="B278" i="2"/>
  <c r="F277" i="2"/>
  <c r="C277" i="2"/>
  <c r="B277" i="2"/>
  <c r="F276" i="2"/>
  <c r="C276" i="2"/>
  <c r="B276" i="2"/>
  <c r="F275" i="2"/>
  <c r="C275" i="2"/>
  <c r="B275" i="2"/>
  <c r="F274" i="2"/>
  <c r="C274" i="2"/>
  <c r="B274" i="2"/>
  <c r="F273" i="2"/>
  <c r="C273" i="2"/>
  <c r="B273" i="2"/>
  <c r="F272" i="2"/>
  <c r="C272" i="2"/>
  <c r="B272" i="2"/>
  <c r="F271" i="2"/>
  <c r="C271" i="2"/>
  <c r="B271" i="2"/>
  <c r="F270" i="2"/>
  <c r="C270" i="2"/>
  <c r="B270" i="2"/>
  <c r="F269" i="2"/>
  <c r="C269" i="2"/>
  <c r="B269" i="2"/>
  <c r="F268" i="2"/>
  <c r="C268" i="2"/>
  <c r="B268" i="2"/>
  <c r="F267" i="2"/>
  <c r="C267" i="2"/>
  <c r="B267" i="2"/>
  <c r="F266" i="2"/>
  <c r="C266" i="2"/>
  <c r="B266" i="2"/>
  <c r="F265" i="2"/>
  <c r="C265" i="2"/>
  <c r="B265" i="2"/>
  <c r="F264" i="2"/>
  <c r="C264" i="2"/>
  <c r="B264" i="2"/>
  <c r="F263" i="2"/>
  <c r="C263" i="2"/>
  <c r="B263" i="2"/>
  <c r="F262" i="2"/>
  <c r="C262" i="2"/>
  <c r="B262" i="2"/>
  <c r="F261" i="2"/>
  <c r="C261" i="2"/>
  <c r="B261" i="2"/>
  <c r="F260" i="2"/>
  <c r="C260" i="2"/>
  <c r="B260" i="2"/>
  <c r="F259" i="2"/>
  <c r="C259" i="2"/>
  <c r="B259" i="2"/>
  <c r="F258" i="2"/>
  <c r="C258" i="2"/>
  <c r="B258" i="2"/>
  <c r="F257" i="2"/>
  <c r="C257" i="2"/>
  <c r="B257" i="2"/>
  <c r="F256" i="2"/>
  <c r="C256" i="2"/>
  <c r="B256" i="2"/>
  <c r="F255" i="2"/>
  <c r="C255" i="2"/>
  <c r="B255" i="2"/>
  <c r="F254" i="2"/>
  <c r="C254" i="2"/>
  <c r="B254" i="2"/>
  <c r="F253" i="2"/>
  <c r="C253" i="2"/>
  <c r="B253" i="2"/>
  <c r="F252" i="2"/>
  <c r="C252" i="2"/>
  <c r="B252" i="2"/>
  <c r="F251" i="2"/>
  <c r="C251" i="2"/>
  <c r="B251" i="2"/>
  <c r="F250" i="2"/>
  <c r="C250" i="2"/>
  <c r="B250" i="2"/>
  <c r="F249" i="2"/>
  <c r="C249" i="2"/>
  <c r="B249" i="2"/>
  <c r="F248" i="2"/>
  <c r="C248" i="2"/>
  <c r="B248" i="2"/>
  <c r="F247" i="2"/>
  <c r="C247" i="2"/>
  <c r="B247" i="2"/>
  <c r="F246" i="2"/>
  <c r="C246" i="2"/>
  <c r="B246" i="2"/>
  <c r="F245" i="2"/>
  <c r="C245" i="2"/>
  <c r="B245" i="2"/>
  <c r="F244" i="2"/>
  <c r="C244" i="2"/>
  <c r="B244" i="2"/>
  <c r="F243" i="2"/>
  <c r="C243" i="2"/>
  <c r="B243" i="2"/>
  <c r="F242" i="2"/>
  <c r="C242" i="2"/>
  <c r="B242" i="2"/>
  <c r="F241" i="2"/>
  <c r="C241" i="2"/>
  <c r="B241" i="2"/>
  <c r="D241" i="12" s="1"/>
  <c r="F240" i="2"/>
  <c r="C240" i="2"/>
  <c r="B240" i="2"/>
  <c r="F239" i="2"/>
  <c r="C239" i="2"/>
  <c r="B239" i="2"/>
  <c r="F238" i="2"/>
  <c r="C238" i="2"/>
  <c r="B238" i="2"/>
  <c r="F237" i="2"/>
  <c r="C237" i="2"/>
  <c r="B237" i="2"/>
  <c r="F236" i="2"/>
  <c r="C236" i="2"/>
  <c r="B236" i="2"/>
  <c r="F235" i="2"/>
  <c r="C235" i="2"/>
  <c r="B235" i="2"/>
  <c r="F234" i="2"/>
  <c r="C234" i="2"/>
  <c r="B234" i="2"/>
  <c r="F233" i="2"/>
  <c r="C233" i="2"/>
  <c r="B233" i="2"/>
  <c r="F232" i="2"/>
  <c r="C232" i="2"/>
  <c r="B232" i="2"/>
  <c r="F231" i="2"/>
  <c r="C231" i="2"/>
  <c r="B231" i="2"/>
  <c r="F230" i="2"/>
  <c r="C230" i="2"/>
  <c r="B230" i="2"/>
  <c r="F229" i="2"/>
  <c r="C229" i="2"/>
  <c r="B229" i="2"/>
  <c r="F228" i="2"/>
  <c r="C228" i="2"/>
  <c r="B228" i="2"/>
  <c r="F227" i="2"/>
  <c r="C227" i="2"/>
  <c r="B227" i="2"/>
  <c r="F226" i="2"/>
  <c r="C226" i="2"/>
  <c r="B226" i="2"/>
  <c r="F225" i="2"/>
  <c r="C225" i="2"/>
  <c r="B225" i="2"/>
  <c r="F224" i="2"/>
  <c r="C224" i="2"/>
  <c r="B224" i="2"/>
  <c r="F223" i="2"/>
  <c r="C223" i="2"/>
  <c r="B223" i="2"/>
  <c r="F222" i="2"/>
  <c r="C222" i="2"/>
  <c r="B222" i="2"/>
  <c r="F221" i="2"/>
  <c r="C221" i="2"/>
  <c r="B221" i="2"/>
  <c r="F220" i="2"/>
  <c r="C220" i="2"/>
  <c r="B220" i="2"/>
  <c r="F219" i="2"/>
  <c r="C219" i="2"/>
  <c r="B219" i="2"/>
  <c r="F218" i="2"/>
  <c r="C218" i="2"/>
  <c r="B218" i="2"/>
  <c r="F217" i="2"/>
  <c r="C217" i="2"/>
  <c r="B217" i="2"/>
  <c r="F216" i="2"/>
  <c r="C216" i="2"/>
  <c r="B216" i="2"/>
  <c r="F215" i="2"/>
  <c r="C215" i="2"/>
  <c r="B215" i="2"/>
  <c r="F214" i="2"/>
  <c r="C214" i="2"/>
  <c r="B214" i="2"/>
  <c r="F213" i="2"/>
  <c r="C213" i="2"/>
  <c r="B213" i="2"/>
  <c r="F212" i="2"/>
  <c r="C212" i="2"/>
  <c r="B212" i="2"/>
  <c r="F211" i="2"/>
  <c r="C211" i="2"/>
  <c r="B211" i="2"/>
  <c r="F210" i="2"/>
  <c r="C210" i="2"/>
  <c r="B210" i="2"/>
  <c r="F209" i="2"/>
  <c r="C209" i="2"/>
  <c r="B209" i="2"/>
  <c r="D197" i="12" s="1"/>
  <c r="F208" i="2"/>
  <c r="C208" i="2"/>
  <c r="B208" i="2"/>
  <c r="F207" i="2"/>
  <c r="C207" i="2"/>
  <c r="B207" i="2"/>
  <c r="F206" i="2"/>
  <c r="C206" i="2"/>
  <c r="B206" i="2"/>
  <c r="F205" i="2"/>
  <c r="C205" i="2"/>
  <c r="B205" i="2"/>
  <c r="F204" i="2"/>
  <c r="C204" i="2"/>
  <c r="B204" i="2"/>
  <c r="F203" i="2"/>
  <c r="C203" i="2"/>
  <c r="B203" i="2"/>
  <c r="F202" i="2"/>
  <c r="C202" i="2"/>
  <c r="B202" i="2"/>
  <c r="D198" i="12" s="1"/>
  <c r="F201" i="2"/>
  <c r="C201" i="2"/>
  <c r="B201" i="2"/>
  <c r="F200" i="2"/>
  <c r="C200" i="2"/>
  <c r="B200" i="2"/>
  <c r="F199" i="2"/>
  <c r="C199" i="2"/>
  <c r="B199" i="2"/>
  <c r="F198" i="2"/>
  <c r="C198" i="2"/>
  <c r="B198" i="2"/>
  <c r="F197" i="2"/>
  <c r="C197" i="2"/>
  <c r="B197" i="2"/>
  <c r="F196" i="2"/>
  <c r="C196" i="2"/>
  <c r="B196" i="2"/>
  <c r="F195" i="2"/>
  <c r="C195" i="2"/>
  <c r="B195" i="2"/>
  <c r="F194" i="2"/>
  <c r="C194" i="2"/>
  <c r="B194" i="2"/>
  <c r="F193" i="2"/>
  <c r="C193" i="2"/>
  <c r="B193" i="2"/>
  <c r="F192" i="2"/>
  <c r="C192" i="2"/>
  <c r="B192" i="2"/>
  <c r="F191" i="2"/>
  <c r="C191" i="2"/>
  <c r="B191" i="2"/>
  <c r="F190" i="2"/>
  <c r="C190" i="2"/>
  <c r="B190" i="2"/>
  <c r="F189" i="2"/>
  <c r="C189" i="2"/>
  <c r="B189" i="2"/>
  <c r="F188" i="2"/>
  <c r="C188" i="2"/>
  <c r="B188" i="2"/>
  <c r="F187" i="2"/>
  <c r="C187" i="2"/>
  <c r="B187" i="2"/>
  <c r="F186" i="2"/>
  <c r="C186" i="2"/>
  <c r="B186" i="2"/>
  <c r="F185" i="2"/>
  <c r="C185" i="2"/>
  <c r="B185" i="2"/>
  <c r="F184" i="2"/>
  <c r="C184" i="2"/>
  <c r="B184" i="2"/>
  <c r="D184" i="12" s="1"/>
  <c r="F183" i="2"/>
  <c r="C183" i="2"/>
  <c r="B183" i="2"/>
  <c r="F182" i="2"/>
  <c r="C182" i="2"/>
  <c r="B182" i="2"/>
  <c r="F181" i="2"/>
  <c r="C181" i="2"/>
  <c r="B181" i="2"/>
  <c r="F180" i="2"/>
  <c r="C180" i="2"/>
  <c r="B180" i="2"/>
  <c r="F179" i="2"/>
  <c r="C179" i="2"/>
  <c r="B179" i="2"/>
  <c r="F178" i="2"/>
  <c r="C178" i="2"/>
  <c r="B178" i="2"/>
  <c r="F177" i="2"/>
  <c r="C177" i="2"/>
  <c r="B177" i="2"/>
  <c r="F176" i="2"/>
  <c r="C176" i="2"/>
  <c r="B176" i="2"/>
  <c r="D176" i="12" s="1"/>
  <c r="F175" i="2"/>
  <c r="C175" i="2"/>
  <c r="B175" i="2"/>
  <c r="F174" i="2"/>
  <c r="C174" i="2"/>
  <c r="B174" i="2"/>
  <c r="F173" i="2"/>
  <c r="C173" i="2"/>
  <c r="B173" i="2"/>
  <c r="F172" i="2"/>
  <c r="C172" i="2"/>
  <c r="B172" i="2"/>
  <c r="F171" i="2"/>
  <c r="C171" i="2"/>
  <c r="B171" i="2"/>
  <c r="F170" i="2"/>
  <c r="C170" i="2"/>
  <c r="B170" i="2"/>
  <c r="F169" i="2"/>
  <c r="C169" i="2"/>
  <c r="B169" i="2"/>
  <c r="F168" i="2"/>
  <c r="C168" i="2"/>
  <c r="B168" i="2"/>
  <c r="F167" i="2"/>
  <c r="C167" i="2"/>
  <c r="B167" i="2"/>
  <c r="F166" i="2"/>
  <c r="C166" i="2"/>
  <c r="B166" i="2"/>
  <c r="F165" i="2"/>
  <c r="C165" i="2"/>
  <c r="B165" i="2"/>
  <c r="F164" i="2"/>
  <c r="C164" i="2"/>
  <c r="B164" i="2"/>
  <c r="F163" i="2"/>
  <c r="C163" i="2"/>
  <c r="B163" i="2"/>
  <c r="F162" i="2"/>
  <c r="C162" i="2"/>
  <c r="B162" i="2"/>
  <c r="F161" i="2"/>
  <c r="C161" i="2"/>
  <c r="B161" i="2"/>
  <c r="F160" i="2"/>
  <c r="C160" i="2"/>
  <c r="B160" i="2"/>
  <c r="F159" i="2"/>
  <c r="C159" i="2"/>
  <c r="B159" i="2"/>
  <c r="D159" i="12" s="1"/>
  <c r="F158" i="2"/>
  <c r="C158" i="2"/>
  <c r="B158" i="2"/>
  <c r="D157" i="12" s="1"/>
  <c r="F157" i="2"/>
  <c r="C157" i="2"/>
  <c r="B157" i="2"/>
  <c r="F156" i="2"/>
  <c r="C156" i="2"/>
  <c r="B156" i="2"/>
  <c r="F155" i="2"/>
  <c r="C155" i="2"/>
  <c r="B155" i="2"/>
  <c r="F154" i="2"/>
  <c r="C154" i="2"/>
  <c r="B154" i="2"/>
  <c r="F153" i="2"/>
  <c r="C153" i="2"/>
  <c r="B153" i="2"/>
  <c r="F152" i="2"/>
  <c r="C152" i="2"/>
  <c r="B152" i="2"/>
  <c r="F151" i="2"/>
  <c r="C151" i="2"/>
  <c r="B151" i="2"/>
  <c r="F150" i="2"/>
  <c r="C150" i="2"/>
  <c r="B150" i="2"/>
  <c r="F149" i="2"/>
  <c r="C149" i="2"/>
  <c r="B149" i="2"/>
  <c r="F148" i="2"/>
  <c r="C148" i="2"/>
  <c r="B148" i="2"/>
  <c r="F147" i="2"/>
  <c r="C147" i="2"/>
  <c r="B147" i="2"/>
  <c r="F146" i="2"/>
  <c r="C146" i="2"/>
  <c r="B146" i="2"/>
  <c r="F145" i="2"/>
  <c r="C145" i="2"/>
  <c r="B145" i="2"/>
  <c r="F144" i="2"/>
  <c r="C144" i="2"/>
  <c r="B144" i="2"/>
  <c r="F143" i="2"/>
  <c r="C143" i="2"/>
  <c r="B143" i="2"/>
  <c r="F142" i="2"/>
  <c r="C142" i="2"/>
  <c r="B142" i="2"/>
  <c r="F141" i="2"/>
  <c r="C141" i="2"/>
  <c r="B141" i="2"/>
  <c r="F140" i="2"/>
  <c r="C140" i="2"/>
  <c r="B140" i="2"/>
  <c r="F139" i="2"/>
  <c r="C139" i="2"/>
  <c r="B139" i="2"/>
  <c r="F138" i="2"/>
  <c r="C138" i="2"/>
  <c r="B138" i="2"/>
  <c r="F137" i="2"/>
  <c r="C137" i="2"/>
  <c r="B137" i="2"/>
  <c r="F136" i="2"/>
  <c r="C136" i="2"/>
  <c r="B136" i="2"/>
  <c r="F135" i="2"/>
  <c r="C135" i="2"/>
  <c r="B135" i="2"/>
  <c r="F134" i="2"/>
  <c r="C134" i="2"/>
  <c r="B134" i="2"/>
  <c r="F133" i="2"/>
  <c r="C133" i="2"/>
  <c r="B133" i="2"/>
  <c r="F132" i="2"/>
  <c r="C132" i="2"/>
  <c r="B132" i="2"/>
  <c r="F131" i="2"/>
  <c r="C131" i="2"/>
  <c r="B131" i="2"/>
  <c r="F130" i="2"/>
  <c r="C130" i="2"/>
  <c r="B130" i="2"/>
  <c r="F129" i="2"/>
  <c r="C129" i="2"/>
  <c r="B129" i="2"/>
  <c r="F128" i="2"/>
  <c r="C128" i="2"/>
  <c r="B128" i="2"/>
  <c r="F127" i="2"/>
  <c r="C127" i="2"/>
  <c r="B127" i="2"/>
  <c r="F126" i="2"/>
  <c r="C126" i="2"/>
  <c r="B126" i="2"/>
  <c r="F125" i="2"/>
  <c r="C125" i="2"/>
  <c r="B125" i="2"/>
  <c r="F124" i="2"/>
  <c r="C124" i="2"/>
  <c r="B124" i="2"/>
  <c r="F123" i="2"/>
  <c r="C123" i="2"/>
  <c r="B123" i="2"/>
  <c r="F122" i="2"/>
  <c r="C122" i="2"/>
  <c r="B122" i="2"/>
  <c r="F121" i="2"/>
  <c r="C121" i="2"/>
  <c r="B121" i="2"/>
  <c r="F120" i="2"/>
  <c r="C120" i="2"/>
  <c r="B120" i="2"/>
  <c r="F119" i="2"/>
  <c r="C119" i="2"/>
  <c r="B119" i="2"/>
  <c r="F118" i="2"/>
  <c r="C118" i="2"/>
  <c r="B118" i="2"/>
  <c r="F117" i="2"/>
  <c r="C117" i="2"/>
  <c r="B117" i="2"/>
  <c r="F116" i="2"/>
  <c r="C116" i="2"/>
  <c r="B116" i="2"/>
  <c r="F115" i="2"/>
  <c r="C115" i="2"/>
  <c r="B115" i="2"/>
  <c r="F114" i="2"/>
  <c r="C114" i="2"/>
  <c r="B114" i="2"/>
  <c r="F113" i="2"/>
  <c r="C113" i="2"/>
  <c r="B113" i="2"/>
  <c r="F112" i="2"/>
  <c r="C112" i="2"/>
  <c r="B112" i="2"/>
  <c r="F111" i="2"/>
  <c r="C111" i="2"/>
  <c r="B111" i="2"/>
  <c r="F110" i="2"/>
  <c r="C110" i="2"/>
  <c r="B110" i="2"/>
  <c r="F109" i="2"/>
  <c r="C109" i="2"/>
  <c r="B109" i="2"/>
  <c r="F108" i="2"/>
  <c r="C108" i="2"/>
  <c r="B108" i="2"/>
  <c r="F107" i="2"/>
  <c r="C107" i="2"/>
  <c r="B107" i="2"/>
  <c r="F106" i="2"/>
  <c r="C106" i="2"/>
  <c r="B106" i="2"/>
  <c r="F105" i="2"/>
  <c r="C105" i="2"/>
  <c r="B105" i="2"/>
  <c r="F104" i="2"/>
  <c r="C104" i="2"/>
  <c r="B104" i="2"/>
  <c r="F103" i="2"/>
  <c r="C103" i="2"/>
  <c r="B103" i="2"/>
  <c r="F102" i="2"/>
  <c r="C102" i="2"/>
  <c r="B102" i="2"/>
  <c r="F101" i="2"/>
  <c r="C101" i="2"/>
  <c r="B101" i="2"/>
  <c r="F100" i="2"/>
  <c r="C100" i="2"/>
  <c r="B100" i="2"/>
  <c r="F99" i="2"/>
  <c r="C99" i="2"/>
  <c r="B99" i="2"/>
  <c r="D97" i="12" s="1"/>
  <c r="F98" i="2"/>
  <c r="C98" i="2"/>
  <c r="B98" i="2"/>
  <c r="F97" i="2"/>
  <c r="C97" i="2"/>
  <c r="B97" i="2"/>
  <c r="F96" i="2"/>
  <c r="C96" i="2"/>
  <c r="B96" i="2"/>
  <c r="F95" i="2"/>
  <c r="C95" i="2"/>
  <c r="B95" i="2"/>
  <c r="F94" i="2"/>
  <c r="C94" i="2"/>
  <c r="B94" i="2"/>
  <c r="F93" i="2"/>
  <c r="C93" i="2"/>
  <c r="B93" i="2"/>
  <c r="F92" i="2"/>
  <c r="C92" i="2"/>
  <c r="B92" i="2"/>
  <c r="F91" i="2"/>
  <c r="C91" i="2"/>
  <c r="B91" i="2"/>
  <c r="F90" i="2"/>
  <c r="C90" i="2"/>
  <c r="B90" i="2"/>
  <c r="F89" i="2"/>
  <c r="C89" i="2"/>
  <c r="B89" i="2"/>
  <c r="F88" i="2"/>
  <c r="C88" i="2"/>
  <c r="B88" i="2"/>
  <c r="F87" i="2"/>
  <c r="C87" i="2"/>
  <c r="B87" i="2"/>
  <c r="F86" i="2"/>
  <c r="C86" i="2"/>
  <c r="B86" i="2"/>
  <c r="F85" i="2"/>
  <c r="C85" i="2"/>
  <c r="B85" i="2"/>
  <c r="F84" i="2"/>
  <c r="C84" i="2"/>
  <c r="B84" i="2"/>
  <c r="F83" i="2"/>
  <c r="C83" i="2"/>
  <c r="B83" i="2"/>
  <c r="F82" i="2"/>
  <c r="C82" i="2"/>
  <c r="B82" i="2"/>
  <c r="F81" i="2"/>
  <c r="C81" i="2"/>
  <c r="B81" i="2"/>
  <c r="F80" i="2"/>
  <c r="C80" i="2"/>
  <c r="B80" i="2"/>
  <c r="F79" i="2"/>
  <c r="C79" i="2"/>
  <c r="B79" i="2"/>
  <c r="F78" i="2"/>
  <c r="C78" i="2"/>
  <c r="B78" i="2"/>
  <c r="F77" i="2"/>
  <c r="C77" i="2"/>
  <c r="B77" i="2"/>
  <c r="F76" i="2"/>
  <c r="C76" i="2"/>
  <c r="B76" i="2"/>
  <c r="F75" i="2"/>
  <c r="C75" i="2"/>
  <c r="B75" i="2"/>
  <c r="F74" i="2"/>
  <c r="C74" i="2"/>
  <c r="B74" i="2"/>
  <c r="F73" i="2"/>
  <c r="C73" i="2"/>
  <c r="B73" i="2"/>
  <c r="F72" i="2"/>
  <c r="C72" i="2"/>
  <c r="B72" i="2"/>
  <c r="F71" i="2"/>
  <c r="C71" i="2"/>
  <c r="B71" i="2"/>
  <c r="F70" i="2"/>
  <c r="C70" i="2"/>
  <c r="B70" i="2"/>
  <c r="F69" i="2"/>
  <c r="C69" i="2"/>
  <c r="B69" i="2"/>
  <c r="F68" i="2"/>
  <c r="C68" i="2"/>
  <c r="B68" i="2"/>
  <c r="F67" i="2"/>
  <c r="C67" i="2"/>
  <c r="B67" i="2"/>
  <c r="F66" i="2"/>
  <c r="C66" i="2"/>
  <c r="B66" i="2"/>
  <c r="F65" i="2"/>
  <c r="C65" i="2"/>
  <c r="B65" i="2"/>
  <c r="F64" i="2"/>
  <c r="C64" i="2"/>
  <c r="B64" i="2"/>
  <c r="F63" i="2"/>
  <c r="C63" i="2"/>
  <c r="B63" i="2"/>
  <c r="D61" i="12" s="1"/>
  <c r="F62" i="2"/>
  <c r="C62" i="2"/>
  <c r="B62" i="2"/>
  <c r="F61" i="2"/>
  <c r="C61" i="2"/>
  <c r="B61" i="2"/>
  <c r="F60" i="2"/>
  <c r="C60" i="2"/>
  <c r="B60" i="2"/>
  <c r="F59" i="2"/>
  <c r="C59" i="2"/>
  <c r="B59" i="2"/>
  <c r="F58" i="2"/>
  <c r="C58" i="2"/>
  <c r="B58" i="2"/>
  <c r="F57" i="2"/>
  <c r="C57" i="2"/>
  <c r="B57" i="2"/>
  <c r="F56" i="2"/>
  <c r="C56" i="2"/>
  <c r="B56" i="2"/>
  <c r="F55" i="2"/>
  <c r="C55" i="2"/>
  <c r="B55" i="2"/>
  <c r="D51" i="12" s="1"/>
  <c r="F54" i="2"/>
  <c r="C54" i="2"/>
  <c r="B54" i="2"/>
  <c r="F53" i="2"/>
  <c r="C53" i="2"/>
  <c r="B53" i="2"/>
  <c r="F52" i="2"/>
  <c r="C52" i="2"/>
  <c r="B52" i="2"/>
  <c r="F51" i="2"/>
  <c r="C51" i="2"/>
  <c r="B51" i="2"/>
  <c r="F50" i="2"/>
  <c r="C50" i="2"/>
  <c r="B50" i="2"/>
  <c r="F49" i="2"/>
  <c r="C49" i="2"/>
  <c r="B49" i="2"/>
  <c r="F48" i="2"/>
  <c r="C48" i="2"/>
  <c r="B48" i="2"/>
  <c r="F47" i="2"/>
  <c r="C47" i="2"/>
  <c r="B47" i="2"/>
  <c r="F46" i="2"/>
  <c r="C46" i="2"/>
  <c r="B46" i="2"/>
  <c r="F45" i="2"/>
  <c r="C45" i="2"/>
  <c r="B45" i="2"/>
  <c r="F44" i="2"/>
  <c r="C44" i="2"/>
  <c r="B44" i="2"/>
  <c r="F43" i="2"/>
  <c r="C43" i="2"/>
  <c r="B43" i="2"/>
  <c r="F42" i="2"/>
  <c r="C42" i="2"/>
  <c r="B42" i="2"/>
  <c r="F41" i="2"/>
  <c r="C41" i="2"/>
  <c r="B41" i="2"/>
  <c r="F40" i="2"/>
  <c r="C40" i="2"/>
  <c r="B40" i="2"/>
  <c r="F39" i="2"/>
  <c r="C39" i="2"/>
  <c r="B39" i="2"/>
  <c r="F38" i="2"/>
  <c r="C38" i="2"/>
  <c r="B38" i="2"/>
  <c r="F37" i="2"/>
  <c r="C37" i="2"/>
  <c r="B37" i="2"/>
  <c r="F36" i="2"/>
  <c r="C36" i="2"/>
  <c r="B36" i="2"/>
  <c r="F35" i="2"/>
  <c r="C35" i="2"/>
  <c r="B35" i="2"/>
  <c r="F34" i="2"/>
  <c r="C34" i="2"/>
  <c r="B34" i="2"/>
  <c r="F33" i="2"/>
  <c r="C33" i="2"/>
  <c r="B33" i="2"/>
  <c r="F32" i="2"/>
  <c r="C32" i="2"/>
  <c r="B32" i="2"/>
  <c r="F31" i="2"/>
  <c r="C31" i="2"/>
  <c r="B31" i="2"/>
  <c r="F30" i="2"/>
  <c r="C30" i="2"/>
  <c r="B30" i="2"/>
  <c r="F29" i="2"/>
  <c r="C29" i="2"/>
  <c r="B29" i="2"/>
  <c r="F28" i="2"/>
  <c r="C28" i="2"/>
  <c r="B28" i="2"/>
  <c r="F27" i="2"/>
  <c r="C27" i="2"/>
  <c r="B27" i="2"/>
  <c r="F26" i="2"/>
  <c r="C26" i="2"/>
  <c r="B26" i="2"/>
  <c r="F25" i="2"/>
  <c r="C25" i="2"/>
  <c r="B25" i="2"/>
  <c r="F24" i="2"/>
  <c r="C24" i="2"/>
  <c r="B24" i="2"/>
  <c r="F23" i="2"/>
  <c r="C23" i="2"/>
  <c r="B23" i="2"/>
  <c r="F22" i="2"/>
  <c r="C22" i="2"/>
  <c r="B22" i="2"/>
  <c r="F21" i="2"/>
  <c r="C21" i="2"/>
  <c r="B21" i="2"/>
  <c r="F20" i="2"/>
  <c r="C20" i="2"/>
  <c r="B20" i="2"/>
  <c r="F19" i="2"/>
  <c r="C19" i="2"/>
  <c r="B19" i="2"/>
  <c r="F18" i="2"/>
  <c r="C18" i="2"/>
  <c r="B18" i="2"/>
  <c r="F17" i="2"/>
  <c r="C17" i="2"/>
  <c r="B17" i="2"/>
  <c r="F16" i="2"/>
  <c r="C16" i="2"/>
  <c r="B16" i="2"/>
  <c r="F15" i="2"/>
  <c r="C15" i="2"/>
  <c r="B15" i="2"/>
  <c r="F14" i="2"/>
  <c r="C14" i="2"/>
  <c r="B14" i="2"/>
  <c r="F13" i="2"/>
  <c r="C13" i="2"/>
  <c r="B13" i="2"/>
  <c r="F12" i="2"/>
  <c r="C12" i="2"/>
  <c r="B12" i="2"/>
  <c r="F11" i="2"/>
  <c r="C11" i="2"/>
  <c r="B11" i="2"/>
  <c r="F10" i="2"/>
  <c r="C10" i="2"/>
  <c r="B10" i="2"/>
  <c r="F9" i="2"/>
  <c r="C9" i="2"/>
  <c r="B9" i="2"/>
  <c r="F8" i="2"/>
  <c r="C8" i="2"/>
  <c r="B8" i="2"/>
  <c r="F7" i="2"/>
  <c r="C7" i="2"/>
  <c r="B7" i="2"/>
  <c r="F6" i="2"/>
  <c r="C6" i="2"/>
  <c r="B6" i="2"/>
  <c r="F5" i="2"/>
  <c r="C5" i="2"/>
  <c r="B5" i="2"/>
  <c r="F4" i="2"/>
  <c r="C4" i="2"/>
  <c r="B4" i="2"/>
  <c r="F3" i="2"/>
  <c r="C3" i="2"/>
  <c r="B3" i="2"/>
  <c r="F2" i="2"/>
  <c r="C2" i="2"/>
  <c r="B2" i="2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D26" i="13" s="1"/>
  <c r="Q26" i="13" s="1"/>
  <c r="C6" i="1"/>
  <c r="B6" i="1"/>
  <c r="C5" i="1"/>
  <c r="B5" i="1"/>
  <c r="C4" i="1"/>
  <c r="B4" i="1"/>
  <c r="C3" i="1"/>
  <c r="B3" i="1"/>
  <c r="C2" i="1"/>
  <c r="B2" i="1"/>
  <c r="J34" i="13" s="1"/>
  <c r="S34" i="13" s="1"/>
  <c r="D88" i="4" l="1"/>
  <c r="I5" i="11" s="1"/>
  <c r="D112" i="4"/>
  <c r="K5" i="11" s="1"/>
  <c r="I112" i="4"/>
  <c r="K65" i="11" s="1"/>
  <c r="E112" i="4"/>
  <c r="K20" i="11" s="1"/>
  <c r="D90" i="12"/>
  <c r="H25" i="4"/>
  <c r="C59" i="11" s="1"/>
  <c r="E33" i="4"/>
  <c r="D25" i="11" s="1"/>
  <c r="E139" i="4"/>
  <c r="M23" i="11" s="1"/>
  <c r="D34" i="4"/>
  <c r="D11" i="11" s="1"/>
  <c r="D41" i="4"/>
  <c r="E6" i="11" s="1"/>
  <c r="I50" i="4"/>
  <c r="F63" i="11" s="1"/>
  <c r="H50" i="4"/>
  <c r="F48" i="11" s="1"/>
  <c r="E65" i="4"/>
  <c r="G21" i="11" s="1"/>
  <c r="D122" i="4"/>
  <c r="L3" i="11" s="1"/>
  <c r="D10" i="4"/>
  <c r="B11" i="11" s="1"/>
  <c r="E26" i="4"/>
  <c r="D18" i="11" s="1"/>
  <c r="H26" i="4"/>
  <c r="D48" i="11" s="1"/>
  <c r="D26" i="4"/>
  <c r="D3" i="11" s="1"/>
  <c r="I26" i="4"/>
  <c r="D63" i="11" s="1"/>
  <c r="F65" i="4"/>
  <c r="G36" i="11" s="1"/>
  <c r="F73" i="4"/>
  <c r="G44" i="11" s="1"/>
  <c r="F89" i="4"/>
  <c r="I36" i="11" s="1"/>
  <c r="E89" i="4"/>
  <c r="I21" i="11" s="1"/>
  <c r="I89" i="4"/>
  <c r="I66" i="11" s="1"/>
  <c r="H89" i="4"/>
  <c r="I51" i="11" s="1"/>
  <c r="D89" i="4"/>
  <c r="I6" i="11" s="1"/>
  <c r="D98" i="4"/>
  <c r="J3" i="11" s="1"/>
  <c r="D114" i="4"/>
  <c r="K7" i="11" s="1"/>
  <c r="I140" i="4"/>
  <c r="M69" i="11" s="1"/>
  <c r="H140" i="4"/>
  <c r="M54" i="11" s="1"/>
  <c r="F140" i="4"/>
  <c r="M39" i="11" s="1"/>
  <c r="E140" i="4"/>
  <c r="M24" i="11" s="1"/>
  <c r="D140" i="4"/>
  <c r="M9" i="11" s="1"/>
  <c r="D71" i="12"/>
  <c r="D81" i="12"/>
  <c r="D113" i="12"/>
  <c r="D220" i="12"/>
  <c r="I46" i="4"/>
  <c r="E71" i="11" s="1"/>
  <c r="D46" i="4"/>
  <c r="E11" i="11" s="1"/>
  <c r="H46" i="4"/>
  <c r="E56" i="11" s="1"/>
  <c r="E46" i="4"/>
  <c r="E26" i="11" s="1"/>
  <c r="E31" i="4"/>
  <c r="D23" i="11" s="1"/>
  <c r="I56" i="4"/>
  <c r="F69" i="11" s="1"/>
  <c r="H56" i="4"/>
  <c r="F54" i="11" s="1"/>
  <c r="I70" i="4"/>
  <c r="G71" i="11" s="1"/>
  <c r="H70" i="4"/>
  <c r="G56" i="11" s="1"/>
  <c r="F70" i="4"/>
  <c r="G41" i="11" s="1"/>
  <c r="E70" i="4"/>
  <c r="G26" i="11" s="1"/>
  <c r="D70" i="4"/>
  <c r="G11" i="11" s="1"/>
  <c r="I79" i="4"/>
  <c r="H68" i="11" s="1"/>
  <c r="H79" i="4"/>
  <c r="H53" i="11" s="1"/>
  <c r="F79" i="4"/>
  <c r="H38" i="11" s="1"/>
  <c r="F146" i="4"/>
  <c r="N33" i="11" s="1"/>
  <c r="E146" i="4"/>
  <c r="N18" i="11" s="1"/>
  <c r="D146" i="4"/>
  <c r="N3" i="11" s="1"/>
  <c r="I146" i="4"/>
  <c r="N63" i="11" s="1"/>
  <c r="H146" i="4"/>
  <c r="N48" i="11" s="1"/>
  <c r="H15" i="4"/>
  <c r="C49" i="11" s="1"/>
  <c r="E25" i="4"/>
  <c r="C29" i="11" s="1"/>
  <c r="I41" i="4"/>
  <c r="E66" i="11" s="1"/>
  <c r="H41" i="4"/>
  <c r="E51" i="11" s="1"/>
  <c r="F88" i="4"/>
  <c r="I35" i="11" s="1"/>
  <c r="F105" i="4"/>
  <c r="J40" i="11" s="1"/>
  <c r="H112" i="4"/>
  <c r="K50" i="11" s="1"/>
  <c r="F122" i="4"/>
  <c r="L33" i="11" s="1"/>
  <c r="I122" i="4"/>
  <c r="L63" i="11" s="1"/>
  <c r="E57" i="4"/>
  <c r="F25" i="11" s="1"/>
  <c r="H131" i="4"/>
  <c r="L57" i="11" s="1"/>
  <c r="I88" i="4"/>
  <c r="I65" i="11" s="1"/>
  <c r="D6" i="12"/>
  <c r="D80" i="12"/>
  <c r="I10" i="4"/>
  <c r="B71" i="11" s="1"/>
  <c r="I18" i="4"/>
  <c r="C67" i="11" s="1"/>
  <c r="E34" i="4"/>
  <c r="D26" i="11" s="1"/>
  <c r="I42" i="4"/>
  <c r="E67" i="11" s="1"/>
  <c r="D50" i="4"/>
  <c r="F3" i="11" s="1"/>
  <c r="H65" i="4"/>
  <c r="G51" i="11" s="1"/>
  <c r="I82" i="4"/>
  <c r="H71" i="11" s="1"/>
  <c r="I149" i="4"/>
  <c r="N66" i="11" s="1"/>
  <c r="D29" i="12"/>
  <c r="D178" i="12"/>
  <c r="I16" i="4"/>
  <c r="C65" i="11" s="1"/>
  <c r="D16" i="4"/>
  <c r="C5" i="11" s="1"/>
  <c r="H16" i="4"/>
  <c r="C50" i="11" s="1"/>
  <c r="E16" i="4"/>
  <c r="C20" i="11" s="1"/>
  <c r="I48" i="4"/>
  <c r="E73" i="11" s="1"/>
  <c r="E56" i="4"/>
  <c r="F24" i="11" s="1"/>
  <c r="E79" i="4"/>
  <c r="H23" i="11" s="1"/>
  <c r="F112" i="4"/>
  <c r="K35" i="11" s="1"/>
  <c r="D229" i="12"/>
  <c r="I49" i="4"/>
  <c r="E74" i="11" s="1"/>
  <c r="F56" i="4"/>
  <c r="F39" i="11" s="1"/>
  <c r="D139" i="4"/>
  <c r="M8" i="11" s="1"/>
  <c r="D65" i="4"/>
  <c r="G6" i="11" s="1"/>
  <c r="H88" i="4"/>
  <c r="I50" i="11" s="1"/>
  <c r="I98" i="4"/>
  <c r="J63" i="11" s="1"/>
  <c r="D17" i="12"/>
  <c r="I139" i="4"/>
  <c r="M68" i="11" s="1"/>
  <c r="D188" i="12"/>
  <c r="I11" i="4"/>
  <c r="B72" i="11" s="1"/>
  <c r="H11" i="4"/>
  <c r="B57" i="11" s="1"/>
  <c r="H34" i="4"/>
  <c r="D56" i="11" s="1"/>
  <c r="E50" i="4"/>
  <c r="F18" i="11" s="1"/>
  <c r="H59" i="4"/>
  <c r="F57" i="11" s="1"/>
  <c r="D66" i="4"/>
  <c r="G7" i="11" s="1"/>
  <c r="H82" i="4"/>
  <c r="H56" i="11" s="1"/>
  <c r="F98" i="4"/>
  <c r="J33" i="11" s="1"/>
  <c r="H107" i="4"/>
  <c r="J57" i="11" s="1"/>
  <c r="I123" i="4"/>
  <c r="L64" i="11" s="1"/>
  <c r="H123" i="4"/>
  <c r="L49" i="11" s="1"/>
  <c r="F123" i="4"/>
  <c r="L34" i="11" s="1"/>
  <c r="D123" i="4"/>
  <c r="L4" i="11" s="1"/>
  <c r="H150" i="4"/>
  <c r="N52" i="11" s="1"/>
  <c r="F150" i="4"/>
  <c r="N37" i="11" s="1"/>
  <c r="D41" i="12"/>
  <c r="D114" i="12"/>
  <c r="M20" i="13"/>
  <c r="T20" i="13" s="1"/>
  <c r="D135" i="12"/>
  <c r="I133" i="4"/>
  <c r="L74" i="11" s="1"/>
  <c r="D148" i="12"/>
  <c r="D222" i="12"/>
  <c r="D221" i="12"/>
  <c r="D77" i="12"/>
  <c r="I19" i="4"/>
  <c r="C68" i="11" s="1"/>
  <c r="I35" i="4"/>
  <c r="D72" i="11" s="1"/>
  <c r="H35" i="4"/>
  <c r="D57" i="11" s="1"/>
  <c r="E35" i="4"/>
  <c r="D27" i="11" s="1"/>
  <c r="H52" i="4"/>
  <c r="F50" i="11" s="1"/>
  <c r="E52" i="4"/>
  <c r="F20" i="11" s="1"/>
  <c r="D52" i="4"/>
  <c r="F5" i="11" s="1"/>
  <c r="I52" i="4"/>
  <c r="F65" i="11" s="1"/>
  <c r="I60" i="4"/>
  <c r="F73" i="11" s="1"/>
  <c r="E60" i="4"/>
  <c r="F28" i="11" s="1"/>
  <c r="I91" i="4"/>
  <c r="I68" i="11" s="1"/>
  <c r="E150" i="4"/>
  <c r="N22" i="11" s="1"/>
  <c r="D105" i="12"/>
  <c r="D138" i="12"/>
  <c r="D211" i="12"/>
  <c r="E40" i="4"/>
  <c r="E20" i="11" s="1"/>
  <c r="D47" i="12"/>
  <c r="I34" i="4"/>
  <c r="D71" i="11" s="1"/>
  <c r="I51" i="4"/>
  <c r="F64" i="11" s="1"/>
  <c r="H75" i="4"/>
  <c r="H49" i="11" s="1"/>
  <c r="F75" i="4"/>
  <c r="H34" i="11" s="1"/>
  <c r="I75" i="4"/>
  <c r="H64" i="11" s="1"/>
  <c r="D53" i="12"/>
  <c r="I4" i="4"/>
  <c r="B65" i="11" s="1"/>
  <c r="E11" i="4"/>
  <c r="B27" i="11" s="1"/>
  <c r="D158" i="12"/>
  <c r="D180" i="12"/>
  <c r="D224" i="12"/>
  <c r="D246" i="12"/>
  <c r="E12" i="4"/>
  <c r="B28" i="11" s="1"/>
  <c r="D35" i="4"/>
  <c r="D12" i="11" s="1"/>
  <c r="E75" i="4"/>
  <c r="H19" i="11" s="1"/>
  <c r="E83" i="4"/>
  <c r="H27" i="11" s="1"/>
  <c r="D108" i="4"/>
  <c r="J13" i="11" s="1"/>
  <c r="D134" i="4"/>
  <c r="M3" i="11" s="1"/>
  <c r="I150" i="4"/>
  <c r="N67" i="11" s="1"/>
  <c r="D43" i="12"/>
  <c r="D95" i="12"/>
  <c r="D212" i="12"/>
  <c r="M7" i="13"/>
  <c r="T7" i="13" s="1"/>
  <c r="M33" i="13"/>
  <c r="T33" i="13" s="1"/>
  <c r="G33" i="13"/>
  <c r="R33" i="13" s="1"/>
  <c r="J33" i="13"/>
  <c r="S33" i="13" s="1"/>
  <c r="D33" i="13"/>
  <c r="Q33" i="13" s="1"/>
  <c r="J250" i="12"/>
  <c r="I40" i="4"/>
  <c r="E65" i="11" s="1"/>
  <c r="E19" i="4"/>
  <c r="C23" i="11" s="1"/>
  <c r="H98" i="4"/>
  <c r="J48" i="11" s="1"/>
  <c r="D187" i="12"/>
  <c r="D63" i="12"/>
  <c r="D85" i="12"/>
  <c r="D151" i="12"/>
  <c r="D195" i="12"/>
  <c r="J238" i="12"/>
  <c r="D147" i="4"/>
  <c r="N4" i="11" s="1"/>
  <c r="I20" i="4"/>
  <c r="C69" i="11" s="1"/>
  <c r="H20" i="4"/>
  <c r="C54" i="11" s="1"/>
  <c r="E20" i="4"/>
  <c r="C24" i="11" s="1"/>
  <c r="H36" i="4"/>
  <c r="D58" i="11" s="1"/>
  <c r="D60" i="4"/>
  <c r="F13" i="11" s="1"/>
  <c r="I76" i="4"/>
  <c r="H65" i="11" s="1"/>
  <c r="H84" i="4"/>
  <c r="H58" i="11" s="1"/>
  <c r="E92" i="4"/>
  <c r="I24" i="11" s="1"/>
  <c r="E117" i="4"/>
  <c r="K25" i="11" s="1"/>
  <c r="E134" i="4"/>
  <c r="M18" i="11" s="1"/>
  <c r="D32" i="12"/>
  <c r="D106" i="12"/>
  <c r="D128" i="12"/>
  <c r="D149" i="12"/>
  <c r="J21" i="13"/>
  <c r="S21" i="13" s="1"/>
  <c r="D21" i="13"/>
  <c r="Q21" i="13" s="1"/>
  <c r="M21" i="13"/>
  <c r="T21" i="13" s="1"/>
  <c r="I8" i="4"/>
  <c r="B69" i="11" s="1"/>
  <c r="E3" i="20"/>
  <c r="F3" i="20" s="1"/>
  <c r="D121" i="12"/>
  <c r="D210" i="12"/>
  <c r="D20" i="4"/>
  <c r="C9" i="11" s="1"/>
  <c r="H29" i="4"/>
  <c r="D51" i="11" s="1"/>
  <c r="F60" i="4"/>
  <c r="F43" i="11" s="1"/>
  <c r="I92" i="4"/>
  <c r="I69" i="11" s="1"/>
  <c r="I101" i="4"/>
  <c r="J66" i="11" s="1"/>
  <c r="F117" i="4"/>
  <c r="K40" i="11" s="1"/>
  <c r="D11" i="12"/>
  <c r="D33" i="12"/>
  <c r="D117" i="12"/>
  <c r="D213" i="12"/>
  <c r="J245" i="12"/>
  <c r="J39" i="13"/>
  <c r="S39" i="13" s="1"/>
  <c r="G39" i="13"/>
  <c r="R39" i="13" s="1"/>
  <c r="M39" i="13"/>
  <c r="T39" i="13" s="1"/>
  <c r="D15" i="4"/>
  <c r="C4" i="11" s="1"/>
  <c r="I103" i="4"/>
  <c r="J68" i="11" s="1"/>
  <c r="H103" i="4"/>
  <c r="J53" i="11" s="1"/>
  <c r="F103" i="4"/>
  <c r="J38" i="11" s="1"/>
  <c r="E103" i="4"/>
  <c r="J23" i="11" s="1"/>
  <c r="D103" i="4"/>
  <c r="J8" i="11" s="1"/>
  <c r="D7" i="4"/>
  <c r="B8" i="11" s="1"/>
  <c r="D72" i="12"/>
  <c r="D209" i="12"/>
  <c r="D27" i="12"/>
  <c r="D225" i="12"/>
  <c r="E5" i="4"/>
  <c r="B21" i="11" s="1"/>
  <c r="H21" i="4"/>
  <c r="C55" i="11" s="1"/>
  <c r="I29" i="4"/>
  <c r="D66" i="11" s="1"/>
  <c r="D37" i="4"/>
  <c r="D14" i="11" s="1"/>
  <c r="D45" i="4"/>
  <c r="E10" i="11" s="1"/>
  <c r="H60" i="4"/>
  <c r="F58" i="11" s="1"/>
  <c r="I84" i="4"/>
  <c r="H73" i="11" s="1"/>
  <c r="D93" i="4"/>
  <c r="I10" i="11" s="1"/>
  <c r="I93" i="4"/>
  <c r="I70" i="11" s="1"/>
  <c r="H93" i="4"/>
  <c r="I55" i="11" s="1"/>
  <c r="F93" i="4"/>
  <c r="I40" i="11" s="1"/>
  <c r="E93" i="4"/>
  <c r="I25" i="11" s="1"/>
  <c r="J246" i="12"/>
  <c r="H94" i="4"/>
  <c r="I56" i="11" s="1"/>
  <c r="D118" i="4"/>
  <c r="K11" i="11" s="1"/>
  <c r="H118" i="4"/>
  <c r="K56" i="11" s="1"/>
  <c r="H71" i="4"/>
  <c r="G57" i="11" s="1"/>
  <c r="I21" i="4"/>
  <c r="C70" i="11" s="1"/>
  <c r="I65" i="4"/>
  <c r="G66" i="11" s="1"/>
  <c r="F152" i="4"/>
  <c r="N39" i="11" s="1"/>
  <c r="I118" i="4"/>
  <c r="K71" i="11" s="1"/>
  <c r="E141" i="4"/>
  <c r="M25" i="11" s="1"/>
  <c r="F118" i="4"/>
  <c r="K41" i="11" s="1"/>
  <c r="F94" i="4"/>
  <c r="I41" i="11" s="1"/>
  <c r="H129" i="4"/>
  <c r="L55" i="11" s="1"/>
  <c r="I104" i="4"/>
  <c r="J69" i="11" s="1"/>
  <c r="I129" i="4"/>
  <c r="L70" i="11" s="1"/>
  <c r="D104" i="4"/>
  <c r="J9" i="11" s="1"/>
  <c r="I94" i="4"/>
  <c r="I71" i="11" s="1"/>
  <c r="E104" i="4"/>
  <c r="J24" i="11" s="1"/>
  <c r="H104" i="4"/>
  <c r="J54" i="11" s="1"/>
  <c r="F104" i="4"/>
  <c r="J39" i="11" s="1"/>
  <c r="I36" i="4"/>
  <c r="D73" i="11" s="1"/>
  <c r="D141" i="4"/>
  <c r="M10" i="11" s="1"/>
  <c r="D21" i="4"/>
  <c r="C10" i="11" s="1"/>
  <c r="F129" i="4"/>
  <c r="L40" i="11" s="1"/>
  <c r="E15" i="4"/>
  <c r="C19" i="11" s="1"/>
  <c r="I130" i="4"/>
  <c r="L71" i="11" s="1"/>
  <c r="E88" i="4"/>
  <c r="I20" i="11" s="1"/>
  <c r="I3" i="4"/>
  <c r="B64" i="11" s="1"/>
  <c r="I107" i="4"/>
  <c r="J72" i="11" s="1"/>
  <c r="J249" i="12"/>
  <c r="D75" i="4"/>
  <c r="H4" i="11" s="1"/>
  <c r="D152" i="12"/>
  <c r="D218" i="12"/>
  <c r="I30" i="4"/>
  <c r="D67" i="11" s="1"/>
  <c r="E45" i="4"/>
  <c r="E25" i="11" s="1"/>
  <c r="D69" i="4"/>
  <c r="G10" i="11" s="1"/>
  <c r="F85" i="4"/>
  <c r="H44" i="11" s="1"/>
  <c r="I117" i="4"/>
  <c r="K70" i="11" s="1"/>
  <c r="D55" i="12"/>
  <c r="D86" i="12"/>
  <c r="D129" i="12"/>
  <c r="D39" i="13"/>
  <c r="Q39" i="13" s="1"/>
  <c r="D25" i="4"/>
  <c r="C14" i="11" s="1"/>
  <c r="H40" i="4"/>
  <c r="E50" i="11" s="1"/>
  <c r="D56" i="4"/>
  <c r="F9" i="11" s="1"/>
  <c r="D79" i="4"/>
  <c r="H8" i="11" s="1"/>
  <c r="I72" i="4"/>
  <c r="G73" i="11" s="1"/>
  <c r="D42" i="12"/>
  <c r="D83" i="4"/>
  <c r="H12" i="11" s="1"/>
  <c r="D57" i="12"/>
  <c r="D101" i="12"/>
  <c r="D167" i="12"/>
  <c r="D233" i="12"/>
  <c r="E6" i="4"/>
  <c r="B22" i="11" s="1"/>
  <c r="I22" i="4"/>
  <c r="C71" i="11" s="1"/>
  <c r="E69" i="4"/>
  <c r="G25" i="11" s="1"/>
  <c r="D94" i="4"/>
  <c r="I11" i="11" s="1"/>
  <c r="E118" i="4"/>
  <c r="K26" i="11" s="1"/>
  <c r="D127" i="4"/>
  <c r="L8" i="11" s="1"/>
  <c r="D108" i="12"/>
  <c r="D203" i="12"/>
  <c r="I111" i="4"/>
  <c r="K64" i="11" s="1"/>
  <c r="H19" i="4"/>
  <c r="C53" i="11" s="1"/>
  <c r="I59" i="4"/>
  <c r="F72" i="11" s="1"/>
  <c r="I108" i="4"/>
  <c r="J73" i="11" s="1"/>
  <c r="F108" i="4"/>
  <c r="J43" i="11" s="1"/>
  <c r="H108" i="4"/>
  <c r="J58" i="11" s="1"/>
  <c r="F134" i="4"/>
  <c r="M33" i="11" s="1"/>
  <c r="I134" i="4"/>
  <c r="M63" i="11" s="1"/>
  <c r="I142" i="4"/>
  <c r="M71" i="11" s="1"/>
  <c r="D94" i="12"/>
  <c r="D30" i="4"/>
  <c r="D7" i="11" s="1"/>
  <c r="E38" i="4"/>
  <c r="E18" i="11" s="1"/>
  <c r="I45" i="4"/>
  <c r="E70" i="11" s="1"/>
  <c r="F69" i="4"/>
  <c r="G40" i="11" s="1"/>
  <c r="D102" i="4"/>
  <c r="J7" i="11" s="1"/>
  <c r="F111" i="4"/>
  <c r="K34" i="11" s="1"/>
  <c r="F127" i="4"/>
  <c r="L38" i="11" s="1"/>
  <c r="E145" i="4"/>
  <c r="M29" i="11" s="1"/>
  <c r="D13" i="12"/>
  <c r="D87" i="12"/>
  <c r="D130" i="12"/>
  <c r="D204" i="12"/>
  <c r="D247" i="12"/>
  <c r="F99" i="4"/>
  <c r="J34" i="11" s="1"/>
  <c r="I99" i="4"/>
  <c r="J64" i="11" s="1"/>
  <c r="D99" i="4"/>
  <c r="J4" i="11" s="1"/>
  <c r="E7" i="4"/>
  <c r="B23" i="11" s="1"/>
  <c r="D5" i="12"/>
  <c r="D249" i="12"/>
  <c r="H7" i="4"/>
  <c r="B53" i="11" s="1"/>
  <c r="I136" i="4"/>
  <c r="M65" i="11" s="1"/>
  <c r="H136" i="4"/>
  <c r="M50" i="11" s="1"/>
  <c r="F136" i="4"/>
  <c r="M35" i="11" s="1"/>
  <c r="E136" i="4"/>
  <c r="M20" i="11" s="1"/>
  <c r="D16" i="12"/>
  <c r="D230" i="12"/>
  <c r="M11" i="13"/>
  <c r="T11" i="13" s="1"/>
  <c r="I7" i="4"/>
  <c r="B68" i="11" s="1"/>
  <c r="D12" i="4"/>
  <c r="B13" i="11" s="1"/>
  <c r="H17" i="4"/>
  <c r="C51" i="11" s="1"/>
  <c r="D22" i="4"/>
  <c r="C11" i="11" s="1"/>
  <c r="D42" i="4"/>
  <c r="E7" i="11" s="1"/>
  <c r="D57" i="4"/>
  <c r="F10" i="11" s="1"/>
  <c r="E62" i="4"/>
  <c r="G18" i="11" s="1"/>
  <c r="E66" i="4"/>
  <c r="G22" i="11" s="1"/>
  <c r="I71" i="4"/>
  <c r="G72" i="11" s="1"/>
  <c r="F81" i="4"/>
  <c r="H40" i="11" s="1"/>
  <c r="H85" i="4"/>
  <c r="H59" i="11" s="1"/>
  <c r="D95" i="4"/>
  <c r="I12" i="11" s="1"/>
  <c r="I100" i="4"/>
  <c r="J65" i="11" s="1"/>
  <c r="I105" i="4"/>
  <c r="J70" i="11" s="1"/>
  <c r="H105" i="4"/>
  <c r="J55" i="11" s="1"/>
  <c r="D109" i="4"/>
  <c r="J14" i="11" s="1"/>
  <c r="E114" i="4"/>
  <c r="K22" i="11" s="1"/>
  <c r="I119" i="4"/>
  <c r="K72" i="11" s="1"/>
  <c r="D125" i="4"/>
  <c r="L6" i="11" s="1"/>
  <c r="D130" i="4"/>
  <c r="L11" i="11" s="1"/>
  <c r="D136" i="4"/>
  <c r="M5" i="11" s="1"/>
  <c r="E142" i="4"/>
  <c r="M26" i="11" s="1"/>
  <c r="H152" i="4"/>
  <c r="N54" i="11" s="1"/>
  <c r="D46" i="12"/>
  <c r="D65" i="12"/>
  <c r="D103" i="12"/>
  <c r="D219" i="12"/>
  <c r="M16" i="13"/>
  <c r="T16" i="13" s="1"/>
  <c r="D34" i="12"/>
  <c r="D11" i="13"/>
  <c r="Q11" i="13" s="1"/>
  <c r="E37" i="4"/>
  <c r="D29" i="11" s="1"/>
  <c r="M6" i="13"/>
  <c r="T6" i="13" s="1"/>
  <c r="D227" i="12"/>
  <c r="I148" i="4"/>
  <c r="N65" i="11" s="1"/>
  <c r="E27" i="4"/>
  <c r="D19" i="11" s="1"/>
  <c r="D62" i="4"/>
  <c r="G3" i="11" s="1"/>
  <c r="D35" i="12"/>
  <c r="E3" i="4"/>
  <c r="B19" i="11" s="1"/>
  <c r="E22" i="4"/>
  <c r="C26" i="11" s="1"/>
  <c r="D27" i="4"/>
  <c r="D4" i="11" s="1"/>
  <c r="I32" i="4"/>
  <c r="D69" i="11" s="1"/>
  <c r="H37" i="4"/>
  <c r="D59" i="11" s="1"/>
  <c r="H42" i="4"/>
  <c r="E52" i="11" s="1"/>
  <c r="I53" i="4"/>
  <c r="F66" i="11" s="1"/>
  <c r="F62" i="4"/>
  <c r="G33" i="11" s="1"/>
  <c r="F66" i="4"/>
  <c r="G37" i="11" s="1"/>
  <c r="D76" i="4"/>
  <c r="H5" i="11" s="1"/>
  <c r="H81" i="4"/>
  <c r="H55" i="11" s="1"/>
  <c r="I85" i="4"/>
  <c r="H74" i="11" s="1"/>
  <c r="E95" i="4"/>
  <c r="I27" i="11" s="1"/>
  <c r="E109" i="4"/>
  <c r="J29" i="11" s="1"/>
  <c r="F114" i="4"/>
  <c r="K37" i="11" s="1"/>
  <c r="E119" i="4"/>
  <c r="K27" i="11" s="1"/>
  <c r="F125" i="4"/>
  <c r="L36" i="11" s="1"/>
  <c r="F130" i="4"/>
  <c r="L41" i="11" s="1"/>
  <c r="F142" i="4"/>
  <c r="M41" i="11" s="1"/>
  <c r="I152" i="4"/>
  <c r="N69" i="11" s="1"/>
  <c r="D56" i="12"/>
  <c r="D153" i="12"/>
  <c r="D231" i="12"/>
  <c r="D250" i="12"/>
  <c r="J17" i="13"/>
  <c r="S17" i="13" s="1"/>
  <c r="M29" i="13"/>
  <c r="T29" i="13" s="1"/>
  <c r="J29" i="13"/>
  <c r="S29" i="13" s="1"/>
  <c r="G29" i="13"/>
  <c r="R29" i="13" s="1"/>
  <c r="D29" i="13"/>
  <c r="Q29" i="13" s="1"/>
  <c r="H12" i="4"/>
  <c r="B58" i="11" s="1"/>
  <c r="F90" i="4"/>
  <c r="I37" i="11" s="1"/>
  <c r="E99" i="4"/>
  <c r="J19" i="11" s="1"/>
  <c r="D112" i="12"/>
  <c r="D18" i="13"/>
  <c r="Q18" i="13" s="1"/>
  <c r="J13" i="13"/>
  <c r="S13" i="13" s="1"/>
  <c r="M8" i="13"/>
  <c r="T8" i="13" s="1"/>
  <c r="D23" i="13"/>
  <c r="Q23" i="13" s="1"/>
  <c r="G32" i="13"/>
  <c r="R32" i="13" s="1"/>
  <c r="M13" i="13"/>
  <c r="T13" i="13" s="1"/>
  <c r="D32" i="13"/>
  <c r="Q32" i="13" s="1"/>
  <c r="D3" i="13"/>
  <c r="Q3" i="13" s="1"/>
  <c r="M25" i="13"/>
  <c r="T25" i="13" s="1"/>
  <c r="M34" i="13"/>
  <c r="T34" i="13" s="1"/>
  <c r="G34" i="13"/>
  <c r="R34" i="13" s="1"/>
  <c r="M23" i="13"/>
  <c r="T23" i="13" s="1"/>
  <c r="J23" i="13"/>
  <c r="S23" i="13" s="1"/>
  <c r="M18" i="13"/>
  <c r="T18" i="13" s="1"/>
  <c r="J14" i="13"/>
  <c r="S14" i="13" s="1"/>
  <c r="J18" i="13"/>
  <c r="S18" i="13" s="1"/>
  <c r="M36" i="13"/>
  <c r="T36" i="13" s="1"/>
  <c r="M26" i="13"/>
  <c r="T26" i="13" s="1"/>
  <c r="J26" i="13"/>
  <c r="S26" i="13" s="1"/>
  <c r="G26" i="13"/>
  <c r="R26" i="13" s="1"/>
  <c r="R43" i="13" s="1"/>
  <c r="H3" i="4"/>
  <c r="B49" i="11" s="1"/>
  <c r="I12" i="4"/>
  <c r="B73" i="11" s="1"/>
  <c r="H22" i="4"/>
  <c r="C56" i="11" s="1"/>
  <c r="H27" i="4"/>
  <c r="D49" i="11" s="1"/>
  <c r="I37" i="4"/>
  <c r="D74" i="11" s="1"/>
  <c r="D48" i="4"/>
  <c r="E13" i="11" s="1"/>
  <c r="H62" i="4"/>
  <c r="G48" i="11" s="1"/>
  <c r="I67" i="4"/>
  <c r="G68" i="11" s="1"/>
  <c r="H67" i="4"/>
  <c r="G53" i="11" s="1"/>
  <c r="F67" i="4"/>
  <c r="G38" i="11" s="1"/>
  <c r="E67" i="4"/>
  <c r="G23" i="11" s="1"/>
  <c r="D67" i="4"/>
  <c r="G8" i="11" s="1"/>
  <c r="H76" i="4"/>
  <c r="H50" i="11" s="1"/>
  <c r="I81" i="4"/>
  <c r="H70" i="11" s="1"/>
  <c r="I86" i="4"/>
  <c r="I63" i="11" s="1"/>
  <c r="E86" i="4"/>
  <c r="I18" i="11" s="1"/>
  <c r="D86" i="4"/>
  <c r="I3" i="11" s="1"/>
  <c r="D91" i="4"/>
  <c r="I8" i="11" s="1"/>
  <c r="F95" i="4"/>
  <c r="I42" i="11" s="1"/>
  <c r="D105" i="4"/>
  <c r="J10" i="11" s="1"/>
  <c r="H114" i="4"/>
  <c r="K52" i="11" s="1"/>
  <c r="F119" i="4"/>
  <c r="K42" i="11" s="1"/>
  <c r="H125" i="4"/>
  <c r="L51" i="11" s="1"/>
  <c r="E137" i="4"/>
  <c r="M21" i="11" s="1"/>
  <c r="H142" i="4"/>
  <c r="M56" i="11" s="1"/>
  <c r="I153" i="4"/>
  <c r="N70" i="11" s="1"/>
  <c r="D36" i="12"/>
  <c r="D104" i="12"/>
  <c r="D123" i="12"/>
  <c r="D143" i="12"/>
  <c r="D194" i="12"/>
  <c r="D7" i="13"/>
  <c r="Q7" i="13" s="1"/>
  <c r="D17" i="13"/>
  <c r="Q17" i="13" s="1"/>
  <c r="M42" i="13"/>
  <c r="T42" i="13" s="1"/>
  <c r="J42" i="13"/>
  <c r="S42" i="13" s="1"/>
  <c r="G42" i="13"/>
  <c r="R42" i="13" s="1"/>
  <c r="D14" i="12"/>
  <c r="D226" i="12"/>
  <c r="D73" i="12"/>
  <c r="I31" i="4"/>
  <c r="D68" i="11" s="1"/>
  <c r="H31" i="4"/>
  <c r="D53" i="11" s="1"/>
  <c r="D4" i="12"/>
  <c r="D131" i="12"/>
  <c r="D199" i="12"/>
  <c r="D243" i="12"/>
  <c r="D36" i="4"/>
  <c r="D13" i="11" s="1"/>
  <c r="E32" i="4"/>
  <c r="D24" i="11" s="1"/>
  <c r="D8" i="4"/>
  <c r="B9" i="11" s="1"/>
  <c r="I13" i="4"/>
  <c r="B74" i="11" s="1"/>
  <c r="H13" i="4"/>
  <c r="B59" i="11" s="1"/>
  <c r="E13" i="4"/>
  <c r="B29" i="11" s="1"/>
  <c r="D13" i="4"/>
  <c r="B14" i="11" s="1"/>
  <c r="D18" i="4"/>
  <c r="C7" i="11" s="1"/>
  <c r="I27" i="4"/>
  <c r="D64" i="11" s="1"/>
  <c r="I33" i="4"/>
  <c r="D70" i="11" s="1"/>
  <c r="I38" i="4"/>
  <c r="E63" i="11" s="1"/>
  <c r="H43" i="4"/>
  <c r="E53" i="11" s="1"/>
  <c r="H48" i="4"/>
  <c r="E58" i="11" s="1"/>
  <c r="D53" i="4"/>
  <c r="F6" i="11" s="1"/>
  <c r="D72" i="4"/>
  <c r="G13" i="11" s="1"/>
  <c r="E91" i="4"/>
  <c r="I23" i="11" s="1"/>
  <c r="E105" i="4"/>
  <c r="J25" i="11" s="1"/>
  <c r="D115" i="4"/>
  <c r="K8" i="11" s="1"/>
  <c r="H120" i="4"/>
  <c r="K58" i="11" s="1"/>
  <c r="I125" i="4"/>
  <c r="L66" i="11" s="1"/>
  <c r="I131" i="4"/>
  <c r="L72" i="11" s="1"/>
  <c r="F131" i="4"/>
  <c r="L42" i="11" s="1"/>
  <c r="D131" i="4"/>
  <c r="L12" i="11" s="1"/>
  <c r="F137" i="4"/>
  <c r="M36" i="11" s="1"/>
  <c r="E147" i="4"/>
  <c r="N19" i="11" s="1"/>
  <c r="D7" i="12"/>
  <c r="D37" i="12"/>
  <c r="D144" i="12"/>
  <c r="D154" i="12"/>
  <c r="J251" i="12"/>
  <c r="J7" i="13"/>
  <c r="S7" i="13" s="1"/>
  <c r="J35" i="13"/>
  <c r="S35" i="13" s="1"/>
  <c r="I113" i="4"/>
  <c r="K66" i="11" s="1"/>
  <c r="D142" i="4"/>
  <c r="M11" i="11" s="1"/>
  <c r="D236" i="12"/>
  <c r="E8" i="4"/>
  <c r="B24" i="11" s="1"/>
  <c r="E18" i="4"/>
  <c r="C22" i="11" s="1"/>
  <c r="H23" i="4"/>
  <c r="C57" i="11" s="1"/>
  <c r="H28" i="4"/>
  <c r="D50" i="11" s="1"/>
  <c r="E53" i="4"/>
  <c r="F21" i="11" s="1"/>
  <c r="I58" i="4"/>
  <c r="F71" i="11" s="1"/>
  <c r="H63" i="4"/>
  <c r="G49" i="11" s="1"/>
  <c r="D68" i="4"/>
  <c r="G9" i="11" s="1"/>
  <c r="E72" i="4"/>
  <c r="G28" i="11" s="1"/>
  <c r="F86" i="4"/>
  <c r="I33" i="11" s="1"/>
  <c r="F91" i="4"/>
  <c r="I38" i="11" s="1"/>
  <c r="D101" i="4"/>
  <c r="J6" i="11" s="1"/>
  <c r="H110" i="4"/>
  <c r="K48" i="11" s="1"/>
  <c r="H115" i="4"/>
  <c r="K53" i="11" s="1"/>
  <c r="I115" i="4"/>
  <c r="K68" i="11" s="1"/>
  <c r="F126" i="4"/>
  <c r="L37" i="11" s="1"/>
  <c r="H137" i="4"/>
  <c r="M51" i="11" s="1"/>
  <c r="I143" i="4"/>
  <c r="M72" i="11" s="1"/>
  <c r="E143" i="4"/>
  <c r="M27" i="11" s="1"/>
  <c r="D143" i="4"/>
  <c r="M12" i="11" s="1"/>
  <c r="D153" i="4"/>
  <c r="N10" i="11" s="1"/>
  <c r="D18" i="12"/>
  <c r="D48" i="12"/>
  <c r="D124" i="12"/>
  <c r="D232" i="12"/>
  <c r="M12" i="13"/>
  <c r="T12" i="13" s="1"/>
  <c r="J30" i="13"/>
  <c r="S30" i="13" s="1"/>
  <c r="G30" i="13"/>
  <c r="R30" i="13" s="1"/>
  <c r="M35" i="13"/>
  <c r="T35" i="13" s="1"/>
  <c r="D42" i="13"/>
  <c r="Q42" i="13" s="1"/>
  <c r="D182" i="12"/>
  <c r="D54" i="12"/>
  <c r="J234" i="12"/>
  <c r="J240" i="12"/>
  <c r="D183" i="12"/>
  <c r="D31" i="12"/>
  <c r="D75" i="12"/>
  <c r="D119" i="12"/>
  <c r="H8" i="4"/>
  <c r="B54" i="11" s="1"/>
  <c r="D14" i="4"/>
  <c r="C3" i="11" s="1"/>
  <c r="H18" i="4"/>
  <c r="C52" i="11" s="1"/>
  <c r="D33" i="4"/>
  <c r="D10" i="11" s="1"/>
  <c r="D38" i="4"/>
  <c r="E3" i="11" s="1"/>
  <c r="H53" i="4"/>
  <c r="F51" i="11" s="1"/>
  <c r="F72" i="4"/>
  <c r="G43" i="11" s="1"/>
  <c r="D77" i="4"/>
  <c r="H6" i="11" s="1"/>
  <c r="D82" i="4"/>
  <c r="H11" i="11" s="1"/>
  <c r="H86" i="4"/>
  <c r="I48" i="11" s="1"/>
  <c r="H91" i="4"/>
  <c r="I53" i="11" s="1"/>
  <c r="I96" i="4"/>
  <c r="I73" i="11" s="1"/>
  <c r="H96" i="4"/>
  <c r="I58" i="11" s="1"/>
  <c r="F96" i="4"/>
  <c r="I43" i="11" s="1"/>
  <c r="E101" i="4"/>
  <c r="J21" i="11" s="1"/>
  <c r="I110" i="4"/>
  <c r="K63" i="11" s="1"/>
  <c r="E115" i="4"/>
  <c r="K23" i="11" s="1"/>
  <c r="I120" i="4"/>
  <c r="K73" i="11" s="1"/>
  <c r="I137" i="4"/>
  <c r="M66" i="11" s="1"/>
  <c r="E153" i="4"/>
  <c r="N25" i="11" s="1"/>
  <c r="D8" i="12"/>
  <c r="D145" i="12"/>
  <c r="D185" i="12"/>
  <c r="J243" i="12"/>
  <c r="D12" i="13"/>
  <c r="Q12" i="13" s="1"/>
  <c r="D28" i="12"/>
  <c r="D171" i="12"/>
  <c r="J241" i="12"/>
  <c r="F71" i="4"/>
  <c r="G42" i="11" s="1"/>
  <c r="E85" i="4"/>
  <c r="H29" i="11" s="1"/>
  <c r="D64" i="12"/>
  <c r="D3" i="4"/>
  <c r="B4" i="11" s="1"/>
  <c r="M28" i="13"/>
  <c r="T28" i="13" s="1"/>
  <c r="J28" i="13"/>
  <c r="S28" i="13" s="1"/>
  <c r="G28" i="13"/>
  <c r="R28" i="13" s="1"/>
  <c r="D28" i="13"/>
  <c r="Q28" i="13" s="1"/>
  <c r="D134" i="12"/>
  <c r="D4" i="4"/>
  <c r="B5" i="11" s="1"/>
  <c r="D23" i="4"/>
  <c r="C12" i="11" s="1"/>
  <c r="I28" i="4"/>
  <c r="D65" i="11" s="1"/>
  <c r="I54" i="4"/>
  <c r="F67" i="11" s="1"/>
  <c r="H54" i="4"/>
  <c r="F52" i="11" s="1"/>
  <c r="F54" i="4"/>
  <c r="F37" i="11" s="1"/>
  <c r="E54" i="4"/>
  <c r="F22" i="11" s="1"/>
  <c r="D54" i="4"/>
  <c r="F7" i="11" s="1"/>
  <c r="D63" i="4"/>
  <c r="G4" i="11" s="1"/>
  <c r="E68" i="4"/>
  <c r="G24" i="11" s="1"/>
  <c r="H72" i="4"/>
  <c r="G58" i="11" s="1"/>
  <c r="E82" i="4"/>
  <c r="H26" i="11" s="1"/>
  <c r="D96" i="4"/>
  <c r="I13" i="11" s="1"/>
  <c r="F101" i="4"/>
  <c r="J36" i="11" s="1"/>
  <c r="I106" i="4"/>
  <c r="J71" i="11" s="1"/>
  <c r="H106" i="4"/>
  <c r="J56" i="11" s="1"/>
  <c r="F106" i="4"/>
  <c r="J41" i="11" s="1"/>
  <c r="E106" i="4"/>
  <c r="J26" i="11" s="1"/>
  <c r="P26" i="11" s="1"/>
  <c r="F115" i="4"/>
  <c r="K38" i="11" s="1"/>
  <c r="F121" i="4"/>
  <c r="K44" i="11" s="1"/>
  <c r="D121" i="4"/>
  <c r="K14" i="11" s="1"/>
  <c r="D126" i="4"/>
  <c r="L7" i="11" s="1"/>
  <c r="F132" i="4"/>
  <c r="L43" i="11" s="1"/>
  <c r="H138" i="4"/>
  <c r="M52" i="11" s="1"/>
  <c r="F138" i="4"/>
  <c r="M37" i="11" s="1"/>
  <c r="E138" i="4"/>
  <c r="M22" i="11" s="1"/>
  <c r="D138" i="4"/>
  <c r="M7" i="11" s="1"/>
  <c r="F143" i="4"/>
  <c r="M42" i="11" s="1"/>
  <c r="D149" i="4"/>
  <c r="N6" i="11" s="1"/>
  <c r="F153" i="4"/>
  <c r="N40" i="11" s="1"/>
  <c r="D19" i="12"/>
  <c r="D49" i="12"/>
  <c r="D115" i="12"/>
  <c r="D223" i="12"/>
  <c r="M24" i="13"/>
  <c r="T24" i="13" s="1"/>
  <c r="D30" i="13"/>
  <c r="Q30" i="13" s="1"/>
  <c r="D160" i="12"/>
  <c r="H80" i="4"/>
  <c r="H54" i="11" s="1"/>
  <c r="I80" i="4"/>
  <c r="H69" i="11" s="1"/>
  <c r="F80" i="4"/>
  <c r="H39" i="11" s="1"/>
  <c r="E80" i="4"/>
  <c r="H24" i="11" s="1"/>
  <c r="D80" i="4"/>
  <c r="H9" i="11" s="1"/>
  <c r="D109" i="12"/>
  <c r="D85" i="4"/>
  <c r="H14" i="11" s="1"/>
  <c r="E42" i="4"/>
  <c r="E22" i="11" s="1"/>
  <c r="H130" i="4"/>
  <c r="L56" i="11" s="1"/>
  <c r="D127" i="12"/>
  <c r="E4" i="4"/>
  <c r="B20" i="11" s="1"/>
  <c r="E14" i="4"/>
  <c r="C18" i="11" s="1"/>
  <c r="E23" i="4"/>
  <c r="C27" i="11" s="1"/>
  <c r="H33" i="4"/>
  <c r="D55" i="11" s="1"/>
  <c r="H38" i="4"/>
  <c r="E48" i="11" s="1"/>
  <c r="D44" i="4"/>
  <c r="E9" i="11" s="1"/>
  <c r="D49" i="4"/>
  <c r="E14" i="11" s="1"/>
  <c r="D59" i="4"/>
  <c r="F12" i="11" s="1"/>
  <c r="E63" i="4"/>
  <c r="G19" i="11" s="1"/>
  <c r="F68" i="4"/>
  <c r="G39" i="11" s="1"/>
  <c r="F82" i="4"/>
  <c r="H41" i="11" s="1"/>
  <c r="I87" i="4"/>
  <c r="I64" i="11" s="1"/>
  <c r="H92" i="4"/>
  <c r="I54" i="11" s="1"/>
  <c r="F92" i="4"/>
  <c r="I39" i="11" s="1"/>
  <c r="H101" i="4"/>
  <c r="J51" i="11" s="1"/>
  <c r="D106" i="4"/>
  <c r="J11" i="11" s="1"/>
  <c r="H126" i="4"/>
  <c r="L52" i="11" s="1"/>
  <c r="H143" i="4"/>
  <c r="M57" i="11" s="1"/>
  <c r="G153" i="4"/>
  <c r="D39" i="12"/>
  <c r="D96" i="12"/>
  <c r="D166" i="12"/>
  <c r="D186" i="12"/>
  <c r="D214" i="12"/>
  <c r="M30" i="13"/>
  <c r="T30" i="13" s="1"/>
  <c r="M37" i="13"/>
  <c r="T37" i="13" s="1"/>
  <c r="J37" i="13"/>
  <c r="S37" i="13" s="1"/>
  <c r="G37" i="13"/>
  <c r="R37" i="13" s="1"/>
  <c r="F151" i="4"/>
  <c r="N38" i="11" s="1"/>
  <c r="D181" i="12"/>
  <c r="J239" i="12"/>
  <c r="D239" i="12"/>
  <c r="I2" i="4"/>
  <c r="B63" i="11" s="1"/>
  <c r="H2" i="4"/>
  <c r="B48" i="11" s="1"/>
  <c r="E2" i="4"/>
  <c r="B18" i="11" s="1"/>
  <c r="D2" i="4"/>
  <c r="B3" i="11" s="1"/>
  <c r="I66" i="4"/>
  <c r="G67" i="11" s="1"/>
  <c r="H66" i="4"/>
  <c r="G52" i="11" s="1"/>
  <c r="D15" i="12"/>
  <c r="D161" i="12"/>
  <c r="E47" i="4"/>
  <c r="E27" i="11" s="1"/>
  <c r="I95" i="4"/>
  <c r="I72" i="11" s="1"/>
  <c r="D31" i="4"/>
  <c r="D8" i="11" s="1"/>
  <c r="F76" i="4"/>
  <c r="H35" i="11" s="1"/>
  <c r="E76" i="4"/>
  <c r="H20" i="11" s="1"/>
  <c r="D76" i="12"/>
  <c r="D120" i="12"/>
  <c r="D142" i="12"/>
  <c r="H4" i="4"/>
  <c r="B50" i="11" s="1"/>
  <c r="I9" i="4"/>
  <c r="B70" i="11" s="1"/>
  <c r="H9" i="4"/>
  <c r="B55" i="11" s="1"/>
  <c r="E9" i="4"/>
  <c r="B25" i="11" s="1"/>
  <c r="H14" i="4"/>
  <c r="C48" i="11" s="1"/>
  <c r="I23" i="4"/>
  <c r="C72" i="11" s="1"/>
  <c r="I39" i="4"/>
  <c r="E64" i="11" s="1"/>
  <c r="H39" i="4"/>
  <c r="E49" i="11" s="1"/>
  <c r="E39" i="4"/>
  <c r="E19" i="11" s="1"/>
  <c r="D39" i="4"/>
  <c r="E4" i="11" s="1"/>
  <c r="E44" i="4"/>
  <c r="E24" i="11" s="1"/>
  <c r="E49" i="4"/>
  <c r="E29" i="11" s="1"/>
  <c r="E59" i="4"/>
  <c r="F27" i="11" s="1"/>
  <c r="F63" i="4"/>
  <c r="G34" i="11" s="1"/>
  <c r="H68" i="4"/>
  <c r="G54" i="11" s="1"/>
  <c r="I73" i="4"/>
  <c r="G74" i="11" s="1"/>
  <c r="H73" i="4"/>
  <c r="G59" i="11" s="1"/>
  <c r="D73" i="4"/>
  <c r="G14" i="11" s="1"/>
  <c r="D78" i="4"/>
  <c r="H7" i="11" s="1"/>
  <c r="D111" i="4"/>
  <c r="K4" i="11" s="1"/>
  <c r="I116" i="4"/>
  <c r="K69" i="11" s="1"/>
  <c r="H116" i="4"/>
  <c r="K54" i="11" s="1"/>
  <c r="F116" i="4"/>
  <c r="K39" i="11" s="1"/>
  <c r="E116" i="4"/>
  <c r="K24" i="11" s="1"/>
  <c r="E121" i="4"/>
  <c r="K29" i="11" s="1"/>
  <c r="I126" i="4"/>
  <c r="L67" i="11" s="1"/>
  <c r="I138" i="4"/>
  <c r="M67" i="11" s="1"/>
  <c r="E149" i="4"/>
  <c r="N21" i="11" s="1"/>
  <c r="H153" i="4"/>
  <c r="N55" i="11" s="1"/>
  <c r="D9" i="12"/>
  <c r="D50" i="12"/>
  <c r="D69" i="12"/>
  <c r="D116" i="12"/>
  <c r="D136" i="12"/>
  <c r="D146" i="12"/>
  <c r="D234" i="12"/>
  <c r="J244" i="12"/>
  <c r="D24" i="13"/>
  <c r="Q24" i="13" s="1"/>
  <c r="I135" i="4"/>
  <c r="M64" i="11" s="1"/>
  <c r="F135" i="4"/>
  <c r="M34" i="11" s="1"/>
  <c r="E135" i="4"/>
  <c r="M19" i="11" s="1"/>
  <c r="D135" i="4"/>
  <c r="M4" i="11" s="1"/>
  <c r="H135" i="4"/>
  <c r="M49" i="11" s="1"/>
  <c r="I114" i="4"/>
  <c r="K67" i="11" s="1"/>
  <c r="E17" i="4"/>
  <c r="C21" i="11" s="1"/>
  <c r="I57" i="4"/>
  <c r="F70" i="11" s="1"/>
  <c r="H57" i="4"/>
  <c r="F55" i="11" s="1"/>
  <c r="F57" i="4"/>
  <c r="F40" i="11" s="1"/>
  <c r="E152" i="4"/>
  <c r="N24" i="11" s="1"/>
  <c r="D102" i="12"/>
  <c r="E81" i="4"/>
  <c r="H25" i="11" s="1"/>
  <c r="H99" i="4"/>
  <c r="J49" i="11" s="1"/>
  <c r="D3" i="12"/>
  <c r="D9" i="4"/>
  <c r="B10" i="11" s="1"/>
  <c r="I14" i="4"/>
  <c r="C63" i="11" s="1"/>
  <c r="D19" i="4"/>
  <c r="C8" i="11" s="1"/>
  <c r="I24" i="4"/>
  <c r="C73" i="11" s="1"/>
  <c r="H24" i="4"/>
  <c r="C58" i="11" s="1"/>
  <c r="E24" i="4"/>
  <c r="C28" i="11" s="1"/>
  <c r="D24" i="4"/>
  <c r="C13" i="11" s="1"/>
  <c r="D29" i="4"/>
  <c r="D6" i="11" s="1"/>
  <c r="H44" i="4"/>
  <c r="E54" i="11" s="1"/>
  <c r="H49" i="4"/>
  <c r="E59" i="11" s="1"/>
  <c r="F59" i="4"/>
  <c r="F42" i="11" s="1"/>
  <c r="I63" i="4"/>
  <c r="G64" i="11" s="1"/>
  <c r="I68" i="4"/>
  <c r="G69" i="11" s="1"/>
  <c r="E78" i="4"/>
  <c r="H22" i="11" s="1"/>
  <c r="D92" i="4"/>
  <c r="I9" i="11" s="1"/>
  <c r="H97" i="4"/>
  <c r="I59" i="11" s="1"/>
  <c r="H102" i="4"/>
  <c r="J52" i="11" s="1"/>
  <c r="F102" i="4"/>
  <c r="J37" i="11" s="1"/>
  <c r="E102" i="4"/>
  <c r="J22" i="11" s="1"/>
  <c r="E107" i="4"/>
  <c r="J27" i="11" s="1"/>
  <c r="E111" i="4"/>
  <c r="K19" i="11" s="1"/>
  <c r="D116" i="4"/>
  <c r="K9" i="11" s="1"/>
  <c r="H121" i="4"/>
  <c r="K59" i="11" s="1"/>
  <c r="I127" i="4"/>
  <c r="L68" i="11" s="1"/>
  <c r="F133" i="4"/>
  <c r="L44" i="11" s="1"/>
  <c r="F149" i="4"/>
  <c r="N36" i="11" s="1"/>
  <c r="D10" i="12"/>
  <c r="D20" i="12"/>
  <c r="D40" i="12"/>
  <c r="D177" i="12"/>
  <c r="J235" i="12"/>
  <c r="D235" i="12"/>
  <c r="D245" i="12"/>
  <c r="G24" i="13"/>
  <c r="R24" i="13" s="1"/>
  <c r="D37" i="13"/>
  <c r="Q37" i="13" s="1"/>
  <c r="D141" i="12"/>
  <c r="D34" i="13"/>
  <c r="Q34" i="13" s="1"/>
  <c r="D150" i="12"/>
  <c r="D172" i="12"/>
  <c r="D238" i="12"/>
  <c r="I5" i="4"/>
  <c r="B66" i="11" s="1"/>
  <c r="D5" i="4"/>
  <c r="B6" i="11" s="1"/>
  <c r="H10" i="4"/>
  <c r="B56" i="11" s="1"/>
  <c r="E29" i="4"/>
  <c r="D21" i="11" s="1"/>
  <c r="E55" i="4"/>
  <c r="F23" i="11" s="1"/>
  <c r="I64" i="4"/>
  <c r="G65" i="11" s="1"/>
  <c r="H64" i="4"/>
  <c r="G50" i="11" s="1"/>
  <c r="F64" i="4"/>
  <c r="G35" i="11" s="1"/>
  <c r="E64" i="4"/>
  <c r="G20" i="11" s="1"/>
  <c r="D64" i="4"/>
  <c r="G5" i="11" s="1"/>
  <c r="I69" i="4"/>
  <c r="G70" i="11" s="1"/>
  <c r="E73" i="4"/>
  <c r="G29" i="11" s="1"/>
  <c r="F78" i="4"/>
  <c r="H37" i="11" s="1"/>
  <c r="I97" i="4"/>
  <c r="I74" i="11" s="1"/>
  <c r="F107" i="4"/>
  <c r="J42" i="11" s="1"/>
  <c r="I121" i="4"/>
  <c r="K74" i="11" s="1"/>
  <c r="H133" i="4"/>
  <c r="L59" i="11" s="1"/>
  <c r="H139" i="4"/>
  <c r="M53" i="11" s="1"/>
  <c r="F139" i="4"/>
  <c r="M38" i="11" s="1"/>
  <c r="H149" i="4"/>
  <c r="N51" i="11" s="1"/>
  <c r="D21" i="12"/>
  <c r="D137" i="12"/>
  <c r="D206" i="12"/>
  <c r="M14" i="13"/>
  <c r="T14" i="13" s="1"/>
  <c r="J24" i="13"/>
  <c r="S24" i="13" s="1"/>
  <c r="I83" i="4"/>
  <c r="H72" i="11" s="1"/>
  <c r="I147" i="4"/>
  <c r="N64" i="11" s="1"/>
  <c r="D89" i="12"/>
  <c r="D107" i="12"/>
  <c r="D170" i="12"/>
  <c r="J233" i="12"/>
  <c r="J8" i="13"/>
  <c r="S8" i="13" s="1"/>
  <c r="G35" i="13"/>
  <c r="R35" i="13" s="1"/>
  <c r="E96" i="4"/>
  <c r="I28" i="11" s="1"/>
  <c r="D119" i="4"/>
  <c r="K12" i="11" s="1"/>
  <c r="D38" i="12"/>
  <c r="D215" i="12"/>
  <c r="J242" i="12"/>
  <c r="D242" i="12"/>
  <c r="M17" i="13"/>
  <c r="T17" i="13" s="1"/>
  <c r="F77" i="4"/>
  <c r="H36" i="11" s="1"/>
  <c r="F83" i="4"/>
  <c r="H42" i="11" s="1"/>
  <c r="F109" i="4"/>
  <c r="J44" i="11" s="1"/>
  <c r="H119" i="4"/>
  <c r="K57" i="11" s="1"/>
  <c r="P57" i="11" s="1"/>
  <c r="H127" i="4"/>
  <c r="L53" i="11" s="1"/>
  <c r="F147" i="4"/>
  <c r="N34" i="11" s="1"/>
  <c r="D30" i="12"/>
  <c r="D91" i="12"/>
  <c r="D100" i="12"/>
  <c r="D190" i="12"/>
  <c r="D208" i="12"/>
  <c r="I61" i="4"/>
  <c r="F74" i="11" s="1"/>
  <c r="H83" i="4"/>
  <c r="H57" i="11" s="1"/>
  <c r="H109" i="4"/>
  <c r="J59" i="11" s="1"/>
  <c r="D132" i="4"/>
  <c r="L13" i="11" s="1"/>
  <c r="I144" i="4"/>
  <c r="M73" i="11" s="1"/>
  <c r="H144" i="4"/>
  <c r="M58" i="11" s="1"/>
  <c r="H147" i="4"/>
  <c r="N49" i="11" s="1"/>
  <c r="E151" i="4"/>
  <c r="N23" i="11" s="1"/>
  <c r="D82" i="12"/>
  <c r="D162" i="12"/>
  <c r="M9" i="13"/>
  <c r="T9" i="13" s="1"/>
  <c r="J9" i="13"/>
  <c r="S9" i="13" s="1"/>
  <c r="D9" i="13"/>
  <c r="Q9" i="13" s="1"/>
  <c r="J36" i="13"/>
  <c r="S36" i="13" s="1"/>
  <c r="D28" i="4"/>
  <c r="D5" i="11" s="1"/>
  <c r="D43" i="4"/>
  <c r="E8" i="11" s="1"/>
  <c r="E74" i="4"/>
  <c r="H18" i="11" s="1"/>
  <c r="D90" i="4"/>
  <c r="I7" i="11" s="1"/>
  <c r="I109" i="4"/>
  <c r="J74" i="11" s="1"/>
  <c r="I128" i="4"/>
  <c r="L69" i="11" s="1"/>
  <c r="F128" i="4"/>
  <c r="L39" i="11" s="1"/>
  <c r="D128" i="4"/>
  <c r="L9" i="11" s="1"/>
  <c r="H132" i="4"/>
  <c r="L58" i="11" s="1"/>
  <c r="E148" i="4"/>
  <c r="N20" i="11" s="1"/>
  <c r="H151" i="4"/>
  <c r="N53" i="11" s="1"/>
  <c r="D22" i="12"/>
  <c r="D92" i="12"/>
  <c r="D191" i="12"/>
  <c r="D251" i="12"/>
  <c r="M40" i="13"/>
  <c r="T40" i="13" s="1"/>
  <c r="J40" i="13"/>
  <c r="S40" i="13" s="1"/>
  <c r="G40" i="13"/>
  <c r="R40" i="13" s="1"/>
  <c r="D40" i="13"/>
  <c r="Q40" i="13" s="1"/>
  <c r="D6" i="4"/>
  <c r="B7" i="11" s="1"/>
  <c r="D17" i="4"/>
  <c r="C6" i="11" s="1"/>
  <c r="E28" i="4"/>
  <c r="D20" i="11" s="1"/>
  <c r="E43" i="4"/>
  <c r="E23" i="11" s="1"/>
  <c r="D47" i="4"/>
  <c r="E12" i="11" s="1"/>
  <c r="H58" i="4"/>
  <c r="F56" i="11" s="1"/>
  <c r="D61" i="4"/>
  <c r="F14" i="11" s="1"/>
  <c r="E77" i="4"/>
  <c r="H21" i="11" s="1"/>
  <c r="D87" i="4"/>
  <c r="I4" i="11" s="1"/>
  <c r="E90" i="4"/>
  <c r="I22" i="11" s="1"/>
  <c r="D100" i="4"/>
  <c r="J5" i="11" s="1"/>
  <c r="D113" i="4"/>
  <c r="K6" i="11" s="1"/>
  <c r="I124" i="4"/>
  <c r="L65" i="11" s="1"/>
  <c r="H124" i="4"/>
  <c r="L50" i="11" s="1"/>
  <c r="I132" i="4"/>
  <c r="L73" i="11" s="1"/>
  <c r="D144" i="4"/>
  <c r="M13" i="11" s="1"/>
  <c r="I151" i="4"/>
  <c r="N68" i="11" s="1"/>
  <c r="D74" i="12"/>
  <c r="D83" i="12"/>
  <c r="D110" i="12"/>
  <c r="D163" i="12"/>
  <c r="D173" i="12"/>
  <c r="J236" i="12"/>
  <c r="D244" i="12"/>
  <c r="D32" i="4"/>
  <c r="D9" i="11" s="1"/>
  <c r="D51" i="4"/>
  <c r="F4" i="11" s="1"/>
  <c r="E61" i="4"/>
  <c r="F29" i="11" s="1"/>
  <c r="D71" i="4"/>
  <c r="G12" i="11" s="1"/>
  <c r="D74" i="4"/>
  <c r="H3" i="11" s="1"/>
  <c r="H77" i="4"/>
  <c r="H51" i="11" s="1"/>
  <c r="D84" i="4"/>
  <c r="H13" i="11" s="1"/>
  <c r="E87" i="4"/>
  <c r="I19" i="11" s="1"/>
  <c r="E100" i="4"/>
  <c r="J20" i="11" s="1"/>
  <c r="E113" i="4"/>
  <c r="K21" i="11" s="1"/>
  <c r="D120" i="4"/>
  <c r="K13" i="11" s="1"/>
  <c r="H128" i="4"/>
  <c r="L54" i="11" s="1"/>
  <c r="E144" i="4"/>
  <c r="M28" i="11" s="1"/>
  <c r="D148" i="4"/>
  <c r="N5" i="11" s="1"/>
  <c r="G152" i="4"/>
  <c r="D23" i="12"/>
  <c r="J252" i="12"/>
  <c r="D252" i="12"/>
  <c r="M5" i="13"/>
  <c r="T5" i="13" s="1"/>
  <c r="D5" i="13"/>
  <c r="Q5" i="13" s="1"/>
  <c r="D14" i="13"/>
  <c r="Q14" i="13" s="1"/>
  <c r="M41" i="13"/>
  <c r="T41" i="13" s="1"/>
  <c r="I43" i="4"/>
  <c r="E68" i="11" s="1"/>
  <c r="H47" i="4"/>
  <c r="E57" i="11" s="1"/>
  <c r="E51" i="4"/>
  <c r="F19" i="11" s="1"/>
  <c r="F55" i="4"/>
  <c r="F38" i="11" s="1"/>
  <c r="D58" i="4"/>
  <c r="F11" i="11" s="1"/>
  <c r="F61" i="4"/>
  <c r="F44" i="11" s="1"/>
  <c r="F74" i="4"/>
  <c r="H33" i="11" s="1"/>
  <c r="I77" i="4"/>
  <c r="H66" i="11" s="1"/>
  <c r="E84" i="4"/>
  <c r="H28" i="11" s="1"/>
  <c r="F87" i="4"/>
  <c r="I34" i="11" s="1"/>
  <c r="H90" i="4"/>
  <c r="I52" i="11" s="1"/>
  <c r="D97" i="4"/>
  <c r="I14" i="11" s="1"/>
  <c r="F100" i="4"/>
  <c r="J35" i="11" s="1"/>
  <c r="D110" i="4"/>
  <c r="K3" i="11" s="1"/>
  <c r="F113" i="4"/>
  <c r="K36" i="11" s="1"/>
  <c r="E120" i="4"/>
  <c r="K28" i="11" s="1"/>
  <c r="D124" i="4"/>
  <c r="L5" i="11" s="1"/>
  <c r="F144" i="4"/>
  <c r="M43" i="11" s="1"/>
  <c r="F148" i="4"/>
  <c r="N35" i="11" s="1"/>
  <c r="D66" i="12"/>
  <c r="D84" i="12"/>
  <c r="D93" i="12"/>
  <c r="D111" i="12"/>
  <c r="D155" i="12"/>
  <c r="D174" i="12"/>
  <c r="M32" i="13"/>
  <c r="T32" i="13" s="1"/>
  <c r="I6" i="4"/>
  <c r="B67" i="11" s="1"/>
  <c r="E10" i="4"/>
  <c r="B26" i="11" s="1"/>
  <c r="I17" i="4"/>
  <c r="C66" i="11" s="1"/>
  <c r="E21" i="4"/>
  <c r="C25" i="11" s="1"/>
  <c r="H32" i="4"/>
  <c r="D54" i="11" s="1"/>
  <c r="E36" i="4"/>
  <c r="D28" i="11" s="1"/>
  <c r="D40" i="4"/>
  <c r="E5" i="11" s="1"/>
  <c r="I44" i="4"/>
  <c r="E69" i="11" s="1"/>
  <c r="I47" i="4"/>
  <c r="E72" i="11" s="1"/>
  <c r="H51" i="4"/>
  <c r="F49" i="11" s="1"/>
  <c r="E58" i="4"/>
  <c r="F26" i="11" s="1"/>
  <c r="H61" i="4"/>
  <c r="F59" i="11" s="1"/>
  <c r="E71" i="4"/>
  <c r="G27" i="11" s="1"/>
  <c r="H74" i="4"/>
  <c r="H48" i="11" s="1"/>
  <c r="D81" i="4"/>
  <c r="H10" i="11" s="1"/>
  <c r="F84" i="4"/>
  <c r="H43" i="11" s="1"/>
  <c r="H87" i="4"/>
  <c r="I49" i="11" s="1"/>
  <c r="I90" i="4"/>
  <c r="I67" i="11" s="1"/>
  <c r="E97" i="4"/>
  <c r="I29" i="11" s="1"/>
  <c r="H100" i="4"/>
  <c r="J50" i="11" s="1"/>
  <c r="D107" i="4"/>
  <c r="J12" i="11" s="1"/>
  <c r="E110" i="4"/>
  <c r="K18" i="11" s="1"/>
  <c r="H113" i="4"/>
  <c r="K51" i="11" s="1"/>
  <c r="D117" i="4"/>
  <c r="K10" i="11" s="1"/>
  <c r="F120" i="4"/>
  <c r="K43" i="11" s="1"/>
  <c r="F124" i="4"/>
  <c r="L35" i="11" s="1"/>
  <c r="D133" i="4"/>
  <c r="L14" i="11" s="1"/>
  <c r="D137" i="4"/>
  <c r="M6" i="11" s="1"/>
  <c r="I141" i="4"/>
  <c r="M70" i="11" s="1"/>
  <c r="H141" i="4"/>
  <c r="M55" i="11" s="1"/>
  <c r="F141" i="4"/>
  <c r="M40" i="11" s="1"/>
  <c r="D145" i="4"/>
  <c r="M14" i="11" s="1"/>
  <c r="H148" i="4"/>
  <c r="N50" i="11" s="1"/>
  <c r="D152" i="4"/>
  <c r="N9" i="11" s="1"/>
  <c r="D58" i="12"/>
  <c r="D164" i="12"/>
  <c r="J237" i="12"/>
  <c r="M27" i="13"/>
  <c r="T27" i="13" s="1"/>
  <c r="E48" i="4"/>
  <c r="E28" i="11" s="1"/>
  <c r="D55" i="4"/>
  <c r="F8" i="11" s="1"/>
  <c r="F58" i="4"/>
  <c r="F41" i="11" s="1"/>
  <c r="I74" i="4"/>
  <c r="H63" i="11" s="1"/>
  <c r="F97" i="4"/>
  <c r="I44" i="11" s="1"/>
  <c r="F110" i="4"/>
  <c r="K33" i="11" s="1"/>
  <c r="I145" i="4"/>
  <c r="M74" i="11" s="1"/>
  <c r="D24" i="12"/>
  <c r="D147" i="12"/>
  <c r="D165" i="12"/>
  <c r="D175" i="12"/>
  <c r="D202" i="12"/>
  <c r="M19" i="13"/>
  <c r="T19" i="13" s="1"/>
  <c r="M15" i="13"/>
  <c r="T15" i="13" s="1"/>
  <c r="J25" i="13"/>
  <c r="S25" i="13" s="1"/>
  <c r="M31" i="13"/>
  <c r="T31" i="13" s="1"/>
  <c r="J31" i="13"/>
  <c r="S31" i="13" s="1"/>
  <c r="G31" i="13"/>
  <c r="R31" i="13" s="1"/>
  <c r="D67" i="12"/>
  <c r="D140" i="12"/>
  <c r="D6" i="13"/>
  <c r="Q6" i="13" s="1"/>
  <c r="J12" i="13"/>
  <c r="S12" i="13" s="1"/>
  <c r="D59" i="12"/>
  <c r="J6" i="13"/>
  <c r="S6" i="13" s="1"/>
  <c r="M22" i="13"/>
  <c r="T22" i="13" s="1"/>
  <c r="J22" i="13"/>
  <c r="S22" i="13" s="1"/>
  <c r="D31" i="13"/>
  <c r="Q31" i="13" s="1"/>
  <c r="D52" i="12"/>
  <c r="D60" i="12"/>
  <c r="D68" i="12"/>
  <c r="D133" i="12"/>
  <c r="D200" i="12"/>
  <c r="D13" i="13"/>
  <c r="Q13" i="13" s="1"/>
  <c r="D16" i="13"/>
  <c r="Q16" i="13" s="1"/>
  <c r="D19" i="13"/>
  <c r="Q19" i="13" s="1"/>
  <c r="D22" i="13"/>
  <c r="Q22" i="13" s="1"/>
  <c r="D41" i="13"/>
  <c r="Q41" i="13" s="1"/>
  <c r="D44" i="12"/>
  <c r="D125" i="12"/>
  <c r="D217" i="12"/>
  <c r="D240" i="12"/>
  <c r="J247" i="12"/>
  <c r="J16" i="13"/>
  <c r="S16" i="13" s="1"/>
  <c r="J19" i="13"/>
  <c r="S19" i="13" s="1"/>
  <c r="G41" i="13"/>
  <c r="R41" i="13" s="1"/>
  <c r="D201" i="12"/>
  <c r="M38" i="13"/>
  <c r="T38" i="13" s="1"/>
  <c r="J41" i="13"/>
  <c r="S41" i="13" s="1"/>
  <c r="D45" i="12"/>
  <c r="D126" i="12"/>
  <c r="J32" i="13"/>
  <c r="S32" i="13" s="1"/>
  <c r="D35" i="13"/>
  <c r="Q35" i="13" s="1"/>
  <c r="D118" i="12"/>
  <c r="J248" i="12"/>
  <c r="M10" i="13"/>
  <c r="T10" i="13" s="1"/>
  <c r="J10" i="13"/>
  <c r="S10" i="13" s="1"/>
  <c r="D10" i="13"/>
  <c r="Q10" i="13" s="1"/>
  <c r="D15" i="13"/>
  <c r="Q15" i="13" s="1"/>
  <c r="D237" i="12"/>
  <c r="D248" i="12"/>
  <c r="J15" i="13"/>
  <c r="S15" i="13" s="1"/>
  <c r="D20" i="13"/>
  <c r="Q20" i="13" s="1"/>
  <c r="D27" i="13"/>
  <c r="Q27" i="13" s="1"/>
  <c r="D38" i="13"/>
  <c r="Q38" i="13" s="1"/>
  <c r="D151" i="4"/>
  <c r="N8" i="11" s="1"/>
  <c r="J20" i="13"/>
  <c r="S20" i="13" s="1"/>
  <c r="G27" i="13"/>
  <c r="R27" i="13" s="1"/>
  <c r="G38" i="13"/>
  <c r="R38" i="13" s="1"/>
  <c r="D8" i="13"/>
  <c r="Q8" i="13" s="1"/>
  <c r="D25" i="13"/>
  <c r="Q25" i="13" s="1"/>
  <c r="J27" i="13"/>
  <c r="S27" i="13" s="1"/>
  <c r="D36" i="13"/>
  <c r="Q36" i="13" s="1"/>
  <c r="J38" i="13"/>
  <c r="S38" i="13" s="1"/>
  <c r="G25" i="13"/>
  <c r="R25" i="13" s="1"/>
  <c r="G36" i="13"/>
  <c r="R36" i="13" s="1"/>
  <c r="D264" i="12" l="1"/>
  <c r="F264" i="12" s="1"/>
  <c r="G43" i="13"/>
  <c r="P67" i="11"/>
  <c r="O67" i="11"/>
  <c r="P23" i="11"/>
  <c r="O23" i="11"/>
  <c r="J261" i="12"/>
  <c r="R44" i="13"/>
  <c r="G44" i="13" s="1"/>
  <c r="P59" i="11"/>
  <c r="O59" i="11"/>
  <c r="D258" i="12"/>
  <c r="P10" i="11"/>
  <c r="O10" i="11"/>
  <c r="P42" i="11"/>
  <c r="O42" i="11"/>
  <c r="P41" i="11"/>
  <c r="O41" i="11"/>
  <c r="P24" i="11"/>
  <c r="O24" i="11"/>
  <c r="P9" i="11"/>
  <c r="O9" i="11"/>
  <c r="P69" i="11"/>
  <c r="O69" i="11"/>
  <c r="P29" i="11"/>
  <c r="O29" i="11"/>
  <c r="P48" i="11"/>
  <c r="O48" i="11"/>
  <c r="J262" i="12"/>
  <c r="P20" i="11"/>
  <c r="O20" i="11"/>
  <c r="P58" i="11"/>
  <c r="O58" i="11"/>
  <c r="O37" i="11"/>
  <c r="P37" i="11"/>
  <c r="P35" i="11"/>
  <c r="O35" i="11"/>
  <c r="D260" i="12"/>
  <c r="P49" i="11"/>
  <c r="O49" i="11"/>
  <c r="J259" i="12"/>
  <c r="P63" i="11"/>
  <c r="O63" i="11"/>
  <c r="D253" i="12"/>
  <c r="J258" i="12"/>
  <c r="P53" i="11"/>
  <c r="O53" i="11"/>
  <c r="P13" i="11"/>
  <c r="O13" i="11"/>
  <c r="P28" i="11"/>
  <c r="O28" i="11"/>
  <c r="P74" i="11"/>
  <c r="O74" i="11"/>
  <c r="P12" i="11"/>
  <c r="O12" i="11"/>
  <c r="P56" i="11"/>
  <c r="O56" i="11"/>
  <c r="D254" i="12"/>
  <c r="P70" i="11"/>
  <c r="O70" i="11"/>
  <c r="P44" i="11"/>
  <c r="O44" i="11"/>
  <c r="P64" i="11"/>
  <c r="O64" i="11"/>
  <c r="P3" i="11"/>
  <c r="O3" i="11"/>
  <c r="S43" i="13"/>
  <c r="J43" i="13" s="1"/>
  <c r="D261" i="12"/>
  <c r="O52" i="11"/>
  <c r="P52" i="11"/>
  <c r="J255" i="12"/>
  <c r="O26" i="11"/>
  <c r="P68" i="11"/>
  <c r="O68" i="11"/>
  <c r="O65" i="11"/>
  <c r="P65" i="11"/>
  <c r="O6" i="11"/>
  <c r="P6" i="11"/>
  <c r="P71" i="11"/>
  <c r="O71" i="11"/>
  <c r="O73" i="11"/>
  <c r="P73" i="11"/>
  <c r="P39" i="11"/>
  <c r="O39" i="11"/>
  <c r="P8" i="11"/>
  <c r="O8" i="11"/>
  <c r="J263" i="12"/>
  <c r="P34" i="11"/>
  <c r="O34" i="11"/>
  <c r="D255" i="12"/>
  <c r="P51" i="11"/>
  <c r="O51" i="11"/>
  <c r="O7" i="11"/>
  <c r="P7" i="11"/>
  <c r="P54" i="11"/>
  <c r="O54" i="11"/>
  <c r="J256" i="12"/>
  <c r="P18" i="11"/>
  <c r="O18" i="11"/>
  <c r="O50" i="11"/>
  <c r="P50" i="11"/>
  <c r="Q43" i="13"/>
  <c r="D43" i="13" s="1"/>
  <c r="Q44" i="13"/>
  <c r="D44" i="13" s="1"/>
  <c r="P14" i="11"/>
  <c r="O14" i="11"/>
  <c r="D259" i="12"/>
  <c r="T43" i="13"/>
  <c r="M43" i="13" s="1"/>
  <c r="J260" i="12"/>
  <c r="P66" i="11"/>
  <c r="O66" i="11"/>
  <c r="O43" i="11"/>
  <c r="P43" i="11"/>
  <c r="P19" i="11"/>
  <c r="O19" i="11"/>
  <c r="J253" i="12"/>
  <c r="P72" i="11"/>
  <c r="O72" i="11"/>
  <c r="J254" i="12"/>
  <c r="P25" i="11"/>
  <c r="O25" i="11"/>
  <c r="O57" i="11"/>
  <c r="P21" i="11"/>
  <c r="O21" i="11"/>
  <c r="P5" i="11"/>
  <c r="O5" i="11"/>
  <c r="J257" i="12"/>
  <c r="P22" i="11"/>
  <c r="O22" i="11"/>
  <c r="J264" i="12"/>
  <c r="P38" i="11"/>
  <c r="O38" i="11"/>
  <c r="D263" i="12"/>
  <c r="D262" i="12"/>
  <c r="P40" i="11"/>
  <c r="O40" i="11"/>
  <c r="P36" i="11"/>
  <c r="O36" i="11"/>
  <c r="D257" i="12"/>
  <c r="P11" i="11"/>
  <c r="O11" i="11"/>
  <c r="P4" i="11"/>
  <c r="O4" i="11"/>
  <c r="P33" i="11"/>
  <c r="O33" i="11"/>
  <c r="O27" i="11"/>
  <c r="P27" i="11"/>
  <c r="P55" i="11"/>
  <c r="O55" i="11"/>
  <c r="D256" i="12"/>
  <c r="E264" i="12" l="1"/>
  <c r="F256" i="12"/>
  <c r="E256" i="12"/>
  <c r="O43" i="13"/>
  <c r="N43" i="13"/>
  <c r="L255" i="12"/>
  <c r="K255" i="12"/>
  <c r="S44" i="13"/>
  <c r="L261" i="12"/>
  <c r="K261" i="12"/>
  <c r="L260" i="12"/>
  <c r="K260" i="12"/>
  <c r="F259" i="12"/>
  <c r="E259" i="12"/>
  <c r="F255" i="12"/>
  <c r="E255" i="12"/>
  <c r="S45" i="13"/>
  <c r="J45" i="13" s="1"/>
  <c r="L262" i="12"/>
  <c r="K262" i="12"/>
  <c r="F261" i="12"/>
  <c r="E261" i="12"/>
  <c r="F260" i="12"/>
  <c r="E260" i="12"/>
  <c r="L257" i="12"/>
  <c r="K257" i="12"/>
  <c r="F257" i="12"/>
  <c r="E257" i="12"/>
  <c r="L43" i="13"/>
  <c r="K43" i="13"/>
  <c r="L254" i="12"/>
  <c r="K254" i="12"/>
  <c r="Q45" i="13"/>
  <c r="T44" i="13"/>
  <c r="L264" i="12"/>
  <c r="K264" i="12"/>
  <c r="E254" i="12"/>
  <c r="F254" i="12"/>
  <c r="F44" i="13"/>
  <c r="E44" i="13"/>
  <c r="L263" i="12"/>
  <c r="K263" i="12"/>
  <c r="R45" i="13"/>
  <c r="F43" i="13"/>
  <c r="E43" i="13"/>
  <c r="L253" i="12"/>
  <c r="K253" i="12"/>
  <c r="E258" i="12"/>
  <c r="F258" i="12"/>
  <c r="L259" i="12"/>
  <c r="K259" i="12"/>
  <c r="I44" i="13"/>
  <c r="H44" i="13"/>
  <c r="F262" i="12"/>
  <c r="E262" i="12"/>
  <c r="L258" i="12"/>
  <c r="K258" i="12"/>
  <c r="K256" i="12"/>
  <c r="L256" i="12"/>
  <c r="E263" i="12"/>
  <c r="F263" i="12"/>
  <c r="F253" i="12"/>
  <c r="E253" i="12"/>
  <c r="I43" i="13"/>
  <c r="H43" i="13"/>
  <c r="R46" i="13" l="1"/>
  <c r="G46" i="13" s="1"/>
  <c r="D45" i="13"/>
  <c r="Q46" i="13"/>
  <c r="J44" i="13"/>
  <c r="K45" i="13" s="1"/>
  <c r="S46" i="13"/>
  <c r="J46" i="13" s="1"/>
  <c r="M44" i="13"/>
  <c r="T45" i="13"/>
  <c r="M45" i="13" s="1"/>
  <c r="G45" i="13"/>
  <c r="R47" i="13"/>
  <c r="G47" i="13" s="1"/>
  <c r="L44" i="13" l="1"/>
  <c r="K44" i="13"/>
  <c r="I45" i="13"/>
  <c r="H45" i="13"/>
  <c r="L46" i="13"/>
  <c r="K46" i="13"/>
  <c r="S47" i="13"/>
  <c r="J47" i="13" s="1"/>
  <c r="L45" i="13"/>
  <c r="R48" i="13"/>
  <c r="R50" i="13" s="1"/>
  <c r="O44" i="13"/>
  <c r="N44" i="13"/>
  <c r="O45" i="13"/>
  <c r="N45" i="13"/>
  <c r="Q47" i="13"/>
  <c r="F45" i="13"/>
  <c r="E45" i="13"/>
  <c r="I47" i="13"/>
  <c r="H47" i="13"/>
  <c r="I46" i="13"/>
  <c r="H46" i="13"/>
  <c r="R49" i="13"/>
  <c r="G49" i="13" s="1"/>
  <c r="D46" i="13"/>
  <c r="T46" i="13"/>
  <c r="G50" i="13" l="1"/>
  <c r="R51" i="13"/>
  <c r="G51" i="13" s="1"/>
  <c r="M46" i="13"/>
  <c r="F46" i="13"/>
  <c r="E46" i="13"/>
  <c r="L47" i="13"/>
  <c r="K47" i="13"/>
  <c r="I49" i="13"/>
  <c r="H49" i="13"/>
  <c r="G48" i="13"/>
  <c r="D47" i="13"/>
  <c r="Q48" i="13"/>
  <c r="Q49" i="13" s="1"/>
  <c r="D49" i="13" s="1"/>
  <c r="R52" i="13"/>
  <c r="T47" i="13"/>
  <c r="M47" i="13" s="1"/>
  <c r="S48" i="13"/>
  <c r="G52" i="13" l="1"/>
  <c r="R53" i="13"/>
  <c r="G53" i="13" s="1"/>
  <c r="F47" i="13"/>
  <c r="E47" i="13"/>
  <c r="R54" i="13"/>
  <c r="T48" i="13"/>
  <c r="I48" i="13"/>
  <c r="H48" i="13"/>
  <c r="D48" i="13"/>
  <c r="Q50" i="13"/>
  <c r="D50" i="13" s="1"/>
  <c r="J48" i="13"/>
  <c r="S49" i="13"/>
  <c r="N46" i="13"/>
  <c r="O46" i="13"/>
  <c r="O47" i="13"/>
  <c r="N47" i="13"/>
  <c r="I51" i="13"/>
  <c r="H51" i="13"/>
  <c r="H50" i="13"/>
  <c r="I50" i="13"/>
  <c r="L48" i="13" l="1"/>
  <c r="K48" i="13"/>
  <c r="F50" i="13"/>
  <c r="E50" i="13"/>
  <c r="E48" i="13"/>
  <c r="F48" i="13"/>
  <c r="M48" i="13"/>
  <c r="T49" i="13"/>
  <c r="J49" i="13"/>
  <c r="S50" i="13"/>
  <c r="G54" i="13"/>
  <c r="R55" i="13"/>
  <c r="G55" i="13" s="1"/>
  <c r="I52" i="13"/>
  <c r="H52" i="13"/>
  <c r="E49" i="13"/>
  <c r="Q51" i="13"/>
  <c r="I53" i="13"/>
  <c r="H53" i="13"/>
  <c r="F49" i="13"/>
  <c r="L49" i="13" l="1"/>
  <c r="K49" i="13"/>
  <c r="D51" i="13"/>
  <c r="Q52" i="13"/>
  <c r="I54" i="13"/>
  <c r="H54" i="13"/>
  <c r="M49" i="13"/>
  <c r="T50" i="13"/>
  <c r="O48" i="13"/>
  <c r="N48" i="13"/>
  <c r="I55" i="13"/>
  <c r="H55" i="13"/>
  <c r="J50" i="13"/>
  <c r="S51" i="13"/>
  <c r="D52" i="13" l="1"/>
  <c r="Q53" i="13"/>
  <c r="M50" i="13"/>
  <c r="T51" i="13"/>
  <c r="F51" i="13"/>
  <c r="E51" i="13"/>
  <c r="L50" i="13"/>
  <c r="K50" i="13"/>
  <c r="J51" i="13"/>
  <c r="S52" i="13"/>
  <c r="O49" i="13"/>
  <c r="N49" i="13"/>
  <c r="L51" i="13" l="1"/>
  <c r="K51" i="13"/>
  <c r="J52" i="13"/>
  <c r="S53" i="13"/>
  <c r="O50" i="13"/>
  <c r="N50" i="13"/>
  <c r="M51" i="13"/>
  <c r="T52" i="13"/>
  <c r="D53" i="13"/>
  <c r="Q54" i="13"/>
  <c r="F52" i="13"/>
  <c r="E52" i="13"/>
  <c r="D54" i="13" l="1"/>
  <c r="Q55" i="13"/>
  <c r="D55" i="13" s="1"/>
  <c r="J53" i="13"/>
  <c r="S54" i="13"/>
  <c r="F53" i="13"/>
  <c r="E53" i="13"/>
  <c r="L52" i="13"/>
  <c r="K52" i="13"/>
  <c r="M52" i="13"/>
  <c r="T53" i="13"/>
  <c r="O51" i="13"/>
  <c r="N51" i="13"/>
  <c r="F55" i="13" l="1"/>
  <c r="E55" i="13"/>
  <c r="M53" i="13"/>
  <c r="T54" i="13"/>
  <c r="O52" i="13"/>
  <c r="N52" i="13"/>
  <c r="J54" i="13"/>
  <c r="S55" i="13"/>
  <c r="J55" i="13" s="1"/>
  <c r="L53" i="13"/>
  <c r="K53" i="13"/>
  <c r="E54" i="13"/>
  <c r="F54" i="13"/>
  <c r="K55" i="13" l="1"/>
  <c r="L55" i="13"/>
  <c r="L54" i="13"/>
  <c r="K54" i="13"/>
  <c r="O53" i="13"/>
  <c r="N53" i="13"/>
  <c r="M54" i="13"/>
  <c r="T55" i="13"/>
  <c r="M55" i="13" s="1"/>
  <c r="O54" i="13" l="1"/>
  <c r="N54" i="13"/>
  <c r="O55" i="13"/>
  <c r="N55" i="13"/>
</calcChain>
</file>

<file path=xl/sharedStrings.xml><?xml version="1.0" encoding="utf-8"?>
<sst xmlns="http://schemas.openxmlformats.org/spreadsheetml/2006/main" count="1578" uniqueCount="892">
  <si>
    <t>Date</t>
  </si>
  <si>
    <t>Month</t>
  </si>
  <si>
    <t>Year</t>
  </si>
  <si>
    <t>Sunoil FOB Ukraine $/mt</t>
  </si>
  <si>
    <t>Sunoil FOB Russia $/mt</t>
  </si>
  <si>
    <t>Sunoil FOB Six Ports $/mt</t>
  </si>
  <si>
    <t>Sunoil FOB Argentina $/mt</t>
  </si>
  <si>
    <t>Sunflower Contract - Johannesburg</t>
  </si>
  <si>
    <t xml:space="preserve">Russia North Caucasus </t>
  </si>
  <si>
    <t>2018-04-03</t>
  </si>
  <si>
    <t/>
  </si>
  <si>
    <t>2018-04-04</t>
  </si>
  <si>
    <t>2018-04-05</t>
  </si>
  <si>
    <t>2018-04-06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</si>
  <si>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</si>
  <si>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</si>
  <si>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</si>
  <si>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</si>
  <si>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</si>
  <si>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</si>
  <si>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</si>
  <si>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</si>
  <si>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</si>
  <si>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</si>
  <si>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</si>
  <si>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</si>
  <si>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</si>
  <si>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</si>
  <si>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</si>
  <si>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</si>
  <si>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</si>
  <si>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2018-05-08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</si>
  <si>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</si>
  <si>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</si>
  <si>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</si>
  <si>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</si>
  <si>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</si>
  <si>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</si>
  <si>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</si>
  <si>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</si>
  <si>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</si>
  <si>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</si>
  <si>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</si>
  <si>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</si>
  <si>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</si>
  <si>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</si>
  <si>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</si>
  <si>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</si>
  <si>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</si>
  <si>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</si>
  <si>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</si>
  <si>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</si>
  <si>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</si>
  <si>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</si>
  <si>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</si>
  <si>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</si>
  <si>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</si>
  <si>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</si>
  <si>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</si>
  <si>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</si>
  <si>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</si>
  <si>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</si>
  <si>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</si>
  <si>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</si>
  <si>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</si>
  <si>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</si>
  <si>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</si>
  <si>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</si>
  <si>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</si>
  <si>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</si>
  <si>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</si>
  <si>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</si>
  <si>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</si>
  <si>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</si>
  <si>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</si>
  <si>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</si>
  <si>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</si>
  <si>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</si>
  <si>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</si>
  <si>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</si>
  <si>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</si>
  <si>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</si>
  <si>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</si>
  <si>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</si>
  <si>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</si>
  <si>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</si>
  <si>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</si>
  <si>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</si>
  <si>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</si>
  <si>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</si>
  <si>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</si>
  <si>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</si>
  <si>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</si>
  <si>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</si>
  <si>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</si>
  <si>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</si>
  <si>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</si>
  <si>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</si>
  <si>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</si>
  <si>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</si>
  <si>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</si>
  <si>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</si>
  <si>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</si>
  <si>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</si>
  <si>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</si>
  <si>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</si>
  <si>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</si>
  <si>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</si>
  <si>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</si>
  <si>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</si>
  <si>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</si>
  <si>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</si>
  <si>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</si>
  <si>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</si>
  <si>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</si>
  <si>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</si>
  <si>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</si>
  <si>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</si>
  <si>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</si>
  <si>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</si>
  <si>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</si>
  <si>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</si>
  <si>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</si>
  <si>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</si>
  <si>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</si>
  <si>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</si>
  <si>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</si>
  <si>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</si>
  <si>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</si>
  <si>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</si>
  <si>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</si>
  <si>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</si>
  <si>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</si>
  <si>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</si>
  <si>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</si>
  <si>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</si>
  <si>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</si>
  <si>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</si>
  <si>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</si>
  <si>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</si>
  <si>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</si>
  <si>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</si>
  <si>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</si>
  <si>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</si>
  <si>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</si>
  <si>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</si>
  <si>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</si>
  <si>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</si>
  <si>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</si>
  <si>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</si>
  <si>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</si>
  <si>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</si>
  <si>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</si>
  <si>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</si>
  <si>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</si>
  <si>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</si>
  <si>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</si>
  <si>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</si>
  <si>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</si>
  <si>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</si>
  <si>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</si>
  <si>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</si>
  <si>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</si>
  <si>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</si>
  <si>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</si>
  <si>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</si>
  <si>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</si>
  <si>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</si>
  <si>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</si>
  <si>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</si>
  <si>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</si>
  <si>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</si>
  <si>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</si>
  <si>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</si>
  <si>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</si>
  <si>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</si>
  <si>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</si>
  <si>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</si>
  <si>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</si>
  <si>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</si>
  <si>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</si>
  <si>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</si>
  <si>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</si>
  <si>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</si>
  <si>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</si>
  <si>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</si>
  <si>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</si>
  <si>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</si>
  <si>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</si>
  <si>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</si>
  <si>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</si>
  <si>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</si>
  <si>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</si>
  <si>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</si>
  <si>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</si>
  <si>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</si>
  <si>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</si>
  <si>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</si>
  <si>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</si>
  <si>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</si>
  <si>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</si>
  <si>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</si>
  <si>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</si>
  <si>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</si>
  <si>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</si>
  <si>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</si>
  <si>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</si>
  <si>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</si>
  <si>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</si>
  <si>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</si>
  <si>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</si>
  <si>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</si>
  <si>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</si>
  <si>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</si>
  <si>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</si>
  <si>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</si>
  <si>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</si>
  <si>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</si>
  <si>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</si>
  <si>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</si>
  <si>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</si>
  <si>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</si>
  <si>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</si>
  <si>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</si>
  <si>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</si>
  <si>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</si>
  <si>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</si>
  <si>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</si>
  <si>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</si>
  <si>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</si>
  <si>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</si>
  <si>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</si>
  <si>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</si>
  <si>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</si>
  <si>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</si>
  <si>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</si>
  <si>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</si>
  <si>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</si>
  <si>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</si>
  <si>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</si>
  <si>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</si>
  <si>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</si>
  <si>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</si>
  <si>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</si>
  <si>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</si>
  <si>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</si>
  <si>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</si>
  <si>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</si>
  <si>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</si>
  <si>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</si>
  <si>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</si>
  <si>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</si>
  <si>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</si>
  <si>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</si>
  <si>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</si>
  <si>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</si>
  <si>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</si>
  <si>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</si>
  <si>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</si>
  <si>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</si>
  <si>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</si>
  <si>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</si>
  <si>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</si>
  <si>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</si>
  <si>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</si>
  <si>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</si>
  <si>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</si>
  <si>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</si>
  <si>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</si>
  <si>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</si>
  <si>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</si>
  <si>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</si>
  <si>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</si>
  <si>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</si>
  <si>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</si>
  <si>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</si>
  <si>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</si>
  <si>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</si>
  <si>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</si>
  <si>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</si>
  <si>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</si>
  <si>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</si>
  <si>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</si>
  <si>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</si>
  <si>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</si>
  <si>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</si>
  <si>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</si>
  <si>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</si>
  <si>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</si>
  <si>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</si>
  <si>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</si>
  <si>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</si>
  <si>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</si>
  <si>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</si>
  <si>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</si>
  <si>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</si>
  <si>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</si>
  <si>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</si>
  <si>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</si>
  <si>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</si>
  <si>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</si>
  <si>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</si>
  <si>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</si>
  <si>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</si>
  <si>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</si>
  <si>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</si>
  <si>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</si>
  <si>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</si>
  <si>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</si>
  <si>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</si>
  <si>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</si>
  <si>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</si>
  <si>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</si>
  <si>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</si>
  <si>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</si>
  <si>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</si>
  <si>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</si>
  <si>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</si>
  <si>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</si>
  <si>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</si>
  <si>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</si>
  <si>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</si>
  <si>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</si>
  <si>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</si>
  <si>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</si>
  <si>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</si>
  <si>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</si>
  <si>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</si>
  <si>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</si>
  <si>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</si>
  <si>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</si>
  <si>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</si>
  <si>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</si>
  <si>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</si>
  <si>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</si>
  <si>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</si>
  <si>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</si>
  <si>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</si>
  <si>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</si>
  <si>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</si>
  <si>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</si>
  <si>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</si>
  <si>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</si>
  <si>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</si>
  <si>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</si>
  <si>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</si>
  <si>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</si>
  <si>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</si>
  <si>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</si>
  <si>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</si>
  <si>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</si>
  <si>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</si>
  <si>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</si>
  <si>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</si>
  <si>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</si>
  <si>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</si>
  <si>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</si>
  <si>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</si>
  <si>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</si>
  <si>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</si>
  <si>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</si>
  <si>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</si>
  <si>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</si>
  <si>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</si>
  <si>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</si>
  <si>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</si>
  <si>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</si>
  <si>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</si>
  <si>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</si>
  <si>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</si>
  <si>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</si>
  <si>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</si>
  <si>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</si>
  <si>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</si>
  <si>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</si>
  <si>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</si>
  <si>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</si>
  <si>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</si>
  <si>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</si>
  <si>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</si>
  <si>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</si>
  <si>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</si>
  <si>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</si>
  <si>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</si>
  <si>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</si>
  <si>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</si>
  <si>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</si>
  <si>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</si>
  <si>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</si>
  <si>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</si>
  <si>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</si>
  <si>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</si>
  <si>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</si>
  <si>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</si>
  <si>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</si>
  <si>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</si>
  <si>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</si>
  <si>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</si>
  <si>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</si>
  <si>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</si>
  <si>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</si>
  <si>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</si>
  <si>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</si>
  <si>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</si>
  <si>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</si>
  <si>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</si>
  <si>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</si>
  <si>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</si>
  <si>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</si>
  <si>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</si>
  <si>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</si>
  <si>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</si>
  <si>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</si>
  <si>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</si>
  <si>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</si>
  <si>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</si>
  <si>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</si>
  <si>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</si>
  <si>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</si>
  <si>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</si>
  <si>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</si>
  <si>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</si>
  <si>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</si>
  <si>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</si>
  <si>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</si>
  <si>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</si>
  <si>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</si>
  <si>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</si>
  <si>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</si>
  <si>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</si>
  <si>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</si>
  <si>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</si>
  <si>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</si>
  <si>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</si>
  <si>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</si>
  <si>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</si>
  <si>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</si>
  <si>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</si>
  <si>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</si>
  <si>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</si>
  <si>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</si>
  <si>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</si>
  <si>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</si>
  <si>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</si>
  <si>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</si>
  <si>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</si>
  <si>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</si>
  <si>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</si>
  <si>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</si>
  <si>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</si>
  <si>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</si>
  <si>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</si>
  <si>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</si>
  <si>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</si>
  <si>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</si>
  <si>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</si>
  <si>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</si>
  <si>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</si>
  <si>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</si>
  <si>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</si>
  <si>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</si>
  <si>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</si>
  <si>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</si>
  <si>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</si>
  <si>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</si>
  <si>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</si>
  <si>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</si>
  <si>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</si>
  <si>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</si>
  <si>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</si>
  <si>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</si>
  <si>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</si>
  <si>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</si>
  <si>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</si>
  <si>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</si>
  <si>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</si>
  <si>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</si>
  <si>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</si>
  <si>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</si>
  <si>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</si>
  <si>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</si>
  <si>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</si>
  <si>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</si>
  <si>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</si>
  <si>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</si>
  <si>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</si>
  <si>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</si>
  <si>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</si>
  <si>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</si>
  <si>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</si>
  <si>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</si>
  <si>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</si>
  <si>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</si>
  <si>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</si>
  <si>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</si>
  <si>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</si>
  <si>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</si>
  <si>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</si>
  <si>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</si>
  <si>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</si>
  <si>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</si>
  <si>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</si>
  <si>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</si>
  <si>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</si>
  <si>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</si>
  <si>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</si>
  <si>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</si>
  <si>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</si>
  <si>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</si>
  <si>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</si>
  <si>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</si>
  <si>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</si>
  <si>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</si>
  <si>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</si>
  <si>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</si>
  <si>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</si>
  <si>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</si>
  <si>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</si>
  <si>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</si>
  <si>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</si>
  <si>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</si>
  <si>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</si>
  <si>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</si>
  <si>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</si>
  <si>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</si>
  <si>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</si>
  <si>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</si>
  <si>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</si>
  <si>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</si>
  <si>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</si>
  <si>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</si>
  <si>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</si>
  <si>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</si>
  <si>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</si>
  <si>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</si>
  <si>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</si>
  <si>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</si>
  <si>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</si>
  <si>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</si>
  <si>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</si>
  <si>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</si>
  <si>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</si>
  <si>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</si>
  <si>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</si>
  <si>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</si>
  <si>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</si>
  <si>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</si>
  <si>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</si>
  <si>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</si>
  <si>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</si>
  <si>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</si>
  <si>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</si>
  <si>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</si>
  <si>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</si>
  <si>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</si>
  <si>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</si>
  <si>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</si>
  <si>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</si>
  <si>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</si>
  <si>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</si>
  <si>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</si>
  <si>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</si>
  <si>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</si>
  <si>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</si>
  <si>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</si>
  <si>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</si>
  <si>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</si>
  <si>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</si>
  <si>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</si>
  <si>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</si>
  <si>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</si>
  <si>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</si>
  <si>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</si>
  <si>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</si>
  <si>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</si>
  <si>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</si>
  <si>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</si>
  <si>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</si>
  <si>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</si>
  <si>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</si>
  <si>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</si>
  <si>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</si>
  <si>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</si>
  <si>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</si>
  <si>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</si>
  <si>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</si>
  <si>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</si>
  <si>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</si>
  <si>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</si>
  <si>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</si>
  <si>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</si>
  <si>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</si>
  <si>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</si>
  <si>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</si>
  <si>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</si>
  <si>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</si>
  <si>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</si>
  <si>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</si>
  <si>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</si>
  <si>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</si>
  <si>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</si>
  <si>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</si>
  <si>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</si>
  <si>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</si>
  <si>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</si>
  <si>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</si>
  <si>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</si>
  <si>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</si>
  <si>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</si>
  <si>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</si>
  <si>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</si>
  <si>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</si>
  <si>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</si>
  <si>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</si>
  <si>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</si>
  <si>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</si>
  <si>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</si>
  <si>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</si>
  <si>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</si>
  <si>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</si>
  <si>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</si>
  <si>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</si>
  <si>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</si>
  <si>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</si>
  <si>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</si>
  <si>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</si>
  <si>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</si>
  <si>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</si>
  <si>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</si>
  <si>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</si>
  <si>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</si>
  <si>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</si>
  <si>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</si>
  <si>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</si>
  <si>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</si>
  <si>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</si>
  <si>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</si>
  <si>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</si>
  <si>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</si>
  <si>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</si>
  <si>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</si>
  <si>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</si>
  <si>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</si>
  <si>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</si>
  <si>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</si>
  <si>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</si>
  <si>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</si>
  <si>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</si>
  <si>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</si>
  <si>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</si>
  <si>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</si>
  <si>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</si>
  <si>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</si>
  <si>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</si>
  <si>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</si>
  <si>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</si>
  <si>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</si>
  <si>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</si>
  <si>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</si>
  <si>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</si>
  <si>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</si>
  <si>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</si>
  <si>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</si>
  <si>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</si>
  <si>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</si>
  <si>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</si>
  <si>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</si>
  <si>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</si>
  <si>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</si>
  <si>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</si>
  <si>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</si>
  <si>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</si>
  <si>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</si>
  <si>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</si>
  <si>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</si>
  <si>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</si>
  <si>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</si>
  <si>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</si>
  <si>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</si>
  <si>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</si>
  <si>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</si>
  <si>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</si>
  <si>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</si>
  <si>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</si>
  <si>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</si>
  <si>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</si>
  <si>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</si>
  <si>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</si>
  <si>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</si>
  <si>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</si>
  <si>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</si>
  <si>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</si>
  <si>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</si>
  <si>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</si>
  <si>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</si>
  <si>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</si>
  <si>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</si>
  <si>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</si>
  <si>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</si>
  <si>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</si>
  <si>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</si>
  <si>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</si>
  <si>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</si>
  <si>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</si>
  <si>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</si>
  <si>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</si>
  <si>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</si>
  <si>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</si>
  <si>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</si>
  <si>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</si>
  <si>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</si>
  <si>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</si>
  <si>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</si>
  <si>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</si>
  <si>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</si>
  <si>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</si>
  <si>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</si>
  <si>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</si>
  <si>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</si>
  <si>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</si>
  <si>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</si>
  <si>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</si>
  <si>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</si>
  <si>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</si>
  <si>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</si>
  <si>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</si>
  <si>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</si>
  <si>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</si>
  <si>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</si>
  <si>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</si>
  <si>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</si>
  <si>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</si>
  <si>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</si>
  <si>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</si>
  <si>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</si>
  <si>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</si>
  <si>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</si>
  <si>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</si>
  <si>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</si>
  <si>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</si>
  <si>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</si>
  <si>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</si>
  <si>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</si>
  <si>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</si>
  <si>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</si>
  <si>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</si>
  <si>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</si>
  <si>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</si>
  <si>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</si>
  <si>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</si>
  <si>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</si>
  <si>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</si>
  <si>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</si>
  <si>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</si>
  <si>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</si>
  <si>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</si>
  <si>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</si>
  <si>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</si>
  <si>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</si>
  <si>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</si>
  <si>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</si>
  <si>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</si>
  <si>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</si>
  <si>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</si>
  <si>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</si>
  <si>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</si>
  <si>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</si>
  <si>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</si>
  <si>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</si>
  <si>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</si>
  <si>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</si>
  <si>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</si>
  <si>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</si>
  <si>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</si>
  <si>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</si>
  <si>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</si>
  <si>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</si>
  <si>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</si>
  <si>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</si>
  <si>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</si>
  <si>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</si>
  <si>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</si>
  <si>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</si>
  <si>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</si>
  <si>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</si>
  <si>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</si>
  <si>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</si>
  <si>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</si>
  <si>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</si>
  <si>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</si>
  <si>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</si>
  <si>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</si>
  <si>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</si>
  <si>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</si>
  <si>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</si>
  <si>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</si>
  <si>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</si>
  <si>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</si>
  <si>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</si>
  <si>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</si>
  <si>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</si>
  <si>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</si>
  <si>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</si>
  <si>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</si>
  <si>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</si>
  <si>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</si>
  <si>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</si>
  <si>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</si>
  <si>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</si>
  <si>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</si>
  <si>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</si>
  <si>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</si>
  <si>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</si>
  <si>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</si>
  <si>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</si>
  <si>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</si>
  <si>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</si>
  <si>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</si>
  <si>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</si>
  <si>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</si>
  <si>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</si>
  <si>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</si>
  <si>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</si>
  <si>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</si>
  <si>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</si>
  <si>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</si>
  <si>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</si>
  <si>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</si>
  <si>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</si>
  <si>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</si>
  <si>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</si>
  <si>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</si>
  <si>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</si>
  <si>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</si>
  <si>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</si>
  <si>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</si>
  <si>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</si>
  <si>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</si>
  <si>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</si>
  <si>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</si>
  <si>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</si>
  <si>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</si>
  <si>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</si>
  <si>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</si>
  <si>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</si>
  <si>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</si>
  <si>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</si>
  <si>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</si>
  <si>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Russia Sunflower Prices rub/tonne</t>
  </si>
  <si>
    <t>Rubles/$</t>
  </si>
  <si>
    <t>Russia Sunflower Prices $/tonne</t>
  </si>
  <si>
    <t>Ukraine Sunflower Prices uah/tonne VAT included</t>
  </si>
  <si>
    <t>Hryvnia/$</t>
  </si>
  <si>
    <t>Ukraine Sunflower Prices $/tonne VAT included</t>
  </si>
  <si>
    <t>North West Europe</t>
  </si>
  <si>
    <t>Ukraine</t>
  </si>
  <si>
    <t>Argentina</t>
  </si>
  <si>
    <t>Russia</t>
  </si>
  <si>
    <t>France</t>
  </si>
  <si>
    <t>Italy</t>
  </si>
  <si>
    <t>5-Year Max</t>
  </si>
  <si>
    <t>5-Year Min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</si>
  <si>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</si>
  <si>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</si>
  <si>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</si>
  <si>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</si>
  <si>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</si>
  <si>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</si>
  <si>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</si>
  <si>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</si>
  <si>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</si>
  <si>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</si>
  <si>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</si>
  <si>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</si>
  <si>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Russia $/mt</t>
  </si>
  <si>
    <t>Russia High</t>
  </si>
  <si>
    <t>Russia Low</t>
  </si>
  <si>
    <t>Russia rub/mt</t>
  </si>
  <si>
    <t>Ukraine$/mt</t>
  </si>
  <si>
    <t>Ukraine High</t>
  </si>
  <si>
    <t>Ukraine Low</t>
  </si>
  <si>
    <t>Ukraine Hyr/mt</t>
  </si>
  <si>
    <r>
      <t>Sunoil FOB Ukraine</t>
    </r>
    <r>
      <rPr>
        <b/>
        <sz val="8"/>
        <color theme="1"/>
        <rFont val="Arial"/>
        <family val="2"/>
      </rPr>
      <t xml:space="preserve"> (cents per pound)</t>
    </r>
  </si>
  <si>
    <r>
      <t xml:space="preserve">Sunoil FOB Russia </t>
    </r>
    <r>
      <rPr>
        <b/>
        <sz val="8"/>
        <color theme="1"/>
        <rFont val="Arial"/>
        <family val="2"/>
      </rPr>
      <t>(cents per pound)</t>
    </r>
  </si>
  <si>
    <r>
      <t xml:space="preserve">Sunoil FOB Six Ports </t>
    </r>
    <r>
      <rPr>
        <b/>
        <sz val="8"/>
        <color theme="1"/>
        <rFont val="Arial"/>
        <family val="2"/>
      </rPr>
      <t>(cents per pound)</t>
    </r>
  </si>
  <si>
    <r>
      <t xml:space="preserve">Sunoil FOB Argentina </t>
    </r>
    <r>
      <rPr>
        <b/>
        <sz val="8"/>
        <color theme="1"/>
        <rFont val="Arial"/>
        <family val="2"/>
      </rPr>
      <t>(cents per pound)</t>
    </r>
  </si>
  <si>
    <t>Price</t>
  </si>
  <si>
    <t>High</t>
  </si>
  <si>
    <t>Low</t>
  </si>
  <si>
    <t>Reference Price</t>
  </si>
  <si>
    <t>Monthly Averages</t>
  </si>
  <si>
    <t>Monthly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</si>
</sst>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0_);[Red]\(0\)"/>
    <numFmt numFmtId="166" formatCode="[$-409]mmm\-yy;@"/>
    <numFmt numFmtId="167" formatCode="&quot;$&quot;#,##0.0"/>
    <numFmt numFmtId="168" formatCode="&quot;$&quot;#,##0.00"/>
  </numFmts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 Narrow"/>
      <family val="2"/>
    </font>
    <font>
      <b/>
      <sz val="12"/>
      <color theme="1"/>
      <name val="Arial"/>
      <family val="2"/>
    </font>
    <font>
      <b/>
      <sz val="10"/>
      <color theme="1"/>
      <name val="Arial Narrow"/>
      <family val="2"/>
    </font>
    <font>
      <b/>
      <sz val="8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40" fontId="3" fillId="0" borderId="0" xfId="0" applyNumberFormat="1" applyFont="1" applyAlignment="1">
      <alignment horizontal="center" vertical="center" wrapText="1"/>
    </xf>
    <xf numFmtId="40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40" fontId="1" fillId="2" borderId="0" xfId="0" applyNumberFormat="1" applyFont="1" applyFill="1"/>
    <xf numFmtId="0" fontId="0" fillId="2" borderId="0" xfId="0" applyFill="1"/>
    <xf numFmtId="40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40" fontId="2" fillId="0" borderId="0" xfId="0" applyNumberFormat="1" applyFont="1" applyAlignment="1">
      <alignment horizontal="center"/>
    </xf>
    <xf numFmtId="164" fontId="0" fillId="0" borderId="0" xfId="0" applyNumberFormat="1"/>
    <xf numFmtId="165" fontId="2" fillId="0" borderId="0" xfId="0" applyNumberFormat="1" applyFont="1"/>
    <xf numFmtId="0" fontId="0" fillId="0" borderId="0" xfId="0" applyAlignment="1">
      <alignment horizontal="center" vertical="center" wrapText="1"/>
    </xf>
    <xf numFmtId="14" fontId="2" fillId="0" borderId="0" xfId="0" applyNumberFormat="1" applyFont="1"/>
    <xf numFmtId="40" fontId="2" fillId="0" borderId="0" xfId="0" applyNumberFormat="1" applyFont="1"/>
    <xf numFmtId="0" fontId="0" fillId="3" borderId="0" xfId="0" applyFill="1"/>
    <xf numFmtId="40" fontId="3" fillId="0" borderId="0" xfId="0" applyNumberFormat="1" applyFont="1" applyAlignment="1">
      <alignment horizontal="left" vertical="center"/>
    </xf>
    <xf numFmtId="40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1" fillId="0" borderId="0" xfId="0" applyNumberFormat="1" applyFont="1"/>
    <xf numFmtId="1" fontId="2" fillId="0" borderId="0" xfId="0" applyNumberFormat="1" applyFont="1" applyAlignment="1">
      <alignment horizontal="center" vertical="center"/>
    </xf>
    <xf numFmtId="40" fontId="2" fillId="0" borderId="0" xfId="0" applyNumberFormat="1" applyFont="1" applyAlignment="1">
      <alignment horizontal="center" vertical="center"/>
    </xf>
    <xf numFmtId="40" fontId="4" fillId="0" borderId="0" xfId="0" applyNumberFormat="1" applyFont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38" fontId="1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68" fontId="6" fillId="0" borderId="0" xfId="0" applyNumberFormat="1" applyFont="1"/>
    <xf numFmtId="0" fontId="6" fillId="0" borderId="0" xfId="0" applyFont="1" applyAlignment="1">
      <alignment horizontal="center" vertical="center"/>
    </xf>
    <xf numFmtId="14" fontId="1" fillId="2" borderId="0" xfId="0" applyNumberFormat="1" applyFont="1" applyFill="1"/>
    <xf numFmtId="38" fontId="1" fillId="2" borderId="0" xfId="0" applyNumberFormat="1" applyFont="1" applyFill="1"/>
    <xf numFmtId="0" fontId="6" fillId="2" borderId="0" xfId="0" applyFont="1" applyFill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worksheet" Target="worksheets/sheet8.xml"/><Relationship Id="rId18" Type="http://schemas.openxmlformats.org/officeDocument/2006/relationships/chartsheet" Target="chartsheets/sheet10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chartsheet" Target="chartsheets/sheet2.xml"/><Relationship Id="rId12" Type="http://schemas.openxmlformats.org/officeDocument/2006/relationships/worksheet" Target="worksheets/sheet7.xml"/><Relationship Id="rId17" Type="http://schemas.openxmlformats.org/officeDocument/2006/relationships/chartsheet" Target="chartsheets/sheet9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8.xml"/><Relationship Id="rId20" Type="http://schemas.openxmlformats.org/officeDocument/2006/relationships/worksheet" Target="worksheets/sheet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24" Type="http://schemas.openxmlformats.org/officeDocument/2006/relationships/styles" Target="styles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7.xml"/><Relationship Id="rId23" Type="http://schemas.openxmlformats.org/officeDocument/2006/relationships/theme" Target="theme/theme1.xml"/><Relationship Id="rId10" Type="http://schemas.openxmlformats.org/officeDocument/2006/relationships/chartsheet" Target="chartsheets/sheet5.xml"/><Relationship Id="rId19" Type="http://schemas.openxmlformats.org/officeDocument/2006/relationships/chartsheet" Target="chartsheets/sheet1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4" Type="http://schemas.openxmlformats.org/officeDocument/2006/relationships/chartsheet" Target="chartsheets/sheet6.xml"/><Relationship Id="rId22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Northwestern Europe Sunflower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42042620856975E-2"/>
          <c:y val="0.11655635461142279"/>
          <c:w val="0.87388274958409418"/>
          <c:h val="0.81250832285373431"/>
        </c:manualLayout>
      </c:layout>
      <c:areaChart>
        <c:grouping val="standard"/>
        <c:varyColors val="0"/>
        <c:ser>
          <c:idx val="1"/>
          <c:order val="2"/>
          <c:tx>
            <c:strRef>
              <c:f>'Crush Margins Chart Data'!$O$2</c:f>
              <c:strCache>
                <c:ptCount val="1"/>
                <c:pt idx="0">
                  <c:v>5-Year Max</c:v>
                </c:pt>
              </c:strCache>
            </c:strRef>
          </c:tx>
          <c:spPr>
            <a:solidFill>
              <a:srgbClr val="ECECE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Data'!$O$3:$O$14</c:f>
              <c:numCache>
                <c:formatCode>#,##0.00_);[Red]\(#,##0.00\)</c:formatCode>
                <c:ptCount val="12"/>
                <c:pt idx="0">
                  <c:v>28.133181818181807</c:v>
                </c:pt>
                <c:pt idx="1">
                  <c:v>42.767499999999991</c:v>
                </c:pt>
                <c:pt idx="2">
                  <c:v>53.085909090909105</c:v>
                </c:pt>
                <c:pt idx="3">
                  <c:v>77.485238095238103</c:v>
                </c:pt>
                <c:pt idx="4">
                  <c:v>77.412499999999994</c:v>
                </c:pt>
                <c:pt idx="5">
                  <c:v>69.654090909090911</c:v>
                </c:pt>
                <c:pt idx="6">
                  <c:v>60.690476190476183</c:v>
                </c:pt>
                <c:pt idx="7">
                  <c:v>50.698260869565225</c:v>
                </c:pt>
                <c:pt idx="8">
                  <c:v>47.990526315789467</c:v>
                </c:pt>
                <c:pt idx="9">
                  <c:v>53.233181818181812</c:v>
                </c:pt>
                <c:pt idx="10">
                  <c:v>52.841904761904765</c:v>
                </c:pt>
                <c:pt idx="11">
                  <c:v>51.403499999999973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E-4624-81CE-AEAFD6AA05FD}"/>
            </c:ext>
          </c:extLst>
        </c:ser>
        <c:ser>
          <c:idx val="2"/>
          <c:order val="3"/>
          <c:tx>
            <c:v>5-Year Range</c:v>
          </c:tx>
          <c:spPr>
            <a:solidFill>
              <a:srgbClr val="ECECE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Data'!$P$3:$P$14</c:f>
              <c:numCache>
                <c:formatCode>#,##0.00_);[Red]\(#,##0.00\)</c:formatCode>
                <c:ptCount val="12"/>
                <c:pt idx="0">
                  <c:v>-29.103684210526318</c:v>
                </c:pt>
                <c:pt idx="1">
                  <c:v>-73.115999999999985</c:v>
                </c:pt>
                <c:pt idx="2">
                  <c:v>-53.958181818181806</c:v>
                </c:pt>
                <c:pt idx="3">
                  <c:v>-8.7580952380952368</c:v>
                </c:pt>
                <c:pt idx="4">
                  <c:v>24.739523809523813</c:v>
                </c:pt>
                <c:pt idx="5">
                  <c:v>2.3099999999999983</c:v>
                </c:pt>
                <c:pt idx="6">
                  <c:v>-3.216000000000002</c:v>
                </c:pt>
                <c:pt idx="7">
                  <c:v>-15.168260869565215</c:v>
                </c:pt>
                <c:pt idx="8">
                  <c:v>-35.066190476190492</c:v>
                </c:pt>
                <c:pt idx="9">
                  <c:v>-34.483809523809519</c:v>
                </c:pt>
                <c:pt idx="10">
                  <c:v>-23.712857142857143</c:v>
                </c:pt>
                <c:pt idx="11">
                  <c:v>-16.864761904761902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6E-4624-81CE-AEAFD6AA0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67776"/>
        <c:axId val="1247869416"/>
      </c:areaChart>
      <c:lineChart>
        <c:grouping val="standard"/>
        <c:varyColors val="0"/>
        <c:ser>
          <c:idx val="3"/>
          <c:order val="0"/>
          <c:tx>
            <c:strRef>
              <c:f>'Crush Margins Chart Data'!$M$2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'Crush Margins Chart Data'!$M$3:$M$14</c:f>
              <c:numCache>
                <c:formatCode>#,##0.00_);[Red]\(#,##0.00\)</c:formatCode>
                <c:ptCount val="12"/>
                <c:pt idx="0">
                  <c:v>28.133181818181807</c:v>
                </c:pt>
                <c:pt idx="1">
                  <c:v>42.767499999999991</c:v>
                </c:pt>
                <c:pt idx="2">
                  <c:v>53.085909090909105</c:v>
                </c:pt>
                <c:pt idx="3">
                  <c:v>77.485238095238103</c:v>
                </c:pt>
                <c:pt idx="4">
                  <c:v>77.412499999999994</c:v>
                </c:pt>
                <c:pt idx="5">
                  <c:v>69.654090909090911</c:v>
                </c:pt>
                <c:pt idx="6">
                  <c:v>49.202608695652188</c:v>
                </c:pt>
                <c:pt idx="7">
                  <c:v>32.574285714285729</c:v>
                </c:pt>
                <c:pt idx="8">
                  <c:v>42.78954545454544</c:v>
                </c:pt>
                <c:pt idx="9">
                  <c:v>38.578181818181818</c:v>
                </c:pt>
                <c:pt idx="10">
                  <c:v>30.475238095238097</c:v>
                </c:pt>
                <c:pt idx="11">
                  <c:v>47.993913043478265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6E-4624-81CE-AEAFD6AA05FD}"/>
            </c:ext>
          </c:extLst>
        </c:ser>
        <c:ser>
          <c:idx val="0"/>
          <c:order val="1"/>
          <c:tx>
            <c:strRef>
              <c:f>'Crush Margins Chart Data'!$N$2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323232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Data'!$N$3:$N$14</c:f>
              <c:numCache>
                <c:formatCode>#,##0.00_);[Red]\(#,##0.00\)</c:formatCode>
                <c:ptCount val="12"/>
                <c:pt idx="0">
                  <c:v>74.237499999999983</c:v>
                </c:pt>
                <c:pt idx="1">
                  <c:v>99.61999999999999</c:v>
                </c:pt>
                <c:pt idx="2">
                  <c:v>169.86695652173918</c:v>
                </c:pt>
                <c:pt idx="3">
                  <c:v>174.54363636363638</c:v>
                </c:pt>
                <c:pt idx="4">
                  <c:v>110.8752380952381</c:v>
                </c:pt>
                <c:pt idx="5">
                  <c:v>45.691818181818164</c:v>
                </c:pt>
                <c:pt idx="6">
                  <c:v>26.143181818181812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6E-4624-81CE-AEAFD6AA0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867776"/>
        <c:axId val="1247869416"/>
      </c:lineChart>
      <c:catAx>
        <c:axId val="1247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9416"/>
        <c:crosses val="autoZero"/>
        <c:auto val="1"/>
        <c:lblAlgn val="ctr"/>
        <c:lblOffset val="100"/>
        <c:noMultiLvlLbl val="0"/>
      </c:catAx>
      <c:valAx>
        <c:axId val="1247869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€ 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7776"/>
        <c:crosses val="autoZero"/>
        <c:crossBetween val="midCat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50575297085691051"/>
          <c:y val="0.28010434904705417"/>
          <c:w val="0.35900604534885461"/>
          <c:h val="9.3130899243370174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/>
              <a:t>Northwestern Europe Sunflower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42042620856975E-2"/>
          <c:y val="0.11655635461142279"/>
          <c:w val="0.87388274958409418"/>
          <c:h val="0.81250832285373431"/>
        </c:manualLayout>
      </c:layout>
      <c:areaChart>
        <c:grouping val="standard"/>
        <c:varyColors val="0"/>
        <c:ser>
          <c:idx val="1"/>
          <c:order val="2"/>
          <c:tx>
            <c:strRef>
              <c:f>'Crush Margins Chart Data'!$O$2</c:f>
              <c:strCache>
                <c:ptCount val="1"/>
                <c:pt idx="0">
                  <c:v>5-Year Max</c:v>
                </c:pt>
              </c:strCache>
            </c:strRef>
          </c:tx>
          <c:spPr>
            <a:solidFill>
              <a:srgbClr val="ECECE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Data'!$O$3:$O$14</c:f>
              <c:numCache>
                <c:formatCode>#,##0.00_);[Red]\(#,##0.00\)</c:formatCode>
                <c:ptCount val="12"/>
                <c:pt idx="0">
                  <c:v>28.133181818181807</c:v>
                </c:pt>
                <c:pt idx="1">
                  <c:v>42.767499999999991</c:v>
                </c:pt>
                <c:pt idx="2">
                  <c:v>53.085909090909105</c:v>
                </c:pt>
                <c:pt idx="3">
                  <c:v>77.485238095238103</c:v>
                </c:pt>
                <c:pt idx="4">
                  <c:v>77.412499999999994</c:v>
                </c:pt>
                <c:pt idx="5">
                  <c:v>69.654090909090911</c:v>
                </c:pt>
                <c:pt idx="6">
                  <c:v>60.690476190476183</c:v>
                </c:pt>
                <c:pt idx="7">
                  <c:v>50.698260869565225</c:v>
                </c:pt>
                <c:pt idx="8">
                  <c:v>47.990526315789467</c:v>
                </c:pt>
                <c:pt idx="9">
                  <c:v>53.233181818181812</c:v>
                </c:pt>
                <c:pt idx="10">
                  <c:v>52.841904761904765</c:v>
                </c:pt>
                <c:pt idx="11">
                  <c:v>51.403499999999973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7-41FB-95EF-30E5FAA84C6B}"/>
            </c:ext>
          </c:extLst>
        </c:ser>
        <c:ser>
          <c:idx val="2"/>
          <c:order val="3"/>
          <c:tx>
            <c:v>5-Year Range</c:v>
          </c:tx>
          <c:spPr>
            <a:solidFill>
              <a:srgbClr val="ECECE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Data'!$P$3:$P$14</c:f>
              <c:numCache>
                <c:formatCode>#,##0.00_);[Red]\(#,##0.00\)</c:formatCode>
                <c:ptCount val="12"/>
                <c:pt idx="0">
                  <c:v>-29.103684210526318</c:v>
                </c:pt>
                <c:pt idx="1">
                  <c:v>-73.115999999999985</c:v>
                </c:pt>
                <c:pt idx="2">
                  <c:v>-53.958181818181806</c:v>
                </c:pt>
                <c:pt idx="3">
                  <c:v>-8.7580952380952368</c:v>
                </c:pt>
                <c:pt idx="4">
                  <c:v>24.739523809523813</c:v>
                </c:pt>
                <c:pt idx="5">
                  <c:v>2.3099999999999983</c:v>
                </c:pt>
                <c:pt idx="6">
                  <c:v>-3.216000000000002</c:v>
                </c:pt>
                <c:pt idx="7">
                  <c:v>-15.168260869565215</c:v>
                </c:pt>
                <c:pt idx="8">
                  <c:v>-35.066190476190492</c:v>
                </c:pt>
                <c:pt idx="9">
                  <c:v>-34.483809523809519</c:v>
                </c:pt>
                <c:pt idx="10">
                  <c:v>-23.712857142857143</c:v>
                </c:pt>
                <c:pt idx="11">
                  <c:v>-16.864761904761902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77-41FB-95EF-30E5FAA84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67776"/>
        <c:axId val="1247869416"/>
      </c:areaChart>
      <c:lineChart>
        <c:grouping val="standard"/>
        <c:varyColors val="0"/>
        <c:ser>
          <c:idx val="3"/>
          <c:order val="0"/>
          <c:tx>
            <c:strRef>
              <c:f>'Crush Margins Chart Data'!$M$2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'Crush Margins Chart Data'!$M$3:$M$14</c:f>
              <c:numCache>
                <c:formatCode>#,##0.00_);[Red]\(#,##0.00\)</c:formatCode>
                <c:ptCount val="12"/>
                <c:pt idx="0">
                  <c:v>28.133181818181807</c:v>
                </c:pt>
                <c:pt idx="1">
                  <c:v>42.767499999999991</c:v>
                </c:pt>
                <c:pt idx="2">
                  <c:v>53.085909090909105</c:v>
                </c:pt>
                <c:pt idx="3">
                  <c:v>77.485238095238103</c:v>
                </c:pt>
                <c:pt idx="4">
                  <c:v>77.412499999999994</c:v>
                </c:pt>
                <c:pt idx="5">
                  <c:v>69.654090909090911</c:v>
                </c:pt>
                <c:pt idx="6">
                  <c:v>49.202608695652188</c:v>
                </c:pt>
                <c:pt idx="7">
                  <c:v>32.574285714285729</c:v>
                </c:pt>
                <c:pt idx="8">
                  <c:v>42.78954545454544</c:v>
                </c:pt>
                <c:pt idx="9">
                  <c:v>38.578181818181818</c:v>
                </c:pt>
                <c:pt idx="10">
                  <c:v>30.475238095238097</c:v>
                </c:pt>
                <c:pt idx="11">
                  <c:v>47.993913043478265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77-41FB-95EF-30E5FAA84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867776"/>
        <c:axId val="1247869416"/>
      </c:lineChart>
      <c:lineChart>
        <c:grouping val="standard"/>
        <c:varyColors val="0"/>
        <c:ser>
          <c:idx val="0"/>
          <c:order val="1"/>
          <c:tx>
            <c:strRef>
              <c:f>'Crush Margins Chart Data'!$N$2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323232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Data'!$N$3:$N$14</c:f>
              <c:numCache>
                <c:formatCode>#,##0.00_);[Red]\(#,##0.00\)</c:formatCode>
                <c:ptCount val="12"/>
                <c:pt idx="0">
                  <c:v>74.237499999999983</c:v>
                </c:pt>
                <c:pt idx="1">
                  <c:v>99.61999999999999</c:v>
                </c:pt>
                <c:pt idx="2">
                  <c:v>169.86695652173918</c:v>
                </c:pt>
                <c:pt idx="3">
                  <c:v>174.54363636363638</c:v>
                </c:pt>
                <c:pt idx="4">
                  <c:v>110.8752380952381</c:v>
                </c:pt>
                <c:pt idx="5">
                  <c:v>45.691818181818164</c:v>
                </c:pt>
                <c:pt idx="6">
                  <c:v>26.143181818181812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77-41FB-95EF-30E5FAA84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206656"/>
        <c:axId val="1246195832"/>
      </c:lineChart>
      <c:catAx>
        <c:axId val="1247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9416"/>
        <c:crosses val="autoZero"/>
        <c:auto val="1"/>
        <c:lblAlgn val="ctr"/>
        <c:lblOffset val="100"/>
        <c:noMultiLvlLbl val="0"/>
      </c:catAx>
      <c:valAx>
        <c:axId val="124786941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€ 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7776"/>
        <c:crosses val="autoZero"/>
        <c:crossBetween val="midCat"/>
      </c:valAx>
      <c:valAx>
        <c:axId val="1246195832"/>
        <c:scaling>
          <c:orientation val="minMax"/>
          <c:max val="200"/>
          <c:min val="-100"/>
        </c:scaling>
        <c:delete val="0"/>
        <c:axPos val="r"/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32323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6206656"/>
        <c:crosses val="max"/>
        <c:crossBetween val="between"/>
      </c:valAx>
      <c:catAx>
        <c:axId val="1246206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6195832"/>
        <c:crosses val="autoZero"/>
        <c:auto val="1"/>
        <c:lblAlgn val="ctr"/>
        <c:lblOffset val="100"/>
        <c:noMultiLvlLbl val="0"/>
      </c:catAx>
      <c:spPr>
        <a:noFill/>
        <a:ln>
          <a:solidFill>
            <a:srgbClr val="6F0791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45002543412723567"/>
          <c:y val="0.18926911508324235"/>
          <c:w val="0.35900604534885461"/>
          <c:h val="0.18721050379651447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/>
              <a:t>Ukraine Sunflower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342554525817"/>
          <c:y val="0.11825510637985895"/>
          <c:w val="0.79919726848303241"/>
          <c:h val="0.78643763105030862"/>
        </c:manualLayout>
      </c:layout>
      <c:areaChart>
        <c:grouping val="standard"/>
        <c:varyColors val="0"/>
        <c:ser>
          <c:idx val="1"/>
          <c:order val="2"/>
          <c:tx>
            <c:strRef>
              <c:f>'Crush Margins Chart Data'!$O$2</c:f>
              <c:strCache>
                <c:ptCount val="1"/>
                <c:pt idx="0">
                  <c:v>5-Year Max</c:v>
                </c:pt>
              </c:strCache>
            </c:strRef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Data'!$O$18:$O$29</c:f>
              <c:numCache>
                <c:formatCode>#,##0.00_);[Red]\(#,##0.00\)</c:formatCode>
                <c:ptCount val="12"/>
                <c:pt idx="0">
                  <c:v>54.974545454545456</c:v>
                </c:pt>
                <c:pt idx="1">
                  <c:v>31.814743522274899</c:v>
                </c:pt>
                <c:pt idx="2">
                  <c:v>45.378181818181822</c:v>
                </c:pt>
                <c:pt idx="3">
                  <c:v>29.464999999999996</c:v>
                </c:pt>
                <c:pt idx="4">
                  <c:v>29.015882352941173</c:v>
                </c:pt>
                <c:pt idx="5">
                  <c:v>31.570999999999991</c:v>
                </c:pt>
                <c:pt idx="6">
                  <c:v>42.676521739130436</c:v>
                </c:pt>
                <c:pt idx="7">
                  <c:v>68.424500000000009</c:v>
                </c:pt>
                <c:pt idx="8">
                  <c:v>81.330909090909103</c:v>
                </c:pt>
                <c:pt idx="9">
                  <c:v>65.043636363636338</c:v>
                </c:pt>
                <c:pt idx="10">
                  <c:v>33.825716060624494</c:v>
                </c:pt>
                <c:pt idx="11">
                  <c:v>36.353287992482834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0-4830-8DE2-DA4B63D9D376}"/>
            </c:ext>
          </c:extLst>
        </c:ser>
        <c:ser>
          <c:idx val="2"/>
          <c:order val="3"/>
          <c:tx>
            <c:v>5-Year Range</c:v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Data'!$P$18:$P$29</c:f>
              <c:numCache>
                <c:formatCode>#,##0.00_);[Red]\(#,##0.00\)</c:formatCode>
                <c:ptCount val="12"/>
                <c:pt idx="0">
                  <c:v>-5.4969566470307152</c:v>
                </c:pt>
                <c:pt idx="1">
                  <c:v>2.9944932221320832</c:v>
                </c:pt>
                <c:pt idx="2">
                  <c:v>4.0297668719017441</c:v>
                </c:pt>
                <c:pt idx="3">
                  <c:v>-4.5856223345270086</c:v>
                </c:pt>
                <c:pt idx="4">
                  <c:v>-16.652651949098583</c:v>
                </c:pt>
                <c:pt idx="5">
                  <c:v>-8.0802717579917402</c:v>
                </c:pt>
                <c:pt idx="6">
                  <c:v>0.83598906327311306</c:v>
                </c:pt>
                <c:pt idx="7">
                  <c:v>3.0728995645817068</c:v>
                </c:pt>
                <c:pt idx="8">
                  <c:v>16.575605971521657</c:v>
                </c:pt>
                <c:pt idx="9">
                  <c:v>16.041627608853304</c:v>
                </c:pt>
                <c:pt idx="10">
                  <c:v>4.1929537012981788</c:v>
                </c:pt>
                <c:pt idx="11">
                  <c:v>6.1646755576678265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0-4830-8DE2-DA4B63D9D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67776"/>
        <c:axId val="1247869416"/>
      </c:areaChart>
      <c:lineChart>
        <c:grouping val="standard"/>
        <c:varyColors val="0"/>
        <c:ser>
          <c:idx val="3"/>
          <c:order val="0"/>
          <c:tx>
            <c:strRef>
              <c:f>'Crush Margins Chart Data'!$M$2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ECECE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'Crush Margins Chart Data'!$M$18:$M$29</c:f>
              <c:numCache>
                <c:formatCode>#,##0.00_);[Red]\(#,##0.00\)</c:formatCode>
                <c:ptCount val="12"/>
                <c:pt idx="0">
                  <c:v>54.974545454545456</c:v>
                </c:pt>
                <c:pt idx="1">
                  <c:v>28.3505</c:v>
                </c:pt>
                <c:pt idx="2">
                  <c:v>45.378181818181822</c:v>
                </c:pt>
                <c:pt idx="3">
                  <c:v>29.464999999999996</c:v>
                </c:pt>
                <c:pt idx="4">
                  <c:v>29.015882352941173</c:v>
                </c:pt>
                <c:pt idx="5">
                  <c:v>31.570999999999991</c:v>
                </c:pt>
                <c:pt idx="6">
                  <c:v>42.676521739130436</c:v>
                </c:pt>
                <c:pt idx="7">
                  <c:v>68.424500000000009</c:v>
                </c:pt>
                <c:pt idx="8">
                  <c:v>81.330909090909103</c:v>
                </c:pt>
                <c:pt idx="9">
                  <c:v>65.043636363636338</c:v>
                </c:pt>
                <c:pt idx="10">
                  <c:v>27.222380952380963</c:v>
                </c:pt>
                <c:pt idx="11">
                  <c:v>16.402380952380952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B0-4830-8DE2-DA4B63D9D376}"/>
            </c:ext>
          </c:extLst>
        </c:ser>
        <c:ser>
          <c:idx val="0"/>
          <c:order val="1"/>
          <c:tx>
            <c:strRef>
              <c:f>'Crush Margins Chart Data'!$N$2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323232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Data'!$N$18:$N$29</c:f>
              <c:numCache>
                <c:formatCode>#,##0.00_);[Red]\(#,##0.00\)</c:formatCode>
                <c:ptCount val="12"/>
                <c:pt idx="0">
                  <c:v>35.041000000000011</c:v>
                </c:pt>
                <c:pt idx="1">
                  <c:v>10.566499999999998</c:v>
                </c:pt>
                <c:pt idx="2">
                  <c:v>52.383913043478266</c:v>
                </c:pt>
                <c:pt idx="3">
                  <c:v>30.571000000000009</c:v>
                </c:pt>
                <c:pt idx="4">
                  <c:v>64.499473684210528</c:v>
                </c:pt>
                <c:pt idx="5">
                  <c:v>81.06590909090913</c:v>
                </c:pt>
                <c:pt idx="6">
                  <c:v>60.520909090909115</c:v>
                </c:pt>
                <c:pt idx="7">
                  <c:v>67.69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B0-4830-8DE2-DA4B63D9D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867776"/>
        <c:axId val="1247869416"/>
      </c:lineChart>
      <c:catAx>
        <c:axId val="1247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9416"/>
        <c:crosses val="autoZero"/>
        <c:auto val="1"/>
        <c:lblAlgn val="ctr"/>
        <c:lblOffset val="100"/>
        <c:noMultiLvlLbl val="0"/>
      </c:catAx>
      <c:valAx>
        <c:axId val="1247869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$</a:t>
                </a:r>
                <a:r>
                  <a:rPr lang="en-US" sz="1200" baseline="0"/>
                  <a:t> </a:t>
                </a:r>
                <a:r>
                  <a:rPr lang="en-US" sz="1200"/>
                  <a:t>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7776"/>
        <c:crosses val="autoZero"/>
        <c:crossBetween val="midCat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6332947762060715"/>
          <c:y val="0.78263698881215249"/>
          <c:w val="0.73894706524516296"/>
          <c:h val="0.10802856346867254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/>
              <a:t>Argentina Sunflower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42042620856975E-2"/>
          <c:y val="0.11655635461142279"/>
          <c:w val="0.87388274958409418"/>
          <c:h val="0.81250832285373431"/>
        </c:manualLayout>
      </c:layout>
      <c:areaChart>
        <c:grouping val="standard"/>
        <c:varyColors val="0"/>
        <c:ser>
          <c:idx val="1"/>
          <c:order val="2"/>
          <c:tx>
            <c:strRef>
              <c:f>'Crush Margins Chart Data'!$O$2</c:f>
              <c:strCache>
                <c:ptCount val="1"/>
                <c:pt idx="0">
                  <c:v>5-Year Max</c:v>
                </c:pt>
              </c:strCache>
            </c:strRef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Data'!$O$33:$O$44</c:f>
              <c:numCache>
                <c:formatCode>#,##0.00_);[Red]\(#,##0.00\)</c:formatCode>
                <c:ptCount val="12"/>
                <c:pt idx="0">
                  <c:v>20.412380952380953</c:v>
                </c:pt>
                <c:pt idx="1">
                  <c:v>37.76736842105263</c:v>
                </c:pt>
                <c:pt idx="2">
                  <c:v>46.527826086956523</c:v>
                </c:pt>
                <c:pt idx="3">
                  <c:v>49.632105263157875</c:v>
                </c:pt>
                <c:pt idx="4">
                  <c:v>45.851363636363629</c:v>
                </c:pt>
                <c:pt idx="5">
                  <c:v>45.998571428571417</c:v>
                </c:pt>
                <c:pt idx="6">
                  <c:v>39.179047619047616</c:v>
                </c:pt>
                <c:pt idx="7">
                  <c:v>35.846956521739138</c:v>
                </c:pt>
                <c:pt idx="8">
                  <c:v>34.986000000000004</c:v>
                </c:pt>
                <c:pt idx="9">
                  <c:v>62.233636363636357</c:v>
                </c:pt>
                <c:pt idx="10">
                  <c:v>63.226666666666674</c:v>
                </c:pt>
                <c:pt idx="11">
                  <c:v>54.950000000000024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A-40DA-9F46-8F2075FE6F48}"/>
            </c:ext>
          </c:extLst>
        </c:ser>
        <c:ser>
          <c:idx val="2"/>
          <c:order val="3"/>
          <c:tx>
            <c:v>5-Year Range</c:v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Data'!$P$33:$P$44</c:f>
              <c:numCache>
                <c:formatCode>#,##0.00_);[Red]\(#,##0.00\)</c:formatCode>
                <c:ptCount val="12"/>
                <c:pt idx="0">
                  <c:v>-69.610952380952398</c:v>
                </c:pt>
                <c:pt idx="1">
                  <c:v>-96.067999999999984</c:v>
                </c:pt>
                <c:pt idx="2">
                  <c:v>-79.285454545454499</c:v>
                </c:pt>
                <c:pt idx="3">
                  <c:v>-39.98095238095236</c:v>
                </c:pt>
                <c:pt idx="4">
                  <c:v>-0.63954545454545486</c:v>
                </c:pt>
                <c:pt idx="5">
                  <c:v>-12.847499999999997</c:v>
                </c:pt>
                <c:pt idx="6">
                  <c:v>0.2681818181818183</c:v>
                </c:pt>
                <c:pt idx="7">
                  <c:v>-12.219130434782608</c:v>
                </c:pt>
                <c:pt idx="8">
                  <c:v>-39.775714285714272</c:v>
                </c:pt>
                <c:pt idx="9">
                  <c:v>-39.513333333333335</c:v>
                </c:pt>
                <c:pt idx="10">
                  <c:v>-65.886190476190478</c:v>
                </c:pt>
                <c:pt idx="11">
                  <c:v>-56.617826086956526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7A-40DA-9F46-8F2075FE6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67776"/>
        <c:axId val="1247869416"/>
      </c:areaChart>
      <c:lineChart>
        <c:grouping val="standard"/>
        <c:varyColors val="0"/>
        <c:ser>
          <c:idx val="3"/>
          <c:order val="0"/>
          <c:tx>
            <c:strRef>
              <c:f>'Crush Margins Chart Data'!$M$2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ECECE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'Crush Margins Chart Data'!$M$33:$M$44</c:f>
              <c:numCache>
                <c:formatCode>#,##0.00_);[Red]\(#,##0.00\)</c:formatCode>
                <c:ptCount val="12"/>
                <c:pt idx="0">
                  <c:v>-14.454999999999997</c:v>
                </c:pt>
                <c:pt idx="1">
                  <c:v>5.8524999999999991</c:v>
                </c:pt>
                <c:pt idx="2">
                  <c:v>0.6445454545454552</c:v>
                </c:pt>
                <c:pt idx="3">
                  <c:v>26.160476190476196</c:v>
                </c:pt>
                <c:pt idx="4">
                  <c:v>24.701000000000001</c:v>
                </c:pt>
                <c:pt idx="5">
                  <c:v>35.609545454545447</c:v>
                </c:pt>
                <c:pt idx="6">
                  <c:v>18.171304347826091</c:v>
                </c:pt>
                <c:pt idx="7">
                  <c:v>-2.5747619047619055</c:v>
                </c:pt>
                <c:pt idx="8">
                  <c:v>-12.68045454545455</c:v>
                </c:pt>
                <c:pt idx="9">
                  <c:v>-25.745909090909091</c:v>
                </c:pt>
                <c:pt idx="10">
                  <c:v>-65.886190476190478</c:v>
                </c:pt>
                <c:pt idx="11">
                  <c:v>-56.617826086956526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A-40DA-9F46-8F2075FE6F48}"/>
            </c:ext>
          </c:extLst>
        </c:ser>
        <c:ser>
          <c:idx val="0"/>
          <c:order val="1"/>
          <c:tx>
            <c:strRef>
              <c:f>'Crush Margins Chart Data'!$N$2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323232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Data'!$N$33:$N$44</c:f>
              <c:numCache>
                <c:formatCode>#,##0.00_);[Red]\(#,##0.00\)</c:formatCode>
                <c:ptCount val="12"/>
                <c:pt idx="0">
                  <c:v>-47.650000000000013</c:v>
                </c:pt>
                <c:pt idx="1">
                  <c:v>-10.309999999999992</c:v>
                </c:pt>
                <c:pt idx="2">
                  <c:v>75.42043478260868</c:v>
                </c:pt>
                <c:pt idx="3">
                  <c:v>92.669545454545457</c:v>
                </c:pt>
                <c:pt idx="4">
                  <c:v>40.8904761904762</c:v>
                </c:pt>
                <c:pt idx="5">
                  <c:v>-8.030454545454548</c:v>
                </c:pt>
                <c:pt idx="6">
                  <c:v>-12.380909090909091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7A-40DA-9F46-8F2075FE6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867776"/>
        <c:axId val="1247869416"/>
      </c:lineChart>
      <c:catAx>
        <c:axId val="1247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9416"/>
        <c:crosses val="autoZero"/>
        <c:auto val="1"/>
        <c:lblAlgn val="ctr"/>
        <c:lblOffset val="100"/>
        <c:noMultiLvlLbl val="0"/>
      </c:catAx>
      <c:valAx>
        <c:axId val="1247869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€ 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7776"/>
        <c:crosses val="autoZero"/>
        <c:crossBetween val="midCat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6347771044748441"/>
          <c:y val="0.75656630210477904"/>
          <c:w val="0.62935939459180501"/>
          <c:h val="9.3130899243370174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/>
              <a:t>Italy Sunflower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916137234535585E-2"/>
          <c:y val="0.11655635461142279"/>
          <c:w val="0.87120865497041555"/>
          <c:h val="0.81250832285373431"/>
        </c:manualLayout>
      </c:layout>
      <c:areaChart>
        <c:grouping val="standard"/>
        <c:varyColors val="0"/>
        <c:ser>
          <c:idx val="1"/>
          <c:order val="2"/>
          <c:tx>
            <c:strRef>
              <c:f>'Crush Margins Chart Data'!$O$2</c:f>
              <c:strCache>
                <c:ptCount val="1"/>
                <c:pt idx="0">
                  <c:v>5-Year Max</c:v>
                </c:pt>
              </c:strCache>
            </c:strRef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Data'!$O$63:$O$74</c:f>
              <c:numCache>
                <c:formatCode>#,##0.00_);[Red]\(#,##0.00\)</c:formatCode>
                <c:ptCount val="12"/>
                <c:pt idx="0">
                  <c:v>71.204090909090851</c:v>
                </c:pt>
                <c:pt idx="1">
                  <c:v>88.912500000000009</c:v>
                </c:pt>
                <c:pt idx="2">
                  <c:v>107.6309090909091</c:v>
                </c:pt>
                <c:pt idx="3">
                  <c:v>135.06571428571425</c:v>
                </c:pt>
                <c:pt idx="4">
                  <c:v>127.28749999999999</c:v>
                </c:pt>
                <c:pt idx="5">
                  <c:v>128.95045454545459</c:v>
                </c:pt>
                <c:pt idx="6">
                  <c:v>118.04304347826091</c:v>
                </c:pt>
                <c:pt idx="7">
                  <c:v>158.36391304347825</c:v>
                </c:pt>
                <c:pt idx="8">
                  <c:v>98.403684210526308</c:v>
                </c:pt>
                <c:pt idx="9">
                  <c:v>112.14272727272729</c:v>
                </c:pt>
                <c:pt idx="10">
                  <c:v>86.910952380952338</c:v>
                </c:pt>
                <c:pt idx="11">
                  <c:v>83.016521739130425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A-4367-BA7B-23990AA54495}"/>
            </c:ext>
          </c:extLst>
        </c:ser>
        <c:ser>
          <c:idx val="2"/>
          <c:order val="3"/>
          <c:tx>
            <c:v>5-Year Range</c:v>
          </c:tx>
          <c:spPr>
            <a:solidFill>
              <a:schemeClr val="bg1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Data'!$P$63:$P$74</c:f>
              <c:numCache>
                <c:formatCode>#,##0.00_);[Red]\(#,##0.00\)</c:formatCode>
                <c:ptCount val="12"/>
                <c:pt idx="0">
                  <c:v>22.680526315789479</c:v>
                </c:pt>
                <c:pt idx="1">
                  <c:v>-4.102999999999998</c:v>
                </c:pt>
                <c:pt idx="2">
                  <c:v>10.121818181818183</c:v>
                </c:pt>
                <c:pt idx="3">
                  <c:v>49.566190476190478</c:v>
                </c:pt>
                <c:pt idx="4">
                  <c:v>81.196190476190438</c:v>
                </c:pt>
                <c:pt idx="5">
                  <c:v>60.000000000000021</c:v>
                </c:pt>
                <c:pt idx="6">
                  <c:v>54.81227272727272</c:v>
                </c:pt>
                <c:pt idx="7">
                  <c:v>78.457826086956516</c:v>
                </c:pt>
                <c:pt idx="8">
                  <c:v>70.814499999999995</c:v>
                </c:pt>
                <c:pt idx="9">
                  <c:v>17.160476190476192</c:v>
                </c:pt>
                <c:pt idx="10">
                  <c:v>24.782857142857139</c:v>
                </c:pt>
                <c:pt idx="11">
                  <c:v>16.266190476190474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5A-4367-BA7B-23990AA5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67776"/>
        <c:axId val="1247869416"/>
      </c:areaChart>
      <c:lineChart>
        <c:grouping val="standard"/>
        <c:varyColors val="0"/>
        <c:ser>
          <c:idx val="3"/>
          <c:order val="0"/>
          <c:tx>
            <c:strRef>
              <c:f>'Crush Margins Chart Data'!$M$2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ECECE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'Crush Margins Chart Data'!$M$63:$M$74</c:f>
              <c:numCache>
                <c:formatCode>#,##0.00_);[Red]\(#,##0.00\)</c:formatCode>
                <c:ptCount val="12"/>
                <c:pt idx="0">
                  <c:v>71.204090909090851</c:v>
                </c:pt>
                <c:pt idx="1">
                  <c:v>88.912500000000009</c:v>
                </c:pt>
                <c:pt idx="2">
                  <c:v>107.6309090909091</c:v>
                </c:pt>
                <c:pt idx="3">
                  <c:v>135.06571428571425</c:v>
                </c:pt>
                <c:pt idx="4">
                  <c:v>127.28749999999999</c:v>
                </c:pt>
                <c:pt idx="5">
                  <c:v>128.95045454545459</c:v>
                </c:pt>
                <c:pt idx="6">
                  <c:v>118.04304347826091</c:v>
                </c:pt>
                <c:pt idx="7">
                  <c:v>103.77761904761904</c:v>
                </c:pt>
                <c:pt idx="8">
                  <c:v>85.008636363636327</c:v>
                </c:pt>
                <c:pt idx="9">
                  <c:v>81.776363636363627</c:v>
                </c:pt>
                <c:pt idx="10">
                  <c:v>55.98571428571428</c:v>
                </c:pt>
                <c:pt idx="11">
                  <c:v>83.016521739130425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5A-4367-BA7B-23990AA54495}"/>
            </c:ext>
          </c:extLst>
        </c:ser>
        <c:ser>
          <c:idx val="0"/>
          <c:order val="1"/>
          <c:tx>
            <c:strRef>
              <c:f>'Crush Margins Chart Data'!$N$2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323232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Data'!$N$63:$N$74</c:f>
              <c:numCache>
                <c:formatCode>#,##0.00_);[Red]\(#,##0.00\)</c:formatCode>
                <c:ptCount val="12"/>
                <c:pt idx="0">
                  <c:v>87.382499999999979</c:v>
                </c:pt>
                <c:pt idx="1">
                  <c:v>89.740000000000009</c:v>
                </c:pt>
                <c:pt idx="2">
                  <c:v>148.63391304347823</c:v>
                </c:pt>
                <c:pt idx="3">
                  <c:v>205.65318181818185</c:v>
                </c:pt>
                <c:pt idx="4">
                  <c:v>184.09333333333339</c:v>
                </c:pt>
                <c:pt idx="5">
                  <c:v>171.26772727272729</c:v>
                </c:pt>
                <c:pt idx="6">
                  <c:v>121.95227272727267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5A-4367-BA7B-23990AA5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867776"/>
        <c:axId val="1247869416"/>
      </c:lineChart>
      <c:catAx>
        <c:axId val="1247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9416"/>
        <c:crosses val="autoZero"/>
        <c:auto val="1"/>
        <c:lblAlgn val="ctr"/>
        <c:lblOffset val="100"/>
        <c:noMultiLvlLbl val="0"/>
      </c:catAx>
      <c:valAx>
        <c:axId val="1247869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€ 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7776"/>
        <c:crosses val="autoZero"/>
        <c:crossBetween val="midCat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8483846254069978"/>
          <c:y val="0.76569730146050863"/>
          <c:w val="0.63103882171862014"/>
          <c:h val="9.3130899243370174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25" r="0.25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Ukraine Sunflower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42042620856975E-2"/>
          <c:y val="0.11655635461142279"/>
          <c:w val="0.87388274958409418"/>
          <c:h val="0.81250832285373431"/>
        </c:manualLayout>
      </c:layout>
      <c:areaChart>
        <c:grouping val="standard"/>
        <c:varyColors val="0"/>
        <c:ser>
          <c:idx val="1"/>
          <c:order val="2"/>
          <c:tx>
            <c:strRef>
              <c:f>'Crush Margins Chart Data'!$O$2</c:f>
              <c:strCache>
                <c:ptCount val="1"/>
                <c:pt idx="0">
                  <c:v>5-Year Max</c:v>
                </c:pt>
              </c:strCache>
            </c:strRef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Data'!$O$18:$O$29</c:f>
              <c:numCache>
                <c:formatCode>#,##0.00_);[Red]\(#,##0.00\)</c:formatCode>
                <c:ptCount val="12"/>
                <c:pt idx="0">
                  <c:v>54.974545454545456</c:v>
                </c:pt>
                <c:pt idx="1">
                  <c:v>31.814743522274899</c:v>
                </c:pt>
                <c:pt idx="2">
                  <c:v>45.378181818181822</c:v>
                </c:pt>
                <c:pt idx="3">
                  <c:v>29.464999999999996</c:v>
                </c:pt>
                <c:pt idx="4">
                  <c:v>29.015882352941173</c:v>
                </c:pt>
                <c:pt idx="5">
                  <c:v>31.570999999999991</c:v>
                </c:pt>
                <c:pt idx="6">
                  <c:v>42.676521739130436</c:v>
                </c:pt>
                <c:pt idx="7">
                  <c:v>68.424500000000009</c:v>
                </c:pt>
                <c:pt idx="8">
                  <c:v>81.330909090909103</c:v>
                </c:pt>
                <c:pt idx="9">
                  <c:v>65.043636363636338</c:v>
                </c:pt>
                <c:pt idx="10">
                  <c:v>33.825716060624494</c:v>
                </c:pt>
                <c:pt idx="11">
                  <c:v>36.353287992482834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2-4208-B70A-CD4B643C1CF6}"/>
            </c:ext>
          </c:extLst>
        </c:ser>
        <c:ser>
          <c:idx val="2"/>
          <c:order val="3"/>
          <c:tx>
            <c:v>5-Year Range</c:v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Data'!$P$18:$P$29</c:f>
              <c:numCache>
                <c:formatCode>#,##0.00_);[Red]\(#,##0.00\)</c:formatCode>
                <c:ptCount val="12"/>
                <c:pt idx="0">
                  <c:v>-5.4969566470307152</c:v>
                </c:pt>
                <c:pt idx="1">
                  <c:v>2.9944932221320832</c:v>
                </c:pt>
                <c:pt idx="2">
                  <c:v>4.0297668719017441</c:v>
                </c:pt>
                <c:pt idx="3">
                  <c:v>-4.5856223345270086</c:v>
                </c:pt>
                <c:pt idx="4">
                  <c:v>-16.652651949098583</c:v>
                </c:pt>
                <c:pt idx="5">
                  <c:v>-8.0802717579917402</c:v>
                </c:pt>
                <c:pt idx="6">
                  <c:v>0.83598906327311306</c:v>
                </c:pt>
                <c:pt idx="7">
                  <c:v>3.0728995645817068</c:v>
                </c:pt>
                <c:pt idx="8">
                  <c:v>16.575605971521657</c:v>
                </c:pt>
                <c:pt idx="9">
                  <c:v>16.041627608853304</c:v>
                </c:pt>
                <c:pt idx="10">
                  <c:v>4.1929537012981788</c:v>
                </c:pt>
                <c:pt idx="11">
                  <c:v>6.1646755576678265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92-4208-B70A-CD4B643C1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67776"/>
        <c:axId val="1247869416"/>
      </c:areaChart>
      <c:lineChart>
        <c:grouping val="standard"/>
        <c:varyColors val="0"/>
        <c:ser>
          <c:idx val="3"/>
          <c:order val="0"/>
          <c:tx>
            <c:strRef>
              <c:f>'Crush Margins Chart Data'!$M$2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ECECE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'Crush Margins Chart Data'!$M$18:$M$29</c:f>
              <c:numCache>
                <c:formatCode>#,##0.00_);[Red]\(#,##0.00\)</c:formatCode>
                <c:ptCount val="12"/>
                <c:pt idx="0">
                  <c:v>54.974545454545456</c:v>
                </c:pt>
                <c:pt idx="1">
                  <c:v>28.3505</c:v>
                </c:pt>
                <c:pt idx="2">
                  <c:v>45.378181818181822</c:v>
                </c:pt>
                <c:pt idx="3">
                  <c:v>29.464999999999996</c:v>
                </c:pt>
                <c:pt idx="4">
                  <c:v>29.015882352941173</c:v>
                </c:pt>
                <c:pt idx="5">
                  <c:v>31.570999999999991</c:v>
                </c:pt>
                <c:pt idx="6">
                  <c:v>42.676521739130436</c:v>
                </c:pt>
                <c:pt idx="7">
                  <c:v>68.424500000000009</c:v>
                </c:pt>
                <c:pt idx="8">
                  <c:v>81.330909090909103</c:v>
                </c:pt>
                <c:pt idx="9">
                  <c:v>65.043636363636338</c:v>
                </c:pt>
                <c:pt idx="10">
                  <c:v>27.222380952380963</c:v>
                </c:pt>
                <c:pt idx="11">
                  <c:v>16.402380952380952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92-4208-B70A-CD4B643C1CF6}"/>
            </c:ext>
          </c:extLst>
        </c:ser>
        <c:ser>
          <c:idx val="0"/>
          <c:order val="1"/>
          <c:tx>
            <c:strRef>
              <c:f>'Crush Margins Chart Data'!$N$2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323232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Data'!$N$18:$N$29</c:f>
              <c:numCache>
                <c:formatCode>#,##0.00_);[Red]\(#,##0.00\)</c:formatCode>
                <c:ptCount val="12"/>
                <c:pt idx="0">
                  <c:v>35.041000000000011</c:v>
                </c:pt>
                <c:pt idx="1">
                  <c:v>10.566499999999998</c:v>
                </c:pt>
                <c:pt idx="2">
                  <c:v>52.383913043478266</c:v>
                </c:pt>
                <c:pt idx="3">
                  <c:v>30.571000000000009</c:v>
                </c:pt>
                <c:pt idx="4">
                  <c:v>64.499473684210528</c:v>
                </c:pt>
                <c:pt idx="5">
                  <c:v>81.06590909090913</c:v>
                </c:pt>
                <c:pt idx="6">
                  <c:v>60.520909090909115</c:v>
                </c:pt>
                <c:pt idx="7">
                  <c:v>67.69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92-4208-B70A-CD4B643C1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867776"/>
        <c:axId val="1247869416"/>
      </c:lineChart>
      <c:catAx>
        <c:axId val="1247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9416"/>
        <c:crosses val="autoZero"/>
        <c:auto val="1"/>
        <c:lblAlgn val="ctr"/>
        <c:lblOffset val="100"/>
        <c:noMultiLvlLbl val="0"/>
      </c:catAx>
      <c:valAx>
        <c:axId val="1247869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$</a:t>
                </a:r>
                <a:r>
                  <a:rPr lang="en-US" sz="1200" baseline="0"/>
                  <a:t> </a:t>
                </a:r>
                <a:r>
                  <a:rPr lang="en-US" sz="1200"/>
                  <a:t>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7776"/>
        <c:crosses val="autoZero"/>
        <c:crossBetween val="midCat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53383098163907683"/>
          <c:y val="0.75656630210477904"/>
          <c:w val="0.35900604534885461"/>
          <c:h val="9.3130899243370174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Argentina Sunflower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42042620856975E-2"/>
          <c:y val="0.11655635461142279"/>
          <c:w val="0.87388274958409418"/>
          <c:h val="0.81250832285373431"/>
        </c:manualLayout>
      </c:layout>
      <c:areaChart>
        <c:grouping val="standard"/>
        <c:varyColors val="0"/>
        <c:ser>
          <c:idx val="1"/>
          <c:order val="2"/>
          <c:tx>
            <c:strRef>
              <c:f>'Crush Margins Chart Data'!$O$2</c:f>
              <c:strCache>
                <c:ptCount val="1"/>
                <c:pt idx="0">
                  <c:v>5-Year Max</c:v>
                </c:pt>
              </c:strCache>
            </c:strRef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Data'!$O$33:$O$44</c:f>
              <c:numCache>
                <c:formatCode>#,##0.00_);[Red]\(#,##0.00\)</c:formatCode>
                <c:ptCount val="12"/>
                <c:pt idx="0">
                  <c:v>20.412380952380953</c:v>
                </c:pt>
                <c:pt idx="1">
                  <c:v>37.76736842105263</c:v>
                </c:pt>
                <c:pt idx="2">
                  <c:v>46.527826086956523</c:v>
                </c:pt>
                <c:pt idx="3">
                  <c:v>49.632105263157875</c:v>
                </c:pt>
                <c:pt idx="4">
                  <c:v>45.851363636363629</c:v>
                </c:pt>
                <c:pt idx="5">
                  <c:v>45.998571428571417</c:v>
                </c:pt>
                <c:pt idx="6">
                  <c:v>39.179047619047616</c:v>
                </c:pt>
                <c:pt idx="7">
                  <c:v>35.846956521739138</c:v>
                </c:pt>
                <c:pt idx="8">
                  <c:v>34.986000000000004</c:v>
                </c:pt>
                <c:pt idx="9">
                  <c:v>62.233636363636357</c:v>
                </c:pt>
                <c:pt idx="10">
                  <c:v>63.226666666666674</c:v>
                </c:pt>
                <c:pt idx="11">
                  <c:v>54.950000000000024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C-467A-99A6-EE218C245A5E}"/>
            </c:ext>
          </c:extLst>
        </c:ser>
        <c:ser>
          <c:idx val="2"/>
          <c:order val="3"/>
          <c:tx>
            <c:v>5-Year Range</c:v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Data'!$P$33:$P$44</c:f>
              <c:numCache>
                <c:formatCode>#,##0.00_);[Red]\(#,##0.00\)</c:formatCode>
                <c:ptCount val="12"/>
                <c:pt idx="0">
                  <c:v>-69.610952380952398</c:v>
                </c:pt>
                <c:pt idx="1">
                  <c:v>-96.067999999999984</c:v>
                </c:pt>
                <c:pt idx="2">
                  <c:v>-79.285454545454499</c:v>
                </c:pt>
                <c:pt idx="3">
                  <c:v>-39.98095238095236</c:v>
                </c:pt>
                <c:pt idx="4">
                  <c:v>-0.63954545454545486</c:v>
                </c:pt>
                <c:pt idx="5">
                  <c:v>-12.847499999999997</c:v>
                </c:pt>
                <c:pt idx="6">
                  <c:v>0.2681818181818183</c:v>
                </c:pt>
                <c:pt idx="7">
                  <c:v>-12.219130434782608</c:v>
                </c:pt>
                <c:pt idx="8">
                  <c:v>-39.775714285714272</c:v>
                </c:pt>
                <c:pt idx="9">
                  <c:v>-39.513333333333335</c:v>
                </c:pt>
                <c:pt idx="10">
                  <c:v>-65.886190476190478</c:v>
                </c:pt>
                <c:pt idx="11">
                  <c:v>-56.617826086956526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C-467A-99A6-EE218C245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67776"/>
        <c:axId val="1247869416"/>
      </c:areaChart>
      <c:lineChart>
        <c:grouping val="standard"/>
        <c:varyColors val="0"/>
        <c:ser>
          <c:idx val="3"/>
          <c:order val="0"/>
          <c:tx>
            <c:strRef>
              <c:f>'Crush Margins Chart Data'!$M$2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ECECE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'Crush Margins Chart Data'!$M$33:$M$44</c:f>
              <c:numCache>
                <c:formatCode>#,##0.00_);[Red]\(#,##0.00\)</c:formatCode>
                <c:ptCount val="12"/>
                <c:pt idx="0">
                  <c:v>-14.454999999999997</c:v>
                </c:pt>
                <c:pt idx="1">
                  <c:v>5.8524999999999991</c:v>
                </c:pt>
                <c:pt idx="2">
                  <c:v>0.6445454545454552</c:v>
                </c:pt>
                <c:pt idx="3">
                  <c:v>26.160476190476196</c:v>
                </c:pt>
                <c:pt idx="4">
                  <c:v>24.701000000000001</c:v>
                </c:pt>
                <c:pt idx="5">
                  <c:v>35.609545454545447</c:v>
                </c:pt>
                <c:pt idx="6">
                  <c:v>18.171304347826091</c:v>
                </c:pt>
                <c:pt idx="7">
                  <c:v>-2.5747619047619055</c:v>
                </c:pt>
                <c:pt idx="8">
                  <c:v>-12.68045454545455</c:v>
                </c:pt>
                <c:pt idx="9">
                  <c:v>-25.745909090909091</c:v>
                </c:pt>
                <c:pt idx="10">
                  <c:v>-65.886190476190478</c:v>
                </c:pt>
                <c:pt idx="11">
                  <c:v>-56.617826086956526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EC-467A-99A6-EE218C245A5E}"/>
            </c:ext>
          </c:extLst>
        </c:ser>
        <c:ser>
          <c:idx val="0"/>
          <c:order val="1"/>
          <c:tx>
            <c:strRef>
              <c:f>'Crush Margins Chart Data'!$N$2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323232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Data'!$N$33:$N$44</c:f>
              <c:numCache>
                <c:formatCode>#,##0.00_);[Red]\(#,##0.00\)</c:formatCode>
                <c:ptCount val="12"/>
                <c:pt idx="0">
                  <c:v>-47.650000000000013</c:v>
                </c:pt>
                <c:pt idx="1">
                  <c:v>-10.309999999999992</c:v>
                </c:pt>
                <c:pt idx="2">
                  <c:v>75.42043478260868</c:v>
                </c:pt>
                <c:pt idx="3">
                  <c:v>92.669545454545457</c:v>
                </c:pt>
                <c:pt idx="4">
                  <c:v>40.8904761904762</c:v>
                </c:pt>
                <c:pt idx="5">
                  <c:v>-8.030454545454548</c:v>
                </c:pt>
                <c:pt idx="6">
                  <c:v>-12.380909090909091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EC-467A-99A6-EE218C245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867776"/>
        <c:axId val="1247869416"/>
      </c:lineChart>
      <c:catAx>
        <c:axId val="1247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9416"/>
        <c:crosses val="autoZero"/>
        <c:auto val="1"/>
        <c:lblAlgn val="ctr"/>
        <c:lblOffset val="100"/>
        <c:noMultiLvlLbl val="0"/>
      </c:catAx>
      <c:valAx>
        <c:axId val="1247869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€ 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7776"/>
        <c:crosses val="autoZero"/>
        <c:crossBetween val="midCat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53383098163907683"/>
          <c:y val="0.75656630210477904"/>
          <c:w val="0.35900604534885461"/>
          <c:h val="9.3130899243370174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Argentina Sunflower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92727915505348"/>
          <c:y val="0.11655635461142279"/>
          <c:w val="0.86719751304989767"/>
          <c:h val="0.81250832285373431"/>
        </c:manualLayout>
      </c:layout>
      <c:areaChart>
        <c:grouping val="standard"/>
        <c:varyColors val="0"/>
        <c:ser>
          <c:idx val="1"/>
          <c:order val="2"/>
          <c:tx>
            <c:strRef>
              <c:f>'Crush Margins Chart Data'!$O$2</c:f>
              <c:strCache>
                <c:ptCount val="1"/>
                <c:pt idx="0">
                  <c:v>5-Year Max</c:v>
                </c:pt>
              </c:strCache>
            </c:strRef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Data'!$O$48:$O$59</c:f>
              <c:numCache>
                <c:formatCode>#,##0.00_);[Red]\(#,##0.00\)</c:formatCode>
                <c:ptCount val="12"/>
                <c:pt idx="0">
                  <c:v>79.554090909090945</c:v>
                </c:pt>
                <c:pt idx="1">
                  <c:v>95.777499999999989</c:v>
                </c:pt>
                <c:pt idx="2">
                  <c:v>97.392727272727313</c:v>
                </c:pt>
                <c:pt idx="3">
                  <c:v>116.95473684210526</c:v>
                </c:pt>
                <c:pt idx="4">
                  <c:v>102.503</c:v>
                </c:pt>
                <c:pt idx="5">
                  <c:v>113.22045454545456</c:v>
                </c:pt>
                <c:pt idx="6">
                  <c:v>95.340476190476181</c:v>
                </c:pt>
                <c:pt idx="7">
                  <c:v>93.898695652173942</c:v>
                </c:pt>
                <c:pt idx="8">
                  <c:v>90.743157894736854</c:v>
                </c:pt>
                <c:pt idx="9">
                  <c:v>106.44272727272724</c:v>
                </c:pt>
                <c:pt idx="10">
                  <c:v>106.57857142857144</c:v>
                </c:pt>
                <c:pt idx="11">
                  <c:v>96.768499999999989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9-43FA-802C-8F5A58CC76E2}"/>
            </c:ext>
          </c:extLst>
        </c:ser>
        <c:ser>
          <c:idx val="2"/>
          <c:order val="3"/>
          <c:tx>
            <c:v>5-Year Range</c:v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Data'!$P$48:$P$59</c:f>
              <c:numCache>
                <c:formatCode>#,##0.00_);[Red]\(#,##0.00\)</c:formatCode>
                <c:ptCount val="12"/>
                <c:pt idx="0">
                  <c:v>20.421578947368417</c:v>
                </c:pt>
                <c:pt idx="1">
                  <c:v>-17.800999999999998</c:v>
                </c:pt>
                <c:pt idx="2">
                  <c:v>-5.2377272727272732</c:v>
                </c:pt>
                <c:pt idx="3">
                  <c:v>36.590952380952395</c:v>
                </c:pt>
                <c:pt idx="4">
                  <c:v>72.372857142857171</c:v>
                </c:pt>
                <c:pt idx="5">
                  <c:v>57.884090909090894</c:v>
                </c:pt>
                <c:pt idx="6">
                  <c:v>51.32950000000001</c:v>
                </c:pt>
                <c:pt idx="7">
                  <c:v>36.881304347826081</c:v>
                </c:pt>
                <c:pt idx="8">
                  <c:v>14.874285714285715</c:v>
                </c:pt>
                <c:pt idx="9">
                  <c:v>12.962380952380949</c:v>
                </c:pt>
                <c:pt idx="10">
                  <c:v>27.154761904761909</c:v>
                </c:pt>
                <c:pt idx="11">
                  <c:v>29.434285714285725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9-43FA-802C-8F5A58CC7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67776"/>
        <c:axId val="1247869416"/>
      </c:areaChart>
      <c:lineChart>
        <c:grouping val="standard"/>
        <c:varyColors val="0"/>
        <c:ser>
          <c:idx val="3"/>
          <c:order val="0"/>
          <c:tx>
            <c:strRef>
              <c:f>'Crush Margins Chart Data'!$M$2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ECECE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'Crush Margins Chart Data'!$M$48:$M$59</c:f>
              <c:numCache>
                <c:formatCode>#,##0.00_);[Red]\(#,##0.00\)</c:formatCode>
                <c:ptCount val="12"/>
                <c:pt idx="0">
                  <c:v>79.554090909090945</c:v>
                </c:pt>
                <c:pt idx="1">
                  <c:v>95.777499999999989</c:v>
                </c:pt>
                <c:pt idx="2">
                  <c:v>97.392727272727313</c:v>
                </c:pt>
                <c:pt idx="3">
                  <c:v>102.74380952380955</c:v>
                </c:pt>
                <c:pt idx="4">
                  <c:v>102.503</c:v>
                </c:pt>
                <c:pt idx="5">
                  <c:v>113.22045454545456</c:v>
                </c:pt>
                <c:pt idx="6">
                  <c:v>91.373913043478254</c:v>
                </c:pt>
                <c:pt idx="7">
                  <c:v>83.642380952380947</c:v>
                </c:pt>
                <c:pt idx="8">
                  <c:v>60.279090909090925</c:v>
                </c:pt>
                <c:pt idx="9">
                  <c:v>48.06227272727272</c:v>
                </c:pt>
                <c:pt idx="10">
                  <c:v>27.154761904761909</c:v>
                </c:pt>
                <c:pt idx="11">
                  <c:v>50.160434782608689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99-43FA-802C-8F5A58CC76E2}"/>
            </c:ext>
          </c:extLst>
        </c:ser>
        <c:ser>
          <c:idx val="0"/>
          <c:order val="1"/>
          <c:tx>
            <c:strRef>
              <c:f>'Crush Margins Chart Data'!$N$2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323232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Data'!$N$48:$N$59</c:f>
              <c:numCache>
                <c:formatCode>#,##0.00_);[Red]\(#,##0.00\)</c:formatCode>
                <c:ptCount val="12"/>
                <c:pt idx="0">
                  <c:v>69.812499999999986</c:v>
                </c:pt>
                <c:pt idx="1">
                  <c:v>75.997500000000002</c:v>
                </c:pt>
                <c:pt idx="2">
                  <c:v>113.41869565217392</c:v>
                </c:pt>
                <c:pt idx="3">
                  <c:v>163.20772727272731</c:v>
                </c:pt>
                <c:pt idx="4">
                  <c:v>182.80333333333334</c:v>
                </c:pt>
                <c:pt idx="5">
                  <c:v>190.22499999999999</c:v>
                </c:pt>
                <c:pt idx="6">
                  <c:v>169.50363636363645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99-43FA-802C-8F5A58CC7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867776"/>
        <c:axId val="1247869416"/>
      </c:lineChart>
      <c:catAx>
        <c:axId val="1247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9416"/>
        <c:crosses val="autoZero"/>
        <c:auto val="1"/>
        <c:lblAlgn val="ctr"/>
        <c:lblOffset val="100"/>
        <c:noMultiLvlLbl val="0"/>
      </c:catAx>
      <c:valAx>
        <c:axId val="1247869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€ 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7776"/>
        <c:crosses val="autoZero"/>
        <c:crossBetween val="midCat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57527944815109522"/>
          <c:y val="0.20462528724872867"/>
          <c:w val="0.35900604534885461"/>
          <c:h val="9.3130899243370174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Italy Sunflower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916137234535585E-2"/>
          <c:y val="0.11655635461142279"/>
          <c:w val="0.87120865497041555"/>
          <c:h val="0.81250832285373431"/>
        </c:manualLayout>
      </c:layout>
      <c:areaChart>
        <c:grouping val="standard"/>
        <c:varyColors val="0"/>
        <c:ser>
          <c:idx val="1"/>
          <c:order val="2"/>
          <c:tx>
            <c:strRef>
              <c:f>'Crush Margins Chart Data'!$O$2</c:f>
              <c:strCache>
                <c:ptCount val="1"/>
                <c:pt idx="0">
                  <c:v>5-Year Max</c:v>
                </c:pt>
              </c:strCache>
            </c:strRef>
          </c:tx>
          <c:spPr>
            <a:solidFill>
              <a:srgbClr val="8C8C8C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Data'!$O$63:$O$74</c:f>
              <c:numCache>
                <c:formatCode>#,##0.00_);[Red]\(#,##0.00\)</c:formatCode>
                <c:ptCount val="12"/>
                <c:pt idx="0">
                  <c:v>71.204090909090851</c:v>
                </c:pt>
                <c:pt idx="1">
                  <c:v>88.912500000000009</c:v>
                </c:pt>
                <c:pt idx="2">
                  <c:v>107.6309090909091</c:v>
                </c:pt>
                <c:pt idx="3">
                  <c:v>135.06571428571425</c:v>
                </c:pt>
                <c:pt idx="4">
                  <c:v>127.28749999999999</c:v>
                </c:pt>
                <c:pt idx="5">
                  <c:v>128.95045454545459</c:v>
                </c:pt>
                <c:pt idx="6">
                  <c:v>118.04304347826091</c:v>
                </c:pt>
                <c:pt idx="7">
                  <c:v>158.36391304347825</c:v>
                </c:pt>
                <c:pt idx="8">
                  <c:v>98.403684210526308</c:v>
                </c:pt>
                <c:pt idx="9">
                  <c:v>112.14272727272729</c:v>
                </c:pt>
                <c:pt idx="10">
                  <c:v>86.910952380952338</c:v>
                </c:pt>
                <c:pt idx="11">
                  <c:v>83.016521739130425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E-40F5-8C8A-A7591594EC2F}"/>
            </c:ext>
          </c:extLst>
        </c:ser>
        <c:ser>
          <c:idx val="2"/>
          <c:order val="3"/>
          <c:tx>
            <c:v>5-Year Range</c:v>
          </c:tx>
          <c:spPr>
            <a:solidFill>
              <a:schemeClr val="bg1"/>
            </a:solidFill>
            <a:ln w="15875">
              <a:noFill/>
            </a:ln>
            <a:effectLst/>
          </c:spP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Data'!$P$63:$P$74</c:f>
              <c:numCache>
                <c:formatCode>#,##0.00_);[Red]\(#,##0.00\)</c:formatCode>
                <c:ptCount val="12"/>
                <c:pt idx="0">
                  <c:v>22.680526315789479</c:v>
                </c:pt>
                <c:pt idx="1">
                  <c:v>-4.102999999999998</c:v>
                </c:pt>
                <c:pt idx="2">
                  <c:v>10.121818181818183</c:v>
                </c:pt>
                <c:pt idx="3">
                  <c:v>49.566190476190478</c:v>
                </c:pt>
                <c:pt idx="4">
                  <c:v>81.196190476190438</c:v>
                </c:pt>
                <c:pt idx="5">
                  <c:v>60.000000000000021</c:v>
                </c:pt>
                <c:pt idx="6">
                  <c:v>54.81227272727272</c:v>
                </c:pt>
                <c:pt idx="7">
                  <c:v>78.457826086956516</c:v>
                </c:pt>
                <c:pt idx="8">
                  <c:v>70.814499999999995</c:v>
                </c:pt>
                <c:pt idx="9">
                  <c:v>17.160476190476192</c:v>
                </c:pt>
                <c:pt idx="10">
                  <c:v>24.782857142857139</c:v>
                </c:pt>
                <c:pt idx="11">
                  <c:v>16.266190476190474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E-40F5-8C8A-A7591594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67776"/>
        <c:axId val="1247869416"/>
      </c:areaChart>
      <c:lineChart>
        <c:grouping val="standard"/>
        <c:varyColors val="0"/>
        <c:ser>
          <c:idx val="3"/>
          <c:order val="0"/>
          <c:tx>
            <c:strRef>
              <c:f>'Crush Margins Chart Data'!$M$2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rgbClr val="ECECE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'Crush Margins Chart Data'!$M$63:$M$74</c:f>
              <c:numCache>
                <c:formatCode>#,##0.00_);[Red]\(#,##0.00\)</c:formatCode>
                <c:ptCount val="12"/>
                <c:pt idx="0">
                  <c:v>71.204090909090851</c:v>
                </c:pt>
                <c:pt idx="1">
                  <c:v>88.912500000000009</c:v>
                </c:pt>
                <c:pt idx="2">
                  <c:v>107.6309090909091</c:v>
                </c:pt>
                <c:pt idx="3">
                  <c:v>135.06571428571425</c:v>
                </c:pt>
                <c:pt idx="4">
                  <c:v>127.28749999999999</c:v>
                </c:pt>
                <c:pt idx="5">
                  <c:v>128.95045454545459</c:v>
                </c:pt>
                <c:pt idx="6">
                  <c:v>118.04304347826091</c:v>
                </c:pt>
                <c:pt idx="7">
                  <c:v>103.77761904761904</c:v>
                </c:pt>
                <c:pt idx="8">
                  <c:v>85.008636363636327</c:v>
                </c:pt>
                <c:pt idx="9">
                  <c:v>81.776363636363627</c:v>
                </c:pt>
                <c:pt idx="10">
                  <c:v>55.98571428571428</c:v>
                </c:pt>
                <c:pt idx="11">
                  <c:v>83.016521739130425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7E-40F5-8C8A-A7591594EC2F}"/>
            </c:ext>
          </c:extLst>
        </c:ser>
        <c:ser>
          <c:idx val="0"/>
          <c:order val="1"/>
          <c:tx>
            <c:strRef>
              <c:f>'Crush Margins Chart Data'!$N$2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323232"/>
              </a:solidFill>
              <a:ln w="9525">
                <a:solidFill>
                  <a:srgbClr val="8C8C8C"/>
                </a:solidFill>
              </a:ln>
              <a:effectLst/>
            </c:spPr>
          </c:marker>
          <c:cat>
            <c:strRef>
              <c:f>'Crush Margins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'Crush Margins Chart Data'!$N$63:$N$74</c:f>
              <c:numCache>
                <c:formatCode>#,##0.00_);[Red]\(#,##0.00\)</c:formatCode>
                <c:ptCount val="12"/>
                <c:pt idx="0">
                  <c:v>87.382499999999979</c:v>
                </c:pt>
                <c:pt idx="1">
                  <c:v>89.740000000000009</c:v>
                </c:pt>
                <c:pt idx="2">
                  <c:v>148.63391304347823</c:v>
                </c:pt>
                <c:pt idx="3">
                  <c:v>205.65318181818185</c:v>
                </c:pt>
                <c:pt idx="4">
                  <c:v>184.09333333333339</c:v>
                </c:pt>
                <c:pt idx="5">
                  <c:v>171.26772727272729</c:v>
                </c:pt>
                <c:pt idx="6">
                  <c:v>121.95227272727267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7E-40F5-8C8A-A7591594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867776"/>
        <c:axId val="1247869416"/>
      </c:lineChart>
      <c:catAx>
        <c:axId val="1247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9416"/>
        <c:crosses val="autoZero"/>
        <c:auto val="1"/>
        <c:lblAlgn val="ctr"/>
        <c:lblOffset val="100"/>
        <c:noMultiLvlLbl val="0"/>
      </c:catAx>
      <c:valAx>
        <c:axId val="1247869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€ per tonne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867776"/>
        <c:crosses val="autoZero"/>
        <c:crossBetween val="midCat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57527944815109522"/>
          <c:y val="0.20462528724872867"/>
          <c:w val="0.35900604534885461"/>
          <c:h val="9.3130899243370174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Ukraine Sunflower</a:t>
            </a:r>
          </a:p>
        </c:rich>
      </c:tx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45719066741452"/>
          <c:y val="0.12759539004012244"/>
          <c:w val="0.85182280913027775"/>
          <c:h val="0.68162917932678457"/>
        </c:manualLayout>
      </c:layout>
      <c:lineChart>
        <c:grouping val="standard"/>
        <c:varyColors val="0"/>
        <c:ser>
          <c:idx val="0"/>
          <c:order val="0"/>
          <c:tx>
            <c:strRef>
              <c:f>'Sunflower Monthly'!$J$1</c:f>
              <c:strCache>
                <c:ptCount val="1"/>
                <c:pt idx="0">
                  <c:v>Ukraine$/mt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4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2B-4EBB-AAA8-10A8C59EB154}"/>
              </c:ext>
            </c:extLst>
          </c:dPt>
          <c:dPt>
            <c:idx val="4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2B-4EBB-AAA8-10A8C59EB154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2B-4EBB-AAA8-10A8C59EB154}"/>
              </c:ext>
            </c:extLst>
          </c:dPt>
          <c:dPt>
            <c:idx val="4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72B-4EBB-AAA8-10A8C59EB154}"/>
              </c:ext>
            </c:extLst>
          </c:dPt>
          <c:dPt>
            <c:idx val="4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2B-4EBB-AAA8-10A8C59EB154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2B-4EBB-AAA8-10A8C59EB154}"/>
              </c:ext>
            </c:extLst>
          </c:dPt>
          <c:dPt>
            <c:idx val="4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72B-4EBB-AAA8-10A8C59EB154}"/>
              </c:ext>
            </c:extLst>
          </c:dPt>
          <c:dPt>
            <c:idx val="4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72B-4EBB-AAA8-10A8C59EB154}"/>
              </c:ext>
            </c:extLst>
          </c:dPt>
          <c:dPt>
            <c:idx val="4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D72B-4EBB-AAA8-10A8C59EB154}"/>
              </c:ext>
            </c:extLst>
          </c:dPt>
          <c:dPt>
            <c:idx val="4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2B-4EBB-AAA8-10A8C59EB154}"/>
              </c:ext>
            </c:extLst>
          </c:dPt>
          <c:dPt>
            <c:idx val="5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D72B-4EBB-AAA8-10A8C59EB154}"/>
              </c:ext>
            </c:extLst>
          </c:dPt>
          <c:dPt>
            <c:idx val="5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D72B-4EBB-AAA8-10A8C59EB154}"/>
              </c:ext>
            </c:extLst>
          </c:dPt>
          <c:dPt>
            <c:idx val="5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D72B-4EBB-AAA8-10A8C59EB154}"/>
              </c:ext>
            </c:extLst>
          </c:dPt>
          <c:cat>
            <c:numRef>
              <c:f>'Sunflower Monthly'!$A$233:$A$264</c:f>
              <c:numCache>
                <c:formatCode>yyyy\-mm\-dd;@</c:formatCode>
                <c:ptCount val="3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</c:numCache>
            </c:numRef>
          </c:cat>
          <c:val>
            <c:numRef>
              <c:f>'Sunflower Monthly'!$J$233:$J$264</c:f>
              <c:numCache>
                <c:formatCode>#,##0.00_);[Red]\(#,##0.00\)</c:formatCode>
                <c:ptCount val="32"/>
                <c:pt idx="0">
                  <c:v>358.67430622452531</c:v>
                </c:pt>
                <c:pt idx="1">
                  <c:v>348.61709040356186</c:v>
                </c:pt>
                <c:pt idx="2">
                  <c:v>316.83055360664554</c:v>
                </c:pt>
                <c:pt idx="3">
                  <c:v>349.9056779367213</c:v>
                </c:pt>
                <c:pt idx="4">
                  <c:v>356.52436323351907</c:v>
                </c:pt>
                <c:pt idx="5">
                  <c:v>372.40841801609048</c:v>
                </c:pt>
                <c:pt idx="6">
                  <c:v>366.94999209468921</c:v>
                </c:pt>
                <c:pt idx="7">
                  <c:v>347.66419062855363</c:v>
                </c:pt>
                <c:pt idx="8">
                  <c:v>394.17622937417104</c:v>
                </c:pt>
                <c:pt idx="9">
                  <c:v>435.31444394330026</c:v>
                </c:pt>
                <c:pt idx="10">
                  <c:v>543.92985179164293</c:v>
                </c:pt>
                <c:pt idx="11">
                  <c:v>579.01106256049547</c:v>
                </c:pt>
                <c:pt idx="12">
                  <c:v>756.02840350094039</c:v>
                </c:pt>
                <c:pt idx="13">
                  <c:v>820.22577500150874</c:v>
                </c:pt>
                <c:pt idx="14">
                  <c:v>856.27177818853261</c:v>
                </c:pt>
                <c:pt idx="15">
                  <c:v>874.36172738914263</c:v>
                </c:pt>
                <c:pt idx="16">
                  <c:v>830.54785048182157</c:v>
                </c:pt>
                <c:pt idx="17">
                  <c:v>643.09661602445772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72B-4EBB-AAA8-10A8C59EB154}"/>
            </c:ext>
          </c:extLst>
        </c:ser>
        <c:ser>
          <c:idx val="1"/>
          <c:order val="1"/>
          <c:tx>
            <c:v>Forecast Range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'Sunflower Monthly'!$A$233:$A$264</c:f>
              <c:numCache>
                <c:formatCode>yyyy\-mm\-dd;@</c:formatCode>
                <c:ptCount val="3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</c:numCache>
            </c:numRef>
          </c:cat>
          <c:val>
            <c:numRef>
              <c:f>'Sunflower Monthly'!$K$233:$K$264</c:f>
              <c:numCache>
                <c:formatCode>General</c:formatCode>
                <c:ptCount val="32"/>
                <c:pt idx="20" formatCode="#,##0.00_);[Red]\(#,##0.00\)">
                  <c:v>0</c:v>
                </c:pt>
                <c:pt idx="21" formatCode="#,##0.00_);[Red]\(#,##0.00\)">
                  <c:v>0</c:v>
                </c:pt>
                <c:pt idx="22" formatCode="#,##0.00_);[Red]\(#,##0.00\)">
                  <c:v>0</c:v>
                </c:pt>
                <c:pt idx="23" formatCode="#,##0.00_);[Red]\(#,##0.00\)">
                  <c:v>0</c:v>
                </c:pt>
                <c:pt idx="24" formatCode="#,##0.00_);[Red]\(#,##0.00\)">
                  <c:v>0</c:v>
                </c:pt>
                <c:pt idx="25" formatCode="#,##0.00_);[Red]\(#,##0.00\)">
                  <c:v>0</c:v>
                </c:pt>
                <c:pt idx="26" formatCode="#,##0.00_);[Red]\(#,##0.00\)">
                  <c:v>0</c:v>
                </c:pt>
                <c:pt idx="27" formatCode="#,##0.00_);[Red]\(#,##0.00\)">
                  <c:v>0</c:v>
                </c:pt>
                <c:pt idx="28" formatCode="#,##0.00_);[Red]\(#,##0.00\)">
                  <c:v>0</c:v>
                </c:pt>
                <c:pt idx="29" formatCode="#,##0.00_);[Red]\(#,##0.00\)">
                  <c:v>0</c:v>
                </c:pt>
                <c:pt idx="30" formatCode="#,##0.00_);[Red]\(#,##0.00\)">
                  <c:v>0</c:v>
                </c:pt>
                <c:pt idx="31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72B-4EBB-AAA8-10A8C59EB154}"/>
            </c:ext>
          </c:extLst>
        </c:ser>
        <c:ser>
          <c:idx val="2"/>
          <c:order val="2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'Sunflower Monthly'!$A$233:$A$264</c:f>
              <c:numCache>
                <c:formatCode>yyyy\-mm\-dd;@</c:formatCode>
                <c:ptCount val="3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</c:numCache>
            </c:numRef>
          </c:cat>
          <c:val>
            <c:numRef>
              <c:f>'Sunflower Monthly'!$L$233:$L$264</c:f>
              <c:numCache>
                <c:formatCode>General</c:formatCode>
                <c:ptCount val="32"/>
                <c:pt idx="20" formatCode="#,##0.00_);[Red]\(#,##0.00\)">
                  <c:v>0</c:v>
                </c:pt>
                <c:pt idx="21" formatCode="#,##0.00_);[Red]\(#,##0.00\)">
                  <c:v>0</c:v>
                </c:pt>
                <c:pt idx="22" formatCode="#,##0.00_);[Red]\(#,##0.00\)">
                  <c:v>0</c:v>
                </c:pt>
                <c:pt idx="23" formatCode="#,##0.00_);[Red]\(#,##0.00\)">
                  <c:v>0</c:v>
                </c:pt>
                <c:pt idx="24" formatCode="#,##0.00_);[Red]\(#,##0.00\)">
                  <c:v>0</c:v>
                </c:pt>
                <c:pt idx="25" formatCode="#,##0.00_);[Red]\(#,##0.00\)">
                  <c:v>0</c:v>
                </c:pt>
                <c:pt idx="26" formatCode="#,##0.00_);[Red]\(#,##0.00\)">
                  <c:v>0</c:v>
                </c:pt>
                <c:pt idx="27" formatCode="#,##0.00_);[Red]\(#,##0.00\)">
                  <c:v>0</c:v>
                </c:pt>
                <c:pt idx="28" formatCode="#,##0.00_);[Red]\(#,##0.00\)">
                  <c:v>0</c:v>
                </c:pt>
                <c:pt idx="29" formatCode="#,##0.00_);[Red]\(#,##0.00\)">
                  <c:v>0</c:v>
                </c:pt>
                <c:pt idx="30" formatCode="#,##0.00_);[Red]\(#,##0.00\)">
                  <c:v>0</c:v>
                </c:pt>
                <c:pt idx="31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72B-4EBB-AAA8-10A8C59EB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368944"/>
        <c:axId val="1159369272"/>
      </c:lineChart>
      <c:dateAx>
        <c:axId val="11593689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9272"/>
        <c:crosses val="autoZero"/>
        <c:auto val="1"/>
        <c:lblOffset val="100"/>
        <c:baseTimeUnit val="months"/>
        <c:majorUnit val="3"/>
        <c:majorTimeUnit val="months"/>
      </c:dateAx>
      <c:valAx>
        <c:axId val="11593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($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8944"/>
        <c:crosses val="autoZero"/>
        <c:crossBetween val="between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4889269448485915"/>
          <c:y val="0.52725362683760302"/>
          <c:w val="0.44759927544302514"/>
          <c:h val="8.963688949900063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Russia Sunflower</a:t>
            </a:r>
          </a:p>
        </c:rich>
      </c:tx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45719066741452"/>
          <c:y val="0.12759539004012244"/>
          <c:w val="0.85182280913027775"/>
          <c:h val="0.68162917932678457"/>
        </c:manualLayout>
      </c:layout>
      <c:lineChart>
        <c:grouping val="standard"/>
        <c:varyColors val="0"/>
        <c:ser>
          <c:idx val="0"/>
          <c:order val="0"/>
          <c:tx>
            <c:strRef>
              <c:f>'Sunflower Monthly'!$D$1</c:f>
              <c:strCache>
                <c:ptCount val="1"/>
                <c:pt idx="0">
                  <c:v>Russia $/mt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4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3B-4C6E-905B-6D7C457ADB4B}"/>
              </c:ext>
            </c:extLst>
          </c:dPt>
          <c:dPt>
            <c:idx val="4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3B-4C6E-905B-6D7C457ADB4B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3B-4C6E-905B-6D7C457ADB4B}"/>
              </c:ext>
            </c:extLst>
          </c:dPt>
          <c:dPt>
            <c:idx val="4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3B-4C6E-905B-6D7C457ADB4B}"/>
              </c:ext>
            </c:extLst>
          </c:dPt>
          <c:dPt>
            <c:idx val="4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3B-4C6E-905B-6D7C457ADB4B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43B-4C6E-905B-6D7C457ADB4B}"/>
              </c:ext>
            </c:extLst>
          </c:dPt>
          <c:dPt>
            <c:idx val="4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43B-4C6E-905B-6D7C457ADB4B}"/>
              </c:ext>
            </c:extLst>
          </c:dPt>
          <c:dPt>
            <c:idx val="4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43B-4C6E-905B-6D7C457ADB4B}"/>
              </c:ext>
            </c:extLst>
          </c:dPt>
          <c:dPt>
            <c:idx val="4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43B-4C6E-905B-6D7C457ADB4B}"/>
              </c:ext>
            </c:extLst>
          </c:dPt>
          <c:dPt>
            <c:idx val="4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43B-4C6E-905B-6D7C457ADB4B}"/>
              </c:ext>
            </c:extLst>
          </c:dPt>
          <c:dPt>
            <c:idx val="5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43B-4C6E-905B-6D7C457ADB4B}"/>
              </c:ext>
            </c:extLst>
          </c:dPt>
          <c:dPt>
            <c:idx val="5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43B-4C6E-905B-6D7C457ADB4B}"/>
              </c:ext>
            </c:extLst>
          </c:dPt>
          <c:dPt>
            <c:idx val="5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43B-4C6E-905B-6D7C457ADB4B}"/>
              </c:ext>
            </c:extLst>
          </c:dPt>
          <c:cat>
            <c:numRef>
              <c:f>'Sunflower Monthly'!$A$209:$A$264</c:f>
              <c:numCache>
                <c:formatCode>yyyy\-mm\-dd;@</c:formatCode>
                <c:ptCount val="5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</c:numCache>
            </c:numRef>
          </c:cat>
          <c:val>
            <c:numRef>
              <c:f>'Sunflower Monthly'!$D$209:$D$264</c:f>
              <c:numCache>
                <c:formatCode>#,##0.00_);[Red]\(#,##0.00\)</c:formatCode>
                <c:ptCount val="56"/>
                <c:pt idx="0">
                  <c:v>343.31743466922768</c:v>
                </c:pt>
                <c:pt idx="1">
                  <c:v>347.96557266071619</c:v>
                </c:pt>
                <c:pt idx="2">
                  <c:v>354.9455017786841</c:v>
                </c:pt>
                <c:pt idx="3">
                  <c:v>345.59941978484102</c:v>
                </c:pt>
                <c:pt idx="4">
                  <c:v>351.81364621688647</c:v>
                </c:pt>
                <c:pt idx="5">
                  <c:v>357.42250111676805</c:v>
                </c:pt>
                <c:pt idx="6">
                  <c:v>343.19558226717379</c:v>
                </c:pt>
                <c:pt idx="8">
                  <c:v>304.26748121357042</c:v>
                </c:pt>
                <c:pt idx="9">
                  <c:v>301.61397085161968</c:v>
                </c:pt>
                <c:pt idx="10">
                  <c:v>283.34306538876342</c:v>
                </c:pt>
                <c:pt idx="11">
                  <c:v>295.31056032795652</c:v>
                </c:pt>
                <c:pt idx="12">
                  <c:v>313.48968187307941</c:v>
                </c:pt>
                <c:pt idx="13">
                  <c:v>332.65426448103494</c:v>
                </c:pt>
                <c:pt idx="14">
                  <c:v>328.38936514230892</c:v>
                </c:pt>
                <c:pt idx="15">
                  <c:v>314.41119140177801</c:v>
                </c:pt>
                <c:pt idx="16">
                  <c:v>302.50305860551265</c:v>
                </c:pt>
                <c:pt idx="17">
                  <c:v>305.23389139394055</c:v>
                </c:pt>
                <c:pt idx="18">
                  <c:v>316.76686937030291</c:v>
                </c:pt>
                <c:pt idx="20">
                  <c:v>295.08109205078404</c:v>
                </c:pt>
                <c:pt idx="21">
                  <c:v>269.3692417288803</c:v>
                </c:pt>
                <c:pt idx="22">
                  <c:v>263.92426476645676</c:v>
                </c:pt>
                <c:pt idx="23">
                  <c:v>286.51948449145141</c:v>
                </c:pt>
                <c:pt idx="24">
                  <c:v>313.5659591346344</c:v>
                </c:pt>
                <c:pt idx="25">
                  <c:v>306.03213003025149</c:v>
                </c:pt>
                <c:pt idx="26">
                  <c:v>268.88443762177656</c:v>
                </c:pt>
                <c:pt idx="27">
                  <c:v>301.82287411114817</c:v>
                </c:pt>
                <c:pt idx="28">
                  <c:v>336.68380548007565</c:v>
                </c:pt>
                <c:pt idx="29">
                  <c:v>383.6930561141196</c:v>
                </c:pt>
                <c:pt idx="30">
                  <c:v>330.37878244536233</c:v>
                </c:pt>
                <c:pt idx="31">
                  <c:v>306.0448341611808</c:v>
                </c:pt>
                <c:pt idx="32">
                  <c:v>380.54945700677951</c:v>
                </c:pt>
                <c:pt idx="33">
                  <c:v>407.1888781240412</c:v>
                </c:pt>
                <c:pt idx="34">
                  <c:v>485.37682380350043</c:v>
                </c:pt>
                <c:pt idx="35">
                  <c:v>499.96809839726006</c:v>
                </c:pt>
                <c:pt idx="36">
                  <c:v>530.92286389029118</c:v>
                </c:pt>
                <c:pt idx="37">
                  <c:v>593.61619019706609</c:v>
                </c:pt>
                <c:pt idx="38">
                  <c:v>655.85112864467635</c:v>
                </c:pt>
                <c:pt idx="39">
                  <c:v>690.1593155458736</c:v>
                </c:pt>
                <c:pt idx="40">
                  <c:v>706.57690229418722</c:v>
                </c:pt>
                <c:pt idx="41">
                  <c:v>633.38711955848453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43B-4C6E-905B-6D7C457ADB4B}"/>
            </c:ext>
          </c:extLst>
        </c:ser>
        <c:ser>
          <c:idx val="1"/>
          <c:order val="1"/>
          <c:tx>
            <c:v>Forecast Range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'Sunflower Monthly'!$A$209:$A$264</c:f>
              <c:numCache>
                <c:formatCode>yyyy\-mm\-dd;@</c:formatCode>
                <c:ptCount val="5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</c:numCache>
            </c:numRef>
          </c:cat>
          <c:val>
            <c:numRef>
              <c:f>'Sunflower Monthly'!$E$209:$E$264</c:f>
              <c:numCache>
                <c:formatCode>#,##0.00_);[Red]\(#,##0.00\)</c:formatCode>
                <c:ptCount val="56"/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43B-4C6E-905B-6D7C457ADB4B}"/>
            </c:ext>
          </c:extLst>
        </c:ser>
        <c:ser>
          <c:idx val="2"/>
          <c:order val="2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'Sunflower Monthly'!$A$209:$A$264</c:f>
              <c:numCache>
                <c:formatCode>yyyy\-mm\-dd;@</c:formatCode>
                <c:ptCount val="56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</c:numCache>
            </c:numRef>
          </c:cat>
          <c:val>
            <c:numRef>
              <c:f>'Sunflower Monthly'!$F$209:$F$264</c:f>
              <c:numCache>
                <c:formatCode>#,##0.00_);[Red]\(#,##0.00\)</c:formatCode>
                <c:ptCount val="56"/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43B-4C6E-905B-6D7C457AD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368944"/>
        <c:axId val="1159369272"/>
      </c:lineChart>
      <c:dateAx>
        <c:axId val="11593689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9272"/>
        <c:crosses val="autoZero"/>
        <c:auto val="1"/>
        <c:lblOffset val="100"/>
        <c:baseTimeUnit val="months"/>
        <c:majorUnit val="3"/>
        <c:majorTimeUnit val="months"/>
      </c:dateAx>
      <c:valAx>
        <c:axId val="11593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($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8944"/>
        <c:crosses val="autoZero"/>
        <c:crossBetween val="between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49427889341088743"/>
          <c:y val="0.68082322232728909"/>
          <c:w val="0.44759927544302514"/>
          <c:h val="8.963688949900063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Ukraine Sunflower Oil</a:t>
            </a:r>
          </a:p>
        </c:rich>
      </c:tx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45719066741452"/>
          <c:y val="0.12759539004012244"/>
          <c:w val="0.85182280913027775"/>
          <c:h val="0.68162917932678457"/>
        </c:manualLayout>
      </c:layout>
      <c:lineChart>
        <c:grouping val="standard"/>
        <c:varyColors val="0"/>
        <c:ser>
          <c:idx val="0"/>
          <c:order val="0"/>
          <c:tx>
            <c:strRef>
              <c:f>'Sun Oil Monthly'!$D$1</c:f>
              <c:strCache>
                <c:ptCount val="1"/>
                <c:pt idx="0">
                  <c:v>Sunoil FOB Ukraine $/mt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4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1C-44B5-B454-B9991E368CD6}"/>
              </c:ext>
            </c:extLst>
          </c:dPt>
          <c:dPt>
            <c:idx val="4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1C-44B5-B454-B9991E368CD6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1C-44B5-B454-B9991E368CD6}"/>
              </c:ext>
            </c:extLst>
          </c:dPt>
          <c:dPt>
            <c:idx val="4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1C-44B5-B454-B9991E368CD6}"/>
              </c:ext>
            </c:extLst>
          </c:dPt>
          <c:dPt>
            <c:idx val="4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1C-44B5-B454-B9991E368CD6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41C-44B5-B454-B9991E368CD6}"/>
              </c:ext>
            </c:extLst>
          </c:dPt>
          <c:dPt>
            <c:idx val="4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41C-44B5-B454-B9991E368CD6}"/>
              </c:ext>
            </c:extLst>
          </c:dPt>
          <c:dPt>
            <c:idx val="4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41C-44B5-B454-B9991E368CD6}"/>
              </c:ext>
            </c:extLst>
          </c:dPt>
          <c:dPt>
            <c:idx val="4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41C-44B5-B454-B9991E368CD6}"/>
              </c:ext>
            </c:extLst>
          </c:dPt>
          <c:dPt>
            <c:idx val="4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41C-44B5-B454-B9991E368CD6}"/>
              </c:ext>
            </c:extLst>
          </c:dPt>
          <c:dPt>
            <c:idx val="5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41C-44B5-B454-B9991E368CD6}"/>
              </c:ext>
            </c:extLst>
          </c:dPt>
          <c:dPt>
            <c:idx val="5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41C-44B5-B454-B9991E368CD6}"/>
              </c:ext>
            </c:extLst>
          </c:dPt>
          <c:dPt>
            <c:idx val="5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41C-44B5-B454-B9991E368CD6}"/>
              </c:ext>
            </c:extLst>
          </c:dPt>
          <c:cat>
            <c:numRef>
              <c:f>'Sun Oil Monthly'!$A$3:$A$71</c:f>
              <c:numCache>
                <c:formatCode>m/d/yyyy</c:formatCode>
                <c:ptCount val="69"/>
                <c:pt idx="0">
                  <c:v>43191</c:v>
                </c:pt>
                <c:pt idx="1">
                  <c:v>43221</c:v>
                </c:pt>
                <c:pt idx="2">
                  <c:v>43252</c:v>
                </c:pt>
                <c:pt idx="3">
                  <c:v>43282</c:v>
                </c:pt>
                <c:pt idx="4">
                  <c:v>43313</c:v>
                </c:pt>
                <c:pt idx="5">
                  <c:v>43344</c:v>
                </c:pt>
                <c:pt idx="6">
                  <c:v>43374</c:v>
                </c:pt>
                <c:pt idx="7">
                  <c:v>43405</c:v>
                </c:pt>
                <c:pt idx="8">
                  <c:v>43435</c:v>
                </c:pt>
                <c:pt idx="9">
                  <c:v>43466</c:v>
                </c:pt>
                <c:pt idx="10">
                  <c:v>43497</c:v>
                </c:pt>
                <c:pt idx="11">
                  <c:v>43525</c:v>
                </c:pt>
                <c:pt idx="12">
                  <c:v>43556</c:v>
                </c:pt>
                <c:pt idx="13">
                  <c:v>43586</c:v>
                </c:pt>
                <c:pt idx="14">
                  <c:v>43617</c:v>
                </c:pt>
                <c:pt idx="15">
                  <c:v>43647</c:v>
                </c:pt>
                <c:pt idx="16">
                  <c:v>43678</c:v>
                </c:pt>
                <c:pt idx="17">
                  <c:v>43709</c:v>
                </c:pt>
                <c:pt idx="18">
                  <c:v>43739</c:v>
                </c:pt>
                <c:pt idx="19">
                  <c:v>43770</c:v>
                </c:pt>
                <c:pt idx="20">
                  <c:v>43800</c:v>
                </c:pt>
                <c:pt idx="21">
                  <c:v>43831</c:v>
                </c:pt>
                <c:pt idx="22">
                  <c:v>43862</c:v>
                </c:pt>
                <c:pt idx="23">
                  <c:v>43891</c:v>
                </c:pt>
                <c:pt idx="24">
                  <c:v>43922</c:v>
                </c:pt>
                <c:pt idx="25">
                  <c:v>43952</c:v>
                </c:pt>
                <c:pt idx="26">
                  <c:v>43983</c:v>
                </c:pt>
                <c:pt idx="27">
                  <c:v>44013</c:v>
                </c:pt>
                <c:pt idx="28">
                  <c:v>44044</c:v>
                </c:pt>
                <c:pt idx="29">
                  <c:v>44075</c:v>
                </c:pt>
                <c:pt idx="30">
                  <c:v>44105</c:v>
                </c:pt>
                <c:pt idx="31">
                  <c:v>44136</c:v>
                </c:pt>
                <c:pt idx="32">
                  <c:v>44166</c:v>
                </c:pt>
                <c:pt idx="33">
                  <c:v>44197</c:v>
                </c:pt>
                <c:pt idx="34">
                  <c:v>44228</c:v>
                </c:pt>
                <c:pt idx="35">
                  <c:v>44256</c:v>
                </c:pt>
                <c:pt idx="36">
                  <c:v>44287</c:v>
                </c:pt>
                <c:pt idx="37">
                  <c:v>44317</c:v>
                </c:pt>
                <c:pt idx="38">
                  <c:v>44348</c:v>
                </c:pt>
                <c:pt idx="39">
                  <c:v>44378</c:v>
                </c:pt>
                <c:pt idx="40">
                  <c:v>44409</c:v>
                </c:pt>
                <c:pt idx="41">
                  <c:v>44440</c:v>
                </c:pt>
                <c:pt idx="42">
                  <c:v>44470</c:v>
                </c:pt>
                <c:pt idx="43">
                  <c:v>44501</c:v>
                </c:pt>
                <c:pt idx="44">
                  <c:v>44531</c:v>
                </c:pt>
                <c:pt idx="45">
                  <c:v>44562</c:v>
                </c:pt>
                <c:pt idx="46">
                  <c:v>44593</c:v>
                </c:pt>
                <c:pt idx="47">
                  <c:v>44621</c:v>
                </c:pt>
                <c:pt idx="48">
                  <c:v>44652</c:v>
                </c:pt>
                <c:pt idx="49">
                  <c:v>44682</c:v>
                </c:pt>
                <c:pt idx="50">
                  <c:v>44713</c:v>
                </c:pt>
                <c:pt idx="51">
                  <c:v>44743</c:v>
                </c:pt>
                <c:pt idx="52">
                  <c:v>44774</c:v>
                </c:pt>
              </c:numCache>
            </c:numRef>
          </c:cat>
          <c:val>
            <c:numRef>
              <c:f>'Sun Oil Monthly'!$D$3:$D$71</c:f>
              <c:numCache>
                <c:formatCode>#,##0.00_);[Red]\(#,##0.00\)</c:formatCode>
                <c:ptCount val="69"/>
                <c:pt idx="0">
                  <c:v>769.83333333333337</c:v>
                </c:pt>
                <c:pt idx="1">
                  <c:v>756.89473684210532</c:v>
                </c:pt>
                <c:pt idx="2">
                  <c:v>732.61904761904759</c:v>
                </c:pt>
                <c:pt idx="3">
                  <c:v>742.27272727272725</c:v>
                </c:pt>
                <c:pt idx="4">
                  <c:v>714.09090909090912</c:v>
                </c:pt>
                <c:pt idx="5">
                  <c:v>693.9</c:v>
                </c:pt>
                <c:pt idx="6">
                  <c:v>667.26086956521738</c:v>
                </c:pt>
                <c:pt idx="7">
                  <c:v>637.22727272727275</c:v>
                </c:pt>
                <c:pt idx="8">
                  <c:v>639.05882352941171</c:v>
                </c:pt>
                <c:pt idx="9">
                  <c:v>651.77272727272725</c:v>
                </c:pt>
                <c:pt idx="10">
                  <c:v>671.35</c:v>
                </c:pt>
                <c:pt idx="11">
                  <c:v>661.26190476190482</c:v>
                </c:pt>
                <c:pt idx="12">
                  <c:v>662.35</c:v>
                </c:pt>
                <c:pt idx="13">
                  <c:v>684.28571428571433</c:v>
                </c:pt>
                <c:pt idx="14">
                  <c:v>703.10526315789468</c:v>
                </c:pt>
                <c:pt idx="15">
                  <c:v>734.47826086956525</c:v>
                </c:pt>
                <c:pt idx="16">
                  <c:v>732.80952380952385</c:v>
                </c:pt>
                <c:pt idx="17">
                  <c:v>702.80952380952385</c:v>
                </c:pt>
                <c:pt idx="18">
                  <c:v>682.08695652173913</c:v>
                </c:pt>
                <c:pt idx="19">
                  <c:v>712.09523809523807</c:v>
                </c:pt>
                <c:pt idx="20">
                  <c:v>762.4</c:v>
                </c:pt>
                <c:pt idx="21">
                  <c:v>781.18181818181813</c:v>
                </c:pt>
                <c:pt idx="22">
                  <c:v>712.75</c:v>
                </c:pt>
                <c:pt idx="23">
                  <c:v>659.81818181818187</c:v>
                </c:pt>
                <c:pt idx="24">
                  <c:v>692.4</c:v>
                </c:pt>
                <c:pt idx="25">
                  <c:v>719.63157894736844</c:v>
                </c:pt>
                <c:pt idx="26">
                  <c:v>772.52380952380952</c:v>
                </c:pt>
                <c:pt idx="27">
                  <c:v>772.91304347826087</c:v>
                </c:pt>
                <c:pt idx="28">
                  <c:v>798.2</c:v>
                </c:pt>
                <c:pt idx="29">
                  <c:v>927.81818181818187</c:v>
                </c:pt>
                <c:pt idx="30">
                  <c:v>964.36363636363637</c:v>
                </c:pt>
                <c:pt idx="31">
                  <c:v>1082.6428571428571</c:v>
                </c:pt>
                <c:pt idx="32">
                  <c:v>1147.8571428571429</c:v>
                </c:pt>
                <c:pt idx="33">
                  <c:v>1270.95</c:v>
                </c:pt>
                <c:pt idx="34">
                  <c:v>1350.25</c:v>
                </c:pt>
                <c:pt idx="35">
                  <c:v>1581.8695652173913</c:v>
                </c:pt>
                <c:pt idx="36">
                  <c:v>1545.85</c:v>
                </c:pt>
                <c:pt idx="37">
                  <c:v>1536.3684210526317</c:v>
                </c:pt>
                <c:pt idx="38">
                  <c:v>1217.5</c:v>
                </c:pt>
                <c:pt idx="39">
                  <c:v>1195.1363636363637</c:v>
                </c:pt>
                <c:pt idx="40">
                  <c:v>1415</c:v>
                </c:pt>
                <c:pt idx="41">
                  <c:v>1435</c:v>
                </c:pt>
                <c:pt idx="42">
                  <c:v>1475</c:v>
                </c:pt>
                <c:pt idx="43">
                  <c:v>1545</c:v>
                </c:pt>
                <c:pt idx="44">
                  <c:v>1565</c:v>
                </c:pt>
                <c:pt idx="45">
                  <c:v>1605</c:v>
                </c:pt>
                <c:pt idx="46">
                  <c:v>1640</c:v>
                </c:pt>
                <c:pt idx="47">
                  <c:v>1665</c:v>
                </c:pt>
                <c:pt idx="48">
                  <c:v>1680</c:v>
                </c:pt>
                <c:pt idx="49">
                  <c:v>1655</c:v>
                </c:pt>
                <c:pt idx="50">
                  <c:v>1675</c:v>
                </c:pt>
                <c:pt idx="51">
                  <c:v>1710</c:v>
                </c:pt>
                <c:pt idx="52">
                  <c:v>1735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41C-44B5-B454-B9991E368CD6}"/>
            </c:ext>
          </c:extLst>
        </c:ser>
        <c:ser>
          <c:idx val="1"/>
          <c:order val="1"/>
          <c:tx>
            <c:v>Forecast Range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val>
            <c:numRef>
              <c:f>'Sun Oil Monthly'!$E$3:$E$71</c:f>
              <c:numCache>
                <c:formatCode>#,##0.00_);[Red]\(#,##0.00\)</c:formatCode>
                <c:ptCount val="69"/>
                <c:pt idx="40">
                  <c:v>1685</c:v>
                </c:pt>
                <c:pt idx="41">
                  <c:v>1715</c:v>
                </c:pt>
                <c:pt idx="42">
                  <c:v>1765</c:v>
                </c:pt>
                <c:pt idx="43">
                  <c:v>1845</c:v>
                </c:pt>
                <c:pt idx="44">
                  <c:v>1875</c:v>
                </c:pt>
                <c:pt idx="45">
                  <c:v>1930</c:v>
                </c:pt>
                <c:pt idx="46">
                  <c:v>1975</c:v>
                </c:pt>
                <c:pt idx="47">
                  <c:v>2010</c:v>
                </c:pt>
                <c:pt idx="48">
                  <c:v>2035</c:v>
                </c:pt>
                <c:pt idx="49">
                  <c:v>2020</c:v>
                </c:pt>
                <c:pt idx="50">
                  <c:v>2050</c:v>
                </c:pt>
                <c:pt idx="51">
                  <c:v>2095</c:v>
                </c:pt>
                <c:pt idx="52">
                  <c:v>2125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41C-44B5-B454-B9991E368CD6}"/>
            </c:ext>
          </c:extLst>
        </c:ser>
        <c:ser>
          <c:idx val="2"/>
          <c:order val="2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val>
            <c:numRef>
              <c:f>'Sun Oil Monthly'!$F$3:$F$71</c:f>
              <c:numCache>
                <c:formatCode>#,##0.00_);[Red]\(#,##0.00\)</c:formatCode>
                <c:ptCount val="69"/>
                <c:pt idx="40">
                  <c:v>1145</c:v>
                </c:pt>
                <c:pt idx="41">
                  <c:v>1155</c:v>
                </c:pt>
                <c:pt idx="42">
                  <c:v>1185</c:v>
                </c:pt>
                <c:pt idx="43">
                  <c:v>1245</c:v>
                </c:pt>
                <c:pt idx="44">
                  <c:v>1255</c:v>
                </c:pt>
                <c:pt idx="45">
                  <c:v>1280</c:v>
                </c:pt>
                <c:pt idx="46">
                  <c:v>1305</c:v>
                </c:pt>
                <c:pt idx="47">
                  <c:v>1320</c:v>
                </c:pt>
                <c:pt idx="48">
                  <c:v>1325</c:v>
                </c:pt>
                <c:pt idx="49">
                  <c:v>1290</c:v>
                </c:pt>
                <c:pt idx="50">
                  <c:v>1300</c:v>
                </c:pt>
                <c:pt idx="51">
                  <c:v>1325</c:v>
                </c:pt>
                <c:pt idx="52">
                  <c:v>1345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41C-44B5-B454-B9991E368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368944"/>
        <c:axId val="1159369272"/>
      </c:lineChart>
      <c:dateAx>
        <c:axId val="11593689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9272"/>
        <c:crosses val="autoZero"/>
        <c:auto val="1"/>
        <c:lblOffset val="100"/>
        <c:baseTimeUnit val="months"/>
        <c:majorUnit val="3"/>
        <c:majorTimeUnit val="months"/>
      </c:dateAx>
      <c:valAx>
        <c:axId val="11593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($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8944"/>
        <c:crosses val="autoZero"/>
        <c:crossBetween val="between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9189380020355115"/>
          <c:y val="0.31461876996194565"/>
          <c:w val="0.44759927544302514"/>
          <c:h val="8.963688949900063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Russia Sunflower Oil</a:t>
            </a:r>
          </a:p>
        </c:rich>
      </c:tx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45719066741452"/>
          <c:y val="0.12759539004012244"/>
          <c:w val="0.85182280913027775"/>
          <c:h val="0.68162917932678457"/>
        </c:manualLayout>
      </c:layout>
      <c:lineChart>
        <c:grouping val="standard"/>
        <c:varyColors val="0"/>
        <c:ser>
          <c:idx val="0"/>
          <c:order val="0"/>
          <c:tx>
            <c:strRef>
              <c:f>'Sun Oil Monthly'!$G$1:$I$1</c:f>
              <c:strCache>
                <c:ptCount val="1"/>
                <c:pt idx="0">
                  <c:v>Sunoil FOB Russia $/mt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1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F7-4307-8424-9D3BC5D251BC}"/>
              </c:ext>
            </c:extLst>
          </c:dPt>
          <c:dPt>
            <c:idx val="2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F7-4307-8424-9D3BC5D251BC}"/>
              </c:ext>
            </c:extLst>
          </c:dPt>
          <c:dPt>
            <c:idx val="2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F7-4307-8424-9D3BC5D251BC}"/>
              </c:ext>
            </c:extLst>
          </c:dPt>
          <c:dPt>
            <c:idx val="2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F7-4307-8424-9D3BC5D251BC}"/>
              </c:ext>
            </c:extLst>
          </c:dPt>
          <c:dPt>
            <c:idx val="2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1F7-4307-8424-9D3BC5D251BC}"/>
              </c:ext>
            </c:extLst>
          </c:dPt>
          <c:dPt>
            <c:idx val="2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1F7-4307-8424-9D3BC5D251BC}"/>
              </c:ext>
            </c:extLst>
          </c:dPt>
          <c:dPt>
            <c:idx val="2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1F7-4307-8424-9D3BC5D251BC}"/>
              </c:ext>
            </c:extLst>
          </c:dPt>
          <c:dPt>
            <c:idx val="2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1F7-4307-8424-9D3BC5D251BC}"/>
              </c:ext>
            </c:extLst>
          </c:dPt>
          <c:dPt>
            <c:idx val="2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41F7-4307-8424-9D3BC5D251BC}"/>
              </c:ext>
            </c:extLst>
          </c:dPt>
          <c:dPt>
            <c:idx val="2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1F7-4307-8424-9D3BC5D251BC}"/>
              </c:ext>
            </c:extLst>
          </c:dPt>
          <c:dPt>
            <c:idx val="2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41F7-4307-8424-9D3BC5D251BC}"/>
              </c:ext>
            </c:extLst>
          </c:dPt>
          <c:dPt>
            <c:idx val="3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41F7-4307-8424-9D3BC5D251BC}"/>
              </c:ext>
            </c:extLst>
          </c:dPt>
          <c:dPt>
            <c:idx val="3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41F7-4307-8424-9D3BC5D251BC}"/>
              </c:ext>
            </c:extLst>
          </c:dPt>
          <c:cat>
            <c:numRef>
              <c:f>'Sun Oil Monthly'!$A$24:$A$71</c:f>
              <c:numCache>
                <c:formatCode>m/d/yyyy</c:formatCode>
                <c:ptCount val="4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</c:numCache>
            </c:numRef>
          </c:cat>
          <c:val>
            <c:numRef>
              <c:f>'Sun Oil Monthly'!$G$24:$G$71</c:f>
              <c:numCache>
                <c:formatCode>#,##0.00_);[Red]\(#,##0.00\)</c:formatCode>
                <c:ptCount val="48"/>
                <c:pt idx="0">
                  <c:v>771.18181818181813</c:v>
                </c:pt>
                <c:pt idx="1">
                  <c:v>702.75</c:v>
                </c:pt>
                <c:pt idx="2">
                  <c:v>649.81818181818187</c:v>
                </c:pt>
                <c:pt idx="3">
                  <c:v>682.4</c:v>
                </c:pt>
                <c:pt idx="4">
                  <c:v>711.82352941176475</c:v>
                </c:pt>
                <c:pt idx="5">
                  <c:v>762.38095238095241</c:v>
                </c:pt>
                <c:pt idx="6">
                  <c:v>763.95652173913038</c:v>
                </c:pt>
                <c:pt idx="7">
                  <c:v>789.8</c:v>
                </c:pt>
                <c:pt idx="8">
                  <c:v>917.0454545454545</c:v>
                </c:pt>
                <c:pt idx="9">
                  <c:v>950.72727272727275</c:v>
                </c:pt>
                <c:pt idx="10">
                  <c:v>1071.0952380952381</c:v>
                </c:pt>
                <c:pt idx="11">
                  <c:v>1133.047619047619</c:v>
                </c:pt>
                <c:pt idx="12">
                  <c:v>1250.25</c:v>
                </c:pt>
                <c:pt idx="13">
                  <c:v>1309.8947368421052</c:v>
                </c:pt>
                <c:pt idx="14">
                  <c:v>1530.4347826086957</c:v>
                </c:pt>
                <c:pt idx="15">
                  <c:v>1502.5</c:v>
                </c:pt>
                <c:pt idx="16">
                  <c:v>1510.5263157894738</c:v>
                </c:pt>
                <c:pt idx="17">
                  <c:v>1222.5</c:v>
                </c:pt>
                <c:pt idx="18">
                  <c:v>1184.7727272727273</c:v>
                </c:pt>
                <c:pt idx="19">
                  <c:v>1385</c:v>
                </c:pt>
                <c:pt idx="20">
                  <c:v>1395</c:v>
                </c:pt>
                <c:pt idx="21">
                  <c:v>1420</c:v>
                </c:pt>
                <c:pt idx="22">
                  <c:v>1470</c:v>
                </c:pt>
                <c:pt idx="23">
                  <c:v>1480</c:v>
                </c:pt>
                <c:pt idx="24">
                  <c:v>1505</c:v>
                </c:pt>
                <c:pt idx="25">
                  <c:v>1525</c:v>
                </c:pt>
                <c:pt idx="26">
                  <c:v>1540</c:v>
                </c:pt>
                <c:pt idx="27">
                  <c:v>1550</c:v>
                </c:pt>
                <c:pt idx="28">
                  <c:v>1530</c:v>
                </c:pt>
                <c:pt idx="29">
                  <c:v>1545</c:v>
                </c:pt>
                <c:pt idx="30">
                  <c:v>1565</c:v>
                </c:pt>
                <c:pt idx="31">
                  <c:v>1585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1F7-4307-8424-9D3BC5D251BC}"/>
            </c:ext>
          </c:extLst>
        </c:ser>
        <c:ser>
          <c:idx val="1"/>
          <c:order val="1"/>
          <c:tx>
            <c:v>Forecast Range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 Oil Monthly'!$A$24:$A$71</c:f>
              <c:numCache>
                <c:formatCode>m/d/yyyy</c:formatCode>
                <c:ptCount val="4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</c:numCache>
            </c:numRef>
          </c:cat>
          <c:val>
            <c:numRef>
              <c:f>'Sun Oil Monthly'!$H$24:$H$71</c:f>
              <c:numCache>
                <c:formatCode>#,##0.00_);[Red]\(#,##0.00\)</c:formatCode>
                <c:ptCount val="48"/>
                <c:pt idx="19">
                  <c:v>1680</c:v>
                </c:pt>
                <c:pt idx="20">
                  <c:v>1690</c:v>
                </c:pt>
                <c:pt idx="21">
                  <c:v>1715</c:v>
                </c:pt>
                <c:pt idx="22">
                  <c:v>1765</c:v>
                </c:pt>
                <c:pt idx="23">
                  <c:v>1775</c:v>
                </c:pt>
                <c:pt idx="24">
                  <c:v>1800</c:v>
                </c:pt>
                <c:pt idx="25">
                  <c:v>1820</c:v>
                </c:pt>
                <c:pt idx="26">
                  <c:v>1835</c:v>
                </c:pt>
                <c:pt idx="27">
                  <c:v>1845</c:v>
                </c:pt>
                <c:pt idx="28">
                  <c:v>1825</c:v>
                </c:pt>
                <c:pt idx="29">
                  <c:v>1840</c:v>
                </c:pt>
                <c:pt idx="30">
                  <c:v>1860</c:v>
                </c:pt>
                <c:pt idx="31">
                  <c:v>1880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1F7-4307-8424-9D3BC5D251BC}"/>
            </c:ext>
          </c:extLst>
        </c:ser>
        <c:ser>
          <c:idx val="2"/>
          <c:order val="2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 Oil Monthly'!$A$24:$A$71</c:f>
              <c:numCache>
                <c:formatCode>m/d/yyyy</c:formatCode>
                <c:ptCount val="4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</c:numCache>
            </c:numRef>
          </c:cat>
          <c:val>
            <c:numRef>
              <c:f>'Sun Oil Monthly'!$I$24:$I$71</c:f>
              <c:numCache>
                <c:formatCode>#,##0.00_);[Red]\(#,##0.00\)</c:formatCode>
                <c:ptCount val="48"/>
                <c:pt idx="19">
                  <c:v>1080</c:v>
                </c:pt>
                <c:pt idx="20">
                  <c:v>1090</c:v>
                </c:pt>
                <c:pt idx="21">
                  <c:v>1115</c:v>
                </c:pt>
                <c:pt idx="22">
                  <c:v>1165</c:v>
                </c:pt>
                <c:pt idx="23">
                  <c:v>1175</c:v>
                </c:pt>
                <c:pt idx="24">
                  <c:v>1200</c:v>
                </c:pt>
                <c:pt idx="25">
                  <c:v>1220</c:v>
                </c:pt>
                <c:pt idx="26">
                  <c:v>1235</c:v>
                </c:pt>
                <c:pt idx="27">
                  <c:v>1245</c:v>
                </c:pt>
                <c:pt idx="28">
                  <c:v>1225</c:v>
                </c:pt>
                <c:pt idx="29">
                  <c:v>1240</c:v>
                </c:pt>
                <c:pt idx="30">
                  <c:v>1260</c:v>
                </c:pt>
                <c:pt idx="31">
                  <c:v>1280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1F7-4307-8424-9D3BC5D25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368944"/>
        <c:axId val="1159369272"/>
      </c:lineChart>
      <c:dateAx>
        <c:axId val="11593689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9272"/>
        <c:crosses val="autoZero"/>
        <c:auto val="1"/>
        <c:lblOffset val="100"/>
        <c:baseTimeUnit val="months"/>
        <c:majorUnit val="3"/>
        <c:majorTimeUnit val="months"/>
      </c:dateAx>
      <c:valAx>
        <c:axId val="11593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($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8944"/>
        <c:crosses val="autoZero"/>
        <c:crossBetween val="between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49694917861285498"/>
          <c:y val="0.63831988351406665"/>
          <c:w val="0.44759927544302514"/>
          <c:h val="8.963688949900063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European Union Sunflower Oil</a:t>
            </a:r>
          </a:p>
        </c:rich>
      </c:tx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45719066741452"/>
          <c:y val="0.12759539004012244"/>
          <c:w val="0.85182280913027775"/>
          <c:h val="0.68162917932678457"/>
        </c:manualLayout>
      </c:layout>
      <c:lineChart>
        <c:grouping val="standard"/>
        <c:varyColors val="0"/>
        <c:ser>
          <c:idx val="0"/>
          <c:order val="0"/>
          <c:tx>
            <c:strRef>
              <c:f>'Sun Oil Monthly'!$J$1:$L$1</c:f>
              <c:strCache>
                <c:ptCount val="1"/>
                <c:pt idx="0">
                  <c:v>Sunoil FOB Six Ports $/mt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3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A5-493E-BEBF-F2A6BE7733E7}"/>
              </c:ext>
            </c:extLst>
          </c:dPt>
          <c:dPt>
            <c:idx val="3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A5-493E-BEBF-F2A6BE7733E7}"/>
              </c:ext>
            </c:extLst>
          </c:dPt>
          <c:dPt>
            <c:idx val="3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A5-493E-BEBF-F2A6BE7733E7}"/>
              </c:ext>
            </c:extLst>
          </c:dPt>
          <c:dPt>
            <c:idx val="4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0A5-493E-BEBF-F2A6BE7733E7}"/>
              </c:ext>
            </c:extLst>
          </c:dPt>
          <c:dPt>
            <c:idx val="4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0A5-493E-BEBF-F2A6BE7733E7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0A5-493E-BEBF-F2A6BE7733E7}"/>
              </c:ext>
            </c:extLst>
          </c:dPt>
          <c:dPt>
            <c:idx val="4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0A5-493E-BEBF-F2A6BE7733E7}"/>
              </c:ext>
            </c:extLst>
          </c:dPt>
          <c:dPt>
            <c:idx val="4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0A5-493E-BEBF-F2A6BE7733E7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0A5-493E-BEBF-F2A6BE7733E7}"/>
              </c:ext>
            </c:extLst>
          </c:dPt>
          <c:dPt>
            <c:idx val="4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0A5-493E-BEBF-F2A6BE7733E7}"/>
              </c:ext>
            </c:extLst>
          </c:dPt>
          <c:dPt>
            <c:idx val="4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0A5-493E-BEBF-F2A6BE7733E7}"/>
              </c:ext>
            </c:extLst>
          </c:dPt>
          <c:dPt>
            <c:idx val="4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60A5-493E-BEBF-F2A6BE7733E7}"/>
              </c:ext>
            </c:extLst>
          </c:dPt>
          <c:dPt>
            <c:idx val="4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60A5-493E-BEBF-F2A6BE7733E7}"/>
              </c:ext>
            </c:extLst>
          </c:dPt>
          <c:cat>
            <c:numRef>
              <c:f>'Sun Oil Monthly'!$A$6:$A$71</c:f>
              <c:numCache>
                <c:formatCode>m/d/yyyy</c:formatCode>
                <c:ptCount val="66"/>
                <c:pt idx="0">
                  <c:v>43282</c:v>
                </c:pt>
                <c:pt idx="1">
                  <c:v>43313</c:v>
                </c:pt>
                <c:pt idx="2">
                  <c:v>43344</c:v>
                </c:pt>
                <c:pt idx="3">
                  <c:v>43374</c:v>
                </c:pt>
                <c:pt idx="4">
                  <c:v>43405</c:v>
                </c:pt>
                <c:pt idx="5">
                  <c:v>43435</c:v>
                </c:pt>
                <c:pt idx="6">
                  <c:v>43466</c:v>
                </c:pt>
                <c:pt idx="7">
                  <c:v>43497</c:v>
                </c:pt>
                <c:pt idx="8">
                  <c:v>43525</c:v>
                </c:pt>
                <c:pt idx="9">
                  <c:v>43556</c:v>
                </c:pt>
                <c:pt idx="10">
                  <c:v>43586</c:v>
                </c:pt>
                <c:pt idx="11">
                  <c:v>43617</c:v>
                </c:pt>
                <c:pt idx="12">
                  <c:v>43647</c:v>
                </c:pt>
                <c:pt idx="13">
                  <c:v>43678</c:v>
                </c:pt>
                <c:pt idx="14">
                  <c:v>43709</c:v>
                </c:pt>
                <c:pt idx="15">
                  <c:v>43739</c:v>
                </c:pt>
                <c:pt idx="16">
                  <c:v>43770</c:v>
                </c:pt>
                <c:pt idx="17">
                  <c:v>43800</c:v>
                </c:pt>
                <c:pt idx="18">
                  <c:v>43831</c:v>
                </c:pt>
                <c:pt idx="19">
                  <c:v>43862</c:v>
                </c:pt>
                <c:pt idx="20">
                  <c:v>43891</c:v>
                </c:pt>
                <c:pt idx="21">
                  <c:v>43922</c:v>
                </c:pt>
                <c:pt idx="22">
                  <c:v>43952</c:v>
                </c:pt>
                <c:pt idx="23">
                  <c:v>43983</c:v>
                </c:pt>
                <c:pt idx="24">
                  <c:v>44013</c:v>
                </c:pt>
                <c:pt idx="25">
                  <c:v>44044</c:v>
                </c:pt>
                <c:pt idx="26">
                  <c:v>44075</c:v>
                </c:pt>
                <c:pt idx="27">
                  <c:v>44105</c:v>
                </c:pt>
                <c:pt idx="28">
                  <c:v>44136</c:v>
                </c:pt>
                <c:pt idx="29">
                  <c:v>44166</c:v>
                </c:pt>
                <c:pt idx="30">
                  <c:v>44197</c:v>
                </c:pt>
                <c:pt idx="31">
                  <c:v>44228</c:v>
                </c:pt>
                <c:pt idx="32">
                  <c:v>44256</c:v>
                </c:pt>
                <c:pt idx="33">
                  <c:v>44287</c:v>
                </c:pt>
                <c:pt idx="34">
                  <c:v>44317</c:v>
                </c:pt>
                <c:pt idx="35">
                  <c:v>44348</c:v>
                </c:pt>
                <c:pt idx="36">
                  <c:v>44378</c:v>
                </c:pt>
                <c:pt idx="37">
                  <c:v>44409</c:v>
                </c:pt>
                <c:pt idx="38">
                  <c:v>44440</c:v>
                </c:pt>
                <c:pt idx="39">
                  <c:v>44470</c:v>
                </c:pt>
                <c:pt idx="40">
                  <c:v>44501</c:v>
                </c:pt>
                <c:pt idx="41">
                  <c:v>44531</c:v>
                </c:pt>
                <c:pt idx="42">
                  <c:v>44562</c:v>
                </c:pt>
                <c:pt idx="43">
                  <c:v>44593</c:v>
                </c:pt>
                <c:pt idx="44">
                  <c:v>44621</c:v>
                </c:pt>
                <c:pt idx="45">
                  <c:v>44652</c:v>
                </c:pt>
                <c:pt idx="46">
                  <c:v>44682</c:v>
                </c:pt>
                <c:pt idx="47">
                  <c:v>44713</c:v>
                </c:pt>
                <c:pt idx="48">
                  <c:v>44743</c:v>
                </c:pt>
                <c:pt idx="49">
                  <c:v>44774</c:v>
                </c:pt>
              </c:numCache>
            </c:numRef>
          </c:cat>
          <c:val>
            <c:numRef>
              <c:f>'Sun Oil Monthly'!$J$6:$J$71</c:f>
              <c:numCache>
                <c:formatCode>#,##0.00_);[Red]\(#,##0.00\)</c:formatCode>
                <c:ptCount val="66"/>
                <c:pt idx="0">
                  <c:v>764.5</c:v>
                </c:pt>
                <c:pt idx="1">
                  <c:v>731</c:v>
                </c:pt>
                <c:pt idx="2">
                  <c:v>710.85</c:v>
                </c:pt>
                <c:pt idx="3">
                  <c:v>704.21739130434787</c:v>
                </c:pt>
                <c:pt idx="4">
                  <c:v>676.68181818181813</c:v>
                </c:pt>
                <c:pt idx="5">
                  <c:v>674.5</c:v>
                </c:pt>
                <c:pt idx="6">
                  <c:v>685.05681818181813</c:v>
                </c:pt>
                <c:pt idx="7">
                  <c:v>704.41250000000002</c:v>
                </c:pt>
                <c:pt idx="8">
                  <c:v>696.80952380952385</c:v>
                </c:pt>
                <c:pt idx="9">
                  <c:v>696.82500000000005</c:v>
                </c:pt>
                <c:pt idx="10">
                  <c:v>721.15789473684208</c:v>
                </c:pt>
                <c:pt idx="11">
                  <c:v>732.23684210526312</c:v>
                </c:pt>
                <c:pt idx="12">
                  <c:v>760.32608695652175</c:v>
                </c:pt>
                <c:pt idx="13">
                  <c:v>764.64285714285711</c:v>
                </c:pt>
                <c:pt idx="14">
                  <c:v>746.80952380952385</c:v>
                </c:pt>
                <c:pt idx="15">
                  <c:v>729.56521739130437</c:v>
                </c:pt>
                <c:pt idx="16">
                  <c:v>754.26190476190482</c:v>
                </c:pt>
                <c:pt idx="17">
                  <c:v>800.07500000000005</c:v>
                </c:pt>
                <c:pt idx="18">
                  <c:v>821.59090909090912</c:v>
                </c:pt>
                <c:pt idx="19">
                  <c:v>754.5</c:v>
                </c:pt>
                <c:pt idx="20">
                  <c:v>698.77272727272725</c:v>
                </c:pt>
                <c:pt idx="21">
                  <c:v>722.35</c:v>
                </c:pt>
                <c:pt idx="22">
                  <c:v>745.61764705882354</c:v>
                </c:pt>
                <c:pt idx="23">
                  <c:v>801.90476190476193</c:v>
                </c:pt>
                <c:pt idx="24">
                  <c:v>812.28260869565213</c:v>
                </c:pt>
                <c:pt idx="25">
                  <c:v>849</c:v>
                </c:pt>
                <c:pt idx="26">
                  <c:v>989.31818181818187</c:v>
                </c:pt>
                <c:pt idx="27">
                  <c:v>987.72727272727275</c:v>
                </c:pt>
                <c:pt idx="28">
                  <c:v>1111.6666666666667</c:v>
                </c:pt>
                <c:pt idx="29">
                  <c:v>1181.047619047619</c:v>
                </c:pt>
                <c:pt idx="30">
                  <c:v>1290.75</c:v>
                </c:pt>
                <c:pt idx="31">
                  <c:v>1379.25</c:v>
                </c:pt>
                <c:pt idx="32">
                  <c:v>1634.7826086956522</c:v>
                </c:pt>
                <c:pt idx="33">
                  <c:v>1583</c:v>
                </c:pt>
                <c:pt idx="34">
                  <c:v>1599.4117647058824</c:v>
                </c:pt>
                <c:pt idx="35">
                  <c:v>1312.7272727272727</c:v>
                </c:pt>
                <c:pt idx="36">
                  <c:v>1277.9545454545455</c:v>
                </c:pt>
                <c:pt idx="37">
                  <c:v>1480</c:v>
                </c:pt>
                <c:pt idx="38">
                  <c:v>1500</c:v>
                </c:pt>
                <c:pt idx="39">
                  <c:v>1545</c:v>
                </c:pt>
                <c:pt idx="40">
                  <c:v>1615</c:v>
                </c:pt>
                <c:pt idx="41">
                  <c:v>1640</c:v>
                </c:pt>
                <c:pt idx="42">
                  <c:v>1685</c:v>
                </c:pt>
                <c:pt idx="43">
                  <c:v>1720</c:v>
                </c:pt>
                <c:pt idx="44">
                  <c:v>1745</c:v>
                </c:pt>
                <c:pt idx="45">
                  <c:v>1760</c:v>
                </c:pt>
                <c:pt idx="46">
                  <c:v>1735</c:v>
                </c:pt>
                <c:pt idx="47">
                  <c:v>1760</c:v>
                </c:pt>
                <c:pt idx="48">
                  <c:v>1795</c:v>
                </c:pt>
                <c:pt idx="49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0A5-493E-BEBF-F2A6BE7733E7}"/>
            </c:ext>
          </c:extLst>
        </c:ser>
        <c:ser>
          <c:idx val="1"/>
          <c:order val="1"/>
          <c:tx>
            <c:v>Forecast Range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 Oil Monthly'!$A$6:$A$71</c:f>
              <c:numCache>
                <c:formatCode>m/d/yyyy</c:formatCode>
                <c:ptCount val="66"/>
                <c:pt idx="0">
                  <c:v>43282</c:v>
                </c:pt>
                <c:pt idx="1">
                  <c:v>43313</c:v>
                </c:pt>
                <c:pt idx="2">
                  <c:v>43344</c:v>
                </c:pt>
                <c:pt idx="3">
                  <c:v>43374</c:v>
                </c:pt>
                <c:pt idx="4">
                  <c:v>43405</c:v>
                </c:pt>
                <c:pt idx="5">
                  <c:v>43435</c:v>
                </c:pt>
                <c:pt idx="6">
                  <c:v>43466</c:v>
                </c:pt>
                <c:pt idx="7">
                  <c:v>43497</c:v>
                </c:pt>
                <c:pt idx="8">
                  <c:v>43525</c:v>
                </c:pt>
                <c:pt idx="9">
                  <c:v>43556</c:v>
                </c:pt>
                <c:pt idx="10">
                  <c:v>43586</c:v>
                </c:pt>
                <c:pt idx="11">
                  <c:v>43617</c:v>
                </c:pt>
                <c:pt idx="12">
                  <c:v>43647</c:v>
                </c:pt>
                <c:pt idx="13">
                  <c:v>43678</c:v>
                </c:pt>
                <c:pt idx="14">
                  <c:v>43709</c:v>
                </c:pt>
                <c:pt idx="15">
                  <c:v>43739</c:v>
                </c:pt>
                <c:pt idx="16">
                  <c:v>43770</c:v>
                </c:pt>
                <c:pt idx="17">
                  <c:v>43800</c:v>
                </c:pt>
                <c:pt idx="18">
                  <c:v>43831</c:v>
                </c:pt>
                <c:pt idx="19">
                  <c:v>43862</c:v>
                </c:pt>
                <c:pt idx="20">
                  <c:v>43891</c:v>
                </c:pt>
                <c:pt idx="21">
                  <c:v>43922</c:v>
                </c:pt>
                <c:pt idx="22">
                  <c:v>43952</c:v>
                </c:pt>
                <c:pt idx="23">
                  <c:v>43983</c:v>
                </c:pt>
                <c:pt idx="24">
                  <c:v>44013</c:v>
                </c:pt>
                <c:pt idx="25">
                  <c:v>44044</c:v>
                </c:pt>
                <c:pt idx="26">
                  <c:v>44075</c:v>
                </c:pt>
                <c:pt idx="27">
                  <c:v>44105</c:v>
                </c:pt>
                <c:pt idx="28">
                  <c:v>44136</c:v>
                </c:pt>
                <c:pt idx="29">
                  <c:v>44166</c:v>
                </c:pt>
                <c:pt idx="30">
                  <c:v>44197</c:v>
                </c:pt>
                <c:pt idx="31">
                  <c:v>44228</c:v>
                </c:pt>
                <c:pt idx="32">
                  <c:v>44256</c:v>
                </c:pt>
                <c:pt idx="33">
                  <c:v>44287</c:v>
                </c:pt>
                <c:pt idx="34">
                  <c:v>44317</c:v>
                </c:pt>
                <c:pt idx="35">
                  <c:v>44348</c:v>
                </c:pt>
                <c:pt idx="36">
                  <c:v>44378</c:v>
                </c:pt>
                <c:pt idx="37">
                  <c:v>44409</c:v>
                </c:pt>
                <c:pt idx="38">
                  <c:v>44440</c:v>
                </c:pt>
                <c:pt idx="39">
                  <c:v>44470</c:v>
                </c:pt>
                <c:pt idx="40">
                  <c:v>44501</c:v>
                </c:pt>
                <c:pt idx="41">
                  <c:v>44531</c:v>
                </c:pt>
                <c:pt idx="42">
                  <c:v>44562</c:v>
                </c:pt>
                <c:pt idx="43">
                  <c:v>44593</c:v>
                </c:pt>
                <c:pt idx="44">
                  <c:v>44621</c:v>
                </c:pt>
                <c:pt idx="45">
                  <c:v>44652</c:v>
                </c:pt>
                <c:pt idx="46">
                  <c:v>44682</c:v>
                </c:pt>
                <c:pt idx="47">
                  <c:v>44713</c:v>
                </c:pt>
                <c:pt idx="48">
                  <c:v>44743</c:v>
                </c:pt>
                <c:pt idx="49">
                  <c:v>44774</c:v>
                </c:pt>
              </c:numCache>
            </c:numRef>
          </c:cat>
          <c:val>
            <c:numRef>
              <c:f>'Sun Oil Monthly'!$K$6:$K$71</c:f>
              <c:numCache>
                <c:formatCode>#,##0.00_);[Red]\(#,##0.00\)</c:formatCode>
                <c:ptCount val="66"/>
                <c:pt idx="37">
                  <c:v>1765</c:v>
                </c:pt>
                <c:pt idx="38">
                  <c:v>1795</c:v>
                </c:pt>
                <c:pt idx="39">
                  <c:v>1850</c:v>
                </c:pt>
                <c:pt idx="40">
                  <c:v>1935</c:v>
                </c:pt>
                <c:pt idx="41">
                  <c:v>1970</c:v>
                </c:pt>
                <c:pt idx="42">
                  <c:v>2025</c:v>
                </c:pt>
                <c:pt idx="43">
                  <c:v>2075</c:v>
                </c:pt>
                <c:pt idx="44">
                  <c:v>2110</c:v>
                </c:pt>
                <c:pt idx="45">
                  <c:v>2135</c:v>
                </c:pt>
                <c:pt idx="46">
                  <c:v>2125</c:v>
                </c:pt>
                <c:pt idx="47">
                  <c:v>2155</c:v>
                </c:pt>
                <c:pt idx="48">
                  <c:v>2200</c:v>
                </c:pt>
                <c:pt idx="49">
                  <c:v>2235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0A5-493E-BEBF-F2A6BE7733E7}"/>
            </c:ext>
          </c:extLst>
        </c:ser>
        <c:ser>
          <c:idx val="2"/>
          <c:order val="2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 Oil Monthly'!$A$6:$A$71</c:f>
              <c:numCache>
                <c:formatCode>m/d/yyyy</c:formatCode>
                <c:ptCount val="66"/>
                <c:pt idx="0">
                  <c:v>43282</c:v>
                </c:pt>
                <c:pt idx="1">
                  <c:v>43313</c:v>
                </c:pt>
                <c:pt idx="2">
                  <c:v>43344</c:v>
                </c:pt>
                <c:pt idx="3">
                  <c:v>43374</c:v>
                </c:pt>
                <c:pt idx="4">
                  <c:v>43405</c:v>
                </c:pt>
                <c:pt idx="5">
                  <c:v>43435</c:v>
                </c:pt>
                <c:pt idx="6">
                  <c:v>43466</c:v>
                </c:pt>
                <c:pt idx="7">
                  <c:v>43497</c:v>
                </c:pt>
                <c:pt idx="8">
                  <c:v>43525</c:v>
                </c:pt>
                <c:pt idx="9">
                  <c:v>43556</c:v>
                </c:pt>
                <c:pt idx="10">
                  <c:v>43586</c:v>
                </c:pt>
                <c:pt idx="11">
                  <c:v>43617</c:v>
                </c:pt>
                <c:pt idx="12">
                  <c:v>43647</c:v>
                </c:pt>
                <c:pt idx="13">
                  <c:v>43678</c:v>
                </c:pt>
                <c:pt idx="14">
                  <c:v>43709</c:v>
                </c:pt>
                <c:pt idx="15">
                  <c:v>43739</c:v>
                </c:pt>
                <c:pt idx="16">
                  <c:v>43770</c:v>
                </c:pt>
                <c:pt idx="17">
                  <c:v>43800</c:v>
                </c:pt>
                <c:pt idx="18">
                  <c:v>43831</c:v>
                </c:pt>
                <c:pt idx="19">
                  <c:v>43862</c:v>
                </c:pt>
                <c:pt idx="20">
                  <c:v>43891</c:v>
                </c:pt>
                <c:pt idx="21">
                  <c:v>43922</c:v>
                </c:pt>
                <c:pt idx="22">
                  <c:v>43952</c:v>
                </c:pt>
                <c:pt idx="23">
                  <c:v>43983</c:v>
                </c:pt>
                <c:pt idx="24">
                  <c:v>44013</c:v>
                </c:pt>
                <c:pt idx="25">
                  <c:v>44044</c:v>
                </c:pt>
                <c:pt idx="26">
                  <c:v>44075</c:v>
                </c:pt>
                <c:pt idx="27">
                  <c:v>44105</c:v>
                </c:pt>
                <c:pt idx="28">
                  <c:v>44136</c:v>
                </c:pt>
                <c:pt idx="29">
                  <c:v>44166</c:v>
                </c:pt>
                <c:pt idx="30">
                  <c:v>44197</c:v>
                </c:pt>
                <c:pt idx="31">
                  <c:v>44228</c:v>
                </c:pt>
                <c:pt idx="32">
                  <c:v>44256</c:v>
                </c:pt>
                <c:pt idx="33">
                  <c:v>44287</c:v>
                </c:pt>
                <c:pt idx="34">
                  <c:v>44317</c:v>
                </c:pt>
                <c:pt idx="35">
                  <c:v>44348</c:v>
                </c:pt>
                <c:pt idx="36">
                  <c:v>44378</c:v>
                </c:pt>
                <c:pt idx="37">
                  <c:v>44409</c:v>
                </c:pt>
                <c:pt idx="38">
                  <c:v>44440</c:v>
                </c:pt>
                <c:pt idx="39">
                  <c:v>44470</c:v>
                </c:pt>
                <c:pt idx="40">
                  <c:v>44501</c:v>
                </c:pt>
                <c:pt idx="41">
                  <c:v>44531</c:v>
                </c:pt>
                <c:pt idx="42">
                  <c:v>44562</c:v>
                </c:pt>
                <c:pt idx="43">
                  <c:v>44593</c:v>
                </c:pt>
                <c:pt idx="44">
                  <c:v>44621</c:v>
                </c:pt>
                <c:pt idx="45">
                  <c:v>44652</c:v>
                </c:pt>
                <c:pt idx="46">
                  <c:v>44682</c:v>
                </c:pt>
                <c:pt idx="47">
                  <c:v>44713</c:v>
                </c:pt>
                <c:pt idx="48">
                  <c:v>44743</c:v>
                </c:pt>
                <c:pt idx="49">
                  <c:v>44774</c:v>
                </c:pt>
              </c:numCache>
            </c:numRef>
          </c:cat>
          <c:val>
            <c:numRef>
              <c:f>'Sun Oil Monthly'!$L$6:$L$71</c:f>
              <c:numCache>
                <c:formatCode>#,##0.00_);[Red]\(#,##0.00\)</c:formatCode>
                <c:ptCount val="66"/>
                <c:pt idx="37">
                  <c:v>1195</c:v>
                </c:pt>
                <c:pt idx="38">
                  <c:v>1205</c:v>
                </c:pt>
                <c:pt idx="39">
                  <c:v>1240</c:v>
                </c:pt>
                <c:pt idx="40">
                  <c:v>1295</c:v>
                </c:pt>
                <c:pt idx="41">
                  <c:v>1310</c:v>
                </c:pt>
                <c:pt idx="42">
                  <c:v>1345</c:v>
                </c:pt>
                <c:pt idx="43">
                  <c:v>1365</c:v>
                </c:pt>
                <c:pt idx="44">
                  <c:v>1380</c:v>
                </c:pt>
                <c:pt idx="45">
                  <c:v>1385</c:v>
                </c:pt>
                <c:pt idx="46">
                  <c:v>1345</c:v>
                </c:pt>
                <c:pt idx="47">
                  <c:v>1365</c:v>
                </c:pt>
                <c:pt idx="48">
                  <c:v>1390</c:v>
                </c:pt>
                <c:pt idx="49">
                  <c:v>1405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0A5-493E-BEBF-F2A6BE773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368944"/>
        <c:axId val="1159369272"/>
      </c:lineChart>
      <c:dateAx>
        <c:axId val="11593689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9272"/>
        <c:crosses val="autoZero"/>
        <c:auto val="1"/>
        <c:lblOffset val="100"/>
        <c:baseTimeUnit val="months"/>
        <c:majorUnit val="3"/>
        <c:majorTimeUnit val="months"/>
      </c:dateAx>
      <c:valAx>
        <c:axId val="11593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($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8944"/>
        <c:crosses val="autoZero"/>
        <c:crossBetween val="between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5308652694292149"/>
          <c:y val="0.22250066163975435"/>
          <c:w val="0.44759927544302514"/>
          <c:h val="8.963688949900063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European Union Sunflower Oil</a:t>
            </a:r>
          </a:p>
        </c:rich>
      </c:tx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45719066741452"/>
          <c:y val="0.12759539004012244"/>
          <c:w val="0.85182280913027775"/>
          <c:h val="0.68162917932678457"/>
        </c:manualLayout>
      </c:layout>
      <c:lineChart>
        <c:grouping val="standard"/>
        <c:varyColors val="0"/>
        <c:ser>
          <c:idx val="0"/>
          <c:order val="0"/>
          <c:tx>
            <c:strRef>
              <c:f>'Sun Oil Monthly'!$M$1:$O$1</c:f>
              <c:strCache>
                <c:ptCount val="1"/>
                <c:pt idx="0">
                  <c:v>Sunoil FOB Argentina $/mt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3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7B-49EE-BCF9-022609E69FA0}"/>
              </c:ext>
            </c:extLst>
          </c:dPt>
          <c:dPt>
            <c:idx val="3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7B-49EE-BCF9-022609E69FA0}"/>
              </c:ext>
            </c:extLst>
          </c:dPt>
          <c:dPt>
            <c:idx val="4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7B-49EE-BCF9-022609E69FA0}"/>
              </c:ext>
            </c:extLst>
          </c:dPt>
          <c:dPt>
            <c:idx val="4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7B-49EE-BCF9-022609E69FA0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7B-49EE-BCF9-022609E69FA0}"/>
              </c:ext>
            </c:extLst>
          </c:dPt>
          <c:dPt>
            <c:idx val="4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7B-49EE-BCF9-022609E69FA0}"/>
              </c:ext>
            </c:extLst>
          </c:dPt>
          <c:dPt>
            <c:idx val="4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67B-49EE-BCF9-022609E69FA0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67B-49EE-BCF9-022609E69FA0}"/>
              </c:ext>
            </c:extLst>
          </c:dPt>
          <c:dPt>
            <c:idx val="4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067B-49EE-BCF9-022609E69FA0}"/>
              </c:ext>
            </c:extLst>
          </c:dPt>
          <c:dPt>
            <c:idx val="4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067B-49EE-BCF9-022609E69FA0}"/>
              </c:ext>
            </c:extLst>
          </c:dPt>
          <c:dPt>
            <c:idx val="4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067B-49EE-BCF9-022609E69FA0}"/>
              </c:ext>
            </c:extLst>
          </c:dPt>
          <c:dPt>
            <c:idx val="4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067B-49EE-BCF9-022609E69FA0}"/>
              </c:ext>
            </c:extLst>
          </c:dPt>
          <c:dPt>
            <c:idx val="5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067B-49EE-BCF9-022609E69FA0}"/>
              </c:ext>
            </c:extLst>
          </c:dPt>
          <c:cat>
            <c:numRef>
              <c:f>'Sun Oil Monthly'!$A$5:$A$71</c:f>
              <c:numCache>
                <c:formatCode>m/d/yyyy</c:formatCode>
                <c:ptCount val="67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</c:numCache>
            </c:numRef>
          </c:cat>
          <c:val>
            <c:numRef>
              <c:f>'Sun Oil Monthly'!$M$5:$M$71</c:f>
              <c:numCache>
                <c:formatCode>#,##0.00_);[Red]\(#,##0.00\)</c:formatCode>
                <c:ptCount val="67"/>
                <c:pt idx="0">
                  <c:v>715.3</c:v>
                </c:pt>
                <c:pt idx="1">
                  <c:v>718.25</c:v>
                </c:pt>
                <c:pt idx="2">
                  <c:v>718.81818181818187</c:v>
                </c:pt>
                <c:pt idx="3">
                  <c:v>691.65</c:v>
                </c:pt>
                <c:pt idx="4">
                  <c:v>665.90909090909088</c:v>
                </c:pt>
                <c:pt idx="5">
                  <c:v>645.09523809523807</c:v>
                </c:pt>
                <c:pt idx="6">
                  <c:v>618.82352941176475</c:v>
                </c:pt>
                <c:pt idx="7">
                  <c:v>616.59090909090912</c:v>
                </c:pt>
                <c:pt idx="8">
                  <c:v>652.5</c:v>
                </c:pt>
                <c:pt idx="9">
                  <c:v>642.36842105263156</c:v>
                </c:pt>
                <c:pt idx="10">
                  <c:v>640.57894736842104</c:v>
                </c:pt>
                <c:pt idx="11">
                  <c:v>664</c:v>
                </c:pt>
                <c:pt idx="12">
                  <c:v>687.16666666666663</c:v>
                </c:pt>
                <c:pt idx="13">
                  <c:v>718.09523809523807</c:v>
                </c:pt>
                <c:pt idx="14">
                  <c:v>719.04761904761904</c:v>
                </c:pt>
                <c:pt idx="15">
                  <c:v>707.19047619047615</c:v>
                </c:pt>
                <c:pt idx="16">
                  <c:v>678.60869565217388</c:v>
                </c:pt>
                <c:pt idx="17">
                  <c:v>688.25</c:v>
                </c:pt>
                <c:pt idx="18">
                  <c:v>747.5</c:v>
                </c:pt>
                <c:pt idx="19">
                  <c:v>783.86363636363637</c:v>
                </c:pt>
                <c:pt idx="20">
                  <c:v>731.84210526315792</c:v>
                </c:pt>
                <c:pt idx="21">
                  <c:v>664.75</c:v>
                </c:pt>
                <c:pt idx="22">
                  <c:v>675.25</c:v>
                </c:pt>
                <c:pt idx="23">
                  <c:v>703.15789473684208</c:v>
                </c:pt>
                <c:pt idx="24">
                  <c:v>750.68181818181813</c:v>
                </c:pt>
                <c:pt idx="25">
                  <c:v>759.52380952380952</c:v>
                </c:pt>
                <c:pt idx="26">
                  <c:v>784.73684210526312</c:v>
                </c:pt>
                <c:pt idx="27">
                  <c:v>901.59090909090912</c:v>
                </c:pt>
                <c:pt idx="28">
                  <c:v>955.71428571428567</c:v>
                </c:pt>
                <c:pt idx="29">
                  <c:v>1059.75</c:v>
                </c:pt>
                <c:pt idx="30">
                  <c:v>1138.9473684210527</c:v>
                </c:pt>
                <c:pt idx="31">
                  <c:v>1260.25</c:v>
                </c:pt>
                <c:pt idx="32">
                  <c:v>1290</c:v>
                </c:pt>
                <c:pt idx="33">
                  <c:v>1528.4782608695652</c:v>
                </c:pt>
                <c:pt idx="34">
                  <c:v>1491.5</c:v>
                </c:pt>
                <c:pt idx="35">
                  <c:v>1499.7058823529412</c:v>
                </c:pt>
                <c:pt idx="36">
                  <c:v>1251.8181818181818</c:v>
                </c:pt>
                <c:pt idx="37">
                  <c:v>1255</c:v>
                </c:pt>
                <c:pt idx="38">
                  <c:v>1405</c:v>
                </c:pt>
                <c:pt idx="39">
                  <c:v>1435</c:v>
                </c:pt>
                <c:pt idx="40">
                  <c:v>1480</c:v>
                </c:pt>
                <c:pt idx="41">
                  <c:v>1545</c:v>
                </c:pt>
                <c:pt idx="42">
                  <c:v>1565</c:v>
                </c:pt>
                <c:pt idx="43">
                  <c:v>1610</c:v>
                </c:pt>
                <c:pt idx="44">
                  <c:v>1645</c:v>
                </c:pt>
                <c:pt idx="45">
                  <c:v>1670</c:v>
                </c:pt>
                <c:pt idx="46">
                  <c:v>1685</c:v>
                </c:pt>
                <c:pt idx="47">
                  <c:v>1660</c:v>
                </c:pt>
                <c:pt idx="48">
                  <c:v>1685</c:v>
                </c:pt>
                <c:pt idx="49">
                  <c:v>1720</c:v>
                </c:pt>
                <c:pt idx="50">
                  <c:v>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67B-49EE-BCF9-022609E69FA0}"/>
            </c:ext>
          </c:extLst>
        </c:ser>
        <c:ser>
          <c:idx val="1"/>
          <c:order val="1"/>
          <c:tx>
            <c:v>Forecast Range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 Oil Monthly'!$A$5:$A$71</c:f>
              <c:numCache>
                <c:formatCode>m/d/yyyy</c:formatCode>
                <c:ptCount val="67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</c:numCache>
            </c:numRef>
          </c:cat>
          <c:val>
            <c:numRef>
              <c:f>'Sun Oil Monthly'!$N$5:$N$71</c:f>
              <c:numCache>
                <c:formatCode>#,##0.00_);[Red]\(#,##0.00\)</c:formatCode>
                <c:ptCount val="67"/>
                <c:pt idx="38">
                  <c:v>1675</c:v>
                </c:pt>
                <c:pt idx="39">
                  <c:v>1720</c:v>
                </c:pt>
                <c:pt idx="40">
                  <c:v>1775</c:v>
                </c:pt>
                <c:pt idx="41">
                  <c:v>1850</c:v>
                </c:pt>
                <c:pt idx="42">
                  <c:v>1880</c:v>
                </c:pt>
                <c:pt idx="43">
                  <c:v>1935</c:v>
                </c:pt>
                <c:pt idx="44">
                  <c:v>1985</c:v>
                </c:pt>
                <c:pt idx="45">
                  <c:v>2020</c:v>
                </c:pt>
                <c:pt idx="46">
                  <c:v>2045</c:v>
                </c:pt>
                <c:pt idx="47">
                  <c:v>2035</c:v>
                </c:pt>
                <c:pt idx="48">
                  <c:v>2065</c:v>
                </c:pt>
                <c:pt idx="49">
                  <c:v>2110</c:v>
                </c:pt>
                <c:pt idx="50">
                  <c:v>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67B-49EE-BCF9-022609E69FA0}"/>
            </c:ext>
          </c:extLst>
        </c:ser>
        <c:ser>
          <c:idx val="2"/>
          <c:order val="2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'Sun Oil Monthly'!$A$5:$A$71</c:f>
              <c:numCache>
                <c:formatCode>m/d/yyyy</c:formatCode>
                <c:ptCount val="67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</c:numCache>
            </c:numRef>
          </c:cat>
          <c:val>
            <c:numRef>
              <c:f>'Sun Oil Monthly'!$O$5:$O$71</c:f>
              <c:numCache>
                <c:formatCode>#,##0.00_);[Red]\(#,##0.00\)</c:formatCode>
                <c:ptCount val="67"/>
                <c:pt idx="38">
                  <c:v>1135</c:v>
                </c:pt>
                <c:pt idx="39">
                  <c:v>1150</c:v>
                </c:pt>
                <c:pt idx="40">
                  <c:v>1185</c:v>
                </c:pt>
                <c:pt idx="41">
                  <c:v>1240</c:v>
                </c:pt>
                <c:pt idx="42">
                  <c:v>1250</c:v>
                </c:pt>
                <c:pt idx="43">
                  <c:v>1285</c:v>
                </c:pt>
                <c:pt idx="44">
                  <c:v>1305</c:v>
                </c:pt>
                <c:pt idx="45">
                  <c:v>1320</c:v>
                </c:pt>
                <c:pt idx="46">
                  <c:v>1325</c:v>
                </c:pt>
                <c:pt idx="47">
                  <c:v>1285</c:v>
                </c:pt>
                <c:pt idx="48">
                  <c:v>1305</c:v>
                </c:pt>
                <c:pt idx="49">
                  <c:v>1330</c:v>
                </c:pt>
                <c:pt idx="50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67B-49EE-BCF9-022609E69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368944"/>
        <c:axId val="1159369272"/>
      </c:lineChart>
      <c:dateAx>
        <c:axId val="11593689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9272"/>
        <c:crosses val="autoZero"/>
        <c:auto val="1"/>
        <c:lblOffset val="100"/>
        <c:baseTimeUnit val="months"/>
        <c:majorUnit val="3"/>
        <c:majorTimeUnit val="months"/>
      </c:dateAx>
      <c:valAx>
        <c:axId val="11593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($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368944"/>
        <c:crosses val="autoZero"/>
        <c:crossBetween val="between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5308652694292149"/>
          <c:y val="0.22250066163975435"/>
          <c:w val="0.44759927544302514"/>
          <c:h val="8.963688949900063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chart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C0EFF5-4CC7-4BCF-8B9B-8570438AC20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B7D2E3-5B5C-472D-BF9C-9033D033F451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FC4362-7C4B-4E1F-9F8C-C2364F6D1A80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195183-79B1-4FCC-A0D4-6362C6B8F6A8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563765-A9F2-4346-8B45-41E3A8A147D7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5D29AF-5F9F-4153-9B63-1E203E6D078D}">
  <sheetPr/>
  <sheetViews>
    <sheetView zoomScale="115" workbookViewId="0"/>
  </sheetViews>
  <pageMargins left="0.25" right="0.25" top="1.25" bottom="1.25" header="0.3" footer="0.3"/>
  <pageSetup orientation="landscape" r:id="rId1"/>
  <headerFooter>
    <oddHeader>&amp;L&amp;G</oddHeader>
    <oddFooter>&amp;L&amp;D&amp;C&amp;P</oddFooter>
  </headerFooter>
  <drawing r:id="rId2"/>
  <legacyDrawingHF r:id="rId3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3C1E76-9D5D-4701-8699-D2A12DC6918E}">
  <sheetPr/>
  <sheetViews>
    <sheetView zoomScale="115" workbookViewId="0"/>
  </sheetViews>
  <pageMargins left="0.25" right="0.25" top="1.25" bottom="1.25" header="0.3" footer="0.3"/>
  <pageSetup orientation="landscape" r:id="rId1"/>
  <headerFooter>
    <oddHeader>&amp;L&amp;G</oddHeader>
    <oddFooter>&amp;L&amp;D&amp;C&amp;P</oddFooter>
  </headerFooter>
  <drawing r:id="rId2"/>
  <legacyDrawingHF r:id="rId3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C44FB5-42FE-4A07-8EC8-744F505BB547}">
  <sheetPr/>
  <sheetViews>
    <sheetView zoomScale="115" workbookViewId="0"/>
  </sheetViews>
  <pageMargins left="0.25" right="0.25" top="1.25" bottom="1.25" header="0.3" footer="0.3"/>
  <pageSetup orientation="landscape" r:id="rId1"/>
  <headerFooter>
    <oddHeader>&amp;L&amp;G</oddHeader>
    <oddFooter>&amp;L&amp;D&amp;C&amp;P</oddFooter>
  </headerFooter>
  <drawing r:id="rId2"/>
  <legacyDrawingHF r:id="rId3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3A73B2-2DCD-4F08-8206-71C23107C164}">
  <sheetPr/>
  <sheetViews>
    <sheetView zoomScale="115" workbookViewId="0"/>
  </sheetViews>
  <pageMargins left="0.25" right="0.25" top="1.25" bottom="1.25" header="0.3" footer="0.3"/>
  <pageSetup orientation="landscape" r:id="rId1"/>
  <headerFooter>
    <oddHeader>&amp;L&amp;G</oddHeader>
    <oddFooter>&amp;L&amp;D&amp;C&amp;P</oddFooter>
  </headerFooter>
  <drawing r:id="rId2"/>
  <legacyDrawingHF r:id="rId3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6A088B-BABC-49DF-B170-602B7557D5D0}">
  <sheetPr/>
  <sheetViews>
    <sheetView zoomScale="115" workbookViewId="0"/>
  </sheetViews>
  <pageMargins left="0.25" right="0.25" top="1.25" bottom="1.25" header="0.3" footer="0.3"/>
  <pageSetup orientation="landscape" r:id="rId1"/>
  <headerFooter>
    <oddHeader>&amp;L&amp;G</oddHeader>
    <oddFooter>&amp;L&amp;D&amp;C&amp;P</oddFooter>
  </headerFooter>
  <drawing r:id="rId2"/>
  <legacyDrawingHF r:id="rId3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7D2691-EE50-4E12-ACBC-36232ED67B39}">
  <sheetPr/>
  <sheetViews>
    <sheetView zoomScale="115" workbookViewId="0"/>
  </sheetViews>
  <pageMargins left="0.25" right="0.25" top="1.25" bottom="1.25" header="0.3" footer="0.3"/>
  <pageSetup orientation="landscape" r:id="rId1"/>
  <headerFooter>
    <oddHeader>&amp;L&amp;G</oddHeader>
    <oddFooter>&amp;L&amp;D&amp;C&amp;P</oddFooter>
  </headerFooter>
  <drawing r:id="rId2"/>
  <legacyDrawingHF r:id="rId3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8542" cy="53842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A13832-01EA-6975-08C0-794BC59E13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685800" y="200025"/>
    <xdr:ext cx="6153150" cy="3981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E78C8-C9A7-4F38-A104-86BFBBF7CD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685799" y="4600575"/>
    <xdr:ext cx="6143625" cy="39147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581C5A-001C-4FF7-9035-12352D5B5A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7543800" y="200025"/>
    <xdr:ext cx="6200775" cy="40005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924544-66EB-4F4A-94A0-10BA597146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7562849" y="4600575"/>
    <xdr:ext cx="6209179" cy="391589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D94A34-7823-4202-8DB6-B0ABEAD995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8542" cy="53842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DF266-46D3-4C6F-8ADD-0D638C152A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498542" cy="53842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99B6D-E435-FB30-A06A-E9FC1557D7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82759-B976-3F3E-3994-67D7598728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8542" cy="53842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B7B94C-5AE3-9082-2044-E08AC0C355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DC189-C745-AB92-4B0E-DA1B1AFB37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0.00524</cdr:x>
      <cdr:y>0.94146</cdr:y>
    </cdr:from>
    <cdr:to>
      <cdr:x>0.20596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62A871-CE7C-4850-A788-B6F0A8111577}"/>
            </a:ext>
          </a:extLst>
        </cdr:cNvPr>
        <cdr:cNvSpPr txBox="1"/>
      </cdr:nvSpPr>
      <cdr:spPr>
        <a:xfrm xmlns:a="http://schemas.openxmlformats.org/drawingml/2006/main">
          <a:off x="49696" y="5062054"/>
          <a:ext cx="1905000" cy="3147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166E6-F38B-0C8C-BB86-241C25E730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0.00524</cdr:x>
      <cdr:y>0.94146</cdr:y>
    </cdr:from>
    <cdr:to>
      <cdr:x>0.20596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62A871-CE7C-4850-A788-B6F0A8111577}"/>
            </a:ext>
          </a:extLst>
        </cdr:cNvPr>
        <cdr:cNvSpPr txBox="1"/>
      </cdr:nvSpPr>
      <cdr:spPr>
        <a:xfrm xmlns:a="http://schemas.openxmlformats.org/drawingml/2006/main">
          <a:off x="49696" y="5062054"/>
          <a:ext cx="1905000" cy="3147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4C658-9FA0-5170-66BF-9337D0C996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0.00524</cdr:x>
      <cdr:y>0.94146</cdr:y>
    </cdr:from>
    <cdr:to>
      <cdr:x>0.20596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62A871-CE7C-4850-A788-B6F0A8111577}"/>
            </a:ext>
          </a:extLst>
        </cdr:cNvPr>
        <cdr:cNvSpPr txBox="1"/>
      </cdr:nvSpPr>
      <cdr:spPr>
        <a:xfrm xmlns:a="http://schemas.openxmlformats.org/drawingml/2006/main">
          <a:off x="49696" y="5062054"/>
          <a:ext cx="1905000" cy="3147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A7191-FFA5-D404-5AD7-095DA77C9B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0.00524</cdr:x>
      <cdr:y>0.94146</cdr:y>
    </cdr:from>
    <cdr:to>
      <cdr:x>0.20596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62A871-CE7C-4850-A788-B6F0A8111577}"/>
            </a:ext>
          </a:extLst>
        </cdr:cNvPr>
        <cdr:cNvSpPr txBox="1"/>
      </cdr:nvSpPr>
      <cdr:spPr>
        <a:xfrm xmlns:a="http://schemas.openxmlformats.org/drawingml/2006/main">
          <a:off x="49696" y="5062054"/>
          <a:ext cx="1905000" cy="3147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A76D1-508E-D168-0B23-7434874C59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0.00524</cdr:x>
      <cdr:y>0.94146</cdr:y>
    </cdr:from>
    <cdr:to>
      <cdr:x>0.20596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62A871-CE7C-4850-A788-B6F0A8111577}"/>
            </a:ext>
          </a:extLst>
        </cdr:cNvPr>
        <cdr:cNvSpPr txBox="1"/>
      </cdr:nvSpPr>
      <cdr:spPr>
        <a:xfrm xmlns:a="http://schemas.openxmlformats.org/drawingml/2006/main">
          <a:off x="49696" y="5062054"/>
          <a:ext cx="1905000" cy="3147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61270-5DF8-E642-22B7-0F388F7A67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0.00524</cdr:x>
      <cdr:y>0.94146</cdr:y>
    </cdr:from>
    <cdr:to>
      <cdr:x>0.20596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62A871-CE7C-4850-A788-B6F0A8111577}"/>
            </a:ext>
          </a:extLst>
        </cdr:cNvPr>
        <cdr:cNvSpPr txBox="1"/>
      </cdr:nvSpPr>
      <cdr:spPr>
        <a:xfrm xmlns:a="http://schemas.openxmlformats.org/drawingml/2006/main">
          <a:off x="49696" y="5062054"/>
          <a:ext cx="1905000" cy="3147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sunprices%20-%20HOBO.xlsx" TargetMode="External"/><Relationship Id="rId1" Type="http://schemas.openxmlformats.org/officeDocument/2006/relationships/externalLinkPath" Target="/Users/torem/Dropbox/FM%20Files/HOBO/Biofuel%20Model/sunprices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uromoneyplc.sharepoint.com/sites/TJTeam/Shared%20Documents/Soybean%20Spreadsheets/soy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nflower Oil Prices"/>
      <sheetName val="Sunflower Prices"/>
      <sheetName val="Crush Margins"/>
      <sheetName val="Crush Margins Monthly"/>
      <sheetName val="NWE Crush Chart"/>
      <sheetName val="Charts Print"/>
      <sheetName val="Ukraine Crush Chart"/>
      <sheetName val="Argentina Crush Chart"/>
      <sheetName val="France Crush Chart"/>
      <sheetName val="Italy Crush Chart"/>
      <sheetName val="Crush Margins Chart Data"/>
      <sheetName val="Sunflower Monthly"/>
      <sheetName val="Sun Oil Monthly"/>
      <sheetName val="Ukraine Sunflower"/>
      <sheetName val="Russia Sunflower"/>
      <sheetName val="Ukraine Sunoil"/>
      <sheetName val="Russia Sunoil"/>
      <sheetName val="EU Sunoil"/>
      <sheetName val="Argentina Sunoil"/>
      <sheetName val="Russian Taxes"/>
    </sheetNames>
    <sheetDataSet>
      <sheetData sheetId="0"/>
      <sheetData sheetId="1"/>
      <sheetData sheetId="2"/>
      <sheetData sheetId="3"/>
      <sheetData sheetId="5"/>
      <sheetData sheetId="10">
        <row r="2">
          <cell r="M2">
            <v>2020</v>
          </cell>
          <cell r="N2">
            <v>2021</v>
          </cell>
          <cell r="O2" t="str">
            <v>5-Year Max</v>
          </cell>
        </row>
        <row r="3">
          <cell r="A3" t="str">
            <v>Jan</v>
          </cell>
          <cell r="M3">
            <v>28.133181818181807</v>
          </cell>
          <cell r="N3">
            <v>74.237499999999983</v>
          </cell>
          <cell r="O3">
            <v>28.133181818181807</v>
          </cell>
          <cell r="P3">
            <v>-29.103684210526318</v>
          </cell>
        </row>
        <row r="4">
          <cell r="A4" t="str">
            <v>Feb</v>
          </cell>
          <cell r="M4">
            <v>42.767499999999991</v>
          </cell>
          <cell r="N4">
            <v>99.61999999999999</v>
          </cell>
          <cell r="O4">
            <v>42.767499999999991</v>
          </cell>
          <cell r="P4">
            <v>-73.115999999999985</v>
          </cell>
        </row>
        <row r="5">
          <cell r="A5" t="str">
            <v>Mar</v>
          </cell>
          <cell r="M5">
            <v>53.085909090909105</v>
          </cell>
          <cell r="N5">
            <v>169.86695652173918</v>
          </cell>
          <cell r="O5">
            <v>53.085909090909105</v>
          </cell>
          <cell r="P5">
            <v>-53.958181818181806</v>
          </cell>
        </row>
        <row r="6">
          <cell r="A6" t="str">
            <v>Apr</v>
          </cell>
          <cell r="M6">
            <v>77.485238095238103</v>
          </cell>
          <cell r="N6">
            <v>174.54363636363638</v>
          </cell>
          <cell r="O6">
            <v>77.485238095238103</v>
          </cell>
          <cell r="P6">
            <v>-8.7580952380952368</v>
          </cell>
        </row>
        <row r="7">
          <cell r="A7" t="str">
            <v>May</v>
          </cell>
          <cell r="M7">
            <v>77.412499999999994</v>
          </cell>
          <cell r="N7">
            <v>110.8752380952381</v>
          </cell>
          <cell r="O7">
            <v>77.412499999999994</v>
          </cell>
          <cell r="P7">
            <v>24.739523809523813</v>
          </cell>
        </row>
        <row r="8">
          <cell r="A8" t="str">
            <v>Jun</v>
          </cell>
          <cell r="M8">
            <v>69.654090909090911</v>
          </cell>
          <cell r="N8">
            <v>45.691818181818164</v>
          </cell>
          <cell r="O8">
            <v>69.654090909090911</v>
          </cell>
          <cell r="P8">
            <v>2.3099999999999983</v>
          </cell>
        </row>
        <row r="9">
          <cell r="A9" t="str">
            <v>Jul</v>
          </cell>
          <cell r="M9">
            <v>49.202608695652188</v>
          </cell>
          <cell r="N9">
            <v>26.143181818181812</v>
          </cell>
          <cell r="O9">
            <v>60.690476190476183</v>
          </cell>
          <cell r="P9">
            <v>-3.216000000000002</v>
          </cell>
        </row>
        <row r="10">
          <cell r="A10" t="str">
            <v>Aug</v>
          </cell>
          <cell r="M10">
            <v>32.574285714285729</v>
          </cell>
          <cell r="N10" t="e">
            <v>#NAME?</v>
          </cell>
          <cell r="O10">
            <v>50.698260869565225</v>
          </cell>
          <cell r="P10">
            <v>-15.168260869565215</v>
          </cell>
        </row>
        <row r="11">
          <cell r="A11" t="str">
            <v>Sep</v>
          </cell>
          <cell r="M11">
            <v>42.78954545454544</v>
          </cell>
          <cell r="O11">
            <v>47.990526315789467</v>
          </cell>
          <cell r="P11">
            <v>-35.066190476190492</v>
          </cell>
        </row>
        <row r="12">
          <cell r="A12" t="str">
            <v>Oct</v>
          </cell>
          <cell r="M12">
            <v>38.578181818181818</v>
          </cell>
          <cell r="O12">
            <v>53.233181818181812</v>
          </cell>
          <cell r="P12">
            <v>-34.483809523809519</v>
          </cell>
        </row>
        <row r="13">
          <cell r="A13" t="str">
            <v>Nov</v>
          </cell>
          <cell r="M13">
            <v>30.475238095238097</v>
          </cell>
          <cell r="O13">
            <v>52.841904761904765</v>
          </cell>
          <cell r="P13">
            <v>-23.712857142857143</v>
          </cell>
        </row>
        <row r="14">
          <cell r="A14" t="str">
            <v>Dec</v>
          </cell>
          <cell r="M14">
            <v>47.993913043478265</v>
          </cell>
          <cell r="O14">
            <v>51.403499999999973</v>
          </cell>
          <cell r="P14">
            <v>-16.864761904761902</v>
          </cell>
        </row>
        <row r="18">
          <cell r="M18">
            <v>54.974545454545456</v>
          </cell>
          <cell r="N18">
            <v>35.041000000000011</v>
          </cell>
          <cell r="O18">
            <v>54.974545454545456</v>
          </cell>
          <cell r="P18">
            <v>-5.4969566470307152</v>
          </cell>
        </row>
        <row r="19">
          <cell r="M19">
            <v>28.3505</v>
          </cell>
          <cell r="N19">
            <v>10.566499999999998</v>
          </cell>
          <cell r="O19">
            <v>31.814743522274899</v>
          </cell>
          <cell r="P19">
            <v>2.9944932221320832</v>
          </cell>
        </row>
        <row r="20">
          <cell r="M20">
            <v>45.378181818181822</v>
          </cell>
          <cell r="N20">
            <v>52.383913043478266</v>
          </cell>
          <cell r="O20">
            <v>45.378181818181822</v>
          </cell>
          <cell r="P20">
            <v>4.0297668719017441</v>
          </cell>
        </row>
        <row r="21">
          <cell r="M21">
            <v>29.464999999999996</v>
          </cell>
          <cell r="N21">
            <v>30.571000000000009</v>
          </cell>
          <cell r="O21">
            <v>29.464999999999996</v>
          </cell>
          <cell r="P21">
            <v>-4.5856223345270086</v>
          </cell>
        </row>
        <row r="22">
          <cell r="M22">
            <v>29.015882352941173</v>
          </cell>
          <cell r="N22">
            <v>64.499473684210528</v>
          </cell>
          <cell r="O22">
            <v>29.015882352941173</v>
          </cell>
          <cell r="P22">
            <v>-16.652651949098583</v>
          </cell>
        </row>
        <row r="23">
          <cell r="M23">
            <v>31.570999999999991</v>
          </cell>
          <cell r="N23">
            <v>81.06590909090913</v>
          </cell>
          <cell r="O23">
            <v>31.570999999999991</v>
          </cell>
          <cell r="P23">
            <v>-8.0802717579917402</v>
          </cell>
        </row>
        <row r="24">
          <cell r="M24">
            <v>42.676521739130436</v>
          </cell>
          <cell r="N24">
            <v>60.520909090909115</v>
          </cell>
          <cell r="O24">
            <v>42.676521739130436</v>
          </cell>
          <cell r="P24">
            <v>0.83598906327311306</v>
          </cell>
        </row>
        <row r="25">
          <cell r="M25">
            <v>68.424500000000009</v>
          </cell>
          <cell r="N25">
            <v>67.69</v>
          </cell>
          <cell r="O25">
            <v>68.424500000000009</v>
          </cell>
          <cell r="P25">
            <v>3.0728995645817068</v>
          </cell>
        </row>
        <row r="26">
          <cell r="M26">
            <v>81.330909090909103</v>
          </cell>
          <cell r="O26">
            <v>81.330909090909103</v>
          </cell>
          <cell r="P26">
            <v>16.575605971521657</v>
          </cell>
        </row>
        <row r="27">
          <cell r="M27">
            <v>65.043636363636338</v>
          </cell>
          <cell r="O27">
            <v>65.043636363636338</v>
          </cell>
          <cell r="P27">
            <v>16.041627608853304</v>
          </cell>
        </row>
        <row r="28">
          <cell r="M28">
            <v>27.222380952380963</v>
          </cell>
          <cell r="O28">
            <v>33.825716060624494</v>
          </cell>
          <cell r="P28">
            <v>4.1929537012981788</v>
          </cell>
        </row>
        <row r="29">
          <cell r="M29">
            <v>16.402380952380952</v>
          </cell>
          <cell r="O29">
            <v>36.353287992482834</v>
          </cell>
          <cell r="P29">
            <v>6.1646755576678265</v>
          </cell>
        </row>
        <row r="33">
          <cell r="M33">
            <v>-14.454999999999997</v>
          </cell>
          <cell r="N33">
            <v>-47.650000000000013</v>
          </cell>
          <cell r="O33">
            <v>20.412380952380953</v>
          </cell>
          <cell r="P33">
            <v>-69.610952380952398</v>
          </cell>
        </row>
        <row r="34">
          <cell r="M34">
            <v>5.8524999999999991</v>
          </cell>
          <cell r="N34">
            <v>-10.309999999999992</v>
          </cell>
          <cell r="O34">
            <v>37.76736842105263</v>
          </cell>
          <cell r="P34">
            <v>-96.067999999999984</v>
          </cell>
        </row>
        <row r="35">
          <cell r="M35">
            <v>0.6445454545454552</v>
          </cell>
          <cell r="N35">
            <v>75.42043478260868</v>
          </cell>
          <cell r="O35">
            <v>46.527826086956523</v>
          </cell>
          <cell r="P35">
            <v>-79.285454545454499</v>
          </cell>
        </row>
        <row r="36">
          <cell r="M36">
            <v>26.160476190476196</v>
          </cell>
          <cell r="N36">
            <v>92.669545454545457</v>
          </cell>
          <cell r="O36">
            <v>49.632105263157875</v>
          </cell>
          <cell r="P36">
            <v>-39.98095238095236</v>
          </cell>
        </row>
        <row r="37">
          <cell r="M37">
            <v>24.701000000000001</v>
          </cell>
          <cell r="N37">
            <v>40.8904761904762</v>
          </cell>
          <cell r="O37">
            <v>45.851363636363629</v>
          </cell>
          <cell r="P37">
            <v>-0.63954545454545486</v>
          </cell>
        </row>
        <row r="38">
          <cell r="M38">
            <v>35.609545454545447</v>
          </cell>
          <cell r="N38">
            <v>-8.030454545454548</v>
          </cell>
          <cell r="O38">
            <v>45.998571428571417</v>
          </cell>
          <cell r="P38">
            <v>-12.847499999999997</v>
          </cell>
        </row>
        <row r="39">
          <cell r="M39">
            <v>18.171304347826091</v>
          </cell>
          <cell r="N39">
            <v>-12.380909090909091</v>
          </cell>
          <cell r="O39">
            <v>39.179047619047616</v>
          </cell>
          <cell r="P39">
            <v>0.2681818181818183</v>
          </cell>
        </row>
        <row r="40">
          <cell r="M40">
            <v>-2.5747619047619055</v>
          </cell>
          <cell r="N40" t="e">
            <v>#NAME?</v>
          </cell>
          <cell r="O40">
            <v>35.846956521739138</v>
          </cell>
          <cell r="P40">
            <v>-12.219130434782608</v>
          </cell>
        </row>
        <row r="41">
          <cell r="M41">
            <v>-12.68045454545455</v>
          </cell>
          <cell r="O41">
            <v>34.986000000000004</v>
          </cell>
          <cell r="P41">
            <v>-39.775714285714272</v>
          </cell>
        </row>
        <row r="42">
          <cell r="M42">
            <v>-25.745909090909091</v>
          </cell>
          <cell r="O42">
            <v>62.233636363636357</v>
          </cell>
          <cell r="P42">
            <v>-39.513333333333335</v>
          </cell>
        </row>
        <row r="43">
          <cell r="M43">
            <v>-65.886190476190478</v>
          </cell>
          <cell r="O43">
            <v>63.226666666666674</v>
          </cell>
          <cell r="P43">
            <v>-65.886190476190478</v>
          </cell>
        </row>
        <row r="44">
          <cell r="M44">
            <v>-56.617826086956526</v>
          </cell>
          <cell r="O44">
            <v>54.950000000000024</v>
          </cell>
          <cell r="P44">
            <v>-56.617826086956526</v>
          </cell>
        </row>
        <row r="48">
          <cell r="M48">
            <v>79.554090909090945</v>
          </cell>
          <cell r="N48">
            <v>69.812499999999986</v>
          </cell>
          <cell r="O48">
            <v>79.554090909090945</v>
          </cell>
          <cell r="P48">
            <v>20.421578947368417</v>
          </cell>
        </row>
        <row r="49">
          <cell r="M49">
            <v>95.777499999999989</v>
          </cell>
          <cell r="N49">
            <v>75.997500000000002</v>
          </cell>
          <cell r="O49">
            <v>95.777499999999989</v>
          </cell>
          <cell r="P49">
            <v>-17.800999999999998</v>
          </cell>
        </row>
        <row r="50">
          <cell r="M50">
            <v>97.392727272727313</v>
          </cell>
          <cell r="N50">
            <v>113.41869565217392</v>
          </cell>
          <cell r="O50">
            <v>97.392727272727313</v>
          </cell>
          <cell r="P50">
            <v>-5.2377272727272732</v>
          </cell>
        </row>
        <row r="51">
          <cell r="M51">
            <v>102.74380952380955</v>
          </cell>
          <cell r="N51">
            <v>163.20772727272731</v>
          </cell>
          <cell r="O51">
            <v>116.95473684210526</v>
          </cell>
          <cell r="P51">
            <v>36.590952380952395</v>
          </cell>
        </row>
        <row r="52">
          <cell r="M52">
            <v>102.503</v>
          </cell>
          <cell r="N52">
            <v>182.80333333333334</v>
          </cell>
          <cell r="O52">
            <v>102.503</v>
          </cell>
          <cell r="P52">
            <v>72.372857142857171</v>
          </cell>
        </row>
        <row r="53">
          <cell r="M53">
            <v>113.22045454545456</v>
          </cell>
          <cell r="N53">
            <v>190.22499999999999</v>
          </cell>
          <cell r="O53">
            <v>113.22045454545456</v>
          </cell>
          <cell r="P53">
            <v>57.884090909090894</v>
          </cell>
        </row>
        <row r="54">
          <cell r="M54">
            <v>91.373913043478254</v>
          </cell>
          <cell r="N54">
            <v>169.50363636363645</v>
          </cell>
          <cell r="O54">
            <v>95.340476190476181</v>
          </cell>
          <cell r="P54">
            <v>51.32950000000001</v>
          </cell>
        </row>
        <row r="55">
          <cell r="M55">
            <v>83.642380952380947</v>
          </cell>
          <cell r="N55" t="e">
            <v>#NAME?</v>
          </cell>
          <cell r="O55">
            <v>93.898695652173942</v>
          </cell>
          <cell r="P55">
            <v>36.881304347826081</v>
          </cell>
        </row>
        <row r="56">
          <cell r="M56">
            <v>60.279090909090925</v>
          </cell>
          <cell r="O56">
            <v>90.743157894736854</v>
          </cell>
          <cell r="P56">
            <v>14.874285714285715</v>
          </cell>
        </row>
        <row r="57">
          <cell r="M57">
            <v>48.06227272727272</v>
          </cell>
          <cell r="O57">
            <v>106.44272727272724</v>
          </cell>
          <cell r="P57">
            <v>12.962380952380949</v>
          </cell>
        </row>
        <row r="58">
          <cell r="M58">
            <v>27.154761904761909</v>
          </cell>
          <cell r="O58">
            <v>106.57857142857144</v>
          </cell>
          <cell r="P58">
            <v>27.154761904761909</v>
          </cell>
        </row>
        <row r="59">
          <cell r="M59">
            <v>50.160434782608689</v>
          </cell>
          <cell r="O59">
            <v>96.768499999999989</v>
          </cell>
          <cell r="P59">
            <v>29.434285714285725</v>
          </cell>
        </row>
        <row r="63">
          <cell r="M63">
            <v>71.204090909090851</v>
          </cell>
          <cell r="N63">
            <v>87.382499999999979</v>
          </cell>
          <cell r="O63">
            <v>71.204090909090851</v>
          </cell>
          <cell r="P63">
            <v>22.680526315789479</v>
          </cell>
        </row>
        <row r="64">
          <cell r="M64">
            <v>88.912500000000009</v>
          </cell>
          <cell r="N64">
            <v>89.740000000000009</v>
          </cell>
          <cell r="O64">
            <v>88.912500000000009</v>
          </cell>
          <cell r="P64">
            <v>-4.102999999999998</v>
          </cell>
        </row>
        <row r="65">
          <cell r="M65">
            <v>107.6309090909091</v>
          </cell>
          <cell r="N65">
            <v>148.63391304347823</v>
          </cell>
          <cell r="O65">
            <v>107.6309090909091</v>
          </cell>
          <cell r="P65">
            <v>10.121818181818183</v>
          </cell>
        </row>
        <row r="66">
          <cell r="M66">
            <v>135.06571428571425</v>
          </cell>
          <cell r="N66">
            <v>205.65318181818185</v>
          </cell>
          <cell r="O66">
            <v>135.06571428571425</v>
          </cell>
          <cell r="P66">
            <v>49.566190476190478</v>
          </cell>
        </row>
        <row r="67">
          <cell r="M67">
            <v>127.28749999999999</v>
          </cell>
          <cell r="N67">
            <v>184.09333333333339</v>
          </cell>
          <cell r="O67">
            <v>127.28749999999999</v>
          </cell>
          <cell r="P67">
            <v>81.196190476190438</v>
          </cell>
        </row>
        <row r="68">
          <cell r="M68">
            <v>128.95045454545459</v>
          </cell>
          <cell r="N68">
            <v>171.26772727272729</v>
          </cell>
          <cell r="O68">
            <v>128.95045454545459</v>
          </cell>
          <cell r="P68">
            <v>60.000000000000021</v>
          </cell>
        </row>
        <row r="69">
          <cell r="M69">
            <v>118.04304347826091</v>
          </cell>
          <cell r="N69">
            <v>121.95227272727267</v>
          </cell>
          <cell r="O69">
            <v>118.04304347826091</v>
          </cell>
          <cell r="P69">
            <v>54.81227272727272</v>
          </cell>
        </row>
        <row r="70">
          <cell r="M70">
            <v>103.77761904761904</v>
          </cell>
          <cell r="N70" t="e">
            <v>#NAME?</v>
          </cell>
          <cell r="O70">
            <v>158.36391304347825</v>
          </cell>
          <cell r="P70">
            <v>78.457826086956516</v>
          </cell>
        </row>
        <row r="71">
          <cell r="M71">
            <v>85.008636363636327</v>
          </cell>
          <cell r="O71">
            <v>98.403684210526308</v>
          </cell>
          <cell r="P71">
            <v>70.814499999999995</v>
          </cell>
        </row>
        <row r="72">
          <cell r="M72">
            <v>81.776363636363627</v>
          </cell>
          <cell r="O72">
            <v>112.14272727272729</v>
          </cell>
          <cell r="P72">
            <v>17.160476190476192</v>
          </cell>
        </row>
        <row r="73">
          <cell r="M73">
            <v>55.98571428571428</v>
          </cell>
          <cell r="O73">
            <v>86.910952380952338</v>
          </cell>
          <cell r="P73">
            <v>24.782857142857139</v>
          </cell>
        </row>
        <row r="74">
          <cell r="M74">
            <v>83.016521739130425</v>
          </cell>
          <cell r="O74">
            <v>83.016521739130425</v>
          </cell>
          <cell r="P74">
            <v>16.266190476190474</v>
          </cell>
        </row>
      </sheetData>
      <sheetData sheetId="11">
        <row r="1">
          <cell r="D1" t="str">
            <v>Russia $/mt</v>
          </cell>
          <cell r="J1" t="str">
            <v>Ukraine$/mt</v>
          </cell>
        </row>
        <row r="209">
          <cell r="A209">
            <v>43101</v>
          </cell>
          <cell r="D209">
            <v>343.31743466922768</v>
          </cell>
        </row>
        <row r="210">
          <cell r="A210">
            <v>43132</v>
          </cell>
          <cell r="D210">
            <v>347.96557266071619</v>
          </cell>
        </row>
        <row r="211">
          <cell r="A211">
            <v>43160</v>
          </cell>
          <cell r="D211">
            <v>354.9455017786841</v>
          </cell>
        </row>
        <row r="212">
          <cell r="A212">
            <v>43191</v>
          </cell>
          <cell r="D212">
            <v>345.59941978484102</v>
          </cell>
        </row>
        <row r="213">
          <cell r="A213">
            <v>43221</v>
          </cell>
          <cell r="D213">
            <v>351.81364621688647</v>
          </cell>
        </row>
        <row r="214">
          <cell r="A214">
            <v>43252</v>
          </cell>
          <cell r="D214">
            <v>357.42250111676805</v>
          </cell>
        </row>
        <row r="215">
          <cell r="A215">
            <v>43282</v>
          </cell>
          <cell r="D215">
            <v>343.19558226717379</v>
          </cell>
        </row>
        <row r="216">
          <cell r="A216">
            <v>43313</v>
          </cell>
        </row>
        <row r="217">
          <cell r="A217">
            <v>43344</v>
          </cell>
          <cell r="D217">
            <v>304.26748121357042</v>
          </cell>
        </row>
        <row r="218">
          <cell r="A218">
            <v>43374</v>
          </cell>
          <cell r="D218">
            <v>301.61397085161968</v>
          </cell>
        </row>
        <row r="219">
          <cell r="A219">
            <v>43405</v>
          </cell>
          <cell r="D219">
            <v>283.34306538876342</v>
          </cell>
        </row>
        <row r="220">
          <cell r="A220">
            <v>43435</v>
          </cell>
          <cell r="D220">
            <v>295.31056032795652</v>
          </cell>
        </row>
        <row r="221">
          <cell r="A221">
            <v>43466</v>
          </cell>
          <cell r="D221">
            <v>313.48968187307941</v>
          </cell>
        </row>
        <row r="222">
          <cell r="A222">
            <v>43497</v>
          </cell>
          <cell r="D222">
            <v>332.65426448103494</v>
          </cell>
        </row>
        <row r="223">
          <cell r="A223">
            <v>43525</v>
          </cell>
          <cell r="D223">
            <v>328.38936514230892</v>
          </cell>
        </row>
        <row r="224">
          <cell r="A224">
            <v>43556</v>
          </cell>
          <cell r="D224">
            <v>314.41119140177801</v>
          </cell>
        </row>
        <row r="225">
          <cell r="A225">
            <v>43586</v>
          </cell>
          <cell r="D225">
            <v>302.50305860551265</v>
          </cell>
        </row>
        <row r="226">
          <cell r="A226">
            <v>43617</v>
          </cell>
          <cell r="D226">
            <v>305.23389139394055</v>
          </cell>
        </row>
        <row r="227">
          <cell r="A227">
            <v>43647</v>
          </cell>
          <cell r="D227">
            <v>316.76686937030291</v>
          </cell>
        </row>
        <row r="228">
          <cell r="A228">
            <v>43678</v>
          </cell>
        </row>
        <row r="229">
          <cell r="A229">
            <v>43709</v>
          </cell>
          <cell r="D229">
            <v>295.08109205078404</v>
          </cell>
        </row>
        <row r="230">
          <cell r="A230">
            <v>43739</v>
          </cell>
          <cell r="D230">
            <v>269.3692417288803</v>
          </cell>
        </row>
        <row r="231">
          <cell r="A231">
            <v>43770</v>
          </cell>
          <cell r="D231">
            <v>263.92426476645676</v>
          </cell>
        </row>
        <row r="232">
          <cell r="A232">
            <v>43800</v>
          </cell>
          <cell r="D232">
            <v>286.51948449145141</v>
          </cell>
        </row>
        <row r="233">
          <cell r="A233">
            <v>43831</v>
          </cell>
          <cell r="D233">
            <v>313.5659591346344</v>
          </cell>
          <cell r="J233">
            <v>358.67430622452531</v>
          </cell>
        </row>
        <row r="234">
          <cell r="A234">
            <v>43862</v>
          </cell>
          <cell r="D234">
            <v>306.03213003025149</v>
          </cell>
          <cell r="J234">
            <v>348.61709040356186</v>
          </cell>
        </row>
        <row r="235">
          <cell r="A235">
            <v>43891</v>
          </cell>
          <cell r="D235">
            <v>268.88443762177656</v>
          </cell>
          <cell r="J235">
            <v>316.83055360664554</v>
          </cell>
        </row>
        <row r="236">
          <cell r="A236">
            <v>43922</v>
          </cell>
          <cell r="D236">
            <v>301.82287411114817</v>
          </cell>
          <cell r="J236">
            <v>349.9056779367213</v>
          </cell>
        </row>
        <row r="237">
          <cell r="A237">
            <v>43952</v>
          </cell>
          <cell r="D237">
            <v>336.68380548007565</v>
          </cell>
          <cell r="J237">
            <v>356.52436323351907</v>
          </cell>
        </row>
        <row r="238">
          <cell r="A238">
            <v>43983</v>
          </cell>
          <cell r="D238">
            <v>383.6930561141196</v>
          </cell>
          <cell r="J238">
            <v>372.40841801609048</v>
          </cell>
        </row>
        <row r="239">
          <cell r="A239">
            <v>44013</v>
          </cell>
          <cell r="D239">
            <v>330.37878244536233</v>
          </cell>
          <cell r="J239">
            <v>366.94999209468921</v>
          </cell>
        </row>
        <row r="240">
          <cell r="A240">
            <v>44044</v>
          </cell>
          <cell r="D240">
            <v>306.0448341611808</v>
          </cell>
          <cell r="J240">
            <v>347.66419062855363</v>
          </cell>
        </row>
        <row r="241">
          <cell r="A241">
            <v>44075</v>
          </cell>
          <cell r="D241">
            <v>380.54945700677951</v>
          </cell>
          <cell r="J241">
            <v>394.17622937417104</v>
          </cell>
        </row>
        <row r="242">
          <cell r="A242">
            <v>44105</v>
          </cell>
          <cell r="D242">
            <v>407.1888781240412</v>
          </cell>
          <cell r="J242">
            <v>435.31444394330026</v>
          </cell>
        </row>
        <row r="243">
          <cell r="A243">
            <v>44136</v>
          </cell>
          <cell r="D243">
            <v>485.37682380350043</v>
          </cell>
          <cell r="J243">
            <v>543.92985179164293</v>
          </cell>
        </row>
        <row r="244">
          <cell r="A244">
            <v>44166</v>
          </cell>
          <cell r="D244">
            <v>499.96809839726006</v>
          </cell>
          <cell r="J244">
            <v>579.01106256049547</v>
          </cell>
        </row>
        <row r="245">
          <cell r="A245">
            <v>44197</v>
          </cell>
          <cell r="D245">
            <v>530.92286389029118</v>
          </cell>
          <cell r="J245">
            <v>756.02840350094039</v>
          </cell>
        </row>
        <row r="246">
          <cell r="A246">
            <v>44228</v>
          </cell>
          <cell r="D246">
            <v>593.61619019706609</v>
          </cell>
          <cell r="J246">
            <v>820.22577500150874</v>
          </cell>
        </row>
        <row r="247">
          <cell r="A247">
            <v>44256</v>
          </cell>
          <cell r="D247">
            <v>655.85112864467635</v>
          </cell>
          <cell r="J247">
            <v>856.27177818853261</v>
          </cell>
        </row>
        <row r="248">
          <cell r="A248">
            <v>44287</v>
          </cell>
          <cell r="D248">
            <v>690.1593155458736</v>
          </cell>
          <cell r="J248">
            <v>874.36172738914263</v>
          </cell>
        </row>
        <row r="249">
          <cell r="A249">
            <v>44317</v>
          </cell>
          <cell r="D249">
            <v>706.57690229418722</v>
          </cell>
          <cell r="J249">
            <v>830.54785048182157</v>
          </cell>
        </row>
        <row r="250">
          <cell r="A250">
            <v>44348</v>
          </cell>
          <cell r="D250">
            <v>633.38711955848453</v>
          </cell>
          <cell r="J250">
            <v>643.09661602445772</v>
          </cell>
        </row>
        <row r="251">
          <cell r="A251">
            <v>44378</v>
          </cell>
          <cell r="D251" t="e">
            <v>#NAME?</v>
          </cell>
          <cell r="J251" t="e">
            <v>#NAME?</v>
          </cell>
        </row>
        <row r="252">
          <cell r="A252">
            <v>44409</v>
          </cell>
          <cell r="D252" t="e">
            <v>#NAME?</v>
          </cell>
          <cell r="J252" t="e">
            <v>#NAME?</v>
          </cell>
        </row>
        <row r="253">
          <cell r="A253">
            <v>44440</v>
          </cell>
          <cell r="D253" t="e">
            <v>#NAME?</v>
          </cell>
          <cell r="E253" t="e">
            <v>#NAME?</v>
          </cell>
          <cell r="F253" t="e">
            <v>#NAME?</v>
          </cell>
          <cell r="J253" t="e">
            <v>#NAME?</v>
          </cell>
          <cell r="K253" t="e">
            <v>#NAME?</v>
          </cell>
          <cell r="L253" t="e">
            <v>#NAME?</v>
          </cell>
        </row>
        <row r="254">
          <cell r="A254">
            <v>44470</v>
          </cell>
          <cell r="D254" t="e">
            <v>#NAME?</v>
          </cell>
          <cell r="E254" t="e">
            <v>#NAME?</v>
          </cell>
          <cell r="F254" t="e">
            <v>#NAME?</v>
          </cell>
          <cell r="J254" t="e">
            <v>#NAME?</v>
          </cell>
          <cell r="K254" t="e">
            <v>#NAME?</v>
          </cell>
          <cell r="L254" t="e">
            <v>#NAME?</v>
          </cell>
        </row>
        <row r="255">
          <cell r="A255">
            <v>44501</v>
          </cell>
          <cell r="D255" t="e">
            <v>#NAME?</v>
          </cell>
          <cell r="E255" t="e">
            <v>#NAME?</v>
          </cell>
          <cell r="F255" t="e">
            <v>#NAME?</v>
          </cell>
          <cell r="J255" t="e">
            <v>#NAME?</v>
          </cell>
          <cell r="K255" t="e">
            <v>#NAME?</v>
          </cell>
          <cell r="L255" t="e">
            <v>#NAME?</v>
          </cell>
        </row>
        <row r="256">
          <cell r="A256">
            <v>44531</v>
          </cell>
          <cell r="D256" t="e">
            <v>#NAME?</v>
          </cell>
          <cell r="E256" t="e">
            <v>#NAME?</v>
          </cell>
          <cell r="F256" t="e">
            <v>#NAME?</v>
          </cell>
          <cell r="J256" t="e">
            <v>#NAME?</v>
          </cell>
          <cell r="K256" t="e">
            <v>#NAME?</v>
          </cell>
          <cell r="L256" t="e">
            <v>#NAME?</v>
          </cell>
        </row>
        <row r="257">
          <cell r="A257">
            <v>44562</v>
          </cell>
          <cell r="D257" t="e">
            <v>#NAME?</v>
          </cell>
          <cell r="E257" t="e">
            <v>#NAME?</v>
          </cell>
          <cell r="F257" t="e">
            <v>#NAME?</v>
          </cell>
          <cell r="J257" t="e">
            <v>#NAME?</v>
          </cell>
          <cell r="K257" t="e">
            <v>#NAME?</v>
          </cell>
          <cell r="L257" t="e">
            <v>#NAME?</v>
          </cell>
        </row>
        <row r="258">
          <cell r="A258">
            <v>44593</v>
          </cell>
          <cell r="D258" t="e">
            <v>#NAME?</v>
          </cell>
          <cell r="E258" t="e">
            <v>#NAME?</v>
          </cell>
          <cell r="F258" t="e">
            <v>#NAME?</v>
          </cell>
          <cell r="J258" t="e">
            <v>#NAME?</v>
          </cell>
          <cell r="K258" t="e">
            <v>#NAME?</v>
          </cell>
          <cell r="L258" t="e">
            <v>#NAME?</v>
          </cell>
        </row>
        <row r="259">
          <cell r="A259">
            <v>44621</v>
          </cell>
          <cell r="D259" t="e">
            <v>#NAME?</v>
          </cell>
          <cell r="E259" t="e">
            <v>#NAME?</v>
          </cell>
          <cell r="F259" t="e">
            <v>#NAME?</v>
          </cell>
          <cell r="J259" t="e">
            <v>#NAME?</v>
          </cell>
          <cell r="K259" t="e">
            <v>#NAME?</v>
          </cell>
          <cell r="L259" t="e">
            <v>#NAME?</v>
          </cell>
        </row>
        <row r="260">
          <cell r="A260">
            <v>44652</v>
          </cell>
          <cell r="D260" t="e">
            <v>#NAME?</v>
          </cell>
          <cell r="E260" t="e">
            <v>#NAME?</v>
          </cell>
          <cell r="F260" t="e">
            <v>#NAME?</v>
          </cell>
          <cell r="J260" t="e">
            <v>#NAME?</v>
          </cell>
          <cell r="K260" t="e">
            <v>#NAME?</v>
          </cell>
          <cell r="L260" t="e">
            <v>#NAME?</v>
          </cell>
        </row>
        <row r="261">
          <cell r="A261">
            <v>44682</v>
          </cell>
          <cell r="D261" t="e">
            <v>#NAME?</v>
          </cell>
          <cell r="E261" t="e">
            <v>#NAME?</v>
          </cell>
          <cell r="F261" t="e">
            <v>#NAME?</v>
          </cell>
          <cell r="J261" t="e">
            <v>#NAME?</v>
          </cell>
          <cell r="K261" t="e">
            <v>#NAME?</v>
          </cell>
          <cell r="L261" t="e">
            <v>#NAME?</v>
          </cell>
        </row>
        <row r="262">
          <cell r="A262">
            <v>44713</v>
          </cell>
          <cell r="D262" t="e">
            <v>#NAME?</v>
          </cell>
          <cell r="E262" t="e">
            <v>#NAME?</v>
          </cell>
          <cell r="F262" t="e">
            <v>#NAME?</v>
          </cell>
          <cell r="J262" t="e">
            <v>#NAME?</v>
          </cell>
          <cell r="K262" t="e">
            <v>#NAME?</v>
          </cell>
          <cell r="L262" t="e">
            <v>#NAME?</v>
          </cell>
        </row>
        <row r="263">
          <cell r="A263">
            <v>44743</v>
          </cell>
          <cell r="D263" t="e">
            <v>#NAME?</v>
          </cell>
          <cell r="E263" t="e">
            <v>#NAME?</v>
          </cell>
          <cell r="F263" t="e">
            <v>#NAME?</v>
          </cell>
          <cell r="J263" t="e">
            <v>#NAME?</v>
          </cell>
          <cell r="K263" t="e">
            <v>#NAME?</v>
          </cell>
          <cell r="L263" t="e">
            <v>#NAME?</v>
          </cell>
        </row>
        <row r="264">
          <cell r="A264">
            <v>44774</v>
          </cell>
          <cell r="D264" t="e">
            <v>#NAME?</v>
          </cell>
          <cell r="E264" t="e">
            <v>#NAME?</v>
          </cell>
          <cell r="F264" t="e">
            <v>#NAME?</v>
          </cell>
          <cell r="J264" t="e">
            <v>#NAME?</v>
          </cell>
          <cell r="K264" t="e">
            <v>#NAME?</v>
          </cell>
          <cell r="L264" t="e">
            <v>#NAME?</v>
          </cell>
        </row>
      </sheetData>
      <sheetData sheetId="12">
        <row r="1">
          <cell r="D1" t="str">
            <v>Sunoil FOB Ukraine $/mt</v>
          </cell>
          <cell r="G1" t="str">
            <v>Sunoil FOB Russia $/mt</v>
          </cell>
          <cell r="J1" t="str">
            <v>Sunoil FOB Six Ports $/mt</v>
          </cell>
          <cell r="M1" t="str">
            <v>Sunoil FOB Argentina $/mt</v>
          </cell>
        </row>
        <row r="3">
          <cell r="A3">
            <v>43191</v>
          </cell>
          <cell r="D3">
            <v>769.83333333333337</v>
          </cell>
        </row>
        <row r="4">
          <cell r="A4">
            <v>43221</v>
          </cell>
          <cell r="D4">
            <v>756.89473684210532</v>
          </cell>
        </row>
        <row r="5">
          <cell r="A5">
            <v>43252</v>
          </cell>
          <cell r="D5">
            <v>732.61904761904759</v>
          </cell>
          <cell r="M5">
            <v>715.3</v>
          </cell>
        </row>
        <row r="6">
          <cell r="A6">
            <v>43282</v>
          </cell>
          <cell r="D6">
            <v>742.27272727272725</v>
          </cell>
          <cell r="J6">
            <v>764.5</v>
          </cell>
          <cell r="M6">
            <v>718.25</v>
          </cell>
        </row>
        <row r="7">
          <cell r="A7">
            <v>43313</v>
          </cell>
          <cell r="D7">
            <v>714.09090909090912</v>
          </cell>
          <cell r="J7">
            <v>731</v>
          </cell>
          <cell r="M7">
            <v>718.81818181818187</v>
          </cell>
        </row>
        <row r="8">
          <cell r="A8">
            <v>43344</v>
          </cell>
          <cell r="D8">
            <v>693.9</v>
          </cell>
          <cell r="J8">
            <v>710.85</v>
          </cell>
          <cell r="M8">
            <v>691.65</v>
          </cell>
        </row>
        <row r="9">
          <cell r="A9">
            <v>43374</v>
          </cell>
          <cell r="D9">
            <v>667.26086956521738</v>
          </cell>
          <cell r="J9">
            <v>704.21739130434787</v>
          </cell>
          <cell r="M9">
            <v>665.90909090909088</v>
          </cell>
        </row>
        <row r="10">
          <cell r="A10">
            <v>43405</v>
          </cell>
          <cell r="D10">
            <v>637.22727272727275</v>
          </cell>
          <cell r="J10">
            <v>676.68181818181813</v>
          </cell>
          <cell r="M10">
            <v>645.09523809523807</v>
          </cell>
        </row>
        <row r="11">
          <cell r="A11">
            <v>43435</v>
          </cell>
          <cell r="D11">
            <v>639.05882352941171</v>
          </cell>
          <cell r="J11">
            <v>674.5</v>
          </cell>
          <cell r="M11">
            <v>618.82352941176475</v>
          </cell>
        </row>
        <row r="12">
          <cell r="A12">
            <v>43466</v>
          </cell>
          <cell r="D12">
            <v>651.77272727272725</v>
          </cell>
          <cell r="J12">
            <v>685.05681818181813</v>
          </cell>
          <cell r="M12">
            <v>616.59090909090912</v>
          </cell>
        </row>
        <row r="13">
          <cell r="A13">
            <v>43497</v>
          </cell>
          <cell r="D13">
            <v>671.35</v>
          </cell>
          <cell r="J13">
            <v>704.41250000000002</v>
          </cell>
          <cell r="M13">
            <v>652.5</v>
          </cell>
        </row>
        <row r="14">
          <cell r="A14">
            <v>43525</v>
          </cell>
          <cell r="D14">
            <v>661.26190476190482</v>
          </cell>
          <cell r="J14">
            <v>696.80952380952385</v>
          </cell>
          <cell r="M14">
            <v>642.36842105263156</v>
          </cell>
        </row>
        <row r="15">
          <cell r="A15">
            <v>43556</v>
          </cell>
          <cell r="D15">
            <v>662.35</v>
          </cell>
          <cell r="J15">
            <v>696.82500000000005</v>
          </cell>
          <cell r="M15">
            <v>640.57894736842104</v>
          </cell>
        </row>
        <row r="16">
          <cell r="A16">
            <v>43586</v>
          </cell>
          <cell r="D16">
            <v>684.28571428571433</v>
          </cell>
          <cell r="J16">
            <v>721.15789473684208</v>
          </cell>
          <cell r="M16">
            <v>664</v>
          </cell>
        </row>
        <row r="17">
          <cell r="A17">
            <v>43617</v>
          </cell>
          <cell r="D17">
            <v>703.10526315789468</v>
          </cell>
          <cell r="J17">
            <v>732.23684210526312</v>
          </cell>
          <cell r="M17">
            <v>687.16666666666663</v>
          </cell>
        </row>
        <row r="18">
          <cell r="A18">
            <v>43647</v>
          </cell>
          <cell r="D18">
            <v>734.47826086956525</v>
          </cell>
          <cell r="J18">
            <v>760.32608695652175</v>
          </cell>
          <cell r="M18">
            <v>718.09523809523807</v>
          </cell>
        </row>
        <row r="19">
          <cell r="A19">
            <v>43678</v>
          </cell>
          <cell r="D19">
            <v>732.80952380952385</v>
          </cell>
          <cell r="J19">
            <v>764.64285714285711</v>
          </cell>
          <cell r="M19">
            <v>719.04761904761904</v>
          </cell>
        </row>
        <row r="20">
          <cell r="A20">
            <v>43709</v>
          </cell>
          <cell r="D20">
            <v>702.80952380952385</v>
          </cell>
          <cell r="J20">
            <v>746.80952380952385</v>
          </cell>
          <cell r="M20">
            <v>707.19047619047615</v>
          </cell>
        </row>
        <row r="21">
          <cell r="A21">
            <v>43739</v>
          </cell>
          <cell r="D21">
            <v>682.08695652173913</v>
          </cell>
          <cell r="J21">
            <v>729.56521739130437</v>
          </cell>
          <cell r="M21">
            <v>678.60869565217388</v>
          </cell>
        </row>
        <row r="22">
          <cell r="A22">
            <v>43770</v>
          </cell>
          <cell r="D22">
            <v>712.09523809523807</v>
          </cell>
          <cell r="J22">
            <v>754.26190476190482</v>
          </cell>
          <cell r="M22">
            <v>688.25</v>
          </cell>
        </row>
        <row r="23">
          <cell r="A23">
            <v>43800</v>
          </cell>
          <cell r="D23">
            <v>762.4</v>
          </cell>
          <cell r="J23">
            <v>800.07500000000005</v>
          </cell>
          <cell r="M23">
            <v>747.5</v>
          </cell>
        </row>
        <row r="24">
          <cell r="A24">
            <v>43831</v>
          </cell>
          <cell r="D24">
            <v>781.18181818181813</v>
          </cell>
          <cell r="G24">
            <v>771.18181818181813</v>
          </cell>
          <cell r="J24">
            <v>821.59090909090912</v>
          </cell>
          <cell r="M24">
            <v>783.86363636363637</v>
          </cell>
        </row>
        <row r="25">
          <cell r="A25">
            <v>43862</v>
          </cell>
          <cell r="D25">
            <v>712.75</v>
          </cell>
          <cell r="G25">
            <v>702.75</v>
          </cell>
          <cell r="J25">
            <v>754.5</v>
          </cell>
          <cell r="M25">
            <v>731.84210526315792</v>
          </cell>
        </row>
        <row r="26">
          <cell r="A26">
            <v>43891</v>
          </cell>
          <cell r="D26">
            <v>659.81818181818187</v>
          </cell>
          <cell r="G26">
            <v>649.81818181818187</v>
          </cell>
          <cell r="J26">
            <v>698.77272727272725</v>
          </cell>
          <cell r="M26">
            <v>664.75</v>
          </cell>
        </row>
        <row r="27">
          <cell r="A27">
            <v>43922</v>
          </cell>
          <cell r="D27">
            <v>692.4</v>
          </cell>
          <cell r="G27">
            <v>682.4</v>
          </cell>
          <cell r="J27">
            <v>722.35</v>
          </cell>
          <cell r="M27">
            <v>675.25</v>
          </cell>
        </row>
        <row r="28">
          <cell r="A28">
            <v>43952</v>
          </cell>
          <cell r="D28">
            <v>719.63157894736844</v>
          </cell>
          <cell r="G28">
            <v>711.82352941176475</v>
          </cell>
          <cell r="J28">
            <v>745.61764705882354</v>
          </cell>
          <cell r="M28">
            <v>703.15789473684208</v>
          </cell>
        </row>
        <row r="29">
          <cell r="A29">
            <v>43983</v>
          </cell>
          <cell r="D29">
            <v>772.52380952380952</v>
          </cell>
          <cell r="G29">
            <v>762.38095238095241</v>
          </cell>
          <cell r="J29">
            <v>801.90476190476193</v>
          </cell>
          <cell r="M29">
            <v>750.68181818181813</v>
          </cell>
        </row>
        <row r="30">
          <cell r="A30">
            <v>44013</v>
          </cell>
          <cell r="D30">
            <v>772.91304347826087</v>
          </cell>
          <cell r="G30">
            <v>763.95652173913038</v>
          </cell>
          <cell r="J30">
            <v>812.28260869565213</v>
          </cell>
          <cell r="M30">
            <v>759.52380952380952</v>
          </cell>
        </row>
        <row r="31">
          <cell r="A31">
            <v>44044</v>
          </cell>
          <cell r="D31">
            <v>798.2</v>
          </cell>
          <cell r="G31">
            <v>789.8</v>
          </cell>
          <cell r="J31">
            <v>849</v>
          </cell>
          <cell r="M31">
            <v>784.73684210526312</v>
          </cell>
        </row>
        <row r="32">
          <cell r="A32">
            <v>44075</v>
          </cell>
          <cell r="D32">
            <v>927.81818181818187</v>
          </cell>
          <cell r="G32">
            <v>917.0454545454545</v>
          </cell>
          <cell r="J32">
            <v>989.31818181818187</v>
          </cell>
          <cell r="M32">
            <v>901.59090909090912</v>
          </cell>
        </row>
        <row r="33">
          <cell r="A33">
            <v>44105</v>
          </cell>
          <cell r="D33">
            <v>964.36363636363637</v>
          </cell>
          <cell r="G33">
            <v>950.72727272727275</v>
          </cell>
          <cell r="J33">
            <v>987.72727272727275</v>
          </cell>
          <cell r="M33">
            <v>955.71428571428567</v>
          </cell>
        </row>
        <row r="34">
          <cell r="A34">
            <v>44136</v>
          </cell>
          <cell r="D34">
            <v>1082.6428571428571</v>
          </cell>
          <cell r="G34">
            <v>1071.0952380952381</v>
          </cell>
          <cell r="J34">
            <v>1111.6666666666667</v>
          </cell>
          <cell r="M34">
            <v>1059.75</v>
          </cell>
        </row>
        <row r="35">
          <cell r="A35">
            <v>44166</v>
          </cell>
          <cell r="D35">
            <v>1147.8571428571429</v>
          </cell>
          <cell r="G35">
            <v>1133.047619047619</v>
          </cell>
          <cell r="J35">
            <v>1181.047619047619</v>
          </cell>
          <cell r="M35">
            <v>1138.9473684210527</v>
          </cell>
        </row>
        <row r="36">
          <cell r="A36">
            <v>44197</v>
          </cell>
          <cell r="D36">
            <v>1270.95</v>
          </cell>
          <cell r="G36">
            <v>1250.25</v>
          </cell>
          <cell r="J36">
            <v>1290.75</v>
          </cell>
          <cell r="M36">
            <v>1260.25</v>
          </cell>
        </row>
        <row r="37">
          <cell r="A37">
            <v>44228</v>
          </cell>
          <cell r="D37">
            <v>1350.25</v>
          </cell>
          <cell r="G37">
            <v>1309.8947368421052</v>
          </cell>
          <cell r="J37">
            <v>1379.25</v>
          </cell>
          <cell r="M37">
            <v>1290</v>
          </cell>
        </row>
        <row r="38">
          <cell r="A38">
            <v>44256</v>
          </cell>
          <cell r="D38">
            <v>1581.8695652173913</v>
          </cell>
          <cell r="G38">
            <v>1530.4347826086957</v>
          </cell>
          <cell r="J38">
            <v>1634.7826086956522</v>
          </cell>
          <cell r="M38">
            <v>1528.4782608695652</v>
          </cell>
        </row>
        <row r="39">
          <cell r="A39">
            <v>44287</v>
          </cell>
          <cell r="D39">
            <v>1545.85</v>
          </cell>
          <cell r="G39">
            <v>1502.5</v>
          </cell>
          <cell r="J39">
            <v>1583</v>
          </cell>
          <cell r="M39">
            <v>1491.5</v>
          </cell>
        </row>
        <row r="40">
          <cell r="A40">
            <v>44317</v>
          </cell>
          <cell r="D40">
            <v>1536.3684210526317</v>
          </cell>
          <cell r="G40">
            <v>1510.5263157894738</v>
          </cell>
          <cell r="J40">
            <v>1599.4117647058824</v>
          </cell>
          <cell r="M40">
            <v>1499.7058823529412</v>
          </cell>
        </row>
        <row r="41">
          <cell r="A41">
            <v>44348</v>
          </cell>
          <cell r="D41">
            <v>1217.5</v>
          </cell>
          <cell r="G41">
            <v>1222.5</v>
          </cell>
          <cell r="J41">
            <v>1312.7272727272727</v>
          </cell>
          <cell r="M41">
            <v>1251.8181818181818</v>
          </cell>
        </row>
        <row r="42">
          <cell r="A42">
            <v>44378</v>
          </cell>
          <cell r="D42">
            <v>1195.1363636363637</v>
          </cell>
          <cell r="G42">
            <v>1184.7727272727273</v>
          </cell>
          <cell r="J42">
            <v>1277.9545454545455</v>
          </cell>
          <cell r="M42">
            <v>1255</v>
          </cell>
        </row>
        <row r="43">
          <cell r="A43">
            <v>44409</v>
          </cell>
          <cell r="D43">
            <v>1415</v>
          </cell>
          <cell r="E43">
            <v>1685</v>
          </cell>
          <cell r="F43">
            <v>1145</v>
          </cell>
          <cell r="G43">
            <v>1385</v>
          </cell>
          <cell r="H43">
            <v>1680</v>
          </cell>
          <cell r="I43">
            <v>1080</v>
          </cell>
          <cell r="J43">
            <v>1480</v>
          </cell>
          <cell r="K43">
            <v>1765</v>
          </cell>
          <cell r="L43">
            <v>1195</v>
          </cell>
          <cell r="M43">
            <v>1405</v>
          </cell>
          <cell r="N43">
            <v>1675</v>
          </cell>
          <cell r="O43">
            <v>1135</v>
          </cell>
        </row>
        <row r="44">
          <cell r="A44">
            <v>44440</v>
          </cell>
          <cell r="D44">
            <v>1435</v>
          </cell>
          <cell r="E44">
            <v>1715</v>
          </cell>
          <cell r="F44">
            <v>1155</v>
          </cell>
          <cell r="G44">
            <v>1395</v>
          </cell>
          <cell r="H44">
            <v>1690</v>
          </cell>
          <cell r="I44">
            <v>1090</v>
          </cell>
          <cell r="J44">
            <v>1500</v>
          </cell>
          <cell r="K44">
            <v>1795</v>
          </cell>
          <cell r="L44">
            <v>1205</v>
          </cell>
          <cell r="M44">
            <v>1435</v>
          </cell>
          <cell r="N44">
            <v>1720</v>
          </cell>
          <cell r="O44">
            <v>1150</v>
          </cell>
        </row>
        <row r="45">
          <cell r="A45">
            <v>44470</v>
          </cell>
          <cell r="D45">
            <v>1475</v>
          </cell>
          <cell r="E45">
            <v>1765</v>
          </cell>
          <cell r="F45">
            <v>1185</v>
          </cell>
          <cell r="G45">
            <v>1420</v>
          </cell>
          <cell r="H45">
            <v>1715</v>
          </cell>
          <cell r="I45">
            <v>1115</v>
          </cell>
          <cell r="J45">
            <v>1545</v>
          </cell>
          <cell r="K45">
            <v>1850</v>
          </cell>
          <cell r="L45">
            <v>1240</v>
          </cell>
          <cell r="M45">
            <v>1480</v>
          </cell>
          <cell r="N45">
            <v>1775</v>
          </cell>
          <cell r="O45">
            <v>1185</v>
          </cell>
        </row>
        <row r="46">
          <cell r="A46">
            <v>44501</v>
          </cell>
          <cell r="D46">
            <v>1545</v>
          </cell>
          <cell r="E46">
            <v>1845</v>
          </cell>
          <cell r="F46">
            <v>1245</v>
          </cell>
          <cell r="G46">
            <v>1470</v>
          </cell>
          <cell r="H46">
            <v>1765</v>
          </cell>
          <cell r="I46">
            <v>1165</v>
          </cell>
          <cell r="J46">
            <v>1615</v>
          </cell>
          <cell r="K46">
            <v>1935</v>
          </cell>
          <cell r="L46">
            <v>1295</v>
          </cell>
          <cell r="M46">
            <v>1545</v>
          </cell>
          <cell r="N46">
            <v>1850</v>
          </cell>
          <cell r="O46">
            <v>1240</v>
          </cell>
        </row>
        <row r="47">
          <cell r="A47">
            <v>44531</v>
          </cell>
          <cell r="D47">
            <v>1565</v>
          </cell>
          <cell r="E47">
            <v>1875</v>
          </cell>
          <cell r="F47">
            <v>1255</v>
          </cell>
          <cell r="G47">
            <v>1480</v>
          </cell>
          <cell r="H47">
            <v>1775</v>
          </cell>
          <cell r="I47">
            <v>1175</v>
          </cell>
          <cell r="J47">
            <v>1640</v>
          </cell>
          <cell r="K47">
            <v>1970</v>
          </cell>
          <cell r="L47">
            <v>1310</v>
          </cell>
          <cell r="M47">
            <v>1565</v>
          </cell>
          <cell r="N47">
            <v>1880</v>
          </cell>
          <cell r="O47">
            <v>1250</v>
          </cell>
        </row>
        <row r="48">
          <cell r="A48">
            <v>44562</v>
          </cell>
          <cell r="D48">
            <v>1605</v>
          </cell>
          <cell r="E48">
            <v>1930</v>
          </cell>
          <cell r="F48">
            <v>1280</v>
          </cell>
          <cell r="G48">
            <v>1505</v>
          </cell>
          <cell r="H48">
            <v>1800</v>
          </cell>
          <cell r="I48">
            <v>1200</v>
          </cell>
          <cell r="J48">
            <v>1685</v>
          </cell>
          <cell r="K48">
            <v>2025</v>
          </cell>
          <cell r="L48">
            <v>1345</v>
          </cell>
          <cell r="M48">
            <v>1610</v>
          </cell>
          <cell r="N48">
            <v>1935</v>
          </cell>
          <cell r="O48">
            <v>1285</v>
          </cell>
        </row>
        <row r="49">
          <cell r="A49">
            <v>44593</v>
          </cell>
          <cell r="D49">
            <v>1640</v>
          </cell>
          <cell r="E49">
            <v>1975</v>
          </cell>
          <cell r="F49">
            <v>1305</v>
          </cell>
          <cell r="G49">
            <v>1525</v>
          </cell>
          <cell r="H49">
            <v>1820</v>
          </cell>
          <cell r="I49">
            <v>1220</v>
          </cell>
          <cell r="J49">
            <v>1720</v>
          </cell>
          <cell r="K49">
            <v>2075</v>
          </cell>
          <cell r="L49">
            <v>1365</v>
          </cell>
          <cell r="M49">
            <v>1645</v>
          </cell>
          <cell r="N49">
            <v>1985</v>
          </cell>
          <cell r="O49">
            <v>1305</v>
          </cell>
        </row>
        <row r="50">
          <cell r="A50">
            <v>44621</v>
          </cell>
          <cell r="D50">
            <v>1665</v>
          </cell>
          <cell r="E50">
            <v>2010</v>
          </cell>
          <cell r="F50">
            <v>1320</v>
          </cell>
          <cell r="G50">
            <v>1540</v>
          </cell>
          <cell r="H50">
            <v>1835</v>
          </cell>
          <cell r="I50">
            <v>1235</v>
          </cell>
          <cell r="J50">
            <v>1745</v>
          </cell>
          <cell r="K50">
            <v>2110</v>
          </cell>
          <cell r="L50">
            <v>1380</v>
          </cell>
          <cell r="M50">
            <v>1670</v>
          </cell>
          <cell r="N50">
            <v>2020</v>
          </cell>
          <cell r="O50">
            <v>1320</v>
          </cell>
        </row>
        <row r="51">
          <cell r="A51">
            <v>44652</v>
          </cell>
          <cell r="D51">
            <v>1680</v>
          </cell>
          <cell r="E51">
            <v>2035</v>
          </cell>
          <cell r="F51">
            <v>1325</v>
          </cell>
          <cell r="G51">
            <v>1550</v>
          </cell>
          <cell r="H51">
            <v>1845</v>
          </cell>
          <cell r="I51">
            <v>1245</v>
          </cell>
          <cell r="J51">
            <v>1760</v>
          </cell>
          <cell r="K51">
            <v>2135</v>
          </cell>
          <cell r="L51">
            <v>1385</v>
          </cell>
          <cell r="M51">
            <v>1685</v>
          </cell>
          <cell r="N51">
            <v>2045</v>
          </cell>
          <cell r="O51">
            <v>1325</v>
          </cell>
        </row>
        <row r="52">
          <cell r="A52">
            <v>44682</v>
          </cell>
          <cell r="D52">
            <v>1655</v>
          </cell>
          <cell r="E52">
            <v>2020</v>
          </cell>
          <cell r="F52">
            <v>1290</v>
          </cell>
          <cell r="G52">
            <v>1530</v>
          </cell>
          <cell r="H52">
            <v>1825</v>
          </cell>
          <cell r="I52">
            <v>1225</v>
          </cell>
          <cell r="J52">
            <v>1735</v>
          </cell>
          <cell r="K52">
            <v>2125</v>
          </cell>
          <cell r="L52">
            <v>1345</v>
          </cell>
          <cell r="M52">
            <v>1660</v>
          </cell>
          <cell r="N52">
            <v>2035</v>
          </cell>
          <cell r="O52">
            <v>1285</v>
          </cell>
        </row>
        <row r="53">
          <cell r="A53">
            <v>44713</v>
          </cell>
          <cell r="D53">
            <v>1675</v>
          </cell>
          <cell r="E53">
            <v>2050</v>
          </cell>
          <cell r="F53">
            <v>1300</v>
          </cell>
          <cell r="G53">
            <v>1545</v>
          </cell>
          <cell r="H53">
            <v>1840</v>
          </cell>
          <cell r="I53">
            <v>1240</v>
          </cell>
          <cell r="J53">
            <v>1760</v>
          </cell>
          <cell r="K53">
            <v>2155</v>
          </cell>
          <cell r="L53">
            <v>1365</v>
          </cell>
          <cell r="M53">
            <v>1685</v>
          </cell>
          <cell r="N53">
            <v>2065</v>
          </cell>
          <cell r="O53">
            <v>1305</v>
          </cell>
        </row>
        <row r="54">
          <cell r="A54">
            <v>44743</v>
          </cell>
          <cell r="D54">
            <v>1710</v>
          </cell>
          <cell r="E54">
            <v>2095</v>
          </cell>
          <cell r="F54">
            <v>1325</v>
          </cell>
          <cell r="G54">
            <v>1565</v>
          </cell>
          <cell r="H54">
            <v>1860</v>
          </cell>
          <cell r="I54">
            <v>1260</v>
          </cell>
          <cell r="J54">
            <v>1795</v>
          </cell>
          <cell r="K54">
            <v>2200</v>
          </cell>
          <cell r="L54">
            <v>1390</v>
          </cell>
          <cell r="M54">
            <v>1720</v>
          </cell>
          <cell r="N54">
            <v>2110</v>
          </cell>
          <cell r="O54">
            <v>1330</v>
          </cell>
        </row>
        <row r="55">
          <cell r="A55">
            <v>44774</v>
          </cell>
          <cell r="D55">
            <v>1735</v>
          </cell>
          <cell r="E55">
            <v>2125</v>
          </cell>
          <cell r="F55">
            <v>1345</v>
          </cell>
          <cell r="G55">
            <v>1585</v>
          </cell>
          <cell r="H55">
            <v>1880</v>
          </cell>
          <cell r="I55">
            <v>1280</v>
          </cell>
          <cell r="J55">
            <v>1820</v>
          </cell>
          <cell r="K55">
            <v>2235</v>
          </cell>
          <cell r="L55">
            <v>1405</v>
          </cell>
          <cell r="M55">
            <v>1750</v>
          </cell>
          <cell r="N55">
            <v>2150</v>
          </cell>
          <cell r="O55">
            <v>1350</v>
          </cell>
        </row>
      </sheetData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s Price Forecasts"/>
      <sheetName val="Forecasts"/>
      <sheetName val="CO - SBO Spread"/>
      <sheetName val="SBO - PO Spread"/>
      <sheetName val="Prices"/>
      <sheetName val="SBM Price v Crush Margin"/>
      <sheetName val="SBO Price v Crush Margin"/>
      <sheetName val="Chart3"/>
      <sheetName val="Chart4"/>
      <sheetName val="Soybean Futures"/>
      <sheetName val="SBM Futures"/>
      <sheetName val="SBO Futures"/>
      <sheetName val="Palm Oil"/>
      <sheetName val="Canola Oil"/>
      <sheetName val="PDF Data"/>
      <sheetName val="Chart9"/>
      <sheetName val="Chart10"/>
      <sheetName val="Chart11"/>
      <sheetName val="Chart12"/>
      <sheetName val="Forecast Print"/>
      <sheetName val="PDF Print"/>
    </sheetNames>
    <sheetDataSet>
      <sheetData sheetId="0"/>
      <sheetData sheetId="1"/>
      <sheetData sheetId="2" refreshError="1"/>
      <sheetData sheetId="3" refreshError="1"/>
      <sheetData sheetId="4">
        <row r="564">
          <cell r="J564">
            <v>9.5573999999999995</v>
          </cell>
        </row>
        <row r="565">
          <cell r="J565">
            <v>9.9392999999999994</v>
          </cell>
        </row>
        <row r="566">
          <cell r="J566">
            <v>10.157500000000001</v>
          </cell>
        </row>
        <row r="567">
          <cell r="J567">
            <v>10.2578</v>
          </cell>
        </row>
        <row r="568">
          <cell r="J568">
            <v>10.225099999999999</v>
          </cell>
        </row>
        <row r="569">
          <cell r="J569">
            <v>9.8597999999999999</v>
          </cell>
        </row>
        <row r="570">
          <cell r="J570">
            <v>9.3741000000000003</v>
          </cell>
        </row>
        <row r="571">
          <cell r="J571">
            <v>9.4849999999999994</v>
          </cell>
        </row>
        <row r="572">
          <cell r="J572">
            <v>9.2249999999999996</v>
          </cell>
        </row>
        <row r="573">
          <cell r="J573">
            <v>9.9064999999999994</v>
          </cell>
        </row>
        <row r="574">
          <cell r="J574">
            <v>9.3912999999999993</v>
          </cell>
        </row>
        <row r="575">
          <cell r="J575">
            <v>9.5036000000000005</v>
          </cell>
        </row>
        <row r="576">
          <cell r="J576">
            <v>9.4732000000000003</v>
          </cell>
        </row>
        <row r="577">
          <cell r="J577">
            <v>9.7018000000000004</v>
          </cell>
        </row>
        <row r="578">
          <cell r="J578">
            <v>9.5958000000000006</v>
          </cell>
        </row>
        <row r="579">
          <cell r="J579">
            <v>9.6257000000000001</v>
          </cell>
        </row>
        <row r="580">
          <cell r="J580">
            <v>9.9928000000000008</v>
          </cell>
        </row>
        <row r="581">
          <cell r="J581">
            <v>10.1708</v>
          </cell>
        </row>
        <row r="582">
          <cell r="J582">
            <v>10.230700000000001</v>
          </cell>
          <cell r="L582">
            <v>29.7</v>
          </cell>
        </row>
        <row r="583">
          <cell r="J583">
            <v>10.0608</v>
          </cell>
          <cell r="L583">
            <v>29.4</v>
          </cell>
        </row>
        <row r="584">
          <cell r="J584">
            <v>9.1473999999999993</v>
          </cell>
          <cell r="L584">
            <v>28.3</v>
          </cell>
        </row>
        <row r="585">
          <cell r="J585">
            <v>8.5058000000000007</v>
          </cell>
          <cell r="L585">
            <v>27.21</v>
          </cell>
        </row>
        <row r="586">
          <cell r="J586">
            <v>8.3978000000000002</v>
          </cell>
          <cell r="L586">
            <v>27.6</v>
          </cell>
        </row>
        <row r="587">
          <cell r="J587">
            <v>7.8539000000000003</v>
          </cell>
          <cell r="L587">
            <v>27.73</v>
          </cell>
        </row>
        <row r="588">
          <cell r="J588">
            <v>8.1292000000000009</v>
          </cell>
          <cell r="L588">
            <v>28.89</v>
          </cell>
        </row>
        <row r="589">
          <cell r="J589">
            <v>8.4626000000000001</v>
          </cell>
          <cell r="L589">
            <v>27.49</v>
          </cell>
        </row>
        <row r="590">
          <cell r="J590">
            <v>8.7370000000000001</v>
          </cell>
          <cell r="L590">
            <v>28.14</v>
          </cell>
        </row>
        <row r="591">
          <cell r="J591">
            <v>8.8101000000000003</v>
          </cell>
          <cell r="L591">
            <v>28.44</v>
          </cell>
        </row>
        <row r="592">
          <cell r="J592">
            <v>8.8405000000000005</v>
          </cell>
          <cell r="L592">
            <v>29.58</v>
          </cell>
        </row>
        <row r="593">
          <cell r="J593">
            <v>8.6904000000000003</v>
          </cell>
          <cell r="L593">
            <v>28.62</v>
          </cell>
        </row>
        <row r="594">
          <cell r="J594">
            <v>8.5669000000000004</v>
          </cell>
          <cell r="L594">
            <v>27.86</v>
          </cell>
        </row>
        <row r="595">
          <cell r="J595">
            <v>8.0755999999999997</v>
          </cell>
          <cell r="L595">
            <v>26.93</v>
          </cell>
        </row>
        <row r="596">
          <cell r="J596">
            <v>8.7926000000000002</v>
          </cell>
          <cell r="L596">
            <v>28.24</v>
          </cell>
        </row>
        <row r="597">
          <cell r="J597">
            <v>8.9088999999999992</v>
          </cell>
          <cell r="L597">
            <v>27.68</v>
          </cell>
        </row>
        <row r="598">
          <cell r="J598">
            <v>8.5381</v>
          </cell>
          <cell r="L598">
            <v>28.41</v>
          </cell>
        </row>
        <row r="599">
          <cell r="J599">
            <v>8.5745000000000005</v>
          </cell>
          <cell r="L599">
            <v>28.81</v>
          </cell>
        </row>
        <row r="600">
          <cell r="J600">
            <v>9.0675000000000008</v>
          </cell>
          <cell r="L600">
            <v>30.14</v>
          </cell>
        </row>
        <row r="601">
          <cell r="J601">
            <v>9.1286000000000005</v>
          </cell>
          <cell r="L601">
            <v>30.62</v>
          </cell>
        </row>
        <row r="602">
          <cell r="J602">
            <v>9.2477</v>
          </cell>
          <cell r="L602">
            <v>32.270000000000003</v>
          </cell>
        </row>
        <row r="603">
          <cell r="J603">
            <v>9.2695000000000007</v>
          </cell>
          <cell r="L603">
            <v>33.04</v>
          </cell>
        </row>
        <row r="604">
          <cell r="J604">
            <v>8.9598999999999993</v>
          </cell>
          <cell r="L604">
            <v>30.26</v>
          </cell>
        </row>
        <row r="605">
          <cell r="J605">
            <v>8.1080000000000005</v>
          </cell>
          <cell r="L605">
            <v>27.04</v>
          </cell>
        </row>
        <row r="606">
          <cell r="J606">
            <v>8.5437999999999992</v>
          </cell>
          <cell r="L606">
            <v>25.69</v>
          </cell>
        </row>
        <row r="607">
          <cell r="J607">
            <v>8.4844000000000008</v>
          </cell>
          <cell r="L607">
            <v>25.27</v>
          </cell>
        </row>
        <row r="608">
          <cell r="J608">
            <v>8.7416</v>
          </cell>
          <cell r="L608">
            <v>26.61</v>
          </cell>
        </row>
        <row r="609">
          <cell r="J609">
            <v>8.9525000000000006</v>
          </cell>
          <cell r="L609">
            <v>28.71</v>
          </cell>
        </row>
        <row r="610">
          <cell r="J610">
            <v>8.8757000000000001</v>
          </cell>
          <cell r="L610">
            <v>32.130000000000003</v>
          </cell>
        </row>
        <row r="611">
          <cell r="J611">
            <v>9.9757999999999996</v>
          </cell>
          <cell r="L611">
            <v>34.200000000000003</v>
          </cell>
        </row>
        <row r="612">
          <cell r="J612">
            <v>10.5283</v>
          </cell>
          <cell r="L612">
            <v>33.909999999999997</v>
          </cell>
        </row>
        <row r="613">
          <cell r="J613">
            <v>11.432399999999999</v>
          </cell>
          <cell r="L613">
            <v>37.79</v>
          </cell>
        </row>
        <row r="614">
          <cell r="J614">
            <v>12.178699999999999</v>
          </cell>
          <cell r="L614">
            <v>40.85</v>
          </cell>
        </row>
        <row r="615">
          <cell r="J615">
            <v>13.85</v>
          </cell>
          <cell r="L615">
            <v>44.31</v>
          </cell>
        </row>
        <row r="616">
          <cell r="J616">
            <v>13.96</v>
          </cell>
          <cell r="L616">
            <v>48.37</v>
          </cell>
        </row>
        <row r="617">
          <cell r="J617">
            <v>14.372299999999999</v>
          </cell>
          <cell r="L617">
            <v>54</v>
          </cell>
        </row>
        <row r="618">
          <cell r="J618">
            <v>14.9434</v>
          </cell>
          <cell r="L618">
            <v>62.88</v>
          </cell>
        </row>
        <row r="619">
          <cell r="J619">
            <v>16.130800000000001</v>
          </cell>
          <cell r="L619">
            <v>74.75</v>
          </cell>
        </row>
        <row r="620">
          <cell r="J620">
            <v>15.0695</v>
          </cell>
          <cell r="L620">
            <v>74.75</v>
          </cell>
        </row>
        <row r="621">
          <cell r="J621">
            <v>15.000644865871658</v>
          </cell>
          <cell r="L621">
            <v>72.721900000000005</v>
          </cell>
        </row>
        <row r="622">
          <cell r="J622">
            <v>14.757164855335645</v>
          </cell>
          <cell r="L622">
            <v>66.900589148472136</v>
          </cell>
        </row>
        <row r="623">
          <cell r="J623">
            <v>14.192652396081735</v>
          </cell>
          <cell r="L623">
            <v>67.833378952234696</v>
          </cell>
        </row>
        <row r="624">
          <cell r="L624">
            <v>69.364654544896055</v>
          </cell>
        </row>
        <row r="625">
          <cell r="L625">
            <v>71.297209600062118</v>
          </cell>
        </row>
        <row r="626">
          <cell r="L626">
            <v>70.351903115932103</v>
          </cell>
        </row>
        <row r="627">
          <cell r="L627">
            <v>70.980369270596228</v>
          </cell>
        </row>
        <row r="628">
          <cell r="L628">
            <v>70.750728491239059</v>
          </cell>
        </row>
        <row r="629">
          <cell r="L629">
            <v>70.257594710972157</v>
          </cell>
        </row>
        <row r="630">
          <cell r="L630">
            <v>69.270464455216526</v>
          </cell>
        </row>
        <row r="631">
          <cell r="L631">
            <v>66.521277583241996</v>
          </cell>
        </row>
        <row r="632">
          <cell r="L632">
            <v>66.633837531788359</v>
          </cell>
        </row>
        <row r="633">
          <cell r="L633">
            <v>67.287992595348584</v>
          </cell>
        </row>
        <row r="634">
          <cell r="L634">
            <v>67.350589148472139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1A19-A5D9-4189-AD3D-446F00B1ACF3}">
  <dimension ref="A1:J900"/>
  <sheetViews>
    <sheetView tabSelected="1" workbookViewId="0">
      <pane xSplit="1" ySplit="1" topLeftCell="B816" activePane="bottomRight" state="frozen"/>
      <selection activeCell="D839" sqref="D839"/>
      <selection pane="topRight" activeCell="D839" sqref="D839"/>
      <selection pane="bottomLeft" activeCell="D839" sqref="D839"/>
      <selection pane="bottomRight" activeCell="D839" sqref="D839"/>
    </sheetView>
  </sheetViews>
  <sheetFormatPr defaultRowHeight="15.75" x14ac:dyDescent="0.25"/>
  <cols>
    <col min="1" max="1" width="16" style="1" customWidth="1"/>
    <col min="2" max="3" width="4.5" style="2" customWidth="1"/>
    <col min="4" max="8" width="9" style="9"/>
    <col min="9" max="10" width="15.125" customWidth="1"/>
  </cols>
  <sheetData>
    <row r="1" spans="1:10" ht="63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 t="s">
        <v>8</v>
      </c>
    </row>
    <row r="2" spans="1:10" x14ac:dyDescent="0.25">
      <c r="A2" s="1" t="s">
        <v>9</v>
      </c>
      <c r="B2" s="2">
        <f>MONTH(A2)</f>
        <v>4</v>
      </c>
      <c r="C2" s="2">
        <f>YEAR(A2)</f>
        <v>2018</v>
      </c>
      <c r="D2" s="4">
        <v>762</v>
      </c>
      <c r="E2" s="4" t="s">
        <v>10</v>
      </c>
      <c r="F2" s="4" t="s">
        <v>10</v>
      </c>
      <c r="G2" s="4" t="s">
        <v>10</v>
      </c>
      <c r="H2" s="4"/>
    </row>
    <row r="3" spans="1:10" x14ac:dyDescent="0.25">
      <c r="A3" s="1" t="s">
        <v>11</v>
      </c>
      <c r="B3" s="2">
        <f t="shared" ref="B3:B66" si="0">MONTH(A3)</f>
        <v>4</v>
      </c>
      <c r="C3" s="2">
        <f t="shared" ref="C3:C66" si="1">YEAR(A3)</f>
        <v>2018</v>
      </c>
      <c r="D3" s="4">
        <v>762</v>
      </c>
      <c r="E3" s="4" t="s">
        <v>10</v>
      </c>
      <c r="F3" s="4" t="s">
        <v>10</v>
      </c>
      <c r="G3" s="4" t="s">
        <v>10</v>
      </c>
      <c r="H3" s="4"/>
    </row>
    <row r="4" spans="1:10" x14ac:dyDescent="0.25">
      <c r="A4" s="1" t="s">
        <v>12</v>
      </c>
      <c r="B4" s="2">
        <f t="shared" si="0"/>
        <v>4</v>
      </c>
      <c r="C4" s="2">
        <f t="shared" si="1"/>
        <v>2018</v>
      </c>
      <c r="D4" s="4">
        <v>760</v>
      </c>
      <c r="E4" s="4" t="s">
        <v>10</v>
      </c>
      <c r="F4" s="4" t="s">
        <v>10</v>
      </c>
      <c r="G4" s="4" t="s">
        <v>10</v>
      </c>
      <c r="H4" s="4"/>
    </row>
    <row r="5" spans="1:10" x14ac:dyDescent="0.25">
      <c r="A5" s="1" t="s">
        <v>13</v>
      </c>
      <c r="B5" s="2">
        <f t="shared" si="0"/>
        <v>4</v>
      </c>
      <c r="C5" s="2">
        <f t="shared" si="1"/>
        <v>2018</v>
      </c>
      <c r="D5" s="4">
        <v>765</v>
      </c>
      <c r="E5" s="4" t="s">
        <v>10</v>
      </c>
      <c r="F5" s="4" t="s">
        <v>10</v>
      </c>
      <c r="G5" s="4" t="s">
        <v>10</v>
      </c>
      <c r="H5" s="4"/>
    </row>
    <row r="6" spans="1:10" x14ac:dyDescent="0.25">
      <c r="A6" s="1" t="s">
        <v>14</v>
      </c>
      <c r="B6" s="2">
        <f t="shared" si="0"/>
        <v>4</v>
      </c>
      <c r="C6" s="2">
        <f t="shared" si="1"/>
        <v>2018</v>
      </c>
      <c r="D6" s="4">
        <v>765</v>
      </c>
      <c r="E6" s="4" t="s">
        <v>10</v>
      </c>
      <c r="F6" s="4" t="s">
        <v>10</v>
      </c>
      <c r="G6" s="4" t="s">
        <v>10</v>
      </c>
      <c r="H6" s="4"/>
    </row>
    <row r="7" spans="1:10" x14ac:dyDescent="0.25">
      <c r="A7" s="1" t="s">
        <v>15</v>
      </c>
      <c r="B7" s="2">
        <f t="shared" si="0"/>
        <v>4</v>
      </c>
      <c r="C7" s="2">
        <f t="shared" si="1"/>
        <v>2018</v>
      </c>
      <c r="D7" s="4">
        <v>768</v>
      </c>
      <c r="E7" s="4" t="s">
        <v>10</v>
      </c>
      <c r="F7" s="4" t="s">
        <v>10</v>
      </c>
      <c r="G7" s="4" t="s">
        <v>10</v>
      </c>
      <c r="H7" s="4"/>
    </row>
    <row r="8" spans="1:10" x14ac:dyDescent="0.25">
      <c r="A8" s="1" t="s">
        <v>16</v>
      </c>
      <c r="B8" s="2">
        <f t="shared" si="0"/>
        <v>4</v>
      </c>
      <c r="C8" s="2">
        <f t="shared" si="1"/>
        <v>2018</v>
      </c>
      <c r="D8" s="4">
        <v>770</v>
      </c>
      <c r="E8" s="4" t="s">
        <v>10</v>
      </c>
      <c r="F8" s="4" t="s">
        <v>10</v>
      </c>
      <c r="G8" s="4" t="s">
        <v>10</v>
      </c>
      <c r="H8" s="4"/>
    </row>
    <row r="9" spans="1:10" x14ac:dyDescent="0.25">
      <c r="A9" s="1" t="s">
        <v>17</v>
      </c>
      <c r="B9" s="2">
        <f t="shared" si="0"/>
        <v>4</v>
      </c>
      <c r="C9" s="2">
        <f t="shared" si="1"/>
        <v>2018</v>
      </c>
      <c r="D9" s="4">
        <v>770</v>
      </c>
      <c r="E9" s="4" t="s">
        <v>10</v>
      </c>
      <c r="F9" s="4" t="s">
        <v>10</v>
      </c>
      <c r="G9" s="4" t="s">
        <v>10</v>
      </c>
      <c r="H9" s="4"/>
    </row>
    <row r="10" spans="1:10" x14ac:dyDescent="0.25">
      <c r="A10" s="1" t="s">
        <v>18</v>
      </c>
      <c r="B10" s="2">
        <f t="shared" si="0"/>
        <v>4</v>
      </c>
      <c r="C10" s="2">
        <f t="shared" si="1"/>
        <v>2018</v>
      </c>
      <c r="D10" s="4">
        <v>772</v>
      </c>
      <c r="E10" s="4" t="s">
        <v>10</v>
      </c>
      <c r="F10" s="4" t="s">
        <v>10</v>
      </c>
      <c r="G10" s="4" t="s">
        <v>10</v>
      </c>
      <c r="H10" s="4"/>
    </row>
    <row r="11" spans="1:10" x14ac:dyDescent="0.25">
      <c r="A11" s="1" t="s">
        <v>19</v>
      </c>
      <c r="B11" s="2">
        <f t="shared" si="0"/>
        <v>4</v>
      </c>
      <c r="C11" s="2">
        <f t="shared" si="1"/>
        <v>2018</v>
      </c>
      <c r="D11" s="4">
        <v>772</v>
      </c>
      <c r="E11" s="4" t="s">
        <v>10</v>
      </c>
      <c r="F11" s="4" t="s">
        <v>10</v>
      </c>
      <c r="G11" s="4" t="s">
        <v>10</v>
      </c>
      <c r="H11" s="4"/>
    </row>
    <row r="12" spans="1:10" x14ac:dyDescent="0.25">
      <c r="A12" s="1" t="s">
        <v>20</v>
      </c>
      <c r="B12" s="2">
        <f t="shared" si="0"/>
        <v>4</v>
      </c>
      <c r="C12" s="2">
        <f t="shared" si="1"/>
        <v>2018</v>
      </c>
      <c r="D12" s="4">
        <v>773</v>
      </c>
      <c r="E12" s="4" t="s">
        <v>10</v>
      </c>
      <c r="F12" s="4" t="s">
        <v>10</v>
      </c>
      <c r="G12" s="4" t="s">
        <v>10</v>
      </c>
      <c r="H12" s="4"/>
    </row>
    <row r="13" spans="1:10" x14ac:dyDescent="0.25">
      <c r="A13" s="1" t="s">
        <v>21</v>
      </c>
      <c r="B13" s="2">
        <f t="shared" si="0"/>
        <v>4</v>
      </c>
      <c r="C13" s="2">
        <f t="shared" si="1"/>
        <v>2018</v>
      </c>
      <c r="D13" s="4">
        <v>773</v>
      </c>
      <c r="E13" s="4" t="s">
        <v>10</v>
      </c>
      <c r="F13" s="4" t="s">
        <v>10</v>
      </c>
      <c r="G13" s="4" t="s">
        <v>10</v>
      </c>
      <c r="H13" s="4"/>
    </row>
    <row r="14" spans="1:10" x14ac:dyDescent="0.25">
      <c r="A14" s="1" t="s">
        <v>22</v>
      </c>
      <c r="B14" s="2">
        <f t="shared" si="0"/>
        <v>4</v>
      </c>
      <c r="C14" s="2">
        <f t="shared" si="1"/>
        <v>2018</v>
      </c>
      <c r="D14" s="4">
        <v>774</v>
      </c>
      <c r="E14" s="4" t="s">
        <v>10</v>
      </c>
      <c r="F14" s="4" t="s">
        <v>10</v>
      </c>
      <c r="G14" s="4" t="s">
        <v>10</v>
      </c>
      <c r="H14" s="4"/>
    </row>
    <row r="15" spans="1:10" x14ac:dyDescent="0.25">
      <c r="A15" s="1" t="s">
        <v>23</v>
      </c>
      <c r="B15" s="2">
        <f t="shared" si="0"/>
        <v>4</v>
      </c>
      <c r="C15" s="2">
        <f t="shared" si="1"/>
        <v>2018</v>
      </c>
      <c r="D15" s="4">
        <v>775</v>
      </c>
      <c r="E15" s="4" t="s">
        <v>10</v>
      </c>
      <c r="F15" s="4" t="s">
        <v>10</v>
      </c>
      <c r="G15" s="4" t="s">
        <v>10</v>
      </c>
      <c r="H15" s="4"/>
    </row>
    <row r="16" spans="1:10" x14ac:dyDescent="0.25">
      <c r="A16" s="1" t="s">
        <v>24</v>
      </c>
      <c r="B16" s="2">
        <f t="shared" si="0"/>
        <v>4</v>
      </c>
      <c r="C16" s="2">
        <f t="shared" si="1"/>
        <v>2018</v>
      </c>
      <c r="D16" s="4">
        <v>775</v>
      </c>
      <c r="E16" s="4" t="s">
        <v>10</v>
      </c>
      <c r="F16" s="4" t="s">
        <v>10</v>
      </c>
      <c r="G16" s="4" t="s">
        <v>10</v>
      </c>
      <c r="H16" s="4"/>
    </row>
    <row r="17" spans="1:8" x14ac:dyDescent="0.25">
      <c r="A17" s="1" t="s">
        <v>25</v>
      </c>
      <c r="B17" s="2">
        <f t="shared" si="0"/>
        <v>4</v>
      </c>
      <c r="C17" s="2">
        <f t="shared" si="1"/>
        <v>2018</v>
      </c>
      <c r="D17" s="4">
        <v>774</v>
      </c>
      <c r="E17" s="4" t="s">
        <v>10</v>
      </c>
      <c r="F17" s="4" t="s">
        <v>10</v>
      </c>
      <c r="G17" s="4" t="s">
        <v>10</v>
      </c>
      <c r="H17" s="4"/>
    </row>
    <row r="18" spans="1:8" x14ac:dyDescent="0.25">
      <c r="A18" s="1" t="s">
        <v>26</v>
      </c>
      <c r="B18" s="2">
        <f t="shared" si="0"/>
        <v>4</v>
      </c>
      <c r="C18" s="2">
        <f t="shared" si="1"/>
        <v>2018</v>
      </c>
      <c r="D18" s="4">
        <v>774</v>
      </c>
      <c r="E18" s="4" t="s">
        <v>10</v>
      </c>
      <c r="F18" s="4" t="s">
        <v>10</v>
      </c>
      <c r="G18" s="4" t="s">
        <v>10</v>
      </c>
      <c r="H18" s="4"/>
    </row>
    <row r="19" spans="1:8" x14ac:dyDescent="0.25">
      <c r="A19" s="1" t="s">
        <v>27</v>
      </c>
      <c r="B19" s="2">
        <f t="shared" si="0"/>
        <v>4</v>
      </c>
      <c r="C19" s="2">
        <f t="shared" si="1"/>
        <v>2018</v>
      </c>
      <c r="D19" s="4">
        <v>773</v>
      </c>
      <c r="E19" s="4" t="s">
        <v>10</v>
      </c>
      <c r="F19" s="4" t="s">
        <v>10</v>
      </c>
      <c r="G19" s="4" t="s">
        <v>10</v>
      </c>
      <c r="H19" s="4"/>
    </row>
    <row r="20" spans="1:8" x14ac:dyDescent="0.25">
      <c r="A20" s="1" t="s">
        <v>28</v>
      </c>
      <c r="B20" s="2">
        <f t="shared" si="0"/>
        <v>5</v>
      </c>
      <c r="C20" s="2">
        <f t="shared" si="1"/>
        <v>2018</v>
      </c>
      <c r="D20" s="4">
        <v>774</v>
      </c>
      <c r="E20" s="4" t="s">
        <v>10</v>
      </c>
      <c r="F20" s="4" t="s">
        <v>10</v>
      </c>
      <c r="G20" s="4" t="s">
        <v>10</v>
      </c>
      <c r="H20" s="4"/>
    </row>
    <row r="21" spans="1:8" x14ac:dyDescent="0.25">
      <c r="A21" s="1" t="s">
        <v>29</v>
      </c>
      <c r="B21" s="2">
        <f t="shared" si="0"/>
        <v>5</v>
      </c>
      <c r="C21" s="2">
        <f t="shared" si="1"/>
        <v>2018</v>
      </c>
      <c r="D21" s="4">
        <v>772</v>
      </c>
      <c r="E21" s="4" t="s">
        <v>10</v>
      </c>
      <c r="F21" s="4" t="s">
        <v>10</v>
      </c>
      <c r="G21" s="4" t="s">
        <v>10</v>
      </c>
      <c r="H21" s="4"/>
    </row>
    <row r="22" spans="1:8" x14ac:dyDescent="0.25">
      <c r="A22" s="1" t="s">
        <v>30</v>
      </c>
      <c r="B22" s="2">
        <f t="shared" si="0"/>
        <v>5</v>
      </c>
      <c r="C22" s="2">
        <f t="shared" si="1"/>
        <v>2018</v>
      </c>
      <c r="D22" s="4">
        <v>768</v>
      </c>
      <c r="E22" s="4" t="s">
        <v>10</v>
      </c>
      <c r="F22" s="4" t="s">
        <v>10</v>
      </c>
      <c r="G22" s="4" t="s">
        <v>10</v>
      </c>
      <c r="H22" s="4"/>
    </row>
    <row r="23" spans="1:8" x14ac:dyDescent="0.25">
      <c r="A23" s="1" t="s">
        <v>31</v>
      </c>
      <c r="B23" s="2">
        <f t="shared" si="0"/>
        <v>5</v>
      </c>
      <c r="C23" s="2">
        <f t="shared" si="1"/>
        <v>2018</v>
      </c>
      <c r="D23" s="4">
        <v>766</v>
      </c>
      <c r="E23" s="4" t="s">
        <v>10</v>
      </c>
      <c r="F23" s="4" t="s">
        <v>10</v>
      </c>
      <c r="G23" s="4" t="s">
        <v>10</v>
      </c>
      <c r="H23" s="4"/>
    </row>
    <row r="24" spans="1:8" x14ac:dyDescent="0.25">
      <c r="A24" s="1" t="s">
        <v>32</v>
      </c>
      <c r="B24" s="2">
        <f t="shared" si="0"/>
        <v>5</v>
      </c>
      <c r="C24" s="2">
        <f t="shared" si="1"/>
        <v>2018</v>
      </c>
      <c r="D24" s="4">
        <v>766</v>
      </c>
      <c r="E24" s="4" t="s">
        <v>10</v>
      </c>
      <c r="F24" s="4" t="s">
        <v>10</v>
      </c>
      <c r="G24" s="4" t="s">
        <v>10</v>
      </c>
      <c r="H24" s="4"/>
    </row>
    <row r="25" spans="1:8" x14ac:dyDescent="0.25">
      <c r="A25" s="1" t="s">
        <v>33</v>
      </c>
      <c r="B25" s="2">
        <f t="shared" si="0"/>
        <v>5</v>
      </c>
      <c r="C25" s="2">
        <f t="shared" si="1"/>
        <v>2018</v>
      </c>
      <c r="D25" s="4">
        <v>766</v>
      </c>
      <c r="E25" s="4" t="s">
        <v>10</v>
      </c>
      <c r="F25" s="4" t="s">
        <v>10</v>
      </c>
      <c r="G25" s="4" t="s">
        <v>10</v>
      </c>
      <c r="H25" s="4"/>
    </row>
    <row r="26" spans="1:8" x14ac:dyDescent="0.25">
      <c r="A26" s="1" t="s">
        <v>34</v>
      </c>
      <c r="B26" s="2">
        <f t="shared" si="0"/>
        <v>5</v>
      </c>
      <c r="C26" s="2">
        <f t="shared" si="1"/>
        <v>2018</v>
      </c>
      <c r="D26" s="4">
        <v>766</v>
      </c>
      <c r="E26" s="4" t="s">
        <v>10</v>
      </c>
      <c r="F26" s="4" t="s">
        <v>10</v>
      </c>
      <c r="G26" s="4" t="s">
        <v>10</v>
      </c>
      <c r="H26" s="4"/>
    </row>
    <row r="27" spans="1:8" x14ac:dyDescent="0.25">
      <c r="A27" s="1" t="s">
        <v>35</v>
      </c>
      <c r="B27" s="2">
        <f t="shared" si="0"/>
        <v>5</v>
      </c>
      <c r="C27" s="2">
        <f t="shared" si="1"/>
        <v>2018</v>
      </c>
      <c r="D27" s="4">
        <v>762</v>
      </c>
      <c r="E27" s="4" t="s">
        <v>10</v>
      </c>
      <c r="F27" s="4" t="s">
        <v>10</v>
      </c>
      <c r="G27" s="4" t="s">
        <v>10</v>
      </c>
      <c r="H27" s="4"/>
    </row>
    <row r="28" spans="1:8" x14ac:dyDescent="0.25">
      <c r="A28" s="1" t="s">
        <v>36</v>
      </c>
      <c r="B28" s="2">
        <f t="shared" si="0"/>
        <v>5</v>
      </c>
      <c r="C28" s="2">
        <f t="shared" si="1"/>
        <v>2018</v>
      </c>
      <c r="D28" s="4">
        <v>759</v>
      </c>
      <c r="E28" s="4" t="s">
        <v>10</v>
      </c>
      <c r="F28" s="4" t="s">
        <v>10</v>
      </c>
      <c r="G28" s="4" t="s">
        <v>10</v>
      </c>
      <c r="H28" s="4"/>
    </row>
    <row r="29" spans="1:8" x14ac:dyDescent="0.25">
      <c r="A29" s="1" t="s">
        <v>37</v>
      </c>
      <c r="B29" s="2">
        <f t="shared" si="0"/>
        <v>5</v>
      </c>
      <c r="C29" s="2">
        <f t="shared" si="1"/>
        <v>2018</v>
      </c>
      <c r="D29" s="4">
        <v>754</v>
      </c>
      <c r="E29" s="4" t="s">
        <v>10</v>
      </c>
      <c r="F29" s="4" t="s">
        <v>10</v>
      </c>
      <c r="G29" s="4" t="s">
        <v>10</v>
      </c>
      <c r="H29" s="4"/>
    </row>
    <row r="30" spans="1:8" x14ac:dyDescent="0.25">
      <c r="A30" s="1" t="s">
        <v>38</v>
      </c>
      <c r="B30" s="2">
        <f t="shared" si="0"/>
        <v>5</v>
      </c>
      <c r="C30" s="2">
        <f t="shared" si="1"/>
        <v>2018</v>
      </c>
      <c r="D30" s="4">
        <v>751</v>
      </c>
      <c r="E30" s="4" t="s">
        <v>10</v>
      </c>
      <c r="F30" s="4" t="s">
        <v>10</v>
      </c>
      <c r="G30" s="4" t="s">
        <v>10</v>
      </c>
      <c r="H30" s="4"/>
    </row>
    <row r="31" spans="1:8" x14ac:dyDescent="0.25">
      <c r="A31" s="1" t="s">
        <v>39</v>
      </c>
      <c r="B31" s="2">
        <f t="shared" si="0"/>
        <v>5</v>
      </c>
      <c r="C31" s="2">
        <f t="shared" si="1"/>
        <v>2018</v>
      </c>
      <c r="D31" s="4">
        <v>751</v>
      </c>
      <c r="E31" s="4" t="s">
        <v>10</v>
      </c>
      <c r="F31" s="4" t="s">
        <v>10</v>
      </c>
      <c r="G31" s="4" t="s">
        <v>10</v>
      </c>
      <c r="H31" s="4"/>
    </row>
    <row r="32" spans="1:8" x14ac:dyDescent="0.25">
      <c r="A32" s="1" t="s">
        <v>40</v>
      </c>
      <c r="B32" s="2">
        <f t="shared" si="0"/>
        <v>5</v>
      </c>
      <c r="C32" s="2">
        <f t="shared" si="1"/>
        <v>2018</v>
      </c>
      <c r="D32" s="4">
        <v>751</v>
      </c>
      <c r="E32" s="4" t="s">
        <v>10</v>
      </c>
      <c r="F32" s="4" t="s">
        <v>10</v>
      </c>
      <c r="G32" s="4" t="s">
        <v>10</v>
      </c>
      <c r="H32" s="4"/>
    </row>
    <row r="33" spans="1:8" x14ac:dyDescent="0.25">
      <c r="A33" s="1" t="s">
        <v>41</v>
      </c>
      <c r="B33" s="2">
        <f t="shared" si="0"/>
        <v>5</v>
      </c>
      <c r="C33" s="2">
        <f t="shared" si="1"/>
        <v>2018</v>
      </c>
      <c r="D33" s="4">
        <v>751</v>
      </c>
      <c r="E33" s="4" t="s">
        <v>10</v>
      </c>
      <c r="F33" s="4" t="s">
        <v>10</v>
      </c>
      <c r="G33" s="4" t="s">
        <v>10</v>
      </c>
      <c r="H33" s="4"/>
    </row>
    <row r="34" spans="1:8" x14ac:dyDescent="0.25">
      <c r="A34" s="1" t="s">
        <v>42</v>
      </c>
      <c r="B34" s="2">
        <f t="shared" si="0"/>
        <v>5</v>
      </c>
      <c r="C34" s="2">
        <f t="shared" si="1"/>
        <v>2018</v>
      </c>
      <c r="D34" s="4">
        <v>749</v>
      </c>
      <c r="E34" s="4" t="s">
        <v>10</v>
      </c>
      <c r="F34" s="4" t="s">
        <v>10</v>
      </c>
      <c r="G34" s="4" t="s">
        <v>10</v>
      </c>
      <c r="H34" s="4"/>
    </row>
    <row r="35" spans="1:8" x14ac:dyDescent="0.25">
      <c r="A35" s="1" t="s">
        <v>43</v>
      </c>
      <c r="B35" s="2">
        <f t="shared" si="0"/>
        <v>5</v>
      </c>
      <c r="C35" s="2">
        <f t="shared" si="1"/>
        <v>2018</v>
      </c>
      <c r="D35" s="4">
        <v>749</v>
      </c>
      <c r="E35" s="4" t="s">
        <v>10</v>
      </c>
      <c r="F35" s="4" t="s">
        <v>10</v>
      </c>
      <c r="G35" s="4" t="s">
        <v>10</v>
      </c>
      <c r="H35" s="4"/>
    </row>
    <row r="36" spans="1:8" x14ac:dyDescent="0.25">
      <c r="A36" s="1" t="s">
        <v>44</v>
      </c>
      <c r="B36" s="2">
        <f t="shared" si="0"/>
        <v>5</v>
      </c>
      <c r="C36" s="2">
        <f t="shared" si="1"/>
        <v>2018</v>
      </c>
      <c r="D36" s="4">
        <v>745</v>
      </c>
      <c r="E36" s="4" t="s">
        <v>10</v>
      </c>
      <c r="F36" s="4" t="s">
        <v>10</v>
      </c>
      <c r="G36" s="4" t="s">
        <v>10</v>
      </c>
      <c r="H36" s="4"/>
    </row>
    <row r="37" spans="1:8" x14ac:dyDescent="0.25">
      <c r="A37" s="1" t="s">
        <v>45</v>
      </c>
      <c r="B37" s="2">
        <f t="shared" si="0"/>
        <v>5</v>
      </c>
      <c r="C37" s="2">
        <f t="shared" si="1"/>
        <v>2018</v>
      </c>
      <c r="D37" s="4">
        <v>742</v>
      </c>
      <c r="E37" s="4" t="s">
        <v>10</v>
      </c>
      <c r="F37" s="4" t="s">
        <v>10</v>
      </c>
      <c r="G37" s="4" t="s">
        <v>10</v>
      </c>
      <c r="H37" s="4"/>
    </row>
    <row r="38" spans="1:8" x14ac:dyDescent="0.25">
      <c r="A38" s="1" t="s">
        <v>46</v>
      </c>
      <c r="B38" s="2">
        <f t="shared" si="0"/>
        <v>5</v>
      </c>
      <c r="C38" s="2">
        <f t="shared" si="1"/>
        <v>2018</v>
      </c>
      <c r="D38" s="4">
        <v>739</v>
      </c>
      <c r="E38" s="4" t="s">
        <v>10</v>
      </c>
      <c r="F38" s="4" t="s">
        <v>10</v>
      </c>
      <c r="G38" s="4" t="s">
        <v>10</v>
      </c>
      <c r="H38" s="4"/>
    </row>
    <row r="39" spans="1:8" x14ac:dyDescent="0.25">
      <c r="A39" s="1" t="s">
        <v>47</v>
      </c>
      <c r="B39" s="2">
        <f t="shared" si="0"/>
        <v>6</v>
      </c>
      <c r="C39" s="2">
        <f t="shared" si="1"/>
        <v>2018</v>
      </c>
      <c r="D39" s="4">
        <v>738</v>
      </c>
      <c r="E39" s="4" t="s">
        <v>10</v>
      </c>
      <c r="F39" s="4" t="s">
        <v>10</v>
      </c>
      <c r="G39" s="4" t="s">
        <v>10</v>
      </c>
      <c r="H39" s="4"/>
    </row>
    <row r="40" spans="1:8" x14ac:dyDescent="0.25">
      <c r="A40" s="1" t="s">
        <v>48</v>
      </c>
      <c r="B40" s="2">
        <f t="shared" si="0"/>
        <v>6</v>
      </c>
      <c r="C40" s="2">
        <f t="shared" si="1"/>
        <v>2018</v>
      </c>
      <c r="D40" s="4">
        <v>734</v>
      </c>
      <c r="E40" s="4" t="s">
        <v>10</v>
      </c>
      <c r="F40" s="4" t="s">
        <v>10</v>
      </c>
      <c r="G40" s="4">
        <v>724</v>
      </c>
      <c r="H40" s="4"/>
    </row>
    <row r="41" spans="1:8" x14ac:dyDescent="0.25">
      <c r="A41" s="1" t="s">
        <v>49</v>
      </c>
      <c r="B41" s="2">
        <f t="shared" si="0"/>
        <v>6</v>
      </c>
      <c r="C41" s="2">
        <f t="shared" si="1"/>
        <v>2018</v>
      </c>
      <c r="D41" s="4">
        <v>731</v>
      </c>
      <c r="E41" s="4" t="s">
        <v>10</v>
      </c>
      <c r="F41" s="4" t="s">
        <v>10</v>
      </c>
      <c r="G41" s="4">
        <v>719</v>
      </c>
      <c r="H41" s="4"/>
    </row>
    <row r="42" spans="1:8" x14ac:dyDescent="0.25">
      <c r="A42" s="1" t="s">
        <v>50</v>
      </c>
      <c r="B42" s="2">
        <f t="shared" si="0"/>
        <v>6</v>
      </c>
      <c r="C42" s="2">
        <f t="shared" si="1"/>
        <v>2018</v>
      </c>
      <c r="D42" s="4">
        <v>731</v>
      </c>
      <c r="E42" s="4" t="s">
        <v>10</v>
      </c>
      <c r="F42" s="4" t="s">
        <v>10</v>
      </c>
      <c r="G42" s="4">
        <v>719</v>
      </c>
      <c r="H42" s="4"/>
    </row>
    <row r="43" spans="1:8" x14ac:dyDescent="0.25">
      <c r="A43" s="1" t="s">
        <v>51</v>
      </c>
      <c r="B43" s="2">
        <f t="shared" si="0"/>
        <v>6</v>
      </c>
      <c r="C43" s="2">
        <f t="shared" si="1"/>
        <v>2018</v>
      </c>
      <c r="D43" s="4">
        <v>731</v>
      </c>
      <c r="E43" s="4" t="s">
        <v>10</v>
      </c>
      <c r="F43" s="4" t="s">
        <v>10</v>
      </c>
      <c r="G43" s="4">
        <v>720</v>
      </c>
      <c r="H43" s="4"/>
    </row>
    <row r="44" spans="1:8" x14ac:dyDescent="0.25">
      <c r="A44" s="1" t="s">
        <v>52</v>
      </c>
      <c r="B44" s="2">
        <f t="shared" si="0"/>
        <v>6</v>
      </c>
      <c r="C44" s="2">
        <f t="shared" si="1"/>
        <v>2018</v>
      </c>
      <c r="D44" s="4">
        <v>730</v>
      </c>
      <c r="E44" s="4" t="s">
        <v>10</v>
      </c>
      <c r="F44" s="4" t="s">
        <v>10</v>
      </c>
      <c r="G44" s="4">
        <v>721</v>
      </c>
      <c r="H44" s="4"/>
    </row>
    <row r="45" spans="1:8" x14ac:dyDescent="0.25">
      <c r="A45" s="1" t="s">
        <v>53</v>
      </c>
      <c r="B45" s="2">
        <f t="shared" si="0"/>
        <v>6</v>
      </c>
      <c r="C45" s="2">
        <f t="shared" si="1"/>
        <v>2018</v>
      </c>
      <c r="D45" s="4">
        <v>731</v>
      </c>
      <c r="E45" s="4" t="s">
        <v>10</v>
      </c>
      <c r="F45" s="4" t="s">
        <v>10</v>
      </c>
      <c r="G45" s="4">
        <v>721</v>
      </c>
      <c r="H45" s="4"/>
    </row>
    <row r="46" spans="1:8" x14ac:dyDescent="0.25">
      <c r="A46" s="1" t="s">
        <v>54</v>
      </c>
      <c r="B46" s="2">
        <f t="shared" si="0"/>
        <v>6</v>
      </c>
      <c r="C46" s="2">
        <f t="shared" si="1"/>
        <v>2018</v>
      </c>
      <c r="D46" s="4">
        <v>732</v>
      </c>
      <c r="E46" s="4" t="s">
        <v>10</v>
      </c>
      <c r="F46" s="4" t="s">
        <v>10</v>
      </c>
      <c r="G46" s="4">
        <v>721</v>
      </c>
      <c r="H46" s="4"/>
    </row>
    <row r="47" spans="1:8" x14ac:dyDescent="0.25">
      <c r="A47" s="1" t="s">
        <v>55</v>
      </c>
      <c r="B47" s="2">
        <f t="shared" si="0"/>
        <v>6</v>
      </c>
      <c r="C47" s="2">
        <f t="shared" si="1"/>
        <v>2018</v>
      </c>
      <c r="D47" s="4">
        <v>732</v>
      </c>
      <c r="E47" s="4" t="s">
        <v>10</v>
      </c>
      <c r="F47" s="4" t="s">
        <v>10</v>
      </c>
      <c r="G47" s="4">
        <v>721</v>
      </c>
      <c r="H47" s="4"/>
    </row>
    <row r="48" spans="1:8" x14ac:dyDescent="0.25">
      <c r="A48" s="1" t="s">
        <v>56</v>
      </c>
      <c r="B48" s="2">
        <f t="shared" si="0"/>
        <v>6</v>
      </c>
      <c r="C48" s="2">
        <f t="shared" si="1"/>
        <v>2018</v>
      </c>
      <c r="D48" s="4">
        <v>729</v>
      </c>
      <c r="E48" s="4" t="s">
        <v>10</v>
      </c>
      <c r="F48" s="4" t="s">
        <v>10</v>
      </c>
      <c r="G48" s="4">
        <v>721</v>
      </c>
      <c r="H48" s="4"/>
    </row>
    <row r="49" spans="1:8" x14ac:dyDescent="0.25">
      <c r="A49" s="1" t="s">
        <v>57</v>
      </c>
      <c r="B49" s="2">
        <f t="shared" si="0"/>
        <v>6</v>
      </c>
      <c r="C49" s="2">
        <f t="shared" si="1"/>
        <v>2018</v>
      </c>
      <c r="D49" s="4">
        <v>725</v>
      </c>
      <c r="E49" s="4" t="s">
        <v>10</v>
      </c>
      <c r="F49" s="4" t="s">
        <v>10</v>
      </c>
      <c r="G49" s="4">
        <v>721</v>
      </c>
      <c r="H49" s="4"/>
    </row>
    <row r="50" spans="1:8" x14ac:dyDescent="0.25">
      <c r="A50" s="1" t="s">
        <v>58</v>
      </c>
      <c r="B50" s="2">
        <f t="shared" si="0"/>
        <v>6</v>
      </c>
      <c r="C50" s="2">
        <f t="shared" si="1"/>
        <v>2018</v>
      </c>
      <c r="D50" s="4">
        <v>727</v>
      </c>
      <c r="E50" s="4" t="s">
        <v>10</v>
      </c>
      <c r="F50" s="4" t="s">
        <v>10</v>
      </c>
      <c r="G50" s="4">
        <v>721</v>
      </c>
      <c r="H50" s="4"/>
    </row>
    <row r="51" spans="1:8" x14ac:dyDescent="0.25">
      <c r="A51" s="1" t="s">
        <v>59</v>
      </c>
      <c r="B51" s="2">
        <f t="shared" si="0"/>
        <v>6</v>
      </c>
      <c r="C51" s="2">
        <f t="shared" si="1"/>
        <v>2018</v>
      </c>
      <c r="D51" s="4">
        <v>723</v>
      </c>
      <c r="E51" s="4" t="s">
        <v>10</v>
      </c>
      <c r="F51" s="4" t="s">
        <v>10</v>
      </c>
      <c r="G51" s="4">
        <v>710</v>
      </c>
      <c r="H51" s="4"/>
    </row>
    <row r="52" spans="1:8" x14ac:dyDescent="0.25">
      <c r="A52" s="1" t="s">
        <v>60</v>
      </c>
      <c r="B52" s="2">
        <f t="shared" si="0"/>
        <v>6</v>
      </c>
      <c r="C52" s="2">
        <f t="shared" si="1"/>
        <v>2018</v>
      </c>
      <c r="D52" s="4">
        <v>728</v>
      </c>
      <c r="E52" s="4" t="s">
        <v>10</v>
      </c>
      <c r="F52" s="4" t="s">
        <v>10</v>
      </c>
      <c r="G52" s="4">
        <v>709</v>
      </c>
      <c r="H52" s="4"/>
    </row>
    <row r="53" spans="1:8" x14ac:dyDescent="0.25">
      <c r="A53" s="1" t="s">
        <v>61</v>
      </c>
      <c r="B53" s="2">
        <f t="shared" si="0"/>
        <v>6</v>
      </c>
      <c r="C53" s="2">
        <f t="shared" si="1"/>
        <v>2018</v>
      </c>
      <c r="D53" s="4">
        <v>727</v>
      </c>
      <c r="E53" s="4" t="s">
        <v>10</v>
      </c>
      <c r="F53" s="4" t="s">
        <v>10</v>
      </c>
      <c r="G53" s="4">
        <v>708</v>
      </c>
      <c r="H53" s="4"/>
    </row>
    <row r="54" spans="1:8" x14ac:dyDescent="0.25">
      <c r="A54" s="1" t="s">
        <v>62</v>
      </c>
      <c r="B54" s="2">
        <f t="shared" si="0"/>
        <v>6</v>
      </c>
      <c r="C54" s="2">
        <f t="shared" si="1"/>
        <v>2018</v>
      </c>
      <c r="D54" s="4">
        <v>735</v>
      </c>
      <c r="E54" s="4" t="s">
        <v>10</v>
      </c>
      <c r="F54" s="4" t="s">
        <v>10</v>
      </c>
      <c r="G54" s="4">
        <v>708</v>
      </c>
      <c r="H54" s="4"/>
    </row>
    <row r="55" spans="1:8" x14ac:dyDescent="0.25">
      <c r="A55" s="1" t="s">
        <v>63</v>
      </c>
      <c r="B55" s="2">
        <f t="shared" si="0"/>
        <v>6</v>
      </c>
      <c r="C55" s="2">
        <f t="shared" si="1"/>
        <v>2018</v>
      </c>
      <c r="D55" s="4">
        <v>736</v>
      </c>
      <c r="E55" s="4" t="s">
        <v>10</v>
      </c>
      <c r="F55" s="4" t="s">
        <v>10</v>
      </c>
      <c r="G55" s="4">
        <v>708</v>
      </c>
      <c r="H55" s="4"/>
    </row>
    <row r="56" spans="1:8" x14ac:dyDescent="0.25">
      <c r="A56" s="1" t="s">
        <v>64</v>
      </c>
      <c r="B56" s="2">
        <f t="shared" si="0"/>
        <v>6</v>
      </c>
      <c r="C56" s="2">
        <f t="shared" si="1"/>
        <v>2018</v>
      </c>
      <c r="D56" s="4">
        <v>738</v>
      </c>
      <c r="E56" s="4" t="s">
        <v>10</v>
      </c>
      <c r="F56" s="4" t="s">
        <v>10</v>
      </c>
      <c r="G56" s="4">
        <v>708</v>
      </c>
      <c r="H56" s="4"/>
    </row>
    <row r="57" spans="1:8" x14ac:dyDescent="0.25">
      <c r="A57" s="1" t="s">
        <v>65</v>
      </c>
      <c r="B57" s="2">
        <f t="shared" si="0"/>
        <v>6</v>
      </c>
      <c r="C57" s="2">
        <f t="shared" si="1"/>
        <v>2018</v>
      </c>
      <c r="D57" s="4">
        <v>743</v>
      </c>
      <c r="E57" s="4" t="s">
        <v>10</v>
      </c>
      <c r="F57" s="4" t="s">
        <v>10</v>
      </c>
      <c r="G57" s="4">
        <v>708</v>
      </c>
      <c r="H57" s="4"/>
    </row>
    <row r="58" spans="1:8" x14ac:dyDescent="0.25">
      <c r="A58" s="1" t="s">
        <v>66</v>
      </c>
      <c r="B58" s="2">
        <f t="shared" si="0"/>
        <v>6</v>
      </c>
      <c r="C58" s="2">
        <f t="shared" si="1"/>
        <v>2018</v>
      </c>
      <c r="D58" s="4">
        <v>742</v>
      </c>
      <c r="E58" s="4" t="s">
        <v>10</v>
      </c>
      <c r="F58" s="4" t="s">
        <v>10</v>
      </c>
      <c r="G58" s="4">
        <v>708</v>
      </c>
      <c r="H58" s="4"/>
    </row>
    <row r="59" spans="1:8" x14ac:dyDescent="0.25">
      <c r="A59" s="1" t="s">
        <v>67</v>
      </c>
      <c r="B59" s="2">
        <f t="shared" si="0"/>
        <v>6</v>
      </c>
      <c r="C59" s="2">
        <f t="shared" si="1"/>
        <v>2018</v>
      </c>
      <c r="D59" s="4">
        <v>742</v>
      </c>
      <c r="E59" s="4" t="s">
        <v>10</v>
      </c>
      <c r="F59" s="4" t="s">
        <v>10</v>
      </c>
      <c r="G59" s="4">
        <v>710</v>
      </c>
      <c r="H59" s="4"/>
    </row>
    <row r="60" spans="1:8" x14ac:dyDescent="0.25">
      <c r="A60" s="1" t="s">
        <v>68</v>
      </c>
      <c r="B60" s="2">
        <f t="shared" si="0"/>
        <v>7</v>
      </c>
      <c r="C60" s="2">
        <f t="shared" si="1"/>
        <v>2018</v>
      </c>
      <c r="D60" s="4">
        <v>742</v>
      </c>
      <c r="E60" s="4" t="s">
        <v>10</v>
      </c>
      <c r="F60" s="4" t="s">
        <v>10</v>
      </c>
      <c r="G60" s="4">
        <v>712</v>
      </c>
      <c r="H60" s="4"/>
    </row>
    <row r="61" spans="1:8" x14ac:dyDescent="0.25">
      <c r="A61" s="1" t="s">
        <v>69</v>
      </c>
      <c r="B61" s="2">
        <f t="shared" si="0"/>
        <v>7</v>
      </c>
      <c r="C61" s="2">
        <f t="shared" si="1"/>
        <v>2018</v>
      </c>
      <c r="D61" s="4">
        <v>747</v>
      </c>
      <c r="E61" s="4" t="s">
        <v>10</v>
      </c>
      <c r="F61" s="4" t="s">
        <v>10</v>
      </c>
      <c r="G61" s="4">
        <v>715</v>
      </c>
      <c r="H61" s="4"/>
    </row>
    <row r="62" spans="1:8" x14ac:dyDescent="0.25">
      <c r="A62" s="1" t="s">
        <v>70</v>
      </c>
      <c r="B62" s="2">
        <f t="shared" si="0"/>
        <v>7</v>
      </c>
      <c r="C62" s="2">
        <f t="shared" si="1"/>
        <v>2018</v>
      </c>
      <c r="D62" s="4">
        <v>748</v>
      </c>
      <c r="E62" s="4" t="s">
        <v>10</v>
      </c>
      <c r="F62" s="4" t="s">
        <v>10</v>
      </c>
      <c r="G62" s="4">
        <v>717.5</v>
      </c>
      <c r="H62" s="4"/>
    </row>
    <row r="63" spans="1:8" x14ac:dyDescent="0.25">
      <c r="A63" s="1" t="s">
        <v>71</v>
      </c>
      <c r="B63" s="2">
        <f t="shared" si="0"/>
        <v>7</v>
      </c>
      <c r="C63" s="2">
        <f t="shared" si="1"/>
        <v>2018</v>
      </c>
      <c r="D63" s="4">
        <v>749</v>
      </c>
      <c r="E63" s="4" t="s">
        <v>10</v>
      </c>
      <c r="F63" s="4" t="s">
        <v>10</v>
      </c>
      <c r="G63" s="4">
        <v>718</v>
      </c>
      <c r="H63" s="4"/>
    </row>
    <row r="64" spans="1:8" x14ac:dyDescent="0.25">
      <c r="A64" s="1" t="s">
        <v>72</v>
      </c>
      <c r="B64" s="2">
        <f t="shared" si="0"/>
        <v>7</v>
      </c>
      <c r="C64" s="2">
        <f t="shared" si="1"/>
        <v>2018</v>
      </c>
      <c r="D64" s="4">
        <v>747</v>
      </c>
      <c r="E64" s="4" t="s">
        <v>10</v>
      </c>
      <c r="F64" s="4" t="s">
        <v>10</v>
      </c>
      <c r="G64" s="4">
        <v>720</v>
      </c>
      <c r="H64" s="4"/>
    </row>
    <row r="65" spans="1:8" x14ac:dyDescent="0.25">
      <c r="A65" s="1" t="s">
        <v>73</v>
      </c>
      <c r="B65" s="2">
        <f t="shared" si="0"/>
        <v>7</v>
      </c>
      <c r="C65" s="2">
        <f t="shared" si="1"/>
        <v>2018</v>
      </c>
      <c r="D65" s="4">
        <v>746</v>
      </c>
      <c r="E65" s="4" t="s">
        <v>10</v>
      </c>
      <c r="F65" s="4" t="s">
        <v>10</v>
      </c>
      <c r="G65" s="4">
        <v>722.5</v>
      </c>
      <c r="H65" s="4"/>
    </row>
    <row r="66" spans="1:8" x14ac:dyDescent="0.25">
      <c r="A66" s="1" t="s">
        <v>74</v>
      </c>
      <c r="B66" s="2">
        <f t="shared" si="0"/>
        <v>7</v>
      </c>
      <c r="C66" s="2">
        <f t="shared" si="1"/>
        <v>2018</v>
      </c>
      <c r="D66" s="4">
        <v>746</v>
      </c>
      <c r="E66" s="4" t="s">
        <v>10</v>
      </c>
      <c r="F66" s="4" t="s">
        <v>10</v>
      </c>
      <c r="G66" s="4">
        <v>723</v>
      </c>
      <c r="H66" s="4"/>
    </row>
    <row r="67" spans="1:8" x14ac:dyDescent="0.25">
      <c r="A67" s="1" t="s">
        <v>75</v>
      </c>
      <c r="B67" s="2">
        <f t="shared" ref="B67:B130" si="2">MONTH(A67)</f>
        <v>7</v>
      </c>
      <c r="C67" s="2">
        <f t="shared" ref="C67:C130" si="3">YEAR(A67)</f>
        <v>2018</v>
      </c>
      <c r="D67" s="4">
        <v>741</v>
      </c>
      <c r="E67" s="4" t="s">
        <v>10</v>
      </c>
      <c r="F67" s="4" t="s">
        <v>10</v>
      </c>
      <c r="G67" s="4">
        <v>723</v>
      </c>
      <c r="H67" s="4"/>
    </row>
    <row r="68" spans="1:8" x14ac:dyDescent="0.25">
      <c r="A68" s="1" t="s">
        <v>76</v>
      </c>
      <c r="B68" s="2">
        <f t="shared" si="2"/>
        <v>7</v>
      </c>
      <c r="C68" s="2">
        <f t="shared" si="3"/>
        <v>2018</v>
      </c>
      <c r="D68" s="4">
        <v>740</v>
      </c>
      <c r="E68" s="4" t="s">
        <v>10</v>
      </c>
      <c r="F68" s="4" t="s">
        <v>10</v>
      </c>
      <c r="G68" s="4">
        <v>723</v>
      </c>
      <c r="H68" s="4"/>
    </row>
    <row r="69" spans="1:8" x14ac:dyDescent="0.25">
      <c r="A69" s="1" t="s">
        <v>77</v>
      </c>
      <c r="B69" s="2">
        <f t="shared" si="2"/>
        <v>7</v>
      </c>
      <c r="C69" s="2">
        <f t="shared" si="3"/>
        <v>2018</v>
      </c>
      <c r="D69" s="4">
        <v>737</v>
      </c>
      <c r="E69" s="4" t="s">
        <v>10</v>
      </c>
      <c r="F69" s="4" t="s">
        <v>10</v>
      </c>
      <c r="G69" s="4">
        <v>723</v>
      </c>
      <c r="H69" s="4"/>
    </row>
    <row r="70" spans="1:8" x14ac:dyDescent="0.25">
      <c r="A70" s="1" t="s">
        <v>78</v>
      </c>
      <c r="B70" s="2">
        <f t="shared" si="2"/>
        <v>7</v>
      </c>
      <c r="C70" s="2">
        <f t="shared" si="3"/>
        <v>2018</v>
      </c>
      <c r="D70" s="4">
        <v>739</v>
      </c>
      <c r="E70" s="4" t="s">
        <v>10</v>
      </c>
      <c r="F70" s="4" t="s">
        <v>10</v>
      </c>
      <c r="G70" s="4">
        <v>722.5</v>
      </c>
      <c r="H70" s="4"/>
    </row>
    <row r="71" spans="1:8" x14ac:dyDescent="0.25">
      <c r="A71" s="1" t="s">
        <v>79</v>
      </c>
      <c r="B71" s="2">
        <f t="shared" si="2"/>
        <v>7</v>
      </c>
      <c r="C71" s="2">
        <f t="shared" si="3"/>
        <v>2018</v>
      </c>
      <c r="D71" s="4">
        <v>742</v>
      </c>
      <c r="E71" s="4" t="s">
        <v>10</v>
      </c>
      <c r="F71" s="4" t="s">
        <v>10</v>
      </c>
      <c r="G71" s="4">
        <v>722.5</v>
      </c>
      <c r="H71" s="4"/>
    </row>
    <row r="72" spans="1:8" x14ac:dyDescent="0.25">
      <c r="A72" s="1" t="s">
        <v>80</v>
      </c>
      <c r="B72" s="2">
        <f t="shared" si="2"/>
        <v>7</v>
      </c>
      <c r="C72" s="2">
        <f t="shared" si="3"/>
        <v>2018</v>
      </c>
      <c r="D72" s="4">
        <v>742</v>
      </c>
      <c r="E72" s="4" t="s">
        <v>10</v>
      </c>
      <c r="F72" s="4" t="s">
        <v>10</v>
      </c>
      <c r="G72" s="4">
        <v>722.5</v>
      </c>
      <c r="H72" s="4"/>
    </row>
    <row r="73" spans="1:8" x14ac:dyDescent="0.25">
      <c r="A73" s="1" t="s">
        <v>81</v>
      </c>
      <c r="B73" s="2">
        <f t="shared" si="2"/>
        <v>7</v>
      </c>
      <c r="C73" s="2">
        <f t="shared" si="3"/>
        <v>2018</v>
      </c>
      <c r="D73" s="4">
        <v>746</v>
      </c>
      <c r="E73" s="4" t="s">
        <v>10</v>
      </c>
      <c r="F73" s="4" t="s">
        <v>10</v>
      </c>
      <c r="G73" s="4">
        <v>718</v>
      </c>
      <c r="H73" s="4"/>
    </row>
    <row r="74" spans="1:8" x14ac:dyDescent="0.25">
      <c r="A74" s="1" t="s">
        <v>82</v>
      </c>
      <c r="B74" s="2">
        <f t="shared" si="2"/>
        <v>7</v>
      </c>
      <c r="C74" s="2">
        <f t="shared" si="3"/>
        <v>2018</v>
      </c>
      <c r="D74" s="4">
        <v>749</v>
      </c>
      <c r="E74" s="4" t="s">
        <v>10</v>
      </c>
      <c r="F74" s="4">
        <v>772</v>
      </c>
      <c r="G74" s="4">
        <v>716</v>
      </c>
      <c r="H74" s="4"/>
    </row>
    <row r="75" spans="1:8" x14ac:dyDescent="0.25">
      <c r="A75" s="1" t="s">
        <v>83</v>
      </c>
      <c r="B75" s="2">
        <f t="shared" si="2"/>
        <v>7</v>
      </c>
      <c r="C75" s="2">
        <f t="shared" si="3"/>
        <v>2018</v>
      </c>
      <c r="D75" s="4">
        <v>748</v>
      </c>
      <c r="E75" s="4" t="s">
        <v>10</v>
      </c>
      <c r="F75" s="4">
        <v>772</v>
      </c>
      <c r="G75" s="4">
        <v>718</v>
      </c>
      <c r="H75" s="4"/>
    </row>
    <row r="76" spans="1:8" x14ac:dyDescent="0.25">
      <c r="A76" s="1" t="s">
        <v>84</v>
      </c>
      <c r="B76" s="2">
        <f t="shared" si="2"/>
        <v>7</v>
      </c>
      <c r="C76" s="2">
        <f t="shared" si="3"/>
        <v>2018</v>
      </c>
      <c r="D76" s="4">
        <v>743</v>
      </c>
      <c r="E76" s="4" t="s">
        <v>10</v>
      </c>
      <c r="F76" s="4">
        <v>771</v>
      </c>
      <c r="G76" s="4">
        <v>715</v>
      </c>
      <c r="H76" s="4"/>
    </row>
    <row r="77" spans="1:8" x14ac:dyDescent="0.25">
      <c r="A77" s="1" t="s">
        <v>85</v>
      </c>
      <c r="B77" s="2">
        <f t="shared" si="2"/>
        <v>7</v>
      </c>
      <c r="C77" s="2">
        <f t="shared" si="3"/>
        <v>2018</v>
      </c>
      <c r="D77" s="4">
        <v>743</v>
      </c>
      <c r="E77" s="4" t="s">
        <v>10</v>
      </c>
      <c r="F77" s="4">
        <v>768</v>
      </c>
      <c r="G77" s="4">
        <v>715</v>
      </c>
      <c r="H77" s="4"/>
    </row>
    <row r="78" spans="1:8" x14ac:dyDescent="0.25">
      <c r="A78" s="1" t="s">
        <v>86</v>
      </c>
      <c r="B78" s="2">
        <f t="shared" si="2"/>
        <v>7</v>
      </c>
      <c r="C78" s="2">
        <f t="shared" si="3"/>
        <v>2018</v>
      </c>
      <c r="D78" s="4">
        <v>740</v>
      </c>
      <c r="E78" s="4" t="s">
        <v>10</v>
      </c>
      <c r="F78" s="4">
        <v>765</v>
      </c>
      <c r="G78" s="4">
        <v>715</v>
      </c>
      <c r="H78" s="4"/>
    </row>
    <row r="79" spans="1:8" x14ac:dyDescent="0.25">
      <c r="A79" s="1" t="s">
        <v>87</v>
      </c>
      <c r="B79" s="2">
        <f t="shared" si="2"/>
        <v>7</v>
      </c>
      <c r="C79" s="2">
        <f t="shared" si="3"/>
        <v>2018</v>
      </c>
      <c r="D79" s="4">
        <v>735</v>
      </c>
      <c r="E79" s="4" t="s">
        <v>10</v>
      </c>
      <c r="F79" s="4">
        <v>763</v>
      </c>
      <c r="G79" s="4">
        <v>715</v>
      </c>
      <c r="H79" s="4"/>
    </row>
    <row r="80" spans="1:8" x14ac:dyDescent="0.25">
      <c r="A80" s="1" t="s">
        <v>88</v>
      </c>
      <c r="B80" s="2">
        <f t="shared" si="2"/>
        <v>7</v>
      </c>
      <c r="C80" s="2">
        <f t="shared" si="3"/>
        <v>2018</v>
      </c>
      <c r="D80" s="4">
        <v>730</v>
      </c>
      <c r="E80" s="4" t="s">
        <v>10</v>
      </c>
      <c r="F80" s="4">
        <v>755</v>
      </c>
      <c r="G80" s="4">
        <v>712.5</v>
      </c>
      <c r="H80" s="4"/>
    </row>
    <row r="81" spans="1:8" x14ac:dyDescent="0.25">
      <c r="A81" s="1" t="s">
        <v>89</v>
      </c>
      <c r="B81" s="2">
        <f t="shared" si="2"/>
        <v>7</v>
      </c>
      <c r="C81" s="2">
        <f t="shared" si="3"/>
        <v>2018</v>
      </c>
      <c r="D81" s="4">
        <v>730</v>
      </c>
      <c r="E81" s="4" t="s">
        <v>10</v>
      </c>
      <c r="F81" s="4">
        <v>750</v>
      </c>
      <c r="G81" s="4">
        <v>712.5</v>
      </c>
      <c r="H81" s="4"/>
    </row>
    <row r="82" spans="1:8" x14ac:dyDescent="0.25">
      <c r="A82" s="1" t="s">
        <v>90</v>
      </c>
      <c r="B82" s="2">
        <f t="shared" si="2"/>
        <v>8</v>
      </c>
      <c r="C82" s="2">
        <f t="shared" si="3"/>
        <v>2018</v>
      </c>
      <c r="D82" s="4">
        <v>733</v>
      </c>
      <c r="E82" s="4" t="s">
        <v>10</v>
      </c>
      <c r="F82" s="4">
        <v>743</v>
      </c>
      <c r="G82" s="4">
        <v>712.5</v>
      </c>
      <c r="H82" s="4"/>
    </row>
    <row r="83" spans="1:8" x14ac:dyDescent="0.25">
      <c r="A83" s="1" t="s">
        <v>91</v>
      </c>
      <c r="B83" s="2">
        <f t="shared" si="2"/>
        <v>8</v>
      </c>
      <c r="C83" s="2">
        <f t="shared" si="3"/>
        <v>2018</v>
      </c>
      <c r="D83" s="4">
        <v>733</v>
      </c>
      <c r="E83" s="4" t="s">
        <v>10</v>
      </c>
      <c r="F83" s="4">
        <v>745</v>
      </c>
      <c r="G83" s="4">
        <v>712.5</v>
      </c>
      <c r="H83" s="4"/>
    </row>
    <row r="84" spans="1:8" x14ac:dyDescent="0.25">
      <c r="A84" s="1" t="s">
        <v>92</v>
      </c>
      <c r="B84" s="2">
        <f t="shared" si="2"/>
        <v>8</v>
      </c>
      <c r="C84" s="2">
        <f t="shared" si="3"/>
        <v>2018</v>
      </c>
      <c r="D84" s="4">
        <v>732</v>
      </c>
      <c r="E84" s="4" t="s">
        <v>10</v>
      </c>
      <c r="F84" s="4">
        <v>745</v>
      </c>
      <c r="G84" s="4">
        <v>715</v>
      </c>
      <c r="H84" s="4"/>
    </row>
    <row r="85" spans="1:8" x14ac:dyDescent="0.25">
      <c r="A85" s="1" t="s">
        <v>93</v>
      </c>
      <c r="B85" s="2">
        <f t="shared" si="2"/>
        <v>8</v>
      </c>
      <c r="C85" s="2">
        <f t="shared" si="3"/>
        <v>2018</v>
      </c>
      <c r="D85" s="4">
        <v>731</v>
      </c>
      <c r="E85" s="4" t="s">
        <v>10</v>
      </c>
      <c r="F85" s="4">
        <v>746</v>
      </c>
      <c r="G85" s="4">
        <v>715</v>
      </c>
      <c r="H85" s="4"/>
    </row>
    <row r="86" spans="1:8" x14ac:dyDescent="0.25">
      <c r="A86" s="1" t="s">
        <v>94</v>
      </c>
      <c r="B86" s="2">
        <f t="shared" si="2"/>
        <v>8</v>
      </c>
      <c r="C86" s="2">
        <f t="shared" si="3"/>
        <v>2018</v>
      </c>
      <c r="D86" s="4">
        <v>731</v>
      </c>
      <c r="E86" s="4" t="s">
        <v>10</v>
      </c>
      <c r="F86" s="4">
        <v>752</v>
      </c>
      <c r="G86" s="4">
        <v>715</v>
      </c>
      <c r="H86" s="4"/>
    </row>
    <row r="87" spans="1:8" x14ac:dyDescent="0.25">
      <c r="A87" s="1" t="s">
        <v>95</v>
      </c>
      <c r="B87" s="2">
        <f t="shared" si="2"/>
        <v>8</v>
      </c>
      <c r="C87" s="2">
        <f t="shared" si="3"/>
        <v>2018</v>
      </c>
      <c r="D87" s="4">
        <v>729</v>
      </c>
      <c r="E87" s="4" t="s">
        <v>10</v>
      </c>
      <c r="F87" s="4">
        <v>752</v>
      </c>
      <c r="G87" s="4">
        <v>715</v>
      </c>
      <c r="H87" s="4"/>
    </row>
    <row r="88" spans="1:8" x14ac:dyDescent="0.25">
      <c r="A88" s="1" t="s">
        <v>96</v>
      </c>
      <c r="B88" s="2">
        <f t="shared" si="2"/>
        <v>8</v>
      </c>
      <c r="C88" s="2">
        <f t="shared" si="3"/>
        <v>2018</v>
      </c>
      <c r="D88" s="4">
        <v>726</v>
      </c>
      <c r="E88" s="4" t="s">
        <v>10</v>
      </c>
      <c r="F88" s="4">
        <v>740</v>
      </c>
      <c r="G88" s="4">
        <v>715</v>
      </c>
      <c r="H88" s="4"/>
    </row>
    <row r="89" spans="1:8" x14ac:dyDescent="0.25">
      <c r="A89" s="1" t="s">
        <v>97</v>
      </c>
      <c r="B89" s="2">
        <f t="shared" si="2"/>
        <v>8</v>
      </c>
      <c r="C89" s="2">
        <f t="shared" si="3"/>
        <v>2018</v>
      </c>
      <c r="D89" s="4">
        <v>723</v>
      </c>
      <c r="E89" s="4" t="s">
        <v>10</v>
      </c>
      <c r="F89" s="4">
        <v>740</v>
      </c>
      <c r="G89" s="4">
        <v>715</v>
      </c>
      <c r="H89" s="4"/>
    </row>
    <row r="90" spans="1:8" x14ac:dyDescent="0.25">
      <c r="A90" s="1" t="s">
        <v>98</v>
      </c>
      <c r="B90" s="2">
        <f t="shared" si="2"/>
        <v>8</v>
      </c>
      <c r="C90" s="2">
        <f t="shared" si="3"/>
        <v>2018</v>
      </c>
      <c r="D90" s="4">
        <v>721</v>
      </c>
      <c r="E90" s="4" t="s">
        <v>10</v>
      </c>
      <c r="F90" s="4">
        <v>729</v>
      </c>
      <c r="G90" s="4">
        <v>725</v>
      </c>
      <c r="H90" s="4"/>
    </row>
    <row r="91" spans="1:8" x14ac:dyDescent="0.25">
      <c r="A91" s="1" t="s">
        <v>99</v>
      </c>
      <c r="B91" s="2">
        <f t="shared" si="2"/>
        <v>8</v>
      </c>
      <c r="C91" s="2">
        <f t="shared" si="3"/>
        <v>2018</v>
      </c>
      <c r="D91" s="4">
        <v>717</v>
      </c>
      <c r="E91" s="4" t="s">
        <v>10</v>
      </c>
      <c r="F91" s="4">
        <v>728</v>
      </c>
      <c r="G91" s="4">
        <v>725</v>
      </c>
      <c r="H91" s="4"/>
    </row>
    <row r="92" spans="1:8" x14ac:dyDescent="0.25">
      <c r="A92" s="1" t="s">
        <v>100</v>
      </c>
      <c r="B92" s="2">
        <f t="shared" si="2"/>
        <v>8</v>
      </c>
      <c r="C92" s="2">
        <f t="shared" si="3"/>
        <v>2018</v>
      </c>
      <c r="D92" s="4">
        <v>715</v>
      </c>
      <c r="E92" s="4" t="s">
        <v>10</v>
      </c>
      <c r="F92" s="4">
        <v>724</v>
      </c>
      <c r="G92" s="4">
        <v>720</v>
      </c>
      <c r="H92" s="4"/>
    </row>
    <row r="93" spans="1:8" x14ac:dyDescent="0.25">
      <c r="A93" s="1" t="s">
        <v>101</v>
      </c>
      <c r="B93" s="2">
        <f t="shared" si="2"/>
        <v>8</v>
      </c>
      <c r="C93" s="2">
        <f t="shared" si="3"/>
        <v>2018</v>
      </c>
      <c r="D93" s="4">
        <v>703</v>
      </c>
      <c r="E93" s="4" t="s">
        <v>10</v>
      </c>
      <c r="F93" s="4">
        <v>723</v>
      </c>
      <c r="G93" s="4">
        <v>720</v>
      </c>
      <c r="H93" s="4"/>
    </row>
    <row r="94" spans="1:8" x14ac:dyDescent="0.25">
      <c r="A94" s="1" t="s">
        <v>102</v>
      </c>
      <c r="B94" s="2">
        <f t="shared" si="2"/>
        <v>8</v>
      </c>
      <c r="C94" s="2">
        <f t="shared" si="3"/>
        <v>2018</v>
      </c>
      <c r="D94" s="4">
        <v>703</v>
      </c>
      <c r="E94" s="4" t="s">
        <v>10</v>
      </c>
      <c r="F94" s="4">
        <v>723</v>
      </c>
      <c r="G94" s="4">
        <v>725</v>
      </c>
      <c r="H94" s="4"/>
    </row>
    <row r="95" spans="1:8" x14ac:dyDescent="0.25">
      <c r="A95" s="1" t="s">
        <v>103</v>
      </c>
      <c r="B95" s="2">
        <f t="shared" si="2"/>
        <v>8</v>
      </c>
      <c r="C95" s="2">
        <f t="shared" si="3"/>
        <v>2018</v>
      </c>
      <c r="D95" s="4">
        <v>706</v>
      </c>
      <c r="E95" s="4" t="s">
        <v>10</v>
      </c>
      <c r="F95" s="4">
        <v>720</v>
      </c>
      <c r="G95" s="4">
        <v>725</v>
      </c>
      <c r="H95" s="4"/>
    </row>
    <row r="96" spans="1:8" x14ac:dyDescent="0.25">
      <c r="A96" s="1" t="s">
        <v>104</v>
      </c>
      <c r="B96" s="2">
        <f t="shared" si="2"/>
        <v>8</v>
      </c>
      <c r="C96" s="2">
        <f t="shared" si="3"/>
        <v>2018</v>
      </c>
      <c r="D96" s="4">
        <v>701</v>
      </c>
      <c r="E96" s="4" t="s">
        <v>10</v>
      </c>
      <c r="F96" s="4">
        <v>720</v>
      </c>
      <c r="G96" s="4">
        <v>725</v>
      </c>
      <c r="H96" s="4"/>
    </row>
    <row r="97" spans="1:8" x14ac:dyDescent="0.25">
      <c r="A97" s="1" t="s">
        <v>105</v>
      </c>
      <c r="B97" s="2">
        <f t="shared" si="2"/>
        <v>8</v>
      </c>
      <c r="C97" s="2">
        <f t="shared" si="3"/>
        <v>2018</v>
      </c>
      <c r="D97" s="4">
        <v>701</v>
      </c>
      <c r="E97" s="4" t="s">
        <v>10</v>
      </c>
      <c r="F97" s="4">
        <v>718</v>
      </c>
      <c r="G97" s="4">
        <v>720</v>
      </c>
      <c r="H97" s="4"/>
    </row>
    <row r="98" spans="1:8" x14ac:dyDescent="0.25">
      <c r="A98" s="1" t="s">
        <v>106</v>
      </c>
      <c r="B98" s="2">
        <f t="shared" si="2"/>
        <v>8</v>
      </c>
      <c r="C98" s="2">
        <f t="shared" si="3"/>
        <v>2018</v>
      </c>
      <c r="D98" s="4">
        <v>698</v>
      </c>
      <c r="E98" s="4" t="s">
        <v>10</v>
      </c>
      <c r="F98" s="4">
        <v>719</v>
      </c>
      <c r="G98" s="4">
        <v>717</v>
      </c>
      <c r="H98" s="4"/>
    </row>
    <row r="99" spans="1:8" x14ac:dyDescent="0.25">
      <c r="A99" s="1" t="s">
        <v>107</v>
      </c>
      <c r="B99" s="2">
        <f t="shared" si="2"/>
        <v>8</v>
      </c>
      <c r="C99" s="2">
        <f t="shared" si="3"/>
        <v>2018</v>
      </c>
      <c r="D99" s="4">
        <v>698</v>
      </c>
      <c r="E99" s="4" t="s">
        <v>10</v>
      </c>
      <c r="F99" s="4">
        <v>719</v>
      </c>
      <c r="G99" s="4">
        <v>717</v>
      </c>
      <c r="H99" s="4"/>
    </row>
    <row r="100" spans="1:8" x14ac:dyDescent="0.25">
      <c r="A100" s="1" t="s">
        <v>108</v>
      </c>
      <c r="B100" s="2">
        <f t="shared" si="2"/>
        <v>8</v>
      </c>
      <c r="C100" s="2">
        <f t="shared" si="3"/>
        <v>2018</v>
      </c>
      <c r="D100" s="4">
        <v>698</v>
      </c>
      <c r="E100" s="4" t="s">
        <v>10</v>
      </c>
      <c r="F100" s="4">
        <v>723</v>
      </c>
      <c r="G100" s="4">
        <v>720</v>
      </c>
      <c r="H100" s="4"/>
    </row>
    <row r="101" spans="1:8" x14ac:dyDescent="0.25">
      <c r="A101" s="1" t="s">
        <v>109</v>
      </c>
      <c r="B101" s="2">
        <f t="shared" si="2"/>
        <v>8</v>
      </c>
      <c r="C101" s="2">
        <f t="shared" si="3"/>
        <v>2018</v>
      </c>
      <c r="D101" s="4">
        <v>702</v>
      </c>
      <c r="E101" s="4" t="s">
        <v>10</v>
      </c>
      <c r="F101" s="4">
        <v>723</v>
      </c>
      <c r="G101" s="4">
        <v>720</v>
      </c>
      <c r="H101" s="4"/>
    </row>
    <row r="102" spans="1:8" x14ac:dyDescent="0.25">
      <c r="A102" s="1" t="s">
        <v>110</v>
      </c>
      <c r="B102" s="2">
        <f t="shared" si="2"/>
        <v>8</v>
      </c>
      <c r="C102" s="2">
        <f t="shared" si="3"/>
        <v>2018</v>
      </c>
      <c r="D102" s="4">
        <v>704</v>
      </c>
      <c r="E102" s="4" t="s">
        <v>10</v>
      </c>
      <c r="F102" s="4">
        <v>723</v>
      </c>
      <c r="G102" s="4">
        <v>720</v>
      </c>
      <c r="H102" s="4"/>
    </row>
    <row r="103" spans="1:8" x14ac:dyDescent="0.25">
      <c r="A103" s="1" t="s">
        <v>111</v>
      </c>
      <c r="B103" s="2">
        <f t="shared" si="2"/>
        <v>8</v>
      </c>
      <c r="C103" s="2">
        <f t="shared" si="3"/>
        <v>2018</v>
      </c>
      <c r="D103" s="4">
        <v>705</v>
      </c>
      <c r="E103" s="4" t="s">
        <v>10</v>
      </c>
      <c r="F103" s="4">
        <v>727</v>
      </c>
      <c r="G103" s="4">
        <v>720</v>
      </c>
      <c r="H103" s="4"/>
    </row>
    <row r="104" spans="1:8" x14ac:dyDescent="0.25">
      <c r="A104" s="1" t="s">
        <v>112</v>
      </c>
      <c r="B104" s="2">
        <f t="shared" si="2"/>
        <v>9</v>
      </c>
      <c r="C104" s="2">
        <f t="shared" si="3"/>
        <v>2018</v>
      </c>
      <c r="D104" s="4">
        <v>704</v>
      </c>
      <c r="E104" s="4" t="s">
        <v>10</v>
      </c>
      <c r="F104" s="4">
        <v>726</v>
      </c>
      <c r="G104" s="4">
        <v>715</v>
      </c>
      <c r="H104" s="4"/>
    </row>
    <row r="105" spans="1:8" x14ac:dyDescent="0.25">
      <c r="A105" s="1" t="s">
        <v>113</v>
      </c>
      <c r="B105" s="2">
        <f t="shared" si="2"/>
        <v>9</v>
      </c>
      <c r="C105" s="2">
        <f t="shared" si="3"/>
        <v>2018</v>
      </c>
      <c r="D105" s="4">
        <v>708</v>
      </c>
      <c r="E105" s="4" t="s">
        <v>10</v>
      </c>
      <c r="F105" s="4">
        <v>726</v>
      </c>
      <c r="G105" s="4">
        <v>715</v>
      </c>
      <c r="H105" s="4"/>
    </row>
    <row r="106" spans="1:8" x14ac:dyDescent="0.25">
      <c r="A106" s="1" t="s">
        <v>114</v>
      </c>
      <c r="B106" s="2">
        <f t="shared" si="2"/>
        <v>9</v>
      </c>
      <c r="C106" s="2">
        <f t="shared" si="3"/>
        <v>2018</v>
      </c>
      <c r="D106" s="4">
        <v>712</v>
      </c>
      <c r="E106" s="4" t="s">
        <v>10</v>
      </c>
      <c r="F106" s="4">
        <v>727</v>
      </c>
      <c r="G106" s="4">
        <v>715</v>
      </c>
      <c r="H106" s="4"/>
    </row>
    <row r="107" spans="1:8" x14ac:dyDescent="0.25">
      <c r="A107" s="1" t="s">
        <v>115</v>
      </c>
      <c r="B107" s="2">
        <f t="shared" si="2"/>
        <v>9</v>
      </c>
      <c r="C107" s="2">
        <f t="shared" si="3"/>
        <v>2018</v>
      </c>
      <c r="D107" s="4">
        <v>710</v>
      </c>
      <c r="E107" s="4" t="s">
        <v>10</v>
      </c>
      <c r="F107" s="4">
        <v>727</v>
      </c>
      <c r="G107" s="4">
        <v>715</v>
      </c>
      <c r="H107" s="4"/>
    </row>
    <row r="108" spans="1:8" x14ac:dyDescent="0.25">
      <c r="A108" s="1" t="s">
        <v>116</v>
      </c>
      <c r="B108" s="2">
        <f t="shared" si="2"/>
        <v>9</v>
      </c>
      <c r="C108" s="2">
        <f t="shared" si="3"/>
        <v>2018</v>
      </c>
      <c r="D108" s="4">
        <v>710</v>
      </c>
      <c r="E108" s="4" t="s">
        <v>10</v>
      </c>
      <c r="F108" s="4">
        <v>727</v>
      </c>
      <c r="G108" s="4">
        <v>715</v>
      </c>
      <c r="H108" s="4"/>
    </row>
    <row r="109" spans="1:8" x14ac:dyDescent="0.25">
      <c r="A109" s="1" t="s">
        <v>117</v>
      </c>
      <c r="B109" s="2">
        <f t="shared" si="2"/>
        <v>9</v>
      </c>
      <c r="C109" s="2">
        <f t="shared" si="3"/>
        <v>2018</v>
      </c>
      <c r="D109" s="4">
        <v>709</v>
      </c>
      <c r="E109" s="4" t="s">
        <v>10</v>
      </c>
      <c r="F109" s="4">
        <v>729</v>
      </c>
      <c r="G109" s="4">
        <v>715</v>
      </c>
      <c r="H109" s="4"/>
    </row>
    <row r="110" spans="1:8" x14ac:dyDescent="0.25">
      <c r="A110" s="1" t="s">
        <v>118</v>
      </c>
      <c r="B110" s="2">
        <f t="shared" si="2"/>
        <v>9</v>
      </c>
      <c r="C110" s="2">
        <f t="shared" si="3"/>
        <v>2018</v>
      </c>
      <c r="D110" s="4">
        <v>712</v>
      </c>
      <c r="E110" s="4" t="s">
        <v>10</v>
      </c>
      <c r="F110" s="4">
        <v>729</v>
      </c>
      <c r="G110" s="4">
        <v>715</v>
      </c>
      <c r="H110" s="4"/>
    </row>
    <row r="111" spans="1:8" x14ac:dyDescent="0.25">
      <c r="A111" s="1" t="s">
        <v>119</v>
      </c>
      <c r="B111" s="2">
        <f t="shared" si="2"/>
        <v>9</v>
      </c>
      <c r="C111" s="2">
        <f t="shared" si="3"/>
        <v>2018</v>
      </c>
      <c r="D111" s="4">
        <v>702</v>
      </c>
      <c r="E111" s="4" t="s">
        <v>10</v>
      </c>
      <c r="F111" s="4">
        <v>715</v>
      </c>
      <c r="G111" s="4">
        <v>715</v>
      </c>
      <c r="H111" s="4"/>
    </row>
    <row r="112" spans="1:8" x14ac:dyDescent="0.25">
      <c r="A112" s="1" t="s">
        <v>120</v>
      </c>
      <c r="B112" s="2">
        <f t="shared" si="2"/>
        <v>9</v>
      </c>
      <c r="C112" s="2">
        <f t="shared" si="3"/>
        <v>2018</v>
      </c>
      <c r="D112" s="4">
        <v>696</v>
      </c>
      <c r="E112" s="4" t="s">
        <v>10</v>
      </c>
      <c r="F112" s="4">
        <v>710</v>
      </c>
      <c r="G112" s="4">
        <v>700</v>
      </c>
      <c r="H112" s="4"/>
    </row>
    <row r="113" spans="1:8" x14ac:dyDescent="0.25">
      <c r="A113" s="1" t="s">
        <v>121</v>
      </c>
      <c r="B113" s="2">
        <f t="shared" si="2"/>
        <v>9</v>
      </c>
      <c r="C113" s="2">
        <f t="shared" si="3"/>
        <v>2018</v>
      </c>
      <c r="D113" s="4">
        <v>691</v>
      </c>
      <c r="E113" s="4" t="s">
        <v>10</v>
      </c>
      <c r="F113" s="4">
        <v>710</v>
      </c>
      <c r="G113" s="4">
        <v>690</v>
      </c>
      <c r="H113" s="4"/>
    </row>
    <row r="114" spans="1:8" x14ac:dyDescent="0.25">
      <c r="A114" s="1" t="s">
        <v>122</v>
      </c>
      <c r="B114" s="2">
        <f t="shared" si="2"/>
        <v>9</v>
      </c>
      <c r="C114" s="2">
        <f t="shared" si="3"/>
        <v>2018</v>
      </c>
      <c r="D114" s="4">
        <v>690</v>
      </c>
      <c r="E114" s="4" t="s">
        <v>10</v>
      </c>
      <c r="F114" s="4">
        <v>708</v>
      </c>
      <c r="G114" s="4">
        <v>685</v>
      </c>
      <c r="H114" s="4"/>
    </row>
    <row r="115" spans="1:8" x14ac:dyDescent="0.25">
      <c r="A115" s="1" t="s">
        <v>123</v>
      </c>
      <c r="B115" s="2">
        <f t="shared" si="2"/>
        <v>9</v>
      </c>
      <c r="C115" s="2">
        <f t="shared" si="3"/>
        <v>2018</v>
      </c>
      <c r="D115" s="4">
        <v>682</v>
      </c>
      <c r="E115" s="4" t="s">
        <v>10</v>
      </c>
      <c r="F115" s="4">
        <v>705</v>
      </c>
      <c r="G115" s="4">
        <v>685</v>
      </c>
      <c r="H115" s="4"/>
    </row>
    <row r="116" spans="1:8" x14ac:dyDescent="0.25">
      <c r="A116" s="1" t="s">
        <v>124</v>
      </c>
      <c r="B116" s="2">
        <f t="shared" si="2"/>
        <v>9</v>
      </c>
      <c r="C116" s="2">
        <f t="shared" si="3"/>
        <v>2018</v>
      </c>
      <c r="D116" s="4">
        <v>682</v>
      </c>
      <c r="E116" s="4" t="s">
        <v>10</v>
      </c>
      <c r="F116" s="4">
        <v>705</v>
      </c>
      <c r="G116" s="4">
        <v>685</v>
      </c>
      <c r="H116" s="4"/>
    </row>
    <row r="117" spans="1:8" x14ac:dyDescent="0.25">
      <c r="A117" s="1" t="s">
        <v>125</v>
      </c>
      <c r="B117" s="2">
        <f t="shared" si="2"/>
        <v>9</v>
      </c>
      <c r="C117" s="2">
        <f t="shared" si="3"/>
        <v>2018</v>
      </c>
      <c r="D117" s="4">
        <v>680</v>
      </c>
      <c r="E117" s="4" t="s">
        <v>10</v>
      </c>
      <c r="F117" s="4">
        <v>705</v>
      </c>
      <c r="G117" s="4">
        <v>670</v>
      </c>
      <c r="H117" s="4"/>
    </row>
    <row r="118" spans="1:8" x14ac:dyDescent="0.25">
      <c r="A118" s="1" t="s">
        <v>126</v>
      </c>
      <c r="B118" s="2">
        <f t="shared" si="2"/>
        <v>9</v>
      </c>
      <c r="C118" s="2">
        <f t="shared" si="3"/>
        <v>2018</v>
      </c>
      <c r="D118" s="4">
        <v>678</v>
      </c>
      <c r="E118" s="4" t="s">
        <v>10</v>
      </c>
      <c r="F118" s="4">
        <v>695</v>
      </c>
      <c r="G118" s="4">
        <v>665</v>
      </c>
      <c r="H118" s="4"/>
    </row>
    <row r="119" spans="1:8" x14ac:dyDescent="0.25">
      <c r="A119" s="1" t="s">
        <v>127</v>
      </c>
      <c r="B119" s="2">
        <f t="shared" si="2"/>
        <v>9</v>
      </c>
      <c r="C119" s="2">
        <f t="shared" si="3"/>
        <v>2018</v>
      </c>
      <c r="D119" s="4">
        <v>679</v>
      </c>
      <c r="E119" s="4" t="s">
        <v>10</v>
      </c>
      <c r="F119" s="4">
        <v>695</v>
      </c>
      <c r="G119" s="4">
        <v>665</v>
      </c>
      <c r="H119" s="4"/>
    </row>
    <row r="120" spans="1:8" x14ac:dyDescent="0.25">
      <c r="A120" s="1" t="s">
        <v>128</v>
      </c>
      <c r="B120" s="2">
        <f t="shared" si="2"/>
        <v>9</v>
      </c>
      <c r="C120" s="2">
        <f t="shared" si="3"/>
        <v>2018</v>
      </c>
      <c r="D120" s="4">
        <v>683</v>
      </c>
      <c r="E120" s="4" t="s">
        <v>10</v>
      </c>
      <c r="F120" s="4">
        <v>694</v>
      </c>
      <c r="G120" s="4">
        <v>665</v>
      </c>
      <c r="H120" s="4"/>
    </row>
    <row r="121" spans="1:8" x14ac:dyDescent="0.25">
      <c r="A121" s="1" t="s">
        <v>129</v>
      </c>
      <c r="B121" s="2">
        <f t="shared" si="2"/>
        <v>9</v>
      </c>
      <c r="C121" s="2">
        <f t="shared" si="3"/>
        <v>2018</v>
      </c>
      <c r="D121" s="4">
        <v>684</v>
      </c>
      <c r="E121" s="4" t="s">
        <v>10</v>
      </c>
      <c r="F121" s="4">
        <v>694</v>
      </c>
      <c r="G121" s="4">
        <v>667</v>
      </c>
      <c r="H121" s="4"/>
    </row>
    <row r="122" spans="1:8" x14ac:dyDescent="0.25">
      <c r="A122" s="1" t="s">
        <v>130</v>
      </c>
      <c r="B122" s="2">
        <f t="shared" si="2"/>
        <v>9</v>
      </c>
      <c r="C122" s="2">
        <f t="shared" si="3"/>
        <v>2018</v>
      </c>
      <c r="D122" s="4">
        <v>683</v>
      </c>
      <c r="E122" s="4" t="s">
        <v>10</v>
      </c>
      <c r="F122" s="4">
        <v>695</v>
      </c>
      <c r="G122" s="4">
        <v>668</v>
      </c>
      <c r="H122" s="4"/>
    </row>
    <row r="123" spans="1:8" x14ac:dyDescent="0.25">
      <c r="A123" s="1" t="s">
        <v>131</v>
      </c>
      <c r="B123" s="2">
        <f t="shared" si="2"/>
        <v>9</v>
      </c>
      <c r="C123" s="2">
        <f t="shared" si="3"/>
        <v>2018</v>
      </c>
      <c r="D123" s="4">
        <v>683</v>
      </c>
      <c r="E123" s="4" t="s">
        <v>10</v>
      </c>
      <c r="F123" s="4">
        <v>695</v>
      </c>
      <c r="G123" s="4">
        <v>668</v>
      </c>
      <c r="H123" s="4"/>
    </row>
    <row r="124" spans="1:8" x14ac:dyDescent="0.25">
      <c r="A124" s="1" t="s">
        <v>132</v>
      </c>
      <c r="B124" s="2">
        <f t="shared" si="2"/>
        <v>10</v>
      </c>
      <c r="C124" s="2">
        <f t="shared" si="3"/>
        <v>2018</v>
      </c>
      <c r="D124" s="4">
        <v>681</v>
      </c>
      <c r="E124" s="4" t="s">
        <v>10</v>
      </c>
      <c r="F124" s="4">
        <v>694</v>
      </c>
      <c r="G124" s="4">
        <v>668</v>
      </c>
      <c r="H124" s="4"/>
    </row>
    <row r="125" spans="1:8" x14ac:dyDescent="0.25">
      <c r="A125" s="1" t="s">
        <v>133</v>
      </c>
      <c r="B125" s="2">
        <f t="shared" si="2"/>
        <v>10</v>
      </c>
      <c r="C125" s="2">
        <f t="shared" si="3"/>
        <v>2018</v>
      </c>
      <c r="D125" s="4">
        <v>677</v>
      </c>
      <c r="E125" s="4" t="s">
        <v>10</v>
      </c>
      <c r="F125" s="4">
        <v>701</v>
      </c>
      <c r="G125" s="4">
        <v>668</v>
      </c>
      <c r="H125" s="4"/>
    </row>
    <row r="126" spans="1:8" x14ac:dyDescent="0.25">
      <c r="A126" s="1" t="s">
        <v>134</v>
      </c>
      <c r="B126" s="2">
        <f t="shared" si="2"/>
        <v>10</v>
      </c>
      <c r="C126" s="2">
        <f t="shared" si="3"/>
        <v>2018</v>
      </c>
      <c r="D126" s="4">
        <v>676</v>
      </c>
      <c r="E126" s="4" t="s">
        <v>10</v>
      </c>
      <c r="F126" s="4">
        <v>707</v>
      </c>
      <c r="G126" s="4">
        <v>668</v>
      </c>
      <c r="H126" s="4"/>
    </row>
    <row r="127" spans="1:8" x14ac:dyDescent="0.25">
      <c r="A127" s="1" t="s">
        <v>135</v>
      </c>
      <c r="B127" s="2">
        <f t="shared" si="2"/>
        <v>10</v>
      </c>
      <c r="C127" s="2">
        <f t="shared" si="3"/>
        <v>2018</v>
      </c>
      <c r="D127" s="4">
        <v>678</v>
      </c>
      <c r="E127" s="4" t="s">
        <v>10</v>
      </c>
      <c r="F127" s="4">
        <v>711</v>
      </c>
      <c r="G127" s="4">
        <v>668</v>
      </c>
      <c r="H127" s="4"/>
    </row>
    <row r="128" spans="1:8" x14ac:dyDescent="0.25">
      <c r="A128" s="1" t="s">
        <v>136</v>
      </c>
      <c r="B128" s="2">
        <f t="shared" si="2"/>
        <v>10</v>
      </c>
      <c r="C128" s="2">
        <f t="shared" si="3"/>
        <v>2018</v>
      </c>
      <c r="D128" s="4">
        <v>675</v>
      </c>
      <c r="E128" s="4" t="s">
        <v>10</v>
      </c>
      <c r="F128" s="4">
        <v>717</v>
      </c>
      <c r="G128" s="4">
        <v>668</v>
      </c>
      <c r="H128" s="4"/>
    </row>
    <row r="129" spans="1:8" x14ac:dyDescent="0.25">
      <c r="A129" s="1" t="s">
        <v>137</v>
      </c>
      <c r="B129" s="2">
        <f t="shared" si="2"/>
        <v>10</v>
      </c>
      <c r="C129" s="2">
        <f t="shared" si="3"/>
        <v>2018</v>
      </c>
      <c r="D129" s="4">
        <v>677</v>
      </c>
      <c r="E129" s="4" t="s">
        <v>10</v>
      </c>
      <c r="F129" s="4">
        <v>717</v>
      </c>
      <c r="G129" s="4">
        <v>668</v>
      </c>
      <c r="H129" s="4"/>
    </row>
    <row r="130" spans="1:8" x14ac:dyDescent="0.25">
      <c r="A130" s="1" t="s">
        <v>138</v>
      </c>
      <c r="B130" s="2">
        <f t="shared" si="2"/>
        <v>10</v>
      </c>
      <c r="C130" s="2">
        <f t="shared" si="3"/>
        <v>2018</v>
      </c>
      <c r="D130" s="4">
        <v>677</v>
      </c>
      <c r="E130" s="4" t="s">
        <v>10</v>
      </c>
      <c r="F130" s="4">
        <v>720</v>
      </c>
      <c r="G130" s="4">
        <v>668</v>
      </c>
      <c r="H130" s="4"/>
    </row>
    <row r="131" spans="1:8" x14ac:dyDescent="0.25">
      <c r="A131" s="1" t="s">
        <v>139</v>
      </c>
      <c r="B131" s="2">
        <f t="shared" ref="B131:B194" si="4">MONTH(A131)</f>
        <v>10</v>
      </c>
      <c r="C131" s="2">
        <f t="shared" ref="C131:C194" si="5">YEAR(A131)</f>
        <v>2018</v>
      </c>
      <c r="D131" s="4">
        <v>674</v>
      </c>
      <c r="E131" s="4" t="s">
        <v>10</v>
      </c>
      <c r="F131" s="4">
        <v>720</v>
      </c>
      <c r="G131" s="4">
        <v>668</v>
      </c>
      <c r="H131" s="4"/>
    </row>
    <row r="132" spans="1:8" x14ac:dyDescent="0.25">
      <c r="A132" s="1" t="s">
        <v>140</v>
      </c>
      <c r="B132" s="2">
        <f t="shared" si="4"/>
        <v>10</v>
      </c>
      <c r="C132" s="2">
        <f t="shared" si="5"/>
        <v>2018</v>
      </c>
      <c r="D132" s="4">
        <v>668</v>
      </c>
      <c r="E132" s="4" t="s">
        <v>10</v>
      </c>
      <c r="F132" s="4">
        <v>708</v>
      </c>
      <c r="G132" s="4">
        <v>668</v>
      </c>
      <c r="H132" s="4"/>
    </row>
    <row r="133" spans="1:8" x14ac:dyDescent="0.25">
      <c r="A133" s="1" t="s">
        <v>141</v>
      </c>
      <c r="B133" s="2">
        <f t="shared" si="4"/>
        <v>10</v>
      </c>
      <c r="C133" s="2">
        <f t="shared" si="5"/>
        <v>2018</v>
      </c>
      <c r="D133" s="4">
        <v>668</v>
      </c>
      <c r="E133" s="4" t="s">
        <v>10</v>
      </c>
      <c r="F133" s="4">
        <v>708</v>
      </c>
      <c r="G133" s="4">
        <v>668</v>
      </c>
      <c r="H133" s="4"/>
    </row>
    <row r="134" spans="1:8" x14ac:dyDescent="0.25">
      <c r="A134" s="1" t="s">
        <v>142</v>
      </c>
      <c r="B134" s="2">
        <f t="shared" si="4"/>
        <v>10</v>
      </c>
      <c r="C134" s="2">
        <f t="shared" si="5"/>
        <v>2018</v>
      </c>
      <c r="D134" s="4">
        <v>668</v>
      </c>
      <c r="E134" s="4" t="s">
        <v>10</v>
      </c>
      <c r="F134" s="4">
        <v>708</v>
      </c>
      <c r="G134" s="4" t="s">
        <v>10</v>
      </c>
      <c r="H134" s="4"/>
    </row>
    <row r="135" spans="1:8" x14ac:dyDescent="0.25">
      <c r="A135" s="1" t="s">
        <v>143</v>
      </c>
      <c r="B135" s="2">
        <f t="shared" si="4"/>
        <v>10</v>
      </c>
      <c r="C135" s="2">
        <f t="shared" si="5"/>
        <v>2018</v>
      </c>
      <c r="D135" s="4">
        <v>670</v>
      </c>
      <c r="E135" s="4" t="s">
        <v>10</v>
      </c>
      <c r="F135" s="4">
        <v>708</v>
      </c>
      <c r="G135" s="4">
        <v>668</v>
      </c>
      <c r="H135" s="4"/>
    </row>
    <row r="136" spans="1:8" x14ac:dyDescent="0.25">
      <c r="A136" s="1" t="s">
        <v>144</v>
      </c>
      <c r="B136" s="2">
        <f t="shared" si="4"/>
        <v>10</v>
      </c>
      <c r="C136" s="2">
        <f t="shared" si="5"/>
        <v>2018</v>
      </c>
      <c r="D136" s="4">
        <v>670</v>
      </c>
      <c r="E136" s="4" t="s">
        <v>10</v>
      </c>
      <c r="F136" s="4">
        <v>705</v>
      </c>
      <c r="G136" s="4">
        <v>668</v>
      </c>
      <c r="H136" s="4"/>
    </row>
    <row r="137" spans="1:8" x14ac:dyDescent="0.25">
      <c r="A137" s="1" t="s">
        <v>145</v>
      </c>
      <c r="B137" s="2">
        <f t="shared" si="4"/>
        <v>10</v>
      </c>
      <c r="C137" s="2">
        <f t="shared" si="5"/>
        <v>2018</v>
      </c>
      <c r="D137" s="4">
        <v>668</v>
      </c>
      <c r="E137" s="4" t="s">
        <v>10</v>
      </c>
      <c r="F137" s="4">
        <v>705</v>
      </c>
      <c r="G137" s="4">
        <v>668</v>
      </c>
      <c r="H137" s="4"/>
    </row>
    <row r="138" spans="1:8" x14ac:dyDescent="0.25">
      <c r="A138" s="1" t="s">
        <v>146</v>
      </c>
      <c r="B138" s="2">
        <f t="shared" si="4"/>
        <v>10</v>
      </c>
      <c r="C138" s="2">
        <f t="shared" si="5"/>
        <v>2018</v>
      </c>
      <c r="D138" s="4">
        <v>668</v>
      </c>
      <c r="E138" s="4" t="s">
        <v>10</v>
      </c>
      <c r="F138" s="4">
        <v>700</v>
      </c>
      <c r="G138" s="4">
        <v>668</v>
      </c>
      <c r="H138" s="4"/>
    </row>
    <row r="139" spans="1:8" x14ac:dyDescent="0.25">
      <c r="A139" s="1" t="s">
        <v>147</v>
      </c>
      <c r="B139" s="2">
        <f t="shared" si="4"/>
        <v>10</v>
      </c>
      <c r="C139" s="2">
        <f t="shared" si="5"/>
        <v>2018</v>
      </c>
      <c r="D139" s="4">
        <v>667</v>
      </c>
      <c r="E139" s="4" t="s">
        <v>10</v>
      </c>
      <c r="F139" s="4">
        <v>695</v>
      </c>
      <c r="G139" s="4">
        <v>668</v>
      </c>
      <c r="H139" s="4"/>
    </row>
    <row r="140" spans="1:8" x14ac:dyDescent="0.25">
      <c r="A140" s="1" t="s">
        <v>148</v>
      </c>
      <c r="B140" s="2">
        <f t="shared" si="4"/>
        <v>10</v>
      </c>
      <c r="C140" s="2">
        <f t="shared" si="5"/>
        <v>2018</v>
      </c>
      <c r="D140" s="4">
        <v>662</v>
      </c>
      <c r="E140" s="4" t="s">
        <v>10</v>
      </c>
      <c r="F140" s="4">
        <v>699</v>
      </c>
      <c r="G140" s="4">
        <v>668</v>
      </c>
      <c r="H140" s="4"/>
    </row>
    <row r="141" spans="1:8" x14ac:dyDescent="0.25">
      <c r="A141" s="1" t="s">
        <v>149</v>
      </c>
      <c r="B141" s="2">
        <f t="shared" si="4"/>
        <v>10</v>
      </c>
      <c r="C141" s="2">
        <f t="shared" si="5"/>
        <v>2018</v>
      </c>
      <c r="D141" s="4">
        <v>660</v>
      </c>
      <c r="E141" s="4" t="s">
        <v>10</v>
      </c>
      <c r="F141" s="4">
        <v>699</v>
      </c>
      <c r="G141" s="4">
        <v>668</v>
      </c>
      <c r="H141" s="4"/>
    </row>
    <row r="142" spans="1:8" x14ac:dyDescent="0.25">
      <c r="A142" s="1" t="s">
        <v>150</v>
      </c>
      <c r="B142" s="2">
        <f t="shared" si="4"/>
        <v>10</v>
      </c>
      <c r="C142" s="2">
        <f t="shared" si="5"/>
        <v>2018</v>
      </c>
      <c r="D142" s="4">
        <v>656</v>
      </c>
      <c r="E142" s="4" t="s">
        <v>10</v>
      </c>
      <c r="F142" s="4">
        <v>695</v>
      </c>
      <c r="G142" s="4">
        <v>658</v>
      </c>
      <c r="H142" s="4"/>
    </row>
    <row r="143" spans="1:8" x14ac:dyDescent="0.25">
      <c r="A143" s="1" t="s">
        <v>151</v>
      </c>
      <c r="B143" s="2">
        <f t="shared" si="4"/>
        <v>10</v>
      </c>
      <c r="C143" s="2">
        <f t="shared" si="5"/>
        <v>2018</v>
      </c>
      <c r="D143" s="4">
        <v>653</v>
      </c>
      <c r="E143" s="4" t="s">
        <v>10</v>
      </c>
      <c r="F143" s="4">
        <v>695</v>
      </c>
      <c r="G143" s="4">
        <v>655</v>
      </c>
      <c r="H143" s="4"/>
    </row>
    <row r="144" spans="1:8" x14ac:dyDescent="0.25">
      <c r="A144" s="1" t="s">
        <v>152</v>
      </c>
      <c r="B144" s="2">
        <f t="shared" si="4"/>
        <v>10</v>
      </c>
      <c r="C144" s="2">
        <f t="shared" si="5"/>
        <v>2018</v>
      </c>
      <c r="D144" s="4">
        <v>649</v>
      </c>
      <c r="E144" s="4" t="s">
        <v>10</v>
      </c>
      <c r="F144" s="4">
        <v>695</v>
      </c>
      <c r="G144" s="4">
        <v>658</v>
      </c>
      <c r="H144" s="4"/>
    </row>
    <row r="145" spans="1:8" x14ac:dyDescent="0.25">
      <c r="A145" s="1" t="s">
        <v>153</v>
      </c>
      <c r="B145" s="2">
        <f t="shared" si="4"/>
        <v>10</v>
      </c>
      <c r="C145" s="2">
        <f t="shared" si="5"/>
        <v>2018</v>
      </c>
      <c r="D145" s="4">
        <v>657</v>
      </c>
      <c r="E145" s="4" t="s">
        <v>10</v>
      </c>
      <c r="F145" s="4">
        <v>695</v>
      </c>
      <c r="G145" s="4">
        <v>658</v>
      </c>
      <c r="H145" s="4"/>
    </row>
    <row r="146" spans="1:8" x14ac:dyDescent="0.25">
      <c r="A146" s="1" t="s">
        <v>154</v>
      </c>
      <c r="B146" s="2">
        <f t="shared" si="4"/>
        <v>10</v>
      </c>
      <c r="C146" s="2">
        <f t="shared" si="5"/>
        <v>2018</v>
      </c>
      <c r="D146" s="4">
        <v>648</v>
      </c>
      <c r="E146" s="4" t="s">
        <v>10</v>
      </c>
      <c r="F146" s="4">
        <v>695</v>
      </c>
      <c r="G146" s="4">
        <v>665</v>
      </c>
      <c r="H146" s="4"/>
    </row>
    <row r="147" spans="1:8" x14ac:dyDescent="0.25">
      <c r="A147" s="1" t="s">
        <v>155</v>
      </c>
      <c r="B147" s="2">
        <f t="shared" si="4"/>
        <v>11</v>
      </c>
      <c r="C147" s="2">
        <f t="shared" si="5"/>
        <v>2018</v>
      </c>
      <c r="D147" s="4">
        <v>647</v>
      </c>
      <c r="E147" s="4" t="s">
        <v>10</v>
      </c>
      <c r="F147" s="4">
        <v>695</v>
      </c>
      <c r="G147" s="4">
        <v>665</v>
      </c>
      <c r="H147" s="4"/>
    </row>
    <row r="148" spans="1:8" x14ac:dyDescent="0.25">
      <c r="A148" s="1" t="s">
        <v>156</v>
      </c>
      <c r="B148" s="2">
        <f t="shared" si="4"/>
        <v>11</v>
      </c>
      <c r="C148" s="2">
        <f t="shared" si="5"/>
        <v>2018</v>
      </c>
      <c r="D148" s="4">
        <v>646</v>
      </c>
      <c r="E148" s="4" t="s">
        <v>10</v>
      </c>
      <c r="F148" s="4">
        <v>690</v>
      </c>
      <c r="G148" s="4">
        <v>670</v>
      </c>
      <c r="H148" s="4"/>
    </row>
    <row r="149" spans="1:8" x14ac:dyDescent="0.25">
      <c r="A149" s="1" t="s">
        <v>157</v>
      </c>
      <c r="B149" s="2">
        <f t="shared" si="4"/>
        <v>11</v>
      </c>
      <c r="C149" s="2">
        <f t="shared" si="5"/>
        <v>2018</v>
      </c>
      <c r="D149" s="4">
        <v>645</v>
      </c>
      <c r="E149" s="4" t="s">
        <v>10</v>
      </c>
      <c r="F149" s="4">
        <v>685</v>
      </c>
      <c r="G149" s="4">
        <v>655</v>
      </c>
      <c r="H149" s="4"/>
    </row>
    <row r="150" spans="1:8" x14ac:dyDescent="0.25">
      <c r="A150" s="1" t="s">
        <v>158</v>
      </c>
      <c r="B150" s="2">
        <f t="shared" si="4"/>
        <v>11</v>
      </c>
      <c r="C150" s="2">
        <f t="shared" si="5"/>
        <v>2018</v>
      </c>
      <c r="D150" s="4">
        <v>644</v>
      </c>
      <c r="E150" s="4" t="s">
        <v>10</v>
      </c>
      <c r="F150" s="4">
        <v>685</v>
      </c>
      <c r="G150" s="4">
        <v>655</v>
      </c>
      <c r="H150" s="4"/>
    </row>
    <row r="151" spans="1:8" x14ac:dyDescent="0.25">
      <c r="A151" s="1" t="s">
        <v>159</v>
      </c>
      <c r="B151" s="2">
        <f t="shared" si="4"/>
        <v>11</v>
      </c>
      <c r="C151" s="2">
        <f t="shared" si="5"/>
        <v>2018</v>
      </c>
      <c r="D151" s="4">
        <v>643</v>
      </c>
      <c r="E151" s="4" t="s">
        <v>10</v>
      </c>
      <c r="F151" s="4">
        <v>685</v>
      </c>
      <c r="G151" s="4">
        <v>653</v>
      </c>
      <c r="H151" s="4"/>
    </row>
    <row r="152" spans="1:8" x14ac:dyDescent="0.25">
      <c r="A152" s="1" t="s">
        <v>160</v>
      </c>
      <c r="B152" s="2">
        <f t="shared" si="4"/>
        <v>11</v>
      </c>
      <c r="C152" s="2">
        <f t="shared" si="5"/>
        <v>2018</v>
      </c>
      <c r="D152" s="4">
        <v>643</v>
      </c>
      <c r="E152" s="4" t="s">
        <v>10</v>
      </c>
      <c r="F152" s="4">
        <v>685</v>
      </c>
      <c r="G152" s="4">
        <v>655</v>
      </c>
      <c r="H152" s="4"/>
    </row>
    <row r="153" spans="1:8" x14ac:dyDescent="0.25">
      <c r="A153" s="1" t="s">
        <v>161</v>
      </c>
      <c r="B153" s="2">
        <f t="shared" si="4"/>
        <v>11</v>
      </c>
      <c r="C153" s="2">
        <f t="shared" si="5"/>
        <v>2018</v>
      </c>
      <c r="D153" s="4">
        <v>643</v>
      </c>
      <c r="E153" s="4" t="s">
        <v>10</v>
      </c>
      <c r="F153" s="4">
        <v>690</v>
      </c>
      <c r="G153" s="4">
        <v>645</v>
      </c>
      <c r="H153" s="4"/>
    </row>
    <row r="154" spans="1:8" x14ac:dyDescent="0.25">
      <c r="A154" s="1" t="s">
        <v>162</v>
      </c>
      <c r="B154" s="2">
        <f t="shared" si="4"/>
        <v>11</v>
      </c>
      <c r="C154" s="2">
        <f t="shared" si="5"/>
        <v>2018</v>
      </c>
      <c r="D154" s="4">
        <v>642</v>
      </c>
      <c r="E154" s="4" t="s">
        <v>10</v>
      </c>
      <c r="F154" s="4">
        <v>685</v>
      </c>
      <c r="G154" s="4">
        <v>645</v>
      </c>
      <c r="H154" s="4"/>
    </row>
    <row r="155" spans="1:8" x14ac:dyDescent="0.25">
      <c r="A155" s="1" t="s">
        <v>163</v>
      </c>
      <c r="B155" s="2">
        <f t="shared" si="4"/>
        <v>11</v>
      </c>
      <c r="C155" s="2">
        <f t="shared" si="5"/>
        <v>2018</v>
      </c>
      <c r="D155" s="4">
        <v>641</v>
      </c>
      <c r="E155" s="4" t="s">
        <v>10</v>
      </c>
      <c r="F155" s="4">
        <v>685</v>
      </c>
      <c r="G155" s="4">
        <v>643</v>
      </c>
      <c r="H155" s="4"/>
    </row>
    <row r="156" spans="1:8" x14ac:dyDescent="0.25">
      <c r="A156" s="1" t="s">
        <v>164</v>
      </c>
      <c r="B156" s="2">
        <f t="shared" si="4"/>
        <v>11</v>
      </c>
      <c r="C156" s="2">
        <f t="shared" si="5"/>
        <v>2018</v>
      </c>
      <c r="D156" s="4">
        <v>640</v>
      </c>
      <c r="E156" s="4" t="s">
        <v>10</v>
      </c>
      <c r="F156" s="4">
        <v>677</v>
      </c>
      <c r="G156" s="4">
        <v>643</v>
      </c>
      <c r="H156" s="4"/>
    </row>
    <row r="157" spans="1:8" x14ac:dyDescent="0.25">
      <c r="A157" s="1" t="s">
        <v>165</v>
      </c>
      <c r="B157" s="2">
        <f t="shared" si="4"/>
        <v>11</v>
      </c>
      <c r="C157" s="2">
        <f t="shared" si="5"/>
        <v>2018</v>
      </c>
      <c r="D157" s="4">
        <v>637</v>
      </c>
      <c r="E157" s="4" t="s">
        <v>10</v>
      </c>
      <c r="F157" s="4">
        <v>677</v>
      </c>
      <c r="G157" s="4">
        <v>650</v>
      </c>
      <c r="H157" s="4"/>
    </row>
    <row r="158" spans="1:8" x14ac:dyDescent="0.25">
      <c r="A158" s="1" t="s">
        <v>166</v>
      </c>
      <c r="B158" s="2">
        <f t="shared" si="4"/>
        <v>11</v>
      </c>
      <c r="C158" s="2">
        <f t="shared" si="5"/>
        <v>2018</v>
      </c>
      <c r="D158" s="4">
        <v>636</v>
      </c>
      <c r="E158" s="4" t="s">
        <v>10</v>
      </c>
      <c r="F158" s="4">
        <v>675</v>
      </c>
      <c r="G158" s="4">
        <v>648</v>
      </c>
      <c r="H158" s="4"/>
    </row>
    <row r="159" spans="1:8" x14ac:dyDescent="0.25">
      <c r="A159" s="1" t="s">
        <v>167</v>
      </c>
      <c r="B159" s="2">
        <f t="shared" si="4"/>
        <v>11</v>
      </c>
      <c r="C159" s="2">
        <f t="shared" si="5"/>
        <v>2018</v>
      </c>
      <c r="D159" s="4">
        <v>634</v>
      </c>
      <c r="E159" s="4" t="s">
        <v>10</v>
      </c>
      <c r="F159" s="4">
        <v>670</v>
      </c>
      <c r="G159" s="4" t="s">
        <v>10</v>
      </c>
      <c r="H159" s="4"/>
    </row>
    <row r="160" spans="1:8" x14ac:dyDescent="0.25">
      <c r="A160" s="1" t="s">
        <v>168</v>
      </c>
      <c r="B160" s="2">
        <f t="shared" si="4"/>
        <v>11</v>
      </c>
      <c r="C160" s="2">
        <f t="shared" si="5"/>
        <v>2018</v>
      </c>
      <c r="D160" s="4">
        <v>634</v>
      </c>
      <c r="E160" s="4" t="s">
        <v>10</v>
      </c>
      <c r="F160" s="4">
        <v>670</v>
      </c>
      <c r="G160" s="4">
        <v>645</v>
      </c>
      <c r="H160" s="4"/>
    </row>
    <row r="161" spans="1:8" x14ac:dyDescent="0.25">
      <c r="A161" s="1" t="s">
        <v>169</v>
      </c>
      <c r="B161" s="2">
        <f t="shared" si="4"/>
        <v>11</v>
      </c>
      <c r="C161" s="2">
        <f t="shared" si="5"/>
        <v>2018</v>
      </c>
      <c r="D161" s="4">
        <v>634</v>
      </c>
      <c r="E161" s="4" t="s">
        <v>10</v>
      </c>
      <c r="F161" s="4">
        <v>660</v>
      </c>
      <c r="G161" s="4">
        <v>645</v>
      </c>
      <c r="H161" s="4"/>
    </row>
    <row r="162" spans="1:8" x14ac:dyDescent="0.25">
      <c r="A162" s="1" t="s">
        <v>170</v>
      </c>
      <c r="B162" s="2">
        <f t="shared" si="4"/>
        <v>11</v>
      </c>
      <c r="C162" s="2">
        <f t="shared" si="5"/>
        <v>2018</v>
      </c>
      <c r="D162" s="4">
        <v>633</v>
      </c>
      <c r="E162" s="4" t="s">
        <v>10</v>
      </c>
      <c r="F162" s="4">
        <v>660</v>
      </c>
      <c r="G162" s="4">
        <v>640</v>
      </c>
      <c r="H162" s="4"/>
    </row>
    <row r="163" spans="1:8" x14ac:dyDescent="0.25">
      <c r="A163" s="1" t="s">
        <v>171</v>
      </c>
      <c r="B163" s="2">
        <f t="shared" si="4"/>
        <v>11</v>
      </c>
      <c r="C163" s="2">
        <f t="shared" si="5"/>
        <v>2018</v>
      </c>
      <c r="D163" s="4">
        <v>632</v>
      </c>
      <c r="E163" s="4" t="s">
        <v>10</v>
      </c>
      <c r="F163" s="4">
        <v>660</v>
      </c>
      <c r="G163" s="4">
        <v>640</v>
      </c>
      <c r="H163" s="4"/>
    </row>
    <row r="164" spans="1:8" x14ac:dyDescent="0.25">
      <c r="A164" s="1" t="s">
        <v>172</v>
      </c>
      <c r="B164" s="2">
        <f t="shared" si="4"/>
        <v>11</v>
      </c>
      <c r="C164" s="2">
        <f t="shared" si="5"/>
        <v>2018</v>
      </c>
      <c r="D164" s="4">
        <v>628</v>
      </c>
      <c r="E164" s="4" t="s">
        <v>10</v>
      </c>
      <c r="F164" s="4">
        <v>670</v>
      </c>
      <c r="G164" s="4">
        <v>630</v>
      </c>
      <c r="H164" s="4"/>
    </row>
    <row r="165" spans="1:8" x14ac:dyDescent="0.25">
      <c r="A165" s="1" t="s">
        <v>173</v>
      </c>
      <c r="B165" s="2">
        <f t="shared" si="4"/>
        <v>11</v>
      </c>
      <c r="C165" s="2">
        <f t="shared" si="5"/>
        <v>2018</v>
      </c>
      <c r="D165" s="4">
        <v>626</v>
      </c>
      <c r="E165" s="4" t="s">
        <v>10</v>
      </c>
      <c r="F165" s="4">
        <v>675</v>
      </c>
      <c r="G165" s="4">
        <v>630</v>
      </c>
      <c r="H165" s="4"/>
    </row>
    <row r="166" spans="1:8" x14ac:dyDescent="0.25">
      <c r="A166" s="1" t="s">
        <v>174</v>
      </c>
      <c r="B166" s="2">
        <f t="shared" si="4"/>
        <v>11</v>
      </c>
      <c r="C166" s="2">
        <f t="shared" si="5"/>
        <v>2018</v>
      </c>
      <c r="D166" s="4">
        <v>631</v>
      </c>
      <c r="E166" s="4" t="s">
        <v>10</v>
      </c>
      <c r="F166" s="4">
        <v>675</v>
      </c>
      <c r="G166" s="4">
        <v>630</v>
      </c>
      <c r="H166" s="4"/>
    </row>
    <row r="167" spans="1:8" x14ac:dyDescent="0.25">
      <c r="A167" s="1" t="s">
        <v>175</v>
      </c>
      <c r="B167" s="2">
        <f t="shared" si="4"/>
        <v>11</v>
      </c>
      <c r="C167" s="2">
        <f t="shared" si="5"/>
        <v>2018</v>
      </c>
      <c r="D167" s="4">
        <v>629</v>
      </c>
      <c r="E167" s="4" t="s">
        <v>10</v>
      </c>
      <c r="F167" s="4">
        <v>663</v>
      </c>
      <c r="G167" s="4">
        <v>630</v>
      </c>
      <c r="H167" s="4"/>
    </row>
    <row r="168" spans="1:8" x14ac:dyDescent="0.25">
      <c r="A168" s="1" t="s">
        <v>176</v>
      </c>
      <c r="B168" s="2">
        <f t="shared" si="4"/>
        <v>11</v>
      </c>
      <c r="C168" s="2">
        <f t="shared" si="5"/>
        <v>2018</v>
      </c>
      <c r="D168" s="4">
        <v>631</v>
      </c>
      <c r="E168" s="4" t="s">
        <v>10</v>
      </c>
      <c r="F168" s="4">
        <v>670</v>
      </c>
      <c r="G168" s="4">
        <v>630</v>
      </c>
      <c r="H168" s="4"/>
    </row>
    <row r="169" spans="1:8" x14ac:dyDescent="0.25">
      <c r="A169" s="1" t="s">
        <v>177</v>
      </c>
      <c r="B169" s="2">
        <f t="shared" si="4"/>
        <v>12</v>
      </c>
      <c r="C169" s="2">
        <f t="shared" si="5"/>
        <v>2018</v>
      </c>
      <c r="D169" s="4">
        <v>634</v>
      </c>
      <c r="E169" s="4" t="s">
        <v>10</v>
      </c>
      <c r="F169" s="4">
        <v>660</v>
      </c>
      <c r="G169" s="4">
        <v>630</v>
      </c>
      <c r="H169" s="4"/>
    </row>
    <row r="170" spans="1:8" x14ac:dyDescent="0.25">
      <c r="A170" s="1" t="s">
        <v>178</v>
      </c>
      <c r="B170" s="2">
        <f t="shared" si="4"/>
        <v>12</v>
      </c>
      <c r="C170" s="2">
        <f t="shared" si="5"/>
        <v>2018</v>
      </c>
      <c r="D170" s="4">
        <v>636</v>
      </c>
      <c r="E170" s="4" t="s">
        <v>10</v>
      </c>
      <c r="F170" s="4">
        <v>665</v>
      </c>
      <c r="G170" s="4">
        <v>630</v>
      </c>
      <c r="H170" s="4"/>
    </row>
    <row r="171" spans="1:8" x14ac:dyDescent="0.25">
      <c r="A171" s="1" t="s">
        <v>179</v>
      </c>
      <c r="B171" s="2">
        <f t="shared" si="4"/>
        <v>12</v>
      </c>
      <c r="C171" s="2">
        <f t="shared" si="5"/>
        <v>2018</v>
      </c>
      <c r="D171" s="4">
        <v>637</v>
      </c>
      <c r="E171" s="4" t="s">
        <v>10</v>
      </c>
      <c r="F171" s="4">
        <v>670</v>
      </c>
      <c r="G171" s="4">
        <v>615</v>
      </c>
      <c r="H171" s="4"/>
    </row>
    <row r="172" spans="1:8" x14ac:dyDescent="0.25">
      <c r="A172" s="1" t="s">
        <v>180</v>
      </c>
      <c r="B172" s="2">
        <f t="shared" si="4"/>
        <v>12</v>
      </c>
      <c r="C172" s="2">
        <f t="shared" si="5"/>
        <v>2018</v>
      </c>
      <c r="D172" s="4">
        <v>636</v>
      </c>
      <c r="E172" s="4" t="s">
        <v>10</v>
      </c>
      <c r="F172" s="4">
        <v>672</v>
      </c>
      <c r="G172" s="4">
        <v>615</v>
      </c>
      <c r="H172" s="4"/>
    </row>
    <row r="173" spans="1:8" x14ac:dyDescent="0.25">
      <c r="A173" s="1" t="s">
        <v>181</v>
      </c>
      <c r="B173" s="2">
        <f t="shared" si="4"/>
        <v>12</v>
      </c>
      <c r="C173" s="2">
        <f t="shared" si="5"/>
        <v>2018</v>
      </c>
      <c r="D173" s="4">
        <v>636</v>
      </c>
      <c r="E173" s="4" t="s">
        <v>10</v>
      </c>
      <c r="F173" s="4">
        <v>675</v>
      </c>
      <c r="G173" s="4">
        <v>620</v>
      </c>
      <c r="H173" s="4"/>
    </row>
    <row r="174" spans="1:8" x14ac:dyDescent="0.25">
      <c r="A174" s="1" t="s">
        <v>182</v>
      </c>
      <c r="B174" s="2">
        <f t="shared" si="4"/>
        <v>12</v>
      </c>
      <c r="C174" s="2">
        <f t="shared" si="5"/>
        <v>2018</v>
      </c>
      <c r="D174" s="4">
        <v>638</v>
      </c>
      <c r="E174" s="4" t="s">
        <v>10</v>
      </c>
      <c r="F174" s="4">
        <v>675</v>
      </c>
      <c r="G174" s="4">
        <v>620</v>
      </c>
      <c r="H174" s="4"/>
    </row>
    <row r="175" spans="1:8" x14ac:dyDescent="0.25">
      <c r="A175" s="1" t="s">
        <v>183</v>
      </c>
      <c r="B175" s="2">
        <f t="shared" si="4"/>
        <v>12</v>
      </c>
      <c r="C175" s="2">
        <f t="shared" si="5"/>
        <v>2018</v>
      </c>
      <c r="D175" s="4">
        <v>638</v>
      </c>
      <c r="E175" s="4" t="s">
        <v>10</v>
      </c>
      <c r="F175" s="4">
        <v>675</v>
      </c>
      <c r="G175" s="4">
        <v>620</v>
      </c>
      <c r="H175" s="4"/>
    </row>
    <row r="176" spans="1:8" x14ac:dyDescent="0.25">
      <c r="A176" s="1" t="s">
        <v>184</v>
      </c>
      <c r="B176" s="2">
        <f t="shared" si="4"/>
        <v>12</v>
      </c>
      <c r="C176" s="2">
        <f t="shared" si="5"/>
        <v>2018</v>
      </c>
      <c r="D176" s="4">
        <v>641</v>
      </c>
      <c r="E176" s="4" t="s">
        <v>10</v>
      </c>
      <c r="F176" s="4">
        <v>677</v>
      </c>
      <c r="G176" s="4">
        <v>620</v>
      </c>
      <c r="H176" s="4"/>
    </row>
    <row r="177" spans="1:8" x14ac:dyDescent="0.25">
      <c r="A177" s="1" t="s">
        <v>185</v>
      </c>
      <c r="B177" s="2">
        <f t="shared" si="4"/>
        <v>12</v>
      </c>
      <c r="C177" s="2">
        <f t="shared" si="5"/>
        <v>2018</v>
      </c>
      <c r="D177" s="4">
        <v>642</v>
      </c>
      <c r="E177" s="4" t="s">
        <v>10</v>
      </c>
      <c r="F177" s="4">
        <v>682.5</v>
      </c>
      <c r="G177" s="4">
        <v>625</v>
      </c>
      <c r="H177" s="4"/>
    </row>
    <row r="178" spans="1:8" x14ac:dyDescent="0.25">
      <c r="A178" s="1" t="s">
        <v>186</v>
      </c>
      <c r="B178" s="2">
        <f t="shared" si="4"/>
        <v>12</v>
      </c>
      <c r="C178" s="2">
        <f t="shared" si="5"/>
        <v>2018</v>
      </c>
      <c r="D178" s="4">
        <v>640</v>
      </c>
      <c r="E178" s="4" t="s">
        <v>10</v>
      </c>
      <c r="F178" s="4">
        <v>682.5</v>
      </c>
      <c r="G178" s="4">
        <v>625</v>
      </c>
      <c r="H178" s="4"/>
    </row>
    <row r="179" spans="1:8" x14ac:dyDescent="0.25">
      <c r="A179" s="1" t="s">
        <v>187</v>
      </c>
      <c r="B179" s="2">
        <f t="shared" si="4"/>
        <v>12</v>
      </c>
      <c r="C179" s="2">
        <f t="shared" si="5"/>
        <v>2018</v>
      </c>
      <c r="D179" s="4">
        <v>638</v>
      </c>
      <c r="E179" s="4" t="s">
        <v>10</v>
      </c>
      <c r="F179" s="4">
        <v>675</v>
      </c>
      <c r="G179" s="4">
        <v>620</v>
      </c>
      <c r="H179" s="4"/>
    </row>
    <row r="180" spans="1:8" x14ac:dyDescent="0.25">
      <c r="A180" s="1" t="s">
        <v>188</v>
      </c>
      <c r="B180" s="2">
        <f t="shared" si="4"/>
        <v>12</v>
      </c>
      <c r="C180" s="2">
        <f t="shared" si="5"/>
        <v>2018</v>
      </c>
      <c r="D180" s="4">
        <v>645</v>
      </c>
      <c r="E180" s="4" t="s">
        <v>10</v>
      </c>
      <c r="F180" s="4">
        <v>677.5</v>
      </c>
      <c r="G180" s="4">
        <v>610</v>
      </c>
      <c r="H180" s="4"/>
    </row>
    <row r="181" spans="1:8" x14ac:dyDescent="0.25">
      <c r="A181" s="1" t="s">
        <v>189</v>
      </c>
      <c r="B181" s="2">
        <f t="shared" si="4"/>
        <v>12</v>
      </c>
      <c r="C181" s="2">
        <f t="shared" si="5"/>
        <v>2018</v>
      </c>
      <c r="D181" s="4">
        <v>645</v>
      </c>
      <c r="E181" s="4" t="s">
        <v>10</v>
      </c>
      <c r="F181" s="4">
        <v>680</v>
      </c>
      <c r="G181" s="4">
        <v>610</v>
      </c>
      <c r="H181" s="4"/>
    </row>
    <row r="182" spans="1:8" x14ac:dyDescent="0.25">
      <c r="A182" s="1" t="s">
        <v>190</v>
      </c>
      <c r="B182" s="2">
        <f t="shared" si="4"/>
        <v>12</v>
      </c>
      <c r="C182" s="2">
        <f t="shared" si="5"/>
        <v>2018</v>
      </c>
      <c r="D182" s="4">
        <v>643</v>
      </c>
      <c r="E182" s="4" t="s">
        <v>10</v>
      </c>
      <c r="F182" s="4">
        <v>680</v>
      </c>
      <c r="G182" s="4">
        <v>615</v>
      </c>
      <c r="H182" s="4"/>
    </row>
    <row r="183" spans="1:8" x14ac:dyDescent="0.25">
      <c r="A183" s="1" t="s">
        <v>191</v>
      </c>
      <c r="B183" s="2">
        <f t="shared" si="4"/>
        <v>12</v>
      </c>
      <c r="C183" s="2">
        <f t="shared" si="5"/>
        <v>2018</v>
      </c>
      <c r="D183" s="4">
        <v>641</v>
      </c>
      <c r="E183" s="4" t="s">
        <v>10</v>
      </c>
      <c r="F183" s="4">
        <v>680</v>
      </c>
      <c r="G183" s="4">
        <v>615</v>
      </c>
      <c r="H183" s="4"/>
    </row>
    <row r="184" spans="1:8" x14ac:dyDescent="0.25">
      <c r="A184" s="1" t="s">
        <v>192</v>
      </c>
      <c r="B184" s="2">
        <f t="shared" si="4"/>
        <v>12</v>
      </c>
      <c r="C184" s="2">
        <f t="shared" si="5"/>
        <v>2018</v>
      </c>
      <c r="D184" s="4">
        <v>637</v>
      </c>
      <c r="E184" s="4" t="s">
        <v>10</v>
      </c>
      <c r="F184" s="4">
        <v>670</v>
      </c>
      <c r="G184" s="4">
        <v>615</v>
      </c>
      <c r="H184" s="4"/>
    </row>
    <row r="185" spans="1:8" x14ac:dyDescent="0.25">
      <c r="A185" s="1" t="s">
        <v>193</v>
      </c>
      <c r="B185" s="2">
        <f t="shared" si="4"/>
        <v>12</v>
      </c>
      <c r="C185" s="2">
        <f t="shared" si="5"/>
        <v>2018</v>
      </c>
      <c r="D185" s="4">
        <v>637</v>
      </c>
      <c r="E185" s="4" t="s">
        <v>10</v>
      </c>
      <c r="F185" s="4">
        <v>670</v>
      </c>
      <c r="G185" s="4">
        <v>615</v>
      </c>
      <c r="H185" s="4"/>
    </row>
    <row r="186" spans="1:8" x14ac:dyDescent="0.25">
      <c r="A186" s="1" t="s">
        <v>194</v>
      </c>
      <c r="B186" s="2">
        <f t="shared" si="4"/>
        <v>1</v>
      </c>
      <c r="C186" s="2">
        <f t="shared" si="5"/>
        <v>2019</v>
      </c>
      <c r="D186" s="4">
        <v>637</v>
      </c>
      <c r="E186" s="4" t="s">
        <v>10</v>
      </c>
      <c r="F186" s="4">
        <v>670</v>
      </c>
      <c r="G186" s="4">
        <v>610</v>
      </c>
      <c r="H186" s="4"/>
    </row>
    <row r="187" spans="1:8" x14ac:dyDescent="0.25">
      <c r="A187" s="1" t="s">
        <v>195</v>
      </c>
      <c r="B187" s="2">
        <f t="shared" si="4"/>
        <v>1</v>
      </c>
      <c r="C187" s="2">
        <f t="shared" si="5"/>
        <v>2019</v>
      </c>
      <c r="D187" s="4">
        <v>637</v>
      </c>
      <c r="E187" s="4" t="s">
        <v>10</v>
      </c>
      <c r="F187" s="4">
        <v>670</v>
      </c>
      <c r="G187" s="4">
        <v>615</v>
      </c>
      <c r="H187" s="4"/>
    </row>
    <row r="188" spans="1:8" x14ac:dyDescent="0.25">
      <c r="A188" s="1" t="s">
        <v>196</v>
      </c>
      <c r="B188" s="2">
        <f t="shared" si="4"/>
        <v>1</v>
      </c>
      <c r="C188" s="2">
        <f t="shared" si="5"/>
        <v>2019</v>
      </c>
      <c r="D188" s="4">
        <v>636</v>
      </c>
      <c r="E188" s="4" t="s">
        <v>10</v>
      </c>
      <c r="F188" s="4">
        <v>670</v>
      </c>
      <c r="G188" s="4">
        <v>615</v>
      </c>
      <c r="H188" s="4"/>
    </row>
    <row r="189" spans="1:8" x14ac:dyDescent="0.25">
      <c r="A189" s="1" t="s">
        <v>197</v>
      </c>
      <c r="B189" s="2">
        <f t="shared" si="4"/>
        <v>1</v>
      </c>
      <c r="C189" s="2">
        <f t="shared" si="5"/>
        <v>2019</v>
      </c>
      <c r="D189" s="4">
        <v>636</v>
      </c>
      <c r="E189" s="4" t="s">
        <v>10</v>
      </c>
      <c r="F189" s="4">
        <v>665</v>
      </c>
      <c r="G189" s="4">
        <v>615</v>
      </c>
      <c r="H189" s="4"/>
    </row>
    <row r="190" spans="1:8" x14ac:dyDescent="0.25">
      <c r="A190" s="1" t="s">
        <v>198</v>
      </c>
      <c r="B190" s="2">
        <f t="shared" si="4"/>
        <v>1</v>
      </c>
      <c r="C190" s="2">
        <f t="shared" si="5"/>
        <v>2019</v>
      </c>
      <c r="D190" s="4">
        <v>635</v>
      </c>
      <c r="E190" s="4" t="s">
        <v>10</v>
      </c>
      <c r="F190" s="4">
        <v>665</v>
      </c>
      <c r="G190" s="4">
        <v>615</v>
      </c>
      <c r="H190" s="4"/>
    </row>
    <row r="191" spans="1:8" x14ac:dyDescent="0.25">
      <c r="A191" s="1" t="s">
        <v>199</v>
      </c>
      <c r="B191" s="2">
        <f t="shared" si="4"/>
        <v>1</v>
      </c>
      <c r="C191" s="2">
        <f t="shared" si="5"/>
        <v>2019</v>
      </c>
      <c r="D191" s="4">
        <v>637</v>
      </c>
      <c r="E191" s="4" t="s">
        <v>10</v>
      </c>
      <c r="F191" s="4">
        <v>670</v>
      </c>
      <c r="G191" s="4">
        <v>615</v>
      </c>
      <c r="H191" s="4"/>
    </row>
    <row r="192" spans="1:8" x14ac:dyDescent="0.25">
      <c r="A192" s="1" t="s">
        <v>200</v>
      </c>
      <c r="B192" s="2">
        <f t="shared" si="4"/>
        <v>1</v>
      </c>
      <c r="C192" s="2">
        <f t="shared" si="5"/>
        <v>2019</v>
      </c>
      <c r="D192" s="4">
        <v>636</v>
      </c>
      <c r="E192" s="4" t="s">
        <v>10</v>
      </c>
      <c r="F192" s="4">
        <v>670</v>
      </c>
      <c r="G192" s="4">
        <v>610</v>
      </c>
      <c r="H192" s="4"/>
    </row>
    <row r="193" spans="1:8" x14ac:dyDescent="0.25">
      <c r="A193" s="1" t="s">
        <v>201</v>
      </c>
      <c r="B193" s="2">
        <f t="shared" si="4"/>
        <v>1</v>
      </c>
      <c r="C193" s="2">
        <f t="shared" si="5"/>
        <v>2019</v>
      </c>
      <c r="D193" s="4">
        <v>641</v>
      </c>
      <c r="E193" s="4" t="s">
        <v>10</v>
      </c>
      <c r="F193" s="4">
        <v>675</v>
      </c>
      <c r="G193" s="4">
        <v>610</v>
      </c>
      <c r="H193" s="4"/>
    </row>
    <row r="194" spans="1:8" x14ac:dyDescent="0.25">
      <c r="A194" s="1" t="s">
        <v>202</v>
      </c>
      <c r="B194" s="2">
        <f t="shared" si="4"/>
        <v>1</v>
      </c>
      <c r="C194" s="2">
        <f t="shared" si="5"/>
        <v>2019</v>
      </c>
      <c r="D194" s="4">
        <v>640</v>
      </c>
      <c r="E194" s="4" t="s">
        <v>10</v>
      </c>
      <c r="F194" s="4">
        <v>677.5</v>
      </c>
      <c r="G194" s="4">
        <v>610</v>
      </c>
      <c r="H194" s="4"/>
    </row>
    <row r="195" spans="1:8" x14ac:dyDescent="0.25">
      <c r="A195" s="1" t="s">
        <v>203</v>
      </c>
      <c r="B195" s="2">
        <f t="shared" ref="B195:B258" si="6">MONTH(A195)</f>
        <v>1</v>
      </c>
      <c r="C195" s="2">
        <f t="shared" ref="C195:C258" si="7">YEAR(A195)</f>
        <v>2019</v>
      </c>
      <c r="D195" s="4">
        <v>640</v>
      </c>
      <c r="E195" s="4" t="s">
        <v>10</v>
      </c>
      <c r="F195" s="4">
        <v>677.5</v>
      </c>
      <c r="G195" s="4">
        <v>610</v>
      </c>
      <c r="H195" s="4"/>
    </row>
    <row r="196" spans="1:8" x14ac:dyDescent="0.25">
      <c r="A196" s="1" t="s">
        <v>204</v>
      </c>
      <c r="B196" s="2">
        <f t="shared" si="6"/>
        <v>1</v>
      </c>
      <c r="C196" s="2">
        <f t="shared" si="7"/>
        <v>2019</v>
      </c>
      <c r="D196" s="4">
        <v>644</v>
      </c>
      <c r="E196" s="4" t="s">
        <v>10</v>
      </c>
      <c r="F196" s="4">
        <v>675</v>
      </c>
      <c r="G196" s="4">
        <v>605</v>
      </c>
      <c r="H196" s="4"/>
    </row>
    <row r="197" spans="1:8" x14ac:dyDescent="0.25">
      <c r="A197" s="1" t="s">
        <v>205</v>
      </c>
      <c r="B197" s="2">
        <f t="shared" si="6"/>
        <v>1</v>
      </c>
      <c r="C197" s="2">
        <f t="shared" si="7"/>
        <v>2019</v>
      </c>
      <c r="D197" s="4">
        <v>652</v>
      </c>
      <c r="E197" s="4" t="s">
        <v>10</v>
      </c>
      <c r="F197" s="4">
        <v>675</v>
      </c>
      <c r="G197" s="4">
        <v>615</v>
      </c>
      <c r="H197" s="4"/>
    </row>
    <row r="198" spans="1:8" x14ac:dyDescent="0.25">
      <c r="A198" s="1" t="s">
        <v>206</v>
      </c>
      <c r="B198" s="2">
        <f t="shared" si="6"/>
        <v>1</v>
      </c>
      <c r="C198" s="2">
        <f t="shared" si="7"/>
        <v>2019</v>
      </c>
      <c r="D198" s="4">
        <v>655</v>
      </c>
      <c r="E198" s="4" t="s">
        <v>10</v>
      </c>
      <c r="F198" s="4">
        <v>690</v>
      </c>
      <c r="G198" s="4">
        <v>620</v>
      </c>
      <c r="H198" s="4"/>
    </row>
    <row r="199" spans="1:8" x14ac:dyDescent="0.25">
      <c r="A199" s="1" t="s">
        <v>207</v>
      </c>
      <c r="B199" s="2">
        <f t="shared" si="6"/>
        <v>1</v>
      </c>
      <c r="C199" s="2">
        <f t="shared" si="7"/>
        <v>2019</v>
      </c>
      <c r="D199" s="4">
        <v>657</v>
      </c>
      <c r="E199" s="4" t="s">
        <v>10</v>
      </c>
      <c r="F199" s="4">
        <v>690</v>
      </c>
      <c r="G199" s="4">
        <v>620</v>
      </c>
      <c r="H199" s="4"/>
    </row>
    <row r="200" spans="1:8" x14ac:dyDescent="0.25">
      <c r="A200" s="1" t="s">
        <v>208</v>
      </c>
      <c r="B200" s="2">
        <f t="shared" si="6"/>
        <v>1</v>
      </c>
      <c r="C200" s="2">
        <f t="shared" si="7"/>
        <v>2019</v>
      </c>
      <c r="D200" s="4">
        <v>659</v>
      </c>
      <c r="E200" s="4" t="s">
        <v>10</v>
      </c>
      <c r="F200" s="4">
        <v>705</v>
      </c>
      <c r="G200" s="4">
        <v>620</v>
      </c>
      <c r="H200" s="4"/>
    </row>
    <row r="201" spans="1:8" x14ac:dyDescent="0.25">
      <c r="A201" s="1" t="s">
        <v>209</v>
      </c>
      <c r="B201" s="2">
        <f t="shared" si="6"/>
        <v>1</v>
      </c>
      <c r="C201" s="2">
        <f t="shared" si="7"/>
        <v>2019</v>
      </c>
      <c r="D201" s="4">
        <v>661</v>
      </c>
      <c r="E201" s="4" t="s">
        <v>10</v>
      </c>
      <c r="F201" s="4">
        <v>705</v>
      </c>
      <c r="G201" s="4">
        <v>620</v>
      </c>
      <c r="H201" s="4"/>
    </row>
    <row r="202" spans="1:8" x14ac:dyDescent="0.25">
      <c r="A202" s="1" t="s">
        <v>210</v>
      </c>
      <c r="B202" s="2">
        <f t="shared" si="6"/>
        <v>1</v>
      </c>
      <c r="C202" s="2">
        <f t="shared" si="7"/>
        <v>2019</v>
      </c>
      <c r="D202" s="4">
        <v>663</v>
      </c>
      <c r="E202" s="4" t="s">
        <v>10</v>
      </c>
      <c r="F202" s="4">
        <v>695</v>
      </c>
      <c r="G202" s="4">
        <v>620</v>
      </c>
      <c r="H202" s="4"/>
    </row>
    <row r="203" spans="1:8" x14ac:dyDescent="0.25">
      <c r="A203" s="1" t="s">
        <v>211</v>
      </c>
      <c r="B203" s="2">
        <f t="shared" si="6"/>
        <v>1</v>
      </c>
      <c r="C203" s="2">
        <f t="shared" si="7"/>
        <v>2019</v>
      </c>
      <c r="D203" s="4">
        <v>669</v>
      </c>
      <c r="E203" s="4" t="s">
        <v>10</v>
      </c>
      <c r="F203" s="4">
        <v>707.5</v>
      </c>
      <c r="G203" s="4">
        <v>630</v>
      </c>
      <c r="H203" s="4"/>
    </row>
    <row r="204" spans="1:8" x14ac:dyDescent="0.25">
      <c r="A204" s="1" t="s">
        <v>212</v>
      </c>
      <c r="B204" s="2">
        <f t="shared" si="6"/>
        <v>1</v>
      </c>
      <c r="C204" s="2">
        <f t="shared" si="7"/>
        <v>2019</v>
      </c>
      <c r="D204" s="4">
        <v>672</v>
      </c>
      <c r="E204" s="4" t="s">
        <v>10</v>
      </c>
      <c r="F204" s="4">
        <v>707.5</v>
      </c>
      <c r="G204" s="4">
        <v>620</v>
      </c>
      <c r="H204" s="4"/>
    </row>
    <row r="205" spans="1:8" x14ac:dyDescent="0.25">
      <c r="A205" s="1" t="s">
        <v>213</v>
      </c>
      <c r="B205" s="2">
        <f t="shared" si="6"/>
        <v>1</v>
      </c>
      <c r="C205" s="2">
        <f t="shared" si="7"/>
        <v>2019</v>
      </c>
      <c r="D205" s="4">
        <v>672</v>
      </c>
      <c r="E205" s="4" t="s">
        <v>10</v>
      </c>
      <c r="F205" s="4">
        <v>701.25</v>
      </c>
      <c r="G205" s="4">
        <v>620</v>
      </c>
      <c r="H205" s="4"/>
    </row>
    <row r="206" spans="1:8" x14ac:dyDescent="0.25">
      <c r="A206" s="1" t="s">
        <v>214</v>
      </c>
      <c r="B206" s="2">
        <f t="shared" si="6"/>
        <v>1</v>
      </c>
      <c r="C206" s="2">
        <f t="shared" si="7"/>
        <v>2019</v>
      </c>
      <c r="D206" s="4">
        <v>680</v>
      </c>
      <c r="E206" s="4" t="s">
        <v>10</v>
      </c>
      <c r="F206" s="4">
        <v>703.75</v>
      </c>
      <c r="G206" s="4">
        <v>625</v>
      </c>
      <c r="H206" s="4"/>
    </row>
    <row r="207" spans="1:8" x14ac:dyDescent="0.25">
      <c r="A207" s="1" t="s">
        <v>215</v>
      </c>
      <c r="B207" s="2">
        <f t="shared" si="6"/>
        <v>1</v>
      </c>
      <c r="C207" s="2">
        <f t="shared" si="7"/>
        <v>2019</v>
      </c>
      <c r="D207" s="4">
        <v>680</v>
      </c>
      <c r="E207" s="4" t="s">
        <v>10</v>
      </c>
      <c r="F207" s="4">
        <v>706.25</v>
      </c>
      <c r="G207" s="4">
        <v>625</v>
      </c>
      <c r="H207" s="4"/>
    </row>
    <row r="208" spans="1:8" x14ac:dyDescent="0.25">
      <c r="A208" s="1" t="s">
        <v>216</v>
      </c>
      <c r="B208" s="2">
        <f t="shared" si="6"/>
        <v>2</v>
      </c>
      <c r="C208" s="2">
        <f t="shared" si="7"/>
        <v>2019</v>
      </c>
      <c r="D208" s="4">
        <v>675</v>
      </c>
      <c r="E208" s="4" t="s">
        <v>10</v>
      </c>
      <c r="F208" s="4">
        <v>706.25</v>
      </c>
      <c r="G208" s="4">
        <v>625</v>
      </c>
      <c r="H208" s="4"/>
    </row>
    <row r="209" spans="1:8" x14ac:dyDescent="0.25">
      <c r="A209" s="1" t="s">
        <v>217</v>
      </c>
      <c r="B209" s="2">
        <f t="shared" si="6"/>
        <v>2</v>
      </c>
      <c r="C209" s="2">
        <f t="shared" si="7"/>
        <v>2019</v>
      </c>
      <c r="D209" s="4">
        <v>674</v>
      </c>
      <c r="E209" s="4" t="s">
        <v>10</v>
      </c>
      <c r="F209" s="4">
        <v>712.5</v>
      </c>
      <c r="G209" s="4">
        <v>625</v>
      </c>
      <c r="H209" s="4"/>
    </row>
    <row r="210" spans="1:8" x14ac:dyDescent="0.25">
      <c r="A210" s="1" t="s">
        <v>218</v>
      </c>
      <c r="B210" s="2">
        <f t="shared" si="6"/>
        <v>2</v>
      </c>
      <c r="C210" s="2">
        <f t="shared" si="7"/>
        <v>2019</v>
      </c>
      <c r="D210" s="4">
        <v>673</v>
      </c>
      <c r="E210" s="4" t="s">
        <v>10</v>
      </c>
      <c r="F210" s="4">
        <v>712.5</v>
      </c>
      <c r="G210" s="4">
        <v>645</v>
      </c>
      <c r="H210" s="4"/>
    </row>
    <row r="211" spans="1:8" x14ac:dyDescent="0.25">
      <c r="A211" s="1" t="s">
        <v>219</v>
      </c>
      <c r="B211" s="2">
        <f t="shared" si="6"/>
        <v>2</v>
      </c>
      <c r="C211" s="2">
        <f t="shared" si="7"/>
        <v>2019</v>
      </c>
      <c r="D211" s="4">
        <v>675</v>
      </c>
      <c r="E211" s="4" t="s">
        <v>10</v>
      </c>
      <c r="F211" s="4">
        <v>710</v>
      </c>
      <c r="G211" s="4">
        <v>650</v>
      </c>
      <c r="H211" s="4"/>
    </row>
    <row r="212" spans="1:8" x14ac:dyDescent="0.25">
      <c r="A212" s="1" t="s">
        <v>220</v>
      </c>
      <c r="B212" s="2">
        <f t="shared" si="6"/>
        <v>2</v>
      </c>
      <c r="C212" s="2">
        <f t="shared" si="7"/>
        <v>2019</v>
      </c>
      <c r="D212" s="4">
        <v>676</v>
      </c>
      <c r="E212" s="4" t="s">
        <v>10</v>
      </c>
      <c r="F212" s="4">
        <v>712.5</v>
      </c>
      <c r="G212" s="4">
        <v>650</v>
      </c>
      <c r="H212" s="4"/>
    </row>
    <row r="213" spans="1:8" x14ac:dyDescent="0.25">
      <c r="A213" s="1" t="s">
        <v>221</v>
      </c>
      <c r="B213" s="2">
        <f t="shared" si="6"/>
        <v>2</v>
      </c>
      <c r="C213" s="2">
        <f t="shared" si="7"/>
        <v>2019</v>
      </c>
      <c r="D213" s="4">
        <v>675</v>
      </c>
      <c r="E213" s="4" t="s">
        <v>10</v>
      </c>
      <c r="F213" s="4">
        <v>712.5</v>
      </c>
      <c r="G213" s="4">
        <v>655</v>
      </c>
      <c r="H213" s="4"/>
    </row>
    <row r="214" spans="1:8" x14ac:dyDescent="0.25">
      <c r="A214" s="1" t="s">
        <v>222</v>
      </c>
      <c r="B214" s="2">
        <f t="shared" si="6"/>
        <v>2</v>
      </c>
      <c r="C214" s="2">
        <f t="shared" si="7"/>
        <v>2019</v>
      </c>
      <c r="D214" s="4">
        <v>674</v>
      </c>
      <c r="E214" s="4" t="s">
        <v>10</v>
      </c>
      <c r="F214" s="4">
        <v>712</v>
      </c>
      <c r="G214" s="4">
        <v>655</v>
      </c>
      <c r="H214" s="4"/>
    </row>
    <row r="215" spans="1:8" x14ac:dyDescent="0.25">
      <c r="A215" s="1" t="s">
        <v>223</v>
      </c>
      <c r="B215" s="2">
        <f t="shared" si="6"/>
        <v>2</v>
      </c>
      <c r="C215" s="2">
        <f t="shared" si="7"/>
        <v>2019</v>
      </c>
      <c r="D215" s="4">
        <v>673</v>
      </c>
      <c r="E215" s="4" t="s">
        <v>10</v>
      </c>
      <c r="F215" s="4">
        <v>705</v>
      </c>
      <c r="G215" s="4">
        <v>655</v>
      </c>
      <c r="H215" s="4"/>
    </row>
    <row r="216" spans="1:8" x14ac:dyDescent="0.25">
      <c r="A216" s="1" t="s">
        <v>224</v>
      </c>
      <c r="B216" s="2">
        <f t="shared" si="6"/>
        <v>2</v>
      </c>
      <c r="C216" s="2">
        <f t="shared" si="7"/>
        <v>2019</v>
      </c>
      <c r="D216" s="4">
        <v>672</v>
      </c>
      <c r="E216" s="4" t="s">
        <v>10</v>
      </c>
      <c r="F216" s="4">
        <v>702.5</v>
      </c>
      <c r="G216" s="4">
        <v>660</v>
      </c>
      <c r="H216" s="4"/>
    </row>
    <row r="217" spans="1:8" x14ac:dyDescent="0.25">
      <c r="A217" s="1" t="s">
        <v>225</v>
      </c>
      <c r="B217" s="2">
        <f t="shared" si="6"/>
        <v>2</v>
      </c>
      <c r="C217" s="2">
        <f t="shared" si="7"/>
        <v>2019</v>
      </c>
      <c r="D217" s="4">
        <v>672</v>
      </c>
      <c r="E217" s="4" t="s">
        <v>10</v>
      </c>
      <c r="F217" s="4">
        <v>702.5</v>
      </c>
      <c r="G217" s="4">
        <v>660</v>
      </c>
      <c r="H217" s="4"/>
    </row>
    <row r="218" spans="1:8" x14ac:dyDescent="0.25">
      <c r="A218" s="1" t="s">
        <v>226</v>
      </c>
      <c r="B218" s="2">
        <f t="shared" si="6"/>
        <v>2</v>
      </c>
      <c r="C218" s="2">
        <f t="shared" si="7"/>
        <v>2019</v>
      </c>
      <c r="D218" s="4">
        <v>670</v>
      </c>
      <c r="E218" s="4" t="s">
        <v>10</v>
      </c>
      <c r="F218" s="4">
        <v>700</v>
      </c>
      <c r="G218" s="4">
        <v>655</v>
      </c>
      <c r="H218" s="4"/>
    </row>
    <row r="219" spans="1:8" x14ac:dyDescent="0.25">
      <c r="A219" s="1" t="s">
        <v>227</v>
      </c>
      <c r="B219" s="2">
        <f t="shared" si="6"/>
        <v>2</v>
      </c>
      <c r="C219" s="2">
        <f t="shared" si="7"/>
        <v>2019</v>
      </c>
      <c r="D219" s="4">
        <v>669</v>
      </c>
      <c r="E219" s="4" t="s">
        <v>10</v>
      </c>
      <c r="F219" s="4">
        <v>695</v>
      </c>
      <c r="G219" s="4">
        <v>660</v>
      </c>
      <c r="H219" s="4"/>
    </row>
    <row r="220" spans="1:8" x14ac:dyDescent="0.25">
      <c r="A220" s="1" t="s">
        <v>228</v>
      </c>
      <c r="B220" s="2">
        <f t="shared" si="6"/>
        <v>2</v>
      </c>
      <c r="C220" s="2">
        <f t="shared" si="7"/>
        <v>2019</v>
      </c>
      <c r="D220" s="4">
        <v>669</v>
      </c>
      <c r="E220" s="4" t="s">
        <v>10</v>
      </c>
      <c r="F220" s="4">
        <v>700</v>
      </c>
      <c r="G220" s="4">
        <v>660</v>
      </c>
      <c r="H220" s="4"/>
    </row>
    <row r="221" spans="1:8" x14ac:dyDescent="0.25">
      <c r="A221" s="1" t="s">
        <v>229</v>
      </c>
      <c r="B221" s="2">
        <f t="shared" si="6"/>
        <v>2</v>
      </c>
      <c r="C221" s="2">
        <f t="shared" si="7"/>
        <v>2019</v>
      </c>
      <c r="D221" s="4">
        <v>669</v>
      </c>
      <c r="E221" s="4" t="s">
        <v>10</v>
      </c>
      <c r="F221" s="4">
        <v>700</v>
      </c>
      <c r="G221" s="4">
        <v>660</v>
      </c>
      <c r="H221" s="4"/>
    </row>
    <row r="222" spans="1:8" x14ac:dyDescent="0.25">
      <c r="A222" s="1" t="s">
        <v>230</v>
      </c>
      <c r="B222" s="2">
        <f t="shared" si="6"/>
        <v>2</v>
      </c>
      <c r="C222" s="2">
        <f t="shared" si="7"/>
        <v>2019</v>
      </c>
      <c r="D222" s="4">
        <v>673</v>
      </c>
      <c r="E222" s="4" t="s">
        <v>10</v>
      </c>
      <c r="F222" s="4">
        <v>700</v>
      </c>
      <c r="G222" s="4">
        <v>660</v>
      </c>
      <c r="H222" s="4"/>
    </row>
    <row r="223" spans="1:8" x14ac:dyDescent="0.25">
      <c r="A223" s="1" t="s">
        <v>231</v>
      </c>
      <c r="B223" s="2">
        <f t="shared" si="6"/>
        <v>2</v>
      </c>
      <c r="C223" s="2">
        <f t="shared" si="7"/>
        <v>2019</v>
      </c>
      <c r="D223" s="4">
        <v>675</v>
      </c>
      <c r="E223" s="4" t="s">
        <v>10</v>
      </c>
      <c r="F223" s="4">
        <v>700</v>
      </c>
      <c r="G223" s="4">
        <v>655</v>
      </c>
      <c r="H223" s="4"/>
    </row>
    <row r="224" spans="1:8" x14ac:dyDescent="0.25">
      <c r="A224" s="1" t="s">
        <v>232</v>
      </c>
      <c r="B224" s="2">
        <f t="shared" si="6"/>
        <v>2</v>
      </c>
      <c r="C224" s="2">
        <f t="shared" si="7"/>
        <v>2019</v>
      </c>
      <c r="D224" s="4">
        <v>675</v>
      </c>
      <c r="E224" s="4" t="s">
        <v>10</v>
      </c>
      <c r="F224" s="4">
        <v>705</v>
      </c>
      <c r="G224" s="4">
        <v>655</v>
      </c>
      <c r="H224" s="4"/>
    </row>
    <row r="225" spans="1:8" x14ac:dyDescent="0.25">
      <c r="A225" s="1" t="s">
        <v>233</v>
      </c>
      <c r="B225" s="2">
        <f t="shared" si="6"/>
        <v>2</v>
      </c>
      <c r="C225" s="2">
        <f t="shared" si="7"/>
        <v>2019</v>
      </c>
      <c r="D225" s="4">
        <v>666</v>
      </c>
      <c r="E225" s="4" t="s">
        <v>10</v>
      </c>
      <c r="F225" s="4">
        <v>705</v>
      </c>
      <c r="G225" s="4">
        <v>655</v>
      </c>
      <c r="H225" s="4"/>
    </row>
    <row r="226" spans="1:8" x14ac:dyDescent="0.25">
      <c r="A226" s="1" t="s">
        <v>234</v>
      </c>
      <c r="B226" s="2">
        <f t="shared" si="6"/>
        <v>2</v>
      </c>
      <c r="C226" s="2">
        <f t="shared" si="7"/>
        <v>2019</v>
      </c>
      <c r="D226" s="4">
        <v>663</v>
      </c>
      <c r="E226" s="4" t="s">
        <v>10</v>
      </c>
      <c r="F226" s="4">
        <v>705</v>
      </c>
      <c r="G226" s="4">
        <v>655</v>
      </c>
      <c r="H226" s="4"/>
    </row>
    <row r="227" spans="1:8" x14ac:dyDescent="0.25">
      <c r="A227" s="1" t="s">
        <v>235</v>
      </c>
      <c r="B227" s="2">
        <f t="shared" si="6"/>
        <v>2</v>
      </c>
      <c r="C227" s="2">
        <f t="shared" si="7"/>
        <v>2019</v>
      </c>
      <c r="D227" s="4">
        <v>659</v>
      </c>
      <c r="E227" s="4" t="s">
        <v>10</v>
      </c>
      <c r="F227" s="4">
        <v>690</v>
      </c>
      <c r="G227" s="4">
        <v>655</v>
      </c>
      <c r="H227" s="4"/>
    </row>
    <row r="228" spans="1:8" x14ac:dyDescent="0.25">
      <c r="A228" s="1" t="s">
        <v>236</v>
      </c>
      <c r="B228" s="2">
        <f t="shared" si="6"/>
        <v>3</v>
      </c>
      <c r="C228" s="2">
        <f t="shared" si="7"/>
        <v>2019</v>
      </c>
      <c r="D228" s="4">
        <v>665</v>
      </c>
      <c r="E228" s="4" t="s">
        <v>10</v>
      </c>
      <c r="F228" s="4">
        <v>700</v>
      </c>
      <c r="G228" s="4">
        <v>655</v>
      </c>
      <c r="H228" s="4"/>
    </row>
    <row r="229" spans="1:8" x14ac:dyDescent="0.25">
      <c r="A229" s="1" t="s">
        <v>237</v>
      </c>
      <c r="B229" s="2">
        <f t="shared" si="6"/>
        <v>3</v>
      </c>
      <c r="C229" s="2">
        <f t="shared" si="7"/>
        <v>2019</v>
      </c>
      <c r="D229" s="4">
        <v>664</v>
      </c>
      <c r="E229" s="4" t="s">
        <v>10</v>
      </c>
      <c r="F229" s="4">
        <v>705</v>
      </c>
      <c r="G229" s="4" t="s">
        <v>10</v>
      </c>
      <c r="H229" s="4"/>
    </row>
    <row r="230" spans="1:8" x14ac:dyDescent="0.25">
      <c r="A230" s="1" t="s">
        <v>238</v>
      </c>
      <c r="B230" s="2">
        <f t="shared" si="6"/>
        <v>3</v>
      </c>
      <c r="C230" s="2">
        <f t="shared" si="7"/>
        <v>2019</v>
      </c>
      <c r="D230" s="4">
        <v>666</v>
      </c>
      <c r="E230" s="4" t="s">
        <v>10</v>
      </c>
      <c r="F230" s="4">
        <v>705</v>
      </c>
      <c r="G230" s="4" t="s">
        <v>10</v>
      </c>
      <c r="H230" s="4"/>
    </row>
    <row r="231" spans="1:8" x14ac:dyDescent="0.25">
      <c r="A231" s="1" t="s">
        <v>239</v>
      </c>
      <c r="B231" s="2">
        <f t="shared" si="6"/>
        <v>3</v>
      </c>
      <c r="C231" s="2">
        <f t="shared" si="7"/>
        <v>2019</v>
      </c>
      <c r="D231" s="4">
        <v>666</v>
      </c>
      <c r="E231" s="4" t="s">
        <v>10</v>
      </c>
      <c r="F231" s="4">
        <v>700</v>
      </c>
      <c r="G231" s="4">
        <v>650</v>
      </c>
      <c r="H231" s="4"/>
    </row>
    <row r="232" spans="1:8" x14ac:dyDescent="0.25">
      <c r="A232" s="1" t="s">
        <v>240</v>
      </c>
      <c r="B232" s="2">
        <f t="shared" si="6"/>
        <v>3</v>
      </c>
      <c r="C232" s="2">
        <f t="shared" si="7"/>
        <v>2019</v>
      </c>
      <c r="D232" s="4">
        <v>665</v>
      </c>
      <c r="E232" s="4" t="s">
        <v>10</v>
      </c>
      <c r="F232" s="4">
        <v>700</v>
      </c>
      <c r="G232" s="4">
        <v>645</v>
      </c>
      <c r="H232" s="4"/>
    </row>
    <row r="233" spans="1:8" x14ac:dyDescent="0.25">
      <c r="A233" s="1" t="s">
        <v>241</v>
      </c>
      <c r="B233" s="2">
        <f t="shared" si="6"/>
        <v>3</v>
      </c>
      <c r="C233" s="2">
        <f t="shared" si="7"/>
        <v>2019</v>
      </c>
      <c r="D233" s="4">
        <v>665</v>
      </c>
      <c r="E233" s="4" t="s">
        <v>10</v>
      </c>
      <c r="F233" s="4">
        <v>702.5</v>
      </c>
      <c r="G233" s="4">
        <v>645</v>
      </c>
      <c r="H233" s="4"/>
    </row>
    <row r="234" spans="1:8" x14ac:dyDescent="0.25">
      <c r="A234" s="1" t="s">
        <v>242</v>
      </c>
      <c r="B234" s="2">
        <f t="shared" si="6"/>
        <v>3</v>
      </c>
      <c r="C234" s="2">
        <f t="shared" si="7"/>
        <v>2019</v>
      </c>
      <c r="D234" s="4">
        <v>666</v>
      </c>
      <c r="E234" s="4" t="s">
        <v>10</v>
      </c>
      <c r="F234" s="4">
        <v>700</v>
      </c>
      <c r="G234" s="4">
        <v>645</v>
      </c>
      <c r="H234" s="4"/>
    </row>
    <row r="235" spans="1:8" x14ac:dyDescent="0.25">
      <c r="A235" s="1" t="s">
        <v>243</v>
      </c>
      <c r="B235" s="2">
        <f t="shared" si="6"/>
        <v>3</v>
      </c>
      <c r="C235" s="2">
        <f t="shared" si="7"/>
        <v>2019</v>
      </c>
      <c r="D235" s="4">
        <v>666.5</v>
      </c>
      <c r="E235" s="4" t="s">
        <v>10</v>
      </c>
      <c r="F235" s="4">
        <v>704</v>
      </c>
      <c r="G235" s="4">
        <v>645</v>
      </c>
      <c r="H235" s="4"/>
    </row>
    <row r="236" spans="1:8" x14ac:dyDescent="0.25">
      <c r="A236" s="1" t="s">
        <v>244</v>
      </c>
      <c r="B236" s="2">
        <f t="shared" si="6"/>
        <v>3</v>
      </c>
      <c r="C236" s="2">
        <f t="shared" si="7"/>
        <v>2019</v>
      </c>
      <c r="D236" s="4">
        <v>668</v>
      </c>
      <c r="E236" s="4" t="s">
        <v>10</v>
      </c>
      <c r="F236" s="4">
        <v>710</v>
      </c>
      <c r="G236" s="4">
        <v>640</v>
      </c>
      <c r="H236" s="4"/>
    </row>
    <row r="237" spans="1:8" x14ac:dyDescent="0.25">
      <c r="A237" s="1" t="s">
        <v>245</v>
      </c>
      <c r="B237" s="2">
        <f t="shared" si="6"/>
        <v>3</v>
      </c>
      <c r="C237" s="2">
        <f t="shared" si="7"/>
        <v>2019</v>
      </c>
      <c r="D237" s="4">
        <v>663</v>
      </c>
      <c r="E237" s="4" t="s">
        <v>10</v>
      </c>
      <c r="F237" s="4">
        <v>700</v>
      </c>
      <c r="G237" s="4">
        <v>640</v>
      </c>
      <c r="H237" s="4"/>
    </row>
    <row r="238" spans="1:8" x14ac:dyDescent="0.25">
      <c r="A238" s="1" t="s">
        <v>246</v>
      </c>
      <c r="B238" s="2">
        <f t="shared" si="6"/>
        <v>3</v>
      </c>
      <c r="C238" s="2">
        <f t="shared" si="7"/>
        <v>2019</v>
      </c>
      <c r="D238" s="4">
        <v>662</v>
      </c>
      <c r="E238" s="4" t="s">
        <v>10</v>
      </c>
      <c r="F238" s="4">
        <v>695</v>
      </c>
      <c r="G238" s="4">
        <v>640</v>
      </c>
      <c r="H238" s="4"/>
    </row>
    <row r="239" spans="1:8" x14ac:dyDescent="0.25">
      <c r="A239" s="1" t="s">
        <v>247</v>
      </c>
      <c r="B239" s="2">
        <f t="shared" si="6"/>
        <v>3</v>
      </c>
      <c r="C239" s="2">
        <f t="shared" si="7"/>
        <v>2019</v>
      </c>
      <c r="D239" s="4">
        <v>662</v>
      </c>
      <c r="E239" s="4" t="s">
        <v>10</v>
      </c>
      <c r="F239" s="4">
        <v>697.5</v>
      </c>
      <c r="G239" s="4">
        <v>640</v>
      </c>
      <c r="H239" s="4"/>
    </row>
    <row r="240" spans="1:8" x14ac:dyDescent="0.25">
      <c r="A240" s="1" t="s">
        <v>248</v>
      </c>
      <c r="B240" s="2">
        <f t="shared" si="6"/>
        <v>3</v>
      </c>
      <c r="C240" s="2">
        <f t="shared" si="7"/>
        <v>2019</v>
      </c>
      <c r="D240" s="4">
        <v>660</v>
      </c>
      <c r="E240" s="4" t="s">
        <v>10</v>
      </c>
      <c r="F240" s="4">
        <v>697.5</v>
      </c>
      <c r="G240" s="4">
        <v>640</v>
      </c>
      <c r="H240" s="4"/>
    </row>
    <row r="241" spans="1:8" x14ac:dyDescent="0.25">
      <c r="A241" s="1" t="s">
        <v>249</v>
      </c>
      <c r="B241" s="2">
        <f t="shared" si="6"/>
        <v>3</v>
      </c>
      <c r="C241" s="2">
        <f t="shared" si="7"/>
        <v>2019</v>
      </c>
      <c r="D241" s="4">
        <v>658</v>
      </c>
      <c r="E241" s="4" t="s">
        <v>10</v>
      </c>
      <c r="F241" s="4">
        <v>690</v>
      </c>
      <c r="G241" s="4">
        <v>640</v>
      </c>
      <c r="H241" s="4"/>
    </row>
    <row r="242" spans="1:8" x14ac:dyDescent="0.25">
      <c r="A242" s="1" t="s">
        <v>250</v>
      </c>
      <c r="B242" s="2">
        <f t="shared" si="6"/>
        <v>3</v>
      </c>
      <c r="C242" s="2">
        <f t="shared" si="7"/>
        <v>2019</v>
      </c>
      <c r="D242" s="4">
        <v>657</v>
      </c>
      <c r="E242" s="4" t="s">
        <v>10</v>
      </c>
      <c r="F242" s="4">
        <v>690</v>
      </c>
      <c r="G242" s="4">
        <v>640</v>
      </c>
      <c r="H242" s="4"/>
    </row>
    <row r="243" spans="1:8" x14ac:dyDescent="0.25">
      <c r="A243" s="1" t="s">
        <v>251</v>
      </c>
      <c r="B243" s="2">
        <f t="shared" si="6"/>
        <v>3</v>
      </c>
      <c r="C243" s="2">
        <f t="shared" si="7"/>
        <v>2019</v>
      </c>
      <c r="D243" s="4">
        <v>659</v>
      </c>
      <c r="E243" s="4" t="s">
        <v>10</v>
      </c>
      <c r="F243" s="4">
        <v>695</v>
      </c>
      <c r="G243" s="4">
        <v>640</v>
      </c>
      <c r="H243" s="4"/>
    </row>
    <row r="244" spans="1:8" x14ac:dyDescent="0.25">
      <c r="A244" s="1" t="s">
        <v>252</v>
      </c>
      <c r="B244" s="2">
        <f t="shared" si="6"/>
        <v>3</v>
      </c>
      <c r="C244" s="2">
        <f t="shared" si="7"/>
        <v>2019</v>
      </c>
      <c r="D244" s="4">
        <v>657</v>
      </c>
      <c r="E244" s="4" t="s">
        <v>10</v>
      </c>
      <c r="F244" s="4">
        <v>685</v>
      </c>
      <c r="G244" s="4">
        <v>640</v>
      </c>
      <c r="H244" s="4"/>
    </row>
    <row r="245" spans="1:8" x14ac:dyDescent="0.25">
      <c r="A245" s="1" t="s">
        <v>253</v>
      </c>
      <c r="B245" s="2">
        <f t="shared" si="6"/>
        <v>3</v>
      </c>
      <c r="C245" s="2">
        <f t="shared" si="7"/>
        <v>2019</v>
      </c>
      <c r="D245" s="4">
        <v>656</v>
      </c>
      <c r="E245" s="4" t="s">
        <v>10</v>
      </c>
      <c r="F245" s="4">
        <v>692.5</v>
      </c>
      <c r="G245" s="4">
        <v>640</v>
      </c>
      <c r="H245" s="4"/>
    </row>
    <row r="246" spans="1:8" x14ac:dyDescent="0.25">
      <c r="A246" s="1" t="s">
        <v>254</v>
      </c>
      <c r="B246" s="2">
        <f t="shared" si="6"/>
        <v>3</v>
      </c>
      <c r="C246" s="2">
        <f t="shared" si="7"/>
        <v>2019</v>
      </c>
      <c r="D246" s="4">
        <v>655</v>
      </c>
      <c r="E246" s="4" t="s">
        <v>10</v>
      </c>
      <c r="F246" s="4">
        <v>692.5</v>
      </c>
      <c r="G246" s="4">
        <v>640</v>
      </c>
      <c r="H246" s="4"/>
    </row>
    <row r="247" spans="1:8" x14ac:dyDescent="0.25">
      <c r="A247" s="1" t="s">
        <v>255</v>
      </c>
      <c r="B247" s="2">
        <f t="shared" si="6"/>
        <v>3</v>
      </c>
      <c r="C247" s="2">
        <f t="shared" si="7"/>
        <v>2019</v>
      </c>
      <c r="D247" s="4">
        <v>654</v>
      </c>
      <c r="E247" s="4" t="s">
        <v>10</v>
      </c>
      <c r="F247" s="4">
        <v>689</v>
      </c>
      <c r="G247" s="4">
        <v>640</v>
      </c>
      <c r="H247" s="4"/>
    </row>
    <row r="248" spans="1:8" x14ac:dyDescent="0.25">
      <c r="A248" s="1" t="s">
        <v>256</v>
      </c>
      <c r="B248" s="2">
        <f t="shared" si="6"/>
        <v>3</v>
      </c>
      <c r="C248" s="2">
        <f t="shared" si="7"/>
        <v>2019</v>
      </c>
      <c r="D248" s="4">
        <v>652</v>
      </c>
      <c r="E248" s="4" t="s">
        <v>10</v>
      </c>
      <c r="F248" s="4">
        <v>682.5</v>
      </c>
      <c r="G248" s="4">
        <v>640</v>
      </c>
      <c r="H248" s="4"/>
    </row>
    <row r="249" spans="1:8" x14ac:dyDescent="0.25">
      <c r="A249" s="1" t="s">
        <v>257</v>
      </c>
      <c r="B249" s="2">
        <f t="shared" si="6"/>
        <v>4</v>
      </c>
      <c r="C249" s="2">
        <f t="shared" si="7"/>
        <v>2019</v>
      </c>
      <c r="D249" s="4">
        <v>651</v>
      </c>
      <c r="E249" s="4" t="s">
        <v>10</v>
      </c>
      <c r="F249" s="4">
        <v>682.5</v>
      </c>
      <c r="G249" s="4">
        <v>630</v>
      </c>
      <c r="H249" s="4"/>
    </row>
    <row r="250" spans="1:8" x14ac:dyDescent="0.25">
      <c r="A250" s="1" t="s">
        <v>258</v>
      </c>
      <c r="B250" s="2">
        <f t="shared" si="6"/>
        <v>4</v>
      </c>
      <c r="C250" s="2">
        <f t="shared" si="7"/>
        <v>2019</v>
      </c>
      <c r="D250" s="4">
        <v>653</v>
      </c>
      <c r="E250" s="4" t="s">
        <v>10</v>
      </c>
      <c r="F250" s="4">
        <v>687.5</v>
      </c>
      <c r="G250" s="4" t="s">
        <v>10</v>
      </c>
      <c r="H250" s="4"/>
    </row>
    <row r="251" spans="1:8" x14ac:dyDescent="0.25">
      <c r="A251" s="1" t="s">
        <v>259</v>
      </c>
      <c r="B251" s="2">
        <f t="shared" si="6"/>
        <v>4</v>
      </c>
      <c r="C251" s="2">
        <f t="shared" si="7"/>
        <v>2019</v>
      </c>
      <c r="D251" s="4">
        <v>655</v>
      </c>
      <c r="E251" s="4" t="s">
        <v>10</v>
      </c>
      <c r="F251" s="4">
        <v>687.5</v>
      </c>
      <c r="G251" s="4">
        <v>628</v>
      </c>
      <c r="H251" s="4"/>
    </row>
    <row r="252" spans="1:8" x14ac:dyDescent="0.25">
      <c r="A252" s="1" t="s">
        <v>260</v>
      </c>
      <c r="B252" s="2">
        <f t="shared" si="6"/>
        <v>4</v>
      </c>
      <c r="C252" s="2">
        <f t="shared" si="7"/>
        <v>2019</v>
      </c>
      <c r="D252" s="4">
        <v>655</v>
      </c>
      <c r="E252" s="4" t="s">
        <v>10</v>
      </c>
      <c r="F252" s="4">
        <v>689</v>
      </c>
      <c r="G252" s="4">
        <v>635</v>
      </c>
      <c r="H252" s="4"/>
    </row>
    <row r="253" spans="1:8" x14ac:dyDescent="0.25">
      <c r="A253" s="1" t="s">
        <v>261</v>
      </c>
      <c r="B253" s="2">
        <f t="shared" si="6"/>
        <v>4</v>
      </c>
      <c r="C253" s="2">
        <f t="shared" si="7"/>
        <v>2019</v>
      </c>
      <c r="D253" s="4">
        <v>661</v>
      </c>
      <c r="E253" s="4" t="s">
        <v>10</v>
      </c>
      <c r="F253" s="4">
        <v>692.5</v>
      </c>
      <c r="G253" s="4">
        <v>635</v>
      </c>
      <c r="H253" s="4"/>
    </row>
    <row r="254" spans="1:8" x14ac:dyDescent="0.25">
      <c r="A254" s="1" t="s">
        <v>262</v>
      </c>
      <c r="B254" s="2">
        <f t="shared" si="6"/>
        <v>4</v>
      </c>
      <c r="C254" s="2">
        <f t="shared" si="7"/>
        <v>2019</v>
      </c>
      <c r="D254" s="4">
        <v>660</v>
      </c>
      <c r="E254" s="4" t="s">
        <v>10</v>
      </c>
      <c r="F254" s="4">
        <v>695</v>
      </c>
      <c r="G254" s="4">
        <v>635</v>
      </c>
      <c r="H254" s="4"/>
    </row>
    <row r="255" spans="1:8" x14ac:dyDescent="0.25">
      <c r="A255" s="1" t="s">
        <v>263</v>
      </c>
      <c r="B255" s="2">
        <f t="shared" si="6"/>
        <v>4</v>
      </c>
      <c r="C255" s="2">
        <f t="shared" si="7"/>
        <v>2019</v>
      </c>
      <c r="D255" s="4">
        <v>662</v>
      </c>
      <c r="E255" s="4" t="s">
        <v>10</v>
      </c>
      <c r="F255" s="4">
        <v>695</v>
      </c>
      <c r="G255" s="4">
        <v>642</v>
      </c>
      <c r="H255" s="4"/>
    </row>
    <row r="256" spans="1:8" x14ac:dyDescent="0.25">
      <c r="A256" s="1" t="s">
        <v>264</v>
      </c>
      <c r="B256" s="2">
        <f t="shared" si="6"/>
        <v>4</v>
      </c>
      <c r="C256" s="2">
        <f t="shared" si="7"/>
        <v>2019</v>
      </c>
      <c r="D256" s="4">
        <v>660</v>
      </c>
      <c r="E256" s="4" t="s">
        <v>10</v>
      </c>
      <c r="F256" s="4">
        <v>695</v>
      </c>
      <c r="G256" s="4">
        <v>642</v>
      </c>
      <c r="H256" s="4"/>
    </row>
    <row r="257" spans="1:8" x14ac:dyDescent="0.25">
      <c r="A257" s="1" t="s">
        <v>265</v>
      </c>
      <c r="B257" s="2">
        <f t="shared" si="6"/>
        <v>4</v>
      </c>
      <c r="C257" s="2">
        <f t="shared" si="7"/>
        <v>2019</v>
      </c>
      <c r="D257" s="4">
        <v>660</v>
      </c>
      <c r="E257" s="4" t="s">
        <v>10</v>
      </c>
      <c r="F257" s="4">
        <v>695</v>
      </c>
      <c r="G257" s="4">
        <v>642</v>
      </c>
      <c r="H257" s="4"/>
    </row>
    <row r="258" spans="1:8" x14ac:dyDescent="0.25">
      <c r="A258" s="1" t="s">
        <v>266</v>
      </c>
      <c r="B258" s="2">
        <f t="shared" si="6"/>
        <v>4</v>
      </c>
      <c r="C258" s="2">
        <f t="shared" si="7"/>
        <v>2019</v>
      </c>
      <c r="D258" s="4">
        <v>661</v>
      </c>
      <c r="E258" s="4" t="s">
        <v>10</v>
      </c>
      <c r="F258" s="4">
        <v>695</v>
      </c>
      <c r="G258" s="4">
        <v>640</v>
      </c>
      <c r="H258" s="4"/>
    </row>
    <row r="259" spans="1:8" x14ac:dyDescent="0.25">
      <c r="A259" s="1" t="s">
        <v>267</v>
      </c>
      <c r="B259" s="2">
        <f t="shared" ref="B259:B322" si="8">MONTH(A259)</f>
        <v>4</v>
      </c>
      <c r="C259" s="2">
        <f t="shared" ref="C259:C322" si="9">YEAR(A259)</f>
        <v>2019</v>
      </c>
      <c r="D259" s="4">
        <v>664</v>
      </c>
      <c r="E259" s="4" t="s">
        <v>10</v>
      </c>
      <c r="F259" s="4">
        <v>695</v>
      </c>
      <c r="G259" s="4">
        <v>640</v>
      </c>
      <c r="H259" s="4"/>
    </row>
    <row r="260" spans="1:8" x14ac:dyDescent="0.25">
      <c r="A260" s="1" t="s">
        <v>268</v>
      </c>
      <c r="B260" s="2">
        <f t="shared" si="8"/>
        <v>4</v>
      </c>
      <c r="C260" s="2">
        <f t="shared" si="9"/>
        <v>2019</v>
      </c>
      <c r="D260" s="4">
        <v>665</v>
      </c>
      <c r="E260" s="4" t="s">
        <v>10</v>
      </c>
      <c r="F260" s="4">
        <v>700</v>
      </c>
      <c r="G260" s="4">
        <v>635</v>
      </c>
      <c r="H260" s="4"/>
    </row>
    <row r="261" spans="1:8" x14ac:dyDescent="0.25">
      <c r="A261" s="1" t="s">
        <v>269</v>
      </c>
      <c r="B261" s="2">
        <f t="shared" si="8"/>
        <v>4</v>
      </c>
      <c r="C261" s="2">
        <f t="shared" si="9"/>
        <v>2019</v>
      </c>
      <c r="D261" s="4">
        <v>668</v>
      </c>
      <c r="E261" s="4" t="s">
        <v>10</v>
      </c>
      <c r="F261" s="4">
        <v>697.5</v>
      </c>
      <c r="G261" s="4">
        <v>635</v>
      </c>
      <c r="H261" s="4"/>
    </row>
    <row r="262" spans="1:8" x14ac:dyDescent="0.25">
      <c r="A262" s="1" t="s">
        <v>270</v>
      </c>
      <c r="B262" s="2">
        <f t="shared" si="8"/>
        <v>4</v>
      </c>
      <c r="C262" s="2">
        <f t="shared" si="9"/>
        <v>2019</v>
      </c>
      <c r="D262" s="4">
        <v>669</v>
      </c>
      <c r="E262" s="4" t="s">
        <v>10</v>
      </c>
      <c r="F262" s="4">
        <v>705</v>
      </c>
      <c r="G262" s="4">
        <v>637</v>
      </c>
      <c r="H262" s="4"/>
    </row>
    <row r="263" spans="1:8" x14ac:dyDescent="0.25">
      <c r="A263" s="1" t="s">
        <v>271</v>
      </c>
      <c r="B263" s="2">
        <f t="shared" si="8"/>
        <v>4</v>
      </c>
      <c r="C263" s="2">
        <f t="shared" si="9"/>
        <v>2019</v>
      </c>
      <c r="D263" s="4">
        <v>666</v>
      </c>
      <c r="E263" s="4" t="s">
        <v>10</v>
      </c>
      <c r="F263" s="4">
        <v>705</v>
      </c>
      <c r="G263" s="4">
        <v>645</v>
      </c>
      <c r="H263" s="4"/>
    </row>
    <row r="264" spans="1:8" x14ac:dyDescent="0.25">
      <c r="A264" s="1" t="s">
        <v>272</v>
      </c>
      <c r="B264" s="2">
        <f t="shared" si="8"/>
        <v>4</v>
      </c>
      <c r="C264" s="2">
        <f t="shared" si="9"/>
        <v>2019</v>
      </c>
      <c r="D264" s="4">
        <v>667</v>
      </c>
      <c r="E264" s="4" t="s">
        <v>10</v>
      </c>
      <c r="F264" s="4">
        <v>705</v>
      </c>
      <c r="G264" s="4">
        <v>650</v>
      </c>
      <c r="H264" s="4"/>
    </row>
    <row r="265" spans="1:8" x14ac:dyDescent="0.25">
      <c r="A265" s="1" t="s">
        <v>273</v>
      </c>
      <c r="B265" s="2">
        <f t="shared" si="8"/>
        <v>4</v>
      </c>
      <c r="C265" s="2">
        <f t="shared" si="9"/>
        <v>2019</v>
      </c>
      <c r="D265" s="4">
        <v>667</v>
      </c>
      <c r="E265" s="4" t="s">
        <v>10</v>
      </c>
      <c r="F265" s="4">
        <v>705</v>
      </c>
      <c r="G265" s="4">
        <v>650</v>
      </c>
      <c r="H265" s="4"/>
    </row>
    <row r="266" spans="1:8" x14ac:dyDescent="0.25">
      <c r="A266" s="1" t="s">
        <v>274</v>
      </c>
      <c r="B266" s="2">
        <f t="shared" si="8"/>
        <v>4</v>
      </c>
      <c r="C266" s="2">
        <f t="shared" si="9"/>
        <v>2019</v>
      </c>
      <c r="D266" s="4">
        <v>667</v>
      </c>
      <c r="E266" s="4" t="s">
        <v>10</v>
      </c>
      <c r="F266" s="4">
        <v>705</v>
      </c>
      <c r="G266" s="4">
        <v>650</v>
      </c>
      <c r="H266" s="4"/>
    </row>
    <row r="267" spans="1:8" x14ac:dyDescent="0.25">
      <c r="A267" s="1" t="s">
        <v>275</v>
      </c>
      <c r="B267" s="2">
        <f t="shared" si="8"/>
        <v>4</v>
      </c>
      <c r="C267" s="2">
        <f t="shared" si="9"/>
        <v>2019</v>
      </c>
      <c r="D267" s="4">
        <v>667</v>
      </c>
      <c r="E267" s="4" t="s">
        <v>10</v>
      </c>
      <c r="F267" s="4">
        <v>702.5</v>
      </c>
      <c r="G267" s="4">
        <v>650</v>
      </c>
      <c r="H267" s="4"/>
    </row>
    <row r="268" spans="1:8" x14ac:dyDescent="0.25">
      <c r="A268" s="1" t="s">
        <v>276</v>
      </c>
      <c r="B268" s="2">
        <f t="shared" si="8"/>
        <v>4</v>
      </c>
      <c r="C268" s="2">
        <f t="shared" si="9"/>
        <v>2019</v>
      </c>
      <c r="D268" s="4">
        <v>669</v>
      </c>
      <c r="E268" s="4" t="s">
        <v>10</v>
      </c>
      <c r="F268" s="4">
        <v>702.5</v>
      </c>
      <c r="G268" s="4">
        <v>650</v>
      </c>
      <c r="H268" s="4"/>
    </row>
    <row r="269" spans="1:8" x14ac:dyDescent="0.25">
      <c r="A269" s="1" t="s">
        <v>277</v>
      </c>
      <c r="B269" s="2">
        <f t="shared" si="8"/>
        <v>5</v>
      </c>
      <c r="C269" s="2">
        <f t="shared" si="9"/>
        <v>2019</v>
      </c>
      <c r="D269" s="4">
        <v>669</v>
      </c>
      <c r="E269" s="4" t="s">
        <v>10</v>
      </c>
      <c r="F269" s="4" t="s">
        <v>10</v>
      </c>
      <c r="G269" s="4" t="s">
        <v>10</v>
      </c>
      <c r="H269" s="4"/>
    </row>
    <row r="270" spans="1:8" x14ac:dyDescent="0.25">
      <c r="A270" s="1" t="s">
        <v>278</v>
      </c>
      <c r="B270" s="2">
        <f t="shared" si="8"/>
        <v>5</v>
      </c>
      <c r="C270" s="2">
        <f t="shared" si="9"/>
        <v>2019</v>
      </c>
      <c r="D270" s="4">
        <v>669</v>
      </c>
      <c r="E270" s="4" t="s">
        <v>10</v>
      </c>
      <c r="F270" s="4">
        <v>705</v>
      </c>
      <c r="G270" s="4">
        <v>650</v>
      </c>
      <c r="H270" s="4"/>
    </row>
    <row r="271" spans="1:8" x14ac:dyDescent="0.25">
      <c r="A271" s="1" t="s">
        <v>279</v>
      </c>
      <c r="B271" s="2">
        <f t="shared" si="8"/>
        <v>5</v>
      </c>
      <c r="C271" s="2">
        <f t="shared" si="9"/>
        <v>2019</v>
      </c>
      <c r="D271" s="4">
        <v>670</v>
      </c>
      <c r="E271" s="4" t="s">
        <v>10</v>
      </c>
      <c r="F271" s="4">
        <v>705</v>
      </c>
      <c r="G271" s="4">
        <v>655</v>
      </c>
      <c r="H271" s="4"/>
    </row>
    <row r="272" spans="1:8" x14ac:dyDescent="0.25">
      <c r="A272" s="1" t="s">
        <v>280</v>
      </c>
      <c r="B272" s="2">
        <f t="shared" si="8"/>
        <v>5</v>
      </c>
      <c r="C272" s="2">
        <f t="shared" si="9"/>
        <v>2019</v>
      </c>
      <c r="D272" s="4">
        <v>666</v>
      </c>
      <c r="E272" s="4" t="s">
        <v>10</v>
      </c>
      <c r="F272" s="4">
        <v>705</v>
      </c>
      <c r="G272" s="4">
        <v>650</v>
      </c>
      <c r="H272" s="4"/>
    </row>
    <row r="273" spans="1:8" x14ac:dyDescent="0.25">
      <c r="A273" s="1" t="s">
        <v>281</v>
      </c>
      <c r="B273" s="2">
        <f t="shared" si="8"/>
        <v>5</v>
      </c>
      <c r="C273" s="2">
        <f t="shared" si="9"/>
        <v>2019</v>
      </c>
      <c r="D273" s="4">
        <v>670</v>
      </c>
      <c r="E273" s="4" t="s">
        <v>10</v>
      </c>
      <c r="F273" s="4">
        <v>705</v>
      </c>
      <c r="G273" s="4">
        <v>650</v>
      </c>
      <c r="H273" s="4"/>
    </row>
    <row r="274" spans="1:8" x14ac:dyDescent="0.25">
      <c r="A274" s="1" t="s">
        <v>282</v>
      </c>
      <c r="B274" s="2">
        <f t="shared" si="8"/>
        <v>5</v>
      </c>
      <c r="C274" s="2">
        <f t="shared" si="9"/>
        <v>2019</v>
      </c>
      <c r="D274" s="4">
        <v>668</v>
      </c>
      <c r="E274" s="4" t="s">
        <v>10</v>
      </c>
      <c r="F274" s="4">
        <v>705</v>
      </c>
      <c r="G274" s="4">
        <v>650</v>
      </c>
      <c r="H274" s="4"/>
    </row>
    <row r="275" spans="1:8" x14ac:dyDescent="0.25">
      <c r="A275" s="1" t="s">
        <v>283</v>
      </c>
      <c r="B275" s="2">
        <f t="shared" si="8"/>
        <v>5</v>
      </c>
      <c r="C275" s="2">
        <f t="shared" si="9"/>
        <v>2019</v>
      </c>
      <c r="D275" s="4">
        <v>675</v>
      </c>
      <c r="E275" s="4" t="s">
        <v>10</v>
      </c>
      <c r="F275" s="4">
        <v>710</v>
      </c>
      <c r="G275" s="4">
        <v>650</v>
      </c>
      <c r="H275" s="4"/>
    </row>
    <row r="276" spans="1:8" x14ac:dyDescent="0.25">
      <c r="A276" s="1" t="s">
        <v>284</v>
      </c>
      <c r="B276" s="2">
        <f t="shared" si="8"/>
        <v>5</v>
      </c>
      <c r="C276" s="2">
        <f t="shared" si="9"/>
        <v>2019</v>
      </c>
      <c r="D276" s="4">
        <v>675</v>
      </c>
      <c r="E276" s="4" t="s">
        <v>10</v>
      </c>
      <c r="F276" s="4">
        <v>715</v>
      </c>
      <c r="G276" s="4">
        <v>650</v>
      </c>
      <c r="H276" s="4"/>
    </row>
    <row r="277" spans="1:8" x14ac:dyDescent="0.25">
      <c r="A277" s="1" t="s">
        <v>285</v>
      </c>
      <c r="B277" s="2">
        <f t="shared" si="8"/>
        <v>5</v>
      </c>
      <c r="C277" s="2">
        <f t="shared" si="9"/>
        <v>2019</v>
      </c>
      <c r="D277" s="4">
        <v>680</v>
      </c>
      <c r="E277" s="4" t="s">
        <v>10</v>
      </c>
      <c r="F277" s="4">
        <v>715</v>
      </c>
      <c r="G277" s="4">
        <v>650</v>
      </c>
      <c r="H277" s="4"/>
    </row>
    <row r="278" spans="1:8" x14ac:dyDescent="0.25">
      <c r="A278" s="1" t="s">
        <v>286</v>
      </c>
      <c r="B278" s="2">
        <f t="shared" si="8"/>
        <v>5</v>
      </c>
      <c r="C278" s="2">
        <f t="shared" si="9"/>
        <v>2019</v>
      </c>
      <c r="D278" s="4">
        <v>685</v>
      </c>
      <c r="E278" s="4" t="s">
        <v>10</v>
      </c>
      <c r="F278" s="4">
        <v>715</v>
      </c>
      <c r="G278" s="4">
        <v>660</v>
      </c>
      <c r="H278" s="4"/>
    </row>
    <row r="279" spans="1:8" x14ac:dyDescent="0.25">
      <c r="A279" s="1" t="s">
        <v>287</v>
      </c>
      <c r="B279" s="2">
        <f t="shared" si="8"/>
        <v>5</v>
      </c>
      <c r="C279" s="2">
        <f t="shared" si="9"/>
        <v>2019</v>
      </c>
      <c r="D279" s="4">
        <v>695</v>
      </c>
      <c r="E279" s="4" t="s">
        <v>10</v>
      </c>
      <c r="F279" s="4">
        <v>735</v>
      </c>
      <c r="G279" s="4">
        <v>660</v>
      </c>
      <c r="H279" s="4"/>
    </row>
    <row r="280" spans="1:8" x14ac:dyDescent="0.25">
      <c r="A280" s="1" t="s">
        <v>288</v>
      </c>
      <c r="B280" s="2">
        <f t="shared" si="8"/>
        <v>5</v>
      </c>
      <c r="C280" s="2">
        <f t="shared" si="9"/>
        <v>2019</v>
      </c>
      <c r="D280" s="4">
        <v>694</v>
      </c>
      <c r="E280" s="4" t="s">
        <v>10</v>
      </c>
      <c r="F280" s="4">
        <v>730</v>
      </c>
      <c r="G280" s="4">
        <v>670</v>
      </c>
      <c r="H280" s="4"/>
    </row>
    <row r="281" spans="1:8" x14ac:dyDescent="0.25">
      <c r="A281" s="1" t="s">
        <v>289</v>
      </c>
      <c r="B281" s="2">
        <f t="shared" si="8"/>
        <v>5</v>
      </c>
      <c r="C281" s="2">
        <f t="shared" si="9"/>
        <v>2019</v>
      </c>
      <c r="D281" s="4">
        <v>692</v>
      </c>
      <c r="E281" s="4" t="s">
        <v>10</v>
      </c>
      <c r="F281" s="4">
        <v>730</v>
      </c>
      <c r="G281" s="4">
        <v>680</v>
      </c>
      <c r="H281" s="4"/>
    </row>
    <row r="282" spans="1:8" x14ac:dyDescent="0.25">
      <c r="A282" s="1" t="s">
        <v>290</v>
      </c>
      <c r="B282" s="2">
        <f t="shared" si="8"/>
        <v>5</v>
      </c>
      <c r="C282" s="2">
        <f t="shared" si="9"/>
        <v>2019</v>
      </c>
      <c r="D282" s="4">
        <v>692</v>
      </c>
      <c r="E282" s="4" t="s">
        <v>10</v>
      </c>
      <c r="F282" s="4">
        <v>730</v>
      </c>
      <c r="G282" s="4">
        <v>675</v>
      </c>
      <c r="H282" s="4"/>
    </row>
    <row r="283" spans="1:8" x14ac:dyDescent="0.25">
      <c r="A283" s="1" t="s">
        <v>291</v>
      </c>
      <c r="B283" s="2">
        <f t="shared" si="8"/>
        <v>5</v>
      </c>
      <c r="C283" s="2">
        <f t="shared" si="9"/>
        <v>2019</v>
      </c>
      <c r="D283" s="4">
        <v>690</v>
      </c>
      <c r="E283" s="4" t="s">
        <v>10</v>
      </c>
      <c r="F283" s="4">
        <v>728</v>
      </c>
      <c r="G283" s="4">
        <v>675</v>
      </c>
      <c r="H283" s="4"/>
    </row>
    <row r="284" spans="1:8" x14ac:dyDescent="0.25">
      <c r="A284" s="1" t="s">
        <v>292</v>
      </c>
      <c r="B284" s="2">
        <f t="shared" si="8"/>
        <v>5</v>
      </c>
      <c r="C284" s="2">
        <f t="shared" si="9"/>
        <v>2019</v>
      </c>
      <c r="D284" s="4">
        <v>691</v>
      </c>
      <c r="E284" s="4" t="s">
        <v>10</v>
      </c>
      <c r="F284" s="4">
        <v>728</v>
      </c>
      <c r="G284" s="4">
        <v>675</v>
      </c>
      <c r="H284" s="4"/>
    </row>
    <row r="285" spans="1:8" x14ac:dyDescent="0.25">
      <c r="A285" s="1" t="s">
        <v>293</v>
      </c>
      <c r="B285" s="2">
        <f t="shared" si="8"/>
        <v>5</v>
      </c>
      <c r="C285" s="2">
        <f t="shared" si="9"/>
        <v>2019</v>
      </c>
      <c r="D285" s="4">
        <v>690</v>
      </c>
      <c r="E285" s="4" t="s">
        <v>10</v>
      </c>
      <c r="F285" s="4">
        <v>728</v>
      </c>
      <c r="G285" s="4">
        <v>680</v>
      </c>
      <c r="H285" s="4"/>
    </row>
    <row r="286" spans="1:8" x14ac:dyDescent="0.25">
      <c r="A286" s="1" t="s">
        <v>294</v>
      </c>
      <c r="B286" s="2">
        <f t="shared" si="8"/>
        <v>5</v>
      </c>
      <c r="C286" s="2">
        <f t="shared" si="9"/>
        <v>2019</v>
      </c>
      <c r="D286" s="4">
        <v>693</v>
      </c>
      <c r="E286" s="4" t="s">
        <v>10</v>
      </c>
      <c r="F286" s="4">
        <v>733</v>
      </c>
      <c r="G286" s="4">
        <v>675</v>
      </c>
      <c r="H286" s="4"/>
    </row>
    <row r="287" spans="1:8" x14ac:dyDescent="0.25">
      <c r="A287" s="1" t="s">
        <v>295</v>
      </c>
      <c r="B287" s="2">
        <f t="shared" si="8"/>
        <v>5</v>
      </c>
      <c r="C287" s="2">
        <f t="shared" si="9"/>
        <v>2019</v>
      </c>
      <c r="D287" s="4">
        <v>702</v>
      </c>
      <c r="E287" s="4" t="s">
        <v>10</v>
      </c>
      <c r="F287" s="4">
        <v>740</v>
      </c>
      <c r="G287" s="4">
        <v>681</v>
      </c>
      <c r="H287" s="4"/>
    </row>
    <row r="288" spans="1:8" x14ac:dyDescent="0.25">
      <c r="A288" s="1" t="s">
        <v>296</v>
      </c>
      <c r="B288" s="2">
        <f t="shared" si="8"/>
        <v>5</v>
      </c>
      <c r="C288" s="2">
        <f t="shared" si="9"/>
        <v>2019</v>
      </c>
      <c r="D288" s="4">
        <v>700</v>
      </c>
      <c r="E288" s="4" t="s">
        <v>10</v>
      </c>
      <c r="F288" s="4" t="s">
        <v>10</v>
      </c>
      <c r="G288" s="4" t="s">
        <v>10</v>
      </c>
      <c r="H288" s="4"/>
    </row>
    <row r="289" spans="1:8" x14ac:dyDescent="0.25">
      <c r="A289" s="1" t="s">
        <v>297</v>
      </c>
      <c r="B289" s="2">
        <f t="shared" si="8"/>
        <v>5</v>
      </c>
      <c r="C289" s="2">
        <f t="shared" si="9"/>
        <v>2019</v>
      </c>
      <c r="D289" s="4">
        <v>704</v>
      </c>
      <c r="E289" s="4" t="s">
        <v>10</v>
      </c>
      <c r="F289" s="4">
        <v>740</v>
      </c>
      <c r="G289" s="4">
        <v>680</v>
      </c>
      <c r="H289" s="4"/>
    </row>
    <row r="290" spans="1:8" x14ac:dyDescent="0.25">
      <c r="A290" s="1" t="s">
        <v>298</v>
      </c>
      <c r="B290" s="2">
        <f t="shared" si="8"/>
        <v>6</v>
      </c>
      <c r="C290" s="2">
        <f t="shared" si="9"/>
        <v>2019</v>
      </c>
      <c r="D290" s="4">
        <v>704</v>
      </c>
      <c r="E290" s="4" t="s">
        <v>10</v>
      </c>
      <c r="F290" s="4">
        <v>738</v>
      </c>
      <c r="G290" s="4">
        <v>675</v>
      </c>
      <c r="H290" s="4"/>
    </row>
    <row r="291" spans="1:8" x14ac:dyDescent="0.25">
      <c r="A291" s="1" t="s">
        <v>299</v>
      </c>
      <c r="B291" s="2">
        <f t="shared" si="8"/>
        <v>6</v>
      </c>
      <c r="C291" s="2">
        <f t="shared" si="9"/>
        <v>2019</v>
      </c>
      <c r="D291" s="4">
        <v>705</v>
      </c>
      <c r="E291" s="4" t="s">
        <v>10</v>
      </c>
      <c r="F291" s="4">
        <v>735</v>
      </c>
      <c r="G291" s="4">
        <v>680</v>
      </c>
      <c r="H291" s="4"/>
    </row>
    <row r="292" spans="1:8" x14ac:dyDescent="0.25">
      <c r="A292" s="1" t="s">
        <v>300</v>
      </c>
      <c r="B292" s="2">
        <f t="shared" si="8"/>
        <v>6</v>
      </c>
      <c r="C292" s="2">
        <f t="shared" si="9"/>
        <v>2019</v>
      </c>
      <c r="D292" s="4">
        <v>698</v>
      </c>
      <c r="E292" s="4" t="s">
        <v>10</v>
      </c>
      <c r="F292" s="4">
        <v>729</v>
      </c>
      <c r="G292" s="4">
        <v>680</v>
      </c>
      <c r="H292" s="4"/>
    </row>
    <row r="293" spans="1:8" x14ac:dyDescent="0.25">
      <c r="A293" s="1" t="s">
        <v>301</v>
      </c>
      <c r="B293" s="2">
        <f t="shared" si="8"/>
        <v>6</v>
      </c>
      <c r="C293" s="2">
        <f t="shared" si="9"/>
        <v>2019</v>
      </c>
      <c r="D293" s="4">
        <v>688</v>
      </c>
      <c r="E293" s="4" t="s">
        <v>10</v>
      </c>
      <c r="F293" s="4">
        <v>717</v>
      </c>
      <c r="G293" s="4">
        <v>675</v>
      </c>
      <c r="H293" s="4"/>
    </row>
    <row r="294" spans="1:8" x14ac:dyDescent="0.25">
      <c r="A294" s="1" t="s">
        <v>302</v>
      </c>
      <c r="B294" s="2">
        <f t="shared" si="8"/>
        <v>6</v>
      </c>
      <c r="C294" s="2">
        <f t="shared" si="9"/>
        <v>2019</v>
      </c>
      <c r="D294" s="4">
        <v>688</v>
      </c>
      <c r="E294" s="4" t="s">
        <v>10</v>
      </c>
      <c r="F294" s="4">
        <v>722</v>
      </c>
      <c r="G294" s="4">
        <v>677</v>
      </c>
      <c r="H294" s="4"/>
    </row>
    <row r="295" spans="1:8" x14ac:dyDescent="0.25">
      <c r="A295" s="1" t="s">
        <v>303</v>
      </c>
      <c r="B295" s="2">
        <f t="shared" si="8"/>
        <v>6</v>
      </c>
      <c r="C295" s="2">
        <f t="shared" si="9"/>
        <v>2019</v>
      </c>
      <c r="D295" s="4" t="s">
        <v>10</v>
      </c>
      <c r="E295" s="4" t="s">
        <v>10</v>
      </c>
      <c r="F295" s="4" t="s">
        <v>10</v>
      </c>
      <c r="G295" s="4">
        <v>677</v>
      </c>
      <c r="H295" s="4"/>
    </row>
    <row r="296" spans="1:8" x14ac:dyDescent="0.25">
      <c r="A296" s="1" t="s">
        <v>304</v>
      </c>
      <c r="B296" s="2">
        <f t="shared" si="8"/>
        <v>6</v>
      </c>
      <c r="C296" s="2">
        <f t="shared" si="9"/>
        <v>2019</v>
      </c>
      <c r="D296" s="4">
        <v>691</v>
      </c>
      <c r="E296" s="4" t="s">
        <v>10</v>
      </c>
      <c r="F296" s="4">
        <v>722</v>
      </c>
      <c r="G296" s="4">
        <v>680</v>
      </c>
      <c r="H296" s="4"/>
    </row>
    <row r="297" spans="1:8" x14ac:dyDescent="0.25">
      <c r="A297" s="1" t="s">
        <v>305</v>
      </c>
      <c r="B297" s="2">
        <f t="shared" si="8"/>
        <v>6</v>
      </c>
      <c r="C297" s="2">
        <f t="shared" si="9"/>
        <v>2019</v>
      </c>
      <c r="D297" s="4">
        <v>690</v>
      </c>
      <c r="E297" s="4" t="s">
        <v>10</v>
      </c>
      <c r="F297" s="4">
        <v>725</v>
      </c>
      <c r="G297" s="4">
        <v>680</v>
      </c>
      <c r="H297" s="4"/>
    </row>
    <row r="298" spans="1:8" x14ac:dyDescent="0.25">
      <c r="A298" s="1" t="s">
        <v>306</v>
      </c>
      <c r="B298" s="2">
        <f t="shared" si="8"/>
        <v>6</v>
      </c>
      <c r="C298" s="2">
        <f t="shared" si="9"/>
        <v>2019</v>
      </c>
      <c r="D298" s="4">
        <v>692</v>
      </c>
      <c r="E298" s="4" t="s">
        <v>10</v>
      </c>
      <c r="F298" s="4">
        <v>727</v>
      </c>
      <c r="G298" s="4">
        <v>680</v>
      </c>
      <c r="H298" s="4"/>
    </row>
    <row r="299" spans="1:8" x14ac:dyDescent="0.25">
      <c r="A299" s="1" t="s">
        <v>307</v>
      </c>
      <c r="B299" s="2">
        <f t="shared" si="8"/>
        <v>6</v>
      </c>
      <c r="C299" s="2">
        <f t="shared" si="9"/>
        <v>2019</v>
      </c>
      <c r="D299" s="4">
        <v>695</v>
      </c>
      <c r="E299" s="4" t="s">
        <v>10</v>
      </c>
      <c r="F299" s="4">
        <v>730</v>
      </c>
      <c r="G299" s="4">
        <v>680</v>
      </c>
      <c r="H299" s="4"/>
    </row>
    <row r="300" spans="1:8" x14ac:dyDescent="0.25">
      <c r="A300" s="1" t="s">
        <v>308</v>
      </c>
      <c r="B300" s="2">
        <f t="shared" si="8"/>
        <v>6</v>
      </c>
      <c r="C300" s="2">
        <f t="shared" si="9"/>
        <v>2019</v>
      </c>
      <c r="D300" s="4">
        <v>695</v>
      </c>
      <c r="E300" s="4" t="s">
        <v>10</v>
      </c>
      <c r="F300" s="4">
        <v>730</v>
      </c>
      <c r="G300" s="4" t="s">
        <v>10</v>
      </c>
      <c r="H300" s="4"/>
    </row>
    <row r="301" spans="1:8" x14ac:dyDescent="0.25">
      <c r="A301" s="1" t="s">
        <v>309</v>
      </c>
      <c r="B301" s="2">
        <f t="shared" si="8"/>
        <v>6</v>
      </c>
      <c r="C301" s="2">
        <f t="shared" si="9"/>
        <v>2019</v>
      </c>
      <c r="D301" s="4">
        <v>701</v>
      </c>
      <c r="E301" s="4" t="s">
        <v>10</v>
      </c>
      <c r="F301" s="4">
        <v>732.5</v>
      </c>
      <c r="G301" s="4">
        <v>680</v>
      </c>
      <c r="H301" s="4"/>
    </row>
    <row r="302" spans="1:8" x14ac:dyDescent="0.25">
      <c r="A302" s="1" t="s">
        <v>310</v>
      </c>
      <c r="B302" s="2">
        <f t="shared" si="8"/>
        <v>6</v>
      </c>
      <c r="C302" s="2">
        <f t="shared" si="9"/>
        <v>2019</v>
      </c>
      <c r="D302" s="4">
        <v>703</v>
      </c>
      <c r="E302" s="4" t="s">
        <v>10</v>
      </c>
      <c r="F302" s="4">
        <v>732.5</v>
      </c>
      <c r="G302" s="4">
        <v>680</v>
      </c>
      <c r="H302" s="4"/>
    </row>
    <row r="303" spans="1:8" x14ac:dyDescent="0.25">
      <c r="A303" s="1" t="s">
        <v>311</v>
      </c>
      <c r="B303" s="2">
        <f t="shared" si="8"/>
        <v>6</v>
      </c>
      <c r="C303" s="2">
        <f t="shared" si="9"/>
        <v>2019</v>
      </c>
      <c r="D303" s="4">
        <v>707</v>
      </c>
      <c r="E303" s="4" t="s">
        <v>10</v>
      </c>
      <c r="F303" s="4">
        <v>740</v>
      </c>
      <c r="G303" s="4" t="s">
        <v>10</v>
      </c>
      <c r="H303" s="4"/>
    </row>
    <row r="304" spans="1:8" x14ac:dyDescent="0.25">
      <c r="A304" s="1" t="s">
        <v>312</v>
      </c>
      <c r="B304" s="2">
        <f t="shared" si="8"/>
        <v>6</v>
      </c>
      <c r="C304" s="2">
        <f t="shared" si="9"/>
        <v>2019</v>
      </c>
      <c r="D304" s="4">
        <v>710</v>
      </c>
      <c r="E304" s="4" t="s">
        <v>10</v>
      </c>
      <c r="F304" s="4">
        <v>740</v>
      </c>
      <c r="G304" s="4">
        <v>690</v>
      </c>
      <c r="H304" s="4"/>
    </row>
    <row r="305" spans="1:8" x14ac:dyDescent="0.25">
      <c r="A305" s="1" t="s">
        <v>313</v>
      </c>
      <c r="B305" s="2">
        <f t="shared" si="8"/>
        <v>6</v>
      </c>
      <c r="C305" s="2">
        <f t="shared" si="9"/>
        <v>2019</v>
      </c>
      <c r="D305" s="4">
        <v>717</v>
      </c>
      <c r="E305" s="4" t="s">
        <v>10</v>
      </c>
      <c r="F305" s="4">
        <v>742.5</v>
      </c>
      <c r="G305" s="4">
        <v>700</v>
      </c>
      <c r="H305" s="4"/>
    </row>
    <row r="306" spans="1:8" x14ac:dyDescent="0.25">
      <c r="A306" s="1" t="s">
        <v>314</v>
      </c>
      <c r="B306" s="2">
        <f t="shared" si="8"/>
        <v>6</v>
      </c>
      <c r="C306" s="2">
        <f t="shared" si="9"/>
        <v>2019</v>
      </c>
      <c r="D306" s="4">
        <v>716</v>
      </c>
      <c r="E306" s="4" t="s">
        <v>10</v>
      </c>
      <c r="F306" s="4">
        <v>740</v>
      </c>
      <c r="G306" s="4">
        <v>705</v>
      </c>
      <c r="H306" s="4"/>
    </row>
    <row r="307" spans="1:8" x14ac:dyDescent="0.25">
      <c r="A307" s="1" t="s">
        <v>315</v>
      </c>
      <c r="B307" s="2">
        <f t="shared" si="8"/>
        <v>6</v>
      </c>
      <c r="C307" s="2">
        <f t="shared" si="9"/>
        <v>2019</v>
      </c>
      <c r="D307" s="4">
        <v>719</v>
      </c>
      <c r="E307" s="4" t="s">
        <v>10</v>
      </c>
      <c r="F307" s="4">
        <v>735</v>
      </c>
      <c r="G307" s="4">
        <v>710</v>
      </c>
      <c r="H307" s="4"/>
    </row>
    <row r="308" spans="1:8" x14ac:dyDescent="0.25">
      <c r="A308" s="1" t="s">
        <v>316</v>
      </c>
      <c r="B308" s="2">
        <f t="shared" si="8"/>
        <v>6</v>
      </c>
      <c r="C308" s="2">
        <f t="shared" si="9"/>
        <v>2019</v>
      </c>
      <c r="D308" s="4">
        <v>720</v>
      </c>
      <c r="E308" s="4" t="s">
        <v>10</v>
      </c>
      <c r="F308" s="4">
        <v>735</v>
      </c>
      <c r="G308" s="4">
        <v>710</v>
      </c>
      <c r="H308" s="4"/>
    </row>
    <row r="309" spans="1:8" x14ac:dyDescent="0.25">
      <c r="A309" s="1" t="s">
        <v>317</v>
      </c>
      <c r="B309" s="2">
        <f t="shared" si="8"/>
        <v>6</v>
      </c>
      <c r="C309" s="2">
        <f t="shared" si="9"/>
        <v>2019</v>
      </c>
      <c r="D309" s="4">
        <v>720</v>
      </c>
      <c r="E309" s="4" t="s">
        <v>10</v>
      </c>
      <c r="F309" s="4">
        <v>740</v>
      </c>
      <c r="G309" s="4">
        <v>710</v>
      </c>
      <c r="H309" s="4"/>
    </row>
    <row r="310" spans="1:8" x14ac:dyDescent="0.25">
      <c r="A310" s="1" t="s">
        <v>318</v>
      </c>
      <c r="B310" s="2">
        <f t="shared" si="8"/>
        <v>7</v>
      </c>
      <c r="C310" s="2">
        <f t="shared" si="9"/>
        <v>2019</v>
      </c>
      <c r="D310" s="4">
        <v>726</v>
      </c>
      <c r="E310" s="4" t="s">
        <v>10</v>
      </c>
      <c r="F310" s="4">
        <v>740</v>
      </c>
      <c r="G310" s="4">
        <v>715</v>
      </c>
      <c r="H310" s="4"/>
    </row>
    <row r="311" spans="1:8" x14ac:dyDescent="0.25">
      <c r="A311" s="1" t="s">
        <v>319</v>
      </c>
      <c r="B311" s="2">
        <f t="shared" si="8"/>
        <v>7</v>
      </c>
      <c r="C311" s="2">
        <f t="shared" si="9"/>
        <v>2019</v>
      </c>
      <c r="D311" s="4">
        <v>728</v>
      </c>
      <c r="E311" s="4" t="s">
        <v>10</v>
      </c>
      <c r="F311" s="4">
        <v>750</v>
      </c>
      <c r="G311" s="4">
        <v>715</v>
      </c>
      <c r="H311" s="4"/>
    </row>
    <row r="312" spans="1:8" x14ac:dyDescent="0.25">
      <c r="A312" s="1" t="s">
        <v>320</v>
      </c>
      <c r="B312" s="2">
        <f t="shared" si="8"/>
        <v>7</v>
      </c>
      <c r="C312" s="2">
        <f t="shared" si="9"/>
        <v>2019</v>
      </c>
      <c r="D312" s="4">
        <v>732</v>
      </c>
      <c r="E312" s="4" t="s">
        <v>10</v>
      </c>
      <c r="F312" s="4">
        <v>750</v>
      </c>
      <c r="G312" s="4">
        <v>720</v>
      </c>
      <c r="H312" s="4"/>
    </row>
    <row r="313" spans="1:8" x14ac:dyDescent="0.25">
      <c r="A313" s="1" t="s">
        <v>321</v>
      </c>
      <c r="B313" s="2">
        <f t="shared" si="8"/>
        <v>7</v>
      </c>
      <c r="C313" s="2">
        <f t="shared" si="9"/>
        <v>2019</v>
      </c>
      <c r="D313" s="4">
        <v>732</v>
      </c>
      <c r="E313" s="4" t="s">
        <v>10</v>
      </c>
      <c r="F313" s="4">
        <v>745</v>
      </c>
      <c r="G313" s="4">
        <v>720</v>
      </c>
      <c r="H313" s="4"/>
    </row>
    <row r="314" spans="1:8" x14ac:dyDescent="0.25">
      <c r="A314" s="1" t="s">
        <v>322</v>
      </c>
      <c r="B314" s="2">
        <f t="shared" si="8"/>
        <v>7</v>
      </c>
      <c r="C314" s="2">
        <f t="shared" si="9"/>
        <v>2019</v>
      </c>
      <c r="D314" s="4">
        <v>735</v>
      </c>
      <c r="E314" s="4" t="s">
        <v>10</v>
      </c>
      <c r="F314" s="4">
        <v>742.5</v>
      </c>
      <c r="G314" s="4">
        <v>720</v>
      </c>
      <c r="H314" s="4"/>
    </row>
    <row r="315" spans="1:8" x14ac:dyDescent="0.25">
      <c r="A315" s="1" t="s">
        <v>323</v>
      </c>
      <c r="B315" s="2">
        <f t="shared" si="8"/>
        <v>7</v>
      </c>
      <c r="C315" s="2">
        <f t="shared" si="9"/>
        <v>2019</v>
      </c>
      <c r="D315" s="4">
        <v>735</v>
      </c>
      <c r="E315" s="4" t="s">
        <v>10</v>
      </c>
      <c r="F315" s="4">
        <v>740</v>
      </c>
      <c r="G315" s="4" t="s">
        <v>10</v>
      </c>
      <c r="H315" s="4"/>
    </row>
    <row r="316" spans="1:8" x14ac:dyDescent="0.25">
      <c r="A316" s="1" t="s">
        <v>324</v>
      </c>
      <c r="B316" s="2">
        <f t="shared" si="8"/>
        <v>7</v>
      </c>
      <c r="C316" s="2">
        <f t="shared" si="9"/>
        <v>2019</v>
      </c>
      <c r="D316" s="4">
        <v>736</v>
      </c>
      <c r="E316" s="4" t="s">
        <v>10</v>
      </c>
      <c r="F316" s="4">
        <v>740</v>
      </c>
      <c r="G316" s="4" t="s">
        <v>10</v>
      </c>
      <c r="H316" s="4"/>
    </row>
    <row r="317" spans="1:8" x14ac:dyDescent="0.25">
      <c r="A317" s="1" t="s">
        <v>325</v>
      </c>
      <c r="B317" s="2">
        <f t="shared" si="8"/>
        <v>7</v>
      </c>
      <c r="C317" s="2">
        <f t="shared" si="9"/>
        <v>2019</v>
      </c>
      <c r="D317" s="4">
        <v>738</v>
      </c>
      <c r="E317" s="4" t="s">
        <v>10</v>
      </c>
      <c r="F317" s="4">
        <v>742.5</v>
      </c>
      <c r="G317" s="4">
        <v>715</v>
      </c>
      <c r="H317" s="4"/>
    </row>
    <row r="318" spans="1:8" x14ac:dyDescent="0.25">
      <c r="A318" s="1" t="s">
        <v>326</v>
      </c>
      <c r="B318" s="2">
        <f t="shared" si="8"/>
        <v>7</v>
      </c>
      <c r="C318" s="2">
        <f t="shared" si="9"/>
        <v>2019</v>
      </c>
      <c r="D318" s="4">
        <v>740</v>
      </c>
      <c r="E318" s="4" t="s">
        <v>10</v>
      </c>
      <c r="F318" s="4">
        <v>742.5</v>
      </c>
      <c r="G318" s="4">
        <v>715</v>
      </c>
      <c r="H318" s="4"/>
    </row>
    <row r="319" spans="1:8" x14ac:dyDescent="0.25">
      <c r="A319" s="1" t="s">
        <v>327</v>
      </c>
      <c r="B319" s="2">
        <f t="shared" si="8"/>
        <v>7</v>
      </c>
      <c r="C319" s="2">
        <f t="shared" si="9"/>
        <v>2019</v>
      </c>
      <c r="D319" s="4">
        <v>743</v>
      </c>
      <c r="E319" s="4" t="s">
        <v>10</v>
      </c>
      <c r="F319" s="4">
        <v>747.5</v>
      </c>
      <c r="G319" s="4">
        <v>715</v>
      </c>
      <c r="H319" s="4"/>
    </row>
    <row r="320" spans="1:8" x14ac:dyDescent="0.25">
      <c r="A320" s="1" t="s">
        <v>328</v>
      </c>
      <c r="B320" s="2">
        <f t="shared" si="8"/>
        <v>7</v>
      </c>
      <c r="C320" s="2">
        <f t="shared" si="9"/>
        <v>2019</v>
      </c>
      <c r="D320" s="4">
        <v>743</v>
      </c>
      <c r="E320" s="4" t="s">
        <v>10</v>
      </c>
      <c r="F320" s="4">
        <v>760</v>
      </c>
      <c r="G320" s="4">
        <v>715</v>
      </c>
      <c r="H320" s="4"/>
    </row>
    <row r="321" spans="1:8" x14ac:dyDescent="0.25">
      <c r="A321" s="1" t="s">
        <v>329</v>
      </c>
      <c r="B321" s="2">
        <f t="shared" si="8"/>
        <v>7</v>
      </c>
      <c r="C321" s="2">
        <f t="shared" si="9"/>
        <v>2019</v>
      </c>
      <c r="D321" s="4">
        <v>732</v>
      </c>
      <c r="E321" s="4" t="s">
        <v>10</v>
      </c>
      <c r="F321" s="4">
        <v>765</v>
      </c>
      <c r="G321" s="4">
        <v>715</v>
      </c>
      <c r="H321" s="4"/>
    </row>
    <row r="322" spans="1:8" x14ac:dyDescent="0.25">
      <c r="A322" s="1" t="s">
        <v>330</v>
      </c>
      <c r="B322" s="2">
        <f t="shared" si="8"/>
        <v>7</v>
      </c>
      <c r="C322" s="2">
        <f t="shared" si="9"/>
        <v>2019</v>
      </c>
      <c r="D322" s="4">
        <v>732</v>
      </c>
      <c r="E322" s="4" t="s">
        <v>10</v>
      </c>
      <c r="F322" s="4">
        <v>765</v>
      </c>
      <c r="G322" s="4">
        <v>715</v>
      </c>
      <c r="H322" s="4"/>
    </row>
    <row r="323" spans="1:8" x14ac:dyDescent="0.25">
      <c r="A323" s="1" t="s">
        <v>331</v>
      </c>
      <c r="B323" s="2">
        <f t="shared" ref="B323:B386" si="10">MONTH(A323)</f>
        <v>7</v>
      </c>
      <c r="C323" s="2">
        <f t="shared" ref="C323:C386" si="11">YEAR(A323)</f>
        <v>2019</v>
      </c>
      <c r="D323" s="4">
        <v>730</v>
      </c>
      <c r="E323" s="4" t="s">
        <v>10</v>
      </c>
      <c r="F323" s="4">
        <v>765</v>
      </c>
      <c r="G323" s="4">
        <v>720</v>
      </c>
      <c r="H323" s="4"/>
    </row>
    <row r="324" spans="1:8" x14ac:dyDescent="0.25">
      <c r="A324" s="1" t="s">
        <v>332</v>
      </c>
      <c r="B324" s="2">
        <f t="shared" si="10"/>
        <v>7</v>
      </c>
      <c r="C324" s="2">
        <f t="shared" si="11"/>
        <v>2019</v>
      </c>
      <c r="D324" s="4">
        <v>728</v>
      </c>
      <c r="E324" s="4" t="s">
        <v>10</v>
      </c>
      <c r="F324" s="4">
        <v>772.5</v>
      </c>
      <c r="G324" s="4">
        <v>720</v>
      </c>
      <c r="H324" s="4"/>
    </row>
    <row r="325" spans="1:8" x14ac:dyDescent="0.25">
      <c r="A325" s="1" t="s">
        <v>333</v>
      </c>
      <c r="B325" s="2">
        <f t="shared" si="10"/>
        <v>7</v>
      </c>
      <c r="C325" s="2">
        <f t="shared" si="11"/>
        <v>2019</v>
      </c>
      <c r="D325" s="4">
        <v>728</v>
      </c>
      <c r="E325" s="4" t="s">
        <v>10</v>
      </c>
      <c r="F325" s="4">
        <v>772.5</v>
      </c>
      <c r="G325" s="4">
        <v>720</v>
      </c>
      <c r="H325" s="4"/>
    </row>
    <row r="326" spans="1:8" x14ac:dyDescent="0.25">
      <c r="A326" s="1" t="s">
        <v>334</v>
      </c>
      <c r="B326" s="2">
        <f t="shared" si="10"/>
        <v>7</v>
      </c>
      <c r="C326" s="2">
        <f t="shared" si="11"/>
        <v>2019</v>
      </c>
      <c r="D326" s="4">
        <v>730</v>
      </c>
      <c r="E326" s="4" t="s">
        <v>10</v>
      </c>
      <c r="F326" s="4">
        <v>775</v>
      </c>
      <c r="G326" s="4">
        <v>720</v>
      </c>
      <c r="H326" s="4"/>
    </row>
    <row r="327" spans="1:8" x14ac:dyDescent="0.25">
      <c r="A327" s="1" t="s">
        <v>335</v>
      </c>
      <c r="B327" s="2">
        <f t="shared" si="10"/>
        <v>7</v>
      </c>
      <c r="C327" s="2">
        <f t="shared" si="11"/>
        <v>2019</v>
      </c>
      <c r="D327" s="4">
        <v>735</v>
      </c>
      <c r="E327" s="4" t="s">
        <v>10</v>
      </c>
      <c r="F327" s="4">
        <v>775</v>
      </c>
      <c r="G327" s="4">
        <v>720</v>
      </c>
      <c r="H327" s="4"/>
    </row>
    <row r="328" spans="1:8" x14ac:dyDescent="0.25">
      <c r="A328" s="1" t="s">
        <v>336</v>
      </c>
      <c r="B328" s="2">
        <f t="shared" si="10"/>
        <v>7</v>
      </c>
      <c r="C328" s="2">
        <f t="shared" si="11"/>
        <v>2019</v>
      </c>
      <c r="D328" s="4">
        <v>735</v>
      </c>
      <c r="E328" s="4" t="s">
        <v>10</v>
      </c>
      <c r="F328" s="4">
        <v>780</v>
      </c>
      <c r="G328" s="4">
        <v>720</v>
      </c>
      <c r="H328" s="4"/>
    </row>
    <row r="329" spans="1:8" x14ac:dyDescent="0.25">
      <c r="A329" s="1" t="s">
        <v>337</v>
      </c>
      <c r="B329" s="2">
        <f t="shared" si="10"/>
        <v>7</v>
      </c>
      <c r="C329" s="2">
        <f t="shared" si="11"/>
        <v>2019</v>
      </c>
      <c r="D329" s="4">
        <v>735</v>
      </c>
      <c r="E329" s="4" t="s">
        <v>10</v>
      </c>
      <c r="F329" s="4">
        <v>777.5</v>
      </c>
      <c r="G329" s="4">
        <v>720</v>
      </c>
      <c r="H329" s="4"/>
    </row>
    <row r="330" spans="1:8" x14ac:dyDescent="0.25">
      <c r="A330" s="1" t="s">
        <v>338</v>
      </c>
      <c r="B330" s="2">
        <f t="shared" si="10"/>
        <v>7</v>
      </c>
      <c r="C330" s="2">
        <f t="shared" si="11"/>
        <v>2019</v>
      </c>
      <c r="D330" s="4">
        <v>740</v>
      </c>
      <c r="E330" s="4" t="s">
        <v>10</v>
      </c>
      <c r="F330" s="4">
        <v>780</v>
      </c>
      <c r="G330" s="4">
        <v>720</v>
      </c>
      <c r="H330" s="4"/>
    </row>
    <row r="331" spans="1:8" x14ac:dyDescent="0.25">
      <c r="A331" s="1" t="s">
        <v>339</v>
      </c>
      <c r="B331" s="2">
        <f t="shared" si="10"/>
        <v>7</v>
      </c>
      <c r="C331" s="2">
        <f t="shared" si="11"/>
        <v>2019</v>
      </c>
      <c r="D331" s="4">
        <v>740</v>
      </c>
      <c r="E331" s="4" t="s">
        <v>10</v>
      </c>
      <c r="F331" s="4">
        <v>780</v>
      </c>
      <c r="G331" s="4">
        <v>720</v>
      </c>
      <c r="H331" s="4"/>
    </row>
    <row r="332" spans="1:8" x14ac:dyDescent="0.25">
      <c r="A332" s="1" t="s">
        <v>340</v>
      </c>
      <c r="B332" s="2">
        <f t="shared" si="10"/>
        <v>7</v>
      </c>
      <c r="C332" s="2">
        <f t="shared" si="11"/>
        <v>2019</v>
      </c>
      <c r="D332" s="4">
        <v>740</v>
      </c>
      <c r="E332" s="4" t="s">
        <v>10</v>
      </c>
      <c r="F332" s="4">
        <v>780</v>
      </c>
      <c r="G332" s="4">
        <v>720</v>
      </c>
      <c r="H332" s="4"/>
    </row>
    <row r="333" spans="1:8" x14ac:dyDescent="0.25">
      <c r="A333" s="1" t="s">
        <v>341</v>
      </c>
      <c r="B333" s="2">
        <f t="shared" si="10"/>
        <v>8</v>
      </c>
      <c r="C333" s="2">
        <f t="shared" si="11"/>
        <v>2019</v>
      </c>
      <c r="D333" s="4">
        <v>740</v>
      </c>
      <c r="E333" s="4" t="s">
        <v>10</v>
      </c>
      <c r="F333" s="4">
        <v>780</v>
      </c>
      <c r="G333" s="4">
        <v>720</v>
      </c>
      <c r="H333" s="4"/>
    </row>
    <row r="334" spans="1:8" x14ac:dyDescent="0.25">
      <c r="A334" s="1" t="s">
        <v>342</v>
      </c>
      <c r="B334" s="2">
        <f t="shared" si="10"/>
        <v>8</v>
      </c>
      <c r="C334" s="2">
        <f t="shared" si="11"/>
        <v>2019</v>
      </c>
      <c r="D334" s="4">
        <v>738</v>
      </c>
      <c r="E334" s="4" t="s">
        <v>10</v>
      </c>
      <c r="F334" s="4">
        <v>782.5</v>
      </c>
      <c r="G334" s="4">
        <v>720</v>
      </c>
      <c r="H334" s="4"/>
    </row>
    <row r="335" spans="1:8" x14ac:dyDescent="0.25">
      <c r="A335" s="1" t="s">
        <v>343</v>
      </c>
      <c r="B335" s="2">
        <f t="shared" si="10"/>
        <v>8</v>
      </c>
      <c r="C335" s="2">
        <f t="shared" si="11"/>
        <v>2019</v>
      </c>
      <c r="D335" s="4">
        <v>737</v>
      </c>
      <c r="E335" s="4" t="s">
        <v>10</v>
      </c>
      <c r="F335" s="4">
        <v>780</v>
      </c>
      <c r="G335" s="4">
        <v>720</v>
      </c>
      <c r="H335" s="4"/>
    </row>
    <row r="336" spans="1:8" x14ac:dyDescent="0.25">
      <c r="A336" s="1" t="s">
        <v>344</v>
      </c>
      <c r="B336" s="2">
        <f t="shared" si="10"/>
        <v>8</v>
      </c>
      <c r="C336" s="2">
        <f t="shared" si="11"/>
        <v>2019</v>
      </c>
      <c r="D336" s="4">
        <v>737</v>
      </c>
      <c r="E336" s="4" t="s">
        <v>10</v>
      </c>
      <c r="F336" s="4">
        <v>782</v>
      </c>
      <c r="G336" s="4">
        <v>720</v>
      </c>
      <c r="H336" s="4"/>
    </row>
    <row r="337" spans="1:8" x14ac:dyDescent="0.25">
      <c r="A337" s="1" t="s">
        <v>345</v>
      </c>
      <c r="B337" s="2">
        <f t="shared" si="10"/>
        <v>8</v>
      </c>
      <c r="C337" s="2">
        <f t="shared" si="11"/>
        <v>2019</v>
      </c>
      <c r="D337" s="4">
        <v>734</v>
      </c>
      <c r="E337" s="4" t="s">
        <v>10</v>
      </c>
      <c r="F337" s="4">
        <v>780</v>
      </c>
      <c r="G337" s="4">
        <v>720</v>
      </c>
      <c r="H337" s="4"/>
    </row>
    <row r="338" spans="1:8" x14ac:dyDescent="0.25">
      <c r="A338" s="1" t="s">
        <v>346</v>
      </c>
      <c r="B338" s="2">
        <f t="shared" si="10"/>
        <v>8</v>
      </c>
      <c r="C338" s="2">
        <f t="shared" si="11"/>
        <v>2019</v>
      </c>
      <c r="D338" s="4">
        <v>738</v>
      </c>
      <c r="E338" s="4" t="s">
        <v>10</v>
      </c>
      <c r="F338" s="4">
        <v>780</v>
      </c>
      <c r="G338" s="4">
        <v>725</v>
      </c>
      <c r="H338" s="4"/>
    </row>
    <row r="339" spans="1:8" x14ac:dyDescent="0.25">
      <c r="A339" s="1" t="s">
        <v>347</v>
      </c>
      <c r="B339" s="2">
        <f t="shared" si="10"/>
        <v>8</v>
      </c>
      <c r="C339" s="2">
        <f t="shared" si="11"/>
        <v>2019</v>
      </c>
      <c r="D339" s="4">
        <v>748</v>
      </c>
      <c r="E339" s="4" t="s">
        <v>10</v>
      </c>
      <c r="F339" s="4">
        <v>790</v>
      </c>
      <c r="G339" s="4">
        <v>725</v>
      </c>
      <c r="H339" s="4"/>
    </row>
    <row r="340" spans="1:8" x14ac:dyDescent="0.25">
      <c r="A340" s="1" t="s">
        <v>348</v>
      </c>
      <c r="B340" s="2">
        <f t="shared" si="10"/>
        <v>8</v>
      </c>
      <c r="C340" s="2">
        <f t="shared" si="11"/>
        <v>2019</v>
      </c>
      <c r="D340" s="4">
        <v>756</v>
      </c>
      <c r="E340" s="4" t="s">
        <v>10</v>
      </c>
      <c r="F340" s="4">
        <v>778</v>
      </c>
      <c r="G340" s="4">
        <v>720</v>
      </c>
      <c r="H340" s="4"/>
    </row>
    <row r="341" spans="1:8" x14ac:dyDescent="0.25">
      <c r="A341" s="1" t="s">
        <v>349</v>
      </c>
      <c r="B341" s="2">
        <f t="shared" si="10"/>
        <v>8</v>
      </c>
      <c r="C341" s="2">
        <f t="shared" si="11"/>
        <v>2019</v>
      </c>
      <c r="D341" s="4">
        <v>755</v>
      </c>
      <c r="E341" s="4" t="s">
        <v>10</v>
      </c>
      <c r="F341" s="4">
        <v>785</v>
      </c>
      <c r="G341" s="4">
        <v>720</v>
      </c>
      <c r="H341" s="4"/>
    </row>
    <row r="342" spans="1:8" x14ac:dyDescent="0.25">
      <c r="A342" s="1" t="s">
        <v>350</v>
      </c>
      <c r="B342" s="2">
        <f t="shared" si="10"/>
        <v>8</v>
      </c>
      <c r="C342" s="2">
        <f t="shared" si="11"/>
        <v>2019</v>
      </c>
      <c r="D342" s="4">
        <v>750</v>
      </c>
      <c r="E342" s="4" t="s">
        <v>10</v>
      </c>
      <c r="F342" s="4">
        <v>780</v>
      </c>
      <c r="G342" s="4">
        <v>730</v>
      </c>
      <c r="H342" s="4"/>
    </row>
    <row r="343" spans="1:8" x14ac:dyDescent="0.25">
      <c r="A343" s="1" t="s">
        <v>351</v>
      </c>
      <c r="B343" s="2">
        <f t="shared" si="10"/>
        <v>8</v>
      </c>
      <c r="C343" s="2">
        <f t="shared" si="11"/>
        <v>2019</v>
      </c>
      <c r="D343" s="4">
        <v>750</v>
      </c>
      <c r="E343" s="4" t="s">
        <v>10</v>
      </c>
      <c r="F343" s="4">
        <v>780</v>
      </c>
      <c r="G343" s="4">
        <v>730</v>
      </c>
      <c r="H343" s="4"/>
    </row>
    <row r="344" spans="1:8" x14ac:dyDescent="0.25">
      <c r="A344" s="1" t="s">
        <v>352</v>
      </c>
      <c r="B344" s="2">
        <f t="shared" si="10"/>
        <v>8</v>
      </c>
      <c r="C344" s="2">
        <f t="shared" si="11"/>
        <v>2019</v>
      </c>
      <c r="D344" s="4">
        <v>727</v>
      </c>
      <c r="E344" s="4" t="s">
        <v>10</v>
      </c>
      <c r="F344" s="4">
        <v>750</v>
      </c>
      <c r="G344" s="4">
        <v>715</v>
      </c>
      <c r="H344" s="4"/>
    </row>
    <row r="345" spans="1:8" x14ac:dyDescent="0.25">
      <c r="A345" s="1" t="s">
        <v>353</v>
      </c>
      <c r="B345" s="2">
        <f t="shared" si="10"/>
        <v>8</v>
      </c>
      <c r="C345" s="2">
        <f t="shared" si="11"/>
        <v>2019</v>
      </c>
      <c r="D345" s="4">
        <v>719</v>
      </c>
      <c r="E345" s="4" t="s">
        <v>10</v>
      </c>
      <c r="F345" s="4">
        <v>745</v>
      </c>
      <c r="G345" s="4">
        <v>715</v>
      </c>
      <c r="H345" s="4"/>
    </row>
    <row r="346" spans="1:8" x14ac:dyDescent="0.25">
      <c r="A346" s="1" t="s">
        <v>354</v>
      </c>
      <c r="B346" s="2">
        <f t="shared" si="10"/>
        <v>8</v>
      </c>
      <c r="C346" s="2">
        <f t="shared" si="11"/>
        <v>2019</v>
      </c>
      <c r="D346" s="4">
        <v>719</v>
      </c>
      <c r="E346" s="4" t="s">
        <v>10</v>
      </c>
      <c r="F346" s="4">
        <v>745</v>
      </c>
      <c r="G346" s="4">
        <v>715</v>
      </c>
      <c r="H346" s="4"/>
    </row>
    <row r="347" spans="1:8" x14ac:dyDescent="0.25">
      <c r="A347" s="1" t="s">
        <v>355</v>
      </c>
      <c r="B347" s="2">
        <f t="shared" si="10"/>
        <v>8</v>
      </c>
      <c r="C347" s="2">
        <f t="shared" si="11"/>
        <v>2019</v>
      </c>
      <c r="D347" s="4">
        <v>718</v>
      </c>
      <c r="E347" s="4" t="s">
        <v>10</v>
      </c>
      <c r="F347" s="4">
        <v>745</v>
      </c>
      <c r="G347" s="4">
        <v>715</v>
      </c>
      <c r="H347" s="4"/>
    </row>
    <row r="348" spans="1:8" x14ac:dyDescent="0.25">
      <c r="A348" s="1" t="s">
        <v>356</v>
      </c>
      <c r="B348" s="2">
        <f t="shared" si="10"/>
        <v>8</v>
      </c>
      <c r="C348" s="2">
        <f t="shared" si="11"/>
        <v>2019</v>
      </c>
      <c r="D348" s="4">
        <v>721</v>
      </c>
      <c r="E348" s="4" t="s">
        <v>10</v>
      </c>
      <c r="F348" s="4">
        <v>740</v>
      </c>
      <c r="G348" s="4">
        <v>715</v>
      </c>
      <c r="H348" s="4"/>
    </row>
    <row r="349" spans="1:8" x14ac:dyDescent="0.25">
      <c r="A349" s="1" t="s">
        <v>357</v>
      </c>
      <c r="B349" s="2">
        <f t="shared" si="10"/>
        <v>8</v>
      </c>
      <c r="C349" s="2">
        <f t="shared" si="11"/>
        <v>2019</v>
      </c>
      <c r="D349" s="4">
        <v>721</v>
      </c>
      <c r="E349" s="4" t="s">
        <v>10</v>
      </c>
      <c r="F349" s="4">
        <v>740</v>
      </c>
      <c r="G349" s="4">
        <v>715</v>
      </c>
      <c r="H349" s="4"/>
    </row>
    <row r="350" spans="1:8" x14ac:dyDescent="0.25">
      <c r="A350" s="1" t="s">
        <v>358</v>
      </c>
      <c r="B350" s="2">
        <f t="shared" si="10"/>
        <v>8</v>
      </c>
      <c r="C350" s="2">
        <f t="shared" si="11"/>
        <v>2019</v>
      </c>
      <c r="D350" s="4">
        <v>720</v>
      </c>
      <c r="E350" s="4" t="s">
        <v>10</v>
      </c>
      <c r="F350" s="4">
        <v>750</v>
      </c>
      <c r="G350" s="4">
        <v>715</v>
      </c>
      <c r="H350" s="4"/>
    </row>
    <row r="351" spans="1:8" x14ac:dyDescent="0.25">
      <c r="A351" s="1" t="s">
        <v>359</v>
      </c>
      <c r="B351" s="2">
        <f t="shared" si="10"/>
        <v>8</v>
      </c>
      <c r="C351" s="2">
        <f t="shared" si="11"/>
        <v>2019</v>
      </c>
      <c r="D351" s="4">
        <v>721</v>
      </c>
      <c r="E351" s="4" t="s">
        <v>10</v>
      </c>
      <c r="F351" s="4">
        <v>750</v>
      </c>
      <c r="G351" s="4">
        <v>715</v>
      </c>
      <c r="H351" s="4"/>
    </row>
    <row r="352" spans="1:8" x14ac:dyDescent="0.25">
      <c r="A352" s="1" t="s">
        <v>360</v>
      </c>
      <c r="B352" s="2">
        <f t="shared" si="10"/>
        <v>8</v>
      </c>
      <c r="C352" s="2">
        <f t="shared" si="11"/>
        <v>2019</v>
      </c>
      <c r="D352" s="4">
        <v>720</v>
      </c>
      <c r="E352" s="4" t="s">
        <v>10</v>
      </c>
      <c r="F352" s="4">
        <v>745</v>
      </c>
      <c r="G352" s="4">
        <v>715</v>
      </c>
      <c r="H352" s="4"/>
    </row>
    <row r="353" spans="1:8" x14ac:dyDescent="0.25">
      <c r="A353" s="1" t="s">
        <v>361</v>
      </c>
      <c r="B353" s="2">
        <f t="shared" si="10"/>
        <v>8</v>
      </c>
      <c r="C353" s="2">
        <f t="shared" si="11"/>
        <v>2019</v>
      </c>
      <c r="D353" s="4">
        <v>720</v>
      </c>
      <c r="E353" s="4" t="s">
        <v>10</v>
      </c>
      <c r="F353" s="4">
        <v>750</v>
      </c>
      <c r="G353" s="4">
        <v>715</v>
      </c>
      <c r="H353" s="4"/>
    </row>
    <row r="354" spans="1:8" x14ac:dyDescent="0.25">
      <c r="A354" s="1" t="s">
        <v>362</v>
      </c>
      <c r="B354" s="2">
        <f t="shared" si="10"/>
        <v>9</v>
      </c>
      <c r="C354" s="2">
        <f t="shared" si="11"/>
        <v>2019</v>
      </c>
      <c r="D354" s="4">
        <v>720</v>
      </c>
      <c r="E354" s="4" t="s">
        <v>10</v>
      </c>
      <c r="F354" s="4">
        <v>755</v>
      </c>
      <c r="G354" s="4">
        <v>715</v>
      </c>
      <c r="H354" s="4"/>
    </row>
    <row r="355" spans="1:8" x14ac:dyDescent="0.25">
      <c r="A355" s="1" t="s">
        <v>363</v>
      </c>
      <c r="B355" s="2">
        <f t="shared" si="10"/>
        <v>9</v>
      </c>
      <c r="C355" s="2">
        <f t="shared" si="11"/>
        <v>2019</v>
      </c>
      <c r="D355" s="4">
        <v>722</v>
      </c>
      <c r="E355" s="4" t="s">
        <v>10</v>
      </c>
      <c r="F355" s="4">
        <v>755</v>
      </c>
      <c r="G355" s="4">
        <v>715</v>
      </c>
      <c r="H355" s="4"/>
    </row>
    <row r="356" spans="1:8" x14ac:dyDescent="0.25">
      <c r="A356" s="1" t="s">
        <v>364</v>
      </c>
      <c r="B356" s="2">
        <f t="shared" si="10"/>
        <v>9</v>
      </c>
      <c r="C356" s="2">
        <f t="shared" si="11"/>
        <v>2019</v>
      </c>
      <c r="D356" s="4">
        <v>722</v>
      </c>
      <c r="E356" s="4" t="s">
        <v>10</v>
      </c>
      <c r="F356" s="4">
        <v>752</v>
      </c>
      <c r="G356" s="4">
        <v>715</v>
      </c>
      <c r="H356" s="4"/>
    </row>
    <row r="357" spans="1:8" x14ac:dyDescent="0.25">
      <c r="A357" s="1" t="s">
        <v>365</v>
      </c>
      <c r="B357" s="2">
        <f t="shared" si="10"/>
        <v>9</v>
      </c>
      <c r="C357" s="2">
        <f t="shared" si="11"/>
        <v>2019</v>
      </c>
      <c r="D357" s="4">
        <v>718</v>
      </c>
      <c r="E357" s="4" t="s">
        <v>10</v>
      </c>
      <c r="F357" s="4">
        <v>750</v>
      </c>
      <c r="G357" s="4">
        <v>715</v>
      </c>
      <c r="H357" s="4"/>
    </row>
    <row r="358" spans="1:8" x14ac:dyDescent="0.25">
      <c r="A358" s="1" t="s">
        <v>366</v>
      </c>
      <c r="B358" s="2">
        <f t="shared" si="10"/>
        <v>9</v>
      </c>
      <c r="C358" s="2">
        <f t="shared" si="11"/>
        <v>2019</v>
      </c>
      <c r="D358" s="4">
        <v>715</v>
      </c>
      <c r="E358" s="4" t="s">
        <v>10</v>
      </c>
      <c r="F358" s="4">
        <v>740</v>
      </c>
      <c r="G358" s="4">
        <v>715</v>
      </c>
      <c r="H358" s="4"/>
    </row>
    <row r="359" spans="1:8" x14ac:dyDescent="0.25">
      <c r="A359" s="1" t="s">
        <v>367</v>
      </c>
      <c r="B359" s="2">
        <f t="shared" si="10"/>
        <v>9</v>
      </c>
      <c r="C359" s="2">
        <f t="shared" si="11"/>
        <v>2019</v>
      </c>
      <c r="D359" s="4">
        <v>713</v>
      </c>
      <c r="E359" s="4" t="s">
        <v>10</v>
      </c>
      <c r="F359" s="4">
        <v>737</v>
      </c>
      <c r="G359" s="4">
        <v>715</v>
      </c>
      <c r="H359" s="4"/>
    </row>
    <row r="360" spans="1:8" x14ac:dyDescent="0.25">
      <c r="A360" s="1" t="s">
        <v>368</v>
      </c>
      <c r="B360" s="2">
        <f t="shared" si="10"/>
        <v>9</v>
      </c>
      <c r="C360" s="2">
        <f t="shared" si="11"/>
        <v>2019</v>
      </c>
      <c r="D360" s="4">
        <v>711</v>
      </c>
      <c r="E360" s="4" t="s">
        <v>10</v>
      </c>
      <c r="F360" s="4">
        <v>735</v>
      </c>
      <c r="G360" s="4">
        <v>710</v>
      </c>
      <c r="H360" s="4"/>
    </row>
    <row r="361" spans="1:8" x14ac:dyDescent="0.25">
      <c r="A361" s="1" t="s">
        <v>369</v>
      </c>
      <c r="B361" s="2">
        <f t="shared" si="10"/>
        <v>9</v>
      </c>
      <c r="C361" s="2">
        <f t="shared" si="11"/>
        <v>2019</v>
      </c>
      <c r="D361" s="4">
        <v>708</v>
      </c>
      <c r="E361" s="4" t="s">
        <v>10</v>
      </c>
      <c r="F361" s="4">
        <v>735</v>
      </c>
      <c r="G361" s="4">
        <v>710</v>
      </c>
      <c r="H361" s="4"/>
    </row>
    <row r="362" spans="1:8" x14ac:dyDescent="0.25">
      <c r="A362" s="1" t="s">
        <v>370</v>
      </c>
      <c r="B362" s="2">
        <f t="shared" si="10"/>
        <v>9</v>
      </c>
      <c r="C362" s="2">
        <f t="shared" si="11"/>
        <v>2019</v>
      </c>
      <c r="D362" s="4">
        <v>700</v>
      </c>
      <c r="E362" s="4" t="s">
        <v>10</v>
      </c>
      <c r="F362" s="4">
        <v>730</v>
      </c>
      <c r="G362" s="4">
        <v>710</v>
      </c>
      <c r="H362" s="4"/>
    </row>
    <row r="363" spans="1:8" x14ac:dyDescent="0.25">
      <c r="A363" s="1" t="s">
        <v>371</v>
      </c>
      <c r="B363" s="2">
        <f t="shared" si="10"/>
        <v>9</v>
      </c>
      <c r="C363" s="2">
        <f t="shared" si="11"/>
        <v>2019</v>
      </c>
      <c r="D363" s="4">
        <v>702</v>
      </c>
      <c r="E363" s="4" t="s">
        <v>10</v>
      </c>
      <c r="F363" s="4">
        <v>747.5</v>
      </c>
      <c r="G363" s="4">
        <v>710</v>
      </c>
      <c r="H363" s="4"/>
    </row>
    <row r="364" spans="1:8" x14ac:dyDescent="0.25">
      <c r="A364" s="1" t="s">
        <v>372</v>
      </c>
      <c r="B364" s="2">
        <f t="shared" si="10"/>
        <v>9</v>
      </c>
      <c r="C364" s="2">
        <f t="shared" si="11"/>
        <v>2019</v>
      </c>
      <c r="D364" s="4">
        <v>690</v>
      </c>
      <c r="E364" s="4" t="s">
        <v>10</v>
      </c>
      <c r="F364" s="4">
        <v>755</v>
      </c>
      <c r="G364" s="4">
        <v>700</v>
      </c>
      <c r="H364" s="4"/>
    </row>
    <row r="365" spans="1:8" x14ac:dyDescent="0.25">
      <c r="A365" s="1" t="s">
        <v>373</v>
      </c>
      <c r="B365" s="2">
        <f t="shared" si="10"/>
        <v>9</v>
      </c>
      <c r="C365" s="2">
        <f t="shared" si="11"/>
        <v>2019</v>
      </c>
      <c r="D365" s="4">
        <v>694</v>
      </c>
      <c r="E365" s="4" t="s">
        <v>10</v>
      </c>
      <c r="F365" s="4">
        <v>738</v>
      </c>
      <c r="G365" s="4">
        <v>700</v>
      </c>
      <c r="H365" s="4"/>
    </row>
    <row r="366" spans="1:8" x14ac:dyDescent="0.25">
      <c r="A366" s="1" t="s">
        <v>374</v>
      </c>
      <c r="B366" s="2">
        <f t="shared" si="10"/>
        <v>9</v>
      </c>
      <c r="C366" s="2">
        <f t="shared" si="11"/>
        <v>2019</v>
      </c>
      <c r="D366" s="4">
        <v>695</v>
      </c>
      <c r="E366" s="4" t="s">
        <v>10</v>
      </c>
      <c r="F366" s="4">
        <v>732.5</v>
      </c>
      <c r="G366" s="4">
        <v>700</v>
      </c>
      <c r="H366" s="4"/>
    </row>
    <row r="367" spans="1:8" x14ac:dyDescent="0.25">
      <c r="A367" s="1" t="s">
        <v>375</v>
      </c>
      <c r="B367" s="2">
        <f t="shared" si="10"/>
        <v>9</v>
      </c>
      <c r="C367" s="2">
        <f t="shared" si="11"/>
        <v>2019</v>
      </c>
      <c r="D367" s="4">
        <v>696</v>
      </c>
      <c r="E367" s="4" t="s">
        <v>10</v>
      </c>
      <c r="F367" s="4">
        <v>760</v>
      </c>
      <c r="G367" s="4">
        <v>700</v>
      </c>
      <c r="H367" s="4"/>
    </row>
    <row r="368" spans="1:8" x14ac:dyDescent="0.25">
      <c r="A368" s="1" t="s">
        <v>376</v>
      </c>
      <c r="B368" s="2">
        <f t="shared" si="10"/>
        <v>9</v>
      </c>
      <c r="C368" s="2">
        <f t="shared" si="11"/>
        <v>2019</v>
      </c>
      <c r="D368" s="4">
        <v>694</v>
      </c>
      <c r="E368" s="4" t="s">
        <v>10</v>
      </c>
      <c r="F368" s="4">
        <v>755</v>
      </c>
      <c r="G368" s="4">
        <v>700</v>
      </c>
      <c r="H368" s="4"/>
    </row>
    <row r="369" spans="1:8" x14ac:dyDescent="0.25">
      <c r="A369" s="1" t="s">
        <v>377</v>
      </c>
      <c r="B369" s="2">
        <f t="shared" si="10"/>
        <v>9</v>
      </c>
      <c r="C369" s="2">
        <f t="shared" si="11"/>
        <v>2019</v>
      </c>
      <c r="D369" s="4">
        <v>696</v>
      </c>
      <c r="E369" s="4" t="s">
        <v>10</v>
      </c>
      <c r="F369" s="4">
        <v>750</v>
      </c>
      <c r="G369" s="4">
        <v>700</v>
      </c>
      <c r="H369" s="4"/>
    </row>
    <row r="370" spans="1:8" x14ac:dyDescent="0.25">
      <c r="A370" s="1" t="s">
        <v>378</v>
      </c>
      <c r="B370" s="2">
        <f t="shared" si="10"/>
        <v>9</v>
      </c>
      <c r="C370" s="2">
        <f t="shared" si="11"/>
        <v>2019</v>
      </c>
      <c r="D370" s="4">
        <v>693</v>
      </c>
      <c r="E370" s="4" t="s">
        <v>10</v>
      </c>
      <c r="F370" s="4">
        <v>758</v>
      </c>
      <c r="G370" s="4">
        <v>702</v>
      </c>
      <c r="H370" s="4"/>
    </row>
    <row r="371" spans="1:8" x14ac:dyDescent="0.25">
      <c r="A371" s="1" t="s">
        <v>379</v>
      </c>
      <c r="B371" s="2">
        <f t="shared" si="10"/>
        <v>9</v>
      </c>
      <c r="C371" s="2">
        <f t="shared" si="11"/>
        <v>2019</v>
      </c>
      <c r="D371" s="4">
        <v>695</v>
      </c>
      <c r="E371" s="4" t="s">
        <v>10</v>
      </c>
      <c r="F371" s="4">
        <v>758</v>
      </c>
      <c r="G371" s="4">
        <v>705</v>
      </c>
      <c r="H371" s="4"/>
    </row>
    <row r="372" spans="1:8" x14ac:dyDescent="0.25">
      <c r="A372" s="1" t="s">
        <v>380</v>
      </c>
      <c r="B372" s="2">
        <f t="shared" si="10"/>
        <v>9</v>
      </c>
      <c r="C372" s="2">
        <f t="shared" si="11"/>
        <v>2019</v>
      </c>
      <c r="D372" s="4">
        <v>692</v>
      </c>
      <c r="E372" s="4" t="s">
        <v>10</v>
      </c>
      <c r="F372" s="4">
        <v>755</v>
      </c>
      <c r="G372" s="4">
        <v>705</v>
      </c>
      <c r="H372" s="4"/>
    </row>
    <row r="373" spans="1:8" x14ac:dyDescent="0.25">
      <c r="A373" s="1" t="s">
        <v>381</v>
      </c>
      <c r="B373" s="2">
        <f t="shared" si="10"/>
        <v>9</v>
      </c>
      <c r="C373" s="2">
        <f t="shared" si="11"/>
        <v>2019</v>
      </c>
      <c r="D373" s="4">
        <v>689</v>
      </c>
      <c r="E373" s="4" t="s">
        <v>10</v>
      </c>
      <c r="F373" s="4">
        <v>745</v>
      </c>
      <c r="G373" s="4">
        <v>705</v>
      </c>
      <c r="H373" s="4"/>
    </row>
    <row r="374" spans="1:8" x14ac:dyDescent="0.25">
      <c r="A374" s="1" t="s">
        <v>382</v>
      </c>
      <c r="B374" s="2">
        <f t="shared" si="10"/>
        <v>9</v>
      </c>
      <c r="C374" s="2">
        <f t="shared" si="11"/>
        <v>2019</v>
      </c>
      <c r="D374" s="4">
        <v>694</v>
      </c>
      <c r="E374" s="4" t="s">
        <v>10</v>
      </c>
      <c r="F374" s="4">
        <v>740</v>
      </c>
      <c r="G374" s="4">
        <v>704</v>
      </c>
      <c r="H374" s="4"/>
    </row>
    <row r="375" spans="1:8" x14ac:dyDescent="0.25">
      <c r="A375" s="1" t="s">
        <v>383</v>
      </c>
      <c r="B375" s="2">
        <f t="shared" si="10"/>
        <v>10</v>
      </c>
      <c r="C375" s="2">
        <f t="shared" si="11"/>
        <v>2019</v>
      </c>
      <c r="D375" s="4">
        <v>695</v>
      </c>
      <c r="E375" s="4" t="s">
        <v>10</v>
      </c>
      <c r="F375" s="4">
        <v>740</v>
      </c>
      <c r="G375" s="4">
        <v>698</v>
      </c>
      <c r="H375" s="4"/>
    </row>
    <row r="376" spans="1:8" x14ac:dyDescent="0.25">
      <c r="A376" s="1" t="s">
        <v>384</v>
      </c>
      <c r="B376" s="2">
        <f t="shared" si="10"/>
        <v>10</v>
      </c>
      <c r="C376" s="2">
        <f t="shared" si="11"/>
        <v>2019</v>
      </c>
      <c r="D376" s="4">
        <v>687</v>
      </c>
      <c r="E376" s="4" t="s">
        <v>10</v>
      </c>
      <c r="F376" s="4">
        <v>740</v>
      </c>
      <c r="G376" s="4">
        <v>695</v>
      </c>
      <c r="H376" s="4"/>
    </row>
    <row r="377" spans="1:8" x14ac:dyDescent="0.25">
      <c r="A377" s="1" t="s">
        <v>385</v>
      </c>
      <c r="B377" s="2">
        <f t="shared" si="10"/>
        <v>10</v>
      </c>
      <c r="C377" s="2">
        <f t="shared" si="11"/>
        <v>2019</v>
      </c>
      <c r="D377" s="4">
        <v>687</v>
      </c>
      <c r="E377" s="4" t="s">
        <v>10</v>
      </c>
      <c r="F377" s="4">
        <v>735</v>
      </c>
      <c r="G377" s="4">
        <v>695</v>
      </c>
      <c r="H377" s="4"/>
    </row>
    <row r="378" spans="1:8" x14ac:dyDescent="0.25">
      <c r="A378" s="1" t="s">
        <v>386</v>
      </c>
      <c r="B378" s="2">
        <f t="shared" si="10"/>
        <v>10</v>
      </c>
      <c r="C378" s="2">
        <f t="shared" si="11"/>
        <v>2019</v>
      </c>
      <c r="D378" s="4">
        <v>689</v>
      </c>
      <c r="E378" s="4" t="s">
        <v>10</v>
      </c>
      <c r="F378" s="4">
        <v>735</v>
      </c>
      <c r="G378" s="4">
        <v>695</v>
      </c>
      <c r="H378" s="4"/>
    </row>
    <row r="379" spans="1:8" x14ac:dyDescent="0.25">
      <c r="A379" s="1" t="s">
        <v>387</v>
      </c>
      <c r="B379" s="2">
        <f t="shared" si="10"/>
        <v>10</v>
      </c>
      <c r="C379" s="2">
        <f t="shared" si="11"/>
        <v>2019</v>
      </c>
      <c r="D379" s="4">
        <v>689</v>
      </c>
      <c r="E379" s="4" t="s">
        <v>10</v>
      </c>
      <c r="F379" s="4">
        <v>735</v>
      </c>
      <c r="G379" s="4">
        <v>700</v>
      </c>
      <c r="H379" s="4"/>
    </row>
    <row r="380" spans="1:8" x14ac:dyDescent="0.25">
      <c r="A380" s="1" t="s">
        <v>388</v>
      </c>
      <c r="B380" s="2">
        <f t="shared" si="10"/>
        <v>10</v>
      </c>
      <c r="C380" s="2">
        <f t="shared" si="11"/>
        <v>2019</v>
      </c>
      <c r="D380" s="4">
        <v>687</v>
      </c>
      <c r="E380" s="4" t="s">
        <v>10</v>
      </c>
      <c r="F380" s="4">
        <v>735</v>
      </c>
      <c r="G380" s="4">
        <v>695</v>
      </c>
      <c r="H380" s="4"/>
    </row>
    <row r="381" spans="1:8" x14ac:dyDescent="0.25">
      <c r="A381" s="1" t="s">
        <v>389</v>
      </c>
      <c r="B381" s="2">
        <f t="shared" si="10"/>
        <v>10</v>
      </c>
      <c r="C381" s="2">
        <f t="shared" si="11"/>
        <v>2019</v>
      </c>
      <c r="D381" s="4">
        <v>689</v>
      </c>
      <c r="E381" s="4" t="s">
        <v>10</v>
      </c>
      <c r="F381" s="4">
        <v>735</v>
      </c>
      <c r="G381" s="4">
        <v>695</v>
      </c>
      <c r="H381" s="4"/>
    </row>
    <row r="382" spans="1:8" x14ac:dyDescent="0.25">
      <c r="A382" s="1" t="s">
        <v>390</v>
      </c>
      <c r="B382" s="2">
        <f t="shared" si="10"/>
        <v>10</v>
      </c>
      <c r="C382" s="2">
        <f t="shared" si="11"/>
        <v>2019</v>
      </c>
      <c r="D382" s="4">
        <v>689</v>
      </c>
      <c r="E382" s="4" t="s">
        <v>10</v>
      </c>
      <c r="F382" s="4">
        <v>735</v>
      </c>
      <c r="G382" s="4">
        <v>690</v>
      </c>
      <c r="H382" s="4"/>
    </row>
    <row r="383" spans="1:8" x14ac:dyDescent="0.25">
      <c r="A383" s="1" t="s">
        <v>391</v>
      </c>
      <c r="B383" s="2">
        <f t="shared" si="10"/>
        <v>10</v>
      </c>
      <c r="C383" s="2">
        <f t="shared" si="11"/>
        <v>2019</v>
      </c>
      <c r="D383" s="4">
        <v>687</v>
      </c>
      <c r="E383" s="4" t="s">
        <v>10</v>
      </c>
      <c r="F383" s="4">
        <v>735</v>
      </c>
      <c r="G383" s="4">
        <v>690</v>
      </c>
      <c r="H383" s="4"/>
    </row>
    <row r="384" spans="1:8" x14ac:dyDescent="0.25">
      <c r="A384" s="1" t="s">
        <v>392</v>
      </c>
      <c r="B384" s="2">
        <f t="shared" si="10"/>
        <v>10</v>
      </c>
      <c r="C384" s="2">
        <f t="shared" si="11"/>
        <v>2019</v>
      </c>
      <c r="D384" s="4">
        <v>687</v>
      </c>
      <c r="E384" s="4" t="s">
        <v>10</v>
      </c>
      <c r="F384" s="4">
        <v>735</v>
      </c>
      <c r="G384" s="4">
        <v>685</v>
      </c>
      <c r="H384" s="4"/>
    </row>
    <row r="385" spans="1:8" x14ac:dyDescent="0.25">
      <c r="A385" s="1" t="s">
        <v>393</v>
      </c>
      <c r="B385" s="2">
        <f t="shared" si="10"/>
        <v>10</v>
      </c>
      <c r="C385" s="2">
        <f t="shared" si="11"/>
        <v>2019</v>
      </c>
      <c r="D385" s="4">
        <v>685</v>
      </c>
      <c r="E385" s="4" t="s">
        <v>10</v>
      </c>
      <c r="F385" s="4">
        <v>740</v>
      </c>
      <c r="G385" s="4">
        <v>685</v>
      </c>
      <c r="H385" s="4"/>
    </row>
    <row r="386" spans="1:8" x14ac:dyDescent="0.25">
      <c r="A386" s="1" t="s">
        <v>394</v>
      </c>
      <c r="B386" s="2">
        <f t="shared" si="10"/>
        <v>10</v>
      </c>
      <c r="C386" s="2">
        <f t="shared" si="11"/>
        <v>2019</v>
      </c>
      <c r="D386" s="4">
        <v>677</v>
      </c>
      <c r="E386" s="4" t="s">
        <v>10</v>
      </c>
      <c r="F386" s="4">
        <v>715</v>
      </c>
      <c r="G386" s="4">
        <v>685</v>
      </c>
      <c r="H386" s="4"/>
    </row>
    <row r="387" spans="1:8" x14ac:dyDescent="0.25">
      <c r="A387" s="1" t="s">
        <v>395</v>
      </c>
      <c r="B387" s="2">
        <f t="shared" ref="B387:B450" si="12">MONTH(A387)</f>
        <v>10</v>
      </c>
      <c r="C387" s="2">
        <f t="shared" ref="C387:C450" si="13">YEAR(A387)</f>
        <v>2019</v>
      </c>
      <c r="D387" s="4">
        <v>676</v>
      </c>
      <c r="E387" s="4" t="s">
        <v>10</v>
      </c>
      <c r="F387" s="4">
        <v>720</v>
      </c>
      <c r="G387" s="4">
        <v>665</v>
      </c>
      <c r="H387" s="4"/>
    </row>
    <row r="388" spans="1:8" x14ac:dyDescent="0.25">
      <c r="A388" s="1" t="s">
        <v>396</v>
      </c>
      <c r="B388" s="2">
        <f t="shared" si="12"/>
        <v>10</v>
      </c>
      <c r="C388" s="2">
        <f t="shared" si="13"/>
        <v>2019</v>
      </c>
      <c r="D388" s="4">
        <v>676</v>
      </c>
      <c r="E388" s="4" t="s">
        <v>10</v>
      </c>
      <c r="F388" s="4">
        <v>720</v>
      </c>
      <c r="G388" s="4">
        <v>665</v>
      </c>
      <c r="H388" s="4"/>
    </row>
    <row r="389" spans="1:8" x14ac:dyDescent="0.25">
      <c r="A389" s="1" t="s">
        <v>397</v>
      </c>
      <c r="B389" s="2">
        <f t="shared" si="12"/>
        <v>10</v>
      </c>
      <c r="C389" s="2">
        <f t="shared" si="13"/>
        <v>2019</v>
      </c>
      <c r="D389" s="4">
        <v>675</v>
      </c>
      <c r="E389" s="4" t="s">
        <v>10</v>
      </c>
      <c r="F389" s="4">
        <v>720</v>
      </c>
      <c r="G389" s="4">
        <v>665</v>
      </c>
      <c r="H389" s="4"/>
    </row>
    <row r="390" spans="1:8" x14ac:dyDescent="0.25">
      <c r="A390" s="1" t="s">
        <v>398</v>
      </c>
      <c r="B390" s="2">
        <f t="shared" si="12"/>
        <v>10</v>
      </c>
      <c r="C390" s="2">
        <f t="shared" si="13"/>
        <v>2019</v>
      </c>
      <c r="D390" s="4">
        <v>675</v>
      </c>
      <c r="E390" s="4" t="s">
        <v>10</v>
      </c>
      <c r="F390" s="4">
        <v>720</v>
      </c>
      <c r="G390" s="4">
        <v>665</v>
      </c>
      <c r="H390" s="4"/>
    </row>
    <row r="391" spans="1:8" x14ac:dyDescent="0.25">
      <c r="A391" s="1" t="s">
        <v>399</v>
      </c>
      <c r="B391" s="2">
        <f t="shared" si="12"/>
        <v>10</v>
      </c>
      <c r="C391" s="2">
        <f t="shared" si="13"/>
        <v>2019</v>
      </c>
      <c r="D391" s="4">
        <v>674</v>
      </c>
      <c r="E391" s="4" t="s">
        <v>10</v>
      </c>
      <c r="F391" s="4">
        <v>720</v>
      </c>
      <c r="G391" s="4">
        <v>665</v>
      </c>
      <c r="H391" s="4"/>
    </row>
    <row r="392" spans="1:8" x14ac:dyDescent="0.25">
      <c r="A392" s="1" t="s">
        <v>400</v>
      </c>
      <c r="B392" s="2">
        <f t="shared" si="12"/>
        <v>10</v>
      </c>
      <c r="C392" s="2">
        <f t="shared" si="13"/>
        <v>2019</v>
      </c>
      <c r="D392" s="4">
        <v>674</v>
      </c>
      <c r="E392" s="4" t="s">
        <v>10</v>
      </c>
      <c r="F392" s="4">
        <v>720</v>
      </c>
      <c r="G392" s="4">
        <v>665</v>
      </c>
      <c r="H392" s="4"/>
    </row>
    <row r="393" spans="1:8" x14ac:dyDescent="0.25">
      <c r="A393" s="1" t="s">
        <v>401</v>
      </c>
      <c r="B393" s="2">
        <f t="shared" si="12"/>
        <v>10</v>
      </c>
      <c r="C393" s="2">
        <f t="shared" si="13"/>
        <v>2019</v>
      </c>
      <c r="D393" s="4">
        <v>679</v>
      </c>
      <c r="E393" s="4" t="s">
        <v>10</v>
      </c>
      <c r="F393" s="4">
        <v>730</v>
      </c>
      <c r="G393" s="4">
        <v>665</v>
      </c>
      <c r="H393" s="4"/>
    </row>
    <row r="394" spans="1:8" x14ac:dyDescent="0.25">
      <c r="A394" s="1" t="s">
        <v>402</v>
      </c>
      <c r="B394" s="2">
        <f t="shared" si="12"/>
        <v>10</v>
      </c>
      <c r="C394" s="2">
        <f t="shared" si="13"/>
        <v>2019</v>
      </c>
      <c r="D394" s="4">
        <v>675</v>
      </c>
      <c r="E394" s="4" t="s">
        <v>10</v>
      </c>
      <c r="F394" s="4">
        <v>730</v>
      </c>
      <c r="G394" s="4">
        <v>665</v>
      </c>
      <c r="H394" s="4"/>
    </row>
    <row r="395" spans="1:8" x14ac:dyDescent="0.25">
      <c r="A395" s="1" t="s">
        <v>403</v>
      </c>
      <c r="B395" s="2">
        <f t="shared" si="12"/>
        <v>10</v>
      </c>
      <c r="C395" s="2">
        <f t="shared" si="13"/>
        <v>2019</v>
      </c>
      <c r="D395" s="4">
        <v>673</v>
      </c>
      <c r="E395" s="4" t="s">
        <v>10</v>
      </c>
      <c r="F395" s="4">
        <v>725</v>
      </c>
      <c r="G395" s="4">
        <v>660</v>
      </c>
      <c r="H395" s="4"/>
    </row>
    <row r="396" spans="1:8" x14ac:dyDescent="0.25">
      <c r="A396" s="1" t="s">
        <v>404</v>
      </c>
      <c r="B396" s="2">
        <f t="shared" si="12"/>
        <v>10</v>
      </c>
      <c r="C396" s="2">
        <f t="shared" si="13"/>
        <v>2019</v>
      </c>
      <c r="D396" s="4">
        <v>678</v>
      </c>
      <c r="E396" s="4" t="s">
        <v>10</v>
      </c>
      <c r="F396" s="4">
        <v>730</v>
      </c>
      <c r="G396" s="4">
        <v>660</v>
      </c>
      <c r="H396" s="4"/>
    </row>
    <row r="397" spans="1:8" x14ac:dyDescent="0.25">
      <c r="A397" s="1" t="s">
        <v>405</v>
      </c>
      <c r="B397" s="2">
        <f t="shared" si="12"/>
        <v>10</v>
      </c>
      <c r="C397" s="2">
        <f t="shared" si="13"/>
        <v>2019</v>
      </c>
      <c r="D397" s="4">
        <v>685</v>
      </c>
      <c r="E397" s="4" t="s">
        <v>10</v>
      </c>
      <c r="F397" s="4">
        <v>730</v>
      </c>
      <c r="G397" s="4">
        <v>660</v>
      </c>
      <c r="H397" s="4"/>
    </row>
    <row r="398" spans="1:8" x14ac:dyDescent="0.25">
      <c r="A398" s="1" t="s">
        <v>406</v>
      </c>
      <c r="B398" s="2">
        <f t="shared" si="12"/>
        <v>11</v>
      </c>
      <c r="C398" s="2">
        <f t="shared" si="13"/>
        <v>2019</v>
      </c>
      <c r="D398" s="4">
        <v>681</v>
      </c>
      <c r="E398" s="4" t="s">
        <v>10</v>
      </c>
      <c r="F398" s="4">
        <v>730</v>
      </c>
      <c r="G398" s="4">
        <v>660</v>
      </c>
      <c r="H398" s="4"/>
    </row>
    <row r="399" spans="1:8" x14ac:dyDescent="0.25">
      <c r="A399" s="1" t="s">
        <v>407</v>
      </c>
      <c r="B399" s="2">
        <f t="shared" si="12"/>
        <v>11</v>
      </c>
      <c r="C399" s="2">
        <f t="shared" si="13"/>
        <v>2019</v>
      </c>
      <c r="D399" s="4">
        <v>692</v>
      </c>
      <c r="E399" s="4" t="s">
        <v>10</v>
      </c>
      <c r="F399" s="4">
        <v>742.5</v>
      </c>
      <c r="G399" s="4">
        <v>660</v>
      </c>
      <c r="H399" s="4"/>
    </row>
    <row r="400" spans="1:8" x14ac:dyDescent="0.25">
      <c r="A400" s="1" t="s">
        <v>408</v>
      </c>
      <c r="B400" s="2">
        <f t="shared" si="12"/>
        <v>11</v>
      </c>
      <c r="C400" s="2">
        <f t="shared" si="13"/>
        <v>2019</v>
      </c>
      <c r="D400" s="4">
        <v>697</v>
      </c>
      <c r="E400" s="4" t="s">
        <v>10</v>
      </c>
      <c r="F400" s="4">
        <v>742.5</v>
      </c>
      <c r="G400" s="4">
        <v>660</v>
      </c>
      <c r="H400" s="4"/>
    </row>
    <row r="401" spans="1:8" x14ac:dyDescent="0.25">
      <c r="A401" s="1" t="s">
        <v>409</v>
      </c>
      <c r="B401" s="2">
        <f t="shared" si="12"/>
        <v>11</v>
      </c>
      <c r="C401" s="2">
        <f t="shared" si="13"/>
        <v>2019</v>
      </c>
      <c r="D401" s="4">
        <v>700</v>
      </c>
      <c r="E401" s="4" t="s">
        <v>10</v>
      </c>
      <c r="F401" s="4">
        <v>745</v>
      </c>
      <c r="G401" s="4">
        <v>665</v>
      </c>
      <c r="H401" s="4"/>
    </row>
    <row r="402" spans="1:8" x14ac:dyDescent="0.25">
      <c r="A402" s="1" t="s">
        <v>410</v>
      </c>
      <c r="B402" s="2">
        <f t="shared" si="12"/>
        <v>11</v>
      </c>
      <c r="C402" s="2">
        <f t="shared" si="13"/>
        <v>2019</v>
      </c>
      <c r="D402" s="4">
        <v>700</v>
      </c>
      <c r="E402" s="4" t="s">
        <v>10</v>
      </c>
      <c r="F402" s="4">
        <v>755</v>
      </c>
      <c r="G402" s="4">
        <v>665</v>
      </c>
      <c r="H402" s="4"/>
    </row>
    <row r="403" spans="1:8" x14ac:dyDescent="0.25">
      <c r="A403" s="1" t="s">
        <v>411</v>
      </c>
      <c r="B403" s="2">
        <f t="shared" si="12"/>
        <v>11</v>
      </c>
      <c r="C403" s="2">
        <f t="shared" si="13"/>
        <v>2019</v>
      </c>
      <c r="D403" s="4">
        <v>707</v>
      </c>
      <c r="E403" s="4" t="s">
        <v>10</v>
      </c>
      <c r="F403" s="4">
        <v>755</v>
      </c>
      <c r="G403" s="4">
        <v>665</v>
      </c>
      <c r="H403" s="4"/>
    </row>
    <row r="404" spans="1:8" x14ac:dyDescent="0.25">
      <c r="A404" s="1" t="s">
        <v>412</v>
      </c>
      <c r="B404" s="2">
        <f t="shared" si="12"/>
        <v>11</v>
      </c>
      <c r="C404" s="2">
        <f t="shared" si="13"/>
        <v>2019</v>
      </c>
      <c r="D404" s="4">
        <v>710</v>
      </c>
      <c r="E404" s="4" t="s">
        <v>10</v>
      </c>
      <c r="F404" s="4">
        <v>760</v>
      </c>
      <c r="G404" s="4">
        <v>675</v>
      </c>
      <c r="H404" s="4"/>
    </row>
    <row r="405" spans="1:8" x14ac:dyDescent="0.25">
      <c r="A405" s="1" t="s">
        <v>413</v>
      </c>
      <c r="B405" s="2">
        <f t="shared" si="12"/>
        <v>11</v>
      </c>
      <c r="C405" s="2">
        <f t="shared" si="13"/>
        <v>2019</v>
      </c>
      <c r="D405" s="4">
        <v>710</v>
      </c>
      <c r="E405" s="4" t="s">
        <v>10</v>
      </c>
      <c r="F405" s="4">
        <v>750</v>
      </c>
      <c r="G405" s="4">
        <v>680</v>
      </c>
      <c r="H405" s="4"/>
    </row>
    <row r="406" spans="1:8" x14ac:dyDescent="0.25">
      <c r="A406" s="1" t="s">
        <v>414</v>
      </c>
      <c r="B406" s="2">
        <f t="shared" si="12"/>
        <v>11</v>
      </c>
      <c r="C406" s="2">
        <f t="shared" si="13"/>
        <v>2019</v>
      </c>
      <c r="D406" s="4">
        <v>708</v>
      </c>
      <c r="E406" s="4" t="s">
        <v>10</v>
      </c>
      <c r="F406" s="4">
        <v>747.5</v>
      </c>
      <c r="G406" s="4">
        <v>680</v>
      </c>
      <c r="H406" s="4"/>
    </row>
    <row r="407" spans="1:8" x14ac:dyDescent="0.25">
      <c r="A407" s="1" t="s">
        <v>415</v>
      </c>
      <c r="B407" s="2">
        <f t="shared" si="12"/>
        <v>11</v>
      </c>
      <c r="C407" s="2">
        <f t="shared" si="13"/>
        <v>2019</v>
      </c>
      <c r="D407" s="4">
        <v>709</v>
      </c>
      <c r="E407" s="4" t="s">
        <v>10</v>
      </c>
      <c r="F407" s="4">
        <v>750</v>
      </c>
      <c r="G407" s="4">
        <v>685</v>
      </c>
      <c r="H407" s="4"/>
    </row>
    <row r="408" spans="1:8" x14ac:dyDescent="0.25">
      <c r="A408" s="1" t="s">
        <v>416</v>
      </c>
      <c r="B408" s="2">
        <f t="shared" si="12"/>
        <v>11</v>
      </c>
      <c r="C408" s="2">
        <f t="shared" si="13"/>
        <v>2019</v>
      </c>
      <c r="D408" s="4">
        <v>709</v>
      </c>
      <c r="E408" s="4" t="s">
        <v>10</v>
      </c>
      <c r="F408" s="4">
        <v>755</v>
      </c>
      <c r="G408" s="4">
        <v>695</v>
      </c>
      <c r="H408" s="4"/>
    </row>
    <row r="409" spans="1:8" x14ac:dyDescent="0.25">
      <c r="A409" s="1" t="s">
        <v>417</v>
      </c>
      <c r="B409" s="2">
        <f t="shared" si="12"/>
        <v>11</v>
      </c>
      <c r="C409" s="2">
        <f t="shared" si="13"/>
        <v>2019</v>
      </c>
      <c r="D409" s="4">
        <v>708</v>
      </c>
      <c r="E409" s="4" t="s">
        <v>10</v>
      </c>
      <c r="F409" s="4">
        <v>755</v>
      </c>
      <c r="G409" s="4" t="s">
        <v>10</v>
      </c>
      <c r="H409" s="4"/>
    </row>
    <row r="410" spans="1:8" x14ac:dyDescent="0.25">
      <c r="A410" s="1" t="s">
        <v>418</v>
      </c>
      <c r="B410" s="2">
        <f t="shared" si="12"/>
        <v>11</v>
      </c>
      <c r="C410" s="2">
        <f t="shared" si="13"/>
        <v>2019</v>
      </c>
      <c r="D410" s="4">
        <v>717</v>
      </c>
      <c r="E410" s="4" t="s">
        <v>10</v>
      </c>
      <c r="F410" s="4">
        <v>760</v>
      </c>
      <c r="G410" s="4">
        <v>695</v>
      </c>
      <c r="H410" s="4"/>
    </row>
    <row r="411" spans="1:8" x14ac:dyDescent="0.25">
      <c r="A411" s="1" t="s">
        <v>419</v>
      </c>
      <c r="B411" s="2">
        <f t="shared" si="12"/>
        <v>11</v>
      </c>
      <c r="C411" s="2">
        <f t="shared" si="13"/>
        <v>2019</v>
      </c>
      <c r="D411" s="4">
        <v>720</v>
      </c>
      <c r="E411" s="4" t="s">
        <v>10</v>
      </c>
      <c r="F411" s="4">
        <v>762.5</v>
      </c>
      <c r="G411" s="4">
        <v>695</v>
      </c>
      <c r="H411" s="4"/>
    </row>
    <row r="412" spans="1:8" x14ac:dyDescent="0.25">
      <c r="A412" s="1" t="s">
        <v>420</v>
      </c>
      <c r="B412" s="2">
        <f t="shared" si="12"/>
        <v>11</v>
      </c>
      <c r="C412" s="2">
        <f t="shared" si="13"/>
        <v>2019</v>
      </c>
      <c r="D412" s="4">
        <v>728</v>
      </c>
      <c r="E412" s="4" t="s">
        <v>10</v>
      </c>
      <c r="F412" s="4">
        <v>764</v>
      </c>
      <c r="G412" s="4">
        <v>695</v>
      </c>
      <c r="H412" s="4"/>
    </row>
    <row r="413" spans="1:8" x14ac:dyDescent="0.25">
      <c r="A413" s="1" t="s">
        <v>421</v>
      </c>
      <c r="B413" s="2">
        <f t="shared" si="12"/>
        <v>11</v>
      </c>
      <c r="C413" s="2">
        <f t="shared" si="13"/>
        <v>2019</v>
      </c>
      <c r="D413" s="4">
        <v>730</v>
      </c>
      <c r="E413" s="4" t="s">
        <v>10</v>
      </c>
      <c r="F413" s="4">
        <v>764</v>
      </c>
      <c r="G413" s="4">
        <v>720</v>
      </c>
      <c r="H413" s="4"/>
    </row>
    <row r="414" spans="1:8" x14ac:dyDescent="0.25">
      <c r="A414" s="1" t="s">
        <v>422</v>
      </c>
      <c r="B414" s="2">
        <f t="shared" si="12"/>
        <v>11</v>
      </c>
      <c r="C414" s="2">
        <f t="shared" si="13"/>
        <v>2019</v>
      </c>
      <c r="D414" s="4">
        <v>727</v>
      </c>
      <c r="E414" s="4" t="s">
        <v>10</v>
      </c>
      <c r="F414" s="4">
        <v>765</v>
      </c>
      <c r="G414" s="4">
        <v>720</v>
      </c>
      <c r="H414" s="4"/>
    </row>
    <row r="415" spans="1:8" x14ac:dyDescent="0.25">
      <c r="A415" s="1" t="s">
        <v>423</v>
      </c>
      <c r="B415" s="2">
        <f t="shared" si="12"/>
        <v>11</v>
      </c>
      <c r="C415" s="2">
        <f t="shared" si="13"/>
        <v>2019</v>
      </c>
      <c r="D415" s="4">
        <v>726</v>
      </c>
      <c r="E415" s="4" t="s">
        <v>10</v>
      </c>
      <c r="F415" s="4">
        <v>762.5</v>
      </c>
      <c r="G415" s="4">
        <v>720</v>
      </c>
      <c r="H415" s="4"/>
    </row>
    <row r="416" spans="1:8" x14ac:dyDescent="0.25">
      <c r="A416" s="1" t="s">
        <v>424</v>
      </c>
      <c r="B416" s="2">
        <f t="shared" si="12"/>
        <v>11</v>
      </c>
      <c r="C416" s="2">
        <f t="shared" si="13"/>
        <v>2019</v>
      </c>
      <c r="D416" s="4">
        <v>724</v>
      </c>
      <c r="E416" s="4" t="s">
        <v>10</v>
      </c>
      <c r="F416" s="4">
        <v>760</v>
      </c>
      <c r="G416" s="4">
        <v>710</v>
      </c>
      <c r="H416" s="4"/>
    </row>
    <row r="417" spans="1:8" x14ac:dyDescent="0.25">
      <c r="A417" s="1" t="s">
        <v>425</v>
      </c>
      <c r="B417" s="2">
        <f t="shared" si="12"/>
        <v>11</v>
      </c>
      <c r="C417" s="2">
        <f t="shared" si="13"/>
        <v>2019</v>
      </c>
      <c r="D417" s="4">
        <v>724</v>
      </c>
      <c r="E417" s="4" t="s">
        <v>10</v>
      </c>
      <c r="F417" s="4">
        <v>757</v>
      </c>
      <c r="G417" s="4">
        <v>710</v>
      </c>
      <c r="H417" s="4"/>
    </row>
    <row r="418" spans="1:8" x14ac:dyDescent="0.25">
      <c r="A418" s="1" t="s">
        <v>426</v>
      </c>
      <c r="B418" s="2">
        <f t="shared" si="12"/>
        <v>11</v>
      </c>
      <c r="C418" s="2">
        <f t="shared" si="13"/>
        <v>2019</v>
      </c>
      <c r="D418" s="4">
        <v>727</v>
      </c>
      <c r="E418" s="4" t="s">
        <v>10</v>
      </c>
      <c r="F418" s="4">
        <v>757</v>
      </c>
      <c r="G418" s="4">
        <v>710</v>
      </c>
      <c r="H418" s="4"/>
    </row>
    <row r="419" spans="1:8" x14ac:dyDescent="0.25">
      <c r="A419" s="1" t="s">
        <v>427</v>
      </c>
      <c r="B419" s="2">
        <f t="shared" si="12"/>
        <v>12</v>
      </c>
      <c r="C419" s="2">
        <f t="shared" si="13"/>
        <v>2019</v>
      </c>
      <c r="D419" s="4">
        <v>724</v>
      </c>
      <c r="E419" s="4" t="s">
        <v>10</v>
      </c>
      <c r="F419" s="4">
        <v>763</v>
      </c>
      <c r="G419" s="4">
        <v>715</v>
      </c>
      <c r="H419" s="4"/>
    </row>
    <row r="420" spans="1:8" x14ac:dyDescent="0.25">
      <c r="A420" s="1" t="s">
        <v>428</v>
      </c>
      <c r="B420" s="2">
        <f t="shared" si="12"/>
        <v>12</v>
      </c>
      <c r="C420" s="2">
        <f t="shared" si="13"/>
        <v>2019</v>
      </c>
      <c r="D420" s="4">
        <v>725</v>
      </c>
      <c r="E420" s="4" t="s">
        <v>10</v>
      </c>
      <c r="F420" s="4">
        <v>762</v>
      </c>
      <c r="G420" s="4">
        <v>715</v>
      </c>
      <c r="H420" s="4"/>
    </row>
    <row r="421" spans="1:8" x14ac:dyDescent="0.25">
      <c r="A421" s="1" t="s">
        <v>429</v>
      </c>
      <c r="B421" s="2">
        <f t="shared" si="12"/>
        <v>12</v>
      </c>
      <c r="C421" s="2">
        <f t="shared" si="13"/>
        <v>2019</v>
      </c>
      <c r="D421" s="4">
        <v>727</v>
      </c>
      <c r="E421" s="4" t="s">
        <v>10</v>
      </c>
      <c r="F421" s="4">
        <v>760</v>
      </c>
      <c r="G421" s="4">
        <v>715</v>
      </c>
      <c r="H421" s="4"/>
    </row>
    <row r="422" spans="1:8" x14ac:dyDescent="0.25">
      <c r="A422" s="1" t="s">
        <v>430</v>
      </c>
      <c r="B422" s="2">
        <f t="shared" si="12"/>
        <v>12</v>
      </c>
      <c r="C422" s="2">
        <f t="shared" si="13"/>
        <v>2019</v>
      </c>
      <c r="D422" s="4">
        <v>728</v>
      </c>
      <c r="E422" s="4" t="s">
        <v>10</v>
      </c>
      <c r="F422" s="4">
        <v>760</v>
      </c>
      <c r="G422" s="4">
        <v>715</v>
      </c>
      <c r="H422" s="4"/>
    </row>
    <row r="423" spans="1:8" x14ac:dyDescent="0.25">
      <c r="A423" s="1" t="s">
        <v>431</v>
      </c>
      <c r="B423" s="2">
        <f t="shared" si="12"/>
        <v>12</v>
      </c>
      <c r="C423" s="2">
        <f t="shared" si="13"/>
        <v>2019</v>
      </c>
      <c r="D423" s="4">
        <v>745</v>
      </c>
      <c r="E423" s="4" t="s">
        <v>10</v>
      </c>
      <c r="F423" s="4">
        <v>775</v>
      </c>
      <c r="G423" s="4">
        <v>725</v>
      </c>
      <c r="H423" s="4"/>
    </row>
    <row r="424" spans="1:8" x14ac:dyDescent="0.25">
      <c r="A424" s="1" t="s">
        <v>432</v>
      </c>
      <c r="B424" s="2">
        <f t="shared" si="12"/>
        <v>12</v>
      </c>
      <c r="C424" s="2">
        <f t="shared" si="13"/>
        <v>2019</v>
      </c>
      <c r="D424" s="4">
        <v>755</v>
      </c>
      <c r="E424" s="4" t="s">
        <v>10</v>
      </c>
      <c r="F424" s="4">
        <v>790</v>
      </c>
      <c r="G424" s="4">
        <v>730</v>
      </c>
      <c r="H424" s="4"/>
    </row>
    <row r="425" spans="1:8" x14ac:dyDescent="0.25">
      <c r="A425" s="1" t="s">
        <v>433</v>
      </c>
      <c r="B425" s="2">
        <f t="shared" si="12"/>
        <v>12</v>
      </c>
      <c r="C425" s="2">
        <f t="shared" si="13"/>
        <v>2019</v>
      </c>
      <c r="D425" s="4">
        <v>755</v>
      </c>
      <c r="E425" s="4" t="s">
        <v>10</v>
      </c>
      <c r="F425" s="4">
        <v>795</v>
      </c>
      <c r="G425" s="4">
        <v>740</v>
      </c>
      <c r="H425" s="4"/>
    </row>
    <row r="426" spans="1:8" x14ac:dyDescent="0.25">
      <c r="A426" s="1" t="s">
        <v>434</v>
      </c>
      <c r="B426" s="2">
        <f t="shared" si="12"/>
        <v>12</v>
      </c>
      <c r="C426" s="2">
        <f t="shared" si="13"/>
        <v>2019</v>
      </c>
      <c r="D426" s="4">
        <v>754</v>
      </c>
      <c r="E426" s="4" t="s">
        <v>10</v>
      </c>
      <c r="F426" s="4">
        <v>790</v>
      </c>
      <c r="G426" s="4">
        <v>740</v>
      </c>
      <c r="H426" s="4"/>
    </row>
    <row r="427" spans="1:8" x14ac:dyDescent="0.25">
      <c r="A427" s="1" t="s">
        <v>435</v>
      </c>
      <c r="B427" s="2">
        <f t="shared" si="12"/>
        <v>12</v>
      </c>
      <c r="C427" s="2">
        <f t="shared" si="13"/>
        <v>2019</v>
      </c>
      <c r="D427" s="4">
        <v>757</v>
      </c>
      <c r="E427" s="4" t="s">
        <v>10</v>
      </c>
      <c r="F427" s="4">
        <v>795</v>
      </c>
      <c r="G427" s="4">
        <v>740</v>
      </c>
      <c r="H427" s="4"/>
    </row>
    <row r="428" spans="1:8" x14ac:dyDescent="0.25">
      <c r="A428" s="1" t="s">
        <v>436</v>
      </c>
      <c r="B428" s="2">
        <f t="shared" si="12"/>
        <v>12</v>
      </c>
      <c r="C428" s="2">
        <f t="shared" si="13"/>
        <v>2019</v>
      </c>
      <c r="D428" s="4">
        <v>757</v>
      </c>
      <c r="E428" s="4" t="s">
        <v>10</v>
      </c>
      <c r="F428" s="4">
        <v>795</v>
      </c>
      <c r="G428" s="4">
        <v>740</v>
      </c>
      <c r="H428" s="4"/>
    </row>
    <row r="429" spans="1:8" x14ac:dyDescent="0.25">
      <c r="A429" s="1" t="s">
        <v>437</v>
      </c>
      <c r="B429" s="2">
        <f t="shared" si="12"/>
        <v>12</v>
      </c>
      <c r="C429" s="2">
        <f t="shared" si="13"/>
        <v>2019</v>
      </c>
      <c r="D429" s="4">
        <v>759</v>
      </c>
      <c r="E429" s="4" t="s">
        <v>10</v>
      </c>
      <c r="F429" s="4">
        <v>797.5</v>
      </c>
      <c r="G429" s="4">
        <v>750</v>
      </c>
      <c r="H429" s="4"/>
    </row>
    <row r="430" spans="1:8" x14ac:dyDescent="0.25">
      <c r="A430" s="1" t="s">
        <v>438</v>
      </c>
      <c r="B430" s="2">
        <f t="shared" si="12"/>
        <v>12</v>
      </c>
      <c r="C430" s="2">
        <f t="shared" si="13"/>
        <v>2019</v>
      </c>
      <c r="D430" s="4">
        <v>767</v>
      </c>
      <c r="E430" s="4" t="s">
        <v>10</v>
      </c>
      <c r="F430" s="4">
        <v>805</v>
      </c>
      <c r="G430" s="4">
        <v>760</v>
      </c>
      <c r="H430" s="4"/>
    </row>
    <row r="431" spans="1:8" x14ac:dyDescent="0.25">
      <c r="A431" s="1" t="s">
        <v>439</v>
      </c>
      <c r="B431" s="2">
        <f t="shared" si="12"/>
        <v>12</v>
      </c>
      <c r="C431" s="2">
        <f t="shared" si="13"/>
        <v>2019</v>
      </c>
      <c r="D431" s="4">
        <v>767</v>
      </c>
      <c r="E431" s="4" t="s">
        <v>10</v>
      </c>
      <c r="F431" s="4">
        <v>807</v>
      </c>
      <c r="G431" s="4">
        <v>760</v>
      </c>
      <c r="H431" s="4"/>
    </row>
    <row r="432" spans="1:8" x14ac:dyDescent="0.25">
      <c r="A432" s="1" t="s">
        <v>440</v>
      </c>
      <c r="B432" s="2">
        <f t="shared" si="12"/>
        <v>12</v>
      </c>
      <c r="C432" s="2">
        <f t="shared" si="13"/>
        <v>2019</v>
      </c>
      <c r="D432" s="4">
        <v>775</v>
      </c>
      <c r="E432" s="4" t="s">
        <v>10</v>
      </c>
      <c r="F432" s="4">
        <v>810</v>
      </c>
      <c r="G432" s="4">
        <v>765</v>
      </c>
      <c r="H432" s="4"/>
    </row>
    <row r="433" spans="1:8" x14ac:dyDescent="0.25">
      <c r="A433" s="1" t="s">
        <v>441</v>
      </c>
      <c r="B433" s="2">
        <f t="shared" si="12"/>
        <v>12</v>
      </c>
      <c r="C433" s="2">
        <f t="shared" si="13"/>
        <v>2019</v>
      </c>
      <c r="D433" s="4">
        <v>777</v>
      </c>
      <c r="E433" s="4" t="s">
        <v>10</v>
      </c>
      <c r="F433" s="4">
        <v>812</v>
      </c>
      <c r="G433" s="4">
        <v>770</v>
      </c>
      <c r="H433" s="4"/>
    </row>
    <row r="434" spans="1:8" x14ac:dyDescent="0.25">
      <c r="A434" s="1" t="s">
        <v>442</v>
      </c>
      <c r="B434" s="2">
        <f t="shared" si="12"/>
        <v>12</v>
      </c>
      <c r="C434" s="2">
        <f t="shared" si="13"/>
        <v>2019</v>
      </c>
      <c r="D434" s="4">
        <v>777</v>
      </c>
      <c r="E434" s="4" t="s">
        <v>10</v>
      </c>
      <c r="F434" s="4">
        <v>815</v>
      </c>
      <c r="G434" s="4">
        <v>770</v>
      </c>
      <c r="H434" s="4"/>
    </row>
    <row r="435" spans="1:8" x14ac:dyDescent="0.25">
      <c r="A435" s="1" t="s">
        <v>443</v>
      </c>
      <c r="B435" s="2">
        <f t="shared" si="12"/>
        <v>12</v>
      </c>
      <c r="C435" s="2">
        <f t="shared" si="13"/>
        <v>2019</v>
      </c>
      <c r="D435" s="4">
        <v>775</v>
      </c>
      <c r="E435" s="4" t="s">
        <v>10</v>
      </c>
      <c r="F435" s="4">
        <v>815</v>
      </c>
      <c r="G435" s="4">
        <v>770</v>
      </c>
      <c r="H435" s="4"/>
    </row>
    <row r="436" spans="1:8" x14ac:dyDescent="0.25">
      <c r="A436" s="1" t="s">
        <v>444</v>
      </c>
      <c r="B436" s="2">
        <f t="shared" si="12"/>
        <v>12</v>
      </c>
      <c r="C436" s="2">
        <f t="shared" si="13"/>
        <v>2019</v>
      </c>
      <c r="D436" s="4">
        <v>802</v>
      </c>
      <c r="E436" s="4" t="s">
        <v>10</v>
      </c>
      <c r="F436" s="4">
        <v>840</v>
      </c>
      <c r="G436" s="4">
        <v>780</v>
      </c>
      <c r="H436" s="4"/>
    </row>
    <row r="437" spans="1:8" x14ac:dyDescent="0.25">
      <c r="A437" s="1" t="s">
        <v>445</v>
      </c>
      <c r="B437" s="2">
        <f t="shared" si="12"/>
        <v>12</v>
      </c>
      <c r="C437" s="2">
        <f t="shared" si="13"/>
        <v>2019</v>
      </c>
      <c r="D437" s="4">
        <v>812</v>
      </c>
      <c r="E437" s="4" t="s">
        <v>10</v>
      </c>
      <c r="F437" s="4">
        <v>860</v>
      </c>
      <c r="G437" s="4">
        <v>775</v>
      </c>
      <c r="H437" s="4"/>
    </row>
    <row r="438" spans="1:8" x14ac:dyDescent="0.25">
      <c r="A438" s="1" t="s">
        <v>446</v>
      </c>
      <c r="B438" s="2">
        <f t="shared" si="12"/>
        <v>12</v>
      </c>
      <c r="C438" s="2">
        <f t="shared" si="13"/>
        <v>2019</v>
      </c>
      <c r="D438" s="4">
        <v>810</v>
      </c>
      <c r="E438" s="4" t="s">
        <v>10</v>
      </c>
      <c r="F438" s="4">
        <v>855</v>
      </c>
      <c r="G438" s="4">
        <v>775</v>
      </c>
      <c r="H438" s="4"/>
    </row>
    <row r="439" spans="1:8" x14ac:dyDescent="0.25">
      <c r="A439" s="1" t="s">
        <v>447</v>
      </c>
      <c r="B439" s="2">
        <f t="shared" si="12"/>
        <v>1</v>
      </c>
      <c r="C439" s="2">
        <f t="shared" si="13"/>
        <v>2020</v>
      </c>
      <c r="D439" s="4">
        <v>815</v>
      </c>
      <c r="E439" s="4">
        <v>805</v>
      </c>
      <c r="F439" s="4">
        <v>860</v>
      </c>
      <c r="G439" s="4">
        <v>785</v>
      </c>
      <c r="H439" s="4"/>
    </row>
    <row r="440" spans="1:8" x14ac:dyDescent="0.25">
      <c r="A440" s="1" t="s">
        <v>448</v>
      </c>
      <c r="B440" s="2">
        <f t="shared" si="12"/>
        <v>1</v>
      </c>
      <c r="C440" s="2">
        <f t="shared" si="13"/>
        <v>2020</v>
      </c>
      <c r="D440" s="4">
        <v>813</v>
      </c>
      <c r="E440" s="4">
        <v>803</v>
      </c>
      <c r="F440" s="4">
        <v>855</v>
      </c>
      <c r="G440" s="4">
        <v>790</v>
      </c>
      <c r="H440" s="4"/>
    </row>
    <row r="441" spans="1:8" x14ac:dyDescent="0.25">
      <c r="A441" s="1" t="s">
        <v>449</v>
      </c>
      <c r="B441" s="2">
        <f t="shared" si="12"/>
        <v>1</v>
      </c>
      <c r="C441" s="2">
        <f t="shared" si="13"/>
        <v>2020</v>
      </c>
      <c r="D441" s="4">
        <v>808</v>
      </c>
      <c r="E441" s="4">
        <v>798</v>
      </c>
      <c r="F441" s="4">
        <v>855</v>
      </c>
      <c r="G441" s="4">
        <v>790</v>
      </c>
      <c r="H441" s="4"/>
    </row>
    <row r="442" spans="1:8" x14ac:dyDescent="0.25">
      <c r="A442" s="1" t="s">
        <v>450</v>
      </c>
      <c r="B442" s="2">
        <f t="shared" si="12"/>
        <v>1</v>
      </c>
      <c r="C442" s="2">
        <f t="shared" si="13"/>
        <v>2020</v>
      </c>
      <c r="D442" s="4">
        <v>808</v>
      </c>
      <c r="E442" s="4">
        <v>798</v>
      </c>
      <c r="F442" s="4">
        <v>840</v>
      </c>
      <c r="G442" s="4">
        <v>790</v>
      </c>
      <c r="H442" s="4"/>
    </row>
    <row r="443" spans="1:8" x14ac:dyDescent="0.25">
      <c r="A443" s="1" t="s">
        <v>451</v>
      </c>
      <c r="B443" s="2">
        <f t="shared" si="12"/>
        <v>1</v>
      </c>
      <c r="C443" s="2">
        <f t="shared" si="13"/>
        <v>2020</v>
      </c>
      <c r="D443" s="4">
        <v>802</v>
      </c>
      <c r="E443" s="4">
        <v>792</v>
      </c>
      <c r="F443" s="4">
        <v>835</v>
      </c>
      <c r="G443" s="4">
        <v>790</v>
      </c>
      <c r="H443" s="4"/>
    </row>
    <row r="444" spans="1:8" x14ac:dyDescent="0.25">
      <c r="A444" s="1" t="s">
        <v>452</v>
      </c>
      <c r="B444" s="2">
        <f t="shared" si="12"/>
        <v>1</v>
      </c>
      <c r="C444" s="2">
        <f t="shared" si="13"/>
        <v>2020</v>
      </c>
      <c r="D444" s="4">
        <v>810</v>
      </c>
      <c r="E444" s="4">
        <v>800</v>
      </c>
      <c r="F444" s="4">
        <v>845</v>
      </c>
      <c r="G444" s="4">
        <v>790</v>
      </c>
      <c r="H444" s="4"/>
    </row>
    <row r="445" spans="1:8" x14ac:dyDescent="0.25">
      <c r="A445" s="1" t="s">
        <v>453</v>
      </c>
      <c r="B445" s="2">
        <f t="shared" si="12"/>
        <v>1</v>
      </c>
      <c r="C445" s="2">
        <f t="shared" si="13"/>
        <v>2020</v>
      </c>
      <c r="D445" s="4">
        <v>812</v>
      </c>
      <c r="E445" s="4">
        <v>802</v>
      </c>
      <c r="F445" s="4">
        <v>845</v>
      </c>
      <c r="G445" s="4">
        <v>790</v>
      </c>
      <c r="H445" s="4"/>
    </row>
    <row r="446" spans="1:8" x14ac:dyDescent="0.25">
      <c r="A446" s="1" t="s">
        <v>454</v>
      </c>
      <c r="B446" s="2">
        <f t="shared" si="12"/>
        <v>1</v>
      </c>
      <c r="C446" s="2">
        <f t="shared" si="13"/>
        <v>2020</v>
      </c>
      <c r="D446" s="4">
        <v>807</v>
      </c>
      <c r="E446" s="4">
        <v>797</v>
      </c>
      <c r="F446" s="4">
        <v>845</v>
      </c>
      <c r="G446" s="4">
        <v>790</v>
      </c>
      <c r="H446" s="4"/>
    </row>
    <row r="447" spans="1:8" x14ac:dyDescent="0.25">
      <c r="A447" s="1" t="s">
        <v>455</v>
      </c>
      <c r="B447" s="2">
        <f t="shared" si="12"/>
        <v>1</v>
      </c>
      <c r="C447" s="2">
        <f t="shared" si="13"/>
        <v>2020</v>
      </c>
      <c r="D447" s="4">
        <v>796</v>
      </c>
      <c r="E447" s="4">
        <v>786</v>
      </c>
      <c r="F447" s="4">
        <v>835</v>
      </c>
      <c r="G447" s="4">
        <v>790</v>
      </c>
      <c r="H447" s="4"/>
    </row>
    <row r="448" spans="1:8" x14ac:dyDescent="0.25">
      <c r="A448" s="1" t="s">
        <v>456</v>
      </c>
      <c r="B448" s="2">
        <f t="shared" si="12"/>
        <v>1</v>
      </c>
      <c r="C448" s="2">
        <f t="shared" si="13"/>
        <v>2020</v>
      </c>
      <c r="D448" s="4">
        <v>791</v>
      </c>
      <c r="E448" s="4">
        <v>781</v>
      </c>
      <c r="F448" s="4">
        <v>830</v>
      </c>
      <c r="G448" s="4">
        <v>790</v>
      </c>
      <c r="H448" s="4"/>
    </row>
    <row r="449" spans="1:8" x14ac:dyDescent="0.25">
      <c r="A449" s="1" t="s">
        <v>457</v>
      </c>
      <c r="B449" s="2">
        <f t="shared" si="12"/>
        <v>1</v>
      </c>
      <c r="C449" s="2">
        <f t="shared" si="13"/>
        <v>2020</v>
      </c>
      <c r="D449" s="4">
        <v>782</v>
      </c>
      <c r="E449" s="4">
        <v>772</v>
      </c>
      <c r="F449" s="4">
        <v>825</v>
      </c>
      <c r="G449" s="4">
        <v>790</v>
      </c>
      <c r="H449" s="4"/>
    </row>
    <row r="450" spans="1:8" x14ac:dyDescent="0.25">
      <c r="A450" s="1" t="s">
        <v>458</v>
      </c>
      <c r="B450" s="2">
        <f t="shared" si="12"/>
        <v>1</v>
      </c>
      <c r="C450" s="2">
        <f t="shared" si="13"/>
        <v>2020</v>
      </c>
      <c r="D450" s="4">
        <v>772</v>
      </c>
      <c r="E450" s="4">
        <v>762</v>
      </c>
      <c r="F450" s="4">
        <v>815</v>
      </c>
      <c r="G450" s="4">
        <v>790</v>
      </c>
      <c r="H450" s="4"/>
    </row>
    <row r="451" spans="1:8" x14ac:dyDescent="0.25">
      <c r="A451" s="1" t="s">
        <v>459</v>
      </c>
      <c r="B451" s="2">
        <f t="shared" ref="B451:B514" si="14">MONTH(A451)</f>
        <v>1</v>
      </c>
      <c r="C451" s="2">
        <f t="shared" ref="C451:C514" si="15">YEAR(A451)</f>
        <v>2020</v>
      </c>
      <c r="D451" s="4">
        <v>772</v>
      </c>
      <c r="E451" s="4">
        <v>762</v>
      </c>
      <c r="F451" s="4">
        <v>815</v>
      </c>
      <c r="G451" s="4">
        <v>785</v>
      </c>
      <c r="H451" s="4"/>
    </row>
    <row r="452" spans="1:8" x14ac:dyDescent="0.25">
      <c r="A452" s="1" t="s">
        <v>460</v>
      </c>
      <c r="B452" s="2">
        <f t="shared" si="14"/>
        <v>1</v>
      </c>
      <c r="C452" s="2">
        <f t="shared" si="15"/>
        <v>2020</v>
      </c>
      <c r="D452" s="4">
        <v>766</v>
      </c>
      <c r="E452" s="4">
        <v>756</v>
      </c>
      <c r="F452" s="4">
        <v>805</v>
      </c>
      <c r="G452" s="4">
        <v>785</v>
      </c>
      <c r="H452" s="4"/>
    </row>
    <row r="453" spans="1:8" x14ac:dyDescent="0.25">
      <c r="A453" s="1" t="s">
        <v>461</v>
      </c>
      <c r="B453" s="2">
        <f t="shared" si="14"/>
        <v>1</v>
      </c>
      <c r="C453" s="2">
        <f t="shared" si="15"/>
        <v>2020</v>
      </c>
      <c r="D453" s="4">
        <v>770</v>
      </c>
      <c r="E453" s="4">
        <v>760</v>
      </c>
      <c r="F453" s="4">
        <v>805</v>
      </c>
      <c r="G453" s="4">
        <v>785</v>
      </c>
      <c r="H453" s="4"/>
    </row>
    <row r="454" spans="1:8" x14ac:dyDescent="0.25">
      <c r="A454" s="1" t="s">
        <v>462</v>
      </c>
      <c r="B454" s="2">
        <f t="shared" si="14"/>
        <v>1</v>
      </c>
      <c r="C454" s="2">
        <f t="shared" si="15"/>
        <v>2020</v>
      </c>
      <c r="D454" s="4">
        <v>768</v>
      </c>
      <c r="E454" s="4">
        <v>758</v>
      </c>
      <c r="F454" s="4">
        <v>805</v>
      </c>
      <c r="G454" s="4">
        <v>785</v>
      </c>
      <c r="H454" s="4"/>
    </row>
    <row r="455" spans="1:8" x14ac:dyDescent="0.25">
      <c r="A455" s="1" t="s">
        <v>463</v>
      </c>
      <c r="B455" s="2">
        <f t="shared" si="14"/>
        <v>1</v>
      </c>
      <c r="C455" s="2">
        <f t="shared" si="15"/>
        <v>2020</v>
      </c>
      <c r="D455" s="4">
        <v>766</v>
      </c>
      <c r="E455" s="4">
        <v>756</v>
      </c>
      <c r="F455" s="4">
        <v>805</v>
      </c>
      <c r="G455" s="4">
        <v>780</v>
      </c>
      <c r="H455" s="4"/>
    </row>
    <row r="456" spans="1:8" x14ac:dyDescent="0.25">
      <c r="A456" s="1" t="s">
        <v>464</v>
      </c>
      <c r="B456" s="2">
        <f t="shared" si="14"/>
        <v>1</v>
      </c>
      <c r="C456" s="2">
        <f t="shared" si="15"/>
        <v>2020</v>
      </c>
      <c r="D456" s="4">
        <v>756</v>
      </c>
      <c r="E456" s="4">
        <v>746</v>
      </c>
      <c r="F456" s="4">
        <v>795</v>
      </c>
      <c r="G456" s="4">
        <v>780</v>
      </c>
      <c r="H456" s="4"/>
    </row>
    <row r="457" spans="1:8" x14ac:dyDescent="0.25">
      <c r="A457" s="1" t="s">
        <v>465</v>
      </c>
      <c r="B457" s="2">
        <f t="shared" si="14"/>
        <v>1</v>
      </c>
      <c r="C457" s="2">
        <f t="shared" si="15"/>
        <v>2020</v>
      </c>
      <c r="D457" s="4">
        <v>742</v>
      </c>
      <c r="E457" s="4">
        <v>732</v>
      </c>
      <c r="F457" s="4">
        <v>795</v>
      </c>
      <c r="G457" s="4">
        <v>775</v>
      </c>
      <c r="H457" s="4"/>
    </row>
    <row r="458" spans="1:8" x14ac:dyDescent="0.25">
      <c r="A458" s="1" t="s">
        <v>466</v>
      </c>
      <c r="B458" s="2">
        <f t="shared" si="14"/>
        <v>1</v>
      </c>
      <c r="C458" s="2">
        <f t="shared" si="15"/>
        <v>2020</v>
      </c>
      <c r="D458" s="4">
        <v>752</v>
      </c>
      <c r="E458" s="4">
        <v>742</v>
      </c>
      <c r="F458" s="4">
        <v>795</v>
      </c>
      <c r="G458" s="4">
        <v>775</v>
      </c>
      <c r="H458" s="4"/>
    </row>
    <row r="459" spans="1:8" x14ac:dyDescent="0.25">
      <c r="A459" s="1" t="s">
        <v>467</v>
      </c>
      <c r="B459" s="2">
        <f t="shared" si="14"/>
        <v>1</v>
      </c>
      <c r="C459" s="2">
        <f t="shared" si="15"/>
        <v>2020</v>
      </c>
      <c r="D459" s="4">
        <v>745</v>
      </c>
      <c r="E459" s="4">
        <v>735</v>
      </c>
      <c r="F459" s="4">
        <v>790</v>
      </c>
      <c r="G459" s="4">
        <v>760</v>
      </c>
      <c r="H459" s="4"/>
    </row>
    <row r="460" spans="1:8" x14ac:dyDescent="0.25">
      <c r="A460" s="1" t="s">
        <v>468</v>
      </c>
      <c r="B460" s="2">
        <f t="shared" si="14"/>
        <v>1</v>
      </c>
      <c r="C460" s="2">
        <f t="shared" si="15"/>
        <v>2020</v>
      </c>
      <c r="D460" s="4">
        <v>733</v>
      </c>
      <c r="E460" s="4">
        <v>723</v>
      </c>
      <c r="F460" s="4">
        <v>780</v>
      </c>
      <c r="G460" s="4">
        <v>760</v>
      </c>
      <c r="H460" s="4"/>
    </row>
    <row r="461" spans="1:8" x14ac:dyDescent="0.25">
      <c r="A461" s="1" t="s">
        <v>469</v>
      </c>
      <c r="B461" s="2">
        <f t="shared" si="14"/>
        <v>2</v>
      </c>
      <c r="C461" s="2">
        <f t="shared" si="15"/>
        <v>2020</v>
      </c>
      <c r="D461" s="4">
        <v>725</v>
      </c>
      <c r="E461" s="4">
        <v>715</v>
      </c>
      <c r="F461" s="4">
        <v>770</v>
      </c>
      <c r="G461" s="4">
        <v>740</v>
      </c>
      <c r="H461" s="4"/>
    </row>
    <row r="462" spans="1:8" x14ac:dyDescent="0.25">
      <c r="A462" s="1" t="s">
        <v>470</v>
      </c>
      <c r="B462" s="2">
        <f t="shared" si="14"/>
        <v>2</v>
      </c>
      <c r="C462" s="2">
        <f t="shared" si="15"/>
        <v>2020</v>
      </c>
      <c r="D462" s="4">
        <v>725</v>
      </c>
      <c r="E462" s="4">
        <v>715</v>
      </c>
      <c r="F462" s="4">
        <v>780</v>
      </c>
      <c r="G462" s="4">
        <v>740</v>
      </c>
      <c r="H462" s="4"/>
    </row>
    <row r="463" spans="1:8" x14ac:dyDescent="0.25">
      <c r="A463" s="1" t="s">
        <v>471</v>
      </c>
      <c r="B463" s="2">
        <f t="shared" si="14"/>
        <v>2</v>
      </c>
      <c r="C463" s="2">
        <f t="shared" si="15"/>
        <v>2020</v>
      </c>
      <c r="D463" s="4">
        <v>732</v>
      </c>
      <c r="E463" s="4">
        <v>722</v>
      </c>
      <c r="F463" s="4">
        <v>785</v>
      </c>
      <c r="G463" s="4">
        <v>740</v>
      </c>
      <c r="H463" s="4"/>
    </row>
    <row r="464" spans="1:8" x14ac:dyDescent="0.25">
      <c r="A464" s="1" t="s">
        <v>472</v>
      </c>
      <c r="B464" s="2">
        <f t="shared" si="14"/>
        <v>2</v>
      </c>
      <c r="C464" s="2">
        <f t="shared" si="15"/>
        <v>2020</v>
      </c>
      <c r="D464" s="4">
        <v>740</v>
      </c>
      <c r="E464" s="4">
        <v>730</v>
      </c>
      <c r="F464" s="4">
        <v>785</v>
      </c>
      <c r="G464" s="4">
        <v>740</v>
      </c>
      <c r="H464" s="4"/>
    </row>
    <row r="465" spans="1:8" x14ac:dyDescent="0.25">
      <c r="A465" s="1" t="s">
        <v>473</v>
      </c>
      <c r="B465" s="2">
        <f t="shared" si="14"/>
        <v>2</v>
      </c>
      <c r="C465" s="2">
        <f t="shared" si="15"/>
        <v>2020</v>
      </c>
      <c r="D465" s="4">
        <v>738</v>
      </c>
      <c r="E465" s="4">
        <v>728</v>
      </c>
      <c r="F465" s="4">
        <v>785</v>
      </c>
      <c r="G465" s="4">
        <v>740</v>
      </c>
      <c r="H465" s="4"/>
    </row>
    <row r="466" spans="1:8" x14ac:dyDescent="0.25">
      <c r="A466" s="1" t="s">
        <v>474</v>
      </c>
      <c r="B466" s="2">
        <f t="shared" si="14"/>
        <v>2</v>
      </c>
      <c r="C466" s="2">
        <f t="shared" si="15"/>
        <v>2020</v>
      </c>
      <c r="D466" s="4">
        <v>725</v>
      </c>
      <c r="E466" s="4">
        <v>715</v>
      </c>
      <c r="F466" s="4">
        <v>770</v>
      </c>
      <c r="G466" s="4">
        <v>735</v>
      </c>
      <c r="H466" s="4"/>
    </row>
    <row r="467" spans="1:8" x14ac:dyDescent="0.25">
      <c r="A467" s="1" t="s">
        <v>475</v>
      </c>
      <c r="B467" s="2">
        <f t="shared" si="14"/>
        <v>2</v>
      </c>
      <c r="C467" s="2">
        <f t="shared" si="15"/>
        <v>2020</v>
      </c>
      <c r="D467" s="4">
        <v>725</v>
      </c>
      <c r="E467" s="4">
        <v>715</v>
      </c>
      <c r="F467" s="4">
        <v>775</v>
      </c>
      <c r="G467" s="4">
        <v>735</v>
      </c>
      <c r="H467" s="4"/>
    </row>
    <row r="468" spans="1:8" x14ac:dyDescent="0.25">
      <c r="A468" s="1" t="s">
        <v>476</v>
      </c>
      <c r="B468" s="2">
        <f t="shared" si="14"/>
        <v>2</v>
      </c>
      <c r="C468" s="2">
        <f t="shared" si="15"/>
        <v>2020</v>
      </c>
      <c r="D468" s="4">
        <v>722</v>
      </c>
      <c r="E468" s="4">
        <v>712</v>
      </c>
      <c r="F468" s="4">
        <v>765</v>
      </c>
      <c r="G468" s="4">
        <v>735</v>
      </c>
      <c r="H468" s="4"/>
    </row>
    <row r="469" spans="1:8" x14ac:dyDescent="0.25">
      <c r="A469" s="1" t="s">
        <v>477</v>
      </c>
      <c r="B469" s="2">
        <f t="shared" si="14"/>
        <v>2</v>
      </c>
      <c r="C469" s="2">
        <f t="shared" si="15"/>
        <v>2020</v>
      </c>
      <c r="D469" s="4">
        <v>710</v>
      </c>
      <c r="E469" s="4">
        <v>700</v>
      </c>
      <c r="F469" s="4">
        <v>750</v>
      </c>
      <c r="G469" s="4">
        <v>735</v>
      </c>
      <c r="H469" s="4"/>
    </row>
    <row r="470" spans="1:8" x14ac:dyDescent="0.25">
      <c r="A470" s="1" t="s">
        <v>478</v>
      </c>
      <c r="B470" s="2">
        <f t="shared" si="14"/>
        <v>2</v>
      </c>
      <c r="C470" s="2">
        <f t="shared" si="15"/>
        <v>2020</v>
      </c>
      <c r="D470" s="4">
        <v>710</v>
      </c>
      <c r="E470" s="4">
        <v>700</v>
      </c>
      <c r="F470" s="4">
        <v>755</v>
      </c>
      <c r="G470" s="4">
        <v>735</v>
      </c>
      <c r="H470" s="4"/>
    </row>
    <row r="471" spans="1:8" x14ac:dyDescent="0.25">
      <c r="A471" s="1" t="s">
        <v>479</v>
      </c>
      <c r="B471" s="2">
        <f t="shared" si="14"/>
        <v>2</v>
      </c>
      <c r="C471" s="2">
        <f t="shared" si="15"/>
        <v>2020</v>
      </c>
      <c r="D471" s="4">
        <v>725</v>
      </c>
      <c r="E471" s="4">
        <v>715</v>
      </c>
      <c r="F471" s="4">
        <v>755</v>
      </c>
      <c r="G471" s="4">
        <v>735</v>
      </c>
      <c r="H471" s="4"/>
    </row>
    <row r="472" spans="1:8" x14ac:dyDescent="0.25">
      <c r="A472" s="1" t="s">
        <v>480</v>
      </c>
      <c r="B472" s="2">
        <f t="shared" si="14"/>
        <v>2</v>
      </c>
      <c r="C472" s="2">
        <f t="shared" si="15"/>
        <v>2020</v>
      </c>
      <c r="D472" s="4">
        <v>711</v>
      </c>
      <c r="E472" s="4">
        <v>701</v>
      </c>
      <c r="F472" s="4">
        <v>760</v>
      </c>
      <c r="G472" s="4">
        <v>735</v>
      </c>
      <c r="H472" s="4"/>
    </row>
    <row r="473" spans="1:8" x14ac:dyDescent="0.25">
      <c r="A473" s="1" t="s">
        <v>481</v>
      </c>
      <c r="B473" s="2">
        <f t="shared" si="14"/>
        <v>2</v>
      </c>
      <c r="C473" s="2">
        <f t="shared" si="15"/>
        <v>2020</v>
      </c>
      <c r="D473" s="4">
        <v>707</v>
      </c>
      <c r="E473" s="4">
        <v>697</v>
      </c>
      <c r="F473" s="4">
        <v>745</v>
      </c>
      <c r="G473" s="4">
        <v>730</v>
      </c>
      <c r="H473" s="4"/>
    </row>
    <row r="474" spans="1:8" x14ac:dyDescent="0.25">
      <c r="A474" s="1" t="s">
        <v>482</v>
      </c>
      <c r="B474" s="2">
        <f t="shared" si="14"/>
        <v>2</v>
      </c>
      <c r="C474" s="2">
        <f t="shared" si="15"/>
        <v>2020</v>
      </c>
      <c r="D474" s="4">
        <v>710</v>
      </c>
      <c r="E474" s="4">
        <v>700</v>
      </c>
      <c r="F474" s="4">
        <v>745</v>
      </c>
      <c r="G474" s="4">
        <v>730</v>
      </c>
      <c r="H474" s="4"/>
    </row>
    <row r="475" spans="1:8" x14ac:dyDescent="0.25">
      <c r="A475" s="1" t="s">
        <v>483</v>
      </c>
      <c r="B475" s="2">
        <f t="shared" si="14"/>
        <v>2</v>
      </c>
      <c r="C475" s="2">
        <f t="shared" si="15"/>
        <v>2020</v>
      </c>
      <c r="D475" s="4">
        <v>710</v>
      </c>
      <c r="E475" s="4">
        <v>700</v>
      </c>
      <c r="F475" s="4">
        <v>745</v>
      </c>
      <c r="G475" s="4">
        <v>730</v>
      </c>
      <c r="H475" s="4"/>
    </row>
    <row r="476" spans="1:8" x14ac:dyDescent="0.25">
      <c r="A476" s="1" t="s">
        <v>484</v>
      </c>
      <c r="B476" s="2">
        <f t="shared" si="14"/>
        <v>2</v>
      </c>
      <c r="C476" s="2">
        <f t="shared" si="15"/>
        <v>2020</v>
      </c>
      <c r="D476" s="4">
        <v>703</v>
      </c>
      <c r="E476" s="4">
        <v>693</v>
      </c>
      <c r="F476" s="4">
        <v>745</v>
      </c>
      <c r="G476" s="4">
        <v>725</v>
      </c>
      <c r="H476" s="4"/>
    </row>
    <row r="477" spans="1:8" x14ac:dyDescent="0.25">
      <c r="A477" s="1" t="s">
        <v>485</v>
      </c>
      <c r="B477" s="2">
        <f t="shared" si="14"/>
        <v>2</v>
      </c>
      <c r="C477" s="2">
        <f t="shared" si="15"/>
        <v>2020</v>
      </c>
      <c r="D477" s="4">
        <v>695</v>
      </c>
      <c r="E477" s="4">
        <v>685</v>
      </c>
      <c r="F477" s="4">
        <v>735</v>
      </c>
      <c r="G477" s="4" t="s">
        <v>10</v>
      </c>
      <c r="H477" s="4"/>
    </row>
    <row r="478" spans="1:8" x14ac:dyDescent="0.25">
      <c r="A478" s="1" t="s">
        <v>486</v>
      </c>
      <c r="B478" s="2">
        <f t="shared" si="14"/>
        <v>2</v>
      </c>
      <c r="C478" s="2">
        <f t="shared" si="15"/>
        <v>2020</v>
      </c>
      <c r="D478" s="4">
        <v>687</v>
      </c>
      <c r="E478" s="4">
        <v>677</v>
      </c>
      <c r="F478" s="4">
        <v>715</v>
      </c>
      <c r="G478" s="4">
        <v>720</v>
      </c>
      <c r="H478" s="4"/>
    </row>
    <row r="479" spans="1:8" x14ac:dyDescent="0.25">
      <c r="A479" s="1" t="s">
        <v>487</v>
      </c>
      <c r="B479" s="2">
        <f t="shared" si="14"/>
        <v>2</v>
      </c>
      <c r="C479" s="2">
        <f t="shared" si="15"/>
        <v>2020</v>
      </c>
      <c r="D479" s="4">
        <v>687</v>
      </c>
      <c r="E479" s="4">
        <v>677</v>
      </c>
      <c r="F479" s="4">
        <v>715</v>
      </c>
      <c r="G479" s="4">
        <v>715</v>
      </c>
      <c r="H479" s="4"/>
    </row>
    <row r="480" spans="1:8" x14ac:dyDescent="0.25">
      <c r="A480" s="1" t="s">
        <v>488</v>
      </c>
      <c r="B480" s="2">
        <f t="shared" si="14"/>
        <v>2</v>
      </c>
      <c r="C480" s="2">
        <f t="shared" si="15"/>
        <v>2020</v>
      </c>
      <c r="D480" s="4">
        <v>668</v>
      </c>
      <c r="E480" s="4">
        <v>658</v>
      </c>
      <c r="F480" s="4">
        <v>710</v>
      </c>
      <c r="G480" s="4">
        <v>710</v>
      </c>
      <c r="H480" s="4"/>
    </row>
    <row r="481" spans="1:8" x14ac:dyDescent="0.25">
      <c r="A481" s="1" t="s">
        <v>489</v>
      </c>
      <c r="B481" s="2">
        <f t="shared" si="14"/>
        <v>3</v>
      </c>
      <c r="C481" s="2">
        <f t="shared" si="15"/>
        <v>2020</v>
      </c>
      <c r="D481" s="4">
        <v>668</v>
      </c>
      <c r="E481" s="4">
        <v>658</v>
      </c>
      <c r="F481" s="4">
        <v>720</v>
      </c>
      <c r="G481" s="4">
        <v>700</v>
      </c>
      <c r="H481" s="4"/>
    </row>
    <row r="482" spans="1:8" x14ac:dyDescent="0.25">
      <c r="A482" s="1" t="s">
        <v>490</v>
      </c>
      <c r="B482" s="2">
        <f t="shared" si="14"/>
        <v>3</v>
      </c>
      <c r="C482" s="2">
        <f t="shared" si="15"/>
        <v>2020</v>
      </c>
      <c r="D482" s="4">
        <v>688</v>
      </c>
      <c r="E482" s="4">
        <v>678</v>
      </c>
      <c r="F482" s="4">
        <v>725</v>
      </c>
      <c r="G482" s="4">
        <v>690</v>
      </c>
      <c r="H482" s="4"/>
    </row>
    <row r="483" spans="1:8" x14ac:dyDescent="0.25">
      <c r="A483" s="1" t="s">
        <v>491</v>
      </c>
      <c r="B483" s="2">
        <f t="shared" si="14"/>
        <v>3</v>
      </c>
      <c r="C483" s="2">
        <f t="shared" si="15"/>
        <v>2020</v>
      </c>
      <c r="D483" s="4">
        <v>703</v>
      </c>
      <c r="E483" s="4">
        <v>693</v>
      </c>
      <c r="F483" s="4">
        <v>730</v>
      </c>
      <c r="G483" s="4">
        <v>690</v>
      </c>
      <c r="H483" s="4"/>
    </row>
    <row r="484" spans="1:8" x14ac:dyDescent="0.25">
      <c r="A484" s="1" t="s">
        <v>492</v>
      </c>
      <c r="B484" s="2">
        <f t="shared" si="14"/>
        <v>3</v>
      </c>
      <c r="C484" s="2">
        <f t="shared" si="15"/>
        <v>2020</v>
      </c>
      <c r="D484" s="4">
        <v>698</v>
      </c>
      <c r="E484" s="4">
        <v>688</v>
      </c>
      <c r="F484" s="4">
        <v>745</v>
      </c>
      <c r="G484" s="4">
        <v>690</v>
      </c>
      <c r="H484" s="4"/>
    </row>
    <row r="485" spans="1:8" x14ac:dyDescent="0.25">
      <c r="A485" s="1" t="s">
        <v>493</v>
      </c>
      <c r="B485" s="2">
        <f t="shared" si="14"/>
        <v>3</v>
      </c>
      <c r="C485" s="2">
        <f t="shared" si="15"/>
        <v>2020</v>
      </c>
      <c r="D485" s="4">
        <v>678</v>
      </c>
      <c r="E485" s="4">
        <v>668</v>
      </c>
      <c r="F485" s="4">
        <v>730</v>
      </c>
      <c r="G485" s="4">
        <v>690</v>
      </c>
      <c r="H485" s="4"/>
    </row>
    <row r="486" spans="1:8" x14ac:dyDescent="0.25">
      <c r="A486" s="1" t="s">
        <v>494</v>
      </c>
      <c r="B486" s="2">
        <f t="shared" si="14"/>
        <v>3</v>
      </c>
      <c r="C486" s="2">
        <f t="shared" si="15"/>
        <v>2020</v>
      </c>
      <c r="D486" s="4">
        <v>665</v>
      </c>
      <c r="E486" s="4">
        <v>655</v>
      </c>
      <c r="F486" s="4">
        <v>705</v>
      </c>
      <c r="G486" s="4">
        <v>680</v>
      </c>
      <c r="H486" s="4"/>
    </row>
    <row r="487" spans="1:8" x14ac:dyDescent="0.25">
      <c r="A487" s="1" t="s">
        <v>495</v>
      </c>
      <c r="B487" s="2">
        <f t="shared" si="14"/>
        <v>3</v>
      </c>
      <c r="C487" s="2">
        <f t="shared" si="15"/>
        <v>2020</v>
      </c>
      <c r="D487" s="4">
        <v>665</v>
      </c>
      <c r="E487" s="4">
        <v>655</v>
      </c>
      <c r="F487" s="4">
        <v>700</v>
      </c>
      <c r="G487" s="4">
        <v>680</v>
      </c>
      <c r="H487" s="4"/>
    </row>
    <row r="488" spans="1:8" x14ac:dyDescent="0.25">
      <c r="A488" s="1" t="s">
        <v>496</v>
      </c>
      <c r="B488" s="2">
        <f t="shared" si="14"/>
        <v>3</v>
      </c>
      <c r="C488" s="2">
        <f t="shared" si="15"/>
        <v>2020</v>
      </c>
      <c r="D488" s="4">
        <v>660</v>
      </c>
      <c r="E488" s="4">
        <v>650</v>
      </c>
      <c r="F488" s="4">
        <v>700</v>
      </c>
      <c r="G488" s="4">
        <v>685</v>
      </c>
      <c r="H488" s="4"/>
    </row>
    <row r="489" spans="1:8" x14ac:dyDescent="0.25">
      <c r="A489" s="1" t="s">
        <v>497</v>
      </c>
      <c r="B489" s="2">
        <f t="shared" si="14"/>
        <v>3</v>
      </c>
      <c r="C489" s="2">
        <f t="shared" si="15"/>
        <v>2020</v>
      </c>
      <c r="D489" s="4">
        <v>645</v>
      </c>
      <c r="E489" s="4">
        <v>635</v>
      </c>
      <c r="F489" s="4">
        <v>690</v>
      </c>
      <c r="G489" s="4">
        <v>675</v>
      </c>
      <c r="H489" s="4"/>
    </row>
    <row r="490" spans="1:8" x14ac:dyDescent="0.25">
      <c r="A490" s="1" t="s">
        <v>498</v>
      </c>
      <c r="B490" s="2">
        <f t="shared" si="14"/>
        <v>3</v>
      </c>
      <c r="C490" s="2">
        <f t="shared" si="15"/>
        <v>2020</v>
      </c>
      <c r="D490" s="4">
        <v>654</v>
      </c>
      <c r="E490" s="4">
        <v>644</v>
      </c>
      <c r="F490" s="4">
        <v>690</v>
      </c>
      <c r="G490" s="4">
        <v>675</v>
      </c>
      <c r="H490" s="4"/>
    </row>
    <row r="491" spans="1:8" x14ac:dyDescent="0.25">
      <c r="A491" s="1" t="s">
        <v>499</v>
      </c>
      <c r="B491" s="2">
        <f t="shared" si="14"/>
        <v>3</v>
      </c>
      <c r="C491" s="2">
        <f t="shared" si="15"/>
        <v>2020</v>
      </c>
      <c r="D491" s="4">
        <v>645</v>
      </c>
      <c r="E491" s="4">
        <v>635</v>
      </c>
      <c r="F491" s="4">
        <v>685</v>
      </c>
      <c r="G491" s="4">
        <v>665</v>
      </c>
      <c r="H491" s="4"/>
    </row>
    <row r="492" spans="1:8" x14ac:dyDescent="0.25">
      <c r="A492" s="1" t="s">
        <v>500</v>
      </c>
      <c r="B492" s="2">
        <f t="shared" si="14"/>
        <v>3</v>
      </c>
      <c r="C492" s="2">
        <f t="shared" si="15"/>
        <v>2020</v>
      </c>
      <c r="D492" s="4">
        <v>644</v>
      </c>
      <c r="E492" s="4">
        <v>634</v>
      </c>
      <c r="F492" s="4">
        <v>685</v>
      </c>
      <c r="G492" s="4">
        <v>660</v>
      </c>
      <c r="H492" s="4"/>
    </row>
    <row r="493" spans="1:8" x14ac:dyDescent="0.25">
      <c r="A493" s="1" t="s">
        <v>501</v>
      </c>
      <c r="B493" s="2">
        <f t="shared" si="14"/>
        <v>3</v>
      </c>
      <c r="C493" s="2">
        <f t="shared" si="15"/>
        <v>2020</v>
      </c>
      <c r="D493" s="4">
        <v>635</v>
      </c>
      <c r="E493" s="4">
        <v>625</v>
      </c>
      <c r="F493" s="4">
        <v>675</v>
      </c>
      <c r="G493" s="4">
        <v>650</v>
      </c>
      <c r="H493" s="4"/>
    </row>
    <row r="494" spans="1:8" x14ac:dyDescent="0.25">
      <c r="A494" s="1" t="s">
        <v>502</v>
      </c>
      <c r="B494" s="2">
        <f t="shared" si="14"/>
        <v>3</v>
      </c>
      <c r="C494" s="2">
        <f t="shared" si="15"/>
        <v>2020</v>
      </c>
      <c r="D494" s="4">
        <v>639</v>
      </c>
      <c r="E494" s="4">
        <v>629</v>
      </c>
      <c r="F494" s="4">
        <v>675</v>
      </c>
      <c r="G494" s="4">
        <v>640</v>
      </c>
      <c r="H494" s="4"/>
    </row>
    <row r="495" spans="1:8" x14ac:dyDescent="0.25">
      <c r="A495" s="1" t="s">
        <v>503</v>
      </c>
      <c r="B495" s="2">
        <f t="shared" si="14"/>
        <v>3</v>
      </c>
      <c r="C495" s="2">
        <f t="shared" si="15"/>
        <v>2020</v>
      </c>
      <c r="D495" s="4">
        <v>645</v>
      </c>
      <c r="E495" s="4">
        <v>635</v>
      </c>
      <c r="F495" s="4">
        <v>680</v>
      </c>
      <c r="G495" s="4">
        <v>645</v>
      </c>
      <c r="H495" s="4"/>
    </row>
    <row r="496" spans="1:8" x14ac:dyDescent="0.25">
      <c r="A496" s="1" t="s">
        <v>504</v>
      </c>
      <c r="B496" s="2">
        <f t="shared" si="14"/>
        <v>3</v>
      </c>
      <c r="C496" s="2">
        <f t="shared" si="15"/>
        <v>2020</v>
      </c>
      <c r="D496" s="4">
        <v>645</v>
      </c>
      <c r="E496" s="4">
        <v>635</v>
      </c>
      <c r="F496" s="4">
        <v>680</v>
      </c>
      <c r="G496" s="4" t="s">
        <v>10</v>
      </c>
      <c r="H496" s="4"/>
    </row>
    <row r="497" spans="1:8" x14ac:dyDescent="0.25">
      <c r="A497" s="1" t="s">
        <v>505</v>
      </c>
      <c r="B497" s="2">
        <f t="shared" si="14"/>
        <v>3</v>
      </c>
      <c r="C497" s="2">
        <f t="shared" si="15"/>
        <v>2020</v>
      </c>
      <c r="D497" s="4">
        <v>648</v>
      </c>
      <c r="E497" s="4">
        <v>638</v>
      </c>
      <c r="F497" s="4">
        <v>685</v>
      </c>
      <c r="G497" s="4" t="s">
        <v>10</v>
      </c>
      <c r="H497" s="4"/>
    </row>
    <row r="498" spans="1:8" x14ac:dyDescent="0.25">
      <c r="A498" s="1" t="s">
        <v>506</v>
      </c>
      <c r="B498" s="2">
        <f t="shared" si="14"/>
        <v>3</v>
      </c>
      <c r="C498" s="2">
        <f t="shared" si="15"/>
        <v>2020</v>
      </c>
      <c r="D498" s="4">
        <v>655</v>
      </c>
      <c r="E498" s="4">
        <v>645</v>
      </c>
      <c r="F498" s="4">
        <v>685</v>
      </c>
      <c r="G498" s="4">
        <v>635</v>
      </c>
      <c r="H498" s="4"/>
    </row>
    <row r="499" spans="1:8" x14ac:dyDescent="0.25">
      <c r="A499" s="1" t="s">
        <v>507</v>
      </c>
      <c r="B499" s="2">
        <f t="shared" si="14"/>
        <v>3</v>
      </c>
      <c r="C499" s="2">
        <f t="shared" si="15"/>
        <v>2020</v>
      </c>
      <c r="D499" s="4">
        <v>655</v>
      </c>
      <c r="E499" s="4">
        <v>645</v>
      </c>
      <c r="F499" s="4">
        <v>680</v>
      </c>
      <c r="G499" s="4">
        <v>635</v>
      </c>
      <c r="H499" s="4"/>
    </row>
    <row r="500" spans="1:8" x14ac:dyDescent="0.25">
      <c r="A500" s="1" t="s">
        <v>508</v>
      </c>
      <c r="B500" s="2">
        <f t="shared" si="14"/>
        <v>3</v>
      </c>
      <c r="C500" s="2">
        <f t="shared" si="15"/>
        <v>2020</v>
      </c>
      <c r="D500" s="4">
        <v>653</v>
      </c>
      <c r="E500" s="4">
        <v>643</v>
      </c>
      <c r="F500" s="4">
        <v>678</v>
      </c>
      <c r="G500" s="4">
        <v>635</v>
      </c>
      <c r="H500" s="4"/>
    </row>
    <row r="501" spans="1:8" x14ac:dyDescent="0.25">
      <c r="A501" s="1" t="s">
        <v>509</v>
      </c>
      <c r="B501" s="2">
        <f t="shared" si="14"/>
        <v>3</v>
      </c>
      <c r="C501" s="2">
        <f t="shared" si="15"/>
        <v>2020</v>
      </c>
      <c r="D501" s="4">
        <v>663</v>
      </c>
      <c r="E501" s="4">
        <v>653</v>
      </c>
      <c r="F501" s="4">
        <v>710</v>
      </c>
      <c r="G501" s="4">
        <v>635</v>
      </c>
      <c r="H501" s="4"/>
    </row>
    <row r="502" spans="1:8" x14ac:dyDescent="0.25">
      <c r="A502" s="1" t="s">
        <v>510</v>
      </c>
      <c r="B502" s="2">
        <f t="shared" si="14"/>
        <v>3</v>
      </c>
      <c r="C502" s="2">
        <f t="shared" si="15"/>
        <v>2020</v>
      </c>
      <c r="D502" s="4">
        <v>665</v>
      </c>
      <c r="E502" s="4">
        <v>655</v>
      </c>
      <c r="F502" s="4">
        <v>720</v>
      </c>
      <c r="G502" s="4">
        <v>640</v>
      </c>
      <c r="H502" s="4"/>
    </row>
    <row r="503" spans="1:8" x14ac:dyDescent="0.25">
      <c r="A503" s="1" t="s">
        <v>511</v>
      </c>
      <c r="B503" s="2">
        <f t="shared" si="14"/>
        <v>4</v>
      </c>
      <c r="C503" s="2">
        <f t="shared" si="15"/>
        <v>2020</v>
      </c>
      <c r="D503" s="4">
        <v>660</v>
      </c>
      <c r="E503" s="4">
        <v>650</v>
      </c>
      <c r="F503" s="4">
        <v>720</v>
      </c>
      <c r="G503" s="4">
        <v>640</v>
      </c>
      <c r="H503" s="4"/>
    </row>
    <row r="504" spans="1:8" x14ac:dyDescent="0.25">
      <c r="A504" s="1" t="s">
        <v>512</v>
      </c>
      <c r="B504" s="2">
        <f t="shared" si="14"/>
        <v>4</v>
      </c>
      <c r="C504" s="2">
        <f t="shared" si="15"/>
        <v>2020</v>
      </c>
      <c r="D504" s="4">
        <v>665</v>
      </c>
      <c r="E504" s="4">
        <v>655</v>
      </c>
      <c r="F504" s="4">
        <v>680</v>
      </c>
      <c r="G504" s="4">
        <v>640</v>
      </c>
      <c r="H504" s="4"/>
    </row>
    <row r="505" spans="1:8" x14ac:dyDescent="0.25">
      <c r="A505" s="1" t="s">
        <v>513</v>
      </c>
      <c r="B505" s="2">
        <f t="shared" si="14"/>
        <v>4</v>
      </c>
      <c r="C505" s="2">
        <f t="shared" si="15"/>
        <v>2020</v>
      </c>
      <c r="D505" s="4">
        <v>665</v>
      </c>
      <c r="E505" s="4">
        <v>655</v>
      </c>
      <c r="F505" s="4">
        <v>687</v>
      </c>
      <c r="G505" s="4">
        <v>640</v>
      </c>
      <c r="H505" s="4"/>
    </row>
    <row r="506" spans="1:8" x14ac:dyDescent="0.25">
      <c r="A506" s="1" t="s">
        <v>514</v>
      </c>
      <c r="B506" s="2">
        <f t="shared" si="14"/>
        <v>4</v>
      </c>
      <c r="C506" s="2">
        <f t="shared" si="15"/>
        <v>2020</v>
      </c>
      <c r="D506" s="4">
        <v>680</v>
      </c>
      <c r="E506" s="4">
        <v>670</v>
      </c>
      <c r="F506" s="4">
        <v>695</v>
      </c>
      <c r="G506" s="4">
        <v>645</v>
      </c>
      <c r="H506" s="4"/>
    </row>
    <row r="507" spans="1:8" x14ac:dyDescent="0.25">
      <c r="A507" s="1" t="s">
        <v>515</v>
      </c>
      <c r="B507" s="2">
        <f t="shared" si="14"/>
        <v>4</v>
      </c>
      <c r="C507" s="2">
        <f t="shared" si="15"/>
        <v>2020</v>
      </c>
      <c r="D507" s="4">
        <v>687</v>
      </c>
      <c r="E507" s="4">
        <v>677</v>
      </c>
      <c r="F507" s="4">
        <v>725</v>
      </c>
      <c r="G507" s="4">
        <v>650</v>
      </c>
      <c r="H507" s="4"/>
    </row>
    <row r="508" spans="1:8" x14ac:dyDescent="0.25">
      <c r="A508" s="1" t="s">
        <v>516</v>
      </c>
      <c r="B508" s="2">
        <f t="shared" si="14"/>
        <v>4</v>
      </c>
      <c r="C508" s="2">
        <f t="shared" si="15"/>
        <v>2020</v>
      </c>
      <c r="D508" s="4">
        <v>705</v>
      </c>
      <c r="E508" s="4">
        <v>695</v>
      </c>
      <c r="F508" s="4">
        <v>735</v>
      </c>
      <c r="G508" s="4">
        <v>670</v>
      </c>
      <c r="H508" s="4"/>
    </row>
    <row r="509" spans="1:8" x14ac:dyDescent="0.25">
      <c r="A509" s="1" t="s">
        <v>517</v>
      </c>
      <c r="B509" s="2">
        <f t="shared" si="14"/>
        <v>4</v>
      </c>
      <c r="C509" s="2">
        <f t="shared" si="15"/>
        <v>2020</v>
      </c>
      <c r="D509" s="4">
        <v>708</v>
      </c>
      <c r="E509" s="4">
        <v>698</v>
      </c>
      <c r="F509" s="4">
        <v>735</v>
      </c>
      <c r="G509" s="4">
        <v>685</v>
      </c>
      <c r="H509" s="4"/>
    </row>
    <row r="510" spans="1:8" x14ac:dyDescent="0.25">
      <c r="A510" s="1" t="s">
        <v>518</v>
      </c>
      <c r="B510" s="2">
        <f t="shared" si="14"/>
        <v>4</v>
      </c>
      <c r="C510" s="2">
        <f t="shared" si="15"/>
        <v>2020</v>
      </c>
      <c r="D510" s="4">
        <v>710</v>
      </c>
      <c r="E510" s="4">
        <v>700</v>
      </c>
      <c r="F510" s="4">
        <v>745</v>
      </c>
      <c r="G510" s="4">
        <v>690</v>
      </c>
      <c r="H510" s="4"/>
    </row>
    <row r="511" spans="1:8" x14ac:dyDescent="0.25">
      <c r="A511" s="1" t="s">
        <v>519</v>
      </c>
      <c r="B511" s="2">
        <f t="shared" si="14"/>
        <v>4</v>
      </c>
      <c r="C511" s="2">
        <f t="shared" si="15"/>
        <v>2020</v>
      </c>
      <c r="D511" s="4">
        <v>709</v>
      </c>
      <c r="E511" s="4">
        <v>699</v>
      </c>
      <c r="F511" s="4">
        <v>730</v>
      </c>
      <c r="G511" s="4">
        <v>690</v>
      </c>
      <c r="H511" s="4"/>
    </row>
    <row r="512" spans="1:8" x14ac:dyDescent="0.25">
      <c r="A512" s="1" t="s">
        <v>520</v>
      </c>
      <c r="B512" s="2">
        <f t="shared" si="14"/>
        <v>4</v>
      </c>
      <c r="C512" s="2">
        <f t="shared" si="15"/>
        <v>2020</v>
      </c>
      <c r="D512" s="4">
        <v>715</v>
      </c>
      <c r="E512" s="4">
        <v>705</v>
      </c>
      <c r="F512" s="4">
        <v>745</v>
      </c>
      <c r="G512" s="4">
        <v>695</v>
      </c>
      <c r="H512" s="4"/>
    </row>
    <row r="513" spans="1:8" x14ac:dyDescent="0.25">
      <c r="A513" s="1" t="s">
        <v>521</v>
      </c>
      <c r="B513" s="2">
        <f t="shared" si="14"/>
        <v>4</v>
      </c>
      <c r="C513" s="2">
        <f t="shared" si="15"/>
        <v>2020</v>
      </c>
      <c r="D513" s="4">
        <v>710</v>
      </c>
      <c r="E513" s="4">
        <v>700</v>
      </c>
      <c r="F513" s="4">
        <v>745</v>
      </c>
      <c r="G513" s="4">
        <v>695</v>
      </c>
      <c r="H513" s="4"/>
    </row>
    <row r="514" spans="1:8" x14ac:dyDescent="0.25">
      <c r="A514" s="1" t="s">
        <v>522</v>
      </c>
      <c r="B514" s="2">
        <f t="shared" si="14"/>
        <v>4</v>
      </c>
      <c r="C514" s="2">
        <f t="shared" si="15"/>
        <v>2020</v>
      </c>
      <c r="D514" s="4">
        <v>712</v>
      </c>
      <c r="E514" s="4">
        <v>702</v>
      </c>
      <c r="F514" s="4">
        <v>740</v>
      </c>
      <c r="G514" s="4">
        <v>690</v>
      </c>
      <c r="H514" s="4"/>
    </row>
    <row r="515" spans="1:8" x14ac:dyDescent="0.25">
      <c r="A515" s="1" t="s">
        <v>523</v>
      </c>
      <c r="B515" s="2">
        <f t="shared" ref="B515:B578" si="16">MONTH(A515)</f>
        <v>4</v>
      </c>
      <c r="C515" s="2">
        <f t="shared" ref="C515:C578" si="17">YEAR(A515)</f>
        <v>2020</v>
      </c>
      <c r="D515" s="4">
        <v>685</v>
      </c>
      <c r="E515" s="4">
        <v>675</v>
      </c>
      <c r="F515" s="4">
        <v>735</v>
      </c>
      <c r="G515" s="4">
        <v>700</v>
      </c>
      <c r="H515" s="4"/>
    </row>
    <row r="516" spans="1:8" x14ac:dyDescent="0.25">
      <c r="A516" s="1" t="s">
        <v>524</v>
      </c>
      <c r="B516" s="2">
        <f t="shared" si="16"/>
        <v>4</v>
      </c>
      <c r="C516" s="2">
        <f t="shared" si="17"/>
        <v>2020</v>
      </c>
      <c r="D516" s="4">
        <v>687</v>
      </c>
      <c r="E516" s="4">
        <v>677</v>
      </c>
      <c r="F516" s="4">
        <v>715</v>
      </c>
      <c r="G516" s="4">
        <v>680</v>
      </c>
      <c r="H516" s="4"/>
    </row>
    <row r="517" spans="1:8" x14ac:dyDescent="0.25">
      <c r="A517" s="1" t="s">
        <v>525</v>
      </c>
      <c r="B517" s="2">
        <f t="shared" si="16"/>
        <v>4</v>
      </c>
      <c r="C517" s="2">
        <f t="shared" si="17"/>
        <v>2020</v>
      </c>
      <c r="D517" s="4">
        <v>697</v>
      </c>
      <c r="E517" s="4">
        <v>687</v>
      </c>
      <c r="F517" s="4">
        <v>725</v>
      </c>
      <c r="G517" s="4">
        <v>670</v>
      </c>
      <c r="H517" s="4"/>
    </row>
    <row r="518" spans="1:8" x14ac:dyDescent="0.25">
      <c r="A518" s="1" t="s">
        <v>526</v>
      </c>
      <c r="B518" s="2">
        <f t="shared" si="16"/>
        <v>4</v>
      </c>
      <c r="C518" s="2">
        <f t="shared" si="17"/>
        <v>2020</v>
      </c>
      <c r="D518" s="4">
        <v>689</v>
      </c>
      <c r="E518" s="4">
        <v>679</v>
      </c>
      <c r="F518" s="4">
        <v>720</v>
      </c>
      <c r="G518" s="4">
        <v>690</v>
      </c>
      <c r="H518" s="4"/>
    </row>
    <row r="519" spans="1:8" x14ac:dyDescent="0.25">
      <c r="A519" s="1" t="s">
        <v>527</v>
      </c>
      <c r="B519" s="2">
        <f t="shared" si="16"/>
        <v>4</v>
      </c>
      <c r="C519" s="2">
        <f t="shared" si="17"/>
        <v>2020</v>
      </c>
      <c r="D519" s="4">
        <v>689</v>
      </c>
      <c r="E519" s="4">
        <v>679</v>
      </c>
      <c r="F519" s="4">
        <v>720</v>
      </c>
      <c r="G519" s="4">
        <v>690</v>
      </c>
      <c r="H519" s="4"/>
    </row>
    <row r="520" spans="1:8" x14ac:dyDescent="0.25">
      <c r="A520" s="1" t="s">
        <v>528</v>
      </c>
      <c r="B520" s="2">
        <f t="shared" si="16"/>
        <v>4</v>
      </c>
      <c r="C520" s="2">
        <f t="shared" si="17"/>
        <v>2020</v>
      </c>
      <c r="D520" s="4">
        <v>689</v>
      </c>
      <c r="E520" s="4">
        <v>679</v>
      </c>
      <c r="F520" s="4">
        <v>720</v>
      </c>
      <c r="G520" s="4">
        <v>680</v>
      </c>
      <c r="H520" s="4"/>
    </row>
    <row r="521" spans="1:8" x14ac:dyDescent="0.25">
      <c r="A521" s="1" t="s">
        <v>529</v>
      </c>
      <c r="B521" s="2">
        <f t="shared" si="16"/>
        <v>4</v>
      </c>
      <c r="C521" s="2">
        <f t="shared" si="17"/>
        <v>2020</v>
      </c>
      <c r="D521" s="4">
        <v>689</v>
      </c>
      <c r="E521" s="4">
        <v>679</v>
      </c>
      <c r="F521" s="4">
        <v>710</v>
      </c>
      <c r="G521" s="4">
        <v>680</v>
      </c>
      <c r="H521" s="4"/>
    </row>
    <row r="522" spans="1:8" x14ac:dyDescent="0.25">
      <c r="A522" s="1" t="s">
        <v>530</v>
      </c>
      <c r="B522" s="2">
        <f t="shared" si="16"/>
        <v>4</v>
      </c>
      <c r="C522" s="2">
        <f t="shared" si="17"/>
        <v>2020</v>
      </c>
      <c r="D522" s="4">
        <v>697</v>
      </c>
      <c r="E522" s="4">
        <v>687</v>
      </c>
      <c r="F522" s="4">
        <v>720</v>
      </c>
      <c r="G522" s="4">
        <v>685</v>
      </c>
      <c r="H522" s="4"/>
    </row>
    <row r="523" spans="1:8" x14ac:dyDescent="0.25">
      <c r="A523" s="1" t="s">
        <v>531</v>
      </c>
      <c r="B523" s="2">
        <f t="shared" si="16"/>
        <v>5</v>
      </c>
      <c r="C523" s="2">
        <f t="shared" si="17"/>
        <v>2020</v>
      </c>
      <c r="D523" s="4">
        <v>697</v>
      </c>
      <c r="E523" s="4" t="s">
        <v>10</v>
      </c>
      <c r="F523" s="4">
        <v>720</v>
      </c>
      <c r="G523" s="4">
        <v>685</v>
      </c>
      <c r="H523" s="4"/>
    </row>
    <row r="524" spans="1:8" x14ac:dyDescent="0.25">
      <c r="A524" s="1" t="s">
        <v>532</v>
      </c>
      <c r="B524" s="2">
        <f t="shared" si="16"/>
        <v>5</v>
      </c>
      <c r="C524" s="2">
        <f t="shared" si="17"/>
        <v>2020</v>
      </c>
      <c r="D524" s="4">
        <v>690</v>
      </c>
      <c r="E524" s="4">
        <v>680</v>
      </c>
      <c r="F524" s="4">
        <v>720</v>
      </c>
      <c r="G524" s="4">
        <v>690</v>
      </c>
      <c r="H524" s="4"/>
    </row>
    <row r="525" spans="1:8" x14ac:dyDescent="0.25">
      <c r="A525" s="1" t="s">
        <v>533</v>
      </c>
      <c r="B525" s="2">
        <f t="shared" si="16"/>
        <v>5</v>
      </c>
      <c r="C525" s="2">
        <f t="shared" si="17"/>
        <v>2020</v>
      </c>
      <c r="D525" s="4">
        <v>690</v>
      </c>
      <c r="E525" s="4">
        <v>680</v>
      </c>
      <c r="F525" s="4" t="s">
        <v>10</v>
      </c>
      <c r="G525" s="4">
        <v>690</v>
      </c>
      <c r="H525" s="4"/>
    </row>
    <row r="526" spans="1:8" x14ac:dyDescent="0.25">
      <c r="A526" s="1" t="s">
        <v>534</v>
      </c>
      <c r="B526" s="2">
        <f t="shared" si="16"/>
        <v>5</v>
      </c>
      <c r="C526" s="2">
        <f t="shared" si="17"/>
        <v>2020</v>
      </c>
      <c r="D526" s="4">
        <v>697</v>
      </c>
      <c r="E526" s="4">
        <v>687</v>
      </c>
      <c r="F526" s="4">
        <v>720</v>
      </c>
      <c r="G526" s="4">
        <v>685</v>
      </c>
      <c r="H526" s="4"/>
    </row>
    <row r="527" spans="1:8" x14ac:dyDescent="0.25">
      <c r="A527" s="1" t="s">
        <v>535</v>
      </c>
      <c r="B527" s="2">
        <f t="shared" si="16"/>
        <v>5</v>
      </c>
      <c r="C527" s="2">
        <f t="shared" si="17"/>
        <v>2020</v>
      </c>
      <c r="D527" s="4">
        <v>695</v>
      </c>
      <c r="E527" s="4">
        <v>685</v>
      </c>
      <c r="F527" s="4">
        <v>725</v>
      </c>
      <c r="G527" s="4">
        <v>690</v>
      </c>
      <c r="H527" s="4"/>
    </row>
    <row r="528" spans="1:8" x14ac:dyDescent="0.25">
      <c r="A528" s="1" t="s">
        <v>536</v>
      </c>
      <c r="B528" s="2">
        <f t="shared" si="16"/>
        <v>5</v>
      </c>
      <c r="C528" s="2">
        <f t="shared" si="17"/>
        <v>2020</v>
      </c>
      <c r="D528" s="4">
        <v>705</v>
      </c>
      <c r="E528" s="4" t="s">
        <v>10</v>
      </c>
      <c r="F528" s="4">
        <v>735</v>
      </c>
      <c r="G528" s="4">
        <v>690</v>
      </c>
      <c r="H528" s="4"/>
    </row>
    <row r="529" spans="1:8" x14ac:dyDescent="0.25">
      <c r="A529" s="1" t="s">
        <v>537</v>
      </c>
      <c r="B529" s="2">
        <f t="shared" si="16"/>
        <v>5</v>
      </c>
      <c r="C529" s="2">
        <f t="shared" si="17"/>
        <v>2020</v>
      </c>
      <c r="D529" s="4">
        <v>706</v>
      </c>
      <c r="E529" s="4">
        <v>696</v>
      </c>
      <c r="F529" s="4">
        <v>735</v>
      </c>
      <c r="G529" s="4">
        <v>690</v>
      </c>
      <c r="H529" s="4"/>
    </row>
    <row r="530" spans="1:8" x14ac:dyDescent="0.25">
      <c r="A530" s="1" t="s">
        <v>538</v>
      </c>
      <c r="B530" s="2">
        <f t="shared" si="16"/>
        <v>5</v>
      </c>
      <c r="C530" s="2">
        <f t="shared" si="17"/>
        <v>2020</v>
      </c>
      <c r="D530" s="4">
        <v>706</v>
      </c>
      <c r="E530" s="4">
        <v>696</v>
      </c>
      <c r="F530" s="4">
        <v>730</v>
      </c>
      <c r="G530" s="4">
        <v>695</v>
      </c>
      <c r="H530" s="4"/>
    </row>
    <row r="531" spans="1:8" x14ac:dyDescent="0.25">
      <c r="A531" s="1" t="s">
        <v>539</v>
      </c>
      <c r="B531" s="2">
        <f t="shared" si="16"/>
        <v>5</v>
      </c>
      <c r="C531" s="2">
        <f t="shared" si="17"/>
        <v>2020</v>
      </c>
      <c r="D531" s="4">
        <v>707</v>
      </c>
      <c r="E531" s="4">
        <v>697</v>
      </c>
      <c r="F531" s="4">
        <v>735</v>
      </c>
      <c r="G531" s="4">
        <v>695</v>
      </c>
      <c r="H531" s="4"/>
    </row>
    <row r="532" spans="1:8" x14ac:dyDescent="0.25">
      <c r="A532" s="1" t="s">
        <v>540</v>
      </c>
      <c r="B532" s="2">
        <f t="shared" si="16"/>
        <v>5</v>
      </c>
      <c r="C532" s="2">
        <f t="shared" si="17"/>
        <v>2020</v>
      </c>
      <c r="D532" s="4">
        <v>712</v>
      </c>
      <c r="E532" s="4">
        <v>702</v>
      </c>
      <c r="F532" s="4">
        <v>740</v>
      </c>
      <c r="G532" s="4">
        <v>695</v>
      </c>
      <c r="H532" s="4"/>
    </row>
    <row r="533" spans="1:8" x14ac:dyDescent="0.25">
      <c r="A533" s="1" t="s">
        <v>541</v>
      </c>
      <c r="B533" s="2">
        <f t="shared" si="16"/>
        <v>5</v>
      </c>
      <c r="C533" s="2">
        <f t="shared" si="17"/>
        <v>2020</v>
      </c>
      <c r="D533" s="4">
        <v>727</v>
      </c>
      <c r="E533" s="4">
        <v>717</v>
      </c>
      <c r="F533" s="4">
        <v>755</v>
      </c>
      <c r="G533" s="4">
        <v>695</v>
      </c>
      <c r="H533" s="4"/>
    </row>
    <row r="534" spans="1:8" x14ac:dyDescent="0.25">
      <c r="A534" s="1" t="s">
        <v>542</v>
      </c>
      <c r="B534" s="2">
        <f t="shared" si="16"/>
        <v>5</v>
      </c>
      <c r="C534" s="2">
        <f t="shared" si="17"/>
        <v>2020</v>
      </c>
      <c r="D534" s="4">
        <v>730</v>
      </c>
      <c r="E534" s="4">
        <v>720</v>
      </c>
      <c r="F534" s="4">
        <v>760</v>
      </c>
      <c r="G534" s="4">
        <v>705</v>
      </c>
      <c r="H534" s="4"/>
    </row>
    <row r="535" spans="1:8" x14ac:dyDescent="0.25">
      <c r="A535" s="1" t="s">
        <v>543</v>
      </c>
      <c r="B535" s="2">
        <f t="shared" si="16"/>
        <v>5</v>
      </c>
      <c r="C535" s="2">
        <f t="shared" si="17"/>
        <v>2020</v>
      </c>
      <c r="D535" s="4">
        <v>734</v>
      </c>
      <c r="E535" s="4">
        <v>724</v>
      </c>
      <c r="F535" s="4">
        <v>760</v>
      </c>
      <c r="G535" s="4">
        <v>705</v>
      </c>
      <c r="H535" s="4"/>
    </row>
    <row r="536" spans="1:8" x14ac:dyDescent="0.25">
      <c r="A536" s="1" t="s">
        <v>544</v>
      </c>
      <c r="B536" s="2">
        <f t="shared" si="16"/>
        <v>5</v>
      </c>
      <c r="C536" s="2">
        <f t="shared" si="17"/>
        <v>2020</v>
      </c>
      <c r="D536" s="4">
        <v>746</v>
      </c>
      <c r="E536" s="4">
        <v>736</v>
      </c>
      <c r="F536" s="4" t="s">
        <v>10</v>
      </c>
      <c r="G536" s="4">
        <v>715</v>
      </c>
      <c r="H536" s="4"/>
    </row>
    <row r="537" spans="1:8" x14ac:dyDescent="0.25">
      <c r="A537" s="1" t="s">
        <v>545</v>
      </c>
      <c r="B537" s="2">
        <f t="shared" si="16"/>
        <v>5</v>
      </c>
      <c r="C537" s="2">
        <f t="shared" si="17"/>
        <v>2020</v>
      </c>
      <c r="D537" s="4">
        <v>737</v>
      </c>
      <c r="E537" s="4">
        <v>727</v>
      </c>
      <c r="F537" s="4">
        <v>760</v>
      </c>
      <c r="G537" s="4">
        <v>725</v>
      </c>
      <c r="H537" s="4"/>
    </row>
    <row r="538" spans="1:8" x14ac:dyDescent="0.25">
      <c r="A538" s="1" t="s">
        <v>546</v>
      </c>
      <c r="B538" s="2">
        <f t="shared" si="16"/>
        <v>5</v>
      </c>
      <c r="C538" s="2">
        <f t="shared" si="17"/>
        <v>2020</v>
      </c>
      <c r="D538" s="4">
        <v>747</v>
      </c>
      <c r="E538" s="4">
        <v>737</v>
      </c>
      <c r="F538" s="4">
        <v>760</v>
      </c>
      <c r="G538" s="4">
        <v>725</v>
      </c>
      <c r="H538" s="4"/>
    </row>
    <row r="539" spans="1:8" x14ac:dyDescent="0.25">
      <c r="A539" s="1" t="s">
        <v>547</v>
      </c>
      <c r="B539" s="2">
        <f t="shared" si="16"/>
        <v>5</v>
      </c>
      <c r="C539" s="2">
        <f t="shared" si="17"/>
        <v>2020</v>
      </c>
      <c r="D539" s="4">
        <v>749</v>
      </c>
      <c r="E539" s="4">
        <v>739</v>
      </c>
      <c r="F539" s="4">
        <v>770</v>
      </c>
      <c r="G539" s="4">
        <v>725</v>
      </c>
      <c r="H539" s="4"/>
    </row>
    <row r="540" spans="1:8" x14ac:dyDescent="0.25">
      <c r="A540" s="1" t="s">
        <v>548</v>
      </c>
      <c r="B540" s="2">
        <f t="shared" si="16"/>
        <v>5</v>
      </c>
      <c r="C540" s="2">
        <f t="shared" si="17"/>
        <v>2020</v>
      </c>
      <c r="D540" s="4">
        <v>748</v>
      </c>
      <c r="E540" s="4">
        <v>738</v>
      </c>
      <c r="F540" s="4">
        <v>775.5</v>
      </c>
      <c r="G540" s="4">
        <v>730</v>
      </c>
      <c r="H540" s="4"/>
    </row>
    <row r="541" spans="1:8" x14ac:dyDescent="0.25">
      <c r="A541" s="1" t="s">
        <v>549</v>
      </c>
      <c r="B541" s="2">
        <f t="shared" si="16"/>
        <v>5</v>
      </c>
      <c r="C541" s="2">
        <f t="shared" si="17"/>
        <v>2020</v>
      </c>
      <c r="D541" s="4">
        <v>750</v>
      </c>
      <c r="E541" s="4">
        <v>740</v>
      </c>
      <c r="F541" s="4">
        <v>775</v>
      </c>
      <c r="G541" s="4">
        <v>730</v>
      </c>
      <c r="H541" s="4"/>
    </row>
    <row r="542" spans="1:8" x14ac:dyDescent="0.25">
      <c r="A542" s="1" t="s">
        <v>550</v>
      </c>
      <c r="B542" s="2">
        <f t="shared" si="16"/>
        <v>6</v>
      </c>
      <c r="C542" s="2">
        <f t="shared" si="17"/>
        <v>2020</v>
      </c>
      <c r="D542" s="4" t="s">
        <v>10</v>
      </c>
      <c r="E542" s="4">
        <v>740</v>
      </c>
      <c r="F542" s="4" t="s">
        <v>10</v>
      </c>
      <c r="G542" s="4">
        <v>735</v>
      </c>
      <c r="H542" s="4"/>
    </row>
    <row r="543" spans="1:8" x14ac:dyDescent="0.25">
      <c r="A543" s="1" t="s">
        <v>551</v>
      </c>
      <c r="B543" s="2">
        <f t="shared" si="16"/>
        <v>6</v>
      </c>
      <c r="C543" s="2">
        <f t="shared" si="17"/>
        <v>2020</v>
      </c>
      <c r="D543" s="4">
        <v>760</v>
      </c>
      <c r="E543" s="4">
        <v>750</v>
      </c>
      <c r="F543" s="4">
        <v>780</v>
      </c>
      <c r="G543" s="4">
        <v>740</v>
      </c>
      <c r="H543" s="4"/>
    </row>
    <row r="544" spans="1:8" x14ac:dyDescent="0.25">
      <c r="A544" s="1" t="s">
        <v>552</v>
      </c>
      <c r="B544" s="2">
        <f t="shared" si="16"/>
        <v>6</v>
      </c>
      <c r="C544" s="2">
        <f t="shared" si="17"/>
        <v>2020</v>
      </c>
      <c r="D544" s="4">
        <v>768</v>
      </c>
      <c r="E544" s="4">
        <v>758</v>
      </c>
      <c r="F544" s="4">
        <v>790</v>
      </c>
      <c r="G544" s="4">
        <v>750</v>
      </c>
      <c r="H544" s="4"/>
    </row>
    <row r="545" spans="1:8" x14ac:dyDescent="0.25">
      <c r="A545" s="1" t="s">
        <v>553</v>
      </c>
      <c r="B545" s="2">
        <f t="shared" si="16"/>
        <v>6</v>
      </c>
      <c r="C545" s="2">
        <f t="shared" si="17"/>
        <v>2020</v>
      </c>
      <c r="D545" s="4">
        <v>762</v>
      </c>
      <c r="E545" s="4">
        <v>752</v>
      </c>
      <c r="F545" s="4">
        <v>800</v>
      </c>
      <c r="G545" s="4">
        <v>750</v>
      </c>
      <c r="H545" s="4"/>
    </row>
    <row r="546" spans="1:8" x14ac:dyDescent="0.25">
      <c r="A546" s="1" t="s">
        <v>554</v>
      </c>
      <c r="B546" s="2">
        <f t="shared" si="16"/>
        <v>6</v>
      </c>
      <c r="C546" s="2">
        <f t="shared" si="17"/>
        <v>2020</v>
      </c>
      <c r="D546" s="4">
        <v>760</v>
      </c>
      <c r="E546" s="4">
        <v>750</v>
      </c>
      <c r="F546" s="4">
        <v>800</v>
      </c>
      <c r="G546" s="4">
        <v>735</v>
      </c>
      <c r="H546" s="4"/>
    </row>
    <row r="547" spans="1:8" x14ac:dyDescent="0.25">
      <c r="A547" s="1" t="s">
        <v>555</v>
      </c>
      <c r="B547" s="2">
        <f t="shared" si="16"/>
        <v>6</v>
      </c>
      <c r="C547" s="2">
        <f t="shared" si="17"/>
        <v>2020</v>
      </c>
      <c r="D547" s="4">
        <v>763</v>
      </c>
      <c r="E547" s="4" t="s">
        <v>10</v>
      </c>
      <c r="F547" s="4">
        <v>800</v>
      </c>
      <c r="G547" s="4">
        <v>730</v>
      </c>
      <c r="H547" s="4"/>
    </row>
    <row r="548" spans="1:8" x14ac:dyDescent="0.25">
      <c r="A548" s="1" t="s">
        <v>556</v>
      </c>
      <c r="B548" s="2">
        <f t="shared" si="16"/>
        <v>6</v>
      </c>
      <c r="C548" s="2">
        <f t="shared" si="17"/>
        <v>2020</v>
      </c>
      <c r="D548" s="4">
        <v>768</v>
      </c>
      <c r="E548" s="4">
        <v>758</v>
      </c>
      <c r="F548" s="4">
        <v>795</v>
      </c>
      <c r="G548" s="4">
        <v>740</v>
      </c>
      <c r="H548" s="4"/>
    </row>
    <row r="549" spans="1:8" x14ac:dyDescent="0.25">
      <c r="A549" s="1" t="s">
        <v>557</v>
      </c>
      <c r="B549" s="2">
        <f t="shared" si="16"/>
        <v>6</v>
      </c>
      <c r="C549" s="2">
        <f t="shared" si="17"/>
        <v>2020</v>
      </c>
      <c r="D549" s="4">
        <v>770</v>
      </c>
      <c r="E549" s="4">
        <v>760</v>
      </c>
      <c r="F549" s="4">
        <v>795</v>
      </c>
      <c r="G549" s="4">
        <v>745</v>
      </c>
      <c r="H549" s="4"/>
    </row>
    <row r="550" spans="1:8" x14ac:dyDescent="0.25">
      <c r="A550" s="1" t="s">
        <v>558</v>
      </c>
      <c r="B550" s="2">
        <f t="shared" si="16"/>
        <v>6</v>
      </c>
      <c r="C550" s="2">
        <f t="shared" si="17"/>
        <v>2020</v>
      </c>
      <c r="D550" s="4">
        <v>772</v>
      </c>
      <c r="E550" s="4">
        <v>762</v>
      </c>
      <c r="F550" s="4">
        <v>795</v>
      </c>
      <c r="G550" s="4">
        <v>745</v>
      </c>
      <c r="H550" s="4"/>
    </row>
    <row r="551" spans="1:8" x14ac:dyDescent="0.25">
      <c r="A551" s="1" t="s">
        <v>559</v>
      </c>
      <c r="B551" s="2">
        <f t="shared" si="16"/>
        <v>6</v>
      </c>
      <c r="C551" s="2">
        <f t="shared" si="17"/>
        <v>2020</v>
      </c>
      <c r="D551" s="4">
        <v>768</v>
      </c>
      <c r="E551" s="4">
        <v>758</v>
      </c>
      <c r="F551" s="4">
        <v>805</v>
      </c>
      <c r="G551" s="4">
        <v>745</v>
      </c>
      <c r="H551" s="4"/>
    </row>
    <row r="552" spans="1:8" x14ac:dyDescent="0.25">
      <c r="A552" s="1" t="s">
        <v>560</v>
      </c>
      <c r="B552" s="2">
        <f t="shared" si="16"/>
        <v>6</v>
      </c>
      <c r="C552" s="2">
        <f t="shared" si="17"/>
        <v>2020</v>
      </c>
      <c r="D552" s="4">
        <v>765</v>
      </c>
      <c r="E552" s="4">
        <v>755</v>
      </c>
      <c r="F552" s="4">
        <v>795</v>
      </c>
      <c r="G552" s="4">
        <v>755</v>
      </c>
      <c r="H552" s="4"/>
    </row>
    <row r="553" spans="1:8" x14ac:dyDescent="0.25">
      <c r="A553" s="1" t="s">
        <v>561</v>
      </c>
      <c r="B553" s="2">
        <f t="shared" si="16"/>
        <v>6</v>
      </c>
      <c r="C553" s="2">
        <f t="shared" si="17"/>
        <v>2020</v>
      </c>
      <c r="D553" s="4">
        <v>775</v>
      </c>
      <c r="E553" s="4">
        <v>765</v>
      </c>
      <c r="F553" s="4">
        <v>800</v>
      </c>
      <c r="G553" s="4">
        <v>755</v>
      </c>
      <c r="H553" s="4"/>
    </row>
    <row r="554" spans="1:8" x14ac:dyDescent="0.25">
      <c r="A554" s="1" t="s">
        <v>562</v>
      </c>
      <c r="B554" s="2">
        <f t="shared" si="16"/>
        <v>6</v>
      </c>
      <c r="C554" s="2">
        <f t="shared" si="17"/>
        <v>2020</v>
      </c>
      <c r="D554" s="4">
        <v>775</v>
      </c>
      <c r="E554" s="4">
        <v>765</v>
      </c>
      <c r="F554" s="4">
        <v>802.5</v>
      </c>
      <c r="G554" s="4">
        <v>755</v>
      </c>
      <c r="H554" s="4"/>
    </row>
    <row r="555" spans="1:8" x14ac:dyDescent="0.25">
      <c r="A555" s="1" t="s">
        <v>563</v>
      </c>
      <c r="B555" s="2">
        <f t="shared" si="16"/>
        <v>6</v>
      </c>
      <c r="C555" s="2">
        <f t="shared" si="17"/>
        <v>2020</v>
      </c>
      <c r="D555" s="4">
        <v>772</v>
      </c>
      <c r="E555" s="4">
        <v>762</v>
      </c>
      <c r="F555" s="4">
        <v>797.5</v>
      </c>
      <c r="G555" s="4">
        <v>755</v>
      </c>
      <c r="H555" s="4"/>
    </row>
    <row r="556" spans="1:8" x14ac:dyDescent="0.25">
      <c r="A556" s="1" t="s">
        <v>564</v>
      </c>
      <c r="B556" s="2">
        <f t="shared" si="16"/>
        <v>6</v>
      </c>
      <c r="C556" s="2">
        <f t="shared" si="17"/>
        <v>2020</v>
      </c>
      <c r="D556" s="4">
        <v>782</v>
      </c>
      <c r="E556" s="4">
        <v>772</v>
      </c>
      <c r="F556" s="4">
        <v>810</v>
      </c>
      <c r="G556" s="4">
        <v>760</v>
      </c>
      <c r="H556" s="4"/>
    </row>
    <row r="557" spans="1:8" x14ac:dyDescent="0.25">
      <c r="A557" s="1" t="s">
        <v>565</v>
      </c>
      <c r="B557" s="2">
        <f t="shared" si="16"/>
        <v>6</v>
      </c>
      <c r="C557" s="2">
        <f t="shared" si="17"/>
        <v>2020</v>
      </c>
      <c r="D557" s="4">
        <v>782</v>
      </c>
      <c r="E557" s="4">
        <v>775</v>
      </c>
      <c r="F557" s="4">
        <v>805</v>
      </c>
      <c r="G557" s="4">
        <v>760</v>
      </c>
      <c r="H557" s="4"/>
    </row>
    <row r="558" spans="1:8" x14ac:dyDescent="0.25">
      <c r="A558" s="1" t="s">
        <v>566</v>
      </c>
      <c r="B558" s="2">
        <f t="shared" si="16"/>
        <v>6</v>
      </c>
      <c r="C558" s="2">
        <f t="shared" si="17"/>
        <v>2020</v>
      </c>
      <c r="D558" s="4">
        <v>785</v>
      </c>
      <c r="E558" s="4">
        <v>778</v>
      </c>
      <c r="F558" s="4">
        <v>820</v>
      </c>
      <c r="G558" s="4">
        <v>760</v>
      </c>
      <c r="H558" s="4"/>
    </row>
    <row r="559" spans="1:8" x14ac:dyDescent="0.25">
      <c r="A559" s="1" t="s">
        <v>567</v>
      </c>
      <c r="B559" s="2">
        <f t="shared" si="16"/>
        <v>6</v>
      </c>
      <c r="C559" s="2">
        <f t="shared" si="17"/>
        <v>2020</v>
      </c>
      <c r="D559" s="4">
        <v>787</v>
      </c>
      <c r="E559" s="4">
        <v>778</v>
      </c>
      <c r="F559" s="4">
        <v>820</v>
      </c>
      <c r="G559" s="4">
        <v>760</v>
      </c>
      <c r="H559" s="4"/>
    </row>
    <row r="560" spans="1:8" x14ac:dyDescent="0.25">
      <c r="A560" s="1" t="s">
        <v>568</v>
      </c>
      <c r="B560" s="2">
        <f t="shared" si="16"/>
        <v>6</v>
      </c>
      <c r="C560" s="2">
        <f t="shared" si="17"/>
        <v>2020</v>
      </c>
      <c r="D560" s="4">
        <v>782</v>
      </c>
      <c r="E560" s="4">
        <v>770</v>
      </c>
      <c r="F560" s="4">
        <v>815</v>
      </c>
      <c r="G560" s="4">
        <v>760</v>
      </c>
      <c r="H560" s="4"/>
    </row>
    <row r="561" spans="1:8" x14ac:dyDescent="0.25">
      <c r="A561" s="1" t="s">
        <v>569</v>
      </c>
      <c r="B561" s="2">
        <f t="shared" si="16"/>
        <v>6</v>
      </c>
      <c r="C561" s="2">
        <f t="shared" si="17"/>
        <v>2020</v>
      </c>
      <c r="D561" s="4">
        <v>777</v>
      </c>
      <c r="E561" s="4">
        <v>772</v>
      </c>
      <c r="F561" s="4">
        <v>815</v>
      </c>
      <c r="G561" s="4">
        <v>760</v>
      </c>
      <c r="H561" s="4"/>
    </row>
    <row r="562" spans="1:8" x14ac:dyDescent="0.25">
      <c r="A562" s="1" t="s">
        <v>570</v>
      </c>
      <c r="B562" s="2">
        <f t="shared" si="16"/>
        <v>6</v>
      </c>
      <c r="C562" s="2">
        <f t="shared" si="17"/>
        <v>2020</v>
      </c>
      <c r="D562" s="4">
        <v>775</v>
      </c>
      <c r="E562" s="4">
        <v>765</v>
      </c>
      <c r="F562" s="4">
        <v>800</v>
      </c>
      <c r="G562" s="4">
        <v>760</v>
      </c>
      <c r="H562" s="4"/>
    </row>
    <row r="563" spans="1:8" x14ac:dyDescent="0.25">
      <c r="A563" s="1" t="s">
        <v>571</v>
      </c>
      <c r="B563" s="2">
        <f t="shared" si="16"/>
        <v>6</v>
      </c>
      <c r="C563" s="2">
        <f t="shared" si="17"/>
        <v>2020</v>
      </c>
      <c r="D563" s="4">
        <v>775</v>
      </c>
      <c r="E563" s="4">
        <v>765</v>
      </c>
      <c r="F563" s="4">
        <v>800</v>
      </c>
      <c r="G563" s="4">
        <v>760</v>
      </c>
      <c r="H563" s="4"/>
    </row>
    <row r="564" spans="1:8" x14ac:dyDescent="0.25">
      <c r="A564" s="1" t="s">
        <v>572</v>
      </c>
      <c r="B564" s="2">
        <f t="shared" si="16"/>
        <v>7</v>
      </c>
      <c r="C564" s="2">
        <f t="shared" si="17"/>
        <v>2020</v>
      </c>
      <c r="D564" s="4">
        <v>778</v>
      </c>
      <c r="E564" s="4">
        <v>768</v>
      </c>
      <c r="F564" s="4">
        <v>805</v>
      </c>
      <c r="G564" s="4">
        <v>760</v>
      </c>
      <c r="H564" s="4"/>
    </row>
    <row r="565" spans="1:8" x14ac:dyDescent="0.25">
      <c r="A565" s="1" t="s">
        <v>573</v>
      </c>
      <c r="B565" s="2">
        <f t="shared" si="16"/>
        <v>7</v>
      </c>
      <c r="C565" s="2">
        <f t="shared" si="17"/>
        <v>2020</v>
      </c>
      <c r="D565" s="4">
        <v>773</v>
      </c>
      <c r="E565" s="4">
        <v>770</v>
      </c>
      <c r="F565" s="4">
        <v>810</v>
      </c>
      <c r="G565" s="4">
        <v>760</v>
      </c>
      <c r="H565" s="4"/>
    </row>
    <row r="566" spans="1:8" x14ac:dyDescent="0.25">
      <c r="A566" s="1" t="s">
        <v>574</v>
      </c>
      <c r="B566" s="2">
        <f t="shared" si="16"/>
        <v>7</v>
      </c>
      <c r="C566" s="2">
        <f t="shared" si="17"/>
        <v>2020</v>
      </c>
      <c r="D566" s="4">
        <v>773</v>
      </c>
      <c r="E566" s="4">
        <v>765</v>
      </c>
      <c r="F566" s="4">
        <v>810</v>
      </c>
      <c r="G566" s="4">
        <v>760</v>
      </c>
      <c r="H566" s="4"/>
    </row>
    <row r="567" spans="1:8" x14ac:dyDescent="0.25">
      <c r="A567" s="1" t="s">
        <v>575</v>
      </c>
      <c r="B567" s="2">
        <f t="shared" si="16"/>
        <v>7</v>
      </c>
      <c r="C567" s="2">
        <f t="shared" si="17"/>
        <v>2020</v>
      </c>
      <c r="D567" s="4">
        <v>773</v>
      </c>
      <c r="E567" s="4">
        <v>765</v>
      </c>
      <c r="F567" s="4">
        <v>795</v>
      </c>
      <c r="G567" s="4">
        <v>760</v>
      </c>
      <c r="H567" s="4"/>
    </row>
    <row r="568" spans="1:8" x14ac:dyDescent="0.25">
      <c r="A568" s="1" t="s">
        <v>576</v>
      </c>
      <c r="B568" s="2">
        <f t="shared" si="16"/>
        <v>7</v>
      </c>
      <c r="C568" s="2">
        <f t="shared" si="17"/>
        <v>2020</v>
      </c>
      <c r="D568" s="4">
        <v>770</v>
      </c>
      <c r="E568" s="4">
        <v>765</v>
      </c>
      <c r="F568" s="4">
        <v>787.5</v>
      </c>
      <c r="G568" s="4">
        <v>760</v>
      </c>
      <c r="H568" s="4"/>
    </row>
    <row r="569" spans="1:8" x14ac:dyDescent="0.25">
      <c r="A569" s="1" t="s">
        <v>577</v>
      </c>
      <c r="B569" s="2">
        <f t="shared" si="16"/>
        <v>7</v>
      </c>
      <c r="C569" s="2">
        <f t="shared" si="17"/>
        <v>2020</v>
      </c>
      <c r="D569" s="4">
        <v>767</v>
      </c>
      <c r="E569" s="4">
        <v>762</v>
      </c>
      <c r="F569" s="4">
        <v>795</v>
      </c>
      <c r="G569" s="4">
        <v>755</v>
      </c>
      <c r="H569" s="4"/>
    </row>
    <row r="570" spans="1:8" x14ac:dyDescent="0.25">
      <c r="A570" s="1" t="s">
        <v>578</v>
      </c>
      <c r="B570" s="2">
        <f t="shared" si="16"/>
        <v>7</v>
      </c>
      <c r="C570" s="2">
        <f t="shared" si="17"/>
        <v>2020</v>
      </c>
      <c r="D570" s="4">
        <v>775</v>
      </c>
      <c r="E570" s="4">
        <v>765</v>
      </c>
      <c r="F570" s="4">
        <v>790</v>
      </c>
      <c r="G570" s="4" t="s">
        <v>10</v>
      </c>
      <c r="H570" s="4"/>
    </row>
    <row r="571" spans="1:8" x14ac:dyDescent="0.25">
      <c r="A571" s="1" t="s">
        <v>579</v>
      </c>
      <c r="B571" s="2">
        <f t="shared" si="16"/>
        <v>7</v>
      </c>
      <c r="C571" s="2">
        <f t="shared" si="17"/>
        <v>2020</v>
      </c>
      <c r="D571" s="4">
        <v>772</v>
      </c>
      <c r="E571" s="4">
        <v>765</v>
      </c>
      <c r="F571" s="4">
        <v>795</v>
      </c>
      <c r="G571" s="4" t="s">
        <v>10</v>
      </c>
      <c r="H571" s="4"/>
    </row>
    <row r="572" spans="1:8" x14ac:dyDescent="0.25">
      <c r="A572" s="1" t="s">
        <v>580</v>
      </c>
      <c r="B572" s="2">
        <f t="shared" si="16"/>
        <v>7</v>
      </c>
      <c r="C572" s="2">
        <f t="shared" si="17"/>
        <v>2020</v>
      </c>
      <c r="D572" s="4">
        <v>773</v>
      </c>
      <c r="E572" s="4">
        <v>766</v>
      </c>
      <c r="F572" s="4">
        <v>792.5</v>
      </c>
      <c r="G572" s="4">
        <v>760</v>
      </c>
      <c r="H572" s="4"/>
    </row>
    <row r="573" spans="1:8" x14ac:dyDescent="0.25">
      <c r="A573" s="1" t="s">
        <v>581</v>
      </c>
      <c r="B573" s="2">
        <f t="shared" si="16"/>
        <v>7</v>
      </c>
      <c r="C573" s="2">
        <f t="shared" si="17"/>
        <v>2020</v>
      </c>
      <c r="D573" s="4">
        <v>780</v>
      </c>
      <c r="E573" s="4">
        <v>773</v>
      </c>
      <c r="F573" s="4">
        <v>795</v>
      </c>
      <c r="G573" s="4">
        <v>765</v>
      </c>
      <c r="H573" s="4"/>
    </row>
    <row r="574" spans="1:8" x14ac:dyDescent="0.25">
      <c r="A574" s="1" t="s">
        <v>582</v>
      </c>
      <c r="B574" s="2">
        <f t="shared" si="16"/>
        <v>7</v>
      </c>
      <c r="C574" s="2">
        <f t="shared" si="17"/>
        <v>2020</v>
      </c>
      <c r="D574" s="4">
        <v>785</v>
      </c>
      <c r="E574" s="4">
        <v>778</v>
      </c>
      <c r="F574" s="4">
        <v>802.5</v>
      </c>
      <c r="G574" s="4">
        <v>765</v>
      </c>
      <c r="H574" s="4"/>
    </row>
    <row r="575" spans="1:8" x14ac:dyDescent="0.25">
      <c r="A575" s="1" t="s">
        <v>583</v>
      </c>
      <c r="B575" s="2">
        <f t="shared" si="16"/>
        <v>7</v>
      </c>
      <c r="C575" s="2">
        <f t="shared" si="17"/>
        <v>2020</v>
      </c>
      <c r="D575" s="4">
        <v>753</v>
      </c>
      <c r="E575" s="4">
        <v>743</v>
      </c>
      <c r="F575" s="4">
        <v>805</v>
      </c>
      <c r="G575" s="4">
        <v>745</v>
      </c>
      <c r="H575" s="4"/>
    </row>
    <row r="576" spans="1:8" x14ac:dyDescent="0.25">
      <c r="A576" s="1" t="s">
        <v>584</v>
      </c>
      <c r="B576" s="2">
        <f t="shared" si="16"/>
        <v>7</v>
      </c>
      <c r="C576" s="2">
        <f t="shared" si="17"/>
        <v>2020</v>
      </c>
      <c r="D576" s="4">
        <v>762</v>
      </c>
      <c r="E576" s="4">
        <v>748</v>
      </c>
      <c r="F576" s="4">
        <v>815</v>
      </c>
      <c r="G576" s="4">
        <v>745</v>
      </c>
      <c r="H576" s="4"/>
    </row>
    <row r="577" spans="1:8" x14ac:dyDescent="0.25">
      <c r="A577" s="1" t="s">
        <v>585</v>
      </c>
      <c r="B577" s="2">
        <f t="shared" si="16"/>
        <v>7</v>
      </c>
      <c r="C577" s="2">
        <f t="shared" si="17"/>
        <v>2020</v>
      </c>
      <c r="D577" s="4">
        <v>773</v>
      </c>
      <c r="E577" s="4">
        <v>765</v>
      </c>
      <c r="F577" s="4">
        <v>815</v>
      </c>
      <c r="G577" s="4">
        <v>750</v>
      </c>
      <c r="H577" s="4"/>
    </row>
    <row r="578" spans="1:8" x14ac:dyDescent="0.25">
      <c r="A578" s="1" t="s">
        <v>586</v>
      </c>
      <c r="B578" s="2">
        <f t="shared" si="16"/>
        <v>7</v>
      </c>
      <c r="C578" s="2">
        <f t="shared" si="17"/>
        <v>2020</v>
      </c>
      <c r="D578" s="4">
        <v>770</v>
      </c>
      <c r="E578" s="4">
        <v>762</v>
      </c>
      <c r="F578" s="4">
        <v>815</v>
      </c>
      <c r="G578" s="4">
        <v>750</v>
      </c>
      <c r="H578" s="4"/>
    </row>
    <row r="579" spans="1:8" x14ac:dyDescent="0.25">
      <c r="A579" s="1" t="s">
        <v>587</v>
      </c>
      <c r="B579" s="2">
        <f t="shared" ref="B579:B642" si="18">MONTH(A579)</f>
        <v>7</v>
      </c>
      <c r="C579" s="2">
        <f t="shared" ref="C579:C642" si="19">YEAR(A579)</f>
        <v>2020</v>
      </c>
      <c r="D579" s="4">
        <v>760</v>
      </c>
      <c r="E579" s="4">
        <v>752</v>
      </c>
      <c r="F579" s="4">
        <v>815</v>
      </c>
      <c r="G579" s="4">
        <v>750</v>
      </c>
      <c r="H579" s="4"/>
    </row>
    <row r="580" spans="1:8" x14ac:dyDescent="0.25">
      <c r="A580" s="1" t="s">
        <v>588</v>
      </c>
      <c r="B580" s="2">
        <f t="shared" si="18"/>
        <v>7</v>
      </c>
      <c r="C580" s="2">
        <f t="shared" si="19"/>
        <v>2020</v>
      </c>
      <c r="D580" s="4">
        <v>770</v>
      </c>
      <c r="E580" s="4">
        <v>755</v>
      </c>
      <c r="F580" s="4">
        <v>835</v>
      </c>
      <c r="G580" s="4">
        <v>760</v>
      </c>
      <c r="H580" s="4"/>
    </row>
    <row r="581" spans="1:8" x14ac:dyDescent="0.25">
      <c r="A581" s="1" t="s">
        <v>589</v>
      </c>
      <c r="B581" s="2">
        <f t="shared" si="18"/>
        <v>7</v>
      </c>
      <c r="C581" s="2">
        <f t="shared" si="19"/>
        <v>2020</v>
      </c>
      <c r="D581" s="4">
        <v>770</v>
      </c>
      <c r="E581" s="4">
        <v>755</v>
      </c>
      <c r="F581" s="4">
        <v>835</v>
      </c>
      <c r="G581" s="4">
        <v>765</v>
      </c>
      <c r="H581" s="4"/>
    </row>
    <row r="582" spans="1:8" x14ac:dyDescent="0.25">
      <c r="A582" s="1" t="s">
        <v>590</v>
      </c>
      <c r="B582" s="2">
        <f t="shared" si="18"/>
        <v>7</v>
      </c>
      <c r="C582" s="2">
        <f t="shared" si="19"/>
        <v>2020</v>
      </c>
      <c r="D582" s="4">
        <v>765</v>
      </c>
      <c r="E582" s="4">
        <v>757</v>
      </c>
      <c r="F582" s="4">
        <v>820</v>
      </c>
      <c r="G582" s="4">
        <v>765</v>
      </c>
      <c r="H582" s="4"/>
    </row>
    <row r="583" spans="1:8" x14ac:dyDescent="0.25">
      <c r="A583" s="1" t="s">
        <v>591</v>
      </c>
      <c r="B583" s="2">
        <f t="shared" si="18"/>
        <v>7</v>
      </c>
      <c r="C583" s="2">
        <f t="shared" si="19"/>
        <v>2020</v>
      </c>
      <c r="D583" s="4">
        <v>772</v>
      </c>
      <c r="E583" s="4">
        <v>762</v>
      </c>
      <c r="F583" s="4">
        <v>830</v>
      </c>
      <c r="G583" s="4">
        <v>765</v>
      </c>
      <c r="H583" s="4"/>
    </row>
    <row r="584" spans="1:8" x14ac:dyDescent="0.25">
      <c r="A584" s="1" t="s">
        <v>592</v>
      </c>
      <c r="B584" s="2">
        <f t="shared" si="18"/>
        <v>7</v>
      </c>
      <c r="C584" s="2">
        <f t="shared" si="19"/>
        <v>2020</v>
      </c>
      <c r="D584" s="4">
        <v>778</v>
      </c>
      <c r="E584" s="4">
        <v>765</v>
      </c>
      <c r="F584" s="4">
        <v>835</v>
      </c>
      <c r="G584" s="4">
        <v>770</v>
      </c>
      <c r="H584" s="4"/>
    </row>
    <row r="585" spans="1:8" x14ac:dyDescent="0.25">
      <c r="A585" s="1" t="s">
        <v>593</v>
      </c>
      <c r="B585" s="2">
        <f t="shared" si="18"/>
        <v>7</v>
      </c>
      <c r="C585" s="2">
        <f t="shared" si="19"/>
        <v>2020</v>
      </c>
      <c r="D585" s="4">
        <v>780</v>
      </c>
      <c r="E585" s="4">
        <v>770</v>
      </c>
      <c r="F585" s="4">
        <v>840</v>
      </c>
      <c r="G585" s="4">
        <v>770</v>
      </c>
      <c r="H585" s="4"/>
    </row>
    <row r="586" spans="1:8" x14ac:dyDescent="0.25">
      <c r="A586" s="1" t="s">
        <v>594</v>
      </c>
      <c r="B586" s="2">
        <f t="shared" si="18"/>
        <v>7</v>
      </c>
      <c r="C586" s="2">
        <f t="shared" si="19"/>
        <v>2020</v>
      </c>
      <c r="D586" s="4">
        <v>805</v>
      </c>
      <c r="E586" s="4">
        <v>795</v>
      </c>
      <c r="F586" s="4">
        <v>845</v>
      </c>
      <c r="G586" s="4">
        <v>770</v>
      </c>
      <c r="H586" s="4"/>
    </row>
    <row r="587" spans="1:8" x14ac:dyDescent="0.25">
      <c r="A587" s="1" t="s">
        <v>595</v>
      </c>
      <c r="B587" s="2">
        <f t="shared" si="18"/>
        <v>8</v>
      </c>
      <c r="C587" s="2">
        <f t="shared" si="19"/>
        <v>2020</v>
      </c>
      <c r="D587" s="4">
        <v>810</v>
      </c>
      <c r="E587" s="4">
        <v>798</v>
      </c>
      <c r="F587" s="4">
        <v>855</v>
      </c>
      <c r="G587" s="4">
        <v>775</v>
      </c>
      <c r="H587" s="4"/>
    </row>
    <row r="588" spans="1:8" x14ac:dyDescent="0.25">
      <c r="A588" s="1" t="s">
        <v>596</v>
      </c>
      <c r="B588" s="2">
        <f t="shared" si="18"/>
        <v>8</v>
      </c>
      <c r="C588" s="2">
        <f t="shared" si="19"/>
        <v>2020</v>
      </c>
      <c r="D588" s="4">
        <v>810</v>
      </c>
      <c r="E588" s="4">
        <v>798</v>
      </c>
      <c r="F588" s="4">
        <v>865</v>
      </c>
      <c r="G588" s="4">
        <v>775</v>
      </c>
      <c r="H588" s="4"/>
    </row>
    <row r="589" spans="1:8" x14ac:dyDescent="0.25">
      <c r="A589" s="1" t="s">
        <v>597</v>
      </c>
      <c r="B589" s="2">
        <f t="shared" si="18"/>
        <v>8</v>
      </c>
      <c r="C589" s="2">
        <f t="shared" si="19"/>
        <v>2020</v>
      </c>
      <c r="D589" s="4">
        <v>800</v>
      </c>
      <c r="E589" s="4">
        <v>798</v>
      </c>
      <c r="F589" s="4">
        <v>865</v>
      </c>
      <c r="G589" s="4">
        <v>775</v>
      </c>
      <c r="H589" s="4"/>
    </row>
    <row r="590" spans="1:8" x14ac:dyDescent="0.25">
      <c r="A590" s="1" t="s">
        <v>598</v>
      </c>
      <c r="B590" s="2">
        <f t="shared" si="18"/>
        <v>8</v>
      </c>
      <c r="C590" s="2">
        <f t="shared" si="19"/>
        <v>2020</v>
      </c>
      <c r="D590" s="4">
        <v>800</v>
      </c>
      <c r="E590" s="4">
        <v>790</v>
      </c>
      <c r="F590" s="4">
        <v>865</v>
      </c>
      <c r="G590" s="4">
        <v>780</v>
      </c>
      <c r="H590" s="4"/>
    </row>
    <row r="591" spans="1:8" x14ac:dyDescent="0.25">
      <c r="A591" s="1" t="s">
        <v>599</v>
      </c>
      <c r="B591" s="2">
        <f t="shared" si="18"/>
        <v>8</v>
      </c>
      <c r="C591" s="2">
        <f t="shared" si="19"/>
        <v>2020</v>
      </c>
      <c r="D591" s="4">
        <v>800</v>
      </c>
      <c r="E591" s="4">
        <v>790</v>
      </c>
      <c r="F591" s="4">
        <v>860</v>
      </c>
      <c r="G591" s="4">
        <v>780</v>
      </c>
      <c r="H591" s="4"/>
    </row>
    <row r="592" spans="1:8" x14ac:dyDescent="0.25">
      <c r="A592" s="1" t="s">
        <v>600</v>
      </c>
      <c r="B592" s="2">
        <f t="shared" si="18"/>
        <v>8</v>
      </c>
      <c r="C592" s="2">
        <f t="shared" si="19"/>
        <v>2020</v>
      </c>
      <c r="D592" s="4">
        <v>800</v>
      </c>
      <c r="E592" s="4">
        <v>785</v>
      </c>
      <c r="F592" s="4">
        <v>850</v>
      </c>
      <c r="G592" s="4">
        <v>780</v>
      </c>
      <c r="H592" s="4"/>
    </row>
    <row r="593" spans="1:8" x14ac:dyDescent="0.25">
      <c r="A593" s="1" t="s">
        <v>601</v>
      </c>
      <c r="B593" s="2">
        <f t="shared" si="18"/>
        <v>8</v>
      </c>
      <c r="C593" s="2">
        <f t="shared" si="19"/>
        <v>2020</v>
      </c>
      <c r="D593" s="4">
        <v>800</v>
      </c>
      <c r="E593" s="4">
        <v>790</v>
      </c>
      <c r="F593" s="4">
        <v>850</v>
      </c>
      <c r="G593" s="4">
        <v>780</v>
      </c>
      <c r="H593" s="4"/>
    </row>
    <row r="594" spans="1:8" x14ac:dyDescent="0.25">
      <c r="A594" s="1" t="s">
        <v>602</v>
      </c>
      <c r="B594" s="2">
        <f t="shared" si="18"/>
        <v>8</v>
      </c>
      <c r="C594" s="2">
        <f t="shared" si="19"/>
        <v>2020</v>
      </c>
      <c r="D594" s="4">
        <v>795</v>
      </c>
      <c r="E594" s="4">
        <v>790</v>
      </c>
      <c r="F594" s="4">
        <v>850</v>
      </c>
      <c r="G594" s="4">
        <v>785</v>
      </c>
      <c r="H594" s="4"/>
    </row>
    <row r="595" spans="1:8" x14ac:dyDescent="0.25">
      <c r="A595" s="1" t="s">
        <v>603</v>
      </c>
      <c r="B595" s="2">
        <f t="shared" si="18"/>
        <v>8</v>
      </c>
      <c r="C595" s="2">
        <f t="shared" si="19"/>
        <v>2020</v>
      </c>
      <c r="D595" s="4">
        <v>795</v>
      </c>
      <c r="E595" s="4">
        <v>790</v>
      </c>
      <c r="F595" s="4">
        <v>860</v>
      </c>
      <c r="G595" s="4">
        <v>790</v>
      </c>
      <c r="H595" s="4"/>
    </row>
    <row r="596" spans="1:8" x14ac:dyDescent="0.25">
      <c r="A596" s="1" t="s">
        <v>604</v>
      </c>
      <c r="B596" s="2">
        <f t="shared" si="18"/>
        <v>8</v>
      </c>
      <c r="C596" s="2">
        <f t="shared" si="19"/>
        <v>2020</v>
      </c>
      <c r="D596" s="4">
        <v>785</v>
      </c>
      <c r="E596" s="4">
        <v>780</v>
      </c>
      <c r="F596" s="4">
        <v>850</v>
      </c>
      <c r="G596" s="4">
        <v>790</v>
      </c>
      <c r="H596" s="4"/>
    </row>
    <row r="597" spans="1:8" x14ac:dyDescent="0.25">
      <c r="A597" s="1" t="s">
        <v>605</v>
      </c>
      <c r="B597" s="2">
        <f t="shared" si="18"/>
        <v>8</v>
      </c>
      <c r="C597" s="2">
        <f t="shared" si="19"/>
        <v>2020</v>
      </c>
      <c r="D597" s="4">
        <v>777</v>
      </c>
      <c r="E597" s="4">
        <v>770</v>
      </c>
      <c r="F597" s="4">
        <v>832.5</v>
      </c>
      <c r="G597" s="4" t="s">
        <v>10</v>
      </c>
      <c r="H597" s="4"/>
    </row>
    <row r="598" spans="1:8" x14ac:dyDescent="0.25">
      <c r="A598" s="1" t="s">
        <v>606</v>
      </c>
      <c r="B598" s="2">
        <f t="shared" si="18"/>
        <v>8</v>
      </c>
      <c r="C598" s="2">
        <f t="shared" si="19"/>
        <v>2020</v>
      </c>
      <c r="D598" s="4">
        <v>777</v>
      </c>
      <c r="E598" s="4">
        <v>772</v>
      </c>
      <c r="F598" s="4">
        <v>822.5</v>
      </c>
      <c r="G598" s="4">
        <v>785</v>
      </c>
      <c r="H598" s="4"/>
    </row>
    <row r="599" spans="1:8" x14ac:dyDescent="0.25">
      <c r="A599" s="1" t="s">
        <v>607</v>
      </c>
      <c r="B599" s="2">
        <f t="shared" si="18"/>
        <v>8</v>
      </c>
      <c r="C599" s="2">
        <f t="shared" si="19"/>
        <v>2020</v>
      </c>
      <c r="D599" s="4">
        <v>783</v>
      </c>
      <c r="E599" s="4">
        <v>778</v>
      </c>
      <c r="F599" s="4">
        <v>835</v>
      </c>
      <c r="G599" s="4">
        <v>785</v>
      </c>
      <c r="H599" s="4"/>
    </row>
    <row r="600" spans="1:8" x14ac:dyDescent="0.25">
      <c r="A600" s="1" t="s">
        <v>608</v>
      </c>
      <c r="B600" s="2">
        <f t="shared" si="18"/>
        <v>8</v>
      </c>
      <c r="C600" s="2">
        <f t="shared" si="19"/>
        <v>2020</v>
      </c>
      <c r="D600" s="4">
        <v>780</v>
      </c>
      <c r="E600" s="4">
        <v>775</v>
      </c>
      <c r="F600" s="4">
        <v>830</v>
      </c>
      <c r="G600" s="4">
        <v>785</v>
      </c>
      <c r="H600" s="4"/>
    </row>
    <row r="601" spans="1:8" x14ac:dyDescent="0.25">
      <c r="A601" s="1" t="s">
        <v>609</v>
      </c>
      <c r="B601" s="2">
        <f t="shared" si="18"/>
        <v>8</v>
      </c>
      <c r="C601" s="2">
        <f t="shared" si="19"/>
        <v>2020</v>
      </c>
      <c r="D601" s="4">
        <v>780</v>
      </c>
      <c r="E601" s="4">
        <v>775</v>
      </c>
      <c r="F601" s="4">
        <v>825</v>
      </c>
      <c r="G601" s="4">
        <v>785</v>
      </c>
      <c r="H601" s="4"/>
    </row>
    <row r="602" spans="1:8" x14ac:dyDescent="0.25">
      <c r="A602" s="1" t="s">
        <v>610</v>
      </c>
      <c r="B602" s="2">
        <f t="shared" si="18"/>
        <v>8</v>
      </c>
      <c r="C602" s="2">
        <f t="shared" si="19"/>
        <v>2020</v>
      </c>
      <c r="D602" s="4">
        <v>785</v>
      </c>
      <c r="E602" s="4">
        <v>776</v>
      </c>
      <c r="F602" s="4">
        <v>835</v>
      </c>
      <c r="G602" s="4">
        <v>785</v>
      </c>
      <c r="H602" s="4"/>
    </row>
    <row r="603" spans="1:8" x14ac:dyDescent="0.25">
      <c r="A603" s="1" t="s">
        <v>611</v>
      </c>
      <c r="B603" s="2">
        <f t="shared" si="18"/>
        <v>8</v>
      </c>
      <c r="C603" s="2">
        <f t="shared" si="19"/>
        <v>2020</v>
      </c>
      <c r="D603" s="4">
        <v>795</v>
      </c>
      <c r="E603" s="4">
        <v>776</v>
      </c>
      <c r="F603" s="4">
        <v>855</v>
      </c>
      <c r="G603" s="4">
        <v>785</v>
      </c>
      <c r="H603" s="4"/>
    </row>
    <row r="604" spans="1:8" x14ac:dyDescent="0.25">
      <c r="A604" s="1" t="s">
        <v>612</v>
      </c>
      <c r="B604" s="2">
        <f t="shared" si="18"/>
        <v>8</v>
      </c>
      <c r="C604" s="2">
        <f t="shared" si="19"/>
        <v>2020</v>
      </c>
      <c r="D604" s="4">
        <v>812</v>
      </c>
      <c r="E604" s="4">
        <v>795</v>
      </c>
      <c r="F604" s="4">
        <v>865</v>
      </c>
      <c r="G604" s="4">
        <v>785</v>
      </c>
      <c r="H604" s="4"/>
    </row>
    <row r="605" spans="1:8" x14ac:dyDescent="0.25">
      <c r="A605" s="1" t="s">
        <v>613</v>
      </c>
      <c r="B605" s="2">
        <f t="shared" si="18"/>
        <v>8</v>
      </c>
      <c r="C605" s="2">
        <f t="shared" si="19"/>
        <v>2020</v>
      </c>
      <c r="D605" s="4">
        <v>840</v>
      </c>
      <c r="E605" s="4">
        <v>835</v>
      </c>
      <c r="F605" s="4">
        <v>855</v>
      </c>
      <c r="G605" s="4">
        <v>800</v>
      </c>
      <c r="H605" s="4"/>
    </row>
    <row r="606" spans="1:8" x14ac:dyDescent="0.25">
      <c r="A606" s="1" t="s">
        <v>614</v>
      </c>
      <c r="B606" s="2">
        <f t="shared" si="18"/>
        <v>8</v>
      </c>
      <c r="C606" s="2">
        <f t="shared" si="19"/>
        <v>2020</v>
      </c>
      <c r="D606" s="4">
        <v>840</v>
      </c>
      <c r="E606" s="4">
        <v>835</v>
      </c>
      <c r="F606" s="4">
        <v>855</v>
      </c>
      <c r="G606" s="4">
        <v>805</v>
      </c>
      <c r="H606" s="4"/>
    </row>
    <row r="607" spans="1:8" x14ac:dyDescent="0.25">
      <c r="A607" s="1" t="s">
        <v>615</v>
      </c>
      <c r="B607" s="2">
        <f t="shared" si="18"/>
        <v>9</v>
      </c>
      <c r="C607" s="2">
        <f t="shared" si="19"/>
        <v>2020</v>
      </c>
      <c r="D607" s="4">
        <v>870</v>
      </c>
      <c r="E607" s="4">
        <v>855</v>
      </c>
      <c r="F607" s="4">
        <v>930</v>
      </c>
      <c r="G607" s="4">
        <v>815</v>
      </c>
      <c r="H607" s="4"/>
    </row>
    <row r="608" spans="1:8" x14ac:dyDescent="0.25">
      <c r="A608" s="1" t="s">
        <v>616</v>
      </c>
      <c r="B608" s="2">
        <f t="shared" si="18"/>
        <v>9</v>
      </c>
      <c r="C608" s="2">
        <f t="shared" si="19"/>
        <v>2020</v>
      </c>
      <c r="D608" s="4">
        <v>870</v>
      </c>
      <c r="E608" s="4">
        <v>860</v>
      </c>
      <c r="F608" s="4">
        <v>925</v>
      </c>
      <c r="G608" s="4">
        <v>825</v>
      </c>
      <c r="H608" s="4"/>
    </row>
    <row r="609" spans="1:8" x14ac:dyDescent="0.25">
      <c r="A609" s="1" t="s">
        <v>617</v>
      </c>
      <c r="B609" s="2">
        <f t="shared" si="18"/>
        <v>9</v>
      </c>
      <c r="C609" s="2">
        <f t="shared" si="19"/>
        <v>2020</v>
      </c>
      <c r="D609" s="4">
        <v>895</v>
      </c>
      <c r="E609" s="4">
        <v>885</v>
      </c>
      <c r="F609" s="4">
        <v>925</v>
      </c>
      <c r="G609" s="4">
        <v>830</v>
      </c>
      <c r="H609" s="4"/>
    </row>
    <row r="610" spans="1:8" x14ac:dyDescent="0.25">
      <c r="A610" s="1" t="s">
        <v>618</v>
      </c>
      <c r="B610" s="2">
        <f t="shared" si="18"/>
        <v>9</v>
      </c>
      <c r="C610" s="2">
        <f t="shared" si="19"/>
        <v>2020</v>
      </c>
      <c r="D610" s="4">
        <v>895</v>
      </c>
      <c r="E610" s="4">
        <v>885</v>
      </c>
      <c r="F610" s="4">
        <v>950</v>
      </c>
      <c r="G610" s="4">
        <v>840</v>
      </c>
      <c r="H610" s="4"/>
    </row>
    <row r="611" spans="1:8" x14ac:dyDescent="0.25">
      <c r="A611" s="1" t="s">
        <v>619</v>
      </c>
      <c r="B611" s="2">
        <f t="shared" si="18"/>
        <v>9</v>
      </c>
      <c r="C611" s="2">
        <f t="shared" si="19"/>
        <v>2020</v>
      </c>
      <c r="D611" s="4">
        <v>890</v>
      </c>
      <c r="E611" s="4">
        <v>880</v>
      </c>
      <c r="F611" s="4">
        <v>935</v>
      </c>
      <c r="G611" s="4">
        <v>835</v>
      </c>
      <c r="H611" s="4"/>
    </row>
    <row r="612" spans="1:8" x14ac:dyDescent="0.25">
      <c r="A612" s="1" t="s">
        <v>620</v>
      </c>
      <c r="B612" s="2">
        <f t="shared" si="18"/>
        <v>9</v>
      </c>
      <c r="C612" s="2">
        <f t="shared" si="19"/>
        <v>2020</v>
      </c>
      <c r="D612" s="4">
        <v>890</v>
      </c>
      <c r="E612" s="4">
        <v>880</v>
      </c>
      <c r="F612" s="4">
        <v>940</v>
      </c>
      <c r="G612" s="4">
        <v>845</v>
      </c>
      <c r="H612" s="4"/>
    </row>
    <row r="613" spans="1:8" x14ac:dyDescent="0.25">
      <c r="A613" s="1" t="s">
        <v>621</v>
      </c>
      <c r="B613" s="2">
        <f t="shared" si="18"/>
        <v>9</v>
      </c>
      <c r="C613" s="2">
        <f t="shared" si="19"/>
        <v>2020</v>
      </c>
      <c r="D613" s="4">
        <v>910</v>
      </c>
      <c r="E613" s="4">
        <v>885</v>
      </c>
      <c r="F613" s="4">
        <v>975</v>
      </c>
      <c r="G613" s="4">
        <v>850</v>
      </c>
      <c r="H613" s="4"/>
    </row>
    <row r="614" spans="1:8" x14ac:dyDescent="0.25">
      <c r="A614" s="1" t="s">
        <v>622</v>
      </c>
      <c r="B614" s="2">
        <f t="shared" si="18"/>
        <v>9</v>
      </c>
      <c r="C614" s="2">
        <f t="shared" si="19"/>
        <v>2020</v>
      </c>
      <c r="D614" s="4">
        <v>917</v>
      </c>
      <c r="E614" s="4">
        <v>895</v>
      </c>
      <c r="F614" s="4">
        <v>965</v>
      </c>
      <c r="G614" s="4">
        <v>865</v>
      </c>
      <c r="H614" s="4"/>
    </row>
    <row r="615" spans="1:8" x14ac:dyDescent="0.25">
      <c r="A615" s="1" t="s">
        <v>623</v>
      </c>
      <c r="B615" s="2">
        <f t="shared" si="18"/>
        <v>9</v>
      </c>
      <c r="C615" s="2">
        <f t="shared" si="19"/>
        <v>2020</v>
      </c>
      <c r="D615" s="4">
        <v>970</v>
      </c>
      <c r="E615" s="4">
        <v>950</v>
      </c>
      <c r="F615" s="4">
        <v>1025</v>
      </c>
      <c r="G615" s="4">
        <v>880</v>
      </c>
      <c r="H615" s="4"/>
    </row>
    <row r="616" spans="1:8" x14ac:dyDescent="0.25">
      <c r="A616" s="1" t="s">
        <v>624</v>
      </c>
      <c r="B616" s="2">
        <f t="shared" si="18"/>
        <v>9</v>
      </c>
      <c r="C616" s="2">
        <f t="shared" si="19"/>
        <v>2020</v>
      </c>
      <c r="D616" s="4">
        <v>990</v>
      </c>
      <c r="E616" s="4">
        <v>970</v>
      </c>
      <c r="F616" s="4">
        <v>1055</v>
      </c>
      <c r="G616" s="4">
        <v>935</v>
      </c>
      <c r="H616" s="4"/>
    </row>
    <row r="617" spans="1:8" x14ac:dyDescent="0.25">
      <c r="A617" s="1" t="s">
        <v>625</v>
      </c>
      <c r="B617" s="2">
        <f t="shared" si="18"/>
        <v>9</v>
      </c>
      <c r="C617" s="2">
        <f t="shared" si="19"/>
        <v>2020</v>
      </c>
      <c r="D617" s="4">
        <v>1000</v>
      </c>
      <c r="E617" s="4">
        <v>985</v>
      </c>
      <c r="F617" s="4">
        <v>1080</v>
      </c>
      <c r="G617" s="4">
        <v>935</v>
      </c>
      <c r="H617" s="4"/>
    </row>
    <row r="618" spans="1:8" x14ac:dyDescent="0.25">
      <c r="A618" s="1" t="s">
        <v>626</v>
      </c>
      <c r="B618" s="2">
        <f t="shared" si="18"/>
        <v>9</v>
      </c>
      <c r="C618" s="2">
        <f t="shared" si="19"/>
        <v>2020</v>
      </c>
      <c r="D618" s="4">
        <v>1020</v>
      </c>
      <c r="E618" s="4">
        <v>1010</v>
      </c>
      <c r="F618" s="4">
        <v>1090</v>
      </c>
      <c r="G618" s="4">
        <v>950</v>
      </c>
      <c r="H618" s="4"/>
    </row>
    <row r="619" spans="1:8" x14ac:dyDescent="0.25">
      <c r="A619" s="1" t="s">
        <v>627</v>
      </c>
      <c r="B619" s="2">
        <f t="shared" si="18"/>
        <v>9</v>
      </c>
      <c r="C619" s="2">
        <f t="shared" si="19"/>
        <v>2020</v>
      </c>
      <c r="D619" s="4">
        <v>1020</v>
      </c>
      <c r="E619" s="4">
        <v>1010</v>
      </c>
      <c r="F619" s="4">
        <v>1075</v>
      </c>
      <c r="G619" s="4">
        <v>960</v>
      </c>
      <c r="H619" s="4"/>
    </row>
    <row r="620" spans="1:8" x14ac:dyDescent="0.25">
      <c r="A620" s="1" t="s">
        <v>628</v>
      </c>
      <c r="B620" s="2">
        <f t="shared" si="18"/>
        <v>9</v>
      </c>
      <c r="C620" s="2">
        <f t="shared" si="19"/>
        <v>2020</v>
      </c>
      <c r="D620" s="4">
        <v>1010</v>
      </c>
      <c r="E620" s="4">
        <v>1000</v>
      </c>
      <c r="F620" s="4">
        <v>1120</v>
      </c>
      <c r="G620" s="4">
        <v>960</v>
      </c>
      <c r="H620" s="4"/>
    </row>
    <row r="621" spans="1:8" x14ac:dyDescent="0.25">
      <c r="A621" s="1" t="s">
        <v>629</v>
      </c>
      <c r="B621" s="2">
        <f t="shared" si="18"/>
        <v>9</v>
      </c>
      <c r="C621" s="2">
        <f t="shared" si="19"/>
        <v>2020</v>
      </c>
      <c r="D621" s="4">
        <v>985</v>
      </c>
      <c r="E621" s="4">
        <v>975</v>
      </c>
      <c r="F621" s="4">
        <v>1045</v>
      </c>
      <c r="G621" s="4">
        <v>970</v>
      </c>
      <c r="H621" s="4"/>
    </row>
    <row r="622" spans="1:8" x14ac:dyDescent="0.25">
      <c r="A622" s="1" t="s">
        <v>630</v>
      </c>
      <c r="B622" s="2">
        <f t="shared" si="18"/>
        <v>9</v>
      </c>
      <c r="C622" s="2">
        <f t="shared" si="19"/>
        <v>2020</v>
      </c>
      <c r="D622" s="4">
        <v>955</v>
      </c>
      <c r="E622" s="4">
        <v>945</v>
      </c>
      <c r="F622" s="4">
        <v>1015</v>
      </c>
      <c r="G622" s="4">
        <v>965</v>
      </c>
      <c r="H622" s="4"/>
    </row>
    <row r="623" spans="1:8" x14ac:dyDescent="0.25">
      <c r="A623" s="1" t="s">
        <v>631</v>
      </c>
      <c r="B623" s="2">
        <f t="shared" si="18"/>
        <v>9</v>
      </c>
      <c r="C623" s="2">
        <f t="shared" si="19"/>
        <v>2020</v>
      </c>
      <c r="D623" s="4">
        <v>905</v>
      </c>
      <c r="E623" s="4">
        <v>900</v>
      </c>
      <c r="F623" s="4">
        <v>1015</v>
      </c>
      <c r="G623" s="4">
        <v>950</v>
      </c>
      <c r="H623" s="4"/>
    </row>
    <row r="624" spans="1:8" x14ac:dyDescent="0.25">
      <c r="A624" s="1" t="s">
        <v>632</v>
      </c>
      <c r="B624" s="2">
        <f t="shared" si="18"/>
        <v>9</v>
      </c>
      <c r="C624" s="2">
        <f t="shared" si="19"/>
        <v>2020</v>
      </c>
      <c r="D624" s="4">
        <v>865</v>
      </c>
      <c r="E624" s="4">
        <v>895</v>
      </c>
      <c r="F624" s="4">
        <v>955</v>
      </c>
      <c r="G624" s="4">
        <v>940</v>
      </c>
      <c r="H624" s="4"/>
    </row>
    <row r="625" spans="1:8" x14ac:dyDescent="0.25">
      <c r="A625" s="1" t="s">
        <v>633</v>
      </c>
      <c r="B625" s="2">
        <f t="shared" si="18"/>
        <v>9</v>
      </c>
      <c r="C625" s="2">
        <f t="shared" si="19"/>
        <v>2020</v>
      </c>
      <c r="D625" s="4">
        <v>895</v>
      </c>
      <c r="E625" s="4">
        <v>880</v>
      </c>
      <c r="F625" s="4">
        <v>945</v>
      </c>
      <c r="G625" s="4">
        <v>930</v>
      </c>
      <c r="H625" s="4"/>
    </row>
    <row r="626" spans="1:8" x14ac:dyDescent="0.25">
      <c r="A626" s="1" t="s">
        <v>634</v>
      </c>
      <c r="B626" s="2">
        <f t="shared" si="18"/>
        <v>9</v>
      </c>
      <c r="C626" s="2">
        <f t="shared" si="19"/>
        <v>2020</v>
      </c>
      <c r="D626" s="4">
        <v>900</v>
      </c>
      <c r="E626" s="4">
        <v>890</v>
      </c>
      <c r="F626" s="4">
        <v>945</v>
      </c>
      <c r="G626" s="4">
        <v>925</v>
      </c>
      <c r="H626" s="4"/>
    </row>
    <row r="627" spans="1:8" x14ac:dyDescent="0.25">
      <c r="A627" s="1" t="s">
        <v>635</v>
      </c>
      <c r="B627" s="2">
        <f t="shared" si="18"/>
        <v>9</v>
      </c>
      <c r="C627" s="2">
        <f t="shared" si="19"/>
        <v>2020</v>
      </c>
      <c r="D627" s="4">
        <v>880</v>
      </c>
      <c r="E627" s="4">
        <v>870</v>
      </c>
      <c r="F627" s="4">
        <v>935</v>
      </c>
      <c r="G627" s="4">
        <v>925</v>
      </c>
      <c r="H627" s="4"/>
    </row>
    <row r="628" spans="1:8" x14ac:dyDescent="0.25">
      <c r="A628" s="1" t="s">
        <v>636</v>
      </c>
      <c r="B628" s="2">
        <f t="shared" si="18"/>
        <v>9</v>
      </c>
      <c r="C628" s="2">
        <f t="shared" si="19"/>
        <v>2020</v>
      </c>
      <c r="D628" s="4">
        <v>880</v>
      </c>
      <c r="E628" s="4">
        <v>870</v>
      </c>
      <c r="F628" s="4">
        <v>920</v>
      </c>
      <c r="G628" s="4">
        <v>905</v>
      </c>
      <c r="H628" s="4"/>
    </row>
    <row r="629" spans="1:8" x14ac:dyDescent="0.25">
      <c r="A629" s="1" t="s">
        <v>637</v>
      </c>
      <c r="B629" s="2">
        <f t="shared" si="18"/>
        <v>10</v>
      </c>
      <c r="C629" s="2">
        <f t="shared" si="19"/>
        <v>2020</v>
      </c>
      <c r="D629" s="4">
        <v>890</v>
      </c>
      <c r="E629" s="4">
        <v>895</v>
      </c>
      <c r="F629" s="4">
        <v>930</v>
      </c>
      <c r="G629" s="4">
        <v>910</v>
      </c>
      <c r="H629" s="4"/>
    </row>
    <row r="630" spans="1:8" x14ac:dyDescent="0.25">
      <c r="A630" s="1" t="s">
        <v>638</v>
      </c>
      <c r="B630" s="2">
        <f t="shared" si="18"/>
        <v>10</v>
      </c>
      <c r="C630" s="2">
        <f t="shared" si="19"/>
        <v>2020</v>
      </c>
      <c r="D630" s="4">
        <v>880</v>
      </c>
      <c r="E630" s="4">
        <v>870</v>
      </c>
      <c r="F630" s="4">
        <v>920</v>
      </c>
      <c r="G630" s="4">
        <v>910</v>
      </c>
      <c r="H630" s="4"/>
    </row>
    <row r="631" spans="1:8" x14ac:dyDescent="0.25">
      <c r="A631" s="1" t="s">
        <v>639</v>
      </c>
      <c r="B631" s="2">
        <f t="shared" si="18"/>
        <v>10</v>
      </c>
      <c r="C631" s="2">
        <f t="shared" si="19"/>
        <v>2020</v>
      </c>
      <c r="D631" s="4">
        <v>900</v>
      </c>
      <c r="E631" s="4">
        <v>880</v>
      </c>
      <c r="F631" s="4">
        <v>915</v>
      </c>
      <c r="G631" s="4">
        <v>900</v>
      </c>
      <c r="H631" s="4"/>
    </row>
    <row r="632" spans="1:8" x14ac:dyDescent="0.25">
      <c r="A632" s="1" t="s">
        <v>640</v>
      </c>
      <c r="B632" s="2">
        <f t="shared" si="18"/>
        <v>10</v>
      </c>
      <c r="C632" s="2">
        <f t="shared" si="19"/>
        <v>2020</v>
      </c>
      <c r="D632" s="4">
        <v>930</v>
      </c>
      <c r="E632" s="4">
        <v>900</v>
      </c>
      <c r="F632" s="4">
        <v>940</v>
      </c>
      <c r="G632" s="4">
        <v>900</v>
      </c>
      <c r="H632" s="4"/>
    </row>
    <row r="633" spans="1:8" x14ac:dyDescent="0.25">
      <c r="A633" s="1" t="s">
        <v>641</v>
      </c>
      <c r="B633" s="2">
        <f t="shared" si="18"/>
        <v>10</v>
      </c>
      <c r="C633" s="2">
        <f t="shared" si="19"/>
        <v>2020</v>
      </c>
      <c r="D633" s="4">
        <v>955</v>
      </c>
      <c r="E633" s="4">
        <v>932</v>
      </c>
      <c r="F633" s="4">
        <v>970</v>
      </c>
      <c r="G633" s="4">
        <v>935</v>
      </c>
      <c r="H633" s="4"/>
    </row>
    <row r="634" spans="1:8" x14ac:dyDescent="0.25">
      <c r="A634" s="1" t="s">
        <v>642</v>
      </c>
      <c r="B634" s="2">
        <f t="shared" si="18"/>
        <v>10</v>
      </c>
      <c r="C634" s="2">
        <f t="shared" si="19"/>
        <v>2020</v>
      </c>
      <c r="D634" s="4">
        <v>965</v>
      </c>
      <c r="E634" s="4">
        <v>940</v>
      </c>
      <c r="F634" s="4">
        <v>985</v>
      </c>
      <c r="G634" s="4">
        <v>940</v>
      </c>
      <c r="H634" s="4"/>
    </row>
    <row r="635" spans="1:8" x14ac:dyDescent="0.25">
      <c r="A635" s="1" t="s">
        <v>643</v>
      </c>
      <c r="B635" s="2">
        <f t="shared" si="18"/>
        <v>10</v>
      </c>
      <c r="C635" s="2">
        <f t="shared" si="19"/>
        <v>2020</v>
      </c>
      <c r="D635" s="4">
        <v>990</v>
      </c>
      <c r="E635" s="4">
        <v>975</v>
      </c>
      <c r="F635" s="4">
        <v>995</v>
      </c>
      <c r="G635" s="4">
        <v>940</v>
      </c>
      <c r="H635" s="4"/>
    </row>
    <row r="636" spans="1:8" x14ac:dyDescent="0.25">
      <c r="A636" s="1" t="s">
        <v>644</v>
      </c>
      <c r="B636" s="2">
        <f t="shared" si="18"/>
        <v>10</v>
      </c>
      <c r="C636" s="2">
        <f t="shared" si="19"/>
        <v>2020</v>
      </c>
      <c r="D636" s="4">
        <v>994</v>
      </c>
      <c r="E636" s="4">
        <v>980</v>
      </c>
      <c r="F636" s="4">
        <v>1025</v>
      </c>
      <c r="G636" s="4" t="s">
        <v>10</v>
      </c>
      <c r="H636" s="4"/>
    </row>
    <row r="637" spans="1:8" x14ac:dyDescent="0.25">
      <c r="A637" s="1" t="s">
        <v>645</v>
      </c>
      <c r="B637" s="2">
        <f t="shared" si="18"/>
        <v>10</v>
      </c>
      <c r="C637" s="2">
        <f t="shared" si="19"/>
        <v>2020</v>
      </c>
      <c r="D637" s="4">
        <v>987</v>
      </c>
      <c r="E637" s="4">
        <v>975</v>
      </c>
      <c r="F637" s="4">
        <v>1020</v>
      </c>
      <c r="G637" s="4">
        <v>940</v>
      </c>
      <c r="H637" s="4"/>
    </row>
    <row r="638" spans="1:8" x14ac:dyDescent="0.25">
      <c r="A638" s="1" t="s">
        <v>646</v>
      </c>
      <c r="B638" s="2">
        <f t="shared" si="18"/>
        <v>10</v>
      </c>
      <c r="C638" s="2">
        <f t="shared" si="19"/>
        <v>2020</v>
      </c>
      <c r="D638" s="4">
        <v>990</v>
      </c>
      <c r="E638" s="4">
        <v>980</v>
      </c>
      <c r="F638" s="4">
        <v>1005</v>
      </c>
      <c r="G638" s="4">
        <v>960</v>
      </c>
      <c r="H638" s="4"/>
    </row>
    <row r="639" spans="1:8" x14ac:dyDescent="0.25">
      <c r="A639" s="1" t="s">
        <v>647</v>
      </c>
      <c r="B639" s="2">
        <f t="shared" si="18"/>
        <v>10</v>
      </c>
      <c r="C639" s="2">
        <f t="shared" si="19"/>
        <v>2020</v>
      </c>
      <c r="D639" s="4">
        <v>984</v>
      </c>
      <c r="E639" s="4">
        <v>975</v>
      </c>
      <c r="F639" s="4">
        <v>995</v>
      </c>
      <c r="G639" s="4">
        <v>960</v>
      </c>
      <c r="H639" s="4"/>
    </row>
    <row r="640" spans="1:8" x14ac:dyDescent="0.25">
      <c r="A640" s="1" t="s">
        <v>648</v>
      </c>
      <c r="B640" s="2">
        <f t="shared" si="18"/>
        <v>10</v>
      </c>
      <c r="C640" s="2">
        <f t="shared" si="19"/>
        <v>2020</v>
      </c>
      <c r="D640" s="4">
        <v>962</v>
      </c>
      <c r="E640" s="4">
        <v>953</v>
      </c>
      <c r="F640" s="4">
        <v>995</v>
      </c>
      <c r="G640" s="4">
        <v>975</v>
      </c>
      <c r="H640" s="4"/>
    </row>
    <row r="641" spans="1:8" x14ac:dyDescent="0.25">
      <c r="A641" s="1" t="s">
        <v>649</v>
      </c>
      <c r="B641" s="2">
        <f t="shared" si="18"/>
        <v>10</v>
      </c>
      <c r="C641" s="2">
        <f t="shared" si="19"/>
        <v>2020</v>
      </c>
      <c r="D641" s="4">
        <v>960</v>
      </c>
      <c r="E641" s="4">
        <v>950</v>
      </c>
      <c r="F641" s="4">
        <v>980</v>
      </c>
      <c r="G641" s="4">
        <v>975</v>
      </c>
      <c r="H641" s="4"/>
    </row>
    <row r="642" spans="1:8" x14ac:dyDescent="0.25">
      <c r="A642" s="1" t="s">
        <v>650</v>
      </c>
      <c r="B642" s="2">
        <f t="shared" si="18"/>
        <v>10</v>
      </c>
      <c r="C642" s="2">
        <f t="shared" si="19"/>
        <v>2020</v>
      </c>
      <c r="D642" s="4">
        <v>967</v>
      </c>
      <c r="E642" s="4">
        <v>950</v>
      </c>
      <c r="F642" s="4">
        <v>995</v>
      </c>
      <c r="G642" s="4">
        <v>975</v>
      </c>
      <c r="H642" s="4"/>
    </row>
    <row r="643" spans="1:8" x14ac:dyDescent="0.25">
      <c r="A643" s="1" t="s">
        <v>651</v>
      </c>
      <c r="B643" s="2">
        <f t="shared" ref="B643:B706" si="20">MONTH(A643)</f>
        <v>10</v>
      </c>
      <c r="C643" s="2">
        <f t="shared" ref="C643:C706" si="21">YEAR(A643)</f>
        <v>2020</v>
      </c>
      <c r="D643" s="4">
        <v>967</v>
      </c>
      <c r="E643" s="4">
        <v>950</v>
      </c>
      <c r="F643" s="4">
        <v>1000</v>
      </c>
      <c r="G643" s="4">
        <v>975</v>
      </c>
      <c r="H643" s="4"/>
    </row>
    <row r="644" spans="1:8" x14ac:dyDescent="0.25">
      <c r="A644" s="1" t="s">
        <v>652</v>
      </c>
      <c r="B644" s="2">
        <f t="shared" si="20"/>
        <v>10</v>
      </c>
      <c r="C644" s="2">
        <f t="shared" si="21"/>
        <v>2020</v>
      </c>
      <c r="D644" s="4">
        <v>985</v>
      </c>
      <c r="E644" s="4">
        <v>972</v>
      </c>
      <c r="F644" s="4">
        <v>1005</v>
      </c>
      <c r="G644" s="4">
        <v>975</v>
      </c>
      <c r="H644" s="4"/>
    </row>
    <row r="645" spans="1:8" x14ac:dyDescent="0.25">
      <c r="A645" s="1" t="s">
        <v>653</v>
      </c>
      <c r="B645" s="2">
        <f t="shared" si="20"/>
        <v>10</v>
      </c>
      <c r="C645" s="2">
        <f t="shared" si="21"/>
        <v>2020</v>
      </c>
      <c r="D645" s="4">
        <v>985</v>
      </c>
      <c r="E645" s="4">
        <v>972</v>
      </c>
      <c r="F645" s="4">
        <v>1010</v>
      </c>
      <c r="G645" s="4">
        <v>975</v>
      </c>
      <c r="H645" s="4"/>
    </row>
    <row r="646" spans="1:8" x14ac:dyDescent="0.25">
      <c r="A646" s="1" t="s">
        <v>654</v>
      </c>
      <c r="B646" s="2">
        <f t="shared" si="20"/>
        <v>10</v>
      </c>
      <c r="C646" s="2">
        <f t="shared" si="21"/>
        <v>2020</v>
      </c>
      <c r="D646" s="4">
        <v>994</v>
      </c>
      <c r="E646" s="4">
        <v>983</v>
      </c>
      <c r="F646" s="4">
        <v>1020</v>
      </c>
      <c r="G646" s="4">
        <v>990</v>
      </c>
      <c r="H646" s="4"/>
    </row>
    <row r="647" spans="1:8" x14ac:dyDescent="0.25">
      <c r="A647" s="1" t="s">
        <v>655</v>
      </c>
      <c r="B647" s="2">
        <f t="shared" si="20"/>
        <v>10</v>
      </c>
      <c r="C647" s="2">
        <f t="shared" si="21"/>
        <v>2020</v>
      </c>
      <c r="D647" s="4">
        <v>997</v>
      </c>
      <c r="E647" s="4">
        <v>983</v>
      </c>
      <c r="F647" s="4">
        <v>1020</v>
      </c>
      <c r="G647" s="4">
        <v>990</v>
      </c>
      <c r="H647" s="4"/>
    </row>
    <row r="648" spans="1:8" x14ac:dyDescent="0.25">
      <c r="A648" s="1" t="s">
        <v>656</v>
      </c>
      <c r="B648" s="2">
        <f t="shared" si="20"/>
        <v>10</v>
      </c>
      <c r="C648" s="2">
        <f t="shared" si="21"/>
        <v>2020</v>
      </c>
      <c r="D648" s="4">
        <v>978</v>
      </c>
      <c r="E648" s="4">
        <v>967</v>
      </c>
      <c r="F648" s="4">
        <v>1000</v>
      </c>
      <c r="G648" s="4">
        <v>975</v>
      </c>
      <c r="H648" s="4"/>
    </row>
    <row r="649" spans="1:8" x14ac:dyDescent="0.25">
      <c r="A649" s="1" t="s">
        <v>657</v>
      </c>
      <c r="B649" s="2">
        <f t="shared" si="20"/>
        <v>10</v>
      </c>
      <c r="C649" s="2">
        <f t="shared" si="21"/>
        <v>2020</v>
      </c>
      <c r="D649" s="4">
        <v>978</v>
      </c>
      <c r="E649" s="4">
        <v>967</v>
      </c>
      <c r="F649" s="4">
        <v>1000</v>
      </c>
      <c r="G649" s="4">
        <v>985</v>
      </c>
      <c r="H649" s="4"/>
    </row>
    <row r="650" spans="1:8" x14ac:dyDescent="0.25">
      <c r="A650" s="1" t="s">
        <v>658</v>
      </c>
      <c r="B650" s="2">
        <f t="shared" si="20"/>
        <v>10</v>
      </c>
      <c r="C650" s="2">
        <f t="shared" si="21"/>
        <v>2020</v>
      </c>
      <c r="D650" s="4">
        <v>978</v>
      </c>
      <c r="E650" s="4">
        <v>967</v>
      </c>
      <c r="F650" s="4">
        <v>1005</v>
      </c>
      <c r="G650" s="4">
        <v>985</v>
      </c>
      <c r="H650" s="4"/>
    </row>
    <row r="651" spans="1:8" x14ac:dyDescent="0.25">
      <c r="A651" s="1" t="s">
        <v>659</v>
      </c>
      <c r="B651" s="2">
        <f t="shared" si="20"/>
        <v>11</v>
      </c>
      <c r="C651" s="2">
        <f t="shared" si="21"/>
        <v>2020</v>
      </c>
      <c r="D651" s="4">
        <v>975</v>
      </c>
      <c r="E651" s="4">
        <v>965</v>
      </c>
      <c r="F651" s="4">
        <v>1000</v>
      </c>
      <c r="G651" s="4">
        <v>985</v>
      </c>
      <c r="H651" s="4"/>
    </row>
    <row r="652" spans="1:8" x14ac:dyDescent="0.25">
      <c r="A652" s="1" t="s">
        <v>660</v>
      </c>
      <c r="B652" s="2">
        <f t="shared" si="20"/>
        <v>11</v>
      </c>
      <c r="C652" s="2">
        <f t="shared" si="21"/>
        <v>2020</v>
      </c>
      <c r="D652" s="4">
        <v>993</v>
      </c>
      <c r="E652" s="4">
        <v>981</v>
      </c>
      <c r="F652" s="4">
        <v>1010</v>
      </c>
      <c r="G652" s="4">
        <v>985</v>
      </c>
      <c r="H652" s="4"/>
    </row>
    <row r="653" spans="1:8" x14ac:dyDescent="0.25">
      <c r="A653" s="1" t="s">
        <v>661</v>
      </c>
      <c r="B653" s="2">
        <f t="shared" si="20"/>
        <v>11</v>
      </c>
      <c r="C653" s="2">
        <f t="shared" si="21"/>
        <v>2020</v>
      </c>
      <c r="D653" s="4">
        <v>993</v>
      </c>
      <c r="E653" s="4">
        <v>981</v>
      </c>
      <c r="F653" s="4">
        <v>1020</v>
      </c>
      <c r="G653" s="4">
        <v>985</v>
      </c>
      <c r="H653" s="4"/>
    </row>
    <row r="654" spans="1:8" x14ac:dyDescent="0.25">
      <c r="A654" s="1" t="s">
        <v>662</v>
      </c>
      <c r="B654" s="2">
        <f t="shared" si="20"/>
        <v>11</v>
      </c>
      <c r="C654" s="2">
        <f t="shared" si="21"/>
        <v>2020</v>
      </c>
      <c r="D654" s="4">
        <v>1020</v>
      </c>
      <c r="E654" s="4">
        <v>1010</v>
      </c>
      <c r="F654" s="4">
        <v>1040</v>
      </c>
      <c r="G654" s="4">
        <v>995</v>
      </c>
      <c r="H654" s="4"/>
    </row>
    <row r="655" spans="1:8" x14ac:dyDescent="0.25">
      <c r="A655" s="1" t="s">
        <v>663</v>
      </c>
      <c r="B655" s="2">
        <f t="shared" si="20"/>
        <v>11</v>
      </c>
      <c r="C655" s="2">
        <f t="shared" si="21"/>
        <v>2020</v>
      </c>
      <c r="D655" s="4">
        <v>1020</v>
      </c>
      <c r="E655" s="4">
        <v>1010</v>
      </c>
      <c r="F655" s="4">
        <v>1050</v>
      </c>
      <c r="G655" s="4">
        <v>995</v>
      </c>
      <c r="H655" s="4"/>
    </row>
    <row r="656" spans="1:8" x14ac:dyDescent="0.25">
      <c r="A656" s="1" t="s">
        <v>664</v>
      </c>
      <c r="B656" s="2">
        <f t="shared" si="20"/>
        <v>11</v>
      </c>
      <c r="C656" s="2">
        <f t="shared" si="21"/>
        <v>2020</v>
      </c>
      <c r="D656" s="4">
        <v>1027</v>
      </c>
      <c r="E656" s="4">
        <v>1015</v>
      </c>
      <c r="F656" s="4">
        <v>1055</v>
      </c>
      <c r="G656" s="4">
        <v>1015</v>
      </c>
      <c r="H656" s="4"/>
    </row>
    <row r="657" spans="1:8" x14ac:dyDescent="0.25">
      <c r="A657" s="1" t="s">
        <v>665</v>
      </c>
      <c r="B657" s="2">
        <f t="shared" si="20"/>
        <v>11</v>
      </c>
      <c r="C657" s="2">
        <f t="shared" si="21"/>
        <v>2020</v>
      </c>
      <c r="D657" s="4">
        <v>1038</v>
      </c>
      <c r="E657" s="4">
        <v>1025</v>
      </c>
      <c r="F657" s="4">
        <v>1060</v>
      </c>
      <c r="G657" s="4">
        <v>1015</v>
      </c>
      <c r="H657" s="4"/>
    </row>
    <row r="658" spans="1:8" x14ac:dyDescent="0.25">
      <c r="A658" s="1" t="s">
        <v>666</v>
      </c>
      <c r="B658" s="2">
        <f t="shared" si="20"/>
        <v>11</v>
      </c>
      <c r="C658" s="2">
        <f t="shared" si="21"/>
        <v>2020</v>
      </c>
      <c r="D658" s="4">
        <v>1073</v>
      </c>
      <c r="E658" s="4">
        <v>1061</v>
      </c>
      <c r="F658" s="4">
        <v>1100</v>
      </c>
      <c r="G658" s="4">
        <v>1015</v>
      </c>
      <c r="H658" s="4"/>
    </row>
    <row r="659" spans="1:8" x14ac:dyDescent="0.25">
      <c r="A659" s="1" t="s">
        <v>667</v>
      </c>
      <c r="B659" s="2">
        <f t="shared" si="20"/>
        <v>11</v>
      </c>
      <c r="C659" s="2">
        <f t="shared" si="21"/>
        <v>2020</v>
      </c>
      <c r="D659" s="4">
        <v>1070</v>
      </c>
      <c r="E659" s="4">
        <v>1058</v>
      </c>
      <c r="F659" s="4">
        <v>1110</v>
      </c>
      <c r="G659" s="4">
        <v>1015</v>
      </c>
      <c r="H659" s="4"/>
    </row>
    <row r="660" spans="1:8" x14ac:dyDescent="0.25">
      <c r="A660" s="1" t="s">
        <v>668</v>
      </c>
      <c r="B660" s="2">
        <f t="shared" si="20"/>
        <v>11</v>
      </c>
      <c r="C660" s="2">
        <f t="shared" si="21"/>
        <v>2020</v>
      </c>
      <c r="D660" s="4">
        <v>1069</v>
      </c>
      <c r="E660" s="4">
        <v>1058</v>
      </c>
      <c r="F660" s="4">
        <v>1100</v>
      </c>
      <c r="G660" s="4">
        <v>1060</v>
      </c>
      <c r="H660" s="4"/>
    </row>
    <row r="661" spans="1:8" x14ac:dyDescent="0.25">
      <c r="A661" s="1" t="s">
        <v>669</v>
      </c>
      <c r="B661" s="2">
        <f t="shared" si="20"/>
        <v>11</v>
      </c>
      <c r="C661" s="2">
        <f t="shared" si="21"/>
        <v>2020</v>
      </c>
      <c r="D661" s="4">
        <v>1070</v>
      </c>
      <c r="E661" s="4">
        <v>1059</v>
      </c>
      <c r="F661" s="4">
        <v>1095</v>
      </c>
      <c r="G661" s="4">
        <v>1070</v>
      </c>
      <c r="H661" s="4"/>
    </row>
    <row r="662" spans="1:8" x14ac:dyDescent="0.25">
      <c r="A662" s="1" t="s">
        <v>670</v>
      </c>
      <c r="B662" s="2">
        <f t="shared" si="20"/>
        <v>11</v>
      </c>
      <c r="C662" s="2">
        <f t="shared" si="21"/>
        <v>2020</v>
      </c>
      <c r="D662" s="4">
        <v>1090</v>
      </c>
      <c r="E662" s="4">
        <v>1080</v>
      </c>
      <c r="F662" s="4">
        <v>1120</v>
      </c>
      <c r="G662" s="4">
        <v>1070</v>
      </c>
      <c r="H662" s="4"/>
    </row>
    <row r="663" spans="1:8" x14ac:dyDescent="0.25">
      <c r="A663" s="1" t="s">
        <v>671</v>
      </c>
      <c r="B663" s="2">
        <f t="shared" si="20"/>
        <v>11</v>
      </c>
      <c r="C663" s="2">
        <f t="shared" si="21"/>
        <v>2020</v>
      </c>
      <c r="D663" s="4">
        <v>1140</v>
      </c>
      <c r="E663" s="4">
        <v>1120</v>
      </c>
      <c r="F663" s="4">
        <v>1165</v>
      </c>
      <c r="G663" s="4">
        <v>1090</v>
      </c>
      <c r="H663" s="4"/>
    </row>
    <row r="664" spans="1:8" x14ac:dyDescent="0.25">
      <c r="A664" s="1" t="s">
        <v>672</v>
      </c>
      <c r="B664" s="2">
        <f t="shared" si="20"/>
        <v>11</v>
      </c>
      <c r="C664" s="2">
        <f t="shared" si="21"/>
        <v>2020</v>
      </c>
      <c r="D664" s="4">
        <v>1150</v>
      </c>
      <c r="E664" s="4">
        <v>1135</v>
      </c>
      <c r="F664" s="4">
        <v>1180</v>
      </c>
      <c r="G664" s="4">
        <v>1120</v>
      </c>
      <c r="H664" s="4"/>
    </row>
    <row r="665" spans="1:8" x14ac:dyDescent="0.25">
      <c r="A665" s="1" t="s">
        <v>673</v>
      </c>
      <c r="B665" s="2">
        <f t="shared" si="20"/>
        <v>11</v>
      </c>
      <c r="C665" s="2">
        <f t="shared" si="21"/>
        <v>2020</v>
      </c>
      <c r="D665" s="4">
        <v>1155</v>
      </c>
      <c r="E665" s="4">
        <v>1145</v>
      </c>
      <c r="F665" s="4">
        <v>1180</v>
      </c>
      <c r="G665" s="4">
        <v>1120</v>
      </c>
      <c r="H665" s="4"/>
    </row>
    <row r="666" spans="1:8" x14ac:dyDescent="0.25">
      <c r="A666" s="1" t="s">
        <v>674</v>
      </c>
      <c r="B666" s="2">
        <f t="shared" si="20"/>
        <v>11</v>
      </c>
      <c r="C666" s="2">
        <f t="shared" si="21"/>
        <v>2020</v>
      </c>
      <c r="D666" s="4">
        <v>1160</v>
      </c>
      <c r="E666" s="4">
        <v>1150</v>
      </c>
      <c r="F666" s="4">
        <v>1190</v>
      </c>
      <c r="G666" s="4" t="s">
        <v>10</v>
      </c>
      <c r="H666" s="4"/>
    </row>
    <row r="667" spans="1:8" x14ac:dyDescent="0.25">
      <c r="A667" s="1" t="s">
        <v>675</v>
      </c>
      <c r="B667" s="2">
        <f t="shared" si="20"/>
        <v>11</v>
      </c>
      <c r="C667" s="2">
        <f t="shared" si="21"/>
        <v>2020</v>
      </c>
      <c r="D667" s="4">
        <v>1145</v>
      </c>
      <c r="E667" s="4">
        <v>1135</v>
      </c>
      <c r="F667" s="4">
        <v>1195</v>
      </c>
      <c r="G667" s="4">
        <v>1130</v>
      </c>
      <c r="H667" s="4"/>
    </row>
    <row r="668" spans="1:8" x14ac:dyDescent="0.25">
      <c r="A668" s="1" t="s">
        <v>676</v>
      </c>
      <c r="B668" s="2">
        <f t="shared" si="20"/>
        <v>11</v>
      </c>
      <c r="C668" s="2">
        <f t="shared" si="21"/>
        <v>2020</v>
      </c>
      <c r="D668" s="4">
        <v>1146</v>
      </c>
      <c r="E668" s="4">
        <v>1135</v>
      </c>
      <c r="F668" s="4">
        <v>1175</v>
      </c>
      <c r="G668" s="4">
        <v>1130</v>
      </c>
      <c r="H668" s="4"/>
    </row>
    <row r="669" spans="1:8" x14ac:dyDescent="0.25">
      <c r="A669" s="1" t="s">
        <v>677</v>
      </c>
      <c r="B669" s="2">
        <f t="shared" si="20"/>
        <v>11</v>
      </c>
      <c r="C669" s="2">
        <f t="shared" si="21"/>
        <v>2020</v>
      </c>
      <c r="D669" s="4">
        <v>1142.5</v>
      </c>
      <c r="E669" s="4">
        <v>1130</v>
      </c>
      <c r="F669" s="4">
        <v>1165</v>
      </c>
      <c r="G669" s="4">
        <v>1130</v>
      </c>
      <c r="H669" s="4"/>
    </row>
    <row r="670" spans="1:8" x14ac:dyDescent="0.25">
      <c r="A670" s="1" t="s">
        <v>678</v>
      </c>
      <c r="B670" s="2">
        <f t="shared" si="20"/>
        <v>11</v>
      </c>
      <c r="C670" s="2">
        <f t="shared" si="21"/>
        <v>2020</v>
      </c>
      <c r="D670" s="4">
        <v>1141</v>
      </c>
      <c r="E670" s="4">
        <v>1130</v>
      </c>
      <c r="F670" s="4">
        <v>1175</v>
      </c>
      <c r="G670" s="4">
        <v>1140</v>
      </c>
      <c r="H670" s="4"/>
    </row>
    <row r="671" spans="1:8" x14ac:dyDescent="0.25">
      <c r="A671" s="1" t="s">
        <v>679</v>
      </c>
      <c r="B671" s="2">
        <f t="shared" si="20"/>
        <v>11</v>
      </c>
      <c r="C671" s="2">
        <f t="shared" si="21"/>
        <v>2020</v>
      </c>
      <c r="D671" s="4">
        <v>1118</v>
      </c>
      <c r="E671" s="4">
        <v>1110</v>
      </c>
      <c r="F671" s="4">
        <v>1160</v>
      </c>
      <c r="G671" s="4">
        <v>1130</v>
      </c>
      <c r="H671" s="4"/>
    </row>
    <row r="672" spans="1:8" x14ac:dyDescent="0.25">
      <c r="A672" s="1" t="s">
        <v>680</v>
      </c>
      <c r="B672" s="2">
        <f t="shared" si="20"/>
        <v>12</v>
      </c>
      <c r="C672" s="2">
        <f t="shared" si="21"/>
        <v>2020</v>
      </c>
      <c r="D672" s="4">
        <v>1120</v>
      </c>
      <c r="E672" s="4">
        <v>1115</v>
      </c>
      <c r="F672" s="4">
        <v>1157</v>
      </c>
      <c r="G672" s="4">
        <v>1130</v>
      </c>
      <c r="H672" s="4"/>
    </row>
    <row r="673" spans="1:8" x14ac:dyDescent="0.25">
      <c r="A673" s="1" t="s">
        <v>681</v>
      </c>
      <c r="B673" s="2">
        <f t="shared" si="20"/>
        <v>12</v>
      </c>
      <c r="C673" s="2">
        <f t="shared" si="21"/>
        <v>2020</v>
      </c>
      <c r="D673" s="4">
        <v>1114</v>
      </c>
      <c r="E673" s="4">
        <v>1100</v>
      </c>
      <c r="F673" s="4">
        <v>1155</v>
      </c>
      <c r="G673" s="4">
        <v>1130</v>
      </c>
      <c r="H673" s="4"/>
    </row>
    <row r="674" spans="1:8" x14ac:dyDescent="0.25">
      <c r="A674" s="1" t="s">
        <v>682</v>
      </c>
      <c r="B674" s="2">
        <f t="shared" si="20"/>
        <v>12</v>
      </c>
      <c r="C674" s="2">
        <f t="shared" si="21"/>
        <v>2020</v>
      </c>
      <c r="D674" s="4">
        <v>1105</v>
      </c>
      <c r="E674" s="4">
        <v>1090</v>
      </c>
      <c r="F674" s="4">
        <v>1155</v>
      </c>
      <c r="G674" s="4">
        <v>1130</v>
      </c>
      <c r="H674" s="4"/>
    </row>
    <row r="675" spans="1:8" x14ac:dyDescent="0.25">
      <c r="A675" s="1" t="s">
        <v>683</v>
      </c>
      <c r="B675" s="2">
        <f t="shared" si="20"/>
        <v>12</v>
      </c>
      <c r="C675" s="2">
        <f t="shared" si="21"/>
        <v>2020</v>
      </c>
      <c r="D675" s="4">
        <v>1105</v>
      </c>
      <c r="E675" s="4">
        <v>1100</v>
      </c>
      <c r="F675" s="4">
        <v>1155</v>
      </c>
      <c r="G675" s="4">
        <v>1110</v>
      </c>
      <c r="H675" s="4"/>
    </row>
    <row r="676" spans="1:8" x14ac:dyDescent="0.25">
      <c r="A676" s="1" t="s">
        <v>684</v>
      </c>
      <c r="B676" s="2">
        <f t="shared" si="20"/>
        <v>12</v>
      </c>
      <c r="C676" s="2">
        <f t="shared" si="21"/>
        <v>2020</v>
      </c>
      <c r="D676" s="4">
        <v>1105</v>
      </c>
      <c r="E676" s="4">
        <v>1101</v>
      </c>
      <c r="F676" s="4">
        <v>1170</v>
      </c>
      <c r="G676" s="4" t="s">
        <v>10</v>
      </c>
      <c r="H676" s="4"/>
    </row>
    <row r="677" spans="1:8" x14ac:dyDescent="0.25">
      <c r="A677" s="1" t="s">
        <v>685</v>
      </c>
      <c r="B677" s="2">
        <f t="shared" si="20"/>
        <v>12</v>
      </c>
      <c r="C677" s="2">
        <f t="shared" si="21"/>
        <v>2020</v>
      </c>
      <c r="D677" s="4">
        <v>1100</v>
      </c>
      <c r="E677" s="4">
        <v>1090</v>
      </c>
      <c r="F677" s="4">
        <v>1145</v>
      </c>
      <c r="G677" s="4" t="s">
        <v>10</v>
      </c>
      <c r="H677" s="4"/>
    </row>
    <row r="678" spans="1:8" x14ac:dyDescent="0.25">
      <c r="A678" s="1" t="s">
        <v>686</v>
      </c>
      <c r="B678" s="2">
        <f t="shared" si="20"/>
        <v>12</v>
      </c>
      <c r="C678" s="2">
        <f t="shared" si="21"/>
        <v>2020</v>
      </c>
      <c r="D678" s="4">
        <v>1100</v>
      </c>
      <c r="E678" s="4">
        <v>1091</v>
      </c>
      <c r="F678" s="4">
        <v>1140</v>
      </c>
      <c r="G678" s="4">
        <v>1100</v>
      </c>
      <c r="H678" s="4"/>
    </row>
    <row r="679" spans="1:8" x14ac:dyDescent="0.25">
      <c r="A679" s="1" t="s">
        <v>687</v>
      </c>
      <c r="B679" s="2">
        <f t="shared" si="20"/>
        <v>12</v>
      </c>
      <c r="C679" s="2">
        <f t="shared" si="21"/>
        <v>2020</v>
      </c>
      <c r="D679" s="4">
        <v>1115</v>
      </c>
      <c r="E679" s="4">
        <v>1100</v>
      </c>
      <c r="F679" s="4">
        <v>1150</v>
      </c>
      <c r="G679" s="4">
        <v>1100</v>
      </c>
      <c r="H679" s="4"/>
    </row>
    <row r="680" spans="1:8" x14ac:dyDescent="0.25">
      <c r="A680" s="1" t="s">
        <v>688</v>
      </c>
      <c r="B680" s="2">
        <f t="shared" si="20"/>
        <v>12</v>
      </c>
      <c r="C680" s="2">
        <f t="shared" si="21"/>
        <v>2020</v>
      </c>
      <c r="D680" s="4">
        <v>1120</v>
      </c>
      <c r="E680" s="4">
        <v>1110</v>
      </c>
      <c r="F680" s="4">
        <v>1150</v>
      </c>
      <c r="G680" s="4">
        <v>1100</v>
      </c>
      <c r="H680" s="4"/>
    </row>
    <row r="681" spans="1:8" x14ac:dyDescent="0.25">
      <c r="A681" s="1" t="s">
        <v>689</v>
      </c>
      <c r="B681" s="2">
        <f t="shared" si="20"/>
        <v>12</v>
      </c>
      <c r="C681" s="2">
        <f t="shared" si="21"/>
        <v>2020</v>
      </c>
      <c r="D681" s="4">
        <v>1133</v>
      </c>
      <c r="E681" s="4">
        <v>1115</v>
      </c>
      <c r="F681" s="4">
        <v>1160</v>
      </c>
      <c r="G681" s="4">
        <v>1100</v>
      </c>
      <c r="H681" s="4"/>
    </row>
    <row r="682" spans="1:8" x14ac:dyDescent="0.25">
      <c r="A682" s="1" t="s">
        <v>690</v>
      </c>
      <c r="B682" s="2">
        <f t="shared" si="20"/>
        <v>12</v>
      </c>
      <c r="C682" s="2">
        <f t="shared" si="21"/>
        <v>2020</v>
      </c>
      <c r="D682" s="4">
        <v>1153</v>
      </c>
      <c r="E682" s="4">
        <v>1140</v>
      </c>
      <c r="F682" s="4">
        <v>1185</v>
      </c>
      <c r="G682" s="4">
        <v>1125</v>
      </c>
      <c r="H682" s="4"/>
    </row>
    <row r="683" spans="1:8" x14ac:dyDescent="0.25">
      <c r="A683" s="1" t="s">
        <v>691</v>
      </c>
      <c r="B683" s="2">
        <f t="shared" si="20"/>
        <v>12</v>
      </c>
      <c r="C683" s="2">
        <f t="shared" si="21"/>
        <v>2020</v>
      </c>
      <c r="D683" s="4">
        <v>1163</v>
      </c>
      <c r="E683" s="4">
        <v>1150</v>
      </c>
      <c r="F683" s="4">
        <v>1195</v>
      </c>
      <c r="G683" s="4">
        <v>1125</v>
      </c>
      <c r="H683" s="4"/>
    </row>
    <row r="684" spans="1:8" x14ac:dyDescent="0.25">
      <c r="A684" s="1" t="s">
        <v>692</v>
      </c>
      <c r="B684" s="2">
        <f t="shared" si="20"/>
        <v>12</v>
      </c>
      <c r="C684" s="2">
        <f t="shared" si="21"/>
        <v>2020</v>
      </c>
      <c r="D684" s="4">
        <v>1174</v>
      </c>
      <c r="E684" s="4">
        <v>1155</v>
      </c>
      <c r="F684" s="4">
        <v>1200</v>
      </c>
      <c r="G684" s="4">
        <v>1140</v>
      </c>
      <c r="H684" s="4"/>
    </row>
    <row r="685" spans="1:8" x14ac:dyDescent="0.25">
      <c r="A685" s="1" t="s">
        <v>693</v>
      </c>
      <c r="B685" s="2">
        <f t="shared" si="20"/>
        <v>12</v>
      </c>
      <c r="C685" s="2">
        <f t="shared" si="21"/>
        <v>2020</v>
      </c>
      <c r="D685" s="4">
        <v>1174</v>
      </c>
      <c r="E685" s="4">
        <v>1160</v>
      </c>
      <c r="F685" s="4">
        <v>1205</v>
      </c>
      <c r="G685" s="4">
        <v>1160</v>
      </c>
      <c r="H685" s="4"/>
    </row>
    <row r="686" spans="1:8" x14ac:dyDescent="0.25">
      <c r="A686" s="1" t="s">
        <v>694</v>
      </c>
      <c r="B686" s="2">
        <f t="shared" si="20"/>
        <v>12</v>
      </c>
      <c r="C686" s="2">
        <f t="shared" si="21"/>
        <v>2020</v>
      </c>
      <c r="D686" s="4">
        <v>1170</v>
      </c>
      <c r="E686" s="4">
        <v>1155</v>
      </c>
      <c r="F686" s="4">
        <v>1200</v>
      </c>
      <c r="G686" s="4">
        <v>1170</v>
      </c>
      <c r="H686" s="4"/>
    </row>
    <row r="687" spans="1:8" x14ac:dyDescent="0.25">
      <c r="A687" s="1" t="s">
        <v>695</v>
      </c>
      <c r="B687" s="2">
        <f t="shared" si="20"/>
        <v>12</v>
      </c>
      <c r="C687" s="2">
        <f t="shared" si="21"/>
        <v>2020</v>
      </c>
      <c r="D687" s="4">
        <v>1170</v>
      </c>
      <c r="E687" s="4">
        <v>1155</v>
      </c>
      <c r="F687" s="4">
        <v>1200</v>
      </c>
      <c r="G687" s="4">
        <v>1170</v>
      </c>
      <c r="H687" s="4"/>
    </row>
    <row r="688" spans="1:8" x14ac:dyDescent="0.25">
      <c r="A688" s="1" t="s">
        <v>696</v>
      </c>
      <c r="B688" s="2">
        <f t="shared" si="20"/>
        <v>12</v>
      </c>
      <c r="C688" s="2">
        <f t="shared" si="21"/>
        <v>2020</v>
      </c>
      <c r="D688" s="4">
        <v>1185</v>
      </c>
      <c r="E688" s="4">
        <v>1170</v>
      </c>
      <c r="F688" s="4">
        <v>1210</v>
      </c>
      <c r="G688" s="4">
        <v>1170</v>
      </c>
      <c r="H688" s="4"/>
    </row>
    <row r="689" spans="1:8" x14ac:dyDescent="0.25">
      <c r="A689" s="1" t="s">
        <v>697</v>
      </c>
      <c r="B689" s="2">
        <f t="shared" si="20"/>
        <v>12</v>
      </c>
      <c r="C689" s="2">
        <f t="shared" si="21"/>
        <v>2020</v>
      </c>
      <c r="D689" s="4">
        <v>1187</v>
      </c>
      <c r="E689" s="4">
        <v>1172</v>
      </c>
      <c r="F689" s="4">
        <v>1210</v>
      </c>
      <c r="G689" s="4">
        <v>1170</v>
      </c>
      <c r="H689" s="4"/>
    </row>
    <row r="690" spans="1:8" x14ac:dyDescent="0.25">
      <c r="A690" s="1" t="s">
        <v>698</v>
      </c>
      <c r="B690" s="2">
        <f t="shared" si="20"/>
        <v>12</v>
      </c>
      <c r="C690" s="2">
        <f t="shared" si="21"/>
        <v>2020</v>
      </c>
      <c r="D690" s="4">
        <v>1204</v>
      </c>
      <c r="E690" s="4">
        <v>1175</v>
      </c>
      <c r="F690" s="4">
        <v>1220</v>
      </c>
      <c r="G690" s="4">
        <v>1170</v>
      </c>
      <c r="H690" s="4"/>
    </row>
    <row r="691" spans="1:8" x14ac:dyDescent="0.25">
      <c r="A691" s="1" t="s">
        <v>699</v>
      </c>
      <c r="B691" s="2">
        <f t="shared" si="20"/>
        <v>12</v>
      </c>
      <c r="C691" s="2">
        <f t="shared" si="21"/>
        <v>2020</v>
      </c>
      <c r="D691" s="4">
        <v>1204</v>
      </c>
      <c r="E691" s="4">
        <v>1175</v>
      </c>
      <c r="F691" s="4">
        <v>1220</v>
      </c>
      <c r="G691" s="4">
        <v>1170</v>
      </c>
      <c r="H691" s="4"/>
    </row>
    <row r="692" spans="1:8" x14ac:dyDescent="0.25">
      <c r="A692" s="1" t="s">
        <v>700</v>
      </c>
      <c r="B692" s="2">
        <f t="shared" si="20"/>
        <v>12</v>
      </c>
      <c r="C692" s="2">
        <f t="shared" si="21"/>
        <v>2020</v>
      </c>
      <c r="D692" s="4">
        <v>1204</v>
      </c>
      <c r="E692" s="4">
        <v>1175</v>
      </c>
      <c r="F692" s="4">
        <v>1220</v>
      </c>
      <c r="G692" s="4">
        <v>1170</v>
      </c>
      <c r="H692" s="4"/>
    </row>
    <row r="693" spans="1:8" x14ac:dyDescent="0.25">
      <c r="A693" s="1" t="s">
        <v>701</v>
      </c>
      <c r="B693" s="2">
        <f t="shared" si="20"/>
        <v>1</v>
      </c>
      <c r="C693" s="2">
        <f t="shared" si="21"/>
        <v>2021</v>
      </c>
      <c r="D693" s="4">
        <v>1230</v>
      </c>
      <c r="E693" s="4">
        <v>1220</v>
      </c>
      <c r="F693" s="4">
        <v>1270</v>
      </c>
      <c r="G693" s="4">
        <v>1190</v>
      </c>
      <c r="H693" s="4"/>
    </row>
    <row r="694" spans="1:8" x14ac:dyDescent="0.25">
      <c r="A694" s="1" t="s">
        <v>702</v>
      </c>
      <c r="B694" s="2">
        <f t="shared" si="20"/>
        <v>1</v>
      </c>
      <c r="C694" s="2">
        <f t="shared" si="21"/>
        <v>2021</v>
      </c>
      <c r="D694" s="4">
        <v>1255</v>
      </c>
      <c r="E694" s="4">
        <v>1230</v>
      </c>
      <c r="F694" s="4">
        <v>1280</v>
      </c>
      <c r="G694" s="4">
        <v>1190</v>
      </c>
      <c r="H694" s="4"/>
    </row>
    <row r="695" spans="1:8" x14ac:dyDescent="0.25">
      <c r="A695" s="1" t="s">
        <v>703</v>
      </c>
      <c r="B695" s="2">
        <f t="shared" si="20"/>
        <v>1</v>
      </c>
      <c r="C695" s="2">
        <f t="shared" si="21"/>
        <v>2021</v>
      </c>
      <c r="D695" s="4">
        <v>1290</v>
      </c>
      <c r="E695" s="4">
        <v>1270</v>
      </c>
      <c r="F695" s="4">
        <v>1315</v>
      </c>
      <c r="G695" s="4">
        <v>1250</v>
      </c>
      <c r="H695" s="4"/>
    </row>
    <row r="696" spans="1:8" x14ac:dyDescent="0.25">
      <c r="A696" s="1" t="s">
        <v>704</v>
      </c>
      <c r="B696" s="2">
        <f t="shared" si="20"/>
        <v>1</v>
      </c>
      <c r="C696" s="2">
        <f t="shared" si="21"/>
        <v>2021</v>
      </c>
      <c r="D696" s="4">
        <v>1280</v>
      </c>
      <c r="E696" s="4">
        <v>1265</v>
      </c>
      <c r="F696" s="4">
        <v>1305</v>
      </c>
      <c r="G696" s="4">
        <v>1255</v>
      </c>
      <c r="H696" s="4"/>
    </row>
    <row r="697" spans="1:8" x14ac:dyDescent="0.25">
      <c r="A697" s="1" t="s">
        <v>705</v>
      </c>
      <c r="B697" s="2">
        <f t="shared" si="20"/>
        <v>1</v>
      </c>
      <c r="C697" s="2">
        <f t="shared" si="21"/>
        <v>2021</v>
      </c>
      <c r="D697" s="4">
        <v>1290</v>
      </c>
      <c r="E697" s="4">
        <v>1275</v>
      </c>
      <c r="F697" s="4">
        <v>1315</v>
      </c>
      <c r="G697" s="4">
        <v>1255</v>
      </c>
      <c r="H697" s="4"/>
    </row>
    <row r="698" spans="1:8" x14ac:dyDescent="0.25">
      <c r="A698" s="1" t="s">
        <v>706</v>
      </c>
      <c r="B698" s="2">
        <f t="shared" si="20"/>
        <v>1</v>
      </c>
      <c r="C698" s="2">
        <f t="shared" si="21"/>
        <v>2021</v>
      </c>
      <c r="D698" s="4">
        <v>1285</v>
      </c>
      <c r="E698" s="4">
        <v>1275</v>
      </c>
      <c r="F698" s="4">
        <v>1305</v>
      </c>
      <c r="G698" s="4">
        <v>1255</v>
      </c>
      <c r="H698" s="4"/>
    </row>
    <row r="699" spans="1:8" x14ac:dyDescent="0.25">
      <c r="A699" s="1" t="s">
        <v>707</v>
      </c>
      <c r="B699" s="2">
        <f t="shared" si="20"/>
        <v>1</v>
      </c>
      <c r="C699" s="2">
        <f t="shared" si="21"/>
        <v>2021</v>
      </c>
      <c r="D699" s="4">
        <v>1279</v>
      </c>
      <c r="E699" s="4">
        <v>1255</v>
      </c>
      <c r="F699" s="4">
        <v>1305</v>
      </c>
      <c r="G699" s="4">
        <v>1290</v>
      </c>
      <c r="H699" s="4"/>
    </row>
    <row r="700" spans="1:8" x14ac:dyDescent="0.25">
      <c r="A700" s="1" t="s">
        <v>708</v>
      </c>
      <c r="B700" s="2">
        <f t="shared" si="20"/>
        <v>1</v>
      </c>
      <c r="C700" s="2">
        <f t="shared" si="21"/>
        <v>2021</v>
      </c>
      <c r="D700" s="4">
        <v>1279</v>
      </c>
      <c r="E700" s="4">
        <v>1255</v>
      </c>
      <c r="F700" s="4">
        <v>1295</v>
      </c>
      <c r="G700" s="4">
        <v>1290</v>
      </c>
      <c r="H700" s="4"/>
    </row>
    <row r="701" spans="1:8" x14ac:dyDescent="0.25">
      <c r="A701" s="1" t="s">
        <v>709</v>
      </c>
      <c r="B701" s="2">
        <f t="shared" si="20"/>
        <v>1</v>
      </c>
      <c r="C701" s="2">
        <f t="shared" si="21"/>
        <v>2021</v>
      </c>
      <c r="D701" s="4">
        <v>1270</v>
      </c>
      <c r="E701" s="4">
        <v>1250</v>
      </c>
      <c r="F701" s="4">
        <v>1290</v>
      </c>
      <c r="G701" s="4">
        <v>1290</v>
      </c>
      <c r="H701" s="4"/>
    </row>
    <row r="702" spans="1:8" x14ac:dyDescent="0.25">
      <c r="A702" s="1" t="s">
        <v>710</v>
      </c>
      <c r="B702" s="2">
        <f t="shared" si="20"/>
        <v>1</v>
      </c>
      <c r="C702" s="2">
        <f t="shared" si="21"/>
        <v>2021</v>
      </c>
      <c r="D702" s="4">
        <v>1260</v>
      </c>
      <c r="E702" s="4">
        <v>1250</v>
      </c>
      <c r="F702" s="4">
        <v>1280</v>
      </c>
      <c r="G702" s="4">
        <v>1280</v>
      </c>
      <c r="H702" s="4"/>
    </row>
    <row r="703" spans="1:8" x14ac:dyDescent="0.25">
      <c r="A703" s="1" t="s">
        <v>711</v>
      </c>
      <c r="B703" s="2">
        <f t="shared" si="20"/>
        <v>1</v>
      </c>
      <c r="C703" s="2">
        <f t="shared" si="21"/>
        <v>2021</v>
      </c>
      <c r="D703" s="4">
        <v>1260</v>
      </c>
      <c r="E703" s="4">
        <v>1245</v>
      </c>
      <c r="F703" s="4">
        <v>1280</v>
      </c>
      <c r="G703" s="4">
        <v>1295</v>
      </c>
      <c r="H703" s="4"/>
    </row>
    <row r="704" spans="1:8" x14ac:dyDescent="0.25">
      <c r="A704" s="1" t="s">
        <v>712</v>
      </c>
      <c r="B704" s="2">
        <f t="shared" si="20"/>
        <v>1</v>
      </c>
      <c r="C704" s="2">
        <f t="shared" si="21"/>
        <v>2021</v>
      </c>
      <c r="D704" s="4">
        <v>1250</v>
      </c>
      <c r="E704" s="4">
        <v>1245</v>
      </c>
      <c r="F704" s="4">
        <v>1270</v>
      </c>
      <c r="G704" s="4">
        <v>1270</v>
      </c>
      <c r="H704" s="4"/>
    </row>
    <row r="705" spans="1:8" x14ac:dyDescent="0.25">
      <c r="A705" s="1" t="s">
        <v>713</v>
      </c>
      <c r="B705" s="2">
        <f t="shared" si="20"/>
        <v>1</v>
      </c>
      <c r="C705" s="2">
        <f t="shared" si="21"/>
        <v>2021</v>
      </c>
      <c r="D705" s="4">
        <v>1250</v>
      </c>
      <c r="E705" s="4">
        <v>1240</v>
      </c>
      <c r="F705" s="4">
        <v>1265</v>
      </c>
      <c r="G705" s="4">
        <v>1275</v>
      </c>
      <c r="H705" s="4"/>
    </row>
    <row r="706" spans="1:8" x14ac:dyDescent="0.25">
      <c r="A706" s="1" t="s">
        <v>714</v>
      </c>
      <c r="B706" s="2">
        <f t="shared" si="20"/>
        <v>1</v>
      </c>
      <c r="C706" s="2">
        <f t="shared" si="21"/>
        <v>2021</v>
      </c>
      <c r="D706" s="4">
        <v>1262</v>
      </c>
      <c r="E706" s="4">
        <v>1240</v>
      </c>
      <c r="F706" s="4">
        <v>1270</v>
      </c>
      <c r="G706" s="4">
        <v>1275</v>
      </c>
      <c r="H706" s="4"/>
    </row>
    <row r="707" spans="1:8" x14ac:dyDescent="0.25">
      <c r="A707" s="1" t="s">
        <v>715</v>
      </c>
      <c r="B707" s="2">
        <f t="shared" ref="B707:B770" si="22">MONTH(A707)</f>
        <v>1</v>
      </c>
      <c r="C707" s="2">
        <f t="shared" ref="C707:C770" si="23">YEAR(A707)</f>
        <v>2021</v>
      </c>
      <c r="D707" s="4">
        <v>1262</v>
      </c>
      <c r="E707" s="4">
        <v>1240</v>
      </c>
      <c r="F707" s="4">
        <v>1275</v>
      </c>
      <c r="G707" s="4">
        <v>1265</v>
      </c>
      <c r="H707" s="4"/>
    </row>
    <row r="708" spans="1:8" x14ac:dyDescent="0.25">
      <c r="A708" s="1" t="s">
        <v>716</v>
      </c>
      <c r="B708" s="2">
        <f t="shared" si="22"/>
        <v>1</v>
      </c>
      <c r="C708" s="2">
        <f t="shared" si="23"/>
        <v>2021</v>
      </c>
      <c r="D708" s="4">
        <v>1270</v>
      </c>
      <c r="E708" s="4">
        <v>1240</v>
      </c>
      <c r="F708" s="4">
        <v>1280</v>
      </c>
      <c r="G708" s="4">
        <v>1260</v>
      </c>
      <c r="H708" s="4"/>
    </row>
    <row r="709" spans="1:8" x14ac:dyDescent="0.25">
      <c r="A709" s="1" t="s">
        <v>717</v>
      </c>
      <c r="B709" s="2">
        <f t="shared" si="22"/>
        <v>1</v>
      </c>
      <c r="C709" s="2">
        <f t="shared" si="23"/>
        <v>2021</v>
      </c>
      <c r="D709" s="4">
        <v>1277</v>
      </c>
      <c r="E709" s="4">
        <v>1245</v>
      </c>
      <c r="F709" s="4">
        <v>1290</v>
      </c>
      <c r="G709" s="4">
        <v>1260</v>
      </c>
      <c r="H709" s="4"/>
    </row>
    <row r="710" spans="1:8" x14ac:dyDescent="0.25">
      <c r="A710" s="1" t="s">
        <v>718</v>
      </c>
      <c r="B710" s="2">
        <f t="shared" si="22"/>
        <v>1</v>
      </c>
      <c r="C710" s="2">
        <f t="shared" si="23"/>
        <v>2021</v>
      </c>
      <c r="D710" s="4">
        <v>1282</v>
      </c>
      <c r="E710" s="4">
        <v>1250</v>
      </c>
      <c r="F710" s="4">
        <v>1295</v>
      </c>
      <c r="G710" s="4">
        <v>1250</v>
      </c>
      <c r="H710" s="4"/>
    </row>
    <row r="711" spans="1:8" x14ac:dyDescent="0.25">
      <c r="A711" s="1" t="s">
        <v>719</v>
      </c>
      <c r="B711" s="2">
        <f t="shared" si="22"/>
        <v>1</v>
      </c>
      <c r="C711" s="2">
        <f t="shared" si="23"/>
        <v>2021</v>
      </c>
      <c r="D711" s="4">
        <v>1290</v>
      </c>
      <c r="E711" s="4">
        <v>1250</v>
      </c>
      <c r="F711" s="4">
        <v>1305</v>
      </c>
      <c r="G711" s="4">
        <v>1250</v>
      </c>
      <c r="H711" s="4"/>
    </row>
    <row r="712" spans="1:8" x14ac:dyDescent="0.25">
      <c r="A712" s="1" t="s">
        <v>720</v>
      </c>
      <c r="B712" s="2">
        <f t="shared" si="22"/>
        <v>1</v>
      </c>
      <c r="C712" s="2">
        <f t="shared" si="23"/>
        <v>2021</v>
      </c>
      <c r="D712" s="4">
        <v>1298</v>
      </c>
      <c r="E712" s="4">
        <v>1265</v>
      </c>
      <c r="F712" s="4">
        <v>1325</v>
      </c>
      <c r="G712" s="4">
        <v>1260</v>
      </c>
      <c r="H712" s="4"/>
    </row>
    <row r="713" spans="1:8" x14ac:dyDescent="0.25">
      <c r="A713" s="1" t="s">
        <v>721</v>
      </c>
      <c r="B713" s="2">
        <f t="shared" si="22"/>
        <v>2</v>
      </c>
      <c r="C713" s="2">
        <f t="shared" si="23"/>
        <v>2021</v>
      </c>
      <c r="D713" s="4">
        <v>1292</v>
      </c>
      <c r="E713" s="4">
        <v>1270</v>
      </c>
      <c r="F713" s="4">
        <v>1320</v>
      </c>
      <c r="G713" s="4">
        <v>1260</v>
      </c>
      <c r="H713" s="4"/>
    </row>
    <row r="714" spans="1:8" x14ac:dyDescent="0.25">
      <c r="A714" s="1" t="s">
        <v>722</v>
      </c>
      <c r="B714" s="2">
        <f t="shared" si="22"/>
        <v>2</v>
      </c>
      <c r="C714" s="2">
        <f t="shared" si="23"/>
        <v>2021</v>
      </c>
      <c r="D714" s="4">
        <v>1295</v>
      </c>
      <c r="E714" s="4">
        <v>1270</v>
      </c>
      <c r="F714" s="4">
        <v>1320</v>
      </c>
      <c r="G714" s="4">
        <v>1260</v>
      </c>
      <c r="H714" s="4"/>
    </row>
    <row r="715" spans="1:8" x14ac:dyDescent="0.25">
      <c r="A715" s="1" t="s">
        <v>723</v>
      </c>
      <c r="B715" s="2">
        <f t="shared" si="22"/>
        <v>2</v>
      </c>
      <c r="C715" s="2">
        <f t="shared" si="23"/>
        <v>2021</v>
      </c>
      <c r="D715" s="4">
        <v>1282</v>
      </c>
      <c r="E715" s="4">
        <v>1265</v>
      </c>
      <c r="F715" s="4">
        <v>1310</v>
      </c>
      <c r="G715" s="4">
        <v>1260</v>
      </c>
      <c r="H715" s="4"/>
    </row>
    <row r="716" spans="1:8" x14ac:dyDescent="0.25">
      <c r="A716" s="1" t="s">
        <v>724</v>
      </c>
      <c r="B716" s="2">
        <f t="shared" si="22"/>
        <v>2</v>
      </c>
      <c r="C716" s="2">
        <f t="shared" si="23"/>
        <v>2021</v>
      </c>
      <c r="D716" s="4">
        <v>1278</v>
      </c>
      <c r="E716" s="4">
        <v>1265</v>
      </c>
      <c r="F716" s="4">
        <v>1310</v>
      </c>
      <c r="G716" s="4">
        <v>1250</v>
      </c>
      <c r="H716" s="4"/>
    </row>
    <row r="717" spans="1:8" x14ac:dyDescent="0.25">
      <c r="A717" s="1" t="s">
        <v>725</v>
      </c>
      <c r="B717" s="2">
        <f t="shared" si="22"/>
        <v>2</v>
      </c>
      <c r="C717" s="2">
        <f t="shared" si="23"/>
        <v>2021</v>
      </c>
      <c r="D717" s="4">
        <v>1282</v>
      </c>
      <c r="E717" s="4">
        <v>1265</v>
      </c>
      <c r="F717" s="4">
        <v>1315</v>
      </c>
      <c r="G717" s="4">
        <v>1250</v>
      </c>
      <c r="H717" s="4"/>
    </row>
    <row r="718" spans="1:8" x14ac:dyDescent="0.25">
      <c r="A718" s="1" t="s">
        <v>726</v>
      </c>
      <c r="B718" s="2">
        <f t="shared" si="22"/>
        <v>2</v>
      </c>
      <c r="C718" s="2">
        <f t="shared" si="23"/>
        <v>2021</v>
      </c>
      <c r="D718" s="4">
        <v>1278</v>
      </c>
      <c r="E718" s="4">
        <v>1260</v>
      </c>
      <c r="F718" s="4">
        <v>1315</v>
      </c>
      <c r="G718" s="4">
        <v>1250</v>
      </c>
      <c r="H718" s="4"/>
    </row>
    <row r="719" spans="1:8" x14ac:dyDescent="0.25">
      <c r="A719" s="1" t="s">
        <v>727</v>
      </c>
      <c r="B719" s="2">
        <f t="shared" si="22"/>
        <v>2</v>
      </c>
      <c r="C719" s="2">
        <f t="shared" si="23"/>
        <v>2021</v>
      </c>
      <c r="D719" s="4">
        <v>1302</v>
      </c>
      <c r="E719" s="4">
        <v>1260</v>
      </c>
      <c r="F719" s="4">
        <v>1315</v>
      </c>
      <c r="G719" s="4">
        <v>1250</v>
      </c>
      <c r="H719" s="4"/>
    </row>
    <row r="720" spans="1:8" x14ac:dyDescent="0.25">
      <c r="A720" s="1" t="s">
        <v>728</v>
      </c>
      <c r="B720" s="2">
        <f t="shared" si="22"/>
        <v>2</v>
      </c>
      <c r="C720" s="2">
        <f t="shared" si="23"/>
        <v>2021</v>
      </c>
      <c r="D720" s="4">
        <v>1298</v>
      </c>
      <c r="E720" s="4">
        <v>1260</v>
      </c>
      <c r="F720" s="4">
        <v>1320</v>
      </c>
      <c r="G720" s="4">
        <v>1250</v>
      </c>
      <c r="H720" s="4"/>
    </row>
    <row r="721" spans="1:8" x14ac:dyDescent="0.25">
      <c r="A721" s="1" t="s">
        <v>729</v>
      </c>
      <c r="B721" s="2">
        <f t="shared" si="22"/>
        <v>2</v>
      </c>
      <c r="C721" s="2">
        <f t="shared" si="23"/>
        <v>2021</v>
      </c>
      <c r="D721" s="4">
        <v>1298</v>
      </c>
      <c r="E721" s="4">
        <v>1260</v>
      </c>
      <c r="F721" s="4">
        <v>1320</v>
      </c>
      <c r="G721" s="4">
        <v>1250</v>
      </c>
      <c r="H721" s="4"/>
    </row>
    <row r="722" spans="1:8" x14ac:dyDescent="0.25">
      <c r="A722" s="1" t="s">
        <v>730</v>
      </c>
      <c r="B722" s="2">
        <f t="shared" si="22"/>
        <v>2</v>
      </c>
      <c r="C722" s="2">
        <f t="shared" si="23"/>
        <v>2021</v>
      </c>
      <c r="D722" s="4">
        <v>1310</v>
      </c>
      <c r="E722" s="4">
        <v>1260</v>
      </c>
      <c r="F722" s="4">
        <v>1340</v>
      </c>
      <c r="G722" s="4">
        <v>1260</v>
      </c>
      <c r="H722" s="4"/>
    </row>
    <row r="723" spans="1:8" x14ac:dyDescent="0.25">
      <c r="A723" s="1" t="s">
        <v>731</v>
      </c>
      <c r="B723" s="2">
        <f t="shared" si="22"/>
        <v>2</v>
      </c>
      <c r="C723" s="2">
        <f t="shared" si="23"/>
        <v>2021</v>
      </c>
      <c r="D723" s="4">
        <v>1320</v>
      </c>
      <c r="E723" s="4">
        <v>1290</v>
      </c>
      <c r="F723" s="4">
        <v>1345</v>
      </c>
      <c r="G723" s="4">
        <v>1270</v>
      </c>
      <c r="H723" s="4"/>
    </row>
    <row r="724" spans="1:8" x14ac:dyDescent="0.25">
      <c r="A724" s="1" t="s">
        <v>732</v>
      </c>
      <c r="B724" s="2">
        <f t="shared" si="22"/>
        <v>2</v>
      </c>
      <c r="C724" s="2">
        <f t="shared" si="23"/>
        <v>2021</v>
      </c>
      <c r="D724" s="4">
        <v>1365</v>
      </c>
      <c r="E724" s="4">
        <v>1310</v>
      </c>
      <c r="F724" s="4">
        <v>1410</v>
      </c>
      <c r="G724" s="4" t="s">
        <v>10</v>
      </c>
      <c r="H724" s="4"/>
    </row>
    <row r="725" spans="1:8" x14ac:dyDescent="0.25">
      <c r="A725" s="1" t="s">
        <v>733</v>
      </c>
      <c r="B725" s="2">
        <f t="shared" si="22"/>
        <v>2</v>
      </c>
      <c r="C725" s="2">
        <f t="shared" si="23"/>
        <v>2021</v>
      </c>
      <c r="D725" s="4">
        <v>1370</v>
      </c>
      <c r="E725" s="4">
        <v>1330</v>
      </c>
      <c r="F725" s="4">
        <v>1415</v>
      </c>
      <c r="G725" s="4">
        <v>1270</v>
      </c>
      <c r="H725" s="4"/>
    </row>
    <row r="726" spans="1:8" x14ac:dyDescent="0.25">
      <c r="A726" s="1" t="s">
        <v>734</v>
      </c>
      <c r="B726" s="2">
        <f t="shared" si="22"/>
        <v>2</v>
      </c>
      <c r="C726" s="2">
        <f t="shared" si="23"/>
        <v>2021</v>
      </c>
      <c r="D726" s="4">
        <v>1370</v>
      </c>
      <c r="E726" s="4">
        <v>1350</v>
      </c>
      <c r="F726" s="4">
        <v>1415</v>
      </c>
      <c r="G726" s="4">
        <v>1290</v>
      </c>
      <c r="H726" s="4"/>
    </row>
    <row r="727" spans="1:8" x14ac:dyDescent="0.25">
      <c r="A727" s="1" t="s">
        <v>735</v>
      </c>
      <c r="B727" s="2">
        <f t="shared" si="22"/>
        <v>2</v>
      </c>
      <c r="C727" s="2">
        <f t="shared" si="23"/>
        <v>2021</v>
      </c>
      <c r="D727" s="4">
        <v>1400</v>
      </c>
      <c r="E727" s="4">
        <v>1350</v>
      </c>
      <c r="F727" s="4">
        <v>1430</v>
      </c>
      <c r="G727" s="4">
        <v>1290</v>
      </c>
      <c r="H727" s="4"/>
    </row>
    <row r="728" spans="1:8" x14ac:dyDescent="0.25">
      <c r="A728" s="1" t="s">
        <v>736</v>
      </c>
      <c r="B728" s="2">
        <f t="shared" si="22"/>
        <v>2</v>
      </c>
      <c r="C728" s="2">
        <f t="shared" si="23"/>
        <v>2021</v>
      </c>
      <c r="D728" s="4">
        <v>1400</v>
      </c>
      <c r="E728" s="4" t="s">
        <v>10</v>
      </c>
      <c r="F728" s="4">
        <v>1435</v>
      </c>
      <c r="G728" s="4">
        <v>1340</v>
      </c>
      <c r="H728" s="4"/>
    </row>
    <row r="729" spans="1:8" x14ac:dyDescent="0.25">
      <c r="A729" s="1" t="s">
        <v>737</v>
      </c>
      <c r="B729" s="2">
        <f t="shared" si="22"/>
        <v>2</v>
      </c>
      <c r="C729" s="2">
        <f t="shared" si="23"/>
        <v>2021</v>
      </c>
      <c r="D729" s="4">
        <v>1420</v>
      </c>
      <c r="E729" s="4">
        <v>1350</v>
      </c>
      <c r="F729" s="4">
        <v>1450</v>
      </c>
      <c r="G729" s="4">
        <v>1345</v>
      </c>
      <c r="H729" s="4"/>
    </row>
    <row r="730" spans="1:8" x14ac:dyDescent="0.25">
      <c r="A730" s="1" t="s">
        <v>738</v>
      </c>
      <c r="B730" s="2">
        <f t="shared" si="22"/>
        <v>2</v>
      </c>
      <c r="C730" s="2">
        <f t="shared" si="23"/>
        <v>2021</v>
      </c>
      <c r="D730" s="4">
        <v>1455</v>
      </c>
      <c r="E730" s="4">
        <v>1350</v>
      </c>
      <c r="F730" s="4">
        <v>1450</v>
      </c>
      <c r="G730" s="4">
        <v>1365</v>
      </c>
      <c r="H730" s="4"/>
    </row>
    <row r="731" spans="1:8" x14ac:dyDescent="0.25">
      <c r="A731" s="1" t="s">
        <v>739</v>
      </c>
      <c r="B731" s="2">
        <f t="shared" si="22"/>
        <v>2</v>
      </c>
      <c r="C731" s="2">
        <f t="shared" si="23"/>
        <v>2021</v>
      </c>
      <c r="D731" s="4">
        <v>1495</v>
      </c>
      <c r="E731" s="4">
        <v>1468</v>
      </c>
      <c r="F731" s="4">
        <v>1525</v>
      </c>
      <c r="G731" s="4">
        <v>1400</v>
      </c>
      <c r="H731" s="4"/>
    </row>
    <row r="732" spans="1:8" x14ac:dyDescent="0.25">
      <c r="A732" s="1" t="s">
        <v>740</v>
      </c>
      <c r="B732" s="2">
        <f t="shared" si="22"/>
        <v>2</v>
      </c>
      <c r="C732" s="2">
        <f t="shared" si="23"/>
        <v>2021</v>
      </c>
      <c r="D732" s="4">
        <v>1495</v>
      </c>
      <c r="E732" s="4">
        <v>1455</v>
      </c>
      <c r="F732" s="4">
        <v>1525</v>
      </c>
      <c r="G732" s="4">
        <v>1400</v>
      </c>
      <c r="H732" s="4"/>
    </row>
    <row r="733" spans="1:8" x14ac:dyDescent="0.25">
      <c r="A733" s="1" t="s">
        <v>741</v>
      </c>
      <c r="B733" s="2">
        <f t="shared" si="22"/>
        <v>3</v>
      </c>
      <c r="C733" s="2">
        <f t="shared" si="23"/>
        <v>2021</v>
      </c>
      <c r="D733" s="4">
        <v>1508</v>
      </c>
      <c r="E733" s="4">
        <v>1465</v>
      </c>
      <c r="F733" s="4">
        <v>1525</v>
      </c>
      <c r="G733" s="4">
        <v>1430</v>
      </c>
      <c r="H733" s="4"/>
    </row>
    <row r="734" spans="1:8" x14ac:dyDescent="0.25">
      <c r="A734" s="1" t="s">
        <v>742</v>
      </c>
      <c r="B734" s="2">
        <f t="shared" si="22"/>
        <v>3</v>
      </c>
      <c r="C734" s="2">
        <f t="shared" si="23"/>
        <v>2021</v>
      </c>
      <c r="D734" s="4">
        <v>1505</v>
      </c>
      <c r="E734" s="4">
        <v>1460</v>
      </c>
      <c r="F734" s="4">
        <v>1530</v>
      </c>
      <c r="G734" s="4">
        <v>1430</v>
      </c>
      <c r="H734" s="4"/>
    </row>
    <row r="735" spans="1:8" x14ac:dyDescent="0.25">
      <c r="A735" s="1" t="s">
        <v>743</v>
      </c>
      <c r="B735" s="2">
        <f t="shared" si="22"/>
        <v>3</v>
      </c>
      <c r="C735" s="2">
        <f t="shared" si="23"/>
        <v>2021</v>
      </c>
      <c r="D735" s="4">
        <v>1527</v>
      </c>
      <c r="E735" s="4">
        <v>1485</v>
      </c>
      <c r="F735" s="4">
        <v>1560</v>
      </c>
      <c r="G735" s="4">
        <v>1435</v>
      </c>
      <c r="H735" s="4"/>
    </row>
    <row r="736" spans="1:8" x14ac:dyDescent="0.25">
      <c r="A736" s="1" t="s">
        <v>744</v>
      </c>
      <c r="B736" s="2">
        <f t="shared" si="22"/>
        <v>3</v>
      </c>
      <c r="C736" s="2">
        <f t="shared" si="23"/>
        <v>2021</v>
      </c>
      <c r="D736" s="4">
        <v>1585</v>
      </c>
      <c r="E736" s="4">
        <v>1470</v>
      </c>
      <c r="F736" s="4">
        <v>1615</v>
      </c>
      <c r="G736" s="4">
        <v>1460</v>
      </c>
      <c r="H736" s="4"/>
    </row>
    <row r="737" spans="1:8" x14ac:dyDescent="0.25">
      <c r="A737" s="1" t="s">
        <v>745</v>
      </c>
      <c r="B737" s="2">
        <f t="shared" si="22"/>
        <v>3</v>
      </c>
      <c r="C737" s="2">
        <f t="shared" si="23"/>
        <v>2021</v>
      </c>
      <c r="D737" s="4">
        <v>1615</v>
      </c>
      <c r="E737" s="4">
        <v>1470</v>
      </c>
      <c r="F737" s="4">
        <v>1645</v>
      </c>
      <c r="G737" s="4">
        <v>1500</v>
      </c>
      <c r="H737" s="4"/>
    </row>
    <row r="738" spans="1:8" x14ac:dyDescent="0.25">
      <c r="A738" s="1" t="s">
        <v>746</v>
      </c>
      <c r="B738" s="2">
        <f t="shared" si="22"/>
        <v>3</v>
      </c>
      <c r="C738" s="2">
        <f t="shared" si="23"/>
        <v>2021</v>
      </c>
      <c r="D738" s="4">
        <v>1675</v>
      </c>
      <c r="E738" s="4">
        <v>1485</v>
      </c>
      <c r="F738" s="4">
        <v>1700</v>
      </c>
      <c r="G738" s="4">
        <v>1550</v>
      </c>
      <c r="H738" s="4"/>
    </row>
    <row r="739" spans="1:8" x14ac:dyDescent="0.25">
      <c r="A739" s="1" t="s">
        <v>747</v>
      </c>
      <c r="B739" s="2">
        <f t="shared" si="22"/>
        <v>3</v>
      </c>
      <c r="C739" s="2">
        <f t="shared" si="23"/>
        <v>2021</v>
      </c>
      <c r="D739" s="4">
        <v>1700</v>
      </c>
      <c r="E739" s="4">
        <v>1500</v>
      </c>
      <c r="F739" s="4">
        <v>1735</v>
      </c>
      <c r="G739" s="4">
        <v>1550</v>
      </c>
      <c r="H739" s="4"/>
    </row>
    <row r="740" spans="1:8" x14ac:dyDescent="0.25">
      <c r="A740" s="1" t="s">
        <v>748</v>
      </c>
      <c r="B740" s="2">
        <f t="shared" si="22"/>
        <v>3</v>
      </c>
      <c r="C740" s="2">
        <f t="shared" si="23"/>
        <v>2021</v>
      </c>
      <c r="D740" s="4">
        <v>1693</v>
      </c>
      <c r="E740" s="4">
        <v>1660</v>
      </c>
      <c r="F740" s="4">
        <v>1800</v>
      </c>
      <c r="G740" s="4">
        <v>1550</v>
      </c>
      <c r="H740" s="4"/>
    </row>
    <row r="741" spans="1:8" x14ac:dyDescent="0.25">
      <c r="A741" s="1" t="s">
        <v>749</v>
      </c>
      <c r="B741" s="2">
        <f t="shared" si="22"/>
        <v>3</v>
      </c>
      <c r="C741" s="2">
        <f t="shared" si="23"/>
        <v>2021</v>
      </c>
      <c r="D741" s="4">
        <v>1685</v>
      </c>
      <c r="E741" s="4">
        <v>1660</v>
      </c>
      <c r="F741" s="4">
        <v>1790</v>
      </c>
      <c r="G741" s="4">
        <v>1550</v>
      </c>
      <c r="H741" s="4"/>
    </row>
    <row r="742" spans="1:8" x14ac:dyDescent="0.25">
      <c r="A742" s="1" t="s">
        <v>750</v>
      </c>
      <c r="B742" s="2">
        <f t="shared" si="22"/>
        <v>3</v>
      </c>
      <c r="C742" s="2">
        <f t="shared" si="23"/>
        <v>2021</v>
      </c>
      <c r="D742" s="4">
        <v>1675</v>
      </c>
      <c r="E742" s="4">
        <v>1650</v>
      </c>
      <c r="F742" s="4">
        <v>1770</v>
      </c>
      <c r="G742" s="4">
        <v>1580</v>
      </c>
      <c r="H742" s="4"/>
    </row>
    <row r="743" spans="1:8" x14ac:dyDescent="0.25">
      <c r="A743" s="1" t="s">
        <v>751</v>
      </c>
      <c r="B743" s="2">
        <f t="shared" si="22"/>
        <v>3</v>
      </c>
      <c r="C743" s="2">
        <f t="shared" si="23"/>
        <v>2021</v>
      </c>
      <c r="D743" s="4">
        <v>1645</v>
      </c>
      <c r="E743" s="4">
        <v>1640</v>
      </c>
      <c r="F743" s="4">
        <v>1730</v>
      </c>
      <c r="G743" s="4">
        <v>1580</v>
      </c>
      <c r="H743" s="4"/>
    </row>
    <row r="744" spans="1:8" x14ac:dyDescent="0.25">
      <c r="A744" s="1" t="s">
        <v>752</v>
      </c>
      <c r="B744" s="2">
        <f t="shared" si="22"/>
        <v>3</v>
      </c>
      <c r="C744" s="2">
        <f t="shared" si="23"/>
        <v>2021</v>
      </c>
      <c r="D744" s="4">
        <v>1610</v>
      </c>
      <c r="E744" s="4">
        <v>1615</v>
      </c>
      <c r="F744" s="4">
        <v>1710</v>
      </c>
      <c r="G744" s="4">
        <v>1580</v>
      </c>
      <c r="H744" s="4"/>
    </row>
    <row r="745" spans="1:8" x14ac:dyDescent="0.25">
      <c r="A745" s="1" t="s">
        <v>753</v>
      </c>
      <c r="B745" s="2">
        <f t="shared" si="22"/>
        <v>3</v>
      </c>
      <c r="C745" s="2">
        <f t="shared" si="23"/>
        <v>2021</v>
      </c>
      <c r="D745" s="4">
        <v>1570</v>
      </c>
      <c r="E745" s="4">
        <v>1555</v>
      </c>
      <c r="F745" s="4">
        <v>1680</v>
      </c>
      <c r="G745" s="4">
        <v>1560</v>
      </c>
      <c r="H745" s="4"/>
    </row>
    <row r="746" spans="1:8" x14ac:dyDescent="0.25">
      <c r="A746" s="1" t="s">
        <v>754</v>
      </c>
      <c r="B746" s="2">
        <f t="shared" si="22"/>
        <v>3</v>
      </c>
      <c r="C746" s="2">
        <f t="shared" si="23"/>
        <v>2021</v>
      </c>
      <c r="D746" s="4">
        <v>1535</v>
      </c>
      <c r="E746" s="4">
        <v>1525</v>
      </c>
      <c r="F746" s="4">
        <v>1620</v>
      </c>
      <c r="G746" s="4">
        <v>1560</v>
      </c>
      <c r="H746" s="4"/>
    </row>
    <row r="747" spans="1:8" x14ac:dyDescent="0.25">
      <c r="A747" s="1" t="s">
        <v>755</v>
      </c>
      <c r="B747" s="2">
        <f t="shared" si="22"/>
        <v>3</v>
      </c>
      <c r="C747" s="2">
        <f t="shared" si="23"/>
        <v>2021</v>
      </c>
      <c r="D747" s="4">
        <v>1535</v>
      </c>
      <c r="E747" s="4">
        <v>1485</v>
      </c>
      <c r="F747" s="4">
        <v>1590</v>
      </c>
      <c r="G747" s="4">
        <v>1530</v>
      </c>
      <c r="H747" s="4"/>
    </row>
    <row r="748" spans="1:8" x14ac:dyDescent="0.25">
      <c r="A748" s="1" t="s">
        <v>756</v>
      </c>
      <c r="B748" s="2">
        <f t="shared" si="22"/>
        <v>3</v>
      </c>
      <c r="C748" s="2">
        <f t="shared" si="23"/>
        <v>2021</v>
      </c>
      <c r="D748" s="4">
        <v>1560</v>
      </c>
      <c r="E748" s="4">
        <v>1530</v>
      </c>
      <c r="F748" s="4">
        <v>1610</v>
      </c>
      <c r="G748" s="4">
        <v>1550</v>
      </c>
      <c r="H748" s="4"/>
    </row>
    <row r="749" spans="1:8" x14ac:dyDescent="0.25">
      <c r="A749" s="1" t="s">
        <v>757</v>
      </c>
      <c r="B749" s="2">
        <f t="shared" si="22"/>
        <v>3</v>
      </c>
      <c r="C749" s="2">
        <f t="shared" si="23"/>
        <v>2021</v>
      </c>
      <c r="D749" s="4">
        <v>1570</v>
      </c>
      <c r="E749" s="4">
        <v>1530</v>
      </c>
      <c r="F749" s="4">
        <v>1620</v>
      </c>
      <c r="G749" s="4">
        <v>1550</v>
      </c>
      <c r="H749" s="4"/>
    </row>
    <row r="750" spans="1:8" x14ac:dyDescent="0.25">
      <c r="A750" s="1" t="s">
        <v>758</v>
      </c>
      <c r="B750" s="2">
        <f t="shared" si="22"/>
        <v>3</v>
      </c>
      <c r="C750" s="2">
        <f t="shared" si="23"/>
        <v>2021</v>
      </c>
      <c r="D750" s="4">
        <v>1570</v>
      </c>
      <c r="E750" s="4">
        <v>1530</v>
      </c>
      <c r="F750" s="4">
        <v>1610</v>
      </c>
      <c r="G750" s="4">
        <v>1550</v>
      </c>
      <c r="H750" s="4"/>
    </row>
    <row r="751" spans="1:8" x14ac:dyDescent="0.25">
      <c r="A751" s="1" t="s">
        <v>759</v>
      </c>
      <c r="B751" s="2">
        <f t="shared" si="22"/>
        <v>3</v>
      </c>
      <c r="C751" s="2">
        <f t="shared" si="23"/>
        <v>2021</v>
      </c>
      <c r="D751" s="4">
        <v>1550</v>
      </c>
      <c r="E751" s="4">
        <v>1510</v>
      </c>
      <c r="F751" s="4">
        <v>1590</v>
      </c>
      <c r="G751" s="4">
        <v>1540</v>
      </c>
      <c r="H751" s="4"/>
    </row>
    <row r="752" spans="1:8" x14ac:dyDescent="0.25">
      <c r="A752" s="1" t="s">
        <v>760</v>
      </c>
      <c r="B752" s="2">
        <f t="shared" si="22"/>
        <v>3</v>
      </c>
      <c r="C752" s="2">
        <f t="shared" si="23"/>
        <v>2021</v>
      </c>
      <c r="D752" s="4">
        <v>1525</v>
      </c>
      <c r="E752" s="4">
        <v>1505</v>
      </c>
      <c r="F752" s="4">
        <v>1570</v>
      </c>
      <c r="G752" s="4">
        <v>1540</v>
      </c>
      <c r="H752" s="4"/>
    </row>
    <row r="753" spans="1:8" x14ac:dyDescent="0.25">
      <c r="A753" s="1" t="s">
        <v>761</v>
      </c>
      <c r="B753" s="2">
        <f t="shared" si="22"/>
        <v>3</v>
      </c>
      <c r="C753" s="2">
        <f t="shared" si="23"/>
        <v>2021</v>
      </c>
      <c r="D753" s="4">
        <v>1520</v>
      </c>
      <c r="E753" s="4">
        <v>1490</v>
      </c>
      <c r="F753" s="4">
        <v>1545</v>
      </c>
      <c r="G753" s="4">
        <v>1540</v>
      </c>
      <c r="H753" s="4"/>
    </row>
    <row r="754" spans="1:8" x14ac:dyDescent="0.25">
      <c r="A754" s="1" t="s">
        <v>762</v>
      </c>
      <c r="B754" s="2">
        <f t="shared" si="22"/>
        <v>3</v>
      </c>
      <c r="C754" s="2">
        <f t="shared" si="23"/>
        <v>2021</v>
      </c>
      <c r="D754" s="4">
        <v>1510</v>
      </c>
      <c r="E754" s="4">
        <v>1490</v>
      </c>
      <c r="F754" s="4">
        <v>1530</v>
      </c>
      <c r="G754" s="4">
        <v>1520</v>
      </c>
      <c r="H754" s="4"/>
    </row>
    <row r="755" spans="1:8" x14ac:dyDescent="0.25">
      <c r="A755" s="1" t="s">
        <v>763</v>
      </c>
      <c r="B755" s="2">
        <f t="shared" si="22"/>
        <v>3</v>
      </c>
      <c r="C755" s="2">
        <f t="shared" si="23"/>
        <v>2021</v>
      </c>
      <c r="D755" s="4">
        <v>1515</v>
      </c>
      <c r="E755" s="4">
        <v>1490</v>
      </c>
      <c r="F755" s="4">
        <v>1525</v>
      </c>
      <c r="G755" s="4">
        <v>1520</v>
      </c>
      <c r="H755" s="4"/>
    </row>
    <row r="756" spans="1:8" x14ac:dyDescent="0.25">
      <c r="A756" s="1" t="s">
        <v>764</v>
      </c>
      <c r="B756" s="2">
        <f t="shared" si="22"/>
        <v>4</v>
      </c>
      <c r="C756" s="2">
        <f t="shared" si="23"/>
        <v>2021</v>
      </c>
      <c r="D756" s="4">
        <v>1500</v>
      </c>
      <c r="E756" s="4">
        <v>1490</v>
      </c>
      <c r="F756" s="4">
        <v>1525</v>
      </c>
      <c r="G756" s="4">
        <v>1475</v>
      </c>
      <c r="H756" s="4"/>
    </row>
    <row r="757" spans="1:8" x14ac:dyDescent="0.25">
      <c r="A757" s="1" t="s">
        <v>765</v>
      </c>
      <c r="B757" s="2">
        <f t="shared" si="22"/>
        <v>4</v>
      </c>
      <c r="C757" s="2">
        <f t="shared" si="23"/>
        <v>2021</v>
      </c>
      <c r="D757" s="4">
        <v>1510</v>
      </c>
      <c r="E757" s="4">
        <v>1490</v>
      </c>
      <c r="F757" s="4">
        <v>1535</v>
      </c>
      <c r="G757" s="4">
        <v>1460</v>
      </c>
      <c r="H757" s="4"/>
    </row>
    <row r="758" spans="1:8" x14ac:dyDescent="0.25">
      <c r="A758" s="1" t="s">
        <v>766</v>
      </c>
      <c r="B758" s="2">
        <f t="shared" si="22"/>
        <v>4</v>
      </c>
      <c r="C758" s="2">
        <f t="shared" si="23"/>
        <v>2021</v>
      </c>
      <c r="D758" s="4">
        <v>1510</v>
      </c>
      <c r="E758" s="4">
        <v>1485</v>
      </c>
      <c r="F758" s="4">
        <v>1530</v>
      </c>
      <c r="G758" s="4">
        <v>1460</v>
      </c>
      <c r="H758" s="4"/>
    </row>
    <row r="759" spans="1:8" x14ac:dyDescent="0.25">
      <c r="A759" s="1" t="s">
        <v>767</v>
      </c>
      <c r="B759" s="2">
        <f t="shared" si="22"/>
        <v>4</v>
      </c>
      <c r="C759" s="2">
        <f t="shared" si="23"/>
        <v>2021</v>
      </c>
      <c r="D759" s="4">
        <v>1513</v>
      </c>
      <c r="E759" s="4">
        <v>1485</v>
      </c>
      <c r="F759" s="4">
        <v>1530</v>
      </c>
      <c r="G759" s="4">
        <v>1460</v>
      </c>
      <c r="H759" s="4"/>
    </row>
    <row r="760" spans="1:8" x14ac:dyDescent="0.25">
      <c r="A760" s="1" t="s">
        <v>768</v>
      </c>
      <c r="B760" s="2">
        <f t="shared" si="22"/>
        <v>4</v>
      </c>
      <c r="C760" s="2">
        <f t="shared" si="23"/>
        <v>2021</v>
      </c>
      <c r="D760" s="4">
        <v>1513</v>
      </c>
      <c r="E760" s="4">
        <v>1485</v>
      </c>
      <c r="F760" s="4">
        <v>1525</v>
      </c>
      <c r="G760" s="4">
        <v>1465</v>
      </c>
      <c r="H760" s="4"/>
    </row>
    <row r="761" spans="1:8" x14ac:dyDescent="0.25">
      <c r="A761" s="1" t="s">
        <v>769</v>
      </c>
      <c r="B761" s="2">
        <f t="shared" si="22"/>
        <v>4</v>
      </c>
      <c r="C761" s="2">
        <f t="shared" si="23"/>
        <v>2021</v>
      </c>
      <c r="D761" s="4">
        <v>1510</v>
      </c>
      <c r="E761" s="4">
        <v>1490</v>
      </c>
      <c r="F761" s="4">
        <v>1525</v>
      </c>
      <c r="G761" s="4">
        <v>1465</v>
      </c>
      <c r="H761" s="4"/>
    </row>
    <row r="762" spans="1:8" x14ac:dyDescent="0.25">
      <c r="A762" s="1" t="s">
        <v>770</v>
      </c>
      <c r="B762" s="2">
        <f t="shared" si="22"/>
        <v>4</v>
      </c>
      <c r="C762" s="2">
        <f t="shared" si="23"/>
        <v>2021</v>
      </c>
      <c r="D762" s="4">
        <v>1540</v>
      </c>
      <c r="E762" s="4">
        <v>1495</v>
      </c>
      <c r="F762" s="4">
        <v>1525</v>
      </c>
      <c r="G762" s="4">
        <v>1465</v>
      </c>
      <c r="H762" s="4"/>
    </row>
    <row r="763" spans="1:8" x14ac:dyDescent="0.25">
      <c r="A763" s="1" t="s">
        <v>771</v>
      </c>
      <c r="B763" s="2">
        <f t="shared" si="22"/>
        <v>4</v>
      </c>
      <c r="C763" s="2">
        <f t="shared" si="23"/>
        <v>2021</v>
      </c>
      <c r="D763" s="4">
        <v>1565</v>
      </c>
      <c r="E763" s="4">
        <v>1500</v>
      </c>
      <c r="F763" s="4">
        <v>1585</v>
      </c>
      <c r="G763" s="4">
        <v>1470</v>
      </c>
      <c r="H763" s="4"/>
    </row>
    <row r="764" spans="1:8" x14ac:dyDescent="0.25">
      <c r="A764" s="1" t="s">
        <v>772</v>
      </c>
      <c r="B764" s="2">
        <f t="shared" si="22"/>
        <v>4</v>
      </c>
      <c r="C764" s="2">
        <f t="shared" si="23"/>
        <v>2021</v>
      </c>
      <c r="D764" s="4">
        <v>1560</v>
      </c>
      <c r="E764" s="4">
        <v>1500</v>
      </c>
      <c r="F764" s="4">
        <v>1585</v>
      </c>
      <c r="G764" s="4">
        <v>1490</v>
      </c>
      <c r="H764" s="4"/>
    </row>
    <row r="765" spans="1:8" x14ac:dyDescent="0.25">
      <c r="A765" s="1" t="s">
        <v>773</v>
      </c>
      <c r="B765" s="2">
        <f t="shared" si="22"/>
        <v>4</v>
      </c>
      <c r="C765" s="2">
        <f t="shared" si="23"/>
        <v>2021</v>
      </c>
      <c r="D765" s="4">
        <v>1560</v>
      </c>
      <c r="E765" s="4">
        <v>1500</v>
      </c>
      <c r="F765" s="4">
        <v>1595</v>
      </c>
      <c r="G765" s="4">
        <v>1500</v>
      </c>
      <c r="H765" s="4"/>
    </row>
    <row r="766" spans="1:8" x14ac:dyDescent="0.25">
      <c r="A766" s="1" t="s">
        <v>774</v>
      </c>
      <c r="B766" s="2">
        <f t="shared" si="22"/>
        <v>4</v>
      </c>
      <c r="C766" s="2">
        <f t="shared" si="23"/>
        <v>2021</v>
      </c>
      <c r="D766" s="4">
        <v>1560</v>
      </c>
      <c r="E766" s="4">
        <v>1500</v>
      </c>
      <c r="F766" s="4">
        <v>1590</v>
      </c>
      <c r="G766" s="4">
        <v>1500</v>
      </c>
      <c r="H766" s="4"/>
    </row>
    <row r="767" spans="1:8" x14ac:dyDescent="0.25">
      <c r="A767" s="1" t="s">
        <v>775</v>
      </c>
      <c r="B767" s="2">
        <f t="shared" si="22"/>
        <v>4</v>
      </c>
      <c r="C767" s="2">
        <f t="shared" si="23"/>
        <v>2021</v>
      </c>
      <c r="D767" s="4">
        <v>1575</v>
      </c>
      <c r="E767" s="4">
        <v>1510</v>
      </c>
      <c r="F767" s="4">
        <v>1600</v>
      </c>
      <c r="G767" s="4">
        <v>1500</v>
      </c>
      <c r="H767" s="4"/>
    </row>
    <row r="768" spans="1:8" x14ac:dyDescent="0.25">
      <c r="A768" s="1" t="s">
        <v>776</v>
      </c>
      <c r="B768" s="2">
        <f t="shared" si="22"/>
        <v>4</v>
      </c>
      <c r="C768" s="2">
        <f t="shared" si="23"/>
        <v>2021</v>
      </c>
      <c r="D768" s="4">
        <v>1560</v>
      </c>
      <c r="E768" s="4">
        <v>1510</v>
      </c>
      <c r="F768" s="4">
        <v>1600</v>
      </c>
      <c r="G768" s="4">
        <v>1500</v>
      </c>
      <c r="H768" s="4"/>
    </row>
    <row r="769" spans="1:8" x14ac:dyDescent="0.25">
      <c r="A769" s="1" t="s">
        <v>777</v>
      </c>
      <c r="B769" s="2">
        <f t="shared" si="22"/>
        <v>4</v>
      </c>
      <c r="C769" s="2">
        <f t="shared" si="23"/>
        <v>2021</v>
      </c>
      <c r="D769" s="4">
        <v>1580</v>
      </c>
      <c r="E769" s="4">
        <v>1520</v>
      </c>
      <c r="F769" s="4">
        <v>1630</v>
      </c>
      <c r="G769" s="4">
        <v>1500</v>
      </c>
      <c r="H769" s="4"/>
    </row>
    <row r="770" spans="1:8" x14ac:dyDescent="0.25">
      <c r="A770" s="1" t="s">
        <v>778</v>
      </c>
      <c r="B770" s="2">
        <f t="shared" si="22"/>
        <v>4</v>
      </c>
      <c r="C770" s="2">
        <f t="shared" si="23"/>
        <v>2021</v>
      </c>
      <c r="D770" s="4">
        <v>1563</v>
      </c>
      <c r="E770" s="4">
        <v>1515</v>
      </c>
      <c r="F770" s="4">
        <v>1620</v>
      </c>
      <c r="G770" s="4">
        <v>1510</v>
      </c>
      <c r="H770" s="4"/>
    </row>
    <row r="771" spans="1:8" x14ac:dyDescent="0.25">
      <c r="A771" s="1" t="s">
        <v>779</v>
      </c>
      <c r="B771" s="2">
        <f t="shared" ref="B771:B834" si="24">MONTH(A771)</f>
        <v>4</v>
      </c>
      <c r="C771" s="2">
        <f t="shared" ref="C771:C834" si="25">YEAR(A771)</f>
        <v>2021</v>
      </c>
      <c r="D771" s="4">
        <v>1565</v>
      </c>
      <c r="E771" s="4">
        <v>1515</v>
      </c>
      <c r="F771" s="4">
        <v>1620</v>
      </c>
      <c r="G771" s="4">
        <v>1510</v>
      </c>
      <c r="H771" s="4"/>
    </row>
    <row r="772" spans="1:8" x14ac:dyDescent="0.25">
      <c r="A772" s="1" t="s">
        <v>780</v>
      </c>
      <c r="B772" s="2">
        <f t="shared" si="24"/>
        <v>4</v>
      </c>
      <c r="C772" s="2">
        <f t="shared" si="25"/>
        <v>2021</v>
      </c>
      <c r="D772" s="4">
        <v>1560</v>
      </c>
      <c r="E772" s="4">
        <v>1515</v>
      </c>
      <c r="F772" s="4">
        <v>1640</v>
      </c>
      <c r="G772" s="4">
        <v>1530</v>
      </c>
      <c r="H772" s="4"/>
    </row>
    <row r="773" spans="1:8" x14ac:dyDescent="0.25">
      <c r="A773" s="1" t="s">
        <v>781</v>
      </c>
      <c r="B773" s="2">
        <f t="shared" si="24"/>
        <v>4</v>
      </c>
      <c r="C773" s="2">
        <f t="shared" si="25"/>
        <v>2021</v>
      </c>
      <c r="D773" s="4">
        <v>1555</v>
      </c>
      <c r="E773" s="4">
        <v>1515</v>
      </c>
      <c r="F773" s="4">
        <v>1630</v>
      </c>
      <c r="G773" s="4">
        <v>1530</v>
      </c>
      <c r="H773" s="4"/>
    </row>
    <row r="774" spans="1:8" x14ac:dyDescent="0.25">
      <c r="A774" s="1" t="s">
        <v>782</v>
      </c>
      <c r="B774" s="2">
        <f t="shared" si="24"/>
        <v>4</v>
      </c>
      <c r="C774" s="2">
        <f t="shared" si="25"/>
        <v>2021</v>
      </c>
      <c r="D774" s="4">
        <v>1563</v>
      </c>
      <c r="E774" s="4">
        <v>1515</v>
      </c>
      <c r="F774" s="4">
        <v>1640</v>
      </c>
      <c r="G774" s="4">
        <v>1530</v>
      </c>
      <c r="H774" s="4"/>
    </row>
    <row r="775" spans="1:8" x14ac:dyDescent="0.25">
      <c r="A775" s="1" t="s">
        <v>783</v>
      </c>
      <c r="B775" s="2">
        <f t="shared" si="24"/>
        <v>4</v>
      </c>
      <c r="C775" s="2">
        <f t="shared" si="25"/>
        <v>2021</v>
      </c>
      <c r="D775" s="4">
        <v>1555</v>
      </c>
      <c r="E775" s="4">
        <v>1515</v>
      </c>
      <c r="F775" s="4">
        <v>1630</v>
      </c>
      <c r="G775" s="4">
        <v>1510</v>
      </c>
      <c r="H775" s="4"/>
    </row>
    <row r="776" spans="1:8" x14ac:dyDescent="0.25">
      <c r="A776" s="1" t="s">
        <v>784</v>
      </c>
      <c r="B776" s="2">
        <f t="shared" si="24"/>
        <v>5</v>
      </c>
      <c r="C776" s="2">
        <f t="shared" si="25"/>
        <v>2021</v>
      </c>
      <c r="D776" s="4">
        <v>1545</v>
      </c>
      <c r="E776" s="4">
        <v>1510</v>
      </c>
      <c r="F776" s="4">
        <v>1630</v>
      </c>
      <c r="G776" s="4">
        <v>1510</v>
      </c>
      <c r="H776" s="4"/>
    </row>
    <row r="777" spans="1:8" x14ac:dyDescent="0.25">
      <c r="A777" s="1" t="s">
        <v>785</v>
      </c>
      <c r="B777" s="2">
        <f t="shared" si="24"/>
        <v>5</v>
      </c>
      <c r="C777" s="2">
        <f t="shared" si="25"/>
        <v>2021</v>
      </c>
      <c r="D777" s="4">
        <v>1545</v>
      </c>
      <c r="E777" s="4">
        <v>1510</v>
      </c>
      <c r="F777" s="4">
        <v>1630</v>
      </c>
      <c r="G777" s="4">
        <v>1510</v>
      </c>
      <c r="H777" s="4"/>
    </row>
    <row r="778" spans="1:8" x14ac:dyDescent="0.25">
      <c r="A778" s="1" t="s">
        <v>786</v>
      </c>
      <c r="B778" s="2">
        <f t="shared" si="24"/>
        <v>5</v>
      </c>
      <c r="C778" s="2">
        <f t="shared" si="25"/>
        <v>2021</v>
      </c>
      <c r="D778" s="4">
        <v>1560</v>
      </c>
      <c r="E778" s="4">
        <v>1510</v>
      </c>
      <c r="F778" s="4">
        <v>1640</v>
      </c>
      <c r="G778" s="4">
        <v>1510</v>
      </c>
      <c r="H778" s="4"/>
    </row>
    <row r="779" spans="1:8" x14ac:dyDescent="0.25">
      <c r="A779" s="1" t="s">
        <v>787</v>
      </c>
      <c r="B779" s="2">
        <f t="shared" si="24"/>
        <v>5</v>
      </c>
      <c r="C779" s="2">
        <f t="shared" si="25"/>
        <v>2021</v>
      </c>
      <c r="D779" s="4">
        <v>1550</v>
      </c>
      <c r="E779" s="4">
        <v>1510</v>
      </c>
      <c r="F779" s="4">
        <v>1640</v>
      </c>
      <c r="G779" s="4">
        <v>1510</v>
      </c>
      <c r="H779" s="4"/>
    </row>
    <row r="780" spans="1:8" x14ac:dyDescent="0.25">
      <c r="A780" s="1" t="s">
        <v>788</v>
      </c>
      <c r="B780" s="2">
        <f t="shared" si="24"/>
        <v>5</v>
      </c>
      <c r="C780" s="2">
        <f t="shared" si="25"/>
        <v>2021</v>
      </c>
      <c r="D780" s="4">
        <v>1550</v>
      </c>
      <c r="E780" s="4">
        <v>1510</v>
      </c>
      <c r="F780" s="4">
        <v>1620</v>
      </c>
      <c r="G780" s="4">
        <v>1500</v>
      </c>
      <c r="H780" s="4"/>
    </row>
    <row r="781" spans="1:8" x14ac:dyDescent="0.25">
      <c r="A781" s="1" t="s">
        <v>789</v>
      </c>
      <c r="B781" s="2">
        <f t="shared" si="24"/>
        <v>5</v>
      </c>
      <c r="C781" s="2">
        <f t="shared" si="25"/>
        <v>2021</v>
      </c>
      <c r="D781" s="4">
        <v>1540</v>
      </c>
      <c r="E781" s="4">
        <v>1520</v>
      </c>
      <c r="F781" s="4">
        <v>1610</v>
      </c>
      <c r="G781" s="4">
        <v>1480</v>
      </c>
      <c r="H781" s="4"/>
    </row>
    <row r="782" spans="1:8" x14ac:dyDescent="0.25">
      <c r="A782" s="1" t="s">
        <v>790</v>
      </c>
      <c r="B782" s="2">
        <f t="shared" si="24"/>
        <v>5</v>
      </c>
      <c r="C782" s="2">
        <f t="shared" si="25"/>
        <v>2021</v>
      </c>
      <c r="D782" s="4">
        <v>1548</v>
      </c>
      <c r="E782" s="4">
        <v>1520</v>
      </c>
      <c r="F782" s="4">
        <v>1610</v>
      </c>
      <c r="G782" s="4">
        <v>1480</v>
      </c>
      <c r="H782" s="4"/>
    </row>
    <row r="783" spans="1:8" x14ac:dyDescent="0.25">
      <c r="A783" s="1" t="s">
        <v>791</v>
      </c>
      <c r="B783" s="2">
        <f t="shared" si="24"/>
        <v>5</v>
      </c>
      <c r="C783" s="2">
        <f t="shared" si="25"/>
        <v>2021</v>
      </c>
      <c r="D783" s="4">
        <v>1545</v>
      </c>
      <c r="E783" s="4">
        <v>1520</v>
      </c>
      <c r="F783" s="4" t="s">
        <v>10</v>
      </c>
      <c r="G783" s="4" t="s">
        <v>10</v>
      </c>
      <c r="H783" s="4"/>
    </row>
    <row r="784" spans="1:8" x14ac:dyDescent="0.25">
      <c r="A784" s="1" t="s">
        <v>792</v>
      </c>
      <c r="B784" s="2">
        <f t="shared" si="24"/>
        <v>5</v>
      </c>
      <c r="C784" s="2">
        <f t="shared" si="25"/>
        <v>2021</v>
      </c>
      <c r="D784" s="4">
        <v>1555</v>
      </c>
      <c r="E784" s="4">
        <v>1520</v>
      </c>
      <c r="F784" s="4">
        <v>1615</v>
      </c>
      <c r="G784" s="4">
        <v>1480</v>
      </c>
      <c r="H784" s="4"/>
    </row>
    <row r="785" spans="1:8" x14ac:dyDescent="0.25">
      <c r="A785" s="1" t="s">
        <v>793</v>
      </c>
      <c r="B785" s="2">
        <f t="shared" si="24"/>
        <v>5</v>
      </c>
      <c r="C785" s="2">
        <f t="shared" si="25"/>
        <v>2021</v>
      </c>
      <c r="D785" s="4">
        <v>1558</v>
      </c>
      <c r="E785" s="4">
        <v>1520</v>
      </c>
      <c r="F785" s="4">
        <v>1620</v>
      </c>
      <c r="G785" s="4">
        <v>1525</v>
      </c>
      <c r="H785" s="4"/>
    </row>
    <row r="786" spans="1:8" x14ac:dyDescent="0.25">
      <c r="A786" s="1" t="s">
        <v>794</v>
      </c>
      <c r="B786" s="2">
        <f t="shared" si="24"/>
        <v>5</v>
      </c>
      <c r="C786" s="2">
        <f t="shared" si="25"/>
        <v>2021</v>
      </c>
      <c r="D786" s="4">
        <v>1560</v>
      </c>
      <c r="E786" s="4">
        <v>1520</v>
      </c>
      <c r="F786" s="4">
        <v>1610</v>
      </c>
      <c r="G786" s="4">
        <v>1525</v>
      </c>
      <c r="H786" s="4"/>
    </row>
    <row r="787" spans="1:8" x14ac:dyDescent="0.25">
      <c r="A787" s="1" t="s">
        <v>795</v>
      </c>
      <c r="B787" s="2">
        <f t="shared" si="24"/>
        <v>5</v>
      </c>
      <c r="C787" s="2">
        <f t="shared" si="25"/>
        <v>2021</v>
      </c>
      <c r="D787" s="4">
        <v>1540</v>
      </c>
      <c r="E787" s="4">
        <v>1520</v>
      </c>
      <c r="F787" s="4">
        <v>1595</v>
      </c>
      <c r="G787" s="4">
        <v>1525</v>
      </c>
      <c r="H787" s="4"/>
    </row>
    <row r="788" spans="1:8" x14ac:dyDescent="0.25">
      <c r="A788" s="1" t="s">
        <v>796</v>
      </c>
      <c r="B788" s="2">
        <f t="shared" si="24"/>
        <v>5</v>
      </c>
      <c r="C788" s="2">
        <f t="shared" si="25"/>
        <v>2021</v>
      </c>
      <c r="D788" s="4">
        <v>1535</v>
      </c>
      <c r="E788" s="4">
        <v>1520</v>
      </c>
      <c r="F788" s="4">
        <v>1595</v>
      </c>
      <c r="G788" s="4">
        <v>1525</v>
      </c>
      <c r="H788" s="4"/>
    </row>
    <row r="789" spans="1:8" x14ac:dyDescent="0.25">
      <c r="A789" s="1" t="s">
        <v>797</v>
      </c>
      <c r="B789" s="2">
        <f t="shared" si="24"/>
        <v>5</v>
      </c>
      <c r="C789" s="2">
        <f t="shared" si="25"/>
        <v>2021</v>
      </c>
      <c r="D789" s="4">
        <v>1535</v>
      </c>
      <c r="E789" s="4">
        <v>1515</v>
      </c>
      <c r="F789" s="4">
        <v>1585</v>
      </c>
      <c r="G789" s="4">
        <v>1495</v>
      </c>
      <c r="H789" s="4"/>
    </row>
    <row r="790" spans="1:8" x14ac:dyDescent="0.25">
      <c r="A790" s="1" t="s">
        <v>798</v>
      </c>
      <c r="B790" s="2">
        <f t="shared" si="24"/>
        <v>5</v>
      </c>
      <c r="C790" s="2">
        <f t="shared" si="25"/>
        <v>2021</v>
      </c>
      <c r="D790" s="4">
        <v>1530</v>
      </c>
      <c r="E790" s="4">
        <v>1515</v>
      </c>
      <c r="F790" s="4" t="s">
        <v>10</v>
      </c>
      <c r="G790" s="4" t="s">
        <v>10</v>
      </c>
      <c r="H790" s="4"/>
    </row>
    <row r="791" spans="1:8" x14ac:dyDescent="0.25">
      <c r="A791" s="1" t="s">
        <v>799</v>
      </c>
      <c r="B791" s="2">
        <f t="shared" si="24"/>
        <v>5</v>
      </c>
      <c r="C791" s="2">
        <f t="shared" si="25"/>
        <v>2021</v>
      </c>
      <c r="D791" s="4">
        <v>1535</v>
      </c>
      <c r="E791" s="4">
        <v>1515</v>
      </c>
      <c r="F791" s="4">
        <v>1575</v>
      </c>
      <c r="G791" s="4">
        <v>1495</v>
      </c>
      <c r="H791" s="4"/>
    </row>
    <row r="792" spans="1:8" x14ac:dyDescent="0.25">
      <c r="A792" s="1" t="s">
        <v>800</v>
      </c>
      <c r="B792" s="2">
        <f t="shared" si="24"/>
        <v>5</v>
      </c>
      <c r="C792" s="2">
        <f t="shared" si="25"/>
        <v>2021</v>
      </c>
      <c r="D792" s="4">
        <v>1520</v>
      </c>
      <c r="E792" s="4">
        <v>1515</v>
      </c>
      <c r="F792" s="4">
        <v>1565</v>
      </c>
      <c r="G792" s="4">
        <v>1495</v>
      </c>
      <c r="H792" s="4"/>
    </row>
    <row r="793" spans="1:8" x14ac:dyDescent="0.25">
      <c r="A793" s="1" t="s">
        <v>801</v>
      </c>
      <c r="B793" s="2">
        <f t="shared" si="24"/>
        <v>5</v>
      </c>
      <c r="C793" s="2">
        <f t="shared" si="25"/>
        <v>2021</v>
      </c>
      <c r="D793" s="4">
        <v>1485</v>
      </c>
      <c r="E793" s="4">
        <v>1460</v>
      </c>
      <c r="F793" s="4">
        <v>1540</v>
      </c>
      <c r="G793" s="4">
        <v>1465</v>
      </c>
      <c r="H793" s="4"/>
    </row>
    <row r="794" spans="1:8" x14ac:dyDescent="0.25">
      <c r="A794" s="1" t="s">
        <v>802</v>
      </c>
      <c r="B794" s="2">
        <f t="shared" si="24"/>
        <v>5</v>
      </c>
      <c r="C794" s="2">
        <f t="shared" si="25"/>
        <v>2021</v>
      </c>
      <c r="D794" s="4">
        <v>1455</v>
      </c>
      <c r="E794" s="4">
        <v>1470</v>
      </c>
      <c r="F794" s="4">
        <v>1510</v>
      </c>
      <c r="G794" s="4">
        <v>1465</v>
      </c>
      <c r="H794" s="4"/>
    </row>
    <row r="795" spans="1:8" x14ac:dyDescent="0.25">
      <c r="A795" s="1" t="s">
        <v>803</v>
      </c>
      <c r="B795" s="2">
        <f t="shared" si="24"/>
        <v>6</v>
      </c>
      <c r="C795" s="2">
        <f t="shared" si="25"/>
        <v>2021</v>
      </c>
      <c r="D795" s="4">
        <v>1425</v>
      </c>
      <c r="E795" s="4">
        <v>1480</v>
      </c>
      <c r="F795" s="4">
        <v>1500</v>
      </c>
      <c r="G795" s="4">
        <v>1440</v>
      </c>
      <c r="H795" s="4"/>
    </row>
    <row r="796" spans="1:8" x14ac:dyDescent="0.25">
      <c r="A796" s="1" t="s">
        <v>804</v>
      </c>
      <c r="B796" s="2">
        <f t="shared" si="24"/>
        <v>6</v>
      </c>
      <c r="C796" s="2">
        <f t="shared" si="25"/>
        <v>2021</v>
      </c>
      <c r="D796" s="4">
        <v>1425</v>
      </c>
      <c r="E796" s="4">
        <v>1430</v>
      </c>
      <c r="F796" s="4">
        <v>1500</v>
      </c>
      <c r="G796" s="4">
        <v>1445</v>
      </c>
      <c r="H796" s="4"/>
    </row>
    <row r="797" spans="1:8" x14ac:dyDescent="0.25">
      <c r="A797" s="1" t="s">
        <v>805</v>
      </c>
      <c r="B797" s="2">
        <f t="shared" si="24"/>
        <v>6</v>
      </c>
      <c r="C797" s="2">
        <f t="shared" si="25"/>
        <v>2021</v>
      </c>
      <c r="D797" s="4">
        <v>1330</v>
      </c>
      <c r="E797" s="4">
        <v>1340</v>
      </c>
      <c r="F797" s="4">
        <v>1450</v>
      </c>
      <c r="G797" s="4">
        <v>1435</v>
      </c>
      <c r="H797" s="4"/>
    </row>
    <row r="798" spans="1:8" x14ac:dyDescent="0.25">
      <c r="A798" s="1" t="s">
        <v>806</v>
      </c>
      <c r="B798" s="2">
        <f t="shared" si="24"/>
        <v>6</v>
      </c>
      <c r="C798" s="2">
        <f t="shared" si="25"/>
        <v>2021</v>
      </c>
      <c r="D798" s="4">
        <v>1305</v>
      </c>
      <c r="E798" s="4">
        <v>1340</v>
      </c>
      <c r="F798" s="4">
        <v>1410</v>
      </c>
      <c r="G798" s="4">
        <v>1350</v>
      </c>
      <c r="H798" s="4"/>
    </row>
    <row r="799" spans="1:8" x14ac:dyDescent="0.25">
      <c r="A799" s="1" t="s">
        <v>807</v>
      </c>
      <c r="B799" s="2">
        <f t="shared" si="24"/>
        <v>6</v>
      </c>
      <c r="C799" s="2">
        <f t="shared" si="25"/>
        <v>2021</v>
      </c>
      <c r="D799" s="4">
        <v>1330</v>
      </c>
      <c r="E799" s="4">
        <v>1330</v>
      </c>
      <c r="F799" s="4">
        <v>1425</v>
      </c>
      <c r="G799" s="4">
        <v>1350</v>
      </c>
      <c r="H799" s="4"/>
    </row>
    <row r="800" spans="1:8" x14ac:dyDescent="0.25">
      <c r="A800" s="1" t="s">
        <v>808</v>
      </c>
      <c r="B800" s="2">
        <f t="shared" si="24"/>
        <v>6</v>
      </c>
      <c r="C800" s="2">
        <f t="shared" si="25"/>
        <v>2021</v>
      </c>
      <c r="D800" s="4">
        <v>1315</v>
      </c>
      <c r="E800" s="4">
        <v>1315</v>
      </c>
      <c r="F800" s="4">
        <v>1400</v>
      </c>
      <c r="G800" s="4">
        <v>1350</v>
      </c>
      <c r="H800" s="4"/>
    </row>
    <row r="801" spans="1:8" x14ac:dyDescent="0.25">
      <c r="A801" s="1" t="s">
        <v>809</v>
      </c>
      <c r="B801" s="2">
        <f t="shared" si="24"/>
        <v>6</v>
      </c>
      <c r="C801" s="2">
        <f t="shared" si="25"/>
        <v>2021</v>
      </c>
      <c r="D801" s="4">
        <v>1290</v>
      </c>
      <c r="E801" s="4">
        <v>1305</v>
      </c>
      <c r="F801" s="4">
        <v>1380</v>
      </c>
      <c r="G801" s="4">
        <v>1340</v>
      </c>
      <c r="H801" s="4"/>
    </row>
    <row r="802" spans="1:8" x14ac:dyDescent="0.25">
      <c r="A802" s="1" t="s">
        <v>810</v>
      </c>
      <c r="B802" s="2">
        <f t="shared" si="24"/>
        <v>6</v>
      </c>
      <c r="C802" s="2">
        <f t="shared" si="25"/>
        <v>2021</v>
      </c>
      <c r="D802" s="4">
        <v>1285</v>
      </c>
      <c r="E802" s="4">
        <v>1300</v>
      </c>
      <c r="F802" s="4">
        <v>1375</v>
      </c>
      <c r="G802" s="4">
        <v>1325</v>
      </c>
      <c r="H802" s="4"/>
    </row>
    <row r="803" spans="1:8" x14ac:dyDescent="0.25">
      <c r="A803" s="1" t="s">
        <v>811</v>
      </c>
      <c r="B803" s="2">
        <f t="shared" si="24"/>
        <v>6</v>
      </c>
      <c r="C803" s="2">
        <f t="shared" si="25"/>
        <v>2021</v>
      </c>
      <c r="D803" s="4">
        <v>1275</v>
      </c>
      <c r="E803" s="4">
        <v>1280</v>
      </c>
      <c r="F803" s="4">
        <v>1370</v>
      </c>
      <c r="G803" s="4">
        <v>1325</v>
      </c>
      <c r="H803" s="4"/>
    </row>
    <row r="804" spans="1:8" x14ac:dyDescent="0.25">
      <c r="A804" s="1" t="s">
        <v>812</v>
      </c>
      <c r="B804" s="2">
        <f t="shared" si="24"/>
        <v>6</v>
      </c>
      <c r="C804" s="2">
        <f t="shared" si="25"/>
        <v>2021</v>
      </c>
      <c r="D804" s="4">
        <v>1275</v>
      </c>
      <c r="E804" s="4">
        <v>1265</v>
      </c>
      <c r="F804" s="4">
        <v>1370</v>
      </c>
      <c r="G804" s="4">
        <v>1325</v>
      </c>
      <c r="H804" s="4"/>
    </row>
    <row r="805" spans="1:8" x14ac:dyDescent="0.25">
      <c r="A805" s="1" t="s">
        <v>813</v>
      </c>
      <c r="B805" s="2">
        <f t="shared" si="24"/>
        <v>6</v>
      </c>
      <c r="C805" s="2">
        <f t="shared" si="25"/>
        <v>2021</v>
      </c>
      <c r="D805" s="4">
        <v>1260</v>
      </c>
      <c r="E805" s="4">
        <v>1265</v>
      </c>
      <c r="F805" s="4">
        <v>1290</v>
      </c>
      <c r="G805" s="4">
        <v>1290</v>
      </c>
      <c r="H805" s="4"/>
    </row>
    <row r="806" spans="1:8" x14ac:dyDescent="0.25">
      <c r="A806" s="1" t="s">
        <v>814</v>
      </c>
      <c r="B806" s="2">
        <f t="shared" si="24"/>
        <v>6</v>
      </c>
      <c r="C806" s="2">
        <f t="shared" si="25"/>
        <v>2021</v>
      </c>
      <c r="D806" s="4">
        <v>1235</v>
      </c>
      <c r="E806" s="4">
        <v>1235</v>
      </c>
      <c r="F806" s="4">
        <v>1250</v>
      </c>
      <c r="G806" s="4">
        <v>1250</v>
      </c>
      <c r="H806" s="4"/>
    </row>
    <row r="807" spans="1:8" x14ac:dyDescent="0.25">
      <c r="A807" s="1" t="s">
        <v>815</v>
      </c>
      <c r="B807" s="2">
        <f t="shared" si="24"/>
        <v>6</v>
      </c>
      <c r="C807" s="2">
        <f t="shared" si="25"/>
        <v>2021</v>
      </c>
      <c r="D807" s="4">
        <v>1055</v>
      </c>
      <c r="E807" s="4">
        <v>1050</v>
      </c>
      <c r="F807" s="4">
        <v>1095</v>
      </c>
      <c r="G807" s="4">
        <v>1252.5</v>
      </c>
      <c r="H807" s="4"/>
    </row>
    <row r="808" spans="1:8" x14ac:dyDescent="0.25">
      <c r="A808" s="1" t="s">
        <v>816</v>
      </c>
      <c r="B808" s="2">
        <f t="shared" si="24"/>
        <v>6</v>
      </c>
      <c r="C808" s="2">
        <f t="shared" si="25"/>
        <v>2021</v>
      </c>
      <c r="D808" s="4">
        <v>1075</v>
      </c>
      <c r="E808" s="4">
        <v>1050</v>
      </c>
      <c r="F808" s="4">
        <v>1120</v>
      </c>
      <c r="G808" s="4">
        <v>1120</v>
      </c>
      <c r="H808" s="4"/>
    </row>
    <row r="809" spans="1:8" x14ac:dyDescent="0.25">
      <c r="A809" s="1" t="s">
        <v>817</v>
      </c>
      <c r="B809" s="2">
        <f t="shared" si="24"/>
        <v>6</v>
      </c>
      <c r="C809" s="2">
        <f t="shared" si="25"/>
        <v>2021</v>
      </c>
      <c r="D809" s="4">
        <v>1080</v>
      </c>
      <c r="E809" s="4">
        <v>1050</v>
      </c>
      <c r="F809" s="4">
        <v>1180</v>
      </c>
      <c r="G809" s="4">
        <v>1117.5</v>
      </c>
      <c r="H809" s="4"/>
    </row>
    <row r="810" spans="1:8" x14ac:dyDescent="0.25">
      <c r="A810" s="1" t="s">
        <v>818</v>
      </c>
      <c r="B810" s="2">
        <f t="shared" si="24"/>
        <v>6</v>
      </c>
      <c r="C810" s="2">
        <f t="shared" si="25"/>
        <v>2021</v>
      </c>
      <c r="D810" s="4">
        <v>1085</v>
      </c>
      <c r="E810" s="4">
        <v>1055</v>
      </c>
      <c r="F810" s="4">
        <v>1200</v>
      </c>
      <c r="G810" s="4">
        <v>1120</v>
      </c>
      <c r="H810" s="4"/>
    </row>
    <row r="811" spans="1:8" x14ac:dyDescent="0.25">
      <c r="A811" s="1" t="s">
        <v>819</v>
      </c>
      <c r="B811" s="2">
        <f t="shared" si="24"/>
        <v>6</v>
      </c>
      <c r="C811" s="2">
        <f t="shared" si="25"/>
        <v>2021</v>
      </c>
      <c r="D811" s="4">
        <v>1130</v>
      </c>
      <c r="E811" s="4">
        <v>1070</v>
      </c>
      <c r="F811" s="4">
        <v>1220</v>
      </c>
      <c r="G811" s="4">
        <v>1117.5</v>
      </c>
      <c r="H811" s="4"/>
    </row>
    <row r="812" spans="1:8" x14ac:dyDescent="0.25">
      <c r="A812" s="1" t="s">
        <v>820</v>
      </c>
      <c r="B812" s="2">
        <f t="shared" si="24"/>
        <v>6</v>
      </c>
      <c r="C812" s="2">
        <f t="shared" si="25"/>
        <v>2021</v>
      </c>
      <c r="D812" s="4">
        <v>1130</v>
      </c>
      <c r="E812" s="4">
        <v>1140</v>
      </c>
      <c r="F812" s="4">
        <v>1270</v>
      </c>
      <c r="G812" s="4">
        <v>1117.5</v>
      </c>
      <c r="H812" s="4"/>
    </row>
    <row r="813" spans="1:8" x14ac:dyDescent="0.25">
      <c r="A813" s="1" t="s">
        <v>821</v>
      </c>
      <c r="B813" s="2">
        <f t="shared" si="24"/>
        <v>6</v>
      </c>
      <c r="C813" s="2">
        <f t="shared" si="25"/>
        <v>2021</v>
      </c>
      <c r="D813" s="4">
        <v>1120</v>
      </c>
      <c r="E813" s="4">
        <v>1155</v>
      </c>
      <c r="F813" s="4">
        <v>1280</v>
      </c>
      <c r="G813" s="4">
        <v>1117.5</v>
      </c>
      <c r="H813" s="4"/>
    </row>
    <row r="814" spans="1:8" x14ac:dyDescent="0.25">
      <c r="A814" s="1" t="s">
        <v>822</v>
      </c>
      <c r="B814" s="2">
        <f t="shared" si="24"/>
        <v>6</v>
      </c>
      <c r="C814" s="2">
        <f t="shared" si="25"/>
        <v>2021</v>
      </c>
      <c r="D814" s="4">
        <v>1110</v>
      </c>
      <c r="E814" s="4">
        <v>1155</v>
      </c>
      <c r="F814" s="4">
        <v>1260</v>
      </c>
      <c r="G814" s="4">
        <v>1117.5</v>
      </c>
      <c r="H814" s="4"/>
    </row>
    <row r="815" spans="1:8" x14ac:dyDescent="0.25">
      <c r="A815" s="1" t="s">
        <v>823</v>
      </c>
      <c r="B815" s="2">
        <f t="shared" si="24"/>
        <v>6</v>
      </c>
      <c r="C815" s="2">
        <f t="shared" si="25"/>
        <v>2021</v>
      </c>
      <c r="D815" s="4">
        <v>1135</v>
      </c>
      <c r="E815" s="4">
        <v>1150</v>
      </c>
      <c r="F815" s="4">
        <v>1260</v>
      </c>
      <c r="G815" s="4">
        <v>1117.5</v>
      </c>
      <c r="H815" s="4"/>
    </row>
    <row r="816" spans="1:8" x14ac:dyDescent="0.25">
      <c r="A816" s="1" t="s">
        <v>824</v>
      </c>
      <c r="B816" s="2">
        <f t="shared" si="24"/>
        <v>6</v>
      </c>
      <c r="C816" s="2">
        <f t="shared" si="25"/>
        <v>2021</v>
      </c>
      <c r="D816" s="4">
        <v>1115</v>
      </c>
      <c r="E816" s="4">
        <v>1135</v>
      </c>
      <c r="F816" s="4">
        <v>1275</v>
      </c>
      <c r="G816" s="4">
        <v>1117.5</v>
      </c>
      <c r="H816" s="4"/>
    </row>
    <row r="817" spans="1:8" x14ac:dyDescent="0.25">
      <c r="A817" s="1" t="s">
        <v>825</v>
      </c>
      <c r="B817" s="2">
        <f t="shared" si="24"/>
        <v>7</v>
      </c>
      <c r="C817" s="2">
        <f t="shared" si="25"/>
        <v>2021</v>
      </c>
      <c r="D817" s="4">
        <v>1130</v>
      </c>
      <c r="E817" s="4">
        <v>1135</v>
      </c>
      <c r="F817" s="4">
        <v>1265</v>
      </c>
      <c r="G817" s="4">
        <v>1145</v>
      </c>
      <c r="H817" s="4"/>
    </row>
    <row r="818" spans="1:8" x14ac:dyDescent="0.25">
      <c r="A818" s="1" t="s">
        <v>826</v>
      </c>
      <c r="B818" s="2">
        <f t="shared" si="24"/>
        <v>7</v>
      </c>
      <c r="C818" s="2">
        <f t="shared" si="25"/>
        <v>2021</v>
      </c>
      <c r="D818" s="4">
        <v>1155</v>
      </c>
      <c r="E818" s="4">
        <v>1145</v>
      </c>
      <c r="F818" s="4">
        <v>1260</v>
      </c>
      <c r="G818" s="4">
        <v>1160</v>
      </c>
      <c r="H818" s="4"/>
    </row>
    <row r="819" spans="1:8" x14ac:dyDescent="0.25">
      <c r="A819" s="1" t="s">
        <v>827</v>
      </c>
      <c r="B819" s="2">
        <f t="shared" si="24"/>
        <v>7</v>
      </c>
      <c r="C819" s="2">
        <f t="shared" si="25"/>
        <v>2021</v>
      </c>
      <c r="D819" s="4">
        <v>1155</v>
      </c>
      <c r="E819" s="4">
        <v>1145</v>
      </c>
      <c r="F819" s="4">
        <v>1265</v>
      </c>
      <c r="G819" s="4" t="s">
        <v>10</v>
      </c>
      <c r="H819" s="4"/>
    </row>
    <row r="820" spans="1:8" x14ac:dyDescent="0.25">
      <c r="A820" s="1" t="s">
        <v>828</v>
      </c>
      <c r="B820" s="2">
        <f t="shared" si="24"/>
        <v>7</v>
      </c>
      <c r="C820" s="2">
        <f t="shared" si="25"/>
        <v>2021</v>
      </c>
      <c r="D820" s="4">
        <v>1145</v>
      </c>
      <c r="E820" s="4">
        <v>1145</v>
      </c>
      <c r="F820" s="4">
        <v>1275</v>
      </c>
      <c r="G820" s="4">
        <v>1160</v>
      </c>
      <c r="H820" s="4"/>
    </row>
    <row r="821" spans="1:8" x14ac:dyDescent="0.25">
      <c r="A821" s="1" t="s">
        <v>829</v>
      </c>
      <c r="B821" s="2">
        <f t="shared" si="24"/>
        <v>7</v>
      </c>
      <c r="C821" s="2">
        <f t="shared" si="25"/>
        <v>2021</v>
      </c>
      <c r="D821" s="4">
        <v>1150</v>
      </c>
      <c r="E821" s="4">
        <v>1145</v>
      </c>
      <c r="F821" s="4">
        <v>1240</v>
      </c>
      <c r="G821" s="4">
        <v>1250</v>
      </c>
      <c r="H821" s="4"/>
    </row>
    <row r="822" spans="1:8" x14ac:dyDescent="0.25">
      <c r="A822" s="1" t="s">
        <v>830</v>
      </c>
      <c r="B822" s="2">
        <f t="shared" si="24"/>
        <v>7</v>
      </c>
      <c r="C822" s="2">
        <f t="shared" si="25"/>
        <v>2021</v>
      </c>
      <c r="D822" s="4">
        <v>1133</v>
      </c>
      <c r="E822" s="4">
        <v>1145</v>
      </c>
      <c r="F822" s="4">
        <v>1225</v>
      </c>
      <c r="G822" s="4">
        <v>1250</v>
      </c>
      <c r="H822" s="4"/>
    </row>
    <row r="823" spans="1:8" x14ac:dyDescent="0.25">
      <c r="A823" s="1" t="s">
        <v>831</v>
      </c>
      <c r="B823" s="2">
        <f t="shared" si="24"/>
        <v>7</v>
      </c>
      <c r="C823" s="2">
        <f t="shared" si="25"/>
        <v>2021</v>
      </c>
      <c r="D823" s="4">
        <v>1130</v>
      </c>
      <c r="E823" s="4">
        <v>1145</v>
      </c>
      <c r="F823" s="4">
        <v>1145</v>
      </c>
      <c r="G823" s="4">
        <v>1250</v>
      </c>
      <c r="H823" s="4"/>
    </row>
    <row r="824" spans="1:8" x14ac:dyDescent="0.25">
      <c r="A824" s="1" t="s">
        <v>832</v>
      </c>
      <c r="B824" s="2">
        <f t="shared" si="24"/>
        <v>7</v>
      </c>
      <c r="C824" s="2">
        <f t="shared" si="25"/>
        <v>2021</v>
      </c>
      <c r="D824" s="4">
        <v>1138</v>
      </c>
      <c r="E824" s="4">
        <v>1145</v>
      </c>
      <c r="F824" s="4">
        <v>1145</v>
      </c>
      <c r="G824" s="4">
        <v>1250</v>
      </c>
      <c r="H824" s="4"/>
    </row>
    <row r="825" spans="1:8" x14ac:dyDescent="0.25">
      <c r="A825" s="1" t="s">
        <v>833</v>
      </c>
      <c r="B825" s="2">
        <f t="shared" si="24"/>
        <v>7</v>
      </c>
      <c r="C825" s="2">
        <f t="shared" si="25"/>
        <v>2021</v>
      </c>
      <c r="D825" s="4">
        <v>1190</v>
      </c>
      <c r="E825" s="4">
        <v>1145</v>
      </c>
      <c r="F825" s="4">
        <v>1155</v>
      </c>
      <c r="G825" s="4">
        <v>1260</v>
      </c>
      <c r="H825" s="4"/>
    </row>
    <row r="826" spans="1:8" x14ac:dyDescent="0.25">
      <c r="A826" s="1" t="s">
        <v>834</v>
      </c>
      <c r="B826" s="2">
        <f t="shared" si="24"/>
        <v>7</v>
      </c>
      <c r="C826" s="2">
        <f t="shared" si="25"/>
        <v>2021</v>
      </c>
      <c r="D826" s="4">
        <v>1200</v>
      </c>
      <c r="E826" s="4">
        <v>1145</v>
      </c>
      <c r="F826" s="4">
        <v>1270</v>
      </c>
      <c r="G826" s="4">
        <v>1270</v>
      </c>
      <c r="H826" s="4"/>
    </row>
    <row r="827" spans="1:8" x14ac:dyDescent="0.25">
      <c r="A827" s="1" t="s">
        <v>835</v>
      </c>
      <c r="B827" s="2">
        <f t="shared" si="24"/>
        <v>7</v>
      </c>
      <c r="C827" s="2">
        <f t="shared" si="25"/>
        <v>2021</v>
      </c>
      <c r="D827" s="4">
        <v>1218</v>
      </c>
      <c r="E827" s="4">
        <v>1245</v>
      </c>
      <c r="F827" s="4">
        <v>1270</v>
      </c>
      <c r="G827" s="4">
        <v>1270</v>
      </c>
      <c r="H827" s="4"/>
    </row>
    <row r="828" spans="1:8" x14ac:dyDescent="0.25">
      <c r="A828" s="1" t="s">
        <v>836</v>
      </c>
      <c r="B828" s="2">
        <f t="shared" si="24"/>
        <v>7</v>
      </c>
      <c r="C828" s="2">
        <f t="shared" si="25"/>
        <v>2021</v>
      </c>
      <c r="D828" s="4">
        <v>1235</v>
      </c>
      <c r="E828" s="4">
        <v>1245</v>
      </c>
      <c r="F828" s="4">
        <v>1290</v>
      </c>
      <c r="G828" s="4">
        <v>1270</v>
      </c>
      <c r="H828" s="4"/>
    </row>
    <row r="829" spans="1:8" x14ac:dyDescent="0.25">
      <c r="A829" s="1" t="s">
        <v>837</v>
      </c>
      <c r="B829" s="2">
        <f t="shared" si="24"/>
        <v>7</v>
      </c>
      <c r="C829" s="2">
        <f t="shared" si="25"/>
        <v>2021</v>
      </c>
      <c r="D829" s="4">
        <v>1215</v>
      </c>
      <c r="E829" s="4">
        <v>1200</v>
      </c>
      <c r="F829" s="4">
        <v>1310</v>
      </c>
      <c r="G829" s="4">
        <v>1270</v>
      </c>
      <c r="H829" s="4"/>
    </row>
    <row r="830" spans="1:8" x14ac:dyDescent="0.25">
      <c r="A830" s="1" t="s">
        <v>838</v>
      </c>
      <c r="B830" s="2">
        <f t="shared" si="24"/>
        <v>7</v>
      </c>
      <c r="C830" s="2">
        <f t="shared" si="25"/>
        <v>2021</v>
      </c>
      <c r="D830" s="4">
        <v>1210</v>
      </c>
      <c r="E830" s="4">
        <v>1195</v>
      </c>
      <c r="F830" s="4">
        <v>1305</v>
      </c>
      <c r="G830" s="4">
        <v>1270</v>
      </c>
      <c r="H830" s="4"/>
    </row>
    <row r="831" spans="1:8" x14ac:dyDescent="0.25">
      <c r="A831" s="1" t="s">
        <v>839</v>
      </c>
      <c r="B831" s="2">
        <f t="shared" si="24"/>
        <v>7</v>
      </c>
      <c r="C831" s="2">
        <f t="shared" si="25"/>
        <v>2021</v>
      </c>
      <c r="D831" s="4">
        <v>1230</v>
      </c>
      <c r="E831" s="4">
        <v>1200</v>
      </c>
      <c r="F831" s="4">
        <v>1350</v>
      </c>
      <c r="G831" s="4">
        <v>1270</v>
      </c>
      <c r="H831" s="4"/>
    </row>
    <row r="832" spans="1:8" x14ac:dyDescent="0.25">
      <c r="A832" s="1" t="s">
        <v>840</v>
      </c>
      <c r="B832" s="2">
        <f t="shared" si="24"/>
        <v>7</v>
      </c>
      <c r="C832" s="2">
        <f t="shared" si="25"/>
        <v>2021</v>
      </c>
      <c r="D832" s="4">
        <v>1223</v>
      </c>
      <c r="E832" s="4">
        <v>1200</v>
      </c>
      <c r="F832" s="4">
        <v>1325</v>
      </c>
      <c r="G832" s="4">
        <v>1270</v>
      </c>
      <c r="H832" s="4"/>
    </row>
    <row r="833" spans="1:8" x14ac:dyDescent="0.25">
      <c r="A833" s="1" t="s">
        <v>841</v>
      </c>
      <c r="B833" s="2">
        <f t="shared" si="24"/>
        <v>7</v>
      </c>
      <c r="C833" s="2">
        <f t="shared" si="25"/>
        <v>2021</v>
      </c>
      <c r="D833" s="4">
        <v>1220</v>
      </c>
      <c r="E833" s="4">
        <v>1200</v>
      </c>
      <c r="F833" s="4">
        <v>1310</v>
      </c>
      <c r="G833" s="4">
        <v>1270</v>
      </c>
      <c r="H833" s="4"/>
    </row>
    <row r="834" spans="1:8" x14ac:dyDescent="0.25">
      <c r="A834" s="1" t="s">
        <v>842</v>
      </c>
      <c r="B834" s="2">
        <f t="shared" si="24"/>
        <v>7</v>
      </c>
      <c r="C834" s="2">
        <f t="shared" si="25"/>
        <v>2021</v>
      </c>
      <c r="D834" s="4">
        <v>1235</v>
      </c>
      <c r="E834" s="4">
        <v>1200</v>
      </c>
      <c r="F834" s="4">
        <v>1325</v>
      </c>
      <c r="G834" s="4">
        <v>1270</v>
      </c>
      <c r="H834" s="4"/>
    </row>
    <row r="835" spans="1:8" x14ac:dyDescent="0.25">
      <c r="A835" s="1" t="s">
        <v>843</v>
      </c>
      <c r="B835" s="2">
        <f t="shared" ref="B835:B839" si="26">MONTH(A835)</f>
        <v>7</v>
      </c>
      <c r="C835" s="2">
        <f t="shared" ref="C835:C839" si="27">YEAR(A835)</f>
        <v>2021</v>
      </c>
      <c r="D835" s="4">
        <v>1225</v>
      </c>
      <c r="E835" s="4">
        <v>1240</v>
      </c>
      <c r="F835" s="4">
        <v>1325</v>
      </c>
      <c r="G835" s="4">
        <v>1270</v>
      </c>
      <c r="H835" s="4"/>
    </row>
    <row r="836" spans="1:8" x14ac:dyDescent="0.25">
      <c r="A836" s="1" t="s">
        <v>844</v>
      </c>
      <c r="B836" s="2">
        <f t="shared" si="26"/>
        <v>7</v>
      </c>
      <c r="C836" s="2">
        <f t="shared" si="27"/>
        <v>2021</v>
      </c>
      <c r="D836" s="4">
        <v>1240</v>
      </c>
      <c r="E836" s="4">
        <v>1220</v>
      </c>
      <c r="F836" s="4">
        <v>1325</v>
      </c>
      <c r="G836" s="4">
        <v>1310</v>
      </c>
      <c r="H836" s="4"/>
    </row>
    <row r="837" spans="1:8" x14ac:dyDescent="0.25">
      <c r="A837" s="1" t="s">
        <v>845</v>
      </c>
      <c r="B837" s="2">
        <f t="shared" si="26"/>
        <v>7</v>
      </c>
      <c r="C837" s="2">
        <f t="shared" si="27"/>
        <v>2021</v>
      </c>
      <c r="D837" s="4">
        <v>1243</v>
      </c>
      <c r="E837" s="4">
        <v>1230</v>
      </c>
      <c r="F837" s="4">
        <v>1367.5</v>
      </c>
      <c r="G837" s="4">
        <v>1310</v>
      </c>
      <c r="H837" s="4"/>
    </row>
    <row r="838" spans="1:8" x14ac:dyDescent="0.25">
      <c r="A838" s="1" t="s">
        <v>846</v>
      </c>
      <c r="B838" s="2">
        <f t="shared" si="26"/>
        <v>7</v>
      </c>
      <c r="C838" s="2">
        <f t="shared" si="27"/>
        <v>2021</v>
      </c>
      <c r="D838" s="4">
        <v>1273</v>
      </c>
      <c r="E838" s="4">
        <v>1250</v>
      </c>
      <c r="F838" s="4">
        <v>1367.5</v>
      </c>
      <c r="G838" s="4">
        <v>1310</v>
      </c>
      <c r="H838" s="4"/>
    </row>
    <row r="839" spans="1:8" x14ac:dyDescent="0.25">
      <c r="A839" s="1" t="s">
        <v>847</v>
      </c>
      <c r="B839" s="2">
        <f t="shared" si="26"/>
        <v>8</v>
      </c>
      <c r="C839" s="2">
        <f t="shared" si="27"/>
        <v>2021</v>
      </c>
      <c r="D839" s="4">
        <v>1262.5</v>
      </c>
      <c r="E839" s="4">
        <v>1245</v>
      </c>
      <c r="F839" s="4">
        <v>1395</v>
      </c>
      <c r="G839" s="4">
        <v>1310</v>
      </c>
      <c r="H839" s="4"/>
    </row>
    <row r="900" spans="1:8" s="8" customFormat="1" x14ac:dyDescent="0.25">
      <c r="A900" s="5"/>
      <c r="B900" s="6"/>
      <c r="C900" s="6"/>
      <c r="D900" s="7"/>
      <c r="E900" s="7"/>
      <c r="F900" s="7"/>
      <c r="G900" s="7"/>
      <c r="H9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53E4-897D-402D-B040-4A8C995A491A}">
  <dimension ref="A1:I5256"/>
  <sheetViews>
    <sheetView workbookViewId="0">
      <pane xSplit="3" ySplit="1" topLeftCell="D5233" activePane="bottomRight" state="frozen"/>
      <selection activeCell="D839" sqref="D839"/>
      <selection pane="topRight" activeCell="D839" sqref="D839"/>
      <selection pane="bottomLeft" activeCell="D839" sqref="D839"/>
      <selection pane="bottomRight" activeCell="D839" sqref="D839"/>
    </sheetView>
  </sheetViews>
  <sheetFormatPr defaultRowHeight="15.75" x14ac:dyDescent="0.25"/>
  <cols>
    <col min="1" max="1" width="9.375" style="10" bestFit="1" customWidth="1"/>
    <col min="2" max="3" width="4.625" style="10" customWidth="1"/>
    <col min="4" max="4" width="14.375" style="13" customWidth="1"/>
    <col min="5" max="5" width="9" style="13"/>
    <col min="6" max="6" width="14.75" style="13" customWidth="1"/>
    <col min="7" max="7" width="14.375" style="13" customWidth="1"/>
    <col min="9" max="9" width="14.75" style="13" customWidth="1"/>
    <col min="10" max="16384" width="9" style="11"/>
  </cols>
  <sheetData>
    <row r="1" spans="1:9" ht="78.75" x14ac:dyDescent="0.2">
      <c r="B1" s="10" t="s">
        <v>1</v>
      </c>
      <c r="C1" s="10" t="s">
        <v>2</v>
      </c>
      <c r="D1" s="3" t="s">
        <v>848</v>
      </c>
      <c r="E1" s="3" t="s">
        <v>849</v>
      </c>
      <c r="F1" s="3" t="s">
        <v>850</v>
      </c>
      <c r="G1" s="3" t="s">
        <v>851</v>
      </c>
      <c r="H1" s="3" t="s">
        <v>852</v>
      </c>
      <c r="I1" s="3" t="s">
        <v>853</v>
      </c>
    </row>
    <row r="2" spans="1:9" x14ac:dyDescent="0.25">
      <c r="A2" s="10">
        <v>36801</v>
      </c>
      <c r="B2" s="12">
        <f>MONTH(A2)</f>
        <v>10</v>
      </c>
      <c r="C2" s="12">
        <f>YEAR(A2)</f>
        <v>2000</v>
      </c>
      <c r="D2" s="13">
        <v>3150</v>
      </c>
      <c r="E2" s="13">
        <v>27.753</v>
      </c>
      <c r="F2" s="13">
        <f>IF(D2="","",D2/E2)</f>
        <v>113.5012431088531</v>
      </c>
    </row>
    <row r="3" spans="1:9" x14ac:dyDescent="0.25">
      <c r="A3" s="10">
        <v>36802</v>
      </c>
      <c r="B3" s="12">
        <f t="shared" ref="B3:B66" si="0">MONTH(A3)</f>
        <v>10</v>
      </c>
      <c r="C3" s="12">
        <f t="shared" ref="C3:C66" si="1">YEAR(A3)</f>
        <v>2000</v>
      </c>
      <c r="D3" s="13">
        <v>3150</v>
      </c>
      <c r="E3" s="13">
        <v>27.792999999999999</v>
      </c>
      <c r="F3" s="13">
        <f t="shared" ref="F3:F66" si="2">IF(D3="","",D3/E3)</f>
        <v>113.33789083582197</v>
      </c>
    </row>
    <row r="4" spans="1:9" x14ac:dyDescent="0.25">
      <c r="A4" s="10">
        <v>36803</v>
      </c>
      <c r="B4" s="12">
        <f t="shared" si="0"/>
        <v>10</v>
      </c>
      <c r="C4" s="12">
        <f t="shared" si="1"/>
        <v>2000</v>
      </c>
      <c r="D4" s="13">
        <v>3150</v>
      </c>
      <c r="E4" s="13">
        <v>27.843</v>
      </c>
      <c r="F4" s="13">
        <f t="shared" si="2"/>
        <v>113.13436052149552</v>
      </c>
    </row>
    <row r="5" spans="1:9" x14ac:dyDescent="0.25">
      <c r="A5" s="10">
        <v>36804</v>
      </c>
      <c r="B5" s="12">
        <f t="shared" si="0"/>
        <v>10</v>
      </c>
      <c r="C5" s="12">
        <f t="shared" si="1"/>
        <v>2000</v>
      </c>
      <c r="D5" s="13">
        <v>3150</v>
      </c>
      <c r="E5" s="13">
        <v>27.834</v>
      </c>
      <c r="F5" s="13">
        <f t="shared" si="2"/>
        <v>113.17094201336495</v>
      </c>
    </row>
    <row r="6" spans="1:9" x14ac:dyDescent="0.25">
      <c r="A6" s="10">
        <v>36805</v>
      </c>
      <c r="B6" s="12">
        <f t="shared" si="0"/>
        <v>10</v>
      </c>
      <c r="C6" s="12">
        <f t="shared" si="1"/>
        <v>2000</v>
      </c>
      <c r="D6" s="13">
        <v>3150</v>
      </c>
      <c r="E6" s="13">
        <v>27.940999999999999</v>
      </c>
      <c r="F6" s="13">
        <f t="shared" si="2"/>
        <v>112.73755413192083</v>
      </c>
    </row>
    <row r="7" spans="1:9" x14ac:dyDescent="0.25">
      <c r="A7" s="10">
        <v>36808</v>
      </c>
      <c r="B7" s="12">
        <f t="shared" si="0"/>
        <v>10</v>
      </c>
      <c r="C7" s="12">
        <f t="shared" si="1"/>
        <v>2000</v>
      </c>
      <c r="D7" s="13">
        <v>3150</v>
      </c>
      <c r="E7" s="13">
        <v>27.922999999999998</v>
      </c>
      <c r="F7" s="13">
        <f t="shared" si="2"/>
        <v>112.81022812735021</v>
      </c>
    </row>
    <row r="8" spans="1:9" x14ac:dyDescent="0.25">
      <c r="A8" s="10">
        <v>36809</v>
      </c>
      <c r="B8" s="12">
        <f t="shared" si="0"/>
        <v>10</v>
      </c>
      <c r="C8" s="12">
        <f t="shared" si="1"/>
        <v>2000</v>
      </c>
      <c r="D8" s="13">
        <v>3150</v>
      </c>
      <c r="E8" s="13">
        <v>27.922000000000001</v>
      </c>
      <c r="F8" s="13">
        <f t="shared" si="2"/>
        <v>112.81426831888832</v>
      </c>
    </row>
    <row r="9" spans="1:9" x14ac:dyDescent="0.25">
      <c r="A9" s="10">
        <v>36810</v>
      </c>
      <c r="B9" s="12">
        <f t="shared" si="0"/>
        <v>10</v>
      </c>
      <c r="C9" s="12">
        <f t="shared" si="1"/>
        <v>2000</v>
      </c>
      <c r="D9" s="13">
        <v>3150</v>
      </c>
      <c r="E9" s="13">
        <v>27.858000000000001</v>
      </c>
      <c r="F9" s="13">
        <f t="shared" si="2"/>
        <v>113.07344389403403</v>
      </c>
    </row>
    <row r="10" spans="1:9" x14ac:dyDescent="0.25">
      <c r="A10" s="10">
        <v>36811</v>
      </c>
      <c r="B10" s="12">
        <f t="shared" si="0"/>
        <v>10</v>
      </c>
      <c r="C10" s="12">
        <f t="shared" si="1"/>
        <v>2000</v>
      </c>
      <c r="D10" s="13">
        <v>3150</v>
      </c>
      <c r="E10" s="13">
        <v>27.911999999999999</v>
      </c>
      <c r="F10" s="13">
        <f t="shared" si="2"/>
        <v>112.85468615649184</v>
      </c>
    </row>
    <row r="11" spans="1:9" x14ac:dyDescent="0.25">
      <c r="A11" s="10">
        <v>36812</v>
      </c>
      <c r="B11" s="12">
        <f t="shared" si="0"/>
        <v>10</v>
      </c>
      <c r="C11" s="12">
        <f t="shared" si="1"/>
        <v>2000</v>
      </c>
      <c r="D11" s="13">
        <v>3150</v>
      </c>
      <c r="E11" s="13">
        <v>27.858000000000001</v>
      </c>
      <c r="F11" s="13">
        <f t="shared" si="2"/>
        <v>113.07344389403403</v>
      </c>
    </row>
    <row r="12" spans="1:9" x14ac:dyDescent="0.25">
      <c r="A12" s="10">
        <v>36815</v>
      </c>
      <c r="B12" s="12">
        <f t="shared" si="0"/>
        <v>10</v>
      </c>
      <c r="C12" s="12">
        <f t="shared" si="1"/>
        <v>2000</v>
      </c>
      <c r="D12" s="13">
        <v>3200</v>
      </c>
      <c r="E12" s="13">
        <v>27.856000000000002</v>
      </c>
      <c r="F12" s="13">
        <f t="shared" si="2"/>
        <v>114.87650775416427</v>
      </c>
    </row>
    <row r="13" spans="1:9" x14ac:dyDescent="0.25">
      <c r="A13" s="10">
        <v>36816</v>
      </c>
      <c r="B13" s="12">
        <f t="shared" si="0"/>
        <v>10</v>
      </c>
      <c r="C13" s="12">
        <f t="shared" si="1"/>
        <v>2000</v>
      </c>
      <c r="D13" s="13">
        <v>3200</v>
      </c>
      <c r="E13" s="13">
        <v>27.838999999999999</v>
      </c>
      <c r="F13" s="13">
        <f t="shared" si="2"/>
        <v>114.94665756672295</v>
      </c>
    </row>
    <row r="14" spans="1:9" x14ac:dyDescent="0.25">
      <c r="A14" s="10">
        <v>36817</v>
      </c>
      <c r="B14" s="12">
        <f t="shared" si="0"/>
        <v>10</v>
      </c>
      <c r="C14" s="12">
        <f t="shared" si="1"/>
        <v>2000</v>
      </c>
      <c r="D14" s="13">
        <v>3200</v>
      </c>
      <c r="E14" s="13">
        <v>27.928999999999998</v>
      </c>
      <c r="F14" s="13">
        <f t="shared" si="2"/>
        <v>114.57624691181211</v>
      </c>
    </row>
    <row r="15" spans="1:9" x14ac:dyDescent="0.25">
      <c r="A15" s="10">
        <v>36818</v>
      </c>
      <c r="B15" s="12">
        <f t="shared" si="0"/>
        <v>10</v>
      </c>
      <c r="C15" s="12">
        <f t="shared" si="1"/>
        <v>2000</v>
      </c>
      <c r="D15" s="13">
        <v>3200</v>
      </c>
      <c r="E15" s="13">
        <v>27.907</v>
      </c>
      <c r="F15" s="13">
        <f t="shared" si="2"/>
        <v>114.66657111119073</v>
      </c>
    </row>
    <row r="16" spans="1:9" x14ac:dyDescent="0.25">
      <c r="A16" s="10">
        <v>36819</v>
      </c>
      <c r="B16" s="12">
        <f t="shared" si="0"/>
        <v>10</v>
      </c>
      <c r="C16" s="12">
        <f t="shared" si="1"/>
        <v>2000</v>
      </c>
      <c r="D16" s="13">
        <v>3200</v>
      </c>
      <c r="E16" s="13">
        <v>27.95</v>
      </c>
      <c r="F16" s="13">
        <f t="shared" si="2"/>
        <v>114.49016100178891</v>
      </c>
    </row>
    <row r="17" spans="1:6" x14ac:dyDescent="0.25">
      <c r="A17" s="10">
        <v>36822</v>
      </c>
      <c r="B17" s="12">
        <f t="shared" si="0"/>
        <v>10</v>
      </c>
      <c r="C17" s="12">
        <f t="shared" si="1"/>
        <v>2000</v>
      </c>
      <c r="D17" s="13">
        <v>3100</v>
      </c>
      <c r="E17" s="13">
        <v>27.943999999999999</v>
      </c>
      <c r="F17" s="13">
        <f t="shared" si="2"/>
        <v>110.93615803034641</v>
      </c>
    </row>
    <row r="18" spans="1:6" x14ac:dyDescent="0.25">
      <c r="A18" s="10">
        <v>36823</v>
      </c>
      <c r="B18" s="12">
        <f t="shared" si="0"/>
        <v>10</v>
      </c>
      <c r="C18" s="12">
        <f t="shared" si="1"/>
        <v>2000</v>
      </c>
      <c r="D18" s="13">
        <v>3100</v>
      </c>
      <c r="E18" s="13">
        <v>27.885000000000002</v>
      </c>
      <c r="F18" s="13">
        <f t="shared" si="2"/>
        <v>111.17088040164963</v>
      </c>
    </row>
    <row r="19" spans="1:6" x14ac:dyDescent="0.25">
      <c r="A19" s="10">
        <v>36824</v>
      </c>
      <c r="B19" s="12">
        <f t="shared" si="0"/>
        <v>10</v>
      </c>
      <c r="C19" s="12">
        <f t="shared" si="1"/>
        <v>2000</v>
      </c>
      <c r="D19" s="13">
        <v>3100</v>
      </c>
      <c r="E19" s="13">
        <v>27.914999999999999</v>
      </c>
      <c r="F19" s="13">
        <f t="shared" si="2"/>
        <v>111.05140605409278</v>
      </c>
    </row>
    <row r="20" spans="1:6" x14ac:dyDescent="0.25">
      <c r="A20" s="10">
        <v>36825</v>
      </c>
      <c r="B20" s="12">
        <f t="shared" si="0"/>
        <v>10</v>
      </c>
      <c r="C20" s="12">
        <f t="shared" si="1"/>
        <v>2000</v>
      </c>
      <c r="D20" s="13">
        <v>3100</v>
      </c>
      <c r="E20" s="13">
        <v>27.89</v>
      </c>
      <c r="F20" s="13">
        <f t="shared" si="2"/>
        <v>111.15095016134815</v>
      </c>
    </row>
    <row r="21" spans="1:6" x14ac:dyDescent="0.25">
      <c r="A21" s="10">
        <v>36826</v>
      </c>
      <c r="B21" s="12">
        <f t="shared" si="0"/>
        <v>10</v>
      </c>
      <c r="C21" s="12">
        <f t="shared" si="1"/>
        <v>2000</v>
      </c>
      <c r="D21" s="13">
        <v>3100</v>
      </c>
      <c r="E21" s="13">
        <v>27.818999999999999</v>
      </c>
      <c r="F21" s="13">
        <f t="shared" si="2"/>
        <v>111.43463100758474</v>
      </c>
    </row>
    <row r="22" spans="1:6" x14ac:dyDescent="0.25">
      <c r="A22" s="10">
        <v>36829</v>
      </c>
      <c r="B22" s="12">
        <f t="shared" si="0"/>
        <v>10</v>
      </c>
      <c r="C22" s="12">
        <f t="shared" si="1"/>
        <v>2000</v>
      </c>
      <c r="D22" s="13">
        <v>3050</v>
      </c>
      <c r="E22" s="13">
        <v>27.837</v>
      </c>
      <c r="F22" s="13">
        <f t="shared" si="2"/>
        <v>109.56640442576428</v>
      </c>
    </row>
    <row r="23" spans="1:6" x14ac:dyDescent="0.25">
      <c r="A23" s="10">
        <v>36830</v>
      </c>
      <c r="B23" s="12">
        <f t="shared" si="0"/>
        <v>10</v>
      </c>
      <c r="C23" s="12">
        <f t="shared" si="1"/>
        <v>2000</v>
      </c>
      <c r="D23" s="13">
        <v>3050</v>
      </c>
      <c r="E23" s="13">
        <v>27.873000000000001</v>
      </c>
      <c r="F23" s="13">
        <f t="shared" si="2"/>
        <v>109.42489147203386</v>
      </c>
    </row>
    <row r="24" spans="1:6" x14ac:dyDescent="0.25">
      <c r="A24" s="10">
        <v>36831</v>
      </c>
      <c r="B24" s="12">
        <f t="shared" si="0"/>
        <v>11</v>
      </c>
      <c r="C24" s="12">
        <f t="shared" si="1"/>
        <v>2000</v>
      </c>
      <c r="D24" s="13">
        <v>3050</v>
      </c>
      <c r="E24" s="13">
        <v>27.850999999999999</v>
      </c>
      <c r="F24" s="13">
        <f t="shared" si="2"/>
        <v>109.51132813902554</v>
      </c>
    </row>
    <row r="25" spans="1:6" x14ac:dyDescent="0.25">
      <c r="A25" s="10">
        <v>36832</v>
      </c>
      <c r="B25" s="12">
        <f t="shared" si="0"/>
        <v>11</v>
      </c>
      <c r="C25" s="12">
        <f t="shared" si="1"/>
        <v>2000</v>
      </c>
      <c r="D25" s="13">
        <v>3050</v>
      </c>
      <c r="E25" s="13">
        <v>27.86</v>
      </c>
      <c r="F25" s="13">
        <f t="shared" si="2"/>
        <v>109.47595118449389</v>
      </c>
    </row>
    <row r="26" spans="1:6" x14ac:dyDescent="0.25">
      <c r="A26" s="10">
        <v>36833</v>
      </c>
      <c r="B26" s="12">
        <f t="shared" si="0"/>
        <v>11</v>
      </c>
      <c r="C26" s="12">
        <f t="shared" si="1"/>
        <v>2000</v>
      </c>
      <c r="D26" s="13">
        <v>3050</v>
      </c>
      <c r="E26" s="13">
        <v>27.844000000000001</v>
      </c>
      <c r="F26" s="13">
        <f t="shared" si="2"/>
        <v>109.53885935928746</v>
      </c>
    </row>
    <row r="27" spans="1:6" x14ac:dyDescent="0.25">
      <c r="A27" s="10">
        <v>36836</v>
      </c>
      <c r="B27" s="12">
        <f t="shared" si="0"/>
        <v>11</v>
      </c>
      <c r="C27" s="12">
        <f t="shared" si="1"/>
        <v>2000</v>
      </c>
      <c r="D27" s="13">
        <v>3050</v>
      </c>
      <c r="E27" s="13">
        <v>27.821999999999999</v>
      </c>
      <c r="F27" s="13">
        <f t="shared" si="2"/>
        <v>109.62547624182302</v>
      </c>
    </row>
    <row r="28" spans="1:6" x14ac:dyDescent="0.25">
      <c r="A28" s="10">
        <v>36837</v>
      </c>
      <c r="B28" s="12">
        <f t="shared" si="0"/>
        <v>11</v>
      </c>
      <c r="C28" s="12">
        <f t="shared" si="1"/>
        <v>2000</v>
      </c>
      <c r="D28" s="13">
        <v>3050</v>
      </c>
      <c r="E28" s="13">
        <v>27.827000000000002</v>
      </c>
      <c r="F28" s="13">
        <f t="shared" si="2"/>
        <v>109.60577856039097</v>
      </c>
    </row>
    <row r="29" spans="1:6" x14ac:dyDescent="0.25">
      <c r="A29" s="10">
        <v>36838</v>
      </c>
      <c r="B29" s="12">
        <f t="shared" si="0"/>
        <v>11</v>
      </c>
      <c r="C29" s="12">
        <f t="shared" si="1"/>
        <v>2000</v>
      </c>
      <c r="D29" s="13">
        <v>3050</v>
      </c>
      <c r="E29" s="13">
        <v>27.797000000000001</v>
      </c>
      <c r="F29" s="13">
        <f t="shared" si="2"/>
        <v>109.7240709429075</v>
      </c>
    </row>
    <row r="30" spans="1:6" x14ac:dyDescent="0.25">
      <c r="A30" s="10">
        <v>36839</v>
      </c>
      <c r="B30" s="12">
        <f t="shared" si="0"/>
        <v>11</v>
      </c>
      <c r="C30" s="12">
        <f t="shared" si="1"/>
        <v>2000</v>
      </c>
      <c r="D30" s="13">
        <v>3050</v>
      </c>
      <c r="E30" s="13">
        <v>27.744</v>
      </c>
      <c r="F30" s="13">
        <f t="shared" si="2"/>
        <v>109.93367935409458</v>
      </c>
    </row>
    <row r="31" spans="1:6" x14ac:dyDescent="0.25">
      <c r="A31" s="10">
        <v>36840</v>
      </c>
      <c r="B31" s="12">
        <f t="shared" si="0"/>
        <v>11</v>
      </c>
      <c r="C31" s="12">
        <f t="shared" si="1"/>
        <v>2000</v>
      </c>
      <c r="D31" s="13">
        <v>3050</v>
      </c>
      <c r="E31" s="13">
        <v>27.818000000000001</v>
      </c>
      <c r="F31" s="13">
        <f t="shared" si="2"/>
        <v>109.64123948522538</v>
      </c>
    </row>
    <row r="32" spans="1:6" x14ac:dyDescent="0.25">
      <c r="A32" s="10">
        <v>36843</v>
      </c>
      <c r="B32" s="12">
        <f t="shared" si="0"/>
        <v>11</v>
      </c>
      <c r="C32" s="12">
        <f t="shared" si="1"/>
        <v>2000</v>
      </c>
      <c r="D32" s="13">
        <v>3050</v>
      </c>
      <c r="E32" s="13">
        <v>27.75</v>
      </c>
      <c r="F32" s="13">
        <f t="shared" si="2"/>
        <v>109.90990990990991</v>
      </c>
    </row>
    <row r="33" spans="1:6" x14ac:dyDescent="0.25">
      <c r="A33" s="10">
        <v>36844</v>
      </c>
      <c r="B33" s="12">
        <f t="shared" si="0"/>
        <v>11</v>
      </c>
      <c r="C33" s="12">
        <f t="shared" si="1"/>
        <v>2000</v>
      </c>
      <c r="D33" s="13">
        <v>3050</v>
      </c>
      <c r="E33" s="13">
        <v>27.734000000000002</v>
      </c>
      <c r="F33" s="13">
        <f t="shared" si="2"/>
        <v>109.97331794908776</v>
      </c>
    </row>
    <row r="34" spans="1:6" x14ac:dyDescent="0.25">
      <c r="A34" s="10">
        <v>36845</v>
      </c>
      <c r="B34" s="12">
        <f t="shared" si="0"/>
        <v>11</v>
      </c>
      <c r="C34" s="12">
        <f t="shared" si="1"/>
        <v>2000</v>
      </c>
      <c r="D34" s="13">
        <v>3050</v>
      </c>
      <c r="E34" s="13">
        <v>27.757000000000001</v>
      </c>
      <c r="F34" s="13">
        <f t="shared" si="2"/>
        <v>109.88219187952588</v>
      </c>
    </row>
    <row r="35" spans="1:6" x14ac:dyDescent="0.25">
      <c r="A35" s="10">
        <v>36846</v>
      </c>
      <c r="B35" s="12">
        <f t="shared" si="0"/>
        <v>11</v>
      </c>
      <c r="C35" s="12">
        <f t="shared" si="1"/>
        <v>2000</v>
      </c>
      <c r="D35" s="13">
        <v>3050</v>
      </c>
      <c r="E35" s="13">
        <v>27.812000000000001</v>
      </c>
      <c r="F35" s="13">
        <f t="shared" si="2"/>
        <v>109.66489285200632</v>
      </c>
    </row>
    <row r="36" spans="1:6" x14ac:dyDescent="0.25">
      <c r="A36" s="10">
        <v>36847</v>
      </c>
      <c r="B36" s="12">
        <f t="shared" si="0"/>
        <v>11</v>
      </c>
      <c r="C36" s="12">
        <f t="shared" si="1"/>
        <v>2000</v>
      </c>
      <c r="D36" s="13">
        <v>3050</v>
      </c>
      <c r="E36" s="13">
        <v>27.814</v>
      </c>
      <c r="F36" s="13">
        <f t="shared" si="2"/>
        <v>109.65700726252966</v>
      </c>
    </row>
    <row r="37" spans="1:6" x14ac:dyDescent="0.25">
      <c r="A37" s="10">
        <v>36850</v>
      </c>
      <c r="B37" s="12">
        <f t="shared" si="0"/>
        <v>11</v>
      </c>
      <c r="C37" s="12">
        <f t="shared" si="1"/>
        <v>2000</v>
      </c>
      <c r="D37" s="13">
        <v>3100</v>
      </c>
      <c r="E37" s="13">
        <v>27.87</v>
      </c>
      <c r="F37" s="13">
        <f t="shared" si="2"/>
        <v>111.23071402942232</v>
      </c>
    </row>
    <row r="38" spans="1:6" x14ac:dyDescent="0.25">
      <c r="A38" s="10">
        <v>36851</v>
      </c>
      <c r="B38" s="12">
        <f t="shared" si="0"/>
        <v>11</v>
      </c>
      <c r="C38" s="12">
        <f t="shared" si="1"/>
        <v>2000</v>
      </c>
      <c r="D38" s="13">
        <v>3100</v>
      </c>
      <c r="E38" s="13">
        <v>27.82</v>
      </c>
      <c r="F38" s="13">
        <f t="shared" si="2"/>
        <v>111.43062544931703</v>
      </c>
    </row>
    <row r="39" spans="1:6" x14ac:dyDescent="0.25">
      <c r="A39" s="10">
        <v>36852</v>
      </c>
      <c r="B39" s="12">
        <f t="shared" si="0"/>
        <v>11</v>
      </c>
      <c r="C39" s="12">
        <f t="shared" si="1"/>
        <v>2000</v>
      </c>
      <c r="D39" s="13">
        <v>3100</v>
      </c>
      <c r="E39" s="13">
        <v>27.905000000000001</v>
      </c>
      <c r="F39" s="13">
        <f t="shared" si="2"/>
        <v>111.09120229349578</v>
      </c>
    </row>
    <row r="40" spans="1:6" x14ac:dyDescent="0.25">
      <c r="A40" s="10">
        <v>36854</v>
      </c>
      <c r="B40" s="12">
        <f t="shared" si="0"/>
        <v>11</v>
      </c>
      <c r="C40" s="12">
        <f t="shared" si="1"/>
        <v>2000</v>
      </c>
      <c r="D40" s="13">
        <v>3100</v>
      </c>
      <c r="E40" s="13">
        <v>27.884</v>
      </c>
      <c r="F40" s="13">
        <f t="shared" si="2"/>
        <v>111.17486730741643</v>
      </c>
    </row>
    <row r="41" spans="1:6" x14ac:dyDescent="0.25">
      <c r="A41" s="10">
        <v>36857</v>
      </c>
      <c r="B41" s="12">
        <f t="shared" si="0"/>
        <v>11</v>
      </c>
      <c r="C41" s="12">
        <f t="shared" si="1"/>
        <v>2000</v>
      </c>
      <c r="D41" s="13">
        <v>3100</v>
      </c>
      <c r="E41" s="13">
        <v>27.861999999999998</v>
      </c>
      <c r="F41" s="13">
        <f t="shared" si="2"/>
        <v>111.26265164022684</v>
      </c>
    </row>
    <row r="42" spans="1:6" x14ac:dyDescent="0.25">
      <c r="A42" s="10">
        <v>36858</v>
      </c>
      <c r="B42" s="12">
        <f t="shared" si="0"/>
        <v>11</v>
      </c>
      <c r="C42" s="12">
        <f t="shared" si="1"/>
        <v>2000</v>
      </c>
      <c r="D42" s="13">
        <v>3100</v>
      </c>
      <c r="E42" s="13">
        <v>27.867999999999999</v>
      </c>
      <c r="F42" s="13">
        <f t="shared" si="2"/>
        <v>111.23869671307594</v>
      </c>
    </row>
    <row r="43" spans="1:6" x14ac:dyDescent="0.25">
      <c r="A43" s="10">
        <v>36859</v>
      </c>
      <c r="B43" s="12">
        <f t="shared" si="0"/>
        <v>11</v>
      </c>
      <c r="C43" s="12">
        <f t="shared" si="1"/>
        <v>2000</v>
      </c>
      <c r="D43" s="13">
        <v>3100</v>
      </c>
      <c r="E43" s="13">
        <v>27.904</v>
      </c>
      <c r="F43" s="13">
        <f t="shared" si="2"/>
        <v>111.09518348623853</v>
      </c>
    </row>
    <row r="44" spans="1:6" x14ac:dyDescent="0.25">
      <c r="A44" s="10">
        <v>36860</v>
      </c>
      <c r="B44" s="12">
        <f t="shared" si="0"/>
        <v>11</v>
      </c>
      <c r="C44" s="12">
        <f t="shared" si="1"/>
        <v>2000</v>
      </c>
      <c r="D44" s="13">
        <v>3100</v>
      </c>
      <c r="E44" s="13">
        <v>27.925000000000001</v>
      </c>
      <c r="F44" s="13">
        <f t="shared" si="2"/>
        <v>111.01163831692033</v>
      </c>
    </row>
    <row r="45" spans="1:6" x14ac:dyDescent="0.25">
      <c r="A45" s="10">
        <v>36861</v>
      </c>
      <c r="B45" s="12">
        <f t="shared" si="0"/>
        <v>12</v>
      </c>
      <c r="C45" s="12">
        <f t="shared" si="1"/>
        <v>2000</v>
      </c>
      <c r="D45" s="13">
        <v>3100</v>
      </c>
      <c r="E45" s="13">
        <v>27.861999999999998</v>
      </c>
      <c r="F45" s="13">
        <f t="shared" si="2"/>
        <v>111.26265164022684</v>
      </c>
    </row>
    <row r="46" spans="1:6" x14ac:dyDescent="0.25">
      <c r="A46" s="10">
        <v>36864</v>
      </c>
      <c r="B46" s="12">
        <f t="shared" si="0"/>
        <v>12</v>
      </c>
      <c r="C46" s="12">
        <f t="shared" si="1"/>
        <v>2000</v>
      </c>
      <c r="D46" s="13">
        <v>3200</v>
      </c>
      <c r="E46" s="13">
        <v>27.925999999999998</v>
      </c>
      <c r="F46" s="13">
        <f t="shared" si="2"/>
        <v>114.58855546802263</v>
      </c>
    </row>
    <row r="47" spans="1:6" x14ac:dyDescent="0.25">
      <c r="A47" s="10">
        <v>36865</v>
      </c>
      <c r="B47" s="12">
        <f t="shared" si="0"/>
        <v>12</v>
      </c>
      <c r="C47" s="12">
        <f t="shared" si="1"/>
        <v>2000</v>
      </c>
      <c r="D47" s="13">
        <v>3200</v>
      </c>
      <c r="E47" s="13">
        <v>27.937000000000001</v>
      </c>
      <c r="F47" s="13">
        <f t="shared" si="2"/>
        <v>114.54343701900704</v>
      </c>
    </row>
    <row r="48" spans="1:6" x14ac:dyDescent="0.25">
      <c r="A48" s="10">
        <v>36866</v>
      </c>
      <c r="B48" s="12">
        <f t="shared" si="0"/>
        <v>12</v>
      </c>
      <c r="C48" s="12">
        <f t="shared" si="1"/>
        <v>2000</v>
      </c>
      <c r="D48" s="13">
        <v>3200</v>
      </c>
      <c r="E48" s="13">
        <v>27.928000000000001</v>
      </c>
      <c r="F48" s="13">
        <f t="shared" si="2"/>
        <v>114.58034947006588</v>
      </c>
    </row>
    <row r="49" spans="1:6" x14ac:dyDescent="0.25">
      <c r="A49" s="10">
        <v>36867</v>
      </c>
      <c r="B49" s="12">
        <f t="shared" si="0"/>
        <v>12</v>
      </c>
      <c r="C49" s="12">
        <f t="shared" si="1"/>
        <v>2000</v>
      </c>
      <c r="D49" s="13">
        <v>3200</v>
      </c>
      <c r="E49" s="13">
        <v>27.95</v>
      </c>
      <c r="F49" s="13">
        <f t="shared" si="2"/>
        <v>114.49016100178891</v>
      </c>
    </row>
    <row r="50" spans="1:6" x14ac:dyDescent="0.25">
      <c r="A50" s="10">
        <v>36868</v>
      </c>
      <c r="B50" s="12">
        <f t="shared" si="0"/>
        <v>12</v>
      </c>
      <c r="C50" s="12">
        <f t="shared" si="1"/>
        <v>2000</v>
      </c>
      <c r="D50" s="13">
        <v>3200</v>
      </c>
      <c r="E50" s="13">
        <v>27.969000000000001</v>
      </c>
      <c r="F50" s="13">
        <f t="shared" si="2"/>
        <v>114.41238514069147</v>
      </c>
    </row>
    <row r="51" spans="1:6" x14ac:dyDescent="0.25">
      <c r="A51" s="10">
        <v>36871</v>
      </c>
      <c r="B51" s="12">
        <f t="shared" si="0"/>
        <v>12</v>
      </c>
      <c r="C51" s="12">
        <f t="shared" si="1"/>
        <v>2000</v>
      </c>
      <c r="D51" s="13">
        <v>3200</v>
      </c>
      <c r="E51" s="13">
        <v>27.949000000000002</v>
      </c>
      <c r="F51" s="13">
        <f t="shared" si="2"/>
        <v>114.49425739740241</v>
      </c>
    </row>
    <row r="52" spans="1:6" x14ac:dyDescent="0.25">
      <c r="A52" s="10">
        <v>36872</v>
      </c>
      <c r="B52" s="12">
        <f t="shared" si="0"/>
        <v>12</v>
      </c>
      <c r="C52" s="12">
        <f t="shared" si="1"/>
        <v>2000</v>
      </c>
      <c r="D52" s="13">
        <v>3200</v>
      </c>
      <c r="E52" s="13">
        <v>27.902999999999999</v>
      </c>
      <c r="F52" s="13">
        <f t="shared" si="2"/>
        <v>114.68300899544852</v>
      </c>
    </row>
    <row r="53" spans="1:6" x14ac:dyDescent="0.25">
      <c r="A53" s="10">
        <v>36873</v>
      </c>
      <c r="B53" s="12">
        <f t="shared" si="0"/>
        <v>12</v>
      </c>
      <c r="C53" s="12">
        <f t="shared" si="1"/>
        <v>2000</v>
      </c>
      <c r="D53" s="13">
        <v>3200</v>
      </c>
      <c r="E53" s="13">
        <v>27.972999999999999</v>
      </c>
      <c r="F53" s="13">
        <f t="shared" si="2"/>
        <v>114.39602473814035</v>
      </c>
    </row>
    <row r="54" spans="1:6" x14ac:dyDescent="0.25">
      <c r="A54" s="10">
        <v>36874</v>
      </c>
      <c r="B54" s="12">
        <f t="shared" si="0"/>
        <v>12</v>
      </c>
      <c r="C54" s="12">
        <f t="shared" si="1"/>
        <v>2000</v>
      </c>
      <c r="D54" s="13">
        <v>3200</v>
      </c>
      <c r="E54" s="13">
        <v>27.933</v>
      </c>
      <c r="F54" s="13">
        <f t="shared" si="2"/>
        <v>114.55983961622454</v>
      </c>
    </row>
    <row r="55" spans="1:6" x14ac:dyDescent="0.25">
      <c r="A55" s="10">
        <v>36875</v>
      </c>
      <c r="B55" s="12">
        <f t="shared" si="0"/>
        <v>12</v>
      </c>
      <c r="C55" s="12">
        <f t="shared" si="1"/>
        <v>2000</v>
      </c>
      <c r="D55" s="13">
        <v>3200</v>
      </c>
      <c r="E55" s="13">
        <v>27.960999999999999</v>
      </c>
      <c r="F55" s="13">
        <f t="shared" si="2"/>
        <v>114.44511998855549</v>
      </c>
    </row>
    <row r="56" spans="1:6" x14ac:dyDescent="0.25">
      <c r="A56" s="10">
        <v>36878</v>
      </c>
      <c r="B56" s="12">
        <f t="shared" si="0"/>
        <v>12</v>
      </c>
      <c r="C56" s="12">
        <f t="shared" si="1"/>
        <v>2000</v>
      </c>
      <c r="D56" s="13">
        <v>3250</v>
      </c>
      <c r="E56" s="13">
        <v>27.978999999999999</v>
      </c>
      <c r="F56" s="13">
        <f t="shared" si="2"/>
        <v>116.15854748204011</v>
      </c>
    </row>
    <row r="57" spans="1:6" x14ac:dyDescent="0.25">
      <c r="A57" s="10">
        <v>36879</v>
      </c>
      <c r="B57" s="12">
        <f t="shared" si="0"/>
        <v>12</v>
      </c>
      <c r="C57" s="12">
        <f t="shared" si="1"/>
        <v>2000</v>
      </c>
      <c r="D57" s="13">
        <v>3250</v>
      </c>
      <c r="E57" s="13">
        <v>27.954999999999998</v>
      </c>
      <c r="F57" s="13">
        <f t="shared" si="2"/>
        <v>116.25827222321588</v>
      </c>
    </row>
    <row r="58" spans="1:6" x14ac:dyDescent="0.25">
      <c r="A58" s="10">
        <v>36880</v>
      </c>
      <c r="B58" s="12">
        <f t="shared" si="0"/>
        <v>12</v>
      </c>
      <c r="C58" s="12">
        <f t="shared" si="1"/>
        <v>2000</v>
      </c>
      <c r="D58" s="13">
        <v>3250</v>
      </c>
      <c r="E58" s="13">
        <v>27.962</v>
      </c>
      <c r="F58" s="13">
        <f t="shared" si="2"/>
        <v>116.22916815678421</v>
      </c>
    </row>
    <row r="59" spans="1:6" x14ac:dyDescent="0.25">
      <c r="A59" s="10">
        <v>36881</v>
      </c>
      <c r="B59" s="12">
        <f t="shared" si="0"/>
        <v>12</v>
      </c>
      <c r="C59" s="12">
        <f t="shared" si="1"/>
        <v>2000</v>
      </c>
      <c r="D59" s="13">
        <v>3250</v>
      </c>
      <c r="E59" s="13">
        <v>27.963999999999999</v>
      </c>
      <c r="F59" s="13">
        <f t="shared" si="2"/>
        <v>116.22085538549564</v>
      </c>
    </row>
    <row r="60" spans="1:6" x14ac:dyDescent="0.25">
      <c r="A60" s="10">
        <v>36882</v>
      </c>
      <c r="B60" s="12">
        <f t="shared" si="0"/>
        <v>12</v>
      </c>
      <c r="C60" s="12">
        <f t="shared" si="1"/>
        <v>2000</v>
      </c>
      <c r="D60" s="13">
        <v>3250</v>
      </c>
      <c r="E60" s="13">
        <v>27.994</v>
      </c>
      <c r="F60" s="13">
        <f t="shared" si="2"/>
        <v>116.09630635136101</v>
      </c>
    </row>
    <row r="61" spans="1:6" x14ac:dyDescent="0.25">
      <c r="A61" s="10">
        <v>36886</v>
      </c>
      <c r="B61" s="12">
        <f t="shared" si="0"/>
        <v>12</v>
      </c>
      <c r="C61" s="12">
        <f t="shared" si="1"/>
        <v>2000</v>
      </c>
      <c r="D61" s="13">
        <v>3250</v>
      </c>
      <c r="E61" s="13">
        <v>28.163</v>
      </c>
      <c r="F61" s="13">
        <f t="shared" si="2"/>
        <v>115.39963782267515</v>
      </c>
    </row>
    <row r="62" spans="1:6" x14ac:dyDescent="0.25">
      <c r="A62" s="10">
        <v>36887</v>
      </c>
      <c r="B62" s="12">
        <f t="shared" si="0"/>
        <v>12</v>
      </c>
      <c r="C62" s="12">
        <f t="shared" si="1"/>
        <v>2000</v>
      </c>
      <c r="D62" s="13">
        <v>3250</v>
      </c>
      <c r="E62" s="13">
        <v>28.402000000000001</v>
      </c>
      <c r="F62" s="13">
        <f t="shared" si="2"/>
        <v>114.42856136891768</v>
      </c>
    </row>
    <row r="63" spans="1:6" x14ac:dyDescent="0.25">
      <c r="A63" s="10">
        <v>36888</v>
      </c>
      <c r="B63" s="12">
        <f t="shared" si="0"/>
        <v>12</v>
      </c>
      <c r="C63" s="12">
        <f t="shared" si="1"/>
        <v>2000</v>
      </c>
      <c r="D63" s="13">
        <v>3250</v>
      </c>
      <c r="E63" s="13">
        <v>28.518000000000001</v>
      </c>
      <c r="F63" s="13">
        <f t="shared" si="2"/>
        <v>113.96311101760291</v>
      </c>
    </row>
    <row r="64" spans="1:6" x14ac:dyDescent="0.25">
      <c r="A64" s="10">
        <v>36889</v>
      </c>
      <c r="B64" s="12">
        <f t="shared" si="0"/>
        <v>12</v>
      </c>
      <c r="C64" s="12">
        <f t="shared" si="1"/>
        <v>2000</v>
      </c>
      <c r="D64" s="13">
        <v>3250</v>
      </c>
      <c r="E64" s="13">
        <v>28.530999999999999</v>
      </c>
      <c r="F64" s="13">
        <f t="shared" si="2"/>
        <v>113.91118432582104</v>
      </c>
    </row>
    <row r="65" spans="1:6" x14ac:dyDescent="0.25">
      <c r="A65" s="10">
        <v>36893</v>
      </c>
      <c r="B65" s="12">
        <f t="shared" si="0"/>
        <v>1</v>
      </c>
      <c r="C65" s="12">
        <f t="shared" si="1"/>
        <v>2001</v>
      </c>
      <c r="D65" s="13">
        <v>3250</v>
      </c>
      <c r="E65" s="13">
        <v>28.533000000000001</v>
      </c>
      <c r="F65" s="13">
        <f t="shared" si="2"/>
        <v>113.90319980373602</v>
      </c>
    </row>
    <row r="66" spans="1:6" x14ac:dyDescent="0.25">
      <c r="A66" s="10">
        <v>36894</v>
      </c>
      <c r="B66" s="12">
        <f t="shared" si="0"/>
        <v>1</v>
      </c>
      <c r="C66" s="12">
        <f t="shared" si="1"/>
        <v>2001</v>
      </c>
      <c r="D66" s="13">
        <v>3250</v>
      </c>
      <c r="E66" s="13">
        <v>28.565000000000001</v>
      </c>
      <c r="F66" s="13">
        <f t="shared" si="2"/>
        <v>113.77559950988972</v>
      </c>
    </row>
    <row r="67" spans="1:6" x14ac:dyDescent="0.25">
      <c r="A67" s="10">
        <v>36895</v>
      </c>
      <c r="B67" s="12">
        <f t="shared" ref="B67:B130" si="3">MONTH(A67)</f>
        <v>1</v>
      </c>
      <c r="C67" s="12">
        <f t="shared" ref="C67:C130" si="4">YEAR(A67)</f>
        <v>2001</v>
      </c>
      <c r="D67" s="13">
        <v>3250</v>
      </c>
      <c r="E67" s="13">
        <v>28.382000000000001</v>
      </c>
      <c r="F67" s="13">
        <f t="shared" ref="F67:F130" si="5">IF(D67="","",D67/E67)</f>
        <v>114.50919596927629</v>
      </c>
    </row>
    <row r="68" spans="1:6" x14ac:dyDescent="0.25">
      <c r="A68" s="10">
        <v>36896</v>
      </c>
      <c r="B68" s="12">
        <f t="shared" si="3"/>
        <v>1</v>
      </c>
      <c r="C68" s="12">
        <f t="shared" si="4"/>
        <v>2001</v>
      </c>
      <c r="D68" s="13">
        <v>3250</v>
      </c>
      <c r="E68" s="13">
        <v>28.428999999999998</v>
      </c>
      <c r="F68" s="13">
        <f t="shared" si="5"/>
        <v>114.31988462485491</v>
      </c>
    </row>
    <row r="69" spans="1:6" x14ac:dyDescent="0.25">
      <c r="A69" s="10">
        <v>36899</v>
      </c>
      <c r="B69" s="12">
        <f t="shared" si="3"/>
        <v>1</v>
      </c>
      <c r="C69" s="12">
        <f t="shared" si="4"/>
        <v>2001</v>
      </c>
      <c r="D69" s="13">
        <v>3325</v>
      </c>
      <c r="E69" s="13">
        <v>28.416</v>
      </c>
      <c r="F69" s="13">
        <f t="shared" si="5"/>
        <v>117.0115427927928</v>
      </c>
    </row>
    <row r="70" spans="1:6" x14ac:dyDescent="0.25">
      <c r="A70" s="10">
        <v>36900</v>
      </c>
      <c r="B70" s="12">
        <f t="shared" si="3"/>
        <v>1</v>
      </c>
      <c r="C70" s="12">
        <f t="shared" si="4"/>
        <v>2001</v>
      </c>
      <c r="D70" s="13">
        <v>3325</v>
      </c>
      <c r="E70" s="13">
        <v>28.385999999999999</v>
      </c>
      <c r="F70" s="13">
        <f t="shared" si="5"/>
        <v>117.13520749665328</v>
      </c>
    </row>
    <row r="71" spans="1:6" x14ac:dyDescent="0.25">
      <c r="A71" s="10">
        <v>36901</v>
      </c>
      <c r="B71" s="12">
        <f t="shared" si="3"/>
        <v>1</v>
      </c>
      <c r="C71" s="12">
        <f t="shared" si="4"/>
        <v>2001</v>
      </c>
      <c r="D71" s="13">
        <v>3325</v>
      </c>
      <c r="E71" s="13">
        <v>28.436</v>
      </c>
      <c r="F71" s="13">
        <f t="shared" si="5"/>
        <v>116.92924461949642</v>
      </c>
    </row>
    <row r="72" spans="1:6" x14ac:dyDescent="0.25">
      <c r="A72" s="10">
        <v>36902</v>
      </c>
      <c r="B72" s="12">
        <f t="shared" si="3"/>
        <v>1</v>
      </c>
      <c r="C72" s="12">
        <f t="shared" si="4"/>
        <v>2001</v>
      </c>
      <c r="D72" s="13">
        <v>3325</v>
      </c>
      <c r="E72" s="13">
        <v>28.318000000000001</v>
      </c>
      <c r="F72" s="13">
        <f t="shared" si="5"/>
        <v>117.41648421498692</v>
      </c>
    </row>
    <row r="73" spans="1:6" x14ac:dyDescent="0.25">
      <c r="A73" s="10">
        <v>36903</v>
      </c>
      <c r="B73" s="12">
        <f t="shared" si="3"/>
        <v>1</v>
      </c>
      <c r="C73" s="12">
        <f t="shared" si="4"/>
        <v>2001</v>
      </c>
      <c r="D73" s="13">
        <v>3325</v>
      </c>
      <c r="E73" s="13">
        <v>28.312999999999999</v>
      </c>
      <c r="F73" s="13">
        <f t="shared" si="5"/>
        <v>117.43721965175008</v>
      </c>
    </row>
    <row r="74" spans="1:6" x14ac:dyDescent="0.25">
      <c r="A74" s="10">
        <v>36907</v>
      </c>
      <c r="B74" s="12">
        <f t="shared" si="3"/>
        <v>1</v>
      </c>
      <c r="C74" s="12">
        <f t="shared" si="4"/>
        <v>2001</v>
      </c>
      <c r="D74" s="13">
        <v>3325</v>
      </c>
      <c r="E74" s="13">
        <v>28.359000000000002</v>
      </c>
      <c r="F74" s="13">
        <f t="shared" si="5"/>
        <v>117.24672943333685</v>
      </c>
    </row>
    <row r="75" spans="1:6" x14ac:dyDescent="0.25">
      <c r="A75" s="10">
        <v>36908</v>
      </c>
      <c r="B75" s="12">
        <f t="shared" si="3"/>
        <v>1</v>
      </c>
      <c r="C75" s="12">
        <f t="shared" si="4"/>
        <v>2001</v>
      </c>
      <c r="D75" s="13">
        <v>3325</v>
      </c>
      <c r="E75" s="13">
        <v>28.411000000000001</v>
      </c>
      <c r="F75" s="13">
        <f t="shared" si="5"/>
        <v>117.03213544049839</v>
      </c>
    </row>
    <row r="76" spans="1:6" x14ac:dyDescent="0.25">
      <c r="A76" s="10">
        <v>36909</v>
      </c>
      <c r="B76" s="12">
        <f t="shared" si="3"/>
        <v>1</v>
      </c>
      <c r="C76" s="12">
        <f t="shared" si="4"/>
        <v>2001</v>
      </c>
      <c r="D76" s="13">
        <v>3325</v>
      </c>
      <c r="E76" s="13">
        <v>28.352</v>
      </c>
      <c r="F76" s="13">
        <f t="shared" si="5"/>
        <v>117.27567720090293</v>
      </c>
    </row>
    <row r="77" spans="1:6" x14ac:dyDescent="0.25">
      <c r="A77" s="10">
        <v>36910</v>
      </c>
      <c r="B77" s="12">
        <f t="shared" si="3"/>
        <v>1</v>
      </c>
      <c r="C77" s="12">
        <f t="shared" si="4"/>
        <v>2001</v>
      </c>
      <c r="D77" s="13">
        <v>3325</v>
      </c>
      <c r="E77" s="13">
        <v>28.346</v>
      </c>
      <c r="F77" s="13">
        <f t="shared" si="5"/>
        <v>117.30050095251535</v>
      </c>
    </row>
    <row r="78" spans="1:6" x14ac:dyDescent="0.25">
      <c r="A78" s="10">
        <v>36913</v>
      </c>
      <c r="B78" s="12">
        <f t="shared" si="3"/>
        <v>1</v>
      </c>
      <c r="C78" s="12">
        <f t="shared" si="4"/>
        <v>2001</v>
      </c>
      <c r="D78" s="13">
        <v>3625</v>
      </c>
      <c r="E78" s="13">
        <v>28.4</v>
      </c>
      <c r="F78" s="13">
        <f t="shared" si="5"/>
        <v>127.64084507042254</v>
      </c>
    </row>
    <row r="79" spans="1:6" x14ac:dyDescent="0.25">
      <c r="A79" s="10">
        <v>36914</v>
      </c>
      <c r="B79" s="12">
        <f t="shared" si="3"/>
        <v>1</v>
      </c>
      <c r="C79" s="12">
        <f t="shared" si="4"/>
        <v>2001</v>
      </c>
      <c r="D79" s="13">
        <v>3625</v>
      </c>
      <c r="E79" s="13">
        <v>28.391999999999999</v>
      </c>
      <c r="F79" s="13">
        <f t="shared" si="5"/>
        <v>127.67681036911806</v>
      </c>
    </row>
    <row r="80" spans="1:6" x14ac:dyDescent="0.25">
      <c r="A80" s="10">
        <v>36915</v>
      </c>
      <c r="B80" s="12">
        <f t="shared" si="3"/>
        <v>1</v>
      </c>
      <c r="C80" s="12">
        <f t="shared" si="4"/>
        <v>2001</v>
      </c>
      <c r="D80" s="13">
        <v>3625</v>
      </c>
      <c r="E80" s="13">
        <v>28.420999999999999</v>
      </c>
      <c r="F80" s="13">
        <f t="shared" si="5"/>
        <v>127.5465324935787</v>
      </c>
    </row>
    <row r="81" spans="1:6" x14ac:dyDescent="0.25">
      <c r="A81" s="10">
        <v>36916</v>
      </c>
      <c r="B81" s="12">
        <f t="shared" si="3"/>
        <v>1</v>
      </c>
      <c r="C81" s="12">
        <f t="shared" si="4"/>
        <v>2001</v>
      </c>
      <c r="D81" s="13">
        <v>3625</v>
      </c>
      <c r="E81" s="13">
        <v>28.372</v>
      </c>
      <c r="F81" s="13">
        <f t="shared" si="5"/>
        <v>127.76681235020443</v>
      </c>
    </row>
    <row r="82" spans="1:6" x14ac:dyDescent="0.25">
      <c r="A82" s="10">
        <v>36917</v>
      </c>
      <c r="B82" s="12">
        <f t="shared" si="3"/>
        <v>1</v>
      </c>
      <c r="C82" s="12">
        <f t="shared" si="4"/>
        <v>2001</v>
      </c>
      <c r="D82" s="13">
        <v>3625</v>
      </c>
      <c r="E82" s="13">
        <v>28.369</v>
      </c>
      <c r="F82" s="13">
        <f t="shared" si="5"/>
        <v>127.78032359265396</v>
      </c>
    </row>
    <row r="83" spans="1:6" x14ac:dyDescent="0.25">
      <c r="A83" s="10">
        <v>36920</v>
      </c>
      <c r="B83" s="12">
        <f t="shared" si="3"/>
        <v>1</v>
      </c>
      <c r="C83" s="12">
        <f t="shared" si="4"/>
        <v>2001</v>
      </c>
      <c r="D83" s="13">
        <v>3900</v>
      </c>
      <c r="E83" s="13">
        <v>28.364999999999998</v>
      </c>
      <c r="F83" s="13">
        <f t="shared" si="5"/>
        <v>137.49338974087786</v>
      </c>
    </row>
    <row r="84" spans="1:6" x14ac:dyDescent="0.25">
      <c r="A84" s="10">
        <v>36921</v>
      </c>
      <c r="B84" s="12">
        <f t="shared" si="3"/>
        <v>1</v>
      </c>
      <c r="C84" s="12">
        <f t="shared" si="4"/>
        <v>2001</v>
      </c>
      <c r="D84" s="13">
        <v>3900</v>
      </c>
      <c r="E84" s="13">
        <v>28.41</v>
      </c>
      <c r="F84" s="13">
        <f t="shared" si="5"/>
        <v>137.27560718057023</v>
      </c>
    </row>
    <row r="85" spans="1:6" x14ac:dyDescent="0.25">
      <c r="A85" s="10">
        <v>36922</v>
      </c>
      <c r="B85" s="12">
        <f t="shared" si="3"/>
        <v>1</v>
      </c>
      <c r="C85" s="12">
        <f t="shared" si="4"/>
        <v>2001</v>
      </c>
      <c r="D85" s="13">
        <v>3900</v>
      </c>
      <c r="E85" s="13">
        <v>28.463999999999999</v>
      </c>
      <c r="F85" s="13">
        <f t="shared" si="5"/>
        <v>137.01517706576729</v>
      </c>
    </row>
    <row r="86" spans="1:6" x14ac:dyDescent="0.25">
      <c r="A86" s="10">
        <v>36923</v>
      </c>
      <c r="B86" s="12">
        <f t="shared" si="3"/>
        <v>2</v>
      </c>
      <c r="C86" s="12">
        <f t="shared" si="4"/>
        <v>2001</v>
      </c>
      <c r="D86" s="13">
        <v>3900</v>
      </c>
      <c r="E86" s="13">
        <v>28.452000000000002</v>
      </c>
      <c r="F86" s="13">
        <f t="shared" si="5"/>
        <v>137.07296499367354</v>
      </c>
    </row>
    <row r="87" spans="1:6" x14ac:dyDescent="0.25">
      <c r="A87" s="10">
        <v>36924</v>
      </c>
      <c r="B87" s="12">
        <f t="shared" si="3"/>
        <v>2</v>
      </c>
      <c r="C87" s="12">
        <f t="shared" si="4"/>
        <v>2001</v>
      </c>
      <c r="D87" s="13">
        <v>3900</v>
      </c>
      <c r="E87" s="13">
        <v>28.449000000000002</v>
      </c>
      <c r="F87" s="13">
        <f t="shared" si="5"/>
        <v>137.0874195929558</v>
      </c>
    </row>
    <row r="88" spans="1:6" x14ac:dyDescent="0.25">
      <c r="A88" s="10">
        <v>36927</v>
      </c>
      <c r="B88" s="12">
        <f t="shared" si="3"/>
        <v>2</v>
      </c>
      <c r="C88" s="12">
        <f t="shared" si="4"/>
        <v>2001</v>
      </c>
      <c r="D88" s="13">
        <v>4025</v>
      </c>
      <c r="E88" s="13">
        <v>28.452000000000002</v>
      </c>
      <c r="F88" s="13">
        <f t="shared" si="5"/>
        <v>141.46632925629129</v>
      </c>
    </row>
    <row r="89" spans="1:6" x14ac:dyDescent="0.25">
      <c r="A89" s="10">
        <v>36928</v>
      </c>
      <c r="B89" s="12">
        <f t="shared" si="3"/>
        <v>2</v>
      </c>
      <c r="C89" s="12">
        <f t="shared" si="4"/>
        <v>2001</v>
      </c>
      <c r="D89" s="13">
        <v>4025</v>
      </c>
      <c r="E89" s="13">
        <v>28.471</v>
      </c>
      <c r="F89" s="13">
        <f t="shared" si="5"/>
        <v>141.37192230690877</v>
      </c>
    </row>
    <row r="90" spans="1:6" x14ac:dyDescent="0.25">
      <c r="A90" s="10">
        <v>36929</v>
      </c>
      <c r="B90" s="12">
        <f t="shared" si="3"/>
        <v>2</v>
      </c>
      <c r="C90" s="12">
        <f t="shared" si="4"/>
        <v>2001</v>
      </c>
      <c r="D90" s="13">
        <v>4025</v>
      </c>
      <c r="E90" s="13">
        <v>28.484999999999999</v>
      </c>
      <c r="F90" s="13">
        <f t="shared" si="5"/>
        <v>141.30243988063893</v>
      </c>
    </row>
    <row r="91" spans="1:6" x14ac:dyDescent="0.25">
      <c r="A91" s="10">
        <v>36930</v>
      </c>
      <c r="B91" s="12">
        <f t="shared" si="3"/>
        <v>2</v>
      </c>
      <c r="C91" s="12">
        <f t="shared" si="4"/>
        <v>2001</v>
      </c>
      <c r="D91" s="13">
        <v>4025</v>
      </c>
      <c r="E91" s="13">
        <v>28.553999999999998</v>
      </c>
      <c r="F91" s="13">
        <f t="shared" si="5"/>
        <v>140.96098620158298</v>
      </c>
    </row>
    <row r="92" spans="1:6" x14ac:dyDescent="0.25">
      <c r="A92" s="10">
        <v>36931</v>
      </c>
      <c r="B92" s="12">
        <f t="shared" si="3"/>
        <v>2</v>
      </c>
      <c r="C92" s="12">
        <f t="shared" si="4"/>
        <v>2001</v>
      </c>
      <c r="D92" s="13">
        <v>4025</v>
      </c>
      <c r="E92" s="13">
        <v>28.673999999999999</v>
      </c>
      <c r="F92" s="13">
        <f t="shared" si="5"/>
        <v>140.37106786635977</v>
      </c>
    </row>
    <row r="93" spans="1:6" x14ac:dyDescent="0.25">
      <c r="A93" s="10">
        <v>36934</v>
      </c>
      <c r="B93" s="12">
        <f t="shared" si="3"/>
        <v>2</v>
      </c>
      <c r="C93" s="12">
        <f t="shared" si="4"/>
        <v>2001</v>
      </c>
      <c r="D93" s="13">
        <v>4250</v>
      </c>
      <c r="E93" s="13">
        <v>28.672999999999998</v>
      </c>
      <c r="F93" s="13">
        <f t="shared" si="5"/>
        <v>148.2230669968263</v>
      </c>
    </row>
    <row r="94" spans="1:6" x14ac:dyDescent="0.25">
      <c r="A94" s="10">
        <v>36935</v>
      </c>
      <c r="B94" s="12">
        <f t="shared" si="3"/>
        <v>2</v>
      </c>
      <c r="C94" s="12">
        <f t="shared" si="4"/>
        <v>2001</v>
      </c>
      <c r="D94" s="13">
        <v>4250</v>
      </c>
      <c r="E94" s="13">
        <v>28.692</v>
      </c>
      <c r="F94" s="13">
        <f t="shared" si="5"/>
        <v>148.1249128676983</v>
      </c>
    </row>
    <row r="95" spans="1:6" x14ac:dyDescent="0.25">
      <c r="A95" s="10">
        <v>36936</v>
      </c>
      <c r="B95" s="12">
        <f t="shared" si="3"/>
        <v>2</v>
      </c>
      <c r="C95" s="12">
        <f t="shared" si="4"/>
        <v>2001</v>
      </c>
      <c r="D95" s="13">
        <v>4250</v>
      </c>
      <c r="E95" s="13">
        <v>28.689</v>
      </c>
      <c r="F95" s="13">
        <f t="shared" si="5"/>
        <v>148.14040224476281</v>
      </c>
    </row>
    <row r="96" spans="1:6" x14ac:dyDescent="0.25">
      <c r="A96" s="10">
        <v>36937</v>
      </c>
      <c r="B96" s="12">
        <f t="shared" si="3"/>
        <v>2</v>
      </c>
      <c r="C96" s="12">
        <f t="shared" si="4"/>
        <v>2001</v>
      </c>
      <c r="D96" s="13">
        <v>4250</v>
      </c>
      <c r="E96" s="13">
        <v>28.69</v>
      </c>
      <c r="F96" s="13">
        <f t="shared" si="5"/>
        <v>148.13523875914953</v>
      </c>
    </row>
    <row r="97" spans="1:6" x14ac:dyDescent="0.25">
      <c r="A97" s="10">
        <v>36938</v>
      </c>
      <c r="B97" s="12">
        <f t="shared" si="3"/>
        <v>2</v>
      </c>
      <c r="C97" s="12">
        <f t="shared" si="4"/>
        <v>2001</v>
      </c>
      <c r="D97" s="13">
        <v>4250</v>
      </c>
      <c r="E97" s="13">
        <v>28.673999999999999</v>
      </c>
      <c r="F97" s="13">
        <f t="shared" si="5"/>
        <v>148.21789774708796</v>
      </c>
    </row>
    <row r="98" spans="1:6" x14ac:dyDescent="0.25">
      <c r="A98" s="10">
        <v>36942</v>
      </c>
      <c r="B98" s="12">
        <f t="shared" si="3"/>
        <v>2</v>
      </c>
      <c r="C98" s="12">
        <f t="shared" si="4"/>
        <v>2001</v>
      </c>
      <c r="D98" s="13">
        <v>4350</v>
      </c>
      <c r="E98" s="13">
        <v>28.692</v>
      </c>
      <c r="F98" s="13">
        <f t="shared" si="5"/>
        <v>151.61020493517356</v>
      </c>
    </row>
    <row r="99" spans="1:6" x14ac:dyDescent="0.25">
      <c r="A99" s="10">
        <v>36943</v>
      </c>
      <c r="B99" s="12">
        <f t="shared" si="3"/>
        <v>2</v>
      </c>
      <c r="C99" s="12">
        <f t="shared" si="4"/>
        <v>2001</v>
      </c>
      <c r="D99" s="13">
        <v>4350</v>
      </c>
      <c r="E99" s="13">
        <v>28.678000000000001</v>
      </c>
      <c r="F99" s="13">
        <f t="shared" si="5"/>
        <v>151.68421786735476</v>
      </c>
    </row>
    <row r="100" spans="1:6" x14ac:dyDescent="0.25">
      <c r="A100" s="10">
        <v>36944</v>
      </c>
      <c r="B100" s="12">
        <f t="shared" si="3"/>
        <v>2</v>
      </c>
      <c r="C100" s="12">
        <f t="shared" si="4"/>
        <v>2001</v>
      </c>
      <c r="D100" s="13">
        <v>4350</v>
      </c>
      <c r="E100" s="13">
        <v>28.690999999999999</v>
      </c>
      <c r="F100" s="13">
        <f t="shared" si="5"/>
        <v>151.61548917779095</v>
      </c>
    </row>
    <row r="101" spans="1:6" x14ac:dyDescent="0.25">
      <c r="A101" s="10">
        <v>36945</v>
      </c>
      <c r="B101" s="12">
        <f t="shared" si="3"/>
        <v>2</v>
      </c>
      <c r="C101" s="12">
        <f t="shared" si="4"/>
        <v>2001</v>
      </c>
      <c r="D101" s="13">
        <v>4350</v>
      </c>
      <c r="E101" s="13">
        <v>28.768999999999998</v>
      </c>
      <c r="F101" s="13">
        <f t="shared" si="5"/>
        <v>151.20442142584031</v>
      </c>
    </row>
    <row r="102" spans="1:6" x14ac:dyDescent="0.25">
      <c r="A102" s="10">
        <v>36948</v>
      </c>
      <c r="B102" s="12">
        <f t="shared" si="3"/>
        <v>2</v>
      </c>
      <c r="C102" s="12">
        <f t="shared" si="4"/>
        <v>2001</v>
      </c>
      <c r="D102" s="13">
        <v>4350</v>
      </c>
      <c r="E102" s="13">
        <v>28.734000000000002</v>
      </c>
      <c r="F102" s="13">
        <f t="shared" si="5"/>
        <v>151.38859887241594</v>
      </c>
    </row>
    <row r="103" spans="1:6" x14ac:dyDescent="0.25">
      <c r="A103" s="10">
        <v>36949</v>
      </c>
      <c r="B103" s="12">
        <f t="shared" si="3"/>
        <v>2</v>
      </c>
      <c r="C103" s="12">
        <f t="shared" si="4"/>
        <v>2001</v>
      </c>
      <c r="D103" s="13">
        <v>4350</v>
      </c>
      <c r="E103" s="13">
        <v>28.754000000000001</v>
      </c>
      <c r="F103" s="13">
        <f t="shared" si="5"/>
        <v>151.28329971482228</v>
      </c>
    </row>
    <row r="104" spans="1:6" x14ac:dyDescent="0.25">
      <c r="A104" s="10">
        <v>36950</v>
      </c>
      <c r="B104" s="12">
        <f t="shared" si="3"/>
        <v>2</v>
      </c>
      <c r="C104" s="12">
        <f t="shared" si="4"/>
        <v>2001</v>
      </c>
      <c r="D104" s="13">
        <v>4350</v>
      </c>
      <c r="E104" s="13">
        <v>28.661999999999999</v>
      </c>
      <c r="F104" s="13">
        <f t="shared" si="5"/>
        <v>151.76889261042496</v>
      </c>
    </row>
    <row r="105" spans="1:6" x14ac:dyDescent="0.25">
      <c r="A105" s="10">
        <v>36951</v>
      </c>
      <c r="B105" s="12">
        <f t="shared" si="3"/>
        <v>3</v>
      </c>
      <c r="C105" s="12">
        <f t="shared" si="4"/>
        <v>2001</v>
      </c>
      <c r="D105" s="13">
        <v>4350</v>
      </c>
      <c r="E105" s="13">
        <v>28.672000000000001</v>
      </c>
      <c r="F105" s="13">
        <f t="shared" si="5"/>
        <v>151.71595982142856</v>
      </c>
    </row>
    <row r="106" spans="1:6" x14ac:dyDescent="0.25">
      <c r="A106" s="10">
        <v>36952</v>
      </c>
      <c r="B106" s="12">
        <f t="shared" si="3"/>
        <v>3</v>
      </c>
      <c r="C106" s="12">
        <f t="shared" si="4"/>
        <v>2001</v>
      </c>
      <c r="D106" s="13">
        <v>4350</v>
      </c>
      <c r="E106" s="13">
        <v>28.667999999999999</v>
      </c>
      <c r="F106" s="13">
        <f t="shared" si="5"/>
        <v>151.7371285056509</v>
      </c>
    </row>
    <row r="107" spans="1:6" x14ac:dyDescent="0.25">
      <c r="A107" s="10">
        <v>36955</v>
      </c>
      <c r="B107" s="12">
        <f t="shared" si="3"/>
        <v>3</v>
      </c>
      <c r="C107" s="12">
        <f t="shared" si="4"/>
        <v>2001</v>
      </c>
      <c r="D107" s="13">
        <v>4350</v>
      </c>
      <c r="E107" s="13">
        <v>28.675999999999998</v>
      </c>
      <c r="F107" s="13">
        <f t="shared" si="5"/>
        <v>151.69479704282327</v>
      </c>
    </row>
    <row r="108" spans="1:6" x14ac:dyDescent="0.25">
      <c r="A108" s="10">
        <v>36956</v>
      </c>
      <c r="B108" s="12">
        <f t="shared" si="3"/>
        <v>3</v>
      </c>
      <c r="C108" s="12">
        <f t="shared" si="4"/>
        <v>2001</v>
      </c>
      <c r="D108" s="13">
        <v>4350</v>
      </c>
      <c r="E108" s="13">
        <v>28.661999999999999</v>
      </c>
      <c r="F108" s="13">
        <f t="shared" si="5"/>
        <v>151.76889261042496</v>
      </c>
    </row>
    <row r="109" spans="1:6" x14ac:dyDescent="0.25">
      <c r="A109" s="10">
        <v>36957</v>
      </c>
      <c r="B109" s="12">
        <f t="shared" si="3"/>
        <v>3</v>
      </c>
      <c r="C109" s="12">
        <f t="shared" si="4"/>
        <v>2001</v>
      </c>
      <c r="D109" s="13">
        <v>4350</v>
      </c>
      <c r="E109" s="13">
        <v>28.666</v>
      </c>
      <c r="F109" s="13">
        <f t="shared" si="5"/>
        <v>151.74771506314102</v>
      </c>
    </row>
    <row r="110" spans="1:6" x14ac:dyDescent="0.25">
      <c r="A110" s="10">
        <v>36958</v>
      </c>
      <c r="B110" s="12">
        <f t="shared" si="3"/>
        <v>3</v>
      </c>
      <c r="C110" s="12">
        <f t="shared" si="4"/>
        <v>2001</v>
      </c>
      <c r="D110" s="13">
        <v>4350</v>
      </c>
      <c r="E110" s="13">
        <v>28.657</v>
      </c>
      <c r="F110" s="13">
        <f t="shared" si="5"/>
        <v>151.79537285828943</v>
      </c>
    </row>
    <row r="111" spans="1:6" x14ac:dyDescent="0.25">
      <c r="A111" s="10">
        <v>36959</v>
      </c>
      <c r="B111" s="12">
        <f t="shared" si="3"/>
        <v>3</v>
      </c>
      <c r="C111" s="12">
        <f t="shared" si="4"/>
        <v>2001</v>
      </c>
      <c r="D111" s="13">
        <v>4350</v>
      </c>
      <c r="E111" s="13">
        <v>28.667999999999999</v>
      </c>
      <c r="F111" s="13">
        <f t="shared" si="5"/>
        <v>151.7371285056509</v>
      </c>
    </row>
    <row r="112" spans="1:6" x14ac:dyDescent="0.25">
      <c r="A112" s="10">
        <v>36962</v>
      </c>
      <c r="B112" s="12">
        <f t="shared" si="3"/>
        <v>3</v>
      </c>
      <c r="C112" s="12">
        <f t="shared" si="4"/>
        <v>2001</v>
      </c>
      <c r="D112" s="13">
        <v>4350</v>
      </c>
      <c r="E112" s="13">
        <v>28.664000000000001</v>
      </c>
      <c r="F112" s="13">
        <f t="shared" si="5"/>
        <v>151.7583030979626</v>
      </c>
    </row>
    <row r="113" spans="1:6" x14ac:dyDescent="0.25">
      <c r="A113" s="10">
        <v>36963</v>
      </c>
      <c r="B113" s="12">
        <f t="shared" si="3"/>
        <v>3</v>
      </c>
      <c r="C113" s="12">
        <f t="shared" si="4"/>
        <v>2001</v>
      </c>
      <c r="D113" s="13">
        <v>4350</v>
      </c>
      <c r="E113" s="13">
        <v>28.664000000000001</v>
      </c>
      <c r="F113" s="13">
        <f t="shared" si="5"/>
        <v>151.7583030979626</v>
      </c>
    </row>
    <row r="114" spans="1:6" x14ac:dyDescent="0.25">
      <c r="A114" s="10">
        <v>36964</v>
      </c>
      <c r="B114" s="12">
        <f t="shared" si="3"/>
        <v>3</v>
      </c>
      <c r="C114" s="12">
        <f t="shared" si="4"/>
        <v>2001</v>
      </c>
      <c r="D114" s="13">
        <v>4350</v>
      </c>
      <c r="E114" s="13">
        <v>28.669</v>
      </c>
      <c r="F114" s="13">
        <f t="shared" si="5"/>
        <v>151.73183578080852</v>
      </c>
    </row>
    <row r="115" spans="1:6" x14ac:dyDescent="0.25">
      <c r="A115" s="10">
        <v>36965</v>
      </c>
      <c r="B115" s="12">
        <f t="shared" si="3"/>
        <v>3</v>
      </c>
      <c r="C115" s="12">
        <f t="shared" si="4"/>
        <v>2001</v>
      </c>
      <c r="D115" s="13">
        <v>4350</v>
      </c>
      <c r="E115" s="13">
        <v>28.664999999999999</v>
      </c>
      <c r="F115" s="13">
        <f t="shared" si="5"/>
        <v>151.75300889586603</v>
      </c>
    </row>
    <row r="116" spans="1:6" x14ac:dyDescent="0.25">
      <c r="A116" s="10">
        <v>36966</v>
      </c>
      <c r="B116" s="12">
        <f t="shared" si="3"/>
        <v>3</v>
      </c>
      <c r="C116" s="12">
        <f t="shared" si="4"/>
        <v>2001</v>
      </c>
      <c r="D116" s="13">
        <v>4350</v>
      </c>
      <c r="E116" s="13">
        <v>28.67</v>
      </c>
      <c r="F116" s="13">
        <f t="shared" si="5"/>
        <v>151.72654342518311</v>
      </c>
    </row>
    <row r="117" spans="1:6" x14ac:dyDescent="0.25">
      <c r="A117" s="10">
        <v>36969</v>
      </c>
      <c r="B117" s="12">
        <f t="shared" si="3"/>
        <v>3</v>
      </c>
      <c r="C117" s="12">
        <f t="shared" si="4"/>
        <v>2001</v>
      </c>
      <c r="D117" s="13">
        <v>4350</v>
      </c>
      <c r="E117" s="13">
        <v>28.635999999999999</v>
      </c>
      <c r="F117" s="13">
        <f t="shared" si="5"/>
        <v>151.90669087861434</v>
      </c>
    </row>
    <row r="118" spans="1:6" x14ac:dyDescent="0.25">
      <c r="A118" s="10">
        <v>36970</v>
      </c>
      <c r="B118" s="12">
        <f t="shared" si="3"/>
        <v>3</v>
      </c>
      <c r="C118" s="12">
        <f t="shared" si="4"/>
        <v>2001</v>
      </c>
      <c r="D118" s="13">
        <v>4350</v>
      </c>
      <c r="E118" s="13">
        <v>28.626000000000001</v>
      </c>
      <c r="F118" s="13">
        <f t="shared" si="5"/>
        <v>151.95975686438902</v>
      </c>
    </row>
    <row r="119" spans="1:6" x14ac:dyDescent="0.25">
      <c r="A119" s="10">
        <v>36971</v>
      </c>
      <c r="B119" s="12">
        <f t="shared" si="3"/>
        <v>3</v>
      </c>
      <c r="C119" s="12">
        <f t="shared" si="4"/>
        <v>2001</v>
      </c>
      <c r="D119" s="13">
        <v>4350</v>
      </c>
      <c r="E119" s="13">
        <v>28.734999999999999</v>
      </c>
      <c r="F119" s="13">
        <f t="shared" si="5"/>
        <v>151.38333043326955</v>
      </c>
    </row>
    <row r="120" spans="1:6" x14ac:dyDescent="0.25">
      <c r="A120" s="10">
        <v>36972</v>
      </c>
      <c r="B120" s="12">
        <f t="shared" si="3"/>
        <v>3</v>
      </c>
      <c r="C120" s="12">
        <f t="shared" si="4"/>
        <v>2001</v>
      </c>
      <c r="D120" s="13">
        <v>4350</v>
      </c>
      <c r="E120" s="13">
        <v>28.763999999999999</v>
      </c>
      <c r="F120" s="13">
        <f t="shared" si="5"/>
        <v>151.23070504797664</v>
      </c>
    </row>
    <row r="121" spans="1:6" x14ac:dyDescent="0.25">
      <c r="A121" s="10">
        <v>36973</v>
      </c>
      <c r="B121" s="12">
        <f t="shared" si="3"/>
        <v>3</v>
      </c>
      <c r="C121" s="12">
        <f t="shared" si="4"/>
        <v>2001</v>
      </c>
      <c r="D121" s="13">
        <v>4350</v>
      </c>
      <c r="E121" s="13">
        <v>28.763999999999999</v>
      </c>
      <c r="F121" s="13">
        <f t="shared" si="5"/>
        <v>151.23070504797664</v>
      </c>
    </row>
    <row r="122" spans="1:6" x14ac:dyDescent="0.25">
      <c r="A122" s="10">
        <v>36976</v>
      </c>
      <c r="B122" s="12">
        <f t="shared" si="3"/>
        <v>3</v>
      </c>
      <c r="C122" s="12">
        <f t="shared" si="4"/>
        <v>2001</v>
      </c>
      <c r="D122" s="13">
        <v>4550</v>
      </c>
      <c r="E122" s="13">
        <v>28.739000000000001</v>
      </c>
      <c r="F122" s="13">
        <f t="shared" si="5"/>
        <v>158.32144472667804</v>
      </c>
    </row>
    <row r="123" spans="1:6" x14ac:dyDescent="0.25">
      <c r="A123" s="10">
        <v>36977</v>
      </c>
      <c r="B123" s="12">
        <f t="shared" si="3"/>
        <v>3</v>
      </c>
      <c r="C123" s="12">
        <f t="shared" si="4"/>
        <v>2001</v>
      </c>
      <c r="D123" s="13">
        <v>4550</v>
      </c>
      <c r="E123" s="13">
        <v>28.765999999999998</v>
      </c>
      <c r="F123" s="13">
        <f t="shared" si="5"/>
        <v>158.17284293958147</v>
      </c>
    </row>
    <row r="124" spans="1:6" x14ac:dyDescent="0.25">
      <c r="A124" s="10">
        <v>36978</v>
      </c>
      <c r="B124" s="12">
        <f t="shared" si="3"/>
        <v>3</v>
      </c>
      <c r="C124" s="12">
        <f t="shared" si="4"/>
        <v>2001</v>
      </c>
      <c r="D124" s="13">
        <v>4550</v>
      </c>
      <c r="E124" s="13">
        <v>28.776</v>
      </c>
      <c r="F124" s="13">
        <f t="shared" si="5"/>
        <v>158.11787600778428</v>
      </c>
    </row>
    <row r="125" spans="1:6" x14ac:dyDescent="0.25">
      <c r="A125" s="10">
        <v>36979</v>
      </c>
      <c r="B125" s="12">
        <f t="shared" si="3"/>
        <v>3</v>
      </c>
      <c r="C125" s="12">
        <f t="shared" si="4"/>
        <v>2001</v>
      </c>
      <c r="D125" s="13">
        <v>4550</v>
      </c>
      <c r="E125" s="13">
        <v>28.768000000000001</v>
      </c>
      <c r="F125" s="13">
        <f t="shared" si="5"/>
        <v>158.16184649610679</v>
      </c>
    </row>
    <row r="126" spans="1:6" x14ac:dyDescent="0.25">
      <c r="A126" s="10">
        <v>36980</v>
      </c>
      <c r="B126" s="12">
        <f t="shared" si="3"/>
        <v>3</v>
      </c>
      <c r="C126" s="12">
        <f t="shared" si="4"/>
        <v>2001</v>
      </c>
      <c r="D126" s="13">
        <v>4550</v>
      </c>
      <c r="E126" s="13">
        <v>28.773</v>
      </c>
      <c r="F126" s="13">
        <f t="shared" si="5"/>
        <v>158.13436207555694</v>
      </c>
    </row>
    <row r="127" spans="1:6" x14ac:dyDescent="0.25">
      <c r="A127" s="10">
        <v>36983</v>
      </c>
      <c r="B127" s="12">
        <f t="shared" si="3"/>
        <v>4</v>
      </c>
      <c r="C127" s="12">
        <f t="shared" si="4"/>
        <v>2001</v>
      </c>
      <c r="D127" s="13">
        <v>4700</v>
      </c>
      <c r="E127" s="13">
        <v>28.858000000000001</v>
      </c>
      <c r="F127" s="13">
        <f t="shared" si="5"/>
        <v>162.86644951140065</v>
      </c>
    </row>
    <row r="128" spans="1:6" x14ac:dyDescent="0.25">
      <c r="A128" s="10">
        <v>36984</v>
      </c>
      <c r="B128" s="12">
        <f t="shared" si="3"/>
        <v>4</v>
      </c>
      <c r="C128" s="12">
        <f t="shared" si="4"/>
        <v>2001</v>
      </c>
      <c r="D128" s="13">
        <v>4700</v>
      </c>
      <c r="E128" s="13">
        <v>28.876000000000001</v>
      </c>
      <c r="F128" s="13">
        <f t="shared" si="5"/>
        <v>162.76492589001245</v>
      </c>
    </row>
    <row r="129" spans="1:6" x14ac:dyDescent="0.25">
      <c r="A129" s="10">
        <v>36985</v>
      </c>
      <c r="B129" s="12">
        <f t="shared" si="3"/>
        <v>4</v>
      </c>
      <c r="C129" s="12">
        <f t="shared" si="4"/>
        <v>2001</v>
      </c>
      <c r="D129" s="13">
        <v>4700</v>
      </c>
      <c r="E129" s="13">
        <v>28.875</v>
      </c>
      <c r="F129" s="13">
        <f t="shared" si="5"/>
        <v>162.77056277056278</v>
      </c>
    </row>
    <row r="130" spans="1:6" x14ac:dyDescent="0.25">
      <c r="A130" s="10">
        <v>36986</v>
      </c>
      <c r="B130" s="12">
        <f t="shared" si="3"/>
        <v>4</v>
      </c>
      <c r="C130" s="12">
        <f t="shared" si="4"/>
        <v>2001</v>
      </c>
      <c r="D130" s="13">
        <v>4700</v>
      </c>
      <c r="E130" s="13">
        <v>28.869</v>
      </c>
      <c r="F130" s="13">
        <f t="shared" si="5"/>
        <v>162.80439225466765</v>
      </c>
    </row>
    <row r="131" spans="1:6" x14ac:dyDescent="0.25">
      <c r="A131" s="10">
        <v>36987</v>
      </c>
      <c r="B131" s="12">
        <f t="shared" ref="B131:B194" si="6">MONTH(A131)</f>
        <v>4</v>
      </c>
      <c r="C131" s="12">
        <f t="shared" ref="C131:C194" si="7">YEAR(A131)</f>
        <v>2001</v>
      </c>
      <c r="D131" s="13">
        <v>4700</v>
      </c>
      <c r="E131" s="13">
        <v>28.827999999999999</v>
      </c>
      <c r="F131" s="13">
        <f t="shared" ref="F131:F194" si="8">IF(D131="","",D131/E131)</f>
        <v>163.03593728319689</v>
      </c>
    </row>
    <row r="132" spans="1:6" x14ac:dyDescent="0.25">
      <c r="A132" s="10">
        <v>36990</v>
      </c>
      <c r="B132" s="12">
        <f t="shared" si="6"/>
        <v>4</v>
      </c>
      <c r="C132" s="12">
        <f t="shared" si="7"/>
        <v>2001</v>
      </c>
      <c r="D132" s="13">
        <v>4750</v>
      </c>
      <c r="E132" s="13">
        <v>28.792999999999999</v>
      </c>
      <c r="F132" s="13">
        <f t="shared" si="8"/>
        <v>164.97065258917098</v>
      </c>
    </row>
    <row r="133" spans="1:6" x14ac:dyDescent="0.25">
      <c r="A133" s="10">
        <v>36991</v>
      </c>
      <c r="B133" s="12">
        <f t="shared" si="6"/>
        <v>4</v>
      </c>
      <c r="C133" s="12">
        <f t="shared" si="7"/>
        <v>2001</v>
      </c>
      <c r="D133" s="13">
        <v>4750</v>
      </c>
      <c r="E133" s="13">
        <v>28.859000000000002</v>
      </c>
      <c r="F133" s="13">
        <f t="shared" si="8"/>
        <v>164.59336775356041</v>
      </c>
    </row>
    <row r="134" spans="1:6" x14ac:dyDescent="0.25">
      <c r="A134" s="10">
        <v>36992</v>
      </c>
      <c r="B134" s="12">
        <f t="shared" si="6"/>
        <v>4</v>
      </c>
      <c r="C134" s="12">
        <f t="shared" si="7"/>
        <v>2001</v>
      </c>
      <c r="D134" s="13">
        <v>4750</v>
      </c>
      <c r="E134" s="13">
        <v>28.852</v>
      </c>
      <c r="F134" s="13">
        <f t="shared" si="8"/>
        <v>164.63330098433383</v>
      </c>
    </row>
    <row r="135" spans="1:6" x14ac:dyDescent="0.25">
      <c r="A135" s="10">
        <v>36993</v>
      </c>
      <c r="B135" s="12">
        <f t="shared" si="6"/>
        <v>4</v>
      </c>
      <c r="C135" s="12">
        <f t="shared" si="7"/>
        <v>2001</v>
      </c>
      <c r="D135" s="13">
        <v>4750</v>
      </c>
      <c r="E135" s="13">
        <v>28.85</v>
      </c>
      <c r="F135" s="13">
        <f t="shared" si="8"/>
        <v>164.64471403812823</v>
      </c>
    </row>
    <row r="136" spans="1:6" x14ac:dyDescent="0.25">
      <c r="A136" s="10">
        <v>36997</v>
      </c>
      <c r="B136" s="12">
        <f t="shared" si="6"/>
        <v>4</v>
      </c>
      <c r="C136" s="12">
        <f t="shared" si="7"/>
        <v>2001</v>
      </c>
      <c r="D136" s="13">
        <v>4750</v>
      </c>
      <c r="E136" s="13">
        <v>28.849</v>
      </c>
      <c r="F136" s="13">
        <f t="shared" si="8"/>
        <v>164.65042115844571</v>
      </c>
    </row>
    <row r="137" spans="1:6" x14ac:dyDescent="0.25">
      <c r="A137" s="10">
        <v>36998</v>
      </c>
      <c r="B137" s="12">
        <f t="shared" si="6"/>
        <v>4</v>
      </c>
      <c r="C137" s="12">
        <f t="shared" si="7"/>
        <v>2001</v>
      </c>
      <c r="D137" s="13">
        <v>4750</v>
      </c>
      <c r="E137" s="13">
        <v>28.908000000000001</v>
      </c>
      <c r="F137" s="13">
        <f t="shared" si="8"/>
        <v>164.31437664314376</v>
      </c>
    </row>
    <row r="138" spans="1:6" x14ac:dyDescent="0.25">
      <c r="A138" s="10">
        <v>36999</v>
      </c>
      <c r="B138" s="12">
        <f t="shared" si="6"/>
        <v>4</v>
      </c>
      <c r="C138" s="12">
        <f t="shared" si="7"/>
        <v>2001</v>
      </c>
      <c r="D138" s="13">
        <v>4750</v>
      </c>
      <c r="E138" s="13">
        <v>28.952999999999999</v>
      </c>
      <c r="F138" s="13">
        <f t="shared" si="8"/>
        <v>164.05899215970712</v>
      </c>
    </row>
    <row r="139" spans="1:6" x14ac:dyDescent="0.25">
      <c r="A139" s="10">
        <v>37000</v>
      </c>
      <c r="B139" s="12">
        <f t="shared" si="6"/>
        <v>4</v>
      </c>
      <c r="C139" s="12">
        <f t="shared" si="7"/>
        <v>2001</v>
      </c>
      <c r="D139" s="13">
        <v>4750</v>
      </c>
      <c r="E139" s="13">
        <v>28.904</v>
      </c>
      <c r="F139" s="13">
        <f t="shared" si="8"/>
        <v>164.33711597010793</v>
      </c>
    </row>
    <row r="140" spans="1:6" x14ac:dyDescent="0.25">
      <c r="A140" s="10">
        <v>37001</v>
      </c>
      <c r="B140" s="12">
        <f t="shared" si="6"/>
        <v>4</v>
      </c>
      <c r="C140" s="12">
        <f t="shared" si="7"/>
        <v>2001</v>
      </c>
      <c r="D140" s="13">
        <v>4750</v>
      </c>
      <c r="E140" s="13">
        <v>28.884</v>
      </c>
      <c r="F140" s="13">
        <f t="shared" si="8"/>
        <v>164.45090707658218</v>
      </c>
    </row>
    <row r="141" spans="1:6" x14ac:dyDescent="0.25">
      <c r="A141" s="10">
        <v>37004</v>
      </c>
      <c r="B141" s="12">
        <f t="shared" si="6"/>
        <v>4</v>
      </c>
      <c r="C141" s="12">
        <f t="shared" si="7"/>
        <v>2001</v>
      </c>
      <c r="D141" s="13">
        <v>4750</v>
      </c>
      <c r="E141" s="13">
        <v>28.861000000000001</v>
      </c>
      <c r="F141" s="13">
        <f t="shared" si="8"/>
        <v>164.58196181698486</v>
      </c>
    </row>
    <row r="142" spans="1:6" x14ac:dyDescent="0.25">
      <c r="A142" s="10">
        <v>37005</v>
      </c>
      <c r="B142" s="12">
        <f t="shared" si="6"/>
        <v>4</v>
      </c>
      <c r="C142" s="12">
        <f t="shared" si="7"/>
        <v>2001</v>
      </c>
      <c r="D142" s="13">
        <v>4750</v>
      </c>
      <c r="E142" s="13">
        <v>28.856000000000002</v>
      </c>
      <c r="F142" s="13">
        <f t="shared" si="8"/>
        <v>164.61047962295535</v>
      </c>
    </row>
    <row r="143" spans="1:6" x14ac:dyDescent="0.25">
      <c r="A143" s="10">
        <v>37006</v>
      </c>
      <c r="B143" s="12">
        <f t="shared" si="6"/>
        <v>4</v>
      </c>
      <c r="C143" s="12">
        <f t="shared" si="7"/>
        <v>2001</v>
      </c>
      <c r="D143" s="13">
        <v>4750</v>
      </c>
      <c r="E143" s="13">
        <v>28.867999999999999</v>
      </c>
      <c r="F143" s="13">
        <f t="shared" si="8"/>
        <v>164.54205348482751</v>
      </c>
    </row>
    <row r="144" spans="1:6" x14ac:dyDescent="0.25">
      <c r="A144" s="10">
        <v>37007</v>
      </c>
      <c r="B144" s="12">
        <f t="shared" si="6"/>
        <v>4</v>
      </c>
      <c r="C144" s="12">
        <f t="shared" si="7"/>
        <v>2001</v>
      </c>
      <c r="D144" s="13">
        <v>4750</v>
      </c>
      <c r="E144" s="13">
        <v>28.896999999999998</v>
      </c>
      <c r="F144" s="13">
        <f t="shared" si="8"/>
        <v>164.37692494030523</v>
      </c>
    </row>
    <row r="145" spans="1:6" x14ac:dyDescent="0.25">
      <c r="A145" s="10">
        <v>37008</v>
      </c>
      <c r="B145" s="12">
        <f t="shared" si="6"/>
        <v>4</v>
      </c>
      <c r="C145" s="12">
        <f t="shared" si="7"/>
        <v>2001</v>
      </c>
      <c r="D145" s="13">
        <v>4750</v>
      </c>
      <c r="E145" s="13">
        <v>28.946000000000002</v>
      </c>
      <c r="F145" s="13">
        <f t="shared" si="8"/>
        <v>164.09866648241552</v>
      </c>
    </row>
    <row r="146" spans="1:6" x14ac:dyDescent="0.25">
      <c r="A146" s="10">
        <v>37011</v>
      </c>
      <c r="B146" s="12">
        <f t="shared" si="6"/>
        <v>4</v>
      </c>
      <c r="C146" s="12">
        <f t="shared" si="7"/>
        <v>2001</v>
      </c>
      <c r="D146" s="13">
        <v>4750</v>
      </c>
      <c r="E146" s="13">
        <v>28.934000000000001</v>
      </c>
      <c r="F146" s="13">
        <f t="shared" si="8"/>
        <v>164.16672426902605</v>
      </c>
    </row>
    <row r="147" spans="1:6" x14ac:dyDescent="0.25">
      <c r="A147" s="10">
        <v>37012</v>
      </c>
      <c r="B147" s="12">
        <f t="shared" si="6"/>
        <v>5</v>
      </c>
      <c r="C147" s="12">
        <f t="shared" si="7"/>
        <v>2001</v>
      </c>
      <c r="D147" s="13">
        <v>4750</v>
      </c>
      <c r="E147" s="13">
        <v>28.89</v>
      </c>
      <c r="F147" s="13">
        <f t="shared" si="8"/>
        <v>164.41675320179993</v>
      </c>
    </row>
    <row r="148" spans="1:6" x14ac:dyDescent="0.25">
      <c r="A148" s="10">
        <v>37013</v>
      </c>
      <c r="B148" s="12">
        <f t="shared" si="6"/>
        <v>5</v>
      </c>
      <c r="C148" s="12">
        <f t="shared" si="7"/>
        <v>2001</v>
      </c>
      <c r="D148" s="13">
        <v>4750</v>
      </c>
      <c r="E148" s="13">
        <v>28.92</v>
      </c>
      <c r="F148" s="13">
        <f t="shared" si="8"/>
        <v>164.24619640387274</v>
      </c>
    </row>
    <row r="149" spans="1:6" x14ac:dyDescent="0.25">
      <c r="A149" s="10">
        <v>37014</v>
      </c>
      <c r="B149" s="12">
        <f t="shared" si="6"/>
        <v>5</v>
      </c>
      <c r="C149" s="12">
        <f t="shared" si="7"/>
        <v>2001</v>
      </c>
      <c r="D149" s="13">
        <v>4750</v>
      </c>
      <c r="E149" s="13">
        <v>28.952000000000002</v>
      </c>
      <c r="F149" s="13">
        <f t="shared" si="8"/>
        <v>164.0646587455098</v>
      </c>
    </row>
    <row r="150" spans="1:6" x14ac:dyDescent="0.25">
      <c r="A150" s="10">
        <v>37015</v>
      </c>
      <c r="B150" s="12">
        <f t="shared" si="6"/>
        <v>5</v>
      </c>
      <c r="C150" s="12">
        <f t="shared" si="7"/>
        <v>2001</v>
      </c>
      <c r="D150" s="13">
        <v>4750</v>
      </c>
      <c r="E150" s="13">
        <v>28.966999999999999</v>
      </c>
      <c r="F150" s="13">
        <f t="shared" si="8"/>
        <v>163.97970103911348</v>
      </c>
    </row>
    <row r="151" spans="1:6" x14ac:dyDescent="0.25">
      <c r="A151" s="10">
        <v>37018</v>
      </c>
      <c r="B151" s="12">
        <f t="shared" si="6"/>
        <v>5</v>
      </c>
      <c r="C151" s="12">
        <f t="shared" si="7"/>
        <v>2001</v>
      </c>
      <c r="D151" s="13">
        <v>5500</v>
      </c>
      <c r="E151" s="13">
        <v>28.968</v>
      </c>
      <c r="F151" s="13">
        <f t="shared" si="8"/>
        <v>189.86467826567247</v>
      </c>
    </row>
    <row r="152" spans="1:6" x14ac:dyDescent="0.25">
      <c r="A152" s="10">
        <v>37019</v>
      </c>
      <c r="B152" s="12">
        <f t="shared" si="6"/>
        <v>5</v>
      </c>
      <c r="C152" s="12">
        <f t="shared" si="7"/>
        <v>2001</v>
      </c>
      <c r="D152" s="13">
        <v>5500</v>
      </c>
      <c r="E152" s="13">
        <v>28.966000000000001</v>
      </c>
      <c r="F152" s="13">
        <f t="shared" si="8"/>
        <v>189.87778775115652</v>
      </c>
    </row>
    <row r="153" spans="1:6" x14ac:dyDescent="0.25">
      <c r="A153" s="10">
        <v>37020</v>
      </c>
      <c r="B153" s="12">
        <f t="shared" si="6"/>
        <v>5</v>
      </c>
      <c r="C153" s="12">
        <f t="shared" si="7"/>
        <v>2001</v>
      </c>
      <c r="D153" s="13">
        <v>5500</v>
      </c>
      <c r="E153" s="13">
        <v>28.965</v>
      </c>
      <c r="F153" s="13">
        <f t="shared" si="8"/>
        <v>189.88434317279476</v>
      </c>
    </row>
    <row r="154" spans="1:6" x14ac:dyDescent="0.25">
      <c r="A154" s="10">
        <v>37021</v>
      </c>
      <c r="B154" s="12">
        <f t="shared" si="6"/>
        <v>5</v>
      </c>
      <c r="C154" s="12">
        <f t="shared" si="7"/>
        <v>2001</v>
      </c>
      <c r="D154" s="13">
        <v>5500</v>
      </c>
      <c r="E154" s="13">
        <v>28.971</v>
      </c>
      <c r="F154" s="13">
        <f t="shared" si="8"/>
        <v>189.84501743122433</v>
      </c>
    </row>
    <row r="155" spans="1:6" x14ac:dyDescent="0.25">
      <c r="A155" s="10">
        <v>37022</v>
      </c>
      <c r="B155" s="12">
        <f t="shared" si="6"/>
        <v>5</v>
      </c>
      <c r="C155" s="12">
        <f t="shared" si="7"/>
        <v>2001</v>
      </c>
      <c r="D155" s="13">
        <v>5500</v>
      </c>
      <c r="E155" s="13">
        <v>28.97</v>
      </c>
      <c r="F155" s="13">
        <f t="shared" si="8"/>
        <v>189.85157059026579</v>
      </c>
    </row>
    <row r="156" spans="1:6" x14ac:dyDescent="0.25">
      <c r="A156" s="10">
        <v>37025</v>
      </c>
      <c r="B156" s="12">
        <f t="shared" si="6"/>
        <v>5</v>
      </c>
      <c r="C156" s="12">
        <f t="shared" si="7"/>
        <v>2001</v>
      </c>
      <c r="D156" s="13">
        <v>5750</v>
      </c>
      <c r="E156" s="13">
        <v>29.042999999999999</v>
      </c>
      <c r="F156" s="13">
        <f t="shared" si="8"/>
        <v>197.98230210377716</v>
      </c>
    </row>
    <row r="157" spans="1:6" x14ac:dyDescent="0.25">
      <c r="A157" s="10">
        <v>37026</v>
      </c>
      <c r="B157" s="12">
        <f t="shared" si="6"/>
        <v>5</v>
      </c>
      <c r="C157" s="12">
        <f t="shared" si="7"/>
        <v>2001</v>
      </c>
      <c r="D157" s="13">
        <v>5750</v>
      </c>
      <c r="E157" s="13">
        <v>29.04</v>
      </c>
      <c r="F157" s="13">
        <f t="shared" si="8"/>
        <v>198.00275482093664</v>
      </c>
    </row>
    <row r="158" spans="1:6" x14ac:dyDescent="0.25">
      <c r="A158" s="10">
        <v>37027</v>
      </c>
      <c r="B158" s="12">
        <f t="shared" si="6"/>
        <v>5</v>
      </c>
      <c r="C158" s="12">
        <f t="shared" si="7"/>
        <v>2001</v>
      </c>
      <c r="D158" s="13">
        <v>5750</v>
      </c>
      <c r="E158" s="13">
        <v>29.059000000000001</v>
      </c>
      <c r="F158" s="13">
        <f t="shared" si="8"/>
        <v>197.87329226745587</v>
      </c>
    </row>
    <row r="159" spans="1:6" x14ac:dyDescent="0.25">
      <c r="A159" s="10">
        <v>37028</v>
      </c>
      <c r="B159" s="12">
        <f t="shared" si="6"/>
        <v>5</v>
      </c>
      <c r="C159" s="12">
        <f t="shared" si="7"/>
        <v>2001</v>
      </c>
      <c r="D159" s="13">
        <v>5750</v>
      </c>
      <c r="E159" s="13">
        <v>29.091999999999999</v>
      </c>
      <c r="F159" s="13">
        <f t="shared" si="8"/>
        <v>197.64883816856869</v>
      </c>
    </row>
    <row r="160" spans="1:6" x14ac:dyDescent="0.25">
      <c r="A160" s="10">
        <v>37029</v>
      </c>
      <c r="B160" s="12">
        <f t="shared" si="6"/>
        <v>5</v>
      </c>
      <c r="C160" s="12">
        <f t="shared" si="7"/>
        <v>2001</v>
      </c>
      <c r="D160" s="13">
        <v>5750</v>
      </c>
      <c r="E160" s="13">
        <v>29.085999999999999</v>
      </c>
      <c r="F160" s="13">
        <f t="shared" si="8"/>
        <v>197.68961012170806</v>
      </c>
    </row>
    <row r="161" spans="1:6" x14ac:dyDescent="0.25">
      <c r="A161" s="10">
        <v>37032</v>
      </c>
      <c r="B161" s="12">
        <f t="shared" si="6"/>
        <v>5</v>
      </c>
      <c r="C161" s="12">
        <f t="shared" si="7"/>
        <v>2001</v>
      </c>
      <c r="D161" s="13">
        <v>5950</v>
      </c>
      <c r="E161" s="13">
        <v>29.103000000000002</v>
      </c>
      <c r="F161" s="13">
        <f t="shared" si="8"/>
        <v>204.44627701611518</v>
      </c>
    </row>
    <row r="162" spans="1:6" x14ac:dyDescent="0.25">
      <c r="A162" s="10">
        <v>37033</v>
      </c>
      <c r="B162" s="12">
        <f t="shared" si="6"/>
        <v>5</v>
      </c>
      <c r="C162" s="12">
        <f t="shared" si="7"/>
        <v>2001</v>
      </c>
      <c r="D162" s="13">
        <v>5950</v>
      </c>
      <c r="E162" s="13">
        <v>29.082999999999998</v>
      </c>
      <c r="F162" s="13">
        <f t="shared" si="8"/>
        <v>204.58687205584019</v>
      </c>
    </row>
    <row r="163" spans="1:6" x14ac:dyDescent="0.25">
      <c r="A163" s="10">
        <v>37034</v>
      </c>
      <c r="B163" s="12">
        <f t="shared" si="6"/>
        <v>5</v>
      </c>
      <c r="C163" s="12">
        <f t="shared" si="7"/>
        <v>2001</v>
      </c>
      <c r="D163" s="13">
        <v>5950</v>
      </c>
      <c r="E163" s="13">
        <v>29.100999999999999</v>
      </c>
      <c r="F163" s="13">
        <f t="shared" si="8"/>
        <v>204.46032782378614</v>
      </c>
    </row>
    <row r="164" spans="1:6" x14ac:dyDescent="0.25">
      <c r="A164" s="10">
        <v>37035</v>
      </c>
      <c r="B164" s="12">
        <f t="shared" si="6"/>
        <v>5</v>
      </c>
      <c r="C164" s="12">
        <f t="shared" si="7"/>
        <v>2001</v>
      </c>
      <c r="D164" s="13">
        <v>5950</v>
      </c>
      <c r="E164" s="13">
        <v>29.084</v>
      </c>
      <c r="F164" s="13">
        <f t="shared" si="8"/>
        <v>204.57983771145646</v>
      </c>
    </row>
    <row r="165" spans="1:6" x14ac:dyDescent="0.25">
      <c r="A165" s="10">
        <v>37036</v>
      </c>
      <c r="B165" s="12">
        <f t="shared" si="6"/>
        <v>5</v>
      </c>
      <c r="C165" s="12">
        <f t="shared" si="7"/>
        <v>2001</v>
      </c>
      <c r="D165" s="13">
        <v>5950</v>
      </c>
      <c r="E165" s="13">
        <v>29.079000000000001</v>
      </c>
      <c r="F165" s="13">
        <f t="shared" si="8"/>
        <v>204.61501427146737</v>
      </c>
    </row>
    <row r="166" spans="1:6" x14ac:dyDescent="0.25">
      <c r="A166" s="10">
        <v>37040</v>
      </c>
      <c r="B166" s="12">
        <f t="shared" si="6"/>
        <v>5</v>
      </c>
      <c r="C166" s="12">
        <f t="shared" si="7"/>
        <v>2001</v>
      </c>
      <c r="D166" s="13">
        <v>6250</v>
      </c>
      <c r="E166" s="13">
        <v>29.077999999999999</v>
      </c>
      <c r="F166" s="13">
        <f t="shared" si="8"/>
        <v>214.93912923859963</v>
      </c>
    </row>
    <row r="167" spans="1:6" x14ac:dyDescent="0.25">
      <c r="A167" s="10">
        <v>37041</v>
      </c>
      <c r="B167" s="12">
        <f t="shared" si="6"/>
        <v>5</v>
      </c>
      <c r="C167" s="12">
        <f t="shared" si="7"/>
        <v>2001</v>
      </c>
      <c r="D167" s="13">
        <v>6250</v>
      </c>
      <c r="E167" s="13">
        <v>29.129000000000001</v>
      </c>
      <c r="F167" s="13">
        <f t="shared" si="8"/>
        <v>214.56280682481375</v>
      </c>
    </row>
    <row r="168" spans="1:6" x14ac:dyDescent="0.25">
      <c r="A168" s="10">
        <v>37042</v>
      </c>
      <c r="B168" s="12">
        <f t="shared" si="6"/>
        <v>5</v>
      </c>
      <c r="C168" s="12">
        <f t="shared" si="7"/>
        <v>2001</v>
      </c>
      <c r="D168" s="13">
        <v>6250</v>
      </c>
      <c r="E168" s="13">
        <v>29.143999999999998</v>
      </c>
      <c r="F168" s="13">
        <f t="shared" si="8"/>
        <v>214.45237441668957</v>
      </c>
    </row>
    <row r="169" spans="1:6" x14ac:dyDescent="0.25">
      <c r="A169" s="10">
        <v>37043</v>
      </c>
      <c r="B169" s="12">
        <f t="shared" si="6"/>
        <v>6</v>
      </c>
      <c r="C169" s="12">
        <f t="shared" si="7"/>
        <v>2001</v>
      </c>
      <c r="D169" s="13">
        <v>6250</v>
      </c>
      <c r="E169" s="13">
        <v>29.16</v>
      </c>
      <c r="F169" s="13">
        <f t="shared" si="8"/>
        <v>214.33470507544581</v>
      </c>
    </row>
    <row r="170" spans="1:6" x14ac:dyDescent="0.25">
      <c r="A170" s="10">
        <v>37046</v>
      </c>
      <c r="B170" s="12">
        <f t="shared" si="6"/>
        <v>6</v>
      </c>
      <c r="C170" s="12">
        <f t="shared" si="7"/>
        <v>2001</v>
      </c>
      <c r="D170" s="13">
        <v>6250</v>
      </c>
      <c r="E170" s="13">
        <v>29.16</v>
      </c>
      <c r="F170" s="13">
        <f t="shared" si="8"/>
        <v>214.33470507544581</v>
      </c>
    </row>
    <row r="171" spans="1:6" x14ac:dyDescent="0.25">
      <c r="A171" s="10">
        <v>37047</v>
      </c>
      <c r="B171" s="12">
        <f t="shared" si="6"/>
        <v>6</v>
      </c>
      <c r="C171" s="12">
        <f t="shared" si="7"/>
        <v>2001</v>
      </c>
      <c r="D171" s="13">
        <v>6250</v>
      </c>
      <c r="E171" s="13">
        <v>29.178999999999998</v>
      </c>
      <c r="F171" s="13">
        <f t="shared" si="8"/>
        <v>214.19514034065597</v>
      </c>
    </row>
    <row r="172" spans="1:6" x14ac:dyDescent="0.25">
      <c r="A172" s="10">
        <v>37048</v>
      </c>
      <c r="B172" s="12">
        <f t="shared" si="6"/>
        <v>6</v>
      </c>
      <c r="C172" s="12">
        <f t="shared" si="7"/>
        <v>2001</v>
      </c>
      <c r="D172" s="13">
        <v>6250</v>
      </c>
      <c r="E172" s="13">
        <v>29.184999999999999</v>
      </c>
      <c r="F172" s="13">
        <f t="shared" si="8"/>
        <v>214.1511050197019</v>
      </c>
    </row>
    <row r="173" spans="1:6" x14ac:dyDescent="0.25">
      <c r="A173" s="10">
        <v>37049</v>
      </c>
      <c r="B173" s="12">
        <f t="shared" si="6"/>
        <v>6</v>
      </c>
      <c r="C173" s="12">
        <f t="shared" si="7"/>
        <v>2001</v>
      </c>
      <c r="D173" s="13">
        <v>6250</v>
      </c>
      <c r="E173" s="13">
        <v>29.172000000000001</v>
      </c>
      <c r="F173" s="13">
        <f t="shared" si="8"/>
        <v>214.24653777594955</v>
      </c>
    </row>
    <row r="174" spans="1:6" x14ac:dyDescent="0.25">
      <c r="A174" s="10">
        <v>37050</v>
      </c>
      <c r="B174" s="12">
        <f t="shared" si="6"/>
        <v>6</v>
      </c>
      <c r="C174" s="12">
        <f t="shared" si="7"/>
        <v>2001</v>
      </c>
      <c r="D174" s="13">
        <v>6250</v>
      </c>
      <c r="E174" s="13">
        <v>29.146000000000001</v>
      </c>
      <c r="F174" s="13">
        <f t="shared" si="8"/>
        <v>214.43765868386743</v>
      </c>
    </row>
    <row r="175" spans="1:6" x14ac:dyDescent="0.25">
      <c r="A175" s="10">
        <v>37053</v>
      </c>
      <c r="B175" s="12">
        <f t="shared" si="6"/>
        <v>6</v>
      </c>
      <c r="C175" s="12">
        <f t="shared" si="7"/>
        <v>2001</v>
      </c>
      <c r="D175" s="13">
        <v>6350</v>
      </c>
      <c r="E175" s="13">
        <v>29.117000000000001</v>
      </c>
      <c r="F175" s="13">
        <f t="shared" si="8"/>
        <v>218.08565442868428</v>
      </c>
    </row>
    <row r="176" spans="1:6" x14ac:dyDescent="0.25">
      <c r="A176" s="10">
        <v>37054</v>
      </c>
      <c r="B176" s="12">
        <f t="shared" si="6"/>
        <v>6</v>
      </c>
      <c r="C176" s="12">
        <f t="shared" si="7"/>
        <v>2001</v>
      </c>
      <c r="D176" s="13">
        <v>6350</v>
      </c>
      <c r="E176" s="13">
        <v>29.148</v>
      </c>
      <c r="F176" s="13">
        <f t="shared" si="8"/>
        <v>217.85371209002332</v>
      </c>
    </row>
    <row r="177" spans="1:6" x14ac:dyDescent="0.25">
      <c r="A177" s="10">
        <v>37055</v>
      </c>
      <c r="B177" s="12">
        <f t="shared" si="6"/>
        <v>6</v>
      </c>
      <c r="C177" s="12">
        <f t="shared" si="7"/>
        <v>2001</v>
      </c>
      <c r="D177" s="13">
        <v>6350</v>
      </c>
      <c r="E177" s="13">
        <v>29.116</v>
      </c>
      <c r="F177" s="13">
        <f t="shared" si="8"/>
        <v>218.09314466272841</v>
      </c>
    </row>
    <row r="178" spans="1:6" x14ac:dyDescent="0.25">
      <c r="A178" s="10">
        <v>37056</v>
      </c>
      <c r="B178" s="12">
        <f t="shared" si="6"/>
        <v>6</v>
      </c>
      <c r="C178" s="12">
        <f t="shared" si="7"/>
        <v>2001</v>
      </c>
      <c r="D178" s="13">
        <v>6350</v>
      </c>
      <c r="E178" s="13">
        <v>29.129000000000001</v>
      </c>
      <c r="F178" s="13">
        <f t="shared" si="8"/>
        <v>217.99581173401077</v>
      </c>
    </row>
    <row r="179" spans="1:6" x14ac:dyDescent="0.25">
      <c r="A179" s="10">
        <v>37057</v>
      </c>
      <c r="B179" s="12">
        <f t="shared" si="6"/>
        <v>6</v>
      </c>
      <c r="C179" s="12">
        <f t="shared" si="7"/>
        <v>2001</v>
      </c>
      <c r="D179" s="13">
        <v>6350</v>
      </c>
      <c r="E179" s="13">
        <v>29.100999999999999</v>
      </c>
      <c r="F179" s="13">
        <f t="shared" si="8"/>
        <v>218.20555994639361</v>
      </c>
    </row>
    <row r="180" spans="1:6" x14ac:dyDescent="0.25">
      <c r="A180" s="10">
        <v>37060</v>
      </c>
      <c r="B180" s="12">
        <f t="shared" si="6"/>
        <v>6</v>
      </c>
      <c r="C180" s="12">
        <f t="shared" si="7"/>
        <v>2001</v>
      </c>
      <c r="D180" s="13">
        <v>6350</v>
      </c>
      <c r="E180" s="13">
        <v>29.117000000000001</v>
      </c>
      <c r="F180" s="13">
        <f t="shared" si="8"/>
        <v>218.08565442868428</v>
      </c>
    </row>
    <row r="181" spans="1:6" x14ac:dyDescent="0.25">
      <c r="A181" s="10">
        <v>37061</v>
      </c>
      <c r="B181" s="12">
        <f t="shared" si="6"/>
        <v>6</v>
      </c>
      <c r="C181" s="12">
        <f t="shared" si="7"/>
        <v>2001</v>
      </c>
      <c r="D181" s="13">
        <v>6350</v>
      </c>
      <c r="E181" s="13">
        <v>29.13</v>
      </c>
      <c r="F181" s="13">
        <f t="shared" si="8"/>
        <v>217.98832818400277</v>
      </c>
    </row>
    <row r="182" spans="1:6" x14ac:dyDescent="0.25">
      <c r="A182" s="10">
        <v>37062</v>
      </c>
      <c r="B182" s="12">
        <f t="shared" si="6"/>
        <v>6</v>
      </c>
      <c r="C182" s="12">
        <f t="shared" si="7"/>
        <v>2001</v>
      </c>
      <c r="D182" s="13">
        <v>6350</v>
      </c>
      <c r="E182" s="13">
        <v>29.135000000000002</v>
      </c>
      <c r="F182" s="13">
        <f t="shared" si="8"/>
        <v>217.95091813969452</v>
      </c>
    </row>
    <row r="183" spans="1:6" x14ac:dyDescent="0.25">
      <c r="A183" s="10">
        <v>37063</v>
      </c>
      <c r="B183" s="12">
        <f t="shared" si="6"/>
        <v>6</v>
      </c>
      <c r="C183" s="12">
        <f t="shared" si="7"/>
        <v>2001</v>
      </c>
      <c r="D183" s="13">
        <v>6350</v>
      </c>
      <c r="E183" s="13">
        <v>29.12</v>
      </c>
      <c r="F183" s="13">
        <f t="shared" si="8"/>
        <v>218.0631868131868</v>
      </c>
    </row>
    <row r="184" spans="1:6" x14ac:dyDescent="0.25">
      <c r="A184" s="10">
        <v>37064</v>
      </c>
      <c r="B184" s="12">
        <f t="shared" si="6"/>
        <v>6</v>
      </c>
      <c r="C184" s="12">
        <f t="shared" si="7"/>
        <v>2001</v>
      </c>
      <c r="D184" s="13">
        <v>6350</v>
      </c>
      <c r="E184" s="13">
        <v>29.100999999999999</v>
      </c>
      <c r="F184" s="13">
        <f t="shared" si="8"/>
        <v>218.20555994639361</v>
      </c>
    </row>
    <row r="185" spans="1:6" x14ac:dyDescent="0.25">
      <c r="A185" s="10">
        <v>37067</v>
      </c>
      <c r="B185" s="12">
        <f t="shared" si="6"/>
        <v>6</v>
      </c>
      <c r="C185" s="12">
        <f t="shared" si="7"/>
        <v>2001</v>
      </c>
      <c r="D185" s="13">
        <v>6550</v>
      </c>
      <c r="E185" s="13">
        <v>29.102</v>
      </c>
      <c r="F185" s="13">
        <f t="shared" si="8"/>
        <v>225.07044189402791</v>
      </c>
    </row>
    <row r="186" spans="1:6" x14ac:dyDescent="0.25">
      <c r="A186" s="10">
        <v>37068</v>
      </c>
      <c r="B186" s="12">
        <f t="shared" si="6"/>
        <v>6</v>
      </c>
      <c r="C186" s="12">
        <f t="shared" si="7"/>
        <v>2001</v>
      </c>
      <c r="D186" s="13">
        <v>6550</v>
      </c>
      <c r="E186" s="13">
        <v>29.113</v>
      </c>
      <c r="F186" s="13">
        <f t="shared" si="8"/>
        <v>224.98540171057604</v>
      </c>
    </row>
    <row r="187" spans="1:6" x14ac:dyDescent="0.25">
      <c r="A187" s="10">
        <v>37069</v>
      </c>
      <c r="B187" s="12">
        <f t="shared" si="6"/>
        <v>6</v>
      </c>
      <c r="C187" s="12">
        <f t="shared" si="7"/>
        <v>2001</v>
      </c>
      <c r="D187" s="13">
        <v>6550</v>
      </c>
      <c r="E187" s="13">
        <v>29.125</v>
      </c>
      <c r="F187" s="13">
        <f t="shared" si="8"/>
        <v>224.89270386266094</v>
      </c>
    </row>
    <row r="188" spans="1:6" x14ac:dyDescent="0.25">
      <c r="A188" s="10">
        <v>37070</v>
      </c>
      <c r="B188" s="12">
        <f t="shared" si="6"/>
        <v>6</v>
      </c>
      <c r="C188" s="12">
        <f t="shared" si="7"/>
        <v>2001</v>
      </c>
      <c r="D188" s="13">
        <v>6550</v>
      </c>
      <c r="E188" s="13">
        <v>29.119</v>
      </c>
      <c r="F188" s="13">
        <f t="shared" si="8"/>
        <v>224.93904323637489</v>
      </c>
    </row>
    <row r="189" spans="1:6" x14ac:dyDescent="0.25">
      <c r="A189" s="10">
        <v>37071</v>
      </c>
      <c r="B189" s="12">
        <f t="shared" si="6"/>
        <v>6</v>
      </c>
      <c r="C189" s="12">
        <f t="shared" si="7"/>
        <v>2001</v>
      </c>
      <c r="D189" s="13">
        <v>6550</v>
      </c>
      <c r="E189" s="13">
        <v>29.14</v>
      </c>
      <c r="F189" s="13">
        <f t="shared" si="8"/>
        <v>224.77693891557996</v>
      </c>
    </row>
    <row r="190" spans="1:6" x14ac:dyDescent="0.25">
      <c r="A190" s="10">
        <v>37074</v>
      </c>
      <c r="B190" s="12">
        <f t="shared" si="6"/>
        <v>7</v>
      </c>
      <c r="C190" s="12">
        <f t="shared" si="7"/>
        <v>2001</v>
      </c>
      <c r="D190" s="13">
        <v>6550</v>
      </c>
      <c r="E190" s="13">
        <v>29.172000000000001</v>
      </c>
      <c r="F190" s="13">
        <f t="shared" si="8"/>
        <v>224.53037158919511</v>
      </c>
    </row>
    <row r="191" spans="1:6" x14ac:dyDescent="0.25">
      <c r="A191" s="10">
        <v>37075</v>
      </c>
      <c r="B191" s="12">
        <f t="shared" si="6"/>
        <v>7</v>
      </c>
      <c r="C191" s="12">
        <f t="shared" si="7"/>
        <v>2001</v>
      </c>
      <c r="D191" s="13">
        <v>6550</v>
      </c>
      <c r="E191" s="13">
        <v>29.187000000000001</v>
      </c>
      <c r="F191" s="13">
        <f t="shared" si="8"/>
        <v>224.4149792715935</v>
      </c>
    </row>
    <row r="192" spans="1:6" x14ac:dyDescent="0.25">
      <c r="A192" s="10">
        <v>37077</v>
      </c>
      <c r="B192" s="12">
        <f t="shared" si="6"/>
        <v>7</v>
      </c>
      <c r="C192" s="12">
        <f t="shared" si="7"/>
        <v>2001</v>
      </c>
      <c r="D192" s="13">
        <v>6550</v>
      </c>
      <c r="E192" s="13">
        <v>29.178999999999998</v>
      </c>
      <c r="F192" s="13">
        <f t="shared" si="8"/>
        <v>224.47650707700745</v>
      </c>
    </row>
    <row r="193" spans="1:6" x14ac:dyDescent="0.25">
      <c r="A193" s="10">
        <v>37078</v>
      </c>
      <c r="B193" s="12">
        <f t="shared" si="6"/>
        <v>7</v>
      </c>
      <c r="C193" s="12">
        <f t="shared" si="7"/>
        <v>2001</v>
      </c>
      <c r="D193" s="13">
        <v>6550</v>
      </c>
      <c r="E193" s="13">
        <v>29.170999999999999</v>
      </c>
      <c r="F193" s="13">
        <f t="shared" si="8"/>
        <v>224.53806862980358</v>
      </c>
    </row>
    <row r="194" spans="1:6" x14ac:dyDescent="0.25">
      <c r="A194" s="10">
        <v>37081</v>
      </c>
      <c r="B194" s="12">
        <f t="shared" si="6"/>
        <v>7</v>
      </c>
      <c r="C194" s="12">
        <f t="shared" si="7"/>
        <v>2001</v>
      </c>
      <c r="D194" s="13">
        <v>6550</v>
      </c>
      <c r="E194" s="13">
        <v>29.254999999999999</v>
      </c>
      <c r="F194" s="13">
        <f t="shared" si="8"/>
        <v>223.89335156383524</v>
      </c>
    </row>
    <row r="195" spans="1:6" x14ac:dyDescent="0.25">
      <c r="A195" s="10">
        <v>37082</v>
      </c>
      <c r="B195" s="12">
        <f t="shared" ref="B195:B258" si="9">MONTH(A195)</f>
        <v>7</v>
      </c>
      <c r="C195" s="12">
        <f t="shared" ref="C195:C258" si="10">YEAR(A195)</f>
        <v>2001</v>
      </c>
      <c r="D195" s="13">
        <v>6550</v>
      </c>
      <c r="E195" s="13">
        <v>29.245999999999999</v>
      </c>
      <c r="F195" s="13">
        <f t="shared" ref="F195:F258" si="11">IF(D195="","",D195/E195)</f>
        <v>223.96225124803394</v>
      </c>
    </row>
    <row r="196" spans="1:6" x14ac:dyDescent="0.25">
      <c r="A196" s="10">
        <v>37083</v>
      </c>
      <c r="B196" s="12">
        <f t="shared" si="9"/>
        <v>7</v>
      </c>
      <c r="C196" s="12">
        <f t="shared" si="10"/>
        <v>2001</v>
      </c>
      <c r="D196" s="13">
        <v>6550</v>
      </c>
      <c r="E196" s="13">
        <v>29.196000000000002</v>
      </c>
      <c r="F196" s="13">
        <f t="shared" si="11"/>
        <v>224.34580079462938</v>
      </c>
    </row>
    <row r="197" spans="1:6" x14ac:dyDescent="0.25">
      <c r="A197" s="10">
        <v>37084</v>
      </c>
      <c r="B197" s="12">
        <f t="shared" si="9"/>
        <v>7</v>
      </c>
      <c r="C197" s="12">
        <f t="shared" si="10"/>
        <v>2001</v>
      </c>
      <c r="D197" s="13">
        <v>6550</v>
      </c>
      <c r="E197" s="13">
        <v>29.206</v>
      </c>
      <c r="F197" s="13">
        <f t="shared" si="11"/>
        <v>224.26898582483051</v>
      </c>
    </row>
    <row r="198" spans="1:6" x14ac:dyDescent="0.25">
      <c r="A198" s="10">
        <v>37085</v>
      </c>
      <c r="B198" s="12">
        <f t="shared" si="9"/>
        <v>7</v>
      </c>
      <c r="C198" s="12">
        <f t="shared" si="10"/>
        <v>2001</v>
      </c>
      <c r="D198" s="13">
        <v>6550</v>
      </c>
      <c r="E198" s="13">
        <v>29.210999999999999</v>
      </c>
      <c r="F198" s="13">
        <f t="shared" si="11"/>
        <v>224.23059806237379</v>
      </c>
    </row>
    <row r="199" spans="1:6" x14ac:dyDescent="0.25">
      <c r="A199" s="10">
        <v>37088</v>
      </c>
      <c r="B199" s="12">
        <f t="shared" si="9"/>
        <v>7</v>
      </c>
      <c r="C199" s="12">
        <f t="shared" si="10"/>
        <v>2001</v>
      </c>
      <c r="E199" s="13">
        <v>29.225000000000001</v>
      </c>
      <c r="F199" s="13" t="str">
        <f t="shared" si="11"/>
        <v/>
      </c>
    </row>
    <row r="200" spans="1:6" x14ac:dyDescent="0.25">
      <c r="A200" s="10">
        <v>37089</v>
      </c>
      <c r="B200" s="12">
        <f t="shared" si="9"/>
        <v>7</v>
      </c>
      <c r="C200" s="12">
        <f t="shared" si="10"/>
        <v>2001</v>
      </c>
      <c r="E200" s="13">
        <v>29.236999999999998</v>
      </c>
      <c r="F200" s="13" t="str">
        <f t="shared" si="11"/>
        <v/>
      </c>
    </row>
    <row r="201" spans="1:6" x14ac:dyDescent="0.25">
      <c r="A201" s="10">
        <v>37090</v>
      </c>
      <c r="B201" s="12">
        <f t="shared" si="9"/>
        <v>7</v>
      </c>
      <c r="C201" s="12">
        <f t="shared" si="10"/>
        <v>2001</v>
      </c>
      <c r="E201" s="13">
        <v>29.254999999999999</v>
      </c>
      <c r="F201" s="13" t="str">
        <f t="shared" si="11"/>
        <v/>
      </c>
    </row>
    <row r="202" spans="1:6" x14ac:dyDescent="0.25">
      <c r="A202" s="10">
        <v>37091</v>
      </c>
      <c r="B202" s="12">
        <f t="shared" si="9"/>
        <v>7</v>
      </c>
      <c r="C202" s="12">
        <f t="shared" si="10"/>
        <v>2001</v>
      </c>
      <c r="E202" s="13">
        <v>29.286000000000001</v>
      </c>
      <c r="F202" s="13" t="str">
        <f t="shared" si="11"/>
        <v/>
      </c>
    </row>
    <row r="203" spans="1:6" x14ac:dyDescent="0.25">
      <c r="A203" s="10">
        <v>37092</v>
      </c>
      <c r="B203" s="12">
        <f t="shared" si="9"/>
        <v>7</v>
      </c>
      <c r="C203" s="12">
        <f t="shared" si="10"/>
        <v>2001</v>
      </c>
      <c r="E203" s="13">
        <v>29.271000000000001</v>
      </c>
      <c r="F203" s="13" t="str">
        <f t="shared" si="11"/>
        <v/>
      </c>
    </row>
    <row r="204" spans="1:6" x14ac:dyDescent="0.25">
      <c r="A204" s="10">
        <v>37095</v>
      </c>
      <c r="B204" s="12">
        <f t="shared" si="9"/>
        <v>7</v>
      </c>
      <c r="C204" s="12">
        <f t="shared" si="10"/>
        <v>2001</v>
      </c>
      <c r="E204" s="13">
        <v>29.271999999999998</v>
      </c>
      <c r="F204" s="13" t="str">
        <f t="shared" si="11"/>
        <v/>
      </c>
    </row>
    <row r="205" spans="1:6" x14ac:dyDescent="0.25">
      <c r="A205" s="10">
        <v>37096</v>
      </c>
      <c r="B205" s="12">
        <f t="shared" si="9"/>
        <v>7</v>
      </c>
      <c r="C205" s="12">
        <f t="shared" si="10"/>
        <v>2001</v>
      </c>
      <c r="E205" s="13">
        <v>29.283999999999999</v>
      </c>
      <c r="F205" s="13" t="str">
        <f t="shared" si="11"/>
        <v/>
      </c>
    </row>
    <row r="206" spans="1:6" x14ac:dyDescent="0.25">
      <c r="A206" s="10">
        <v>37097</v>
      </c>
      <c r="B206" s="12">
        <f t="shared" si="9"/>
        <v>7</v>
      </c>
      <c r="C206" s="12">
        <f t="shared" si="10"/>
        <v>2001</v>
      </c>
      <c r="E206" s="13">
        <v>29.242999999999999</v>
      </c>
      <c r="F206" s="13" t="str">
        <f t="shared" si="11"/>
        <v/>
      </c>
    </row>
    <row r="207" spans="1:6" x14ac:dyDescent="0.25">
      <c r="A207" s="10">
        <v>37098</v>
      </c>
      <c r="B207" s="12">
        <f t="shared" si="9"/>
        <v>7</v>
      </c>
      <c r="C207" s="12">
        <f t="shared" si="10"/>
        <v>2001</v>
      </c>
      <c r="E207" s="13">
        <v>29.256</v>
      </c>
      <c r="F207" s="13" t="str">
        <f t="shared" si="11"/>
        <v/>
      </c>
    </row>
    <row r="208" spans="1:6" x14ac:dyDescent="0.25">
      <c r="A208" s="10">
        <v>37099</v>
      </c>
      <c r="B208" s="12">
        <f t="shared" si="9"/>
        <v>7</v>
      </c>
      <c r="C208" s="12">
        <f t="shared" si="10"/>
        <v>2001</v>
      </c>
      <c r="E208" s="13">
        <v>29.268000000000001</v>
      </c>
      <c r="F208" s="13" t="str">
        <f t="shared" si="11"/>
        <v/>
      </c>
    </row>
    <row r="209" spans="1:6" x14ac:dyDescent="0.25">
      <c r="A209" s="10">
        <v>37102</v>
      </c>
      <c r="B209" s="12">
        <f t="shared" si="9"/>
        <v>7</v>
      </c>
      <c r="C209" s="12">
        <f t="shared" si="10"/>
        <v>2001</v>
      </c>
      <c r="E209" s="13">
        <v>29.309000000000001</v>
      </c>
      <c r="F209" s="13" t="str">
        <f t="shared" si="11"/>
        <v/>
      </c>
    </row>
    <row r="210" spans="1:6" x14ac:dyDescent="0.25">
      <c r="A210" s="10">
        <v>37103</v>
      </c>
      <c r="B210" s="12">
        <f t="shared" si="9"/>
        <v>7</v>
      </c>
      <c r="C210" s="12">
        <f t="shared" si="10"/>
        <v>2001</v>
      </c>
      <c r="E210" s="13">
        <v>29.343</v>
      </c>
      <c r="F210" s="13" t="str">
        <f t="shared" si="11"/>
        <v/>
      </c>
    </row>
    <row r="211" spans="1:6" x14ac:dyDescent="0.25">
      <c r="A211" s="10">
        <v>37104</v>
      </c>
      <c r="B211" s="12">
        <f t="shared" si="9"/>
        <v>8</v>
      </c>
      <c r="C211" s="12">
        <f t="shared" si="10"/>
        <v>2001</v>
      </c>
      <c r="E211" s="13">
        <v>29.334</v>
      </c>
      <c r="F211" s="13" t="str">
        <f t="shared" si="11"/>
        <v/>
      </c>
    </row>
    <row r="212" spans="1:6" x14ac:dyDescent="0.25">
      <c r="A212" s="10">
        <v>37105</v>
      </c>
      <c r="B212" s="12">
        <f t="shared" si="9"/>
        <v>8</v>
      </c>
      <c r="C212" s="12">
        <f t="shared" si="10"/>
        <v>2001</v>
      </c>
      <c r="E212" s="13">
        <v>29.34</v>
      </c>
      <c r="F212" s="13" t="str">
        <f t="shared" si="11"/>
        <v/>
      </c>
    </row>
    <row r="213" spans="1:6" x14ac:dyDescent="0.25">
      <c r="A213" s="10">
        <v>37106</v>
      </c>
      <c r="B213" s="12">
        <f t="shared" si="9"/>
        <v>8</v>
      </c>
      <c r="C213" s="12">
        <f t="shared" si="10"/>
        <v>2001</v>
      </c>
      <c r="E213" s="13">
        <v>29.367999999999999</v>
      </c>
      <c r="F213" s="13" t="str">
        <f t="shared" si="11"/>
        <v/>
      </c>
    </row>
    <row r="214" spans="1:6" x14ac:dyDescent="0.25">
      <c r="A214" s="10">
        <v>37109</v>
      </c>
      <c r="B214" s="12">
        <f t="shared" si="9"/>
        <v>8</v>
      </c>
      <c r="C214" s="12">
        <f t="shared" si="10"/>
        <v>2001</v>
      </c>
      <c r="E214" s="13">
        <v>29.341999999999999</v>
      </c>
      <c r="F214" s="13" t="str">
        <f t="shared" si="11"/>
        <v/>
      </c>
    </row>
    <row r="215" spans="1:6" x14ac:dyDescent="0.25">
      <c r="A215" s="10">
        <v>37110</v>
      </c>
      <c r="B215" s="12">
        <f t="shared" si="9"/>
        <v>8</v>
      </c>
      <c r="C215" s="12">
        <f t="shared" si="10"/>
        <v>2001</v>
      </c>
      <c r="E215" s="13">
        <v>29.309000000000001</v>
      </c>
      <c r="F215" s="13" t="str">
        <f t="shared" si="11"/>
        <v/>
      </c>
    </row>
    <row r="216" spans="1:6" x14ac:dyDescent="0.25">
      <c r="A216" s="10">
        <v>37111</v>
      </c>
      <c r="B216" s="12">
        <f t="shared" si="9"/>
        <v>8</v>
      </c>
      <c r="C216" s="12">
        <f t="shared" si="10"/>
        <v>2001</v>
      </c>
      <c r="E216" s="13">
        <v>29.347000000000001</v>
      </c>
      <c r="F216" s="13" t="str">
        <f t="shared" si="11"/>
        <v/>
      </c>
    </row>
    <row r="217" spans="1:6" x14ac:dyDescent="0.25">
      <c r="A217" s="10">
        <v>37112</v>
      </c>
      <c r="B217" s="12">
        <f t="shared" si="9"/>
        <v>8</v>
      </c>
      <c r="C217" s="12">
        <f t="shared" si="10"/>
        <v>2001</v>
      </c>
      <c r="E217" s="13">
        <v>29.344000000000001</v>
      </c>
      <c r="F217" s="13" t="str">
        <f t="shared" si="11"/>
        <v/>
      </c>
    </row>
    <row r="218" spans="1:6" x14ac:dyDescent="0.25">
      <c r="A218" s="10">
        <v>37113</v>
      </c>
      <c r="B218" s="12">
        <f t="shared" si="9"/>
        <v>8</v>
      </c>
      <c r="C218" s="12">
        <f t="shared" si="10"/>
        <v>2001</v>
      </c>
      <c r="E218" s="13">
        <v>29.33</v>
      </c>
      <c r="F218" s="13" t="str">
        <f t="shared" si="11"/>
        <v/>
      </c>
    </row>
    <row r="219" spans="1:6" x14ac:dyDescent="0.25">
      <c r="A219" s="10">
        <v>37116</v>
      </c>
      <c r="B219" s="12">
        <f t="shared" si="9"/>
        <v>8</v>
      </c>
      <c r="C219" s="12">
        <f t="shared" si="10"/>
        <v>2001</v>
      </c>
      <c r="E219" s="13">
        <v>29.332000000000001</v>
      </c>
      <c r="F219" s="13" t="str">
        <f t="shared" si="11"/>
        <v/>
      </c>
    </row>
    <row r="220" spans="1:6" x14ac:dyDescent="0.25">
      <c r="A220" s="10">
        <v>37117</v>
      </c>
      <c r="B220" s="12">
        <f t="shared" si="9"/>
        <v>8</v>
      </c>
      <c r="C220" s="12">
        <f t="shared" si="10"/>
        <v>2001</v>
      </c>
      <c r="E220" s="13">
        <v>29.344000000000001</v>
      </c>
      <c r="F220" s="13" t="str">
        <f t="shared" si="11"/>
        <v/>
      </c>
    </row>
    <row r="221" spans="1:6" x14ac:dyDescent="0.25">
      <c r="A221" s="10">
        <v>37118</v>
      </c>
      <c r="B221" s="12">
        <f t="shared" si="9"/>
        <v>8</v>
      </c>
      <c r="C221" s="12">
        <f t="shared" si="10"/>
        <v>2001</v>
      </c>
      <c r="E221" s="13">
        <v>29.353999999999999</v>
      </c>
      <c r="F221" s="13" t="str">
        <f t="shared" si="11"/>
        <v/>
      </c>
    </row>
    <row r="222" spans="1:6" x14ac:dyDescent="0.25">
      <c r="A222" s="10">
        <v>37119</v>
      </c>
      <c r="B222" s="12">
        <f t="shared" si="9"/>
        <v>8</v>
      </c>
      <c r="C222" s="12">
        <f t="shared" si="10"/>
        <v>2001</v>
      </c>
      <c r="E222" s="13">
        <v>29.361000000000001</v>
      </c>
      <c r="F222" s="13" t="str">
        <f t="shared" si="11"/>
        <v/>
      </c>
    </row>
    <row r="223" spans="1:6" x14ac:dyDescent="0.25">
      <c r="A223" s="10">
        <v>37120</v>
      </c>
      <c r="B223" s="12">
        <f t="shared" si="9"/>
        <v>8</v>
      </c>
      <c r="C223" s="12">
        <f t="shared" si="10"/>
        <v>2001</v>
      </c>
      <c r="E223" s="13">
        <v>29.363</v>
      </c>
      <c r="F223" s="13" t="str">
        <f t="shared" si="11"/>
        <v/>
      </c>
    </row>
    <row r="224" spans="1:6" x14ac:dyDescent="0.25">
      <c r="A224" s="10">
        <v>37123</v>
      </c>
      <c r="B224" s="12">
        <f t="shared" si="9"/>
        <v>8</v>
      </c>
      <c r="C224" s="12">
        <f t="shared" si="10"/>
        <v>2001</v>
      </c>
      <c r="E224" s="13">
        <v>29.364000000000001</v>
      </c>
      <c r="F224" s="13" t="str">
        <f t="shared" si="11"/>
        <v/>
      </c>
    </row>
    <row r="225" spans="1:6" x14ac:dyDescent="0.25">
      <c r="A225" s="10">
        <v>37124</v>
      </c>
      <c r="B225" s="12">
        <f t="shared" si="9"/>
        <v>8</v>
      </c>
      <c r="C225" s="12">
        <f t="shared" si="10"/>
        <v>2001</v>
      </c>
      <c r="E225" s="13">
        <v>29.358000000000001</v>
      </c>
      <c r="F225" s="13" t="str">
        <f t="shared" si="11"/>
        <v/>
      </c>
    </row>
    <row r="226" spans="1:6" x14ac:dyDescent="0.25">
      <c r="A226" s="10">
        <v>37125</v>
      </c>
      <c r="B226" s="12">
        <f t="shared" si="9"/>
        <v>8</v>
      </c>
      <c r="C226" s="12">
        <f t="shared" si="10"/>
        <v>2001</v>
      </c>
      <c r="E226" s="13">
        <v>29.359000000000002</v>
      </c>
      <c r="F226" s="13" t="str">
        <f t="shared" si="11"/>
        <v/>
      </c>
    </row>
    <row r="227" spans="1:6" x14ac:dyDescent="0.25">
      <c r="A227" s="10">
        <v>37126</v>
      </c>
      <c r="B227" s="12">
        <f t="shared" si="9"/>
        <v>8</v>
      </c>
      <c r="C227" s="12">
        <f t="shared" si="10"/>
        <v>2001</v>
      </c>
      <c r="E227" s="13">
        <v>29.364000000000001</v>
      </c>
      <c r="F227" s="13" t="str">
        <f t="shared" si="11"/>
        <v/>
      </c>
    </row>
    <row r="228" spans="1:6" x14ac:dyDescent="0.25">
      <c r="A228" s="10">
        <v>37127</v>
      </c>
      <c r="B228" s="12">
        <f t="shared" si="9"/>
        <v>8</v>
      </c>
      <c r="C228" s="12">
        <f t="shared" si="10"/>
        <v>2001</v>
      </c>
      <c r="E228" s="13">
        <v>29.367999999999999</v>
      </c>
      <c r="F228" s="13" t="str">
        <f t="shared" si="11"/>
        <v/>
      </c>
    </row>
    <row r="229" spans="1:6" x14ac:dyDescent="0.25">
      <c r="A229" s="10">
        <v>37130</v>
      </c>
      <c r="B229" s="12">
        <f t="shared" si="9"/>
        <v>8</v>
      </c>
      <c r="C229" s="12">
        <f t="shared" si="10"/>
        <v>2001</v>
      </c>
      <c r="E229" s="13">
        <v>29.353000000000002</v>
      </c>
      <c r="F229" s="13" t="str">
        <f t="shared" si="11"/>
        <v/>
      </c>
    </row>
    <row r="230" spans="1:6" x14ac:dyDescent="0.25">
      <c r="A230" s="10">
        <v>37131</v>
      </c>
      <c r="B230" s="12">
        <f t="shared" si="9"/>
        <v>8</v>
      </c>
      <c r="C230" s="12">
        <f t="shared" si="10"/>
        <v>2001</v>
      </c>
      <c r="E230" s="13">
        <v>29.367999999999999</v>
      </c>
      <c r="F230" s="13" t="str">
        <f t="shared" si="11"/>
        <v/>
      </c>
    </row>
    <row r="231" spans="1:6" x14ac:dyDescent="0.25">
      <c r="A231" s="10">
        <v>37132</v>
      </c>
      <c r="B231" s="12">
        <f t="shared" si="9"/>
        <v>8</v>
      </c>
      <c r="C231" s="12">
        <f t="shared" si="10"/>
        <v>2001</v>
      </c>
      <c r="E231" s="13">
        <v>29.356000000000002</v>
      </c>
      <c r="F231" s="13" t="str">
        <f t="shared" si="11"/>
        <v/>
      </c>
    </row>
    <row r="232" spans="1:6" x14ac:dyDescent="0.25">
      <c r="A232" s="10">
        <v>37133</v>
      </c>
      <c r="B232" s="12">
        <f t="shared" si="9"/>
        <v>8</v>
      </c>
      <c r="C232" s="12">
        <f t="shared" si="10"/>
        <v>2001</v>
      </c>
      <c r="E232" s="13">
        <v>29.431000000000001</v>
      </c>
      <c r="F232" s="13" t="str">
        <f t="shared" si="11"/>
        <v/>
      </c>
    </row>
    <row r="233" spans="1:6" x14ac:dyDescent="0.25">
      <c r="A233" s="10">
        <v>37134</v>
      </c>
      <c r="B233" s="12">
        <f t="shared" si="9"/>
        <v>8</v>
      </c>
      <c r="C233" s="12">
        <f t="shared" si="10"/>
        <v>2001</v>
      </c>
      <c r="E233" s="13">
        <v>29.42</v>
      </c>
      <c r="F233" s="13" t="str">
        <f t="shared" si="11"/>
        <v/>
      </c>
    </row>
    <row r="234" spans="1:6" x14ac:dyDescent="0.25">
      <c r="A234" s="10">
        <v>37138</v>
      </c>
      <c r="B234" s="12">
        <f t="shared" si="9"/>
        <v>9</v>
      </c>
      <c r="C234" s="12">
        <f t="shared" si="10"/>
        <v>2001</v>
      </c>
      <c r="D234" s="13">
        <v>4600</v>
      </c>
      <c r="E234" s="13">
        <v>29.463999999999999</v>
      </c>
      <c r="F234" s="13">
        <f t="shared" si="11"/>
        <v>156.12272603855553</v>
      </c>
    </row>
    <row r="235" spans="1:6" x14ac:dyDescent="0.25">
      <c r="A235" s="10">
        <v>37139</v>
      </c>
      <c r="B235" s="12">
        <f t="shared" si="9"/>
        <v>9</v>
      </c>
      <c r="C235" s="12">
        <f t="shared" si="10"/>
        <v>2001</v>
      </c>
      <c r="D235" s="13">
        <v>4600</v>
      </c>
      <c r="E235" s="13">
        <v>29.468</v>
      </c>
      <c r="F235" s="13">
        <f t="shared" si="11"/>
        <v>156.10153386724582</v>
      </c>
    </row>
    <row r="236" spans="1:6" x14ac:dyDescent="0.25">
      <c r="A236" s="10">
        <v>37140</v>
      </c>
      <c r="B236" s="12">
        <f t="shared" si="9"/>
        <v>9</v>
      </c>
      <c r="C236" s="12">
        <f t="shared" si="10"/>
        <v>2001</v>
      </c>
      <c r="D236" s="13">
        <v>4600</v>
      </c>
      <c r="E236" s="13">
        <v>29.446000000000002</v>
      </c>
      <c r="F236" s="13">
        <f t="shared" si="11"/>
        <v>156.2181620593629</v>
      </c>
    </row>
    <row r="237" spans="1:6" x14ac:dyDescent="0.25">
      <c r="A237" s="10">
        <v>37141</v>
      </c>
      <c r="B237" s="12">
        <f t="shared" si="9"/>
        <v>9</v>
      </c>
      <c r="C237" s="12">
        <f t="shared" si="10"/>
        <v>2001</v>
      </c>
      <c r="D237" s="13">
        <v>4600</v>
      </c>
      <c r="E237" s="13">
        <v>29.431000000000001</v>
      </c>
      <c r="F237" s="13">
        <f t="shared" si="11"/>
        <v>156.29778125106179</v>
      </c>
    </row>
    <row r="238" spans="1:6" x14ac:dyDescent="0.25">
      <c r="A238" s="10">
        <v>37144</v>
      </c>
      <c r="B238" s="12">
        <f t="shared" si="9"/>
        <v>9</v>
      </c>
      <c r="C238" s="12">
        <f t="shared" si="10"/>
        <v>2001</v>
      </c>
      <c r="D238" s="13">
        <v>4650</v>
      </c>
      <c r="E238" s="13">
        <v>29.442</v>
      </c>
      <c r="F238" s="13">
        <f t="shared" si="11"/>
        <v>157.93764010597107</v>
      </c>
    </row>
    <row r="239" spans="1:6" x14ac:dyDescent="0.25">
      <c r="A239" s="10">
        <v>37145</v>
      </c>
      <c r="B239" s="12">
        <f t="shared" si="9"/>
        <v>9</v>
      </c>
      <c r="C239" s="12">
        <f t="shared" si="10"/>
        <v>2001</v>
      </c>
      <c r="D239" s="13">
        <v>4650</v>
      </c>
      <c r="E239" s="13">
        <v>29.465</v>
      </c>
      <c r="F239" s="13">
        <f t="shared" si="11"/>
        <v>157.81435601561174</v>
      </c>
    </row>
    <row r="240" spans="1:6" x14ac:dyDescent="0.25">
      <c r="A240" s="10">
        <v>37148</v>
      </c>
      <c r="B240" s="12">
        <f t="shared" si="9"/>
        <v>9</v>
      </c>
      <c r="C240" s="12">
        <f t="shared" si="10"/>
        <v>2001</v>
      </c>
      <c r="D240" s="13">
        <v>4650</v>
      </c>
      <c r="E240" s="13">
        <v>29.468</v>
      </c>
      <c r="F240" s="13">
        <f t="shared" si="11"/>
        <v>157.79828967015067</v>
      </c>
    </row>
    <row r="241" spans="1:6" x14ac:dyDescent="0.25">
      <c r="A241" s="10">
        <v>37151</v>
      </c>
      <c r="B241" s="12">
        <f t="shared" si="9"/>
        <v>9</v>
      </c>
      <c r="C241" s="12">
        <f t="shared" si="10"/>
        <v>2001</v>
      </c>
      <c r="D241" s="13">
        <v>4650</v>
      </c>
      <c r="E241" s="13">
        <v>29.456</v>
      </c>
      <c r="F241" s="13">
        <f t="shared" si="11"/>
        <v>157.86257468766973</v>
      </c>
    </row>
    <row r="242" spans="1:6" x14ac:dyDescent="0.25">
      <c r="A242" s="10">
        <v>37152</v>
      </c>
      <c r="B242" s="12">
        <f t="shared" si="9"/>
        <v>9</v>
      </c>
      <c r="C242" s="12">
        <f t="shared" si="10"/>
        <v>2001</v>
      </c>
      <c r="D242" s="13">
        <v>4650</v>
      </c>
      <c r="E242" s="13">
        <v>29.454999999999998</v>
      </c>
      <c r="F242" s="13">
        <f t="shared" si="11"/>
        <v>157.86793413681889</v>
      </c>
    </row>
    <row r="243" spans="1:6" x14ac:dyDescent="0.25">
      <c r="A243" s="10">
        <v>37153</v>
      </c>
      <c r="B243" s="12">
        <f t="shared" si="9"/>
        <v>9</v>
      </c>
      <c r="C243" s="12">
        <f t="shared" si="10"/>
        <v>2001</v>
      </c>
      <c r="D243" s="13">
        <v>4650</v>
      </c>
      <c r="E243" s="13">
        <v>29.443000000000001</v>
      </c>
      <c r="F243" s="13">
        <f t="shared" si="11"/>
        <v>157.93227592296981</v>
      </c>
    </row>
    <row r="244" spans="1:6" x14ac:dyDescent="0.25">
      <c r="A244" s="10">
        <v>37154</v>
      </c>
      <c r="B244" s="12">
        <f t="shared" si="9"/>
        <v>9</v>
      </c>
      <c r="C244" s="12">
        <f t="shared" si="10"/>
        <v>2001</v>
      </c>
      <c r="D244" s="13">
        <v>4650</v>
      </c>
      <c r="E244" s="13">
        <v>29.42</v>
      </c>
      <c r="F244" s="13">
        <f t="shared" si="11"/>
        <v>158.05574439157036</v>
      </c>
    </row>
    <row r="245" spans="1:6" x14ac:dyDescent="0.25">
      <c r="A245" s="10">
        <v>37155</v>
      </c>
      <c r="B245" s="12">
        <f t="shared" si="9"/>
        <v>9</v>
      </c>
      <c r="C245" s="12">
        <f t="shared" si="10"/>
        <v>2001</v>
      </c>
      <c r="D245" s="13">
        <v>4650</v>
      </c>
      <c r="E245" s="13">
        <v>29.414000000000001</v>
      </c>
      <c r="F245" s="13">
        <f t="shared" si="11"/>
        <v>158.08798531311621</v>
      </c>
    </row>
    <row r="246" spans="1:6" x14ac:dyDescent="0.25">
      <c r="A246" s="10">
        <v>37158</v>
      </c>
      <c r="B246" s="12">
        <f t="shared" si="9"/>
        <v>9</v>
      </c>
      <c r="C246" s="12">
        <f t="shared" si="10"/>
        <v>2001</v>
      </c>
      <c r="D246" s="13">
        <v>5150</v>
      </c>
      <c r="E246" s="13">
        <v>29.431000000000001</v>
      </c>
      <c r="F246" s="13">
        <f t="shared" si="11"/>
        <v>174.98555944412354</v>
      </c>
    </row>
    <row r="247" spans="1:6" x14ac:dyDescent="0.25">
      <c r="A247" s="10">
        <v>37159</v>
      </c>
      <c r="B247" s="12">
        <f t="shared" si="9"/>
        <v>9</v>
      </c>
      <c r="C247" s="12">
        <f t="shared" si="10"/>
        <v>2001</v>
      </c>
      <c r="D247" s="13">
        <v>5150</v>
      </c>
      <c r="E247" s="13">
        <v>29.425999999999998</v>
      </c>
      <c r="F247" s="13">
        <f t="shared" si="11"/>
        <v>175.01529259838239</v>
      </c>
    </row>
    <row r="248" spans="1:6" x14ac:dyDescent="0.25">
      <c r="A248" s="10">
        <v>37160</v>
      </c>
      <c r="B248" s="12">
        <f t="shared" si="9"/>
        <v>9</v>
      </c>
      <c r="C248" s="12">
        <f t="shared" si="10"/>
        <v>2001</v>
      </c>
      <c r="D248" s="13">
        <v>5150</v>
      </c>
      <c r="E248" s="13">
        <v>29.405999999999999</v>
      </c>
      <c r="F248" s="13">
        <f t="shared" si="11"/>
        <v>175.13432632796028</v>
      </c>
    </row>
    <row r="249" spans="1:6" x14ac:dyDescent="0.25">
      <c r="A249" s="10">
        <v>37161</v>
      </c>
      <c r="B249" s="12">
        <f t="shared" si="9"/>
        <v>9</v>
      </c>
      <c r="C249" s="12">
        <f t="shared" si="10"/>
        <v>2001</v>
      </c>
      <c r="D249" s="13">
        <v>5150</v>
      </c>
      <c r="E249" s="13">
        <v>29.440999999999999</v>
      </c>
      <c r="F249" s="13">
        <f t="shared" si="11"/>
        <v>174.92612343330731</v>
      </c>
    </row>
    <row r="250" spans="1:6" x14ac:dyDescent="0.25">
      <c r="A250" s="10">
        <v>37162</v>
      </c>
      <c r="B250" s="12">
        <f t="shared" si="9"/>
        <v>9</v>
      </c>
      <c r="C250" s="12">
        <f t="shared" si="10"/>
        <v>2001</v>
      </c>
      <c r="D250" s="13">
        <v>5150</v>
      </c>
      <c r="E250" s="13">
        <v>29.452000000000002</v>
      </c>
      <c r="F250" s="13">
        <f t="shared" si="11"/>
        <v>174.86079043867989</v>
      </c>
    </row>
    <row r="251" spans="1:6" x14ac:dyDescent="0.25">
      <c r="A251" s="10">
        <v>37165</v>
      </c>
      <c r="B251" s="12">
        <f t="shared" si="9"/>
        <v>10</v>
      </c>
      <c r="C251" s="12">
        <f t="shared" si="10"/>
        <v>2001</v>
      </c>
      <c r="D251" s="13">
        <v>5300</v>
      </c>
      <c r="E251" s="13">
        <v>29.443999999999999</v>
      </c>
      <c r="F251" s="13">
        <f t="shared" si="11"/>
        <v>180.00271702214374</v>
      </c>
    </row>
    <row r="252" spans="1:6" x14ac:dyDescent="0.25">
      <c r="A252" s="10">
        <v>37166</v>
      </c>
      <c r="B252" s="12">
        <f t="shared" si="9"/>
        <v>10</v>
      </c>
      <c r="C252" s="12">
        <f t="shared" si="10"/>
        <v>2001</v>
      </c>
      <c r="D252" s="13">
        <v>5300</v>
      </c>
      <c r="E252" s="13">
        <v>29.471</v>
      </c>
      <c r="F252" s="13">
        <f t="shared" si="11"/>
        <v>179.83780665739201</v>
      </c>
    </row>
    <row r="253" spans="1:6" x14ac:dyDescent="0.25">
      <c r="A253" s="10">
        <v>37167</v>
      </c>
      <c r="B253" s="12">
        <f t="shared" si="9"/>
        <v>10</v>
      </c>
      <c r="C253" s="12">
        <f t="shared" si="10"/>
        <v>2001</v>
      </c>
      <c r="D253" s="13">
        <v>5300</v>
      </c>
      <c r="E253" s="13">
        <v>29.492999999999999</v>
      </c>
      <c r="F253" s="13">
        <f t="shared" si="11"/>
        <v>179.70365849523617</v>
      </c>
    </row>
    <row r="254" spans="1:6" x14ac:dyDescent="0.25">
      <c r="A254" s="10">
        <v>37168</v>
      </c>
      <c r="B254" s="12">
        <f t="shared" si="9"/>
        <v>10</v>
      </c>
      <c r="C254" s="12">
        <f t="shared" si="10"/>
        <v>2001</v>
      </c>
      <c r="D254" s="13">
        <v>5300</v>
      </c>
      <c r="E254" s="13">
        <v>29.515999999999998</v>
      </c>
      <c r="F254" s="13">
        <f t="shared" si="11"/>
        <v>179.56362650765686</v>
      </c>
    </row>
    <row r="255" spans="1:6" x14ac:dyDescent="0.25">
      <c r="A255" s="10">
        <v>37169</v>
      </c>
      <c r="B255" s="12">
        <f t="shared" si="9"/>
        <v>10</v>
      </c>
      <c r="C255" s="12">
        <f t="shared" si="10"/>
        <v>2001</v>
      </c>
      <c r="D255" s="13">
        <v>5300</v>
      </c>
      <c r="E255" s="13">
        <v>29.504000000000001</v>
      </c>
      <c r="F255" s="13">
        <f t="shared" si="11"/>
        <v>179.63665943600867</v>
      </c>
    </row>
    <row r="256" spans="1:6" x14ac:dyDescent="0.25">
      <c r="A256" s="10">
        <v>37172</v>
      </c>
      <c r="B256" s="12">
        <f t="shared" si="9"/>
        <v>10</v>
      </c>
      <c r="C256" s="12">
        <f t="shared" si="10"/>
        <v>2001</v>
      </c>
      <c r="D256" s="13">
        <v>5800</v>
      </c>
      <c r="E256" s="13">
        <v>29.483000000000001</v>
      </c>
      <c r="F256" s="13">
        <f t="shared" si="11"/>
        <v>196.72353559678459</v>
      </c>
    </row>
    <row r="257" spans="1:6" x14ac:dyDescent="0.25">
      <c r="A257" s="10">
        <v>37173</v>
      </c>
      <c r="B257" s="12">
        <f t="shared" si="9"/>
        <v>10</v>
      </c>
      <c r="C257" s="12">
        <f t="shared" si="10"/>
        <v>2001</v>
      </c>
      <c r="D257" s="13">
        <v>5800</v>
      </c>
      <c r="E257" s="13">
        <v>29.515000000000001</v>
      </c>
      <c r="F257" s="13">
        <f t="shared" si="11"/>
        <v>196.51024902591902</v>
      </c>
    </row>
    <row r="258" spans="1:6" x14ac:dyDescent="0.25">
      <c r="A258" s="10">
        <v>37174</v>
      </c>
      <c r="B258" s="12">
        <f t="shared" si="9"/>
        <v>10</v>
      </c>
      <c r="C258" s="12">
        <f t="shared" si="10"/>
        <v>2001</v>
      </c>
      <c r="D258" s="13">
        <v>5800</v>
      </c>
      <c r="E258" s="13">
        <v>29.527999999999999</v>
      </c>
      <c r="F258" s="13">
        <f t="shared" si="11"/>
        <v>196.42373340558115</v>
      </c>
    </row>
    <row r="259" spans="1:6" x14ac:dyDescent="0.25">
      <c r="A259" s="10">
        <v>37175</v>
      </c>
      <c r="B259" s="12">
        <f t="shared" ref="B259:B322" si="12">MONTH(A259)</f>
        <v>10</v>
      </c>
      <c r="C259" s="12">
        <f t="shared" ref="C259:C322" si="13">YEAR(A259)</f>
        <v>2001</v>
      </c>
      <c r="D259" s="13">
        <v>5800</v>
      </c>
      <c r="E259" s="13">
        <v>29.533000000000001</v>
      </c>
      <c r="F259" s="13">
        <f t="shared" ref="F259:F322" si="14">IF(D259="","",D259/E259)</f>
        <v>196.39047844783801</v>
      </c>
    </row>
    <row r="260" spans="1:6" x14ac:dyDescent="0.25">
      <c r="A260" s="10">
        <v>37176</v>
      </c>
      <c r="B260" s="12">
        <f t="shared" si="12"/>
        <v>10</v>
      </c>
      <c r="C260" s="12">
        <f t="shared" si="13"/>
        <v>2001</v>
      </c>
      <c r="D260" s="13">
        <v>5800</v>
      </c>
      <c r="E260" s="13">
        <v>29.524999999999999</v>
      </c>
      <c r="F260" s="13">
        <f t="shared" si="14"/>
        <v>196.44369178662151</v>
      </c>
    </row>
    <row r="261" spans="1:6" x14ac:dyDescent="0.25">
      <c r="A261" s="10">
        <v>37179</v>
      </c>
      <c r="B261" s="12">
        <f t="shared" si="12"/>
        <v>10</v>
      </c>
      <c r="C261" s="12">
        <f t="shared" si="13"/>
        <v>2001</v>
      </c>
      <c r="D261" s="13">
        <v>6100</v>
      </c>
      <c r="E261" s="13">
        <v>29.513000000000002</v>
      </c>
      <c r="F261" s="13">
        <f t="shared" si="14"/>
        <v>206.68857791481719</v>
      </c>
    </row>
    <row r="262" spans="1:6" x14ac:dyDescent="0.25">
      <c r="A262" s="10">
        <v>37180</v>
      </c>
      <c r="B262" s="12">
        <f t="shared" si="12"/>
        <v>10</v>
      </c>
      <c r="C262" s="12">
        <f t="shared" si="13"/>
        <v>2001</v>
      </c>
      <c r="D262" s="13">
        <v>6100</v>
      </c>
      <c r="E262" s="13">
        <v>29.532</v>
      </c>
      <c r="F262" s="13">
        <f t="shared" si="14"/>
        <v>206.55560070432074</v>
      </c>
    </row>
    <row r="263" spans="1:6" x14ac:dyDescent="0.25">
      <c r="A263" s="10">
        <v>37181</v>
      </c>
      <c r="B263" s="12">
        <f t="shared" si="12"/>
        <v>10</v>
      </c>
      <c r="C263" s="12">
        <f t="shared" si="13"/>
        <v>2001</v>
      </c>
      <c r="D263" s="13">
        <v>6100</v>
      </c>
      <c r="E263" s="13">
        <v>29.556000000000001</v>
      </c>
      <c r="F263" s="13">
        <f t="shared" si="14"/>
        <v>206.38787386655838</v>
      </c>
    </row>
    <row r="264" spans="1:6" x14ac:dyDescent="0.25">
      <c r="A264" s="10">
        <v>37182</v>
      </c>
      <c r="B264" s="12">
        <f t="shared" si="12"/>
        <v>10</v>
      </c>
      <c r="C264" s="12">
        <f t="shared" si="13"/>
        <v>2001</v>
      </c>
      <c r="D264" s="13">
        <v>6100</v>
      </c>
      <c r="E264" s="13">
        <v>29.548999999999999</v>
      </c>
      <c r="F264" s="13">
        <f t="shared" si="14"/>
        <v>206.43676604961252</v>
      </c>
    </row>
    <row r="265" spans="1:6" x14ac:dyDescent="0.25">
      <c r="A265" s="10">
        <v>37183</v>
      </c>
      <c r="B265" s="12">
        <f t="shared" si="12"/>
        <v>10</v>
      </c>
      <c r="C265" s="12">
        <f t="shared" si="13"/>
        <v>2001</v>
      </c>
      <c r="D265" s="13">
        <v>6100</v>
      </c>
      <c r="E265" s="13">
        <v>29.547000000000001</v>
      </c>
      <c r="F265" s="13">
        <f t="shared" si="14"/>
        <v>206.45073949978001</v>
      </c>
    </row>
    <row r="266" spans="1:6" x14ac:dyDescent="0.25">
      <c r="A266" s="10">
        <v>37186</v>
      </c>
      <c r="B266" s="12">
        <f t="shared" si="12"/>
        <v>10</v>
      </c>
      <c r="C266" s="12">
        <f t="shared" si="13"/>
        <v>2001</v>
      </c>
      <c r="D266" s="13">
        <v>6100</v>
      </c>
      <c r="E266" s="13">
        <v>29.559000000000001</v>
      </c>
      <c r="F266" s="13">
        <f t="shared" si="14"/>
        <v>206.36692716262391</v>
      </c>
    </row>
    <row r="267" spans="1:6" x14ac:dyDescent="0.25">
      <c r="A267" s="10">
        <v>37187</v>
      </c>
      <c r="B267" s="12">
        <f t="shared" si="12"/>
        <v>10</v>
      </c>
      <c r="C267" s="12">
        <f t="shared" si="13"/>
        <v>2001</v>
      </c>
      <c r="D267" s="13">
        <v>6100</v>
      </c>
      <c r="E267" s="13">
        <v>29.564</v>
      </c>
      <c r="F267" s="13">
        <f t="shared" si="14"/>
        <v>206.3320254363415</v>
      </c>
    </row>
    <row r="268" spans="1:6" x14ac:dyDescent="0.25">
      <c r="A268" s="10">
        <v>37188</v>
      </c>
      <c r="B268" s="12">
        <f t="shared" si="12"/>
        <v>10</v>
      </c>
      <c r="C268" s="12">
        <f t="shared" si="13"/>
        <v>2001</v>
      </c>
      <c r="D268" s="13">
        <v>6100</v>
      </c>
      <c r="E268" s="13">
        <v>29.576000000000001</v>
      </c>
      <c r="F268" s="13">
        <f t="shared" si="14"/>
        <v>206.24830944008656</v>
      </c>
    </row>
    <row r="269" spans="1:6" x14ac:dyDescent="0.25">
      <c r="A269" s="10">
        <v>37189</v>
      </c>
      <c r="B269" s="12">
        <f t="shared" si="12"/>
        <v>10</v>
      </c>
      <c r="C269" s="12">
        <f t="shared" si="13"/>
        <v>2001</v>
      </c>
      <c r="D269" s="13">
        <v>6100</v>
      </c>
      <c r="E269" s="13">
        <v>29.626999999999999</v>
      </c>
      <c r="F269" s="13">
        <f t="shared" si="14"/>
        <v>205.89327302798125</v>
      </c>
    </row>
    <row r="270" spans="1:6" x14ac:dyDescent="0.25">
      <c r="A270" s="10">
        <v>37190</v>
      </c>
      <c r="B270" s="12">
        <f t="shared" si="12"/>
        <v>10</v>
      </c>
      <c r="C270" s="12">
        <f t="shared" si="13"/>
        <v>2001</v>
      </c>
      <c r="D270" s="13">
        <v>6100</v>
      </c>
      <c r="E270" s="13">
        <v>29.707000000000001</v>
      </c>
      <c r="F270" s="13">
        <f t="shared" si="14"/>
        <v>205.3388090349076</v>
      </c>
    </row>
    <row r="271" spans="1:6" x14ac:dyDescent="0.25">
      <c r="A271" s="10">
        <v>37193</v>
      </c>
      <c r="B271" s="12">
        <f t="shared" si="12"/>
        <v>10</v>
      </c>
      <c r="C271" s="12">
        <f t="shared" si="13"/>
        <v>2001</v>
      </c>
      <c r="D271" s="13">
        <v>6550</v>
      </c>
      <c r="E271" s="13">
        <v>29.695</v>
      </c>
      <c r="F271" s="13">
        <f t="shared" si="14"/>
        <v>220.57585452096313</v>
      </c>
    </row>
    <row r="272" spans="1:6" x14ac:dyDescent="0.25">
      <c r="A272" s="10">
        <v>37194</v>
      </c>
      <c r="B272" s="12">
        <f t="shared" si="12"/>
        <v>10</v>
      </c>
      <c r="C272" s="12">
        <f t="shared" si="13"/>
        <v>2001</v>
      </c>
      <c r="D272" s="13">
        <v>6550</v>
      </c>
      <c r="E272" s="13">
        <v>29.690999999999999</v>
      </c>
      <c r="F272" s="13">
        <f t="shared" si="14"/>
        <v>220.60557071166346</v>
      </c>
    </row>
    <row r="273" spans="1:6" x14ac:dyDescent="0.25">
      <c r="A273" s="10">
        <v>37195</v>
      </c>
      <c r="B273" s="12">
        <f t="shared" si="12"/>
        <v>10</v>
      </c>
      <c r="C273" s="12">
        <f t="shared" si="13"/>
        <v>2001</v>
      </c>
      <c r="D273" s="13">
        <v>6550</v>
      </c>
      <c r="E273" s="13">
        <v>29.718</v>
      </c>
      <c r="F273" s="13">
        <f t="shared" si="14"/>
        <v>220.40514166498417</v>
      </c>
    </row>
    <row r="274" spans="1:6" x14ac:dyDescent="0.25">
      <c r="A274" s="10">
        <v>37196</v>
      </c>
      <c r="B274" s="12">
        <f t="shared" si="12"/>
        <v>11</v>
      </c>
      <c r="C274" s="12">
        <f t="shared" si="13"/>
        <v>2001</v>
      </c>
      <c r="D274" s="13">
        <v>6550</v>
      </c>
      <c r="E274" s="13">
        <v>29.754000000000001</v>
      </c>
      <c r="F274" s="13">
        <f t="shared" si="14"/>
        <v>220.13846877730725</v>
      </c>
    </row>
    <row r="275" spans="1:6" x14ac:dyDescent="0.25">
      <c r="A275" s="10">
        <v>37197</v>
      </c>
      <c r="B275" s="12">
        <f t="shared" si="12"/>
        <v>11</v>
      </c>
      <c r="C275" s="12">
        <f t="shared" si="13"/>
        <v>2001</v>
      </c>
      <c r="D275" s="13">
        <v>6550</v>
      </c>
      <c r="E275" s="13">
        <v>29.745000000000001</v>
      </c>
      <c r="F275" s="13">
        <f t="shared" si="14"/>
        <v>220.20507648344258</v>
      </c>
    </row>
    <row r="276" spans="1:6" x14ac:dyDescent="0.25">
      <c r="A276" s="10">
        <v>37200</v>
      </c>
      <c r="B276" s="12">
        <f t="shared" si="12"/>
        <v>11</v>
      </c>
      <c r="C276" s="12">
        <f t="shared" si="13"/>
        <v>2001</v>
      </c>
      <c r="D276" s="13">
        <v>6650</v>
      </c>
      <c r="E276" s="13">
        <v>29.7</v>
      </c>
      <c r="F276" s="13">
        <f t="shared" si="14"/>
        <v>223.9057239057239</v>
      </c>
    </row>
    <row r="277" spans="1:6" x14ac:dyDescent="0.25">
      <c r="A277" s="10">
        <v>37201</v>
      </c>
      <c r="B277" s="12">
        <f t="shared" si="12"/>
        <v>11</v>
      </c>
      <c r="C277" s="12">
        <f t="shared" si="13"/>
        <v>2001</v>
      </c>
      <c r="D277" s="13">
        <v>6650</v>
      </c>
      <c r="E277" s="13">
        <v>29.722999999999999</v>
      </c>
      <c r="F277" s="13">
        <f t="shared" si="14"/>
        <v>223.7324630757326</v>
      </c>
    </row>
    <row r="278" spans="1:6" x14ac:dyDescent="0.25">
      <c r="A278" s="10">
        <v>37202</v>
      </c>
      <c r="B278" s="12">
        <f t="shared" si="12"/>
        <v>11</v>
      </c>
      <c r="C278" s="12">
        <f t="shared" si="13"/>
        <v>2001</v>
      </c>
      <c r="D278" s="13">
        <v>6650</v>
      </c>
      <c r="E278" s="13">
        <v>29.742000000000001</v>
      </c>
      <c r="F278" s="13">
        <f t="shared" si="14"/>
        <v>223.589536682133</v>
      </c>
    </row>
    <row r="279" spans="1:6" x14ac:dyDescent="0.25">
      <c r="A279" s="10">
        <v>37203</v>
      </c>
      <c r="B279" s="12">
        <f t="shared" si="12"/>
        <v>11</v>
      </c>
      <c r="C279" s="12">
        <f t="shared" si="13"/>
        <v>2001</v>
      </c>
      <c r="D279" s="13">
        <v>6650</v>
      </c>
      <c r="E279" s="13">
        <v>29.704999999999998</v>
      </c>
      <c r="F279" s="13">
        <f t="shared" si="14"/>
        <v>223.86803568422826</v>
      </c>
    </row>
    <row r="280" spans="1:6" x14ac:dyDescent="0.25">
      <c r="A280" s="10">
        <v>37204</v>
      </c>
      <c r="B280" s="12">
        <f t="shared" si="12"/>
        <v>11</v>
      </c>
      <c r="C280" s="12">
        <f t="shared" si="13"/>
        <v>2001</v>
      </c>
      <c r="D280" s="13">
        <v>6650</v>
      </c>
      <c r="E280" s="13">
        <v>29.72</v>
      </c>
      <c r="F280" s="13">
        <f t="shared" si="14"/>
        <v>223.75504710632572</v>
      </c>
    </row>
    <row r="281" spans="1:6" x14ac:dyDescent="0.25">
      <c r="A281" s="10">
        <v>37207</v>
      </c>
      <c r="B281" s="12">
        <f t="shared" si="12"/>
        <v>11</v>
      </c>
      <c r="C281" s="12">
        <f t="shared" si="13"/>
        <v>2001</v>
      </c>
      <c r="D281" s="13">
        <v>7000</v>
      </c>
      <c r="E281" s="13">
        <v>29.72</v>
      </c>
      <c r="F281" s="13">
        <f t="shared" si="14"/>
        <v>235.53162853297442</v>
      </c>
    </row>
    <row r="282" spans="1:6" x14ac:dyDescent="0.25">
      <c r="A282" s="10">
        <v>37208</v>
      </c>
      <c r="B282" s="12">
        <f t="shared" si="12"/>
        <v>11</v>
      </c>
      <c r="C282" s="12">
        <f t="shared" si="13"/>
        <v>2001</v>
      </c>
      <c r="D282" s="13">
        <v>7000</v>
      </c>
      <c r="E282" s="13">
        <v>29.72</v>
      </c>
      <c r="F282" s="13">
        <f t="shared" si="14"/>
        <v>235.53162853297442</v>
      </c>
    </row>
    <row r="283" spans="1:6" x14ac:dyDescent="0.25">
      <c r="A283" s="10">
        <v>37209</v>
      </c>
      <c r="B283" s="12">
        <f t="shared" si="12"/>
        <v>11</v>
      </c>
      <c r="C283" s="12">
        <f t="shared" si="13"/>
        <v>2001</v>
      </c>
      <c r="D283" s="13">
        <v>7000</v>
      </c>
      <c r="E283" s="13">
        <v>29.76</v>
      </c>
      <c r="F283" s="13">
        <f t="shared" si="14"/>
        <v>235.21505376344084</v>
      </c>
    </row>
    <row r="284" spans="1:6" x14ac:dyDescent="0.25">
      <c r="A284" s="10">
        <v>37210</v>
      </c>
      <c r="B284" s="12">
        <f t="shared" si="12"/>
        <v>11</v>
      </c>
      <c r="C284" s="12">
        <f t="shared" si="13"/>
        <v>2001</v>
      </c>
      <c r="D284" s="13">
        <v>7000</v>
      </c>
      <c r="E284" s="13">
        <v>29.8</v>
      </c>
      <c r="F284" s="13">
        <f t="shared" si="14"/>
        <v>234.8993288590604</v>
      </c>
    </row>
    <row r="285" spans="1:6" x14ac:dyDescent="0.25">
      <c r="A285" s="10">
        <v>37211</v>
      </c>
      <c r="B285" s="12">
        <f t="shared" si="12"/>
        <v>11</v>
      </c>
      <c r="C285" s="12">
        <f t="shared" si="13"/>
        <v>2001</v>
      </c>
      <c r="D285" s="13">
        <v>7000</v>
      </c>
      <c r="E285" s="13">
        <v>29.827000000000002</v>
      </c>
      <c r="F285" s="13">
        <f t="shared" si="14"/>
        <v>234.68669326449188</v>
      </c>
    </row>
    <row r="286" spans="1:6" x14ac:dyDescent="0.25">
      <c r="A286" s="10">
        <v>37214</v>
      </c>
      <c r="B286" s="12">
        <f t="shared" si="12"/>
        <v>11</v>
      </c>
      <c r="C286" s="12">
        <f t="shared" si="13"/>
        <v>2001</v>
      </c>
      <c r="D286" s="13">
        <v>7350</v>
      </c>
      <c r="E286" s="13">
        <v>29.827000000000002</v>
      </c>
      <c r="F286" s="13">
        <f t="shared" si="14"/>
        <v>246.42102792771649</v>
      </c>
    </row>
    <row r="287" spans="1:6" x14ac:dyDescent="0.25">
      <c r="A287" s="10">
        <v>37215</v>
      </c>
      <c r="B287" s="12">
        <f t="shared" si="12"/>
        <v>11</v>
      </c>
      <c r="C287" s="12">
        <f t="shared" si="13"/>
        <v>2001</v>
      </c>
      <c r="D287" s="13">
        <v>7350</v>
      </c>
      <c r="E287" s="13">
        <v>29.934000000000001</v>
      </c>
      <c r="F287" s="13">
        <f t="shared" si="14"/>
        <v>245.54018841451193</v>
      </c>
    </row>
    <row r="288" spans="1:6" x14ac:dyDescent="0.25">
      <c r="A288" s="10">
        <v>37216</v>
      </c>
      <c r="B288" s="12">
        <f t="shared" si="12"/>
        <v>11</v>
      </c>
      <c r="C288" s="12">
        <f t="shared" si="13"/>
        <v>2001</v>
      </c>
      <c r="D288" s="13">
        <v>7350</v>
      </c>
      <c r="E288" s="13">
        <v>29.966999999999999</v>
      </c>
      <c r="F288" s="13">
        <f t="shared" si="14"/>
        <v>245.26979677645411</v>
      </c>
    </row>
    <row r="289" spans="1:6" x14ac:dyDescent="0.25">
      <c r="A289" s="10">
        <v>37218</v>
      </c>
      <c r="B289" s="12">
        <f t="shared" si="12"/>
        <v>11</v>
      </c>
      <c r="C289" s="12">
        <f t="shared" si="13"/>
        <v>2001</v>
      </c>
      <c r="D289" s="13">
        <v>7350</v>
      </c>
      <c r="E289" s="13">
        <v>29.937000000000001</v>
      </c>
      <c r="F289" s="13">
        <f t="shared" si="14"/>
        <v>245.5155827237198</v>
      </c>
    </row>
    <row r="290" spans="1:6" x14ac:dyDescent="0.25">
      <c r="A290" s="10">
        <v>37221</v>
      </c>
      <c r="B290" s="12">
        <f t="shared" si="12"/>
        <v>11</v>
      </c>
      <c r="C290" s="12">
        <f t="shared" si="13"/>
        <v>2001</v>
      </c>
      <c r="D290" s="13">
        <v>7350</v>
      </c>
      <c r="E290" s="13">
        <v>29.937000000000001</v>
      </c>
      <c r="F290" s="13">
        <f t="shared" si="14"/>
        <v>245.5155827237198</v>
      </c>
    </row>
    <row r="291" spans="1:6" x14ac:dyDescent="0.25">
      <c r="A291" s="10">
        <v>37222</v>
      </c>
      <c r="B291" s="12">
        <f t="shared" si="12"/>
        <v>11</v>
      </c>
      <c r="C291" s="12">
        <f t="shared" si="13"/>
        <v>2001</v>
      </c>
      <c r="D291" s="13">
        <v>7350</v>
      </c>
      <c r="E291" s="13">
        <v>29.937000000000001</v>
      </c>
      <c r="F291" s="13">
        <f t="shared" si="14"/>
        <v>245.5155827237198</v>
      </c>
    </row>
    <row r="292" spans="1:6" x14ac:dyDescent="0.25">
      <c r="A292" s="10">
        <v>37223</v>
      </c>
      <c r="B292" s="12">
        <f t="shared" si="12"/>
        <v>11</v>
      </c>
      <c r="C292" s="12">
        <f t="shared" si="13"/>
        <v>2001</v>
      </c>
      <c r="D292" s="13">
        <v>7350</v>
      </c>
      <c r="E292" s="13">
        <v>29.937000000000001</v>
      </c>
      <c r="F292" s="13">
        <f t="shared" si="14"/>
        <v>245.5155827237198</v>
      </c>
    </row>
    <row r="293" spans="1:6" x14ac:dyDescent="0.25">
      <c r="A293" s="10">
        <v>37224</v>
      </c>
      <c r="B293" s="12">
        <f t="shared" si="12"/>
        <v>11</v>
      </c>
      <c r="C293" s="12">
        <f t="shared" si="13"/>
        <v>2001</v>
      </c>
      <c r="D293" s="13">
        <v>7350</v>
      </c>
      <c r="E293" s="13">
        <v>29.937000000000001</v>
      </c>
      <c r="F293" s="13">
        <f t="shared" si="14"/>
        <v>245.5155827237198</v>
      </c>
    </row>
    <row r="294" spans="1:6" x14ac:dyDescent="0.25">
      <c r="A294" s="10">
        <v>37225</v>
      </c>
      <c r="B294" s="12">
        <f t="shared" si="12"/>
        <v>11</v>
      </c>
      <c r="C294" s="12">
        <f t="shared" si="13"/>
        <v>2001</v>
      </c>
      <c r="D294" s="13">
        <v>7350</v>
      </c>
      <c r="E294" s="13">
        <v>29.93</v>
      </c>
      <c r="F294" s="13">
        <f t="shared" si="14"/>
        <v>245.57300367524223</v>
      </c>
    </row>
    <row r="295" spans="1:6" x14ac:dyDescent="0.25">
      <c r="A295" s="10">
        <v>37228</v>
      </c>
      <c r="B295" s="12">
        <f t="shared" si="12"/>
        <v>12</v>
      </c>
      <c r="C295" s="12">
        <f t="shared" si="13"/>
        <v>2001</v>
      </c>
      <c r="D295" s="13">
        <v>8150</v>
      </c>
      <c r="E295" s="13">
        <v>29.95</v>
      </c>
      <c r="F295" s="13">
        <f t="shared" si="14"/>
        <v>272.12020033388984</v>
      </c>
    </row>
    <row r="296" spans="1:6" x14ac:dyDescent="0.25">
      <c r="A296" s="10">
        <v>37229</v>
      </c>
      <c r="B296" s="12">
        <f t="shared" si="12"/>
        <v>12</v>
      </c>
      <c r="C296" s="12">
        <f t="shared" si="13"/>
        <v>2001</v>
      </c>
      <c r="D296" s="13">
        <v>8150</v>
      </c>
      <c r="E296" s="13">
        <v>29.951000000000001</v>
      </c>
      <c r="F296" s="13">
        <f t="shared" si="14"/>
        <v>272.11111482087409</v>
      </c>
    </row>
    <row r="297" spans="1:6" x14ac:dyDescent="0.25">
      <c r="A297" s="10">
        <v>37230</v>
      </c>
      <c r="B297" s="12">
        <f t="shared" si="12"/>
        <v>12</v>
      </c>
      <c r="C297" s="12">
        <f t="shared" si="13"/>
        <v>2001</v>
      </c>
      <c r="D297" s="13">
        <v>8150</v>
      </c>
      <c r="E297" s="13">
        <v>29.94</v>
      </c>
      <c r="F297" s="13">
        <f t="shared" si="14"/>
        <v>272.21108884435534</v>
      </c>
    </row>
    <row r="298" spans="1:6" x14ac:dyDescent="0.25">
      <c r="A298" s="10">
        <v>37231</v>
      </c>
      <c r="B298" s="12">
        <f t="shared" si="12"/>
        <v>12</v>
      </c>
      <c r="C298" s="12">
        <f t="shared" si="13"/>
        <v>2001</v>
      </c>
      <c r="D298" s="13">
        <v>8150</v>
      </c>
      <c r="E298" s="13">
        <v>29.93</v>
      </c>
      <c r="F298" s="13">
        <f t="shared" si="14"/>
        <v>272.30203808887404</v>
      </c>
    </row>
    <row r="299" spans="1:6" x14ac:dyDescent="0.25">
      <c r="A299" s="10">
        <v>37232</v>
      </c>
      <c r="B299" s="12">
        <f t="shared" si="12"/>
        <v>12</v>
      </c>
      <c r="C299" s="12">
        <f t="shared" si="13"/>
        <v>2001</v>
      </c>
      <c r="D299" s="13">
        <v>8150</v>
      </c>
      <c r="E299" s="13">
        <v>30.06</v>
      </c>
      <c r="F299" s="13">
        <f t="shared" si="14"/>
        <v>271.12441783100468</v>
      </c>
    </row>
    <row r="300" spans="1:6" x14ac:dyDescent="0.25">
      <c r="A300" s="10">
        <v>37235</v>
      </c>
      <c r="B300" s="12">
        <f t="shared" si="12"/>
        <v>12</v>
      </c>
      <c r="C300" s="12">
        <f t="shared" si="13"/>
        <v>2001</v>
      </c>
      <c r="D300" s="13">
        <v>8250</v>
      </c>
      <c r="E300" s="13">
        <v>30.06</v>
      </c>
      <c r="F300" s="13">
        <f t="shared" si="14"/>
        <v>274.45109780439122</v>
      </c>
    </row>
    <row r="301" spans="1:6" x14ac:dyDescent="0.25">
      <c r="A301" s="10">
        <v>37236</v>
      </c>
      <c r="B301" s="12">
        <f t="shared" si="12"/>
        <v>12</v>
      </c>
      <c r="C301" s="12">
        <f t="shared" si="13"/>
        <v>2001</v>
      </c>
      <c r="D301" s="13">
        <v>8250</v>
      </c>
      <c r="E301" s="13">
        <v>30.06</v>
      </c>
      <c r="F301" s="13">
        <f t="shared" si="14"/>
        <v>274.45109780439122</v>
      </c>
    </row>
    <row r="302" spans="1:6" x14ac:dyDescent="0.25">
      <c r="A302" s="10">
        <v>37237</v>
      </c>
      <c r="B302" s="12">
        <f t="shared" si="12"/>
        <v>12</v>
      </c>
      <c r="C302" s="12">
        <f t="shared" si="13"/>
        <v>2001</v>
      </c>
      <c r="D302" s="13">
        <v>8250</v>
      </c>
      <c r="E302" s="13">
        <v>30.103000000000002</v>
      </c>
      <c r="F302" s="13">
        <f t="shared" si="14"/>
        <v>274.05906388067632</v>
      </c>
    </row>
    <row r="303" spans="1:6" x14ac:dyDescent="0.25">
      <c r="A303" s="10">
        <v>37238</v>
      </c>
      <c r="B303" s="12">
        <f t="shared" si="12"/>
        <v>12</v>
      </c>
      <c r="C303" s="12">
        <f t="shared" si="13"/>
        <v>2001</v>
      </c>
      <c r="D303" s="13">
        <v>8250</v>
      </c>
      <c r="E303" s="13">
        <v>30.33</v>
      </c>
      <c r="F303" s="13">
        <f t="shared" si="14"/>
        <v>272.00791295746785</v>
      </c>
    </row>
    <row r="304" spans="1:6" x14ac:dyDescent="0.25">
      <c r="A304" s="10">
        <v>37239</v>
      </c>
      <c r="B304" s="12">
        <f t="shared" si="12"/>
        <v>12</v>
      </c>
      <c r="C304" s="12">
        <f t="shared" si="13"/>
        <v>2001</v>
      </c>
      <c r="D304" s="13">
        <v>8250</v>
      </c>
      <c r="E304" s="13">
        <v>30.33</v>
      </c>
      <c r="F304" s="13">
        <f t="shared" si="14"/>
        <v>272.00791295746785</v>
      </c>
    </row>
    <row r="305" spans="1:6" x14ac:dyDescent="0.25">
      <c r="A305" s="10">
        <v>37242</v>
      </c>
      <c r="B305" s="12">
        <f t="shared" si="12"/>
        <v>12</v>
      </c>
      <c r="C305" s="12">
        <f t="shared" si="13"/>
        <v>2001</v>
      </c>
      <c r="D305" s="13">
        <v>8650</v>
      </c>
      <c r="E305" s="13">
        <v>30.42</v>
      </c>
      <c r="F305" s="13">
        <f t="shared" si="14"/>
        <v>284.35239973701511</v>
      </c>
    </row>
    <row r="306" spans="1:6" x14ac:dyDescent="0.25">
      <c r="A306" s="10">
        <v>37243</v>
      </c>
      <c r="B306" s="12">
        <f t="shared" si="12"/>
        <v>12</v>
      </c>
      <c r="C306" s="12">
        <f t="shared" si="13"/>
        <v>2001</v>
      </c>
      <c r="D306" s="13">
        <v>8650</v>
      </c>
      <c r="E306" s="13">
        <v>30.33</v>
      </c>
      <c r="F306" s="13">
        <f t="shared" si="14"/>
        <v>285.19617540389055</v>
      </c>
    </row>
    <row r="307" spans="1:6" x14ac:dyDescent="0.25">
      <c r="A307" s="10">
        <v>37244</v>
      </c>
      <c r="B307" s="12">
        <f t="shared" si="12"/>
        <v>12</v>
      </c>
      <c r="C307" s="12">
        <f t="shared" si="13"/>
        <v>2001</v>
      </c>
      <c r="D307" s="13">
        <v>8650</v>
      </c>
      <c r="E307" s="13">
        <v>30.33</v>
      </c>
      <c r="F307" s="13">
        <f t="shared" si="14"/>
        <v>285.19617540389055</v>
      </c>
    </row>
    <row r="308" spans="1:6" x14ac:dyDescent="0.25">
      <c r="A308" s="10">
        <v>37245</v>
      </c>
      <c r="B308" s="12">
        <f t="shared" si="12"/>
        <v>12</v>
      </c>
      <c r="C308" s="12">
        <f t="shared" si="13"/>
        <v>2001</v>
      </c>
      <c r="D308" s="13">
        <v>8650</v>
      </c>
      <c r="E308" s="13">
        <v>30.33</v>
      </c>
      <c r="F308" s="13">
        <f t="shared" si="14"/>
        <v>285.19617540389055</v>
      </c>
    </row>
    <row r="309" spans="1:6" x14ac:dyDescent="0.25">
      <c r="A309" s="10">
        <v>37246</v>
      </c>
      <c r="B309" s="12">
        <f t="shared" si="12"/>
        <v>12</v>
      </c>
      <c r="C309" s="12">
        <f t="shared" si="13"/>
        <v>2001</v>
      </c>
      <c r="D309" s="13">
        <v>8650</v>
      </c>
      <c r="E309" s="13">
        <v>30.18</v>
      </c>
      <c r="F309" s="13">
        <f t="shared" si="14"/>
        <v>286.61365142478462</v>
      </c>
    </row>
    <row r="310" spans="1:6" x14ac:dyDescent="0.25">
      <c r="A310" s="10">
        <v>37251</v>
      </c>
      <c r="B310" s="12">
        <f t="shared" si="12"/>
        <v>12</v>
      </c>
      <c r="C310" s="12">
        <f t="shared" si="13"/>
        <v>2001</v>
      </c>
      <c r="D310" s="13">
        <v>8600</v>
      </c>
      <c r="E310" s="13">
        <v>30.18</v>
      </c>
      <c r="F310" s="13">
        <f t="shared" si="14"/>
        <v>284.95692511597082</v>
      </c>
    </row>
    <row r="311" spans="1:6" x14ac:dyDescent="0.25">
      <c r="A311" s="10">
        <v>37252</v>
      </c>
      <c r="B311" s="12">
        <f t="shared" si="12"/>
        <v>12</v>
      </c>
      <c r="C311" s="12">
        <f t="shared" si="13"/>
        <v>2001</v>
      </c>
      <c r="D311" s="13">
        <v>8600</v>
      </c>
      <c r="E311" s="13">
        <v>30.18</v>
      </c>
      <c r="F311" s="13">
        <f t="shared" si="14"/>
        <v>284.95692511597082</v>
      </c>
    </row>
    <row r="312" spans="1:6" x14ac:dyDescent="0.25">
      <c r="A312" s="10">
        <v>37253</v>
      </c>
      <c r="B312" s="12">
        <f t="shared" si="12"/>
        <v>12</v>
      </c>
      <c r="C312" s="12">
        <f t="shared" si="13"/>
        <v>2001</v>
      </c>
      <c r="D312" s="13">
        <v>8600</v>
      </c>
      <c r="E312" s="13">
        <v>30.47</v>
      </c>
      <c r="F312" s="13">
        <f t="shared" si="14"/>
        <v>282.24483098129309</v>
      </c>
    </row>
    <row r="313" spans="1:6" x14ac:dyDescent="0.25">
      <c r="A313" s="10">
        <v>37256</v>
      </c>
      <c r="B313" s="12">
        <f t="shared" si="12"/>
        <v>12</v>
      </c>
      <c r="C313" s="12">
        <f t="shared" si="13"/>
        <v>2001</v>
      </c>
      <c r="D313" s="13">
        <v>8600</v>
      </c>
      <c r="E313" s="13">
        <v>30.47</v>
      </c>
      <c r="F313" s="13">
        <f t="shared" si="14"/>
        <v>282.24483098129309</v>
      </c>
    </row>
    <row r="314" spans="1:6" x14ac:dyDescent="0.25">
      <c r="A314" s="10">
        <v>37258</v>
      </c>
      <c r="B314" s="12">
        <f t="shared" si="12"/>
        <v>1</v>
      </c>
      <c r="C314" s="12">
        <f t="shared" si="13"/>
        <v>2002</v>
      </c>
      <c r="D314" s="13">
        <v>8600</v>
      </c>
      <c r="E314" s="13">
        <v>30.47</v>
      </c>
      <c r="F314" s="13">
        <f t="shared" si="14"/>
        <v>282.24483098129309</v>
      </c>
    </row>
    <row r="315" spans="1:6" x14ac:dyDescent="0.25">
      <c r="A315" s="10">
        <v>37259</v>
      </c>
      <c r="B315" s="12">
        <f t="shared" si="12"/>
        <v>1</v>
      </c>
      <c r="C315" s="12">
        <f t="shared" si="13"/>
        <v>2002</v>
      </c>
      <c r="D315" s="13">
        <v>8600</v>
      </c>
      <c r="E315" s="13">
        <v>30.6</v>
      </c>
      <c r="F315" s="13">
        <f t="shared" si="14"/>
        <v>281.04575163398692</v>
      </c>
    </row>
    <row r="316" spans="1:6" x14ac:dyDescent="0.25">
      <c r="A316" s="10">
        <v>37260</v>
      </c>
      <c r="B316" s="12">
        <f t="shared" si="12"/>
        <v>1</v>
      </c>
      <c r="C316" s="12">
        <f t="shared" si="13"/>
        <v>2002</v>
      </c>
      <c r="D316" s="13">
        <v>8600</v>
      </c>
      <c r="E316" s="13">
        <v>30.52</v>
      </c>
      <c r="F316" s="13">
        <f t="shared" si="14"/>
        <v>281.78243774574048</v>
      </c>
    </row>
    <row r="317" spans="1:6" x14ac:dyDescent="0.25">
      <c r="A317" s="10">
        <v>37263</v>
      </c>
      <c r="B317" s="12">
        <f t="shared" si="12"/>
        <v>1</v>
      </c>
      <c r="C317" s="12">
        <f t="shared" si="13"/>
        <v>2002</v>
      </c>
      <c r="D317" s="13">
        <v>8750</v>
      </c>
      <c r="E317" s="13">
        <v>30.52</v>
      </c>
      <c r="F317" s="13">
        <f t="shared" si="14"/>
        <v>286.69724770642205</v>
      </c>
    </row>
    <row r="318" spans="1:6" x14ac:dyDescent="0.25">
      <c r="A318" s="10">
        <v>37264</v>
      </c>
      <c r="B318" s="12">
        <f t="shared" si="12"/>
        <v>1</v>
      </c>
      <c r="C318" s="12">
        <f t="shared" si="13"/>
        <v>2002</v>
      </c>
      <c r="D318" s="13">
        <v>8750</v>
      </c>
      <c r="E318" s="13">
        <v>30.611999999999998</v>
      </c>
      <c r="F318" s="13">
        <f t="shared" si="14"/>
        <v>285.83562001829347</v>
      </c>
    </row>
    <row r="319" spans="1:6" x14ac:dyDescent="0.25">
      <c r="A319" s="10">
        <v>37265</v>
      </c>
      <c r="B319" s="12">
        <f t="shared" si="12"/>
        <v>1</v>
      </c>
      <c r="C319" s="12">
        <f t="shared" si="13"/>
        <v>2002</v>
      </c>
      <c r="D319" s="13">
        <v>8750</v>
      </c>
      <c r="E319" s="13">
        <v>30.54</v>
      </c>
      <c r="F319" s="13">
        <f t="shared" si="14"/>
        <v>286.50949574328752</v>
      </c>
    </row>
    <row r="320" spans="1:6" x14ac:dyDescent="0.25">
      <c r="A320" s="10">
        <v>37266</v>
      </c>
      <c r="B320" s="12">
        <f t="shared" si="12"/>
        <v>1</v>
      </c>
      <c r="C320" s="12">
        <f t="shared" si="13"/>
        <v>2002</v>
      </c>
      <c r="D320" s="13">
        <v>8750</v>
      </c>
      <c r="E320" s="13">
        <v>30.532</v>
      </c>
      <c r="F320" s="13">
        <f t="shared" si="14"/>
        <v>286.58456701165989</v>
      </c>
    </row>
    <row r="321" spans="1:6" x14ac:dyDescent="0.25">
      <c r="A321" s="10">
        <v>37267</v>
      </c>
      <c r="B321" s="12">
        <f t="shared" si="12"/>
        <v>1</v>
      </c>
      <c r="C321" s="12">
        <f t="shared" si="13"/>
        <v>2002</v>
      </c>
      <c r="D321" s="13">
        <v>8750</v>
      </c>
      <c r="E321" s="13">
        <v>30.477</v>
      </c>
      <c r="F321" s="13">
        <f t="shared" si="14"/>
        <v>287.10174885979592</v>
      </c>
    </row>
    <row r="322" spans="1:6" x14ac:dyDescent="0.25">
      <c r="A322" s="10">
        <v>37270</v>
      </c>
      <c r="B322" s="12">
        <f t="shared" si="12"/>
        <v>1</v>
      </c>
      <c r="C322" s="12">
        <f t="shared" si="13"/>
        <v>2002</v>
      </c>
      <c r="D322" s="13">
        <v>8750</v>
      </c>
      <c r="E322" s="13">
        <v>30.47</v>
      </c>
      <c r="F322" s="13">
        <f t="shared" si="14"/>
        <v>287.16770594026912</v>
      </c>
    </row>
    <row r="323" spans="1:6" x14ac:dyDescent="0.25">
      <c r="A323" s="10">
        <v>37271</v>
      </c>
      <c r="B323" s="12">
        <f t="shared" ref="B323:B386" si="15">MONTH(A323)</f>
        <v>1</v>
      </c>
      <c r="C323" s="12">
        <f t="shared" ref="C323:C386" si="16">YEAR(A323)</f>
        <v>2002</v>
      </c>
      <c r="D323" s="13">
        <v>8750</v>
      </c>
      <c r="E323" s="13">
        <v>30.54</v>
      </c>
      <c r="F323" s="13">
        <f t="shared" ref="F323:F386" si="17">IF(D323="","",D323/E323)</f>
        <v>286.50949574328752</v>
      </c>
    </row>
    <row r="324" spans="1:6" x14ac:dyDescent="0.25">
      <c r="A324" s="10">
        <v>37272</v>
      </c>
      <c r="B324" s="12">
        <f t="shared" si="15"/>
        <v>1</v>
      </c>
      <c r="C324" s="12">
        <f t="shared" si="16"/>
        <v>2002</v>
      </c>
      <c r="D324" s="13">
        <v>8750</v>
      </c>
      <c r="E324" s="13">
        <v>30.515000000000001</v>
      </c>
      <c r="F324" s="13">
        <f t="shared" si="17"/>
        <v>286.74422415205635</v>
      </c>
    </row>
    <row r="325" spans="1:6" x14ac:dyDescent="0.25">
      <c r="A325" s="10">
        <v>37273</v>
      </c>
      <c r="B325" s="12">
        <f t="shared" si="15"/>
        <v>1</v>
      </c>
      <c r="C325" s="12">
        <f t="shared" si="16"/>
        <v>2002</v>
      </c>
      <c r="D325" s="13">
        <v>8750</v>
      </c>
      <c r="E325" s="13">
        <v>30.58</v>
      </c>
      <c r="F325" s="13">
        <f t="shared" si="17"/>
        <v>286.13472858077176</v>
      </c>
    </row>
    <row r="326" spans="1:6" x14ac:dyDescent="0.25">
      <c r="A326" s="10">
        <v>37274</v>
      </c>
      <c r="B326" s="12">
        <f t="shared" si="15"/>
        <v>1</v>
      </c>
      <c r="C326" s="12">
        <f t="shared" si="16"/>
        <v>2002</v>
      </c>
      <c r="D326" s="13">
        <v>8750</v>
      </c>
      <c r="E326" s="13">
        <v>30.58</v>
      </c>
      <c r="F326" s="13">
        <f t="shared" si="17"/>
        <v>286.13472858077176</v>
      </c>
    </row>
    <row r="327" spans="1:6" x14ac:dyDescent="0.25">
      <c r="A327" s="10">
        <v>37278</v>
      </c>
      <c r="B327" s="12">
        <f t="shared" si="15"/>
        <v>1</v>
      </c>
      <c r="C327" s="12">
        <f t="shared" si="16"/>
        <v>2002</v>
      </c>
      <c r="D327" s="13">
        <v>8700</v>
      </c>
      <c r="E327" s="13">
        <v>30.59</v>
      </c>
      <c r="F327" s="13">
        <f t="shared" si="17"/>
        <v>284.40666884602814</v>
      </c>
    </row>
    <row r="328" spans="1:6" x14ac:dyDescent="0.25">
      <c r="A328" s="10">
        <v>37279</v>
      </c>
      <c r="B328" s="12">
        <f t="shared" si="15"/>
        <v>1</v>
      </c>
      <c r="C328" s="12">
        <f t="shared" si="16"/>
        <v>2002</v>
      </c>
      <c r="D328" s="13">
        <v>8700</v>
      </c>
      <c r="E328" s="13">
        <v>30.57</v>
      </c>
      <c r="F328" s="13">
        <f t="shared" si="17"/>
        <v>284.59273797841018</v>
      </c>
    </row>
    <row r="329" spans="1:6" x14ac:dyDescent="0.25">
      <c r="A329" s="10">
        <v>37280</v>
      </c>
      <c r="B329" s="12">
        <f t="shared" si="15"/>
        <v>1</v>
      </c>
      <c r="C329" s="12">
        <f t="shared" si="16"/>
        <v>2002</v>
      </c>
      <c r="D329" s="13">
        <v>8700</v>
      </c>
      <c r="E329" s="13">
        <v>30.611999999999998</v>
      </c>
      <c r="F329" s="13">
        <f t="shared" si="17"/>
        <v>284.20227361818894</v>
      </c>
    </row>
    <row r="330" spans="1:6" x14ac:dyDescent="0.25">
      <c r="A330" s="10">
        <v>37281</v>
      </c>
      <c r="B330" s="12">
        <f t="shared" si="15"/>
        <v>1</v>
      </c>
      <c r="C330" s="12">
        <f t="shared" si="16"/>
        <v>2002</v>
      </c>
      <c r="D330" s="13">
        <v>8700</v>
      </c>
      <c r="E330" s="13">
        <v>30.611999999999998</v>
      </c>
      <c r="F330" s="13">
        <f t="shared" si="17"/>
        <v>284.20227361818894</v>
      </c>
    </row>
    <row r="331" spans="1:6" x14ac:dyDescent="0.25">
      <c r="A331" s="10">
        <v>37284</v>
      </c>
      <c r="B331" s="12">
        <f t="shared" si="15"/>
        <v>1</v>
      </c>
      <c r="C331" s="12">
        <f t="shared" si="16"/>
        <v>2002</v>
      </c>
      <c r="D331" s="13">
        <v>8700</v>
      </c>
      <c r="E331" s="13">
        <v>30.611999999999998</v>
      </c>
      <c r="F331" s="13">
        <f t="shared" si="17"/>
        <v>284.20227361818894</v>
      </c>
    </row>
    <row r="332" spans="1:6" x14ac:dyDescent="0.25">
      <c r="A332" s="10">
        <v>37285</v>
      </c>
      <c r="B332" s="12">
        <f t="shared" si="15"/>
        <v>1</v>
      </c>
      <c r="C332" s="12">
        <f t="shared" si="16"/>
        <v>2002</v>
      </c>
      <c r="D332" s="13">
        <v>8700</v>
      </c>
      <c r="E332" s="13">
        <v>30.664999999999999</v>
      </c>
      <c r="F332" s="13">
        <f t="shared" si="17"/>
        <v>283.71107125387249</v>
      </c>
    </row>
    <row r="333" spans="1:6" x14ac:dyDescent="0.25">
      <c r="A333" s="10">
        <v>37286</v>
      </c>
      <c r="B333" s="12">
        <f t="shared" si="15"/>
        <v>1</v>
      </c>
      <c r="C333" s="12">
        <f t="shared" si="16"/>
        <v>2002</v>
      </c>
      <c r="D333" s="13">
        <v>8700</v>
      </c>
      <c r="E333" s="13">
        <v>30.7</v>
      </c>
      <c r="F333" s="13">
        <f t="shared" si="17"/>
        <v>283.38762214983711</v>
      </c>
    </row>
    <row r="334" spans="1:6" x14ac:dyDescent="0.25">
      <c r="A334" s="10">
        <v>37287</v>
      </c>
      <c r="B334" s="12">
        <f t="shared" si="15"/>
        <v>1</v>
      </c>
      <c r="C334" s="12">
        <f t="shared" si="16"/>
        <v>2002</v>
      </c>
      <c r="D334" s="13">
        <v>8700</v>
      </c>
      <c r="E334" s="13">
        <v>30.7</v>
      </c>
      <c r="F334" s="13">
        <f t="shared" si="17"/>
        <v>283.38762214983711</v>
      </c>
    </row>
    <row r="335" spans="1:6" x14ac:dyDescent="0.25">
      <c r="A335" s="10">
        <v>37288</v>
      </c>
      <c r="B335" s="12">
        <f t="shared" si="15"/>
        <v>2</v>
      </c>
      <c r="C335" s="12">
        <f t="shared" si="16"/>
        <v>2002</v>
      </c>
      <c r="D335" s="13">
        <v>8700</v>
      </c>
      <c r="E335" s="13">
        <v>30.734999999999999</v>
      </c>
      <c r="F335" s="13">
        <f t="shared" si="17"/>
        <v>283.06490971205466</v>
      </c>
    </row>
    <row r="336" spans="1:6" x14ac:dyDescent="0.25">
      <c r="A336" s="10">
        <v>37291</v>
      </c>
      <c r="B336" s="12">
        <f t="shared" si="15"/>
        <v>2</v>
      </c>
      <c r="C336" s="12">
        <f t="shared" si="16"/>
        <v>2002</v>
      </c>
      <c r="D336" s="13">
        <v>8500</v>
      </c>
      <c r="E336" s="13">
        <v>30.734999999999999</v>
      </c>
      <c r="F336" s="13">
        <f t="shared" si="17"/>
        <v>276.55767040832927</v>
      </c>
    </row>
    <row r="337" spans="1:6" x14ac:dyDescent="0.25">
      <c r="A337" s="10">
        <v>37292</v>
      </c>
      <c r="B337" s="12">
        <f t="shared" si="15"/>
        <v>2</v>
      </c>
      <c r="C337" s="12">
        <f t="shared" si="16"/>
        <v>2002</v>
      </c>
      <c r="D337" s="13">
        <v>8500</v>
      </c>
      <c r="E337" s="13">
        <v>30.747</v>
      </c>
      <c r="F337" s="13">
        <f t="shared" si="17"/>
        <v>276.44973493348942</v>
      </c>
    </row>
    <row r="338" spans="1:6" x14ac:dyDescent="0.25">
      <c r="A338" s="10">
        <v>37293</v>
      </c>
      <c r="B338" s="12">
        <f t="shared" si="15"/>
        <v>2</v>
      </c>
      <c r="C338" s="12">
        <f t="shared" si="16"/>
        <v>2002</v>
      </c>
      <c r="D338" s="13">
        <v>8500</v>
      </c>
      <c r="E338" s="13">
        <v>30.747</v>
      </c>
      <c r="F338" s="13">
        <f t="shared" si="17"/>
        <v>276.44973493348942</v>
      </c>
    </row>
    <row r="339" spans="1:6" x14ac:dyDescent="0.25">
      <c r="A339" s="10">
        <v>37294</v>
      </c>
      <c r="B339" s="12">
        <f t="shared" si="15"/>
        <v>2</v>
      </c>
      <c r="C339" s="12">
        <f t="shared" si="16"/>
        <v>2002</v>
      </c>
      <c r="D339" s="13">
        <v>8500</v>
      </c>
      <c r="E339" s="13">
        <v>30.747</v>
      </c>
      <c r="F339" s="13">
        <f t="shared" si="17"/>
        <v>276.44973493348942</v>
      </c>
    </row>
    <row r="340" spans="1:6" x14ac:dyDescent="0.25">
      <c r="A340" s="10">
        <v>37295</v>
      </c>
      <c r="B340" s="12">
        <f t="shared" si="15"/>
        <v>2</v>
      </c>
      <c r="C340" s="12">
        <f t="shared" si="16"/>
        <v>2002</v>
      </c>
      <c r="D340" s="13">
        <v>8500</v>
      </c>
      <c r="E340" s="13">
        <v>30.747</v>
      </c>
      <c r="F340" s="13">
        <f t="shared" si="17"/>
        <v>276.44973493348942</v>
      </c>
    </row>
    <row r="341" spans="1:6" x14ac:dyDescent="0.25">
      <c r="A341" s="10">
        <v>37298</v>
      </c>
      <c r="B341" s="12">
        <f t="shared" si="15"/>
        <v>2</v>
      </c>
      <c r="C341" s="12">
        <f t="shared" si="16"/>
        <v>2002</v>
      </c>
      <c r="D341" s="13">
        <v>8400</v>
      </c>
      <c r="E341" s="13">
        <v>30.747</v>
      </c>
      <c r="F341" s="13">
        <f t="shared" si="17"/>
        <v>273.19738511074252</v>
      </c>
    </row>
    <row r="342" spans="1:6" x14ac:dyDescent="0.25">
      <c r="A342" s="10">
        <v>37299</v>
      </c>
      <c r="B342" s="12">
        <f t="shared" si="15"/>
        <v>2</v>
      </c>
      <c r="C342" s="12">
        <f t="shared" si="16"/>
        <v>2002</v>
      </c>
      <c r="D342" s="13">
        <v>8400</v>
      </c>
      <c r="E342" s="13">
        <v>30.872</v>
      </c>
      <c r="F342" s="13">
        <f t="shared" si="17"/>
        <v>272.09121534076183</v>
      </c>
    </row>
    <row r="343" spans="1:6" x14ac:dyDescent="0.25">
      <c r="A343" s="10">
        <v>37300</v>
      </c>
      <c r="B343" s="12">
        <f t="shared" si="15"/>
        <v>2</v>
      </c>
      <c r="C343" s="12">
        <f t="shared" si="16"/>
        <v>2002</v>
      </c>
      <c r="D343" s="13">
        <v>8400</v>
      </c>
      <c r="E343" s="13">
        <v>30.872</v>
      </c>
      <c r="F343" s="13">
        <f t="shared" si="17"/>
        <v>272.09121534076183</v>
      </c>
    </row>
    <row r="344" spans="1:6" x14ac:dyDescent="0.25">
      <c r="A344" s="10">
        <v>37301</v>
      </c>
      <c r="B344" s="12">
        <f t="shared" si="15"/>
        <v>2</v>
      </c>
      <c r="C344" s="12">
        <f t="shared" si="16"/>
        <v>2002</v>
      </c>
      <c r="D344" s="13">
        <v>8400</v>
      </c>
      <c r="E344" s="13">
        <v>30.872</v>
      </c>
      <c r="F344" s="13">
        <f t="shared" si="17"/>
        <v>272.09121534076183</v>
      </c>
    </row>
    <row r="345" spans="1:6" x14ac:dyDescent="0.25">
      <c r="A345" s="10">
        <v>37302</v>
      </c>
      <c r="B345" s="12">
        <f t="shared" si="15"/>
        <v>2</v>
      </c>
      <c r="C345" s="12">
        <f t="shared" si="16"/>
        <v>2002</v>
      </c>
      <c r="D345" s="13">
        <v>8400</v>
      </c>
      <c r="E345" s="13">
        <v>30.872</v>
      </c>
      <c r="F345" s="13">
        <f t="shared" si="17"/>
        <v>272.09121534076183</v>
      </c>
    </row>
    <row r="346" spans="1:6" x14ac:dyDescent="0.25">
      <c r="A346" s="10">
        <v>37306</v>
      </c>
      <c r="B346" s="12">
        <f t="shared" si="15"/>
        <v>2</v>
      </c>
      <c r="C346" s="12">
        <f t="shared" si="16"/>
        <v>2002</v>
      </c>
      <c r="D346" s="13">
        <v>8400</v>
      </c>
      <c r="E346" s="13">
        <v>30.872</v>
      </c>
      <c r="F346" s="13">
        <f t="shared" si="17"/>
        <v>272.09121534076183</v>
      </c>
    </row>
    <row r="347" spans="1:6" x14ac:dyDescent="0.25">
      <c r="A347" s="10">
        <v>37307</v>
      </c>
      <c r="B347" s="12">
        <f t="shared" si="15"/>
        <v>2</v>
      </c>
      <c r="C347" s="12">
        <f t="shared" si="16"/>
        <v>2002</v>
      </c>
      <c r="D347" s="13">
        <v>8400</v>
      </c>
      <c r="E347" s="13">
        <v>30.872</v>
      </c>
      <c r="F347" s="13">
        <f t="shared" si="17"/>
        <v>272.09121534076183</v>
      </c>
    </row>
    <row r="348" spans="1:6" x14ac:dyDescent="0.25">
      <c r="A348" s="10">
        <v>37308</v>
      </c>
      <c r="B348" s="12">
        <f t="shared" si="15"/>
        <v>2</v>
      </c>
      <c r="C348" s="12">
        <f t="shared" si="16"/>
        <v>2002</v>
      </c>
      <c r="D348" s="13">
        <v>8400</v>
      </c>
      <c r="E348" s="13">
        <v>30.872</v>
      </c>
      <c r="F348" s="13">
        <f t="shared" si="17"/>
        <v>272.09121534076183</v>
      </c>
    </row>
    <row r="349" spans="1:6" x14ac:dyDescent="0.25">
      <c r="A349" s="10">
        <v>37309</v>
      </c>
      <c r="B349" s="12">
        <f t="shared" si="15"/>
        <v>2</v>
      </c>
      <c r="C349" s="12">
        <f t="shared" si="16"/>
        <v>2002</v>
      </c>
      <c r="D349" s="13">
        <v>8400</v>
      </c>
      <c r="E349" s="13">
        <v>30.948</v>
      </c>
      <c r="F349" s="13">
        <f t="shared" si="17"/>
        <v>271.42303218301669</v>
      </c>
    </row>
    <row r="350" spans="1:6" x14ac:dyDescent="0.25">
      <c r="A350" s="10">
        <v>37312</v>
      </c>
      <c r="B350" s="12">
        <f t="shared" si="15"/>
        <v>2</v>
      </c>
      <c r="C350" s="12">
        <f t="shared" si="16"/>
        <v>2002</v>
      </c>
      <c r="D350" s="13">
        <v>8300</v>
      </c>
      <c r="E350" s="13">
        <v>30.952000000000002</v>
      </c>
      <c r="F350" s="13">
        <f t="shared" si="17"/>
        <v>268.15714654949596</v>
      </c>
    </row>
    <row r="351" spans="1:6" x14ac:dyDescent="0.25">
      <c r="A351" s="10">
        <v>37313</v>
      </c>
      <c r="B351" s="12">
        <f t="shared" si="15"/>
        <v>2</v>
      </c>
      <c r="C351" s="12">
        <f t="shared" si="16"/>
        <v>2002</v>
      </c>
      <c r="D351" s="13">
        <v>8300</v>
      </c>
      <c r="E351" s="13">
        <v>30.937000000000001</v>
      </c>
      <c r="F351" s="13">
        <f t="shared" si="17"/>
        <v>268.28716423699774</v>
      </c>
    </row>
    <row r="352" spans="1:6" x14ac:dyDescent="0.25">
      <c r="A352" s="10">
        <v>37314</v>
      </c>
      <c r="B352" s="12">
        <f t="shared" si="15"/>
        <v>2</v>
      </c>
      <c r="C352" s="12">
        <f t="shared" si="16"/>
        <v>2002</v>
      </c>
      <c r="D352" s="13">
        <v>8300</v>
      </c>
      <c r="E352" s="13">
        <v>30.957000000000001</v>
      </c>
      <c r="F352" s="13">
        <f t="shared" si="17"/>
        <v>268.11383531995995</v>
      </c>
    </row>
    <row r="353" spans="1:6" x14ac:dyDescent="0.25">
      <c r="A353" s="10">
        <v>37315</v>
      </c>
      <c r="B353" s="12">
        <f t="shared" si="15"/>
        <v>2</v>
      </c>
      <c r="C353" s="12">
        <f t="shared" si="16"/>
        <v>2002</v>
      </c>
      <c r="D353" s="13">
        <v>8300</v>
      </c>
      <c r="E353" s="13">
        <v>30.957000000000001</v>
      </c>
      <c r="F353" s="13">
        <f t="shared" si="17"/>
        <v>268.11383531995995</v>
      </c>
    </row>
    <row r="354" spans="1:6" x14ac:dyDescent="0.25">
      <c r="A354" s="10">
        <v>37316</v>
      </c>
      <c r="B354" s="12">
        <f t="shared" si="15"/>
        <v>3</v>
      </c>
      <c r="C354" s="12">
        <f t="shared" si="16"/>
        <v>2002</v>
      </c>
      <c r="D354" s="13">
        <v>8300</v>
      </c>
      <c r="E354" s="13">
        <v>31.021999999999998</v>
      </c>
      <c r="F354" s="13">
        <f t="shared" si="17"/>
        <v>267.55205982850879</v>
      </c>
    </row>
    <row r="355" spans="1:6" x14ac:dyDescent="0.25">
      <c r="A355" s="10">
        <v>37319</v>
      </c>
      <c r="B355" s="12">
        <f t="shared" si="15"/>
        <v>3</v>
      </c>
      <c r="C355" s="12">
        <f t="shared" si="16"/>
        <v>2002</v>
      </c>
      <c r="D355" s="13">
        <v>8300</v>
      </c>
      <c r="E355" s="13">
        <v>31.021999999999998</v>
      </c>
      <c r="F355" s="13">
        <f t="shared" si="17"/>
        <v>267.55205982850879</v>
      </c>
    </row>
    <row r="356" spans="1:6" x14ac:dyDescent="0.25">
      <c r="A356" s="10">
        <v>37320</v>
      </c>
      <c r="B356" s="12">
        <f t="shared" si="15"/>
        <v>3</v>
      </c>
      <c r="C356" s="12">
        <f t="shared" si="16"/>
        <v>2002</v>
      </c>
      <c r="D356" s="13">
        <v>8300</v>
      </c>
      <c r="E356" s="13">
        <v>31.021999999999998</v>
      </c>
      <c r="F356" s="13">
        <f t="shared" si="17"/>
        <v>267.55205982850879</v>
      </c>
    </row>
    <row r="357" spans="1:6" x14ac:dyDescent="0.25">
      <c r="A357" s="10">
        <v>37321</v>
      </c>
      <c r="B357" s="12">
        <f t="shared" si="15"/>
        <v>3</v>
      </c>
      <c r="C357" s="12">
        <f t="shared" si="16"/>
        <v>2002</v>
      </c>
      <c r="D357" s="13">
        <v>8300</v>
      </c>
      <c r="E357" s="13">
        <v>31.052</v>
      </c>
      <c r="F357" s="13">
        <f t="shared" si="17"/>
        <v>267.29357207265235</v>
      </c>
    </row>
    <row r="358" spans="1:6" x14ac:dyDescent="0.25">
      <c r="A358" s="10">
        <v>37322</v>
      </c>
      <c r="B358" s="12">
        <f t="shared" si="15"/>
        <v>3</v>
      </c>
      <c r="C358" s="12">
        <f t="shared" si="16"/>
        <v>2002</v>
      </c>
      <c r="D358" s="13">
        <v>8300</v>
      </c>
      <c r="E358" s="13">
        <v>31.021999999999998</v>
      </c>
      <c r="F358" s="13">
        <f t="shared" si="17"/>
        <v>267.55205982850879</v>
      </c>
    </row>
    <row r="359" spans="1:6" x14ac:dyDescent="0.25">
      <c r="A359" s="10">
        <v>37323</v>
      </c>
      <c r="B359" s="12">
        <f t="shared" si="15"/>
        <v>3</v>
      </c>
      <c r="C359" s="12">
        <f t="shared" si="16"/>
        <v>2002</v>
      </c>
      <c r="D359" s="13">
        <v>8300</v>
      </c>
      <c r="E359" s="13">
        <v>31.021999999999998</v>
      </c>
      <c r="F359" s="13">
        <f t="shared" si="17"/>
        <v>267.55205982850879</v>
      </c>
    </row>
    <row r="360" spans="1:6" x14ac:dyDescent="0.25">
      <c r="A360" s="10">
        <v>37326</v>
      </c>
      <c r="B360" s="12">
        <f t="shared" si="15"/>
        <v>3</v>
      </c>
      <c r="C360" s="12">
        <f t="shared" si="16"/>
        <v>2002</v>
      </c>
      <c r="D360" s="13">
        <v>8200</v>
      </c>
      <c r="E360" s="13">
        <v>31.094999999999999</v>
      </c>
      <c r="F360" s="13">
        <f t="shared" si="17"/>
        <v>263.70799163852712</v>
      </c>
    </row>
    <row r="361" spans="1:6" x14ac:dyDescent="0.25">
      <c r="A361" s="10">
        <v>37327</v>
      </c>
      <c r="B361" s="12">
        <f t="shared" si="15"/>
        <v>3</v>
      </c>
      <c r="C361" s="12">
        <f t="shared" si="16"/>
        <v>2002</v>
      </c>
      <c r="D361" s="13">
        <v>8200</v>
      </c>
      <c r="E361" s="13">
        <v>31.094999999999999</v>
      </c>
      <c r="F361" s="13">
        <f t="shared" si="17"/>
        <v>263.70799163852712</v>
      </c>
    </row>
    <row r="362" spans="1:6" x14ac:dyDescent="0.25">
      <c r="A362" s="10">
        <v>37328</v>
      </c>
      <c r="B362" s="12">
        <f t="shared" si="15"/>
        <v>3</v>
      </c>
      <c r="C362" s="12">
        <f t="shared" si="16"/>
        <v>2002</v>
      </c>
      <c r="D362" s="13">
        <v>8200</v>
      </c>
      <c r="E362" s="13">
        <v>31.097000000000001</v>
      </c>
      <c r="F362" s="13">
        <f t="shared" si="17"/>
        <v>263.69103128919187</v>
      </c>
    </row>
    <row r="363" spans="1:6" x14ac:dyDescent="0.25">
      <c r="A363" s="10">
        <v>37329</v>
      </c>
      <c r="B363" s="12">
        <f t="shared" si="15"/>
        <v>3</v>
      </c>
      <c r="C363" s="12">
        <f t="shared" si="16"/>
        <v>2002</v>
      </c>
      <c r="D363" s="13">
        <v>8200</v>
      </c>
      <c r="E363" s="13">
        <v>31.119</v>
      </c>
      <c r="F363" s="13">
        <f t="shared" si="17"/>
        <v>263.50461133069831</v>
      </c>
    </row>
    <row r="364" spans="1:6" x14ac:dyDescent="0.25">
      <c r="A364" s="10">
        <v>37330</v>
      </c>
      <c r="B364" s="12">
        <f t="shared" si="15"/>
        <v>3</v>
      </c>
      <c r="C364" s="12">
        <f t="shared" si="16"/>
        <v>2002</v>
      </c>
      <c r="D364" s="13">
        <v>8200</v>
      </c>
      <c r="E364" s="13">
        <v>31.097000000000001</v>
      </c>
      <c r="F364" s="13">
        <f t="shared" si="17"/>
        <v>263.69103128919187</v>
      </c>
    </row>
    <row r="365" spans="1:6" x14ac:dyDescent="0.25">
      <c r="A365" s="10">
        <v>37333</v>
      </c>
      <c r="B365" s="12">
        <f t="shared" si="15"/>
        <v>3</v>
      </c>
      <c r="C365" s="12">
        <f t="shared" si="16"/>
        <v>2002</v>
      </c>
      <c r="D365" s="13">
        <v>8150</v>
      </c>
      <c r="E365" s="13">
        <v>31.097000000000001</v>
      </c>
      <c r="F365" s="13">
        <f t="shared" si="17"/>
        <v>262.08315914718463</v>
      </c>
    </row>
    <row r="366" spans="1:6" x14ac:dyDescent="0.25">
      <c r="A366" s="10">
        <v>37334</v>
      </c>
      <c r="B366" s="12">
        <f t="shared" si="15"/>
        <v>3</v>
      </c>
      <c r="C366" s="12">
        <f t="shared" si="16"/>
        <v>2002</v>
      </c>
      <c r="D366" s="13">
        <v>8150</v>
      </c>
      <c r="E366" s="13">
        <v>31.169</v>
      </c>
      <c r="F366" s="13">
        <f t="shared" si="17"/>
        <v>261.47775032885238</v>
      </c>
    </row>
    <row r="367" spans="1:6" x14ac:dyDescent="0.25">
      <c r="A367" s="10">
        <v>37335</v>
      </c>
      <c r="B367" s="12">
        <f t="shared" si="15"/>
        <v>3</v>
      </c>
      <c r="C367" s="12">
        <f t="shared" si="16"/>
        <v>2002</v>
      </c>
      <c r="D367" s="13">
        <v>8150</v>
      </c>
      <c r="E367" s="13">
        <v>31.172000000000001</v>
      </c>
      <c r="F367" s="13">
        <f t="shared" si="17"/>
        <v>261.45258565379186</v>
      </c>
    </row>
    <row r="368" spans="1:6" x14ac:dyDescent="0.25">
      <c r="A368" s="10">
        <v>37336</v>
      </c>
      <c r="B368" s="12">
        <f t="shared" si="15"/>
        <v>3</v>
      </c>
      <c r="C368" s="12">
        <f t="shared" si="16"/>
        <v>2002</v>
      </c>
      <c r="D368" s="13">
        <v>8150</v>
      </c>
      <c r="E368" s="13">
        <v>31.177</v>
      </c>
      <c r="F368" s="13">
        <f t="shared" si="17"/>
        <v>261.41065529075922</v>
      </c>
    </row>
    <row r="369" spans="1:6" x14ac:dyDescent="0.25">
      <c r="A369" s="10">
        <v>37337</v>
      </c>
      <c r="B369" s="12">
        <f t="shared" si="15"/>
        <v>3</v>
      </c>
      <c r="C369" s="12">
        <f t="shared" si="16"/>
        <v>2002</v>
      </c>
      <c r="D369" s="13">
        <v>8150</v>
      </c>
      <c r="E369" s="13">
        <v>31.177</v>
      </c>
      <c r="F369" s="13">
        <f t="shared" si="17"/>
        <v>261.41065529075922</v>
      </c>
    </row>
    <row r="370" spans="1:6" x14ac:dyDescent="0.25">
      <c r="A370" s="10">
        <v>37340</v>
      </c>
      <c r="B370" s="12">
        <f t="shared" si="15"/>
        <v>3</v>
      </c>
      <c r="C370" s="12">
        <f t="shared" si="16"/>
        <v>2002</v>
      </c>
      <c r="D370" s="13">
        <v>7900</v>
      </c>
      <c r="E370" s="13">
        <v>31.152999999999999</v>
      </c>
      <c r="F370" s="13">
        <f t="shared" si="17"/>
        <v>253.58713446538056</v>
      </c>
    </row>
    <row r="371" spans="1:6" x14ac:dyDescent="0.25">
      <c r="A371" s="10">
        <v>37341</v>
      </c>
      <c r="B371" s="12">
        <f t="shared" si="15"/>
        <v>3</v>
      </c>
      <c r="C371" s="12">
        <f t="shared" si="16"/>
        <v>2002</v>
      </c>
      <c r="D371" s="13">
        <v>7900</v>
      </c>
      <c r="E371" s="13">
        <v>31.15</v>
      </c>
      <c r="F371" s="13">
        <f t="shared" si="17"/>
        <v>253.6115569823435</v>
      </c>
    </row>
    <row r="372" spans="1:6" x14ac:dyDescent="0.25">
      <c r="A372" s="10">
        <v>37342</v>
      </c>
      <c r="B372" s="12">
        <f t="shared" si="15"/>
        <v>3</v>
      </c>
      <c r="C372" s="12">
        <f t="shared" si="16"/>
        <v>2002</v>
      </c>
      <c r="D372" s="13">
        <v>7900</v>
      </c>
      <c r="E372" s="13">
        <v>31.114999999999998</v>
      </c>
      <c r="F372" s="13">
        <f t="shared" si="17"/>
        <v>253.89683432428092</v>
      </c>
    </row>
    <row r="373" spans="1:6" x14ac:dyDescent="0.25">
      <c r="A373" s="10">
        <v>37343</v>
      </c>
      <c r="B373" s="12">
        <f t="shared" si="15"/>
        <v>3</v>
      </c>
      <c r="C373" s="12">
        <f t="shared" si="16"/>
        <v>2002</v>
      </c>
      <c r="D373" s="13">
        <v>7900</v>
      </c>
      <c r="E373" s="13">
        <v>31.114999999999998</v>
      </c>
      <c r="F373" s="13">
        <f t="shared" si="17"/>
        <v>253.89683432428092</v>
      </c>
    </row>
    <row r="374" spans="1:6" x14ac:dyDescent="0.25">
      <c r="A374" s="10">
        <v>37347</v>
      </c>
      <c r="B374" s="12">
        <f t="shared" si="15"/>
        <v>4</v>
      </c>
      <c r="C374" s="12">
        <f t="shared" si="16"/>
        <v>2002</v>
      </c>
      <c r="D374" s="13">
        <v>7700</v>
      </c>
      <c r="E374" s="13">
        <v>31.19</v>
      </c>
      <c r="F374" s="13">
        <f t="shared" si="17"/>
        <v>246.87399807630649</v>
      </c>
    </row>
    <row r="375" spans="1:6" x14ac:dyDescent="0.25">
      <c r="A375" s="10">
        <v>37348</v>
      </c>
      <c r="B375" s="12">
        <f t="shared" si="15"/>
        <v>4</v>
      </c>
      <c r="C375" s="12">
        <f t="shared" si="16"/>
        <v>2002</v>
      </c>
      <c r="D375" s="13">
        <v>7700</v>
      </c>
      <c r="E375" s="13">
        <v>31.19</v>
      </c>
      <c r="F375" s="13">
        <f t="shared" si="17"/>
        <v>246.87399807630649</v>
      </c>
    </row>
    <row r="376" spans="1:6" x14ac:dyDescent="0.25">
      <c r="A376" s="10">
        <v>37349</v>
      </c>
      <c r="B376" s="12">
        <f t="shared" si="15"/>
        <v>4</v>
      </c>
      <c r="C376" s="12">
        <f t="shared" si="16"/>
        <v>2002</v>
      </c>
      <c r="D376" s="13">
        <v>7700</v>
      </c>
      <c r="E376" s="13">
        <v>31.204999999999998</v>
      </c>
      <c r="F376" s="13">
        <f t="shared" si="17"/>
        <v>246.75532767184748</v>
      </c>
    </row>
    <row r="377" spans="1:6" x14ac:dyDescent="0.25">
      <c r="A377" s="10">
        <v>37350</v>
      </c>
      <c r="B377" s="12">
        <f t="shared" si="15"/>
        <v>4</v>
      </c>
      <c r="C377" s="12">
        <f t="shared" si="16"/>
        <v>2002</v>
      </c>
      <c r="D377" s="13">
        <v>7700</v>
      </c>
      <c r="E377" s="13">
        <v>31.204999999999998</v>
      </c>
      <c r="F377" s="13">
        <f t="shared" si="17"/>
        <v>246.75532767184748</v>
      </c>
    </row>
    <row r="378" spans="1:6" x14ac:dyDescent="0.25">
      <c r="A378" s="10">
        <v>37351</v>
      </c>
      <c r="B378" s="12">
        <f t="shared" si="15"/>
        <v>4</v>
      </c>
      <c r="C378" s="12">
        <f t="shared" si="16"/>
        <v>2002</v>
      </c>
      <c r="D378" s="13">
        <v>7700</v>
      </c>
      <c r="E378" s="13">
        <v>31.204999999999998</v>
      </c>
      <c r="F378" s="13">
        <f t="shared" si="17"/>
        <v>246.75532767184748</v>
      </c>
    </row>
    <row r="379" spans="1:6" x14ac:dyDescent="0.25">
      <c r="A379" s="10">
        <v>37354</v>
      </c>
      <c r="B379" s="12">
        <f t="shared" si="15"/>
        <v>4</v>
      </c>
      <c r="C379" s="12">
        <f t="shared" si="16"/>
        <v>2002</v>
      </c>
      <c r="D379" s="13">
        <v>7650</v>
      </c>
      <c r="E379" s="13">
        <v>31.215</v>
      </c>
      <c r="F379" s="13">
        <f t="shared" si="17"/>
        <v>245.07448342143201</v>
      </c>
    </row>
    <row r="380" spans="1:6" x14ac:dyDescent="0.25">
      <c r="A380" s="10">
        <v>37355</v>
      </c>
      <c r="B380" s="12">
        <f t="shared" si="15"/>
        <v>4</v>
      </c>
      <c r="C380" s="12">
        <f t="shared" si="16"/>
        <v>2002</v>
      </c>
      <c r="D380" s="13">
        <v>7650</v>
      </c>
      <c r="E380" s="13">
        <v>31.2</v>
      </c>
      <c r="F380" s="13">
        <f t="shared" si="17"/>
        <v>245.19230769230771</v>
      </c>
    </row>
    <row r="381" spans="1:6" x14ac:dyDescent="0.25">
      <c r="A381" s="10">
        <v>37356</v>
      </c>
      <c r="B381" s="12">
        <f t="shared" si="15"/>
        <v>4</v>
      </c>
      <c r="C381" s="12">
        <f t="shared" si="16"/>
        <v>2002</v>
      </c>
      <c r="D381" s="13">
        <v>7650</v>
      </c>
      <c r="E381" s="13">
        <v>31.210999999999999</v>
      </c>
      <c r="F381" s="13">
        <f t="shared" si="17"/>
        <v>245.10589215340747</v>
      </c>
    </row>
    <row r="382" spans="1:6" x14ac:dyDescent="0.25">
      <c r="A382" s="10">
        <v>37357</v>
      </c>
      <c r="B382" s="12">
        <f t="shared" si="15"/>
        <v>4</v>
      </c>
      <c r="C382" s="12">
        <f t="shared" si="16"/>
        <v>2002</v>
      </c>
      <c r="D382" s="13">
        <v>7650</v>
      </c>
      <c r="E382" s="13">
        <v>31.213000000000001</v>
      </c>
      <c r="F382" s="13">
        <f t="shared" si="17"/>
        <v>245.09018678114887</v>
      </c>
    </row>
    <row r="383" spans="1:6" x14ac:dyDescent="0.25">
      <c r="A383" s="10">
        <v>37358</v>
      </c>
      <c r="B383" s="12">
        <f t="shared" si="15"/>
        <v>4</v>
      </c>
      <c r="C383" s="12">
        <f t="shared" si="16"/>
        <v>2002</v>
      </c>
      <c r="D383" s="13">
        <v>7650</v>
      </c>
      <c r="E383" s="13">
        <v>31.215</v>
      </c>
      <c r="F383" s="13">
        <f t="shared" si="17"/>
        <v>245.07448342143201</v>
      </c>
    </row>
    <row r="384" spans="1:6" x14ac:dyDescent="0.25">
      <c r="A384" s="10">
        <v>37361</v>
      </c>
      <c r="B384" s="12">
        <f t="shared" si="15"/>
        <v>4</v>
      </c>
      <c r="C384" s="12">
        <f t="shared" si="16"/>
        <v>2002</v>
      </c>
      <c r="D384" s="13">
        <v>7650</v>
      </c>
      <c r="E384" s="13">
        <v>31.175999999999998</v>
      </c>
      <c r="F384" s="13">
        <f t="shared" si="17"/>
        <v>245.3810623556582</v>
      </c>
    </row>
    <row r="385" spans="1:6" x14ac:dyDescent="0.25">
      <c r="A385" s="10">
        <v>37362</v>
      </c>
      <c r="B385" s="12">
        <f t="shared" si="15"/>
        <v>4</v>
      </c>
      <c r="C385" s="12">
        <f t="shared" si="16"/>
        <v>2002</v>
      </c>
      <c r="D385" s="13">
        <v>7650</v>
      </c>
      <c r="E385" s="13">
        <v>31.19</v>
      </c>
      <c r="F385" s="13">
        <f t="shared" si="17"/>
        <v>245.27092016672009</v>
      </c>
    </row>
    <row r="386" spans="1:6" x14ac:dyDescent="0.25">
      <c r="A386" s="10">
        <v>37363</v>
      </c>
      <c r="B386" s="12">
        <f t="shared" si="15"/>
        <v>4</v>
      </c>
      <c r="C386" s="12">
        <f t="shared" si="16"/>
        <v>2002</v>
      </c>
      <c r="D386" s="13">
        <v>7650</v>
      </c>
      <c r="E386" s="13">
        <v>31.181000000000001</v>
      </c>
      <c r="F386" s="13">
        <f t="shared" si="17"/>
        <v>245.34171450562843</v>
      </c>
    </row>
    <row r="387" spans="1:6" x14ac:dyDescent="0.25">
      <c r="A387" s="10">
        <v>37364</v>
      </c>
      <c r="B387" s="12">
        <f t="shared" ref="B387:B450" si="18">MONTH(A387)</f>
        <v>4</v>
      </c>
      <c r="C387" s="12">
        <f t="shared" ref="C387:C450" si="19">YEAR(A387)</f>
        <v>2002</v>
      </c>
      <c r="D387" s="13">
        <v>7650</v>
      </c>
      <c r="E387" s="13">
        <v>31.178000000000001</v>
      </c>
      <c r="F387" s="13">
        <f t="shared" ref="F387:F450" si="20">IF(D387="","",D387/E387)</f>
        <v>245.36532170119955</v>
      </c>
    </row>
    <row r="388" spans="1:6" x14ac:dyDescent="0.25">
      <c r="A388" s="10">
        <v>37365</v>
      </c>
      <c r="B388" s="12">
        <f t="shared" si="18"/>
        <v>4</v>
      </c>
      <c r="C388" s="12">
        <f t="shared" si="19"/>
        <v>2002</v>
      </c>
      <c r="D388" s="13">
        <v>7650</v>
      </c>
      <c r="E388" s="13">
        <v>31.178000000000001</v>
      </c>
      <c r="F388" s="13">
        <f t="shared" si="20"/>
        <v>245.36532170119955</v>
      </c>
    </row>
    <row r="389" spans="1:6" x14ac:dyDescent="0.25">
      <c r="A389" s="10">
        <v>37368</v>
      </c>
      <c r="B389" s="12">
        <f t="shared" si="18"/>
        <v>4</v>
      </c>
      <c r="C389" s="12">
        <f t="shared" si="19"/>
        <v>2002</v>
      </c>
      <c r="D389" s="13">
        <v>7650</v>
      </c>
      <c r="E389" s="13">
        <v>31.178000000000001</v>
      </c>
      <c r="F389" s="13">
        <f t="shared" si="20"/>
        <v>245.36532170119955</v>
      </c>
    </row>
    <row r="390" spans="1:6" x14ac:dyDescent="0.25">
      <c r="A390" s="10">
        <v>37369</v>
      </c>
      <c r="B390" s="12">
        <f t="shared" si="18"/>
        <v>4</v>
      </c>
      <c r="C390" s="12">
        <f t="shared" si="19"/>
        <v>2002</v>
      </c>
      <c r="D390" s="13">
        <v>7650</v>
      </c>
      <c r="E390" s="13">
        <v>31.17</v>
      </c>
      <c r="F390" s="13">
        <f t="shared" si="20"/>
        <v>245.42829643888354</v>
      </c>
    </row>
    <row r="391" spans="1:6" x14ac:dyDescent="0.25">
      <c r="A391" s="10">
        <v>37370</v>
      </c>
      <c r="B391" s="12">
        <f t="shared" si="18"/>
        <v>4</v>
      </c>
      <c r="C391" s="12">
        <f t="shared" si="19"/>
        <v>2002</v>
      </c>
      <c r="D391" s="13">
        <v>7650</v>
      </c>
      <c r="E391" s="13">
        <v>31.18</v>
      </c>
      <c r="F391" s="13">
        <f t="shared" si="20"/>
        <v>245.34958306606799</v>
      </c>
    </row>
    <row r="392" spans="1:6" x14ac:dyDescent="0.25">
      <c r="A392" s="10">
        <v>37371</v>
      </c>
      <c r="B392" s="12">
        <f t="shared" si="18"/>
        <v>4</v>
      </c>
      <c r="C392" s="12">
        <f t="shared" si="19"/>
        <v>2002</v>
      </c>
      <c r="D392" s="13">
        <v>7650</v>
      </c>
      <c r="E392" s="13">
        <v>31.215</v>
      </c>
      <c r="F392" s="13">
        <f t="shared" si="20"/>
        <v>245.07448342143201</v>
      </c>
    </row>
    <row r="393" spans="1:6" x14ac:dyDescent="0.25">
      <c r="A393" s="10">
        <v>37372</v>
      </c>
      <c r="B393" s="12">
        <f t="shared" si="18"/>
        <v>4</v>
      </c>
      <c r="C393" s="12">
        <f t="shared" si="19"/>
        <v>2002</v>
      </c>
      <c r="D393" s="13">
        <v>7650</v>
      </c>
      <c r="E393" s="13">
        <v>31.19</v>
      </c>
      <c r="F393" s="13">
        <f t="shared" si="20"/>
        <v>245.27092016672009</v>
      </c>
    </row>
    <row r="394" spans="1:6" x14ac:dyDescent="0.25">
      <c r="A394" s="10">
        <v>37375</v>
      </c>
      <c r="B394" s="12">
        <f t="shared" si="18"/>
        <v>4</v>
      </c>
      <c r="C394" s="12">
        <f t="shared" si="19"/>
        <v>2002</v>
      </c>
      <c r="D394" s="13">
        <v>7650</v>
      </c>
      <c r="E394" s="13">
        <v>31.212</v>
      </c>
      <c r="F394" s="13">
        <f t="shared" si="20"/>
        <v>245.09803921568627</v>
      </c>
    </row>
    <row r="395" spans="1:6" x14ac:dyDescent="0.25">
      <c r="A395" s="10">
        <v>37376</v>
      </c>
      <c r="B395" s="12">
        <f t="shared" si="18"/>
        <v>4</v>
      </c>
      <c r="C395" s="12">
        <f t="shared" si="19"/>
        <v>2002</v>
      </c>
      <c r="D395" s="13">
        <v>7650</v>
      </c>
      <c r="E395" s="13">
        <v>31.234999999999999</v>
      </c>
      <c r="F395" s="13">
        <f t="shared" si="20"/>
        <v>244.91756042900593</v>
      </c>
    </row>
    <row r="396" spans="1:6" x14ac:dyDescent="0.25">
      <c r="A396" s="10">
        <v>37377</v>
      </c>
      <c r="B396" s="12">
        <f t="shared" si="18"/>
        <v>5</v>
      </c>
      <c r="C396" s="12">
        <f t="shared" si="19"/>
        <v>2002</v>
      </c>
      <c r="D396" s="13">
        <v>7650</v>
      </c>
      <c r="E396" s="13">
        <v>31.234999999999999</v>
      </c>
      <c r="F396" s="13">
        <f t="shared" si="20"/>
        <v>244.91756042900593</v>
      </c>
    </row>
    <row r="397" spans="1:6" x14ac:dyDescent="0.25">
      <c r="A397" s="10">
        <v>37378</v>
      </c>
      <c r="B397" s="12">
        <f t="shared" si="18"/>
        <v>5</v>
      </c>
      <c r="C397" s="12">
        <f t="shared" si="19"/>
        <v>2002</v>
      </c>
      <c r="D397" s="13">
        <v>7650</v>
      </c>
      <c r="E397" s="13">
        <v>31.234999999999999</v>
      </c>
      <c r="F397" s="13">
        <f t="shared" si="20"/>
        <v>244.91756042900593</v>
      </c>
    </row>
    <row r="398" spans="1:6" x14ac:dyDescent="0.25">
      <c r="A398" s="10">
        <v>37379</v>
      </c>
      <c r="B398" s="12">
        <f t="shared" si="18"/>
        <v>5</v>
      </c>
      <c r="C398" s="12">
        <f t="shared" si="19"/>
        <v>2002</v>
      </c>
      <c r="D398" s="13">
        <v>7650</v>
      </c>
      <c r="E398" s="13">
        <v>31.234999999999999</v>
      </c>
      <c r="F398" s="13">
        <f t="shared" si="20"/>
        <v>244.91756042900593</v>
      </c>
    </row>
    <row r="399" spans="1:6" x14ac:dyDescent="0.25">
      <c r="A399" s="10">
        <v>37382</v>
      </c>
      <c r="B399" s="12">
        <f t="shared" si="18"/>
        <v>5</v>
      </c>
      <c r="C399" s="12">
        <f t="shared" si="19"/>
        <v>2002</v>
      </c>
      <c r="D399" s="13">
        <v>7650</v>
      </c>
      <c r="E399" s="13">
        <v>31.234999999999999</v>
      </c>
      <c r="F399" s="13">
        <f t="shared" si="20"/>
        <v>244.91756042900593</v>
      </c>
    </row>
    <row r="400" spans="1:6" x14ac:dyDescent="0.25">
      <c r="A400" s="10">
        <v>37383</v>
      </c>
      <c r="B400" s="12">
        <f t="shared" si="18"/>
        <v>5</v>
      </c>
      <c r="C400" s="12">
        <f t="shared" si="19"/>
        <v>2002</v>
      </c>
      <c r="D400" s="13">
        <v>7650</v>
      </c>
      <c r="E400" s="13">
        <v>31.234999999999999</v>
      </c>
      <c r="F400" s="13">
        <f t="shared" si="20"/>
        <v>244.91756042900593</v>
      </c>
    </row>
    <row r="401" spans="1:6" x14ac:dyDescent="0.25">
      <c r="A401" s="10">
        <v>37384</v>
      </c>
      <c r="B401" s="12">
        <f t="shared" si="18"/>
        <v>5</v>
      </c>
      <c r="C401" s="12">
        <f t="shared" si="19"/>
        <v>2002</v>
      </c>
      <c r="D401" s="13">
        <v>7650</v>
      </c>
      <c r="E401" s="13">
        <v>31.234999999999999</v>
      </c>
      <c r="F401" s="13">
        <f t="shared" si="20"/>
        <v>244.91756042900593</v>
      </c>
    </row>
    <row r="402" spans="1:6" x14ac:dyDescent="0.25">
      <c r="A402" s="10">
        <v>37385</v>
      </c>
      <c r="B402" s="12">
        <f t="shared" si="18"/>
        <v>5</v>
      </c>
      <c r="C402" s="12">
        <f t="shared" si="19"/>
        <v>2002</v>
      </c>
      <c r="D402" s="13">
        <v>7650</v>
      </c>
      <c r="E402" s="13">
        <v>31.234999999999999</v>
      </c>
      <c r="F402" s="13">
        <f t="shared" si="20"/>
        <v>244.91756042900593</v>
      </c>
    </row>
    <row r="403" spans="1:6" x14ac:dyDescent="0.25">
      <c r="A403" s="10">
        <v>37386</v>
      </c>
      <c r="B403" s="12">
        <f t="shared" si="18"/>
        <v>5</v>
      </c>
      <c r="C403" s="12">
        <f t="shared" si="19"/>
        <v>2002</v>
      </c>
      <c r="D403" s="13">
        <v>7650</v>
      </c>
      <c r="E403" s="13">
        <v>31.234999999999999</v>
      </c>
      <c r="F403" s="13">
        <f t="shared" si="20"/>
        <v>244.91756042900593</v>
      </c>
    </row>
    <row r="404" spans="1:6" x14ac:dyDescent="0.25">
      <c r="A404" s="10">
        <v>37389</v>
      </c>
      <c r="B404" s="12">
        <f t="shared" si="18"/>
        <v>5</v>
      </c>
      <c r="C404" s="12">
        <f t="shared" si="19"/>
        <v>2002</v>
      </c>
      <c r="D404" s="13">
        <v>7650</v>
      </c>
      <c r="E404" s="13">
        <v>31.245000000000001</v>
      </c>
      <c r="F404" s="13">
        <f t="shared" si="20"/>
        <v>244.83917426788284</v>
      </c>
    </row>
    <row r="405" spans="1:6" x14ac:dyDescent="0.25">
      <c r="A405" s="10">
        <v>37390</v>
      </c>
      <c r="B405" s="12">
        <f t="shared" si="18"/>
        <v>5</v>
      </c>
      <c r="C405" s="12">
        <f t="shared" si="19"/>
        <v>2002</v>
      </c>
      <c r="D405" s="13">
        <v>7650</v>
      </c>
      <c r="E405" s="13">
        <v>31.262</v>
      </c>
      <c r="F405" s="13">
        <f t="shared" si="20"/>
        <v>244.70603288337279</v>
      </c>
    </row>
    <row r="406" spans="1:6" x14ac:dyDescent="0.25">
      <c r="A406" s="10">
        <v>37391</v>
      </c>
      <c r="B406" s="12">
        <f t="shared" si="18"/>
        <v>5</v>
      </c>
      <c r="C406" s="12">
        <f t="shared" si="19"/>
        <v>2002</v>
      </c>
      <c r="D406" s="13">
        <v>7650</v>
      </c>
      <c r="E406" s="13">
        <v>31.262</v>
      </c>
      <c r="F406" s="13">
        <f t="shared" si="20"/>
        <v>244.70603288337279</v>
      </c>
    </row>
    <row r="407" spans="1:6" x14ac:dyDescent="0.25">
      <c r="A407" s="10">
        <v>37392</v>
      </c>
      <c r="B407" s="12">
        <f t="shared" si="18"/>
        <v>5</v>
      </c>
      <c r="C407" s="12">
        <f t="shared" si="19"/>
        <v>2002</v>
      </c>
      <c r="D407" s="13">
        <v>7650</v>
      </c>
      <c r="E407" s="13">
        <v>31.28</v>
      </c>
      <c r="F407" s="13">
        <f t="shared" si="20"/>
        <v>244.56521739130434</v>
      </c>
    </row>
    <row r="408" spans="1:6" x14ac:dyDescent="0.25">
      <c r="A408" s="10">
        <v>37393</v>
      </c>
      <c r="B408" s="12">
        <f t="shared" si="18"/>
        <v>5</v>
      </c>
      <c r="C408" s="12">
        <f t="shared" si="19"/>
        <v>2002</v>
      </c>
      <c r="D408" s="13">
        <v>7650</v>
      </c>
      <c r="E408" s="13">
        <v>31.28</v>
      </c>
      <c r="F408" s="13">
        <f t="shared" si="20"/>
        <v>244.56521739130434</v>
      </c>
    </row>
    <row r="409" spans="1:6" x14ac:dyDescent="0.25">
      <c r="A409" s="10">
        <v>37396</v>
      </c>
      <c r="B409" s="12">
        <f t="shared" si="18"/>
        <v>5</v>
      </c>
      <c r="C409" s="12">
        <f t="shared" si="19"/>
        <v>2002</v>
      </c>
      <c r="D409" s="13">
        <v>7650</v>
      </c>
      <c r="E409" s="13">
        <v>31.268000000000001</v>
      </c>
      <c r="F409" s="13">
        <f t="shared" si="20"/>
        <v>244.65907637200971</v>
      </c>
    </row>
    <row r="410" spans="1:6" x14ac:dyDescent="0.25">
      <c r="A410" s="10">
        <v>37397</v>
      </c>
      <c r="B410" s="12">
        <f t="shared" si="18"/>
        <v>5</v>
      </c>
      <c r="C410" s="12">
        <f t="shared" si="19"/>
        <v>2002</v>
      </c>
      <c r="D410" s="13">
        <v>7650</v>
      </c>
      <c r="E410" s="13">
        <v>31.268000000000001</v>
      </c>
      <c r="F410" s="13">
        <f t="shared" si="20"/>
        <v>244.65907637200971</v>
      </c>
    </row>
    <row r="411" spans="1:6" x14ac:dyDescent="0.25">
      <c r="A411" s="10">
        <v>37398</v>
      </c>
      <c r="B411" s="12">
        <f t="shared" si="18"/>
        <v>5</v>
      </c>
      <c r="C411" s="12">
        <f t="shared" si="19"/>
        <v>2002</v>
      </c>
      <c r="D411" s="13">
        <v>7650</v>
      </c>
      <c r="E411" s="13">
        <v>31.27</v>
      </c>
      <c r="F411" s="13">
        <f t="shared" si="20"/>
        <v>244.6434282059482</v>
      </c>
    </row>
    <row r="412" spans="1:6" x14ac:dyDescent="0.25">
      <c r="A412" s="10">
        <v>37399</v>
      </c>
      <c r="B412" s="12">
        <f t="shared" si="18"/>
        <v>5</v>
      </c>
      <c r="C412" s="12">
        <f t="shared" si="19"/>
        <v>2002</v>
      </c>
      <c r="D412" s="13">
        <v>7650</v>
      </c>
      <c r="E412" s="13">
        <v>31.295000000000002</v>
      </c>
      <c r="F412" s="13">
        <f t="shared" si="20"/>
        <v>244.4479948873622</v>
      </c>
    </row>
    <row r="413" spans="1:6" x14ac:dyDescent="0.25">
      <c r="A413" s="10">
        <v>37400</v>
      </c>
      <c r="B413" s="12">
        <f t="shared" si="18"/>
        <v>5</v>
      </c>
      <c r="C413" s="12">
        <f t="shared" si="19"/>
        <v>2002</v>
      </c>
      <c r="D413" s="13">
        <v>7650</v>
      </c>
      <c r="E413" s="13">
        <v>31.305</v>
      </c>
      <c r="F413" s="13">
        <f t="shared" si="20"/>
        <v>244.36990896022999</v>
      </c>
    </row>
    <row r="414" spans="1:6" x14ac:dyDescent="0.25">
      <c r="A414" s="10">
        <v>37404</v>
      </c>
      <c r="B414" s="12">
        <f t="shared" si="18"/>
        <v>5</v>
      </c>
      <c r="C414" s="12">
        <f t="shared" si="19"/>
        <v>2002</v>
      </c>
      <c r="D414" s="13">
        <v>7650</v>
      </c>
      <c r="E414" s="13">
        <v>31.33</v>
      </c>
      <c r="F414" s="13">
        <f t="shared" si="20"/>
        <v>244.17491222470477</v>
      </c>
    </row>
    <row r="415" spans="1:6" x14ac:dyDescent="0.25">
      <c r="A415" s="10">
        <v>37405</v>
      </c>
      <c r="B415" s="12">
        <f t="shared" si="18"/>
        <v>5</v>
      </c>
      <c r="C415" s="12">
        <f t="shared" si="19"/>
        <v>2002</v>
      </c>
      <c r="D415" s="13">
        <v>7650</v>
      </c>
      <c r="E415" s="13">
        <v>31.33</v>
      </c>
      <c r="F415" s="13">
        <f t="shared" si="20"/>
        <v>244.17491222470477</v>
      </c>
    </row>
    <row r="416" spans="1:6" x14ac:dyDescent="0.25">
      <c r="A416" s="10">
        <v>37406</v>
      </c>
      <c r="B416" s="12">
        <f t="shared" si="18"/>
        <v>5</v>
      </c>
      <c r="C416" s="12">
        <f t="shared" si="19"/>
        <v>2002</v>
      </c>
      <c r="D416" s="13">
        <v>7650</v>
      </c>
      <c r="E416" s="13">
        <v>31.33</v>
      </c>
      <c r="F416" s="13">
        <f t="shared" si="20"/>
        <v>244.17491222470477</v>
      </c>
    </row>
    <row r="417" spans="1:6" x14ac:dyDescent="0.25">
      <c r="A417" s="10">
        <v>37407</v>
      </c>
      <c r="B417" s="12">
        <f t="shared" si="18"/>
        <v>5</v>
      </c>
      <c r="C417" s="12">
        <f t="shared" si="19"/>
        <v>2002</v>
      </c>
      <c r="D417" s="13">
        <v>7650</v>
      </c>
      <c r="E417" s="13">
        <v>31.332000000000001</v>
      </c>
      <c r="F417" s="13">
        <f t="shared" si="20"/>
        <v>244.15932592876291</v>
      </c>
    </row>
    <row r="418" spans="1:6" x14ac:dyDescent="0.25">
      <c r="A418" s="10">
        <v>37410</v>
      </c>
      <c r="B418" s="12">
        <f t="shared" si="18"/>
        <v>6</v>
      </c>
      <c r="C418" s="12">
        <f t="shared" si="19"/>
        <v>2002</v>
      </c>
      <c r="D418" s="13">
        <v>7650</v>
      </c>
      <c r="E418" s="13">
        <v>31.332000000000001</v>
      </c>
      <c r="F418" s="13">
        <f t="shared" si="20"/>
        <v>244.15932592876291</v>
      </c>
    </row>
    <row r="419" spans="1:6" x14ac:dyDescent="0.25">
      <c r="A419" s="10">
        <v>37411</v>
      </c>
      <c r="B419" s="12">
        <f t="shared" si="18"/>
        <v>6</v>
      </c>
      <c r="C419" s="12">
        <f t="shared" si="19"/>
        <v>2002</v>
      </c>
      <c r="D419" s="13">
        <v>7650</v>
      </c>
      <c r="E419" s="13">
        <v>31.332000000000001</v>
      </c>
      <c r="F419" s="13">
        <f t="shared" si="20"/>
        <v>244.15932592876291</v>
      </c>
    </row>
    <row r="420" spans="1:6" x14ac:dyDescent="0.25">
      <c r="A420" s="10">
        <v>37412</v>
      </c>
      <c r="B420" s="12">
        <f t="shared" si="18"/>
        <v>6</v>
      </c>
      <c r="C420" s="12">
        <f t="shared" si="19"/>
        <v>2002</v>
      </c>
      <c r="D420" s="13">
        <v>7650</v>
      </c>
      <c r="E420" s="13">
        <v>31.405000000000001</v>
      </c>
      <c r="F420" s="13">
        <f t="shared" si="20"/>
        <v>243.59178474765164</v>
      </c>
    </row>
    <row r="421" spans="1:6" x14ac:dyDescent="0.25">
      <c r="A421" s="10">
        <v>37413</v>
      </c>
      <c r="B421" s="12">
        <f t="shared" si="18"/>
        <v>6</v>
      </c>
      <c r="C421" s="12">
        <f t="shared" si="19"/>
        <v>2002</v>
      </c>
      <c r="D421" s="13">
        <v>7650</v>
      </c>
      <c r="E421" s="13">
        <v>31.42</v>
      </c>
      <c r="F421" s="13">
        <f t="shared" si="20"/>
        <v>243.47549331635901</v>
      </c>
    </row>
    <row r="422" spans="1:6" x14ac:dyDescent="0.25">
      <c r="A422" s="10">
        <v>37414</v>
      </c>
      <c r="B422" s="12">
        <f t="shared" si="18"/>
        <v>6</v>
      </c>
      <c r="C422" s="12">
        <f t="shared" si="19"/>
        <v>2002</v>
      </c>
      <c r="D422" s="13">
        <v>7650</v>
      </c>
      <c r="E422" s="13">
        <v>31.42</v>
      </c>
      <c r="F422" s="13">
        <f t="shared" si="20"/>
        <v>243.47549331635901</v>
      </c>
    </row>
    <row r="423" spans="1:6" x14ac:dyDescent="0.25">
      <c r="A423" s="10">
        <v>37417</v>
      </c>
      <c r="B423" s="12">
        <f t="shared" si="18"/>
        <v>6</v>
      </c>
      <c r="C423" s="12">
        <f t="shared" si="19"/>
        <v>2002</v>
      </c>
      <c r="D423" s="13">
        <v>7650</v>
      </c>
      <c r="E423" s="13">
        <v>31.442</v>
      </c>
      <c r="F423" s="13">
        <f t="shared" si="20"/>
        <v>243.30513326124293</v>
      </c>
    </row>
    <row r="424" spans="1:6" x14ac:dyDescent="0.25">
      <c r="A424" s="10">
        <v>37418</v>
      </c>
      <c r="B424" s="12">
        <f t="shared" si="18"/>
        <v>6</v>
      </c>
      <c r="C424" s="12">
        <f t="shared" si="19"/>
        <v>2002</v>
      </c>
      <c r="D424" s="13">
        <v>7650</v>
      </c>
      <c r="E424" s="13">
        <v>31.43</v>
      </c>
      <c r="F424" s="13">
        <f t="shared" si="20"/>
        <v>243.39802736239261</v>
      </c>
    </row>
    <row r="425" spans="1:6" x14ac:dyDescent="0.25">
      <c r="A425" s="10">
        <v>37419</v>
      </c>
      <c r="B425" s="12">
        <f t="shared" si="18"/>
        <v>6</v>
      </c>
      <c r="C425" s="12">
        <f t="shared" si="19"/>
        <v>2002</v>
      </c>
      <c r="D425" s="13">
        <v>7650</v>
      </c>
      <c r="E425" s="13">
        <v>31.43</v>
      </c>
      <c r="F425" s="13">
        <f t="shared" si="20"/>
        <v>243.39802736239261</v>
      </c>
    </row>
    <row r="426" spans="1:6" x14ac:dyDescent="0.25">
      <c r="A426" s="10">
        <v>37420</v>
      </c>
      <c r="B426" s="12">
        <f t="shared" si="18"/>
        <v>6</v>
      </c>
      <c r="C426" s="12">
        <f t="shared" si="19"/>
        <v>2002</v>
      </c>
      <c r="D426" s="13">
        <v>7650</v>
      </c>
      <c r="E426" s="13">
        <v>31.42</v>
      </c>
      <c r="F426" s="13">
        <f t="shared" si="20"/>
        <v>243.47549331635901</v>
      </c>
    </row>
    <row r="427" spans="1:6" x14ac:dyDescent="0.25">
      <c r="A427" s="10">
        <v>37421</v>
      </c>
      <c r="B427" s="12">
        <f t="shared" si="18"/>
        <v>6</v>
      </c>
      <c r="C427" s="12">
        <f t="shared" si="19"/>
        <v>2002</v>
      </c>
      <c r="D427" s="13">
        <v>7650</v>
      </c>
      <c r="E427" s="13">
        <v>31.425999999999998</v>
      </c>
      <c r="F427" s="13">
        <f t="shared" si="20"/>
        <v>243.42900782791321</v>
      </c>
    </row>
    <row r="428" spans="1:6" x14ac:dyDescent="0.25">
      <c r="A428" s="10">
        <v>37424</v>
      </c>
      <c r="B428" s="12">
        <f t="shared" si="18"/>
        <v>6</v>
      </c>
      <c r="C428" s="12">
        <f t="shared" si="19"/>
        <v>2002</v>
      </c>
      <c r="D428" s="13">
        <v>7650</v>
      </c>
      <c r="E428" s="13">
        <v>31.425999999999998</v>
      </c>
      <c r="F428" s="13">
        <f t="shared" si="20"/>
        <v>243.42900782791321</v>
      </c>
    </row>
    <row r="429" spans="1:6" x14ac:dyDescent="0.25">
      <c r="A429" s="10">
        <v>37425</v>
      </c>
      <c r="B429" s="12">
        <f t="shared" si="18"/>
        <v>6</v>
      </c>
      <c r="C429" s="12">
        <f t="shared" si="19"/>
        <v>2002</v>
      </c>
      <c r="D429" s="13">
        <v>7650</v>
      </c>
      <c r="E429" s="13">
        <v>31.434999999999999</v>
      </c>
      <c r="F429" s="13">
        <f t="shared" si="20"/>
        <v>243.3593128678225</v>
      </c>
    </row>
    <row r="430" spans="1:6" x14ac:dyDescent="0.25">
      <c r="A430" s="10">
        <v>37426</v>
      </c>
      <c r="B430" s="12">
        <f t="shared" si="18"/>
        <v>6</v>
      </c>
      <c r="C430" s="12">
        <f t="shared" si="19"/>
        <v>2002</v>
      </c>
      <c r="D430" s="13">
        <v>7650</v>
      </c>
      <c r="E430" s="13">
        <v>31.446999999999999</v>
      </c>
      <c r="F430" s="13">
        <f t="shared" si="20"/>
        <v>243.2664483098547</v>
      </c>
    </row>
    <row r="431" spans="1:6" x14ac:dyDescent="0.25">
      <c r="A431" s="10">
        <v>37427</v>
      </c>
      <c r="B431" s="12">
        <f t="shared" si="18"/>
        <v>6</v>
      </c>
      <c r="C431" s="12">
        <f t="shared" si="19"/>
        <v>2002</v>
      </c>
      <c r="D431" s="13">
        <v>7650</v>
      </c>
      <c r="E431" s="13">
        <v>31.457000000000001</v>
      </c>
      <c r="F431" s="13">
        <f t="shared" si="20"/>
        <v>243.18911530025113</v>
      </c>
    </row>
    <row r="432" spans="1:6" x14ac:dyDescent="0.25">
      <c r="A432" s="10">
        <v>37428</v>
      </c>
      <c r="B432" s="12">
        <f t="shared" si="18"/>
        <v>6</v>
      </c>
      <c r="C432" s="12">
        <f t="shared" si="19"/>
        <v>2002</v>
      </c>
      <c r="D432" s="13">
        <v>7650</v>
      </c>
      <c r="E432" s="13">
        <v>31.507000000000001</v>
      </c>
      <c r="F432" s="13">
        <f t="shared" si="20"/>
        <v>242.80318659345542</v>
      </c>
    </row>
    <row r="433" spans="1:6" x14ac:dyDescent="0.25">
      <c r="A433" s="10">
        <v>37431</v>
      </c>
      <c r="B433" s="12">
        <f t="shared" si="18"/>
        <v>6</v>
      </c>
      <c r="C433" s="12">
        <f t="shared" si="19"/>
        <v>2002</v>
      </c>
      <c r="D433" s="13">
        <v>7650</v>
      </c>
      <c r="E433" s="13">
        <v>31.486999999999998</v>
      </c>
      <c r="F433" s="13">
        <f t="shared" si="20"/>
        <v>242.95741099501382</v>
      </c>
    </row>
    <row r="434" spans="1:6" x14ac:dyDescent="0.25">
      <c r="A434" s="10">
        <v>37432</v>
      </c>
      <c r="B434" s="12">
        <f t="shared" si="18"/>
        <v>6</v>
      </c>
      <c r="C434" s="12">
        <f t="shared" si="19"/>
        <v>2002</v>
      </c>
      <c r="D434" s="13">
        <v>7650</v>
      </c>
      <c r="E434" s="13">
        <v>31.486999999999998</v>
      </c>
      <c r="F434" s="13">
        <f t="shared" si="20"/>
        <v>242.95741099501382</v>
      </c>
    </row>
    <row r="435" spans="1:6" x14ac:dyDescent="0.25">
      <c r="A435" s="10">
        <v>37433</v>
      </c>
      <c r="B435" s="12">
        <f t="shared" si="18"/>
        <v>6</v>
      </c>
      <c r="C435" s="12">
        <f t="shared" si="19"/>
        <v>2002</v>
      </c>
      <c r="D435" s="13">
        <v>7650</v>
      </c>
      <c r="E435" s="13">
        <v>31.475000000000001</v>
      </c>
      <c r="F435" s="13">
        <f t="shared" si="20"/>
        <v>243.05003971405876</v>
      </c>
    </row>
    <row r="436" spans="1:6" x14ac:dyDescent="0.25">
      <c r="A436" s="10">
        <v>37434</v>
      </c>
      <c r="B436" s="12">
        <f t="shared" si="18"/>
        <v>6</v>
      </c>
      <c r="C436" s="12">
        <f t="shared" si="19"/>
        <v>2002</v>
      </c>
      <c r="D436" s="13">
        <v>7650</v>
      </c>
      <c r="E436" s="13">
        <v>31.495000000000001</v>
      </c>
      <c r="F436" s="13">
        <f t="shared" si="20"/>
        <v>242.89569772979837</v>
      </c>
    </row>
    <row r="437" spans="1:6" x14ac:dyDescent="0.25">
      <c r="A437" s="10">
        <v>37435</v>
      </c>
      <c r="B437" s="12">
        <f t="shared" si="18"/>
        <v>6</v>
      </c>
      <c r="C437" s="12">
        <f t="shared" si="19"/>
        <v>2002</v>
      </c>
      <c r="D437" s="13">
        <v>7650</v>
      </c>
      <c r="E437" s="13">
        <v>31.515000000000001</v>
      </c>
      <c r="F437" s="13">
        <f t="shared" si="20"/>
        <v>242.74155164207519</v>
      </c>
    </row>
    <row r="438" spans="1:6" x14ac:dyDescent="0.25">
      <c r="A438" s="10">
        <v>37438</v>
      </c>
      <c r="B438" s="12">
        <f t="shared" si="18"/>
        <v>7</v>
      </c>
      <c r="C438" s="12">
        <f t="shared" si="19"/>
        <v>2002</v>
      </c>
      <c r="D438" s="13">
        <v>7650</v>
      </c>
      <c r="E438" s="13">
        <v>31.516999999999999</v>
      </c>
      <c r="F438" s="13">
        <f t="shared" si="20"/>
        <v>242.72614779325443</v>
      </c>
    </row>
    <row r="439" spans="1:6" x14ac:dyDescent="0.25">
      <c r="A439" s="10">
        <v>37439</v>
      </c>
      <c r="B439" s="12">
        <f t="shared" si="18"/>
        <v>7</v>
      </c>
      <c r="C439" s="12">
        <f t="shared" si="19"/>
        <v>2002</v>
      </c>
      <c r="D439" s="13">
        <v>7650</v>
      </c>
      <c r="E439" s="13">
        <v>31.532</v>
      </c>
      <c r="F439" s="13">
        <f t="shared" si="20"/>
        <v>242.61068121273627</v>
      </c>
    </row>
    <row r="440" spans="1:6" x14ac:dyDescent="0.25">
      <c r="A440" s="10">
        <v>37440</v>
      </c>
      <c r="B440" s="12">
        <f t="shared" si="18"/>
        <v>7</v>
      </c>
      <c r="C440" s="12">
        <f t="shared" si="19"/>
        <v>2002</v>
      </c>
      <c r="D440" s="13">
        <v>7650</v>
      </c>
      <c r="E440" s="13">
        <v>31.526</v>
      </c>
      <c r="F440" s="13">
        <f t="shared" si="20"/>
        <v>242.656854659646</v>
      </c>
    </row>
    <row r="441" spans="1:6" x14ac:dyDescent="0.25">
      <c r="A441" s="10">
        <v>37442</v>
      </c>
      <c r="B441" s="12">
        <f t="shared" si="18"/>
        <v>7</v>
      </c>
      <c r="C441" s="12">
        <f t="shared" si="19"/>
        <v>2002</v>
      </c>
      <c r="D441" s="13">
        <v>7650</v>
      </c>
      <c r="E441" s="13">
        <v>31.532</v>
      </c>
      <c r="F441" s="13">
        <f t="shared" si="20"/>
        <v>242.61068121273627</v>
      </c>
    </row>
    <row r="442" spans="1:6" x14ac:dyDescent="0.25">
      <c r="A442" s="10">
        <v>37445</v>
      </c>
      <c r="B442" s="12">
        <f t="shared" si="18"/>
        <v>7</v>
      </c>
      <c r="C442" s="12">
        <f t="shared" si="19"/>
        <v>2002</v>
      </c>
      <c r="D442" s="13">
        <v>7650</v>
      </c>
      <c r="E442" s="13">
        <v>31.532</v>
      </c>
      <c r="F442" s="13">
        <f t="shared" si="20"/>
        <v>242.61068121273627</v>
      </c>
    </row>
    <row r="443" spans="1:6" x14ac:dyDescent="0.25">
      <c r="A443" s="10">
        <v>37446</v>
      </c>
      <c r="B443" s="12">
        <f t="shared" si="18"/>
        <v>7</v>
      </c>
      <c r="C443" s="12">
        <f t="shared" si="19"/>
        <v>2002</v>
      </c>
      <c r="D443" s="13">
        <v>7650</v>
      </c>
      <c r="E443" s="13">
        <v>31.571999999999999</v>
      </c>
      <c r="F443" s="13">
        <f t="shared" si="20"/>
        <v>242.30330672748005</v>
      </c>
    </row>
    <row r="444" spans="1:6" x14ac:dyDescent="0.25">
      <c r="A444" s="10">
        <v>37447</v>
      </c>
      <c r="B444" s="12">
        <f t="shared" si="18"/>
        <v>7</v>
      </c>
      <c r="C444" s="12">
        <f t="shared" si="19"/>
        <v>2002</v>
      </c>
      <c r="D444" s="13">
        <v>7650</v>
      </c>
      <c r="E444" s="13">
        <v>31.571999999999999</v>
      </c>
      <c r="F444" s="13">
        <f t="shared" si="20"/>
        <v>242.30330672748005</v>
      </c>
    </row>
    <row r="445" spans="1:6" x14ac:dyDescent="0.25">
      <c r="A445" s="10">
        <v>37448</v>
      </c>
      <c r="B445" s="12">
        <f t="shared" si="18"/>
        <v>7</v>
      </c>
      <c r="C445" s="12">
        <f t="shared" si="19"/>
        <v>2002</v>
      </c>
      <c r="D445" s="13">
        <v>7650</v>
      </c>
      <c r="E445" s="13">
        <v>31.591999999999999</v>
      </c>
      <c r="F445" s="13">
        <f t="shared" si="20"/>
        <v>242.1499113699671</v>
      </c>
    </row>
    <row r="446" spans="1:6" x14ac:dyDescent="0.25">
      <c r="A446" s="10">
        <v>37449</v>
      </c>
      <c r="B446" s="12">
        <f t="shared" si="18"/>
        <v>7</v>
      </c>
      <c r="C446" s="12">
        <f t="shared" si="19"/>
        <v>2002</v>
      </c>
      <c r="D446" s="13">
        <v>7650</v>
      </c>
      <c r="E446" s="13">
        <v>31.562000000000001</v>
      </c>
      <c r="F446" s="13">
        <f t="shared" si="20"/>
        <v>242.38007730815536</v>
      </c>
    </row>
    <row r="447" spans="1:6" x14ac:dyDescent="0.25">
      <c r="A447" s="10">
        <v>37452</v>
      </c>
      <c r="B447" s="12">
        <f t="shared" si="18"/>
        <v>7</v>
      </c>
      <c r="C447" s="12">
        <f t="shared" si="19"/>
        <v>2002</v>
      </c>
      <c r="D447" s="13">
        <v>7650</v>
      </c>
      <c r="E447" s="13">
        <v>31.535</v>
      </c>
      <c r="F447" s="13">
        <f t="shared" si="20"/>
        <v>242.58760107816713</v>
      </c>
    </row>
    <row r="448" spans="1:6" x14ac:dyDescent="0.25">
      <c r="A448" s="10">
        <v>37453</v>
      </c>
      <c r="B448" s="12">
        <f t="shared" si="18"/>
        <v>7</v>
      </c>
      <c r="C448" s="12">
        <f t="shared" si="19"/>
        <v>2002</v>
      </c>
      <c r="D448" s="13">
        <v>7650</v>
      </c>
      <c r="E448" s="13">
        <v>31.550999999999998</v>
      </c>
      <c r="F448" s="13">
        <f t="shared" si="20"/>
        <v>242.46458115432159</v>
      </c>
    </row>
    <row r="449" spans="1:6" x14ac:dyDescent="0.25">
      <c r="A449" s="10">
        <v>37454</v>
      </c>
      <c r="B449" s="12">
        <f t="shared" si="18"/>
        <v>7</v>
      </c>
      <c r="C449" s="12">
        <f t="shared" si="19"/>
        <v>2002</v>
      </c>
      <c r="D449" s="13">
        <v>7650</v>
      </c>
      <c r="E449" s="13">
        <v>31.568000000000001</v>
      </c>
      <c r="F449" s="13">
        <f t="shared" si="20"/>
        <v>242.33400912316267</v>
      </c>
    </row>
    <row r="450" spans="1:6" x14ac:dyDescent="0.25">
      <c r="A450" s="10">
        <v>37455</v>
      </c>
      <c r="B450" s="12">
        <f t="shared" si="18"/>
        <v>7</v>
      </c>
      <c r="C450" s="12">
        <f t="shared" si="19"/>
        <v>2002</v>
      </c>
      <c r="D450" s="13">
        <v>7650</v>
      </c>
      <c r="E450" s="13">
        <v>31.556999999999999</v>
      </c>
      <c r="F450" s="13">
        <f t="shared" si="20"/>
        <v>242.41848084418672</v>
      </c>
    </row>
    <row r="451" spans="1:6" x14ac:dyDescent="0.25">
      <c r="A451" s="10">
        <v>37456</v>
      </c>
      <c r="B451" s="12">
        <f t="shared" ref="B451:B514" si="21">MONTH(A451)</f>
        <v>7</v>
      </c>
      <c r="C451" s="12">
        <f t="shared" ref="C451:C514" si="22">YEAR(A451)</f>
        <v>2002</v>
      </c>
      <c r="D451" s="13">
        <v>7650</v>
      </c>
      <c r="E451" s="13">
        <v>31.555</v>
      </c>
      <c r="F451" s="13">
        <f t="shared" ref="F451:F514" si="23">IF(D451="","",D451/E451)</f>
        <v>242.43384566629695</v>
      </c>
    </row>
    <row r="452" spans="1:6" x14ac:dyDescent="0.25">
      <c r="A452" s="10">
        <v>37459</v>
      </c>
      <c r="B452" s="12">
        <f t="shared" si="21"/>
        <v>7</v>
      </c>
      <c r="C452" s="12">
        <f t="shared" si="22"/>
        <v>2002</v>
      </c>
      <c r="D452" s="13">
        <v>7650</v>
      </c>
      <c r="E452" s="13">
        <v>31.545000000000002</v>
      </c>
      <c r="F452" s="13">
        <f t="shared" si="23"/>
        <v>242.51069900142653</v>
      </c>
    </row>
    <row r="453" spans="1:6" x14ac:dyDescent="0.25">
      <c r="A453" s="10">
        <v>37460</v>
      </c>
      <c r="B453" s="12">
        <f t="shared" si="21"/>
        <v>7</v>
      </c>
      <c r="C453" s="12">
        <f t="shared" si="22"/>
        <v>2002</v>
      </c>
      <c r="D453" s="13">
        <v>7650</v>
      </c>
      <c r="E453" s="13">
        <v>31.524999999999999</v>
      </c>
      <c r="F453" s="13">
        <f t="shared" si="23"/>
        <v>242.66455194290248</v>
      </c>
    </row>
    <row r="454" spans="1:6" x14ac:dyDescent="0.25">
      <c r="A454" s="10">
        <v>37461</v>
      </c>
      <c r="B454" s="12">
        <f t="shared" si="21"/>
        <v>7</v>
      </c>
      <c r="C454" s="12">
        <f t="shared" si="22"/>
        <v>2002</v>
      </c>
      <c r="D454" s="13">
        <v>7650</v>
      </c>
      <c r="E454" s="13">
        <v>31.542999999999999</v>
      </c>
      <c r="F454" s="13">
        <f t="shared" si="23"/>
        <v>242.52607551596233</v>
      </c>
    </row>
    <row r="455" spans="1:6" x14ac:dyDescent="0.25">
      <c r="A455" s="10">
        <v>37462</v>
      </c>
      <c r="B455" s="12">
        <f t="shared" si="21"/>
        <v>7</v>
      </c>
      <c r="C455" s="12">
        <f t="shared" si="22"/>
        <v>2002</v>
      </c>
      <c r="D455" s="13">
        <v>7650</v>
      </c>
      <c r="E455" s="13">
        <v>31.535</v>
      </c>
      <c r="F455" s="13">
        <f t="shared" si="23"/>
        <v>242.58760107816713</v>
      </c>
    </row>
    <row r="456" spans="1:6" x14ac:dyDescent="0.25">
      <c r="A456" s="10">
        <v>37463</v>
      </c>
      <c r="B456" s="12">
        <f t="shared" si="21"/>
        <v>7</v>
      </c>
      <c r="C456" s="12">
        <f t="shared" si="22"/>
        <v>2002</v>
      </c>
      <c r="D456" s="13">
        <v>7650</v>
      </c>
      <c r="E456" s="13">
        <v>31.515000000000001</v>
      </c>
      <c r="F456" s="13">
        <f t="shared" si="23"/>
        <v>242.74155164207519</v>
      </c>
    </row>
    <row r="457" spans="1:6" x14ac:dyDescent="0.25">
      <c r="A457" s="10">
        <v>37466</v>
      </c>
      <c r="B457" s="12">
        <f t="shared" si="21"/>
        <v>7</v>
      </c>
      <c r="C457" s="12">
        <f t="shared" si="22"/>
        <v>2002</v>
      </c>
      <c r="D457" s="13">
        <v>7650</v>
      </c>
      <c r="E457" s="13">
        <v>31.495000000000001</v>
      </c>
      <c r="F457" s="13">
        <f t="shared" si="23"/>
        <v>242.89569772979837</v>
      </c>
    </row>
    <row r="458" spans="1:6" x14ac:dyDescent="0.25">
      <c r="A458" s="10">
        <v>37467</v>
      </c>
      <c r="B458" s="12">
        <f t="shared" si="21"/>
        <v>7</v>
      </c>
      <c r="C458" s="12">
        <f t="shared" si="22"/>
        <v>2002</v>
      </c>
      <c r="D458" s="13">
        <v>7650</v>
      </c>
      <c r="E458" s="13">
        <v>31.503</v>
      </c>
      <c r="F458" s="13">
        <f t="shared" si="23"/>
        <v>242.83401580801828</v>
      </c>
    </row>
    <row r="459" spans="1:6" x14ac:dyDescent="0.25">
      <c r="A459" s="10">
        <v>37468</v>
      </c>
      <c r="B459" s="12">
        <f t="shared" si="21"/>
        <v>7</v>
      </c>
      <c r="C459" s="12">
        <f t="shared" si="22"/>
        <v>2002</v>
      </c>
      <c r="D459" s="13">
        <v>7650</v>
      </c>
      <c r="E459" s="13">
        <v>31.527999999999999</v>
      </c>
      <c r="F459" s="13">
        <f t="shared" si="23"/>
        <v>242.64146155798022</v>
      </c>
    </row>
    <row r="460" spans="1:6" x14ac:dyDescent="0.25">
      <c r="A460" s="10">
        <v>37469</v>
      </c>
      <c r="B460" s="12">
        <f t="shared" si="21"/>
        <v>8</v>
      </c>
      <c r="C460" s="12">
        <f t="shared" si="22"/>
        <v>2002</v>
      </c>
      <c r="D460" s="13">
        <v>7650</v>
      </c>
      <c r="E460" s="13">
        <v>31.564</v>
      </c>
      <c r="F460" s="13">
        <f t="shared" si="23"/>
        <v>242.36471930046889</v>
      </c>
    </row>
    <row r="461" spans="1:6" x14ac:dyDescent="0.25">
      <c r="A461" s="10">
        <v>37470</v>
      </c>
      <c r="B461" s="12">
        <f t="shared" si="21"/>
        <v>8</v>
      </c>
      <c r="C461" s="12">
        <f t="shared" si="22"/>
        <v>2002</v>
      </c>
      <c r="D461" s="13">
        <v>7650</v>
      </c>
      <c r="E461" s="13">
        <v>31.577000000000002</v>
      </c>
      <c r="F461" s="13">
        <f t="shared" si="23"/>
        <v>242.26493967127971</v>
      </c>
    </row>
    <row r="462" spans="1:6" x14ac:dyDescent="0.25">
      <c r="A462" s="10">
        <v>37473</v>
      </c>
      <c r="B462" s="12">
        <f t="shared" si="21"/>
        <v>8</v>
      </c>
      <c r="C462" s="12">
        <f t="shared" si="22"/>
        <v>2002</v>
      </c>
      <c r="D462" s="13">
        <v>7650</v>
      </c>
      <c r="E462" s="13">
        <v>31.558</v>
      </c>
      <c r="F462" s="13">
        <f t="shared" si="23"/>
        <v>242.41079916344509</v>
      </c>
    </row>
    <row r="463" spans="1:6" x14ac:dyDescent="0.25">
      <c r="A463" s="10">
        <v>37474</v>
      </c>
      <c r="B463" s="12">
        <f t="shared" si="21"/>
        <v>8</v>
      </c>
      <c r="C463" s="12">
        <f t="shared" si="22"/>
        <v>2002</v>
      </c>
      <c r="D463" s="13">
        <v>7650</v>
      </c>
      <c r="E463" s="13">
        <v>31.556999999999999</v>
      </c>
      <c r="F463" s="13">
        <f t="shared" si="23"/>
        <v>242.41848084418672</v>
      </c>
    </row>
    <row r="464" spans="1:6" x14ac:dyDescent="0.25">
      <c r="A464" s="10">
        <v>37475</v>
      </c>
      <c r="B464" s="12">
        <f t="shared" si="21"/>
        <v>8</v>
      </c>
      <c r="C464" s="12">
        <f t="shared" si="22"/>
        <v>2002</v>
      </c>
      <c r="D464" s="13">
        <v>7650</v>
      </c>
      <c r="E464" s="13">
        <v>31.574999999999999</v>
      </c>
      <c r="F464" s="13">
        <f t="shared" si="23"/>
        <v>242.28028503562945</v>
      </c>
    </row>
    <row r="465" spans="1:6" x14ac:dyDescent="0.25">
      <c r="A465" s="10">
        <v>37476</v>
      </c>
      <c r="B465" s="12">
        <f t="shared" si="21"/>
        <v>8</v>
      </c>
      <c r="C465" s="12">
        <f t="shared" si="22"/>
        <v>2002</v>
      </c>
      <c r="D465" s="13">
        <v>7650</v>
      </c>
      <c r="E465" s="13">
        <v>31.605</v>
      </c>
      <c r="F465" s="13">
        <f t="shared" si="23"/>
        <v>242.05030849549121</v>
      </c>
    </row>
    <row r="466" spans="1:6" x14ac:dyDescent="0.25">
      <c r="A466" s="10">
        <v>37477</v>
      </c>
      <c r="B466" s="12">
        <f t="shared" si="21"/>
        <v>8</v>
      </c>
      <c r="C466" s="12">
        <f t="shared" si="22"/>
        <v>2002</v>
      </c>
      <c r="D466" s="13">
        <v>7650</v>
      </c>
      <c r="E466" s="13">
        <v>31.605</v>
      </c>
      <c r="F466" s="13">
        <f t="shared" si="23"/>
        <v>242.05030849549121</v>
      </c>
    </row>
    <row r="467" spans="1:6" x14ac:dyDescent="0.25">
      <c r="A467" s="10">
        <v>37480</v>
      </c>
      <c r="B467" s="12">
        <f t="shared" si="21"/>
        <v>8</v>
      </c>
      <c r="C467" s="12">
        <f t="shared" si="22"/>
        <v>2002</v>
      </c>
      <c r="D467" s="13">
        <v>7650</v>
      </c>
      <c r="E467" s="13">
        <v>31.574999999999999</v>
      </c>
      <c r="F467" s="13">
        <f t="shared" si="23"/>
        <v>242.28028503562945</v>
      </c>
    </row>
    <row r="468" spans="1:6" x14ac:dyDescent="0.25">
      <c r="A468" s="10">
        <v>37481</v>
      </c>
      <c r="B468" s="12">
        <f t="shared" si="21"/>
        <v>8</v>
      </c>
      <c r="C468" s="12">
        <f t="shared" si="22"/>
        <v>2002</v>
      </c>
      <c r="D468" s="13">
        <v>7650</v>
      </c>
      <c r="E468" s="13">
        <v>31.547000000000001</v>
      </c>
      <c r="F468" s="13">
        <f t="shared" si="23"/>
        <v>242.49532443655497</v>
      </c>
    </row>
    <row r="469" spans="1:6" x14ac:dyDescent="0.25">
      <c r="A469" s="10">
        <v>37482</v>
      </c>
      <c r="B469" s="12">
        <f t="shared" si="21"/>
        <v>8</v>
      </c>
      <c r="C469" s="12">
        <f t="shared" si="22"/>
        <v>2002</v>
      </c>
      <c r="D469" s="13">
        <v>7650</v>
      </c>
      <c r="E469" s="13">
        <v>31.574999999999999</v>
      </c>
      <c r="F469" s="13">
        <f t="shared" si="23"/>
        <v>242.28028503562945</v>
      </c>
    </row>
    <row r="470" spans="1:6" x14ac:dyDescent="0.25">
      <c r="A470" s="10">
        <v>37483</v>
      </c>
      <c r="B470" s="12">
        <f t="shared" si="21"/>
        <v>8</v>
      </c>
      <c r="C470" s="12">
        <f t="shared" si="22"/>
        <v>2002</v>
      </c>
      <c r="D470" s="13">
        <v>7650</v>
      </c>
      <c r="E470" s="13">
        <v>31.605</v>
      </c>
      <c r="F470" s="13">
        <f t="shared" si="23"/>
        <v>242.05030849549121</v>
      </c>
    </row>
    <row r="471" spans="1:6" x14ac:dyDescent="0.25">
      <c r="A471" s="10">
        <v>37484</v>
      </c>
      <c r="B471" s="12">
        <f t="shared" si="21"/>
        <v>8</v>
      </c>
      <c r="C471" s="12">
        <f t="shared" si="22"/>
        <v>2002</v>
      </c>
      <c r="D471" s="13">
        <v>7650</v>
      </c>
      <c r="E471" s="13">
        <v>31.57</v>
      </c>
      <c r="F471" s="13">
        <f t="shared" si="23"/>
        <v>242.31865695280328</v>
      </c>
    </row>
    <row r="472" spans="1:6" x14ac:dyDescent="0.25">
      <c r="A472" s="10">
        <v>37487</v>
      </c>
      <c r="B472" s="12">
        <f t="shared" si="21"/>
        <v>8</v>
      </c>
      <c r="C472" s="12">
        <f t="shared" si="22"/>
        <v>2002</v>
      </c>
      <c r="D472" s="13">
        <v>7650</v>
      </c>
      <c r="E472" s="13">
        <v>31.57</v>
      </c>
      <c r="F472" s="13">
        <f t="shared" si="23"/>
        <v>242.31865695280328</v>
      </c>
    </row>
    <row r="473" spans="1:6" x14ac:dyDescent="0.25">
      <c r="A473" s="10">
        <v>37488</v>
      </c>
      <c r="B473" s="12">
        <f t="shared" si="21"/>
        <v>8</v>
      </c>
      <c r="C473" s="12">
        <f t="shared" si="22"/>
        <v>2002</v>
      </c>
      <c r="D473" s="13">
        <v>7650</v>
      </c>
      <c r="E473" s="13">
        <v>31.57</v>
      </c>
      <c r="F473" s="13">
        <f t="shared" si="23"/>
        <v>242.31865695280328</v>
      </c>
    </row>
    <row r="474" spans="1:6" x14ac:dyDescent="0.25">
      <c r="A474" s="10">
        <v>37489</v>
      </c>
      <c r="B474" s="12">
        <f t="shared" si="21"/>
        <v>8</v>
      </c>
      <c r="C474" s="12">
        <f t="shared" si="22"/>
        <v>2002</v>
      </c>
      <c r="D474" s="13">
        <v>7650</v>
      </c>
      <c r="E474" s="13">
        <v>31.59</v>
      </c>
      <c r="F474" s="13">
        <f t="shared" si="23"/>
        <v>242.16524216524218</v>
      </c>
    </row>
    <row r="475" spans="1:6" x14ac:dyDescent="0.25">
      <c r="A475" s="10">
        <v>37490</v>
      </c>
      <c r="B475" s="12">
        <f t="shared" si="21"/>
        <v>8</v>
      </c>
      <c r="C475" s="12">
        <f t="shared" si="22"/>
        <v>2002</v>
      </c>
      <c r="D475" s="13">
        <v>7650</v>
      </c>
      <c r="E475" s="13">
        <v>31.584</v>
      </c>
      <c r="F475" s="13">
        <f t="shared" si="23"/>
        <v>242.21124620060792</v>
      </c>
    </row>
    <row r="476" spans="1:6" x14ac:dyDescent="0.25">
      <c r="A476" s="10">
        <v>37491</v>
      </c>
      <c r="B476" s="12">
        <f t="shared" si="21"/>
        <v>8</v>
      </c>
      <c r="C476" s="12">
        <f t="shared" si="22"/>
        <v>2002</v>
      </c>
      <c r="D476" s="13">
        <v>7650</v>
      </c>
      <c r="E476" s="13">
        <v>31.591999999999999</v>
      </c>
      <c r="F476" s="13">
        <f t="shared" si="23"/>
        <v>242.1499113699671</v>
      </c>
    </row>
    <row r="477" spans="1:6" x14ac:dyDescent="0.25">
      <c r="A477" s="10">
        <v>37494</v>
      </c>
      <c r="B477" s="12">
        <f t="shared" si="21"/>
        <v>8</v>
      </c>
      <c r="C477" s="12">
        <f t="shared" si="22"/>
        <v>2002</v>
      </c>
      <c r="D477" s="13">
        <v>7650</v>
      </c>
      <c r="E477" s="13">
        <v>31.593</v>
      </c>
      <c r="F477" s="13">
        <f t="shared" si="23"/>
        <v>242.14224670021841</v>
      </c>
    </row>
    <row r="478" spans="1:6" x14ac:dyDescent="0.25">
      <c r="A478" s="10">
        <v>37495</v>
      </c>
      <c r="B478" s="12">
        <f t="shared" si="21"/>
        <v>8</v>
      </c>
      <c r="C478" s="12">
        <f t="shared" si="22"/>
        <v>2002</v>
      </c>
      <c r="D478" s="13">
        <v>7650</v>
      </c>
      <c r="E478" s="13">
        <v>31.582000000000001</v>
      </c>
      <c r="F478" s="13">
        <f t="shared" si="23"/>
        <v>242.22658476347286</v>
      </c>
    </row>
    <row r="479" spans="1:6" x14ac:dyDescent="0.25">
      <c r="A479" s="10">
        <v>37496</v>
      </c>
      <c r="B479" s="12">
        <f t="shared" si="21"/>
        <v>8</v>
      </c>
      <c r="C479" s="12">
        <f t="shared" si="22"/>
        <v>2002</v>
      </c>
      <c r="D479" s="13">
        <v>7650</v>
      </c>
      <c r="E479" s="13">
        <v>31.59</v>
      </c>
      <c r="F479" s="13">
        <f t="shared" si="23"/>
        <v>242.16524216524218</v>
      </c>
    </row>
    <row r="480" spans="1:6" x14ac:dyDescent="0.25">
      <c r="A480" s="10">
        <v>37497</v>
      </c>
      <c r="B480" s="12">
        <f t="shared" si="21"/>
        <v>8</v>
      </c>
      <c r="C480" s="12">
        <f t="shared" si="22"/>
        <v>2002</v>
      </c>
      <c r="D480" s="13">
        <v>7650</v>
      </c>
      <c r="E480" s="13">
        <v>31.625</v>
      </c>
      <c r="F480" s="13">
        <f t="shared" si="23"/>
        <v>241.89723320158103</v>
      </c>
    </row>
    <row r="481" spans="1:6" x14ac:dyDescent="0.25">
      <c r="A481" s="10">
        <v>37498</v>
      </c>
      <c r="B481" s="12">
        <f t="shared" si="21"/>
        <v>8</v>
      </c>
      <c r="C481" s="12">
        <f t="shared" si="22"/>
        <v>2002</v>
      </c>
      <c r="D481" s="13">
        <v>7650</v>
      </c>
      <c r="E481" s="13">
        <v>31.602</v>
      </c>
      <c r="F481" s="13">
        <f t="shared" si="23"/>
        <v>242.07328650085438</v>
      </c>
    </row>
    <row r="482" spans="1:6" x14ac:dyDescent="0.25">
      <c r="A482" s="10">
        <v>37502</v>
      </c>
      <c r="B482" s="12">
        <f t="shared" si="21"/>
        <v>9</v>
      </c>
      <c r="C482" s="12">
        <f t="shared" si="22"/>
        <v>2002</v>
      </c>
      <c r="D482" s="13">
        <v>4500</v>
      </c>
      <c r="E482" s="13">
        <v>31.64</v>
      </c>
      <c r="F482" s="13">
        <f t="shared" si="23"/>
        <v>142.22503160556258</v>
      </c>
    </row>
    <row r="483" spans="1:6" x14ac:dyDescent="0.25">
      <c r="A483" s="10">
        <v>37503</v>
      </c>
      <c r="B483" s="12">
        <f t="shared" si="21"/>
        <v>9</v>
      </c>
      <c r="C483" s="12">
        <f t="shared" si="22"/>
        <v>2002</v>
      </c>
      <c r="D483" s="13">
        <v>4500</v>
      </c>
      <c r="E483" s="13">
        <v>31.635000000000002</v>
      </c>
      <c r="F483" s="13">
        <f t="shared" si="23"/>
        <v>142.24751066856328</v>
      </c>
    </row>
    <row r="484" spans="1:6" x14ac:dyDescent="0.25">
      <c r="A484" s="10">
        <v>37504</v>
      </c>
      <c r="B484" s="12">
        <f t="shared" si="21"/>
        <v>9</v>
      </c>
      <c r="C484" s="12">
        <f t="shared" si="22"/>
        <v>2002</v>
      </c>
      <c r="D484" s="13">
        <v>4500</v>
      </c>
      <c r="E484" s="13">
        <v>31.634</v>
      </c>
      <c r="F484" s="13">
        <f t="shared" si="23"/>
        <v>142.25200733388127</v>
      </c>
    </row>
    <row r="485" spans="1:6" x14ac:dyDescent="0.25">
      <c r="A485" s="10">
        <v>37505</v>
      </c>
      <c r="B485" s="12">
        <f t="shared" si="21"/>
        <v>9</v>
      </c>
      <c r="C485" s="12">
        <f t="shared" si="22"/>
        <v>2002</v>
      </c>
      <c r="D485" s="13">
        <v>4500</v>
      </c>
      <c r="E485" s="13">
        <v>31.637</v>
      </c>
      <c r="F485" s="13">
        <f t="shared" si="23"/>
        <v>142.23851819072604</v>
      </c>
    </row>
    <row r="486" spans="1:6" x14ac:dyDescent="0.25">
      <c r="A486" s="10">
        <v>37508</v>
      </c>
      <c r="B486" s="12">
        <f t="shared" si="21"/>
        <v>9</v>
      </c>
      <c r="C486" s="12">
        <f t="shared" si="22"/>
        <v>2002</v>
      </c>
      <c r="D486" s="13">
        <v>4500</v>
      </c>
      <c r="E486" s="13">
        <v>31.654</v>
      </c>
      <c r="F486" s="13">
        <f t="shared" si="23"/>
        <v>142.16212800909838</v>
      </c>
    </row>
    <row r="487" spans="1:6" x14ac:dyDescent="0.25">
      <c r="A487" s="10">
        <v>37509</v>
      </c>
      <c r="B487" s="12">
        <f t="shared" si="21"/>
        <v>9</v>
      </c>
      <c r="C487" s="12">
        <f t="shared" si="22"/>
        <v>2002</v>
      </c>
      <c r="D487" s="13">
        <v>4500</v>
      </c>
      <c r="E487" s="13">
        <v>31.652000000000001</v>
      </c>
      <c r="F487" s="13">
        <f t="shared" si="23"/>
        <v>142.17111083027928</v>
      </c>
    </row>
    <row r="488" spans="1:6" x14ac:dyDescent="0.25">
      <c r="A488" s="10">
        <v>37510</v>
      </c>
      <c r="B488" s="12">
        <f t="shared" si="21"/>
        <v>9</v>
      </c>
      <c r="C488" s="12">
        <f t="shared" si="22"/>
        <v>2002</v>
      </c>
      <c r="D488" s="13">
        <v>4500</v>
      </c>
      <c r="E488" s="13">
        <v>31.66</v>
      </c>
      <c r="F488" s="13">
        <f t="shared" si="23"/>
        <v>142.13518635502211</v>
      </c>
    </row>
    <row r="489" spans="1:6" x14ac:dyDescent="0.25">
      <c r="A489" s="10">
        <v>37511</v>
      </c>
      <c r="B489" s="12">
        <f t="shared" si="21"/>
        <v>9</v>
      </c>
      <c r="C489" s="12">
        <f t="shared" si="22"/>
        <v>2002</v>
      </c>
      <c r="D489" s="13">
        <v>4500</v>
      </c>
      <c r="E489" s="13">
        <v>31.664999999999999</v>
      </c>
      <c r="F489" s="13">
        <f t="shared" si="23"/>
        <v>142.11274277593557</v>
      </c>
    </row>
    <row r="490" spans="1:6" x14ac:dyDescent="0.25">
      <c r="A490" s="10">
        <v>37512</v>
      </c>
      <c r="B490" s="12">
        <f t="shared" si="21"/>
        <v>9</v>
      </c>
      <c r="C490" s="12">
        <f t="shared" si="22"/>
        <v>2002</v>
      </c>
      <c r="D490" s="13">
        <v>4500</v>
      </c>
      <c r="E490" s="13">
        <v>31.655000000000001</v>
      </c>
      <c r="F490" s="13">
        <f t="shared" si="23"/>
        <v>142.1576370241668</v>
      </c>
    </row>
    <row r="491" spans="1:6" x14ac:dyDescent="0.25">
      <c r="A491" s="10">
        <v>37515</v>
      </c>
      <c r="B491" s="12">
        <f t="shared" si="21"/>
        <v>9</v>
      </c>
      <c r="C491" s="12">
        <f t="shared" si="22"/>
        <v>2002</v>
      </c>
      <c r="D491" s="13">
        <v>4500</v>
      </c>
      <c r="E491" s="13">
        <v>31.65</v>
      </c>
      <c r="F491" s="13">
        <f t="shared" si="23"/>
        <v>142.18009478672985</v>
      </c>
    </row>
    <row r="492" spans="1:6" x14ac:dyDescent="0.25">
      <c r="A492" s="10">
        <v>37516</v>
      </c>
      <c r="B492" s="12">
        <f t="shared" si="21"/>
        <v>9</v>
      </c>
      <c r="C492" s="12">
        <f t="shared" si="22"/>
        <v>2002</v>
      </c>
      <c r="D492" s="13">
        <v>4500</v>
      </c>
      <c r="E492" s="13">
        <v>31.637</v>
      </c>
      <c r="F492" s="13">
        <f t="shared" si="23"/>
        <v>142.23851819072604</v>
      </c>
    </row>
    <row r="493" spans="1:6" x14ac:dyDescent="0.25">
      <c r="A493" s="10">
        <v>37517</v>
      </c>
      <c r="B493" s="12">
        <f t="shared" si="21"/>
        <v>9</v>
      </c>
      <c r="C493" s="12">
        <f t="shared" si="22"/>
        <v>2002</v>
      </c>
      <c r="D493" s="13">
        <v>4500</v>
      </c>
      <c r="E493" s="13">
        <v>31.66</v>
      </c>
      <c r="F493" s="13">
        <f t="shared" si="23"/>
        <v>142.13518635502211</v>
      </c>
    </row>
    <row r="494" spans="1:6" x14ac:dyDescent="0.25">
      <c r="A494" s="10">
        <v>37518</v>
      </c>
      <c r="B494" s="12">
        <f t="shared" si="21"/>
        <v>9</v>
      </c>
      <c r="C494" s="12">
        <f t="shared" si="22"/>
        <v>2002</v>
      </c>
      <c r="D494" s="13">
        <v>4500</v>
      </c>
      <c r="E494" s="13">
        <v>31.66</v>
      </c>
      <c r="F494" s="13">
        <f t="shared" si="23"/>
        <v>142.13518635502211</v>
      </c>
    </row>
    <row r="495" spans="1:6" x14ac:dyDescent="0.25">
      <c r="A495" s="10">
        <v>37519</v>
      </c>
      <c r="B495" s="12">
        <f t="shared" si="21"/>
        <v>9</v>
      </c>
      <c r="C495" s="12">
        <f t="shared" si="22"/>
        <v>2002</v>
      </c>
      <c r="D495" s="13">
        <v>4500</v>
      </c>
      <c r="E495" s="13">
        <v>31.661000000000001</v>
      </c>
      <c r="F495" s="13">
        <f t="shared" si="23"/>
        <v>142.13069707210764</v>
      </c>
    </row>
    <row r="496" spans="1:6" x14ac:dyDescent="0.25">
      <c r="A496" s="10">
        <v>37522</v>
      </c>
      <c r="B496" s="12">
        <f t="shared" si="21"/>
        <v>9</v>
      </c>
      <c r="C496" s="12">
        <f t="shared" si="22"/>
        <v>2002</v>
      </c>
      <c r="D496" s="13">
        <v>4500</v>
      </c>
      <c r="E496" s="13">
        <v>31.645</v>
      </c>
      <c r="F496" s="13">
        <f t="shared" si="23"/>
        <v>142.20255964607364</v>
      </c>
    </row>
    <row r="497" spans="1:6" x14ac:dyDescent="0.25">
      <c r="A497" s="10">
        <v>37523</v>
      </c>
      <c r="B497" s="12">
        <f t="shared" si="21"/>
        <v>9</v>
      </c>
      <c r="C497" s="12">
        <f t="shared" si="22"/>
        <v>2002</v>
      </c>
      <c r="D497" s="13">
        <v>4500</v>
      </c>
      <c r="E497" s="13">
        <v>31.655000000000001</v>
      </c>
      <c r="F497" s="13">
        <f t="shared" si="23"/>
        <v>142.1576370241668</v>
      </c>
    </row>
    <row r="498" spans="1:6" x14ac:dyDescent="0.25">
      <c r="A498" s="10">
        <v>37524</v>
      </c>
      <c r="B498" s="12">
        <f t="shared" si="21"/>
        <v>9</v>
      </c>
      <c r="C498" s="12">
        <f t="shared" si="22"/>
        <v>2002</v>
      </c>
      <c r="D498" s="13">
        <v>4500</v>
      </c>
      <c r="E498" s="13">
        <v>31.65</v>
      </c>
      <c r="F498" s="13">
        <f t="shared" si="23"/>
        <v>142.18009478672985</v>
      </c>
    </row>
    <row r="499" spans="1:6" x14ac:dyDescent="0.25">
      <c r="A499" s="10">
        <v>37525</v>
      </c>
      <c r="B499" s="12">
        <f t="shared" si="21"/>
        <v>9</v>
      </c>
      <c r="C499" s="12">
        <f t="shared" si="22"/>
        <v>2002</v>
      </c>
      <c r="D499" s="13">
        <v>4500</v>
      </c>
      <c r="E499" s="13">
        <v>31.66</v>
      </c>
      <c r="F499" s="13">
        <f t="shared" si="23"/>
        <v>142.13518635502211</v>
      </c>
    </row>
    <row r="500" spans="1:6" x14ac:dyDescent="0.25">
      <c r="A500" s="10">
        <v>37526</v>
      </c>
      <c r="B500" s="12">
        <f t="shared" si="21"/>
        <v>9</v>
      </c>
      <c r="C500" s="12">
        <f t="shared" si="22"/>
        <v>2002</v>
      </c>
      <c r="D500" s="13">
        <v>4500</v>
      </c>
      <c r="E500" s="13">
        <v>31.698</v>
      </c>
      <c r="F500" s="13">
        <f t="shared" si="23"/>
        <v>141.96479273140261</v>
      </c>
    </row>
    <row r="501" spans="1:6" x14ac:dyDescent="0.25">
      <c r="A501" s="10">
        <v>37529</v>
      </c>
      <c r="B501" s="12">
        <f t="shared" si="21"/>
        <v>9</v>
      </c>
      <c r="C501" s="12">
        <f t="shared" si="22"/>
        <v>2002</v>
      </c>
      <c r="D501" s="13">
        <v>4500</v>
      </c>
      <c r="E501" s="13">
        <v>31.715</v>
      </c>
      <c r="F501" s="13">
        <f t="shared" si="23"/>
        <v>141.88869620053603</v>
      </c>
    </row>
    <row r="502" spans="1:6" x14ac:dyDescent="0.25">
      <c r="A502" s="10">
        <v>37530</v>
      </c>
      <c r="B502" s="12">
        <f t="shared" si="21"/>
        <v>10</v>
      </c>
      <c r="C502" s="12">
        <f t="shared" si="22"/>
        <v>2002</v>
      </c>
      <c r="D502" s="13">
        <v>4500</v>
      </c>
      <c r="E502" s="13">
        <v>31.72</v>
      </c>
      <c r="F502" s="13">
        <f t="shared" si="23"/>
        <v>141.86633039092055</v>
      </c>
    </row>
    <row r="503" spans="1:6" x14ac:dyDescent="0.25">
      <c r="A503" s="10">
        <v>37531</v>
      </c>
      <c r="B503" s="12">
        <f t="shared" si="21"/>
        <v>10</v>
      </c>
      <c r="C503" s="12">
        <f t="shared" si="22"/>
        <v>2002</v>
      </c>
      <c r="D503" s="13">
        <v>4500</v>
      </c>
      <c r="E503" s="13">
        <v>31.702000000000002</v>
      </c>
      <c r="F503" s="13">
        <f t="shared" si="23"/>
        <v>141.946880323008</v>
      </c>
    </row>
    <row r="504" spans="1:6" x14ac:dyDescent="0.25">
      <c r="A504" s="10">
        <v>37532</v>
      </c>
      <c r="B504" s="12">
        <f t="shared" si="21"/>
        <v>10</v>
      </c>
      <c r="C504" s="12">
        <f t="shared" si="22"/>
        <v>2002</v>
      </c>
      <c r="D504" s="13">
        <v>4500</v>
      </c>
      <c r="E504" s="13">
        <v>31.7</v>
      </c>
      <c r="F504" s="13">
        <f t="shared" si="23"/>
        <v>141.9558359621451</v>
      </c>
    </row>
    <row r="505" spans="1:6" x14ac:dyDescent="0.25">
      <c r="A505" s="10">
        <v>37533</v>
      </c>
      <c r="B505" s="12">
        <f t="shared" si="21"/>
        <v>10</v>
      </c>
      <c r="C505" s="12">
        <f t="shared" si="22"/>
        <v>2002</v>
      </c>
      <c r="D505" s="13">
        <v>4500</v>
      </c>
      <c r="E505" s="13">
        <v>31.695</v>
      </c>
      <c r="F505" s="13">
        <f t="shared" si="23"/>
        <v>141.97823000473261</v>
      </c>
    </row>
    <row r="506" spans="1:6" x14ac:dyDescent="0.25">
      <c r="A506" s="10">
        <v>37536</v>
      </c>
      <c r="B506" s="12">
        <f t="shared" si="21"/>
        <v>10</v>
      </c>
      <c r="C506" s="12">
        <f t="shared" si="22"/>
        <v>2002</v>
      </c>
      <c r="D506" s="13">
        <v>4750</v>
      </c>
      <c r="E506" s="13">
        <v>31.696999999999999</v>
      </c>
      <c r="F506" s="13">
        <f t="shared" si="23"/>
        <v>149.85645329210968</v>
      </c>
    </row>
    <row r="507" spans="1:6" x14ac:dyDescent="0.25">
      <c r="A507" s="10">
        <v>37537</v>
      </c>
      <c r="B507" s="12">
        <f t="shared" si="21"/>
        <v>10</v>
      </c>
      <c r="C507" s="12">
        <f t="shared" si="22"/>
        <v>2002</v>
      </c>
      <c r="D507" s="13">
        <v>4750</v>
      </c>
      <c r="E507" s="13">
        <v>31.67</v>
      </c>
      <c r="F507" s="13">
        <f t="shared" si="23"/>
        <v>149.9842121881907</v>
      </c>
    </row>
    <row r="508" spans="1:6" x14ac:dyDescent="0.25">
      <c r="A508" s="10">
        <v>37538</v>
      </c>
      <c r="B508" s="12">
        <f t="shared" si="21"/>
        <v>10</v>
      </c>
      <c r="C508" s="12">
        <f t="shared" si="22"/>
        <v>2002</v>
      </c>
      <c r="D508" s="13">
        <v>4750</v>
      </c>
      <c r="E508" s="13">
        <v>31.67</v>
      </c>
      <c r="F508" s="13">
        <f t="shared" si="23"/>
        <v>149.9842121881907</v>
      </c>
    </row>
    <row r="509" spans="1:6" x14ac:dyDescent="0.25">
      <c r="A509" s="10">
        <v>37539</v>
      </c>
      <c r="B509" s="12">
        <f t="shared" si="21"/>
        <v>10</v>
      </c>
      <c r="C509" s="12">
        <f t="shared" si="22"/>
        <v>2002</v>
      </c>
      <c r="D509" s="13">
        <v>4750</v>
      </c>
      <c r="E509" s="13">
        <v>31.67</v>
      </c>
      <c r="F509" s="13">
        <f t="shared" si="23"/>
        <v>149.9842121881907</v>
      </c>
    </row>
    <row r="510" spans="1:6" x14ac:dyDescent="0.25">
      <c r="A510" s="10">
        <v>37540</v>
      </c>
      <c r="B510" s="12">
        <f t="shared" si="21"/>
        <v>10</v>
      </c>
      <c r="C510" s="12">
        <f t="shared" si="22"/>
        <v>2002</v>
      </c>
      <c r="D510" s="13">
        <v>4750</v>
      </c>
      <c r="E510" s="13">
        <v>31.67</v>
      </c>
      <c r="F510" s="13">
        <f t="shared" si="23"/>
        <v>149.9842121881907</v>
      </c>
    </row>
    <row r="511" spans="1:6" x14ac:dyDescent="0.25">
      <c r="A511" s="10">
        <v>37543</v>
      </c>
      <c r="B511" s="12">
        <f t="shared" si="21"/>
        <v>10</v>
      </c>
      <c r="C511" s="12">
        <f t="shared" si="22"/>
        <v>2002</v>
      </c>
      <c r="D511" s="13">
        <v>5100</v>
      </c>
      <c r="E511" s="13">
        <v>31.67</v>
      </c>
      <c r="F511" s="13">
        <f t="shared" si="23"/>
        <v>161.03568045468896</v>
      </c>
    </row>
    <row r="512" spans="1:6" x14ac:dyDescent="0.25">
      <c r="A512" s="10">
        <v>37544</v>
      </c>
      <c r="B512" s="12">
        <f t="shared" si="21"/>
        <v>10</v>
      </c>
      <c r="C512" s="12">
        <f t="shared" si="22"/>
        <v>2002</v>
      </c>
      <c r="D512" s="13">
        <v>5100</v>
      </c>
      <c r="E512" s="13">
        <v>31.67</v>
      </c>
      <c r="F512" s="13">
        <f t="shared" si="23"/>
        <v>161.03568045468896</v>
      </c>
    </row>
    <row r="513" spans="1:6" x14ac:dyDescent="0.25">
      <c r="A513" s="10">
        <v>37545</v>
      </c>
      <c r="B513" s="12">
        <f t="shared" si="21"/>
        <v>10</v>
      </c>
      <c r="C513" s="12">
        <f t="shared" si="22"/>
        <v>2002</v>
      </c>
      <c r="D513" s="13">
        <v>5100</v>
      </c>
      <c r="E513" s="13">
        <v>31.67</v>
      </c>
      <c r="F513" s="13">
        <f t="shared" si="23"/>
        <v>161.03568045468896</v>
      </c>
    </row>
    <row r="514" spans="1:6" x14ac:dyDescent="0.25">
      <c r="A514" s="10">
        <v>37546</v>
      </c>
      <c r="B514" s="12">
        <f t="shared" si="21"/>
        <v>10</v>
      </c>
      <c r="C514" s="12">
        <f t="shared" si="22"/>
        <v>2002</v>
      </c>
      <c r="D514" s="13">
        <v>5100</v>
      </c>
      <c r="E514" s="13">
        <v>31.7</v>
      </c>
      <c r="F514" s="13">
        <f t="shared" si="23"/>
        <v>160.88328075709779</v>
      </c>
    </row>
    <row r="515" spans="1:6" x14ac:dyDescent="0.25">
      <c r="A515" s="10">
        <v>37547</v>
      </c>
      <c r="B515" s="12">
        <f t="shared" ref="B515:B578" si="24">MONTH(A515)</f>
        <v>10</v>
      </c>
      <c r="C515" s="12">
        <f t="shared" ref="C515:C578" si="25">YEAR(A515)</f>
        <v>2002</v>
      </c>
      <c r="D515" s="13">
        <v>5100</v>
      </c>
      <c r="E515" s="13">
        <v>31.7</v>
      </c>
      <c r="F515" s="13">
        <f t="shared" ref="F515:F578" si="26">IF(D515="","",D515/E515)</f>
        <v>160.88328075709779</v>
      </c>
    </row>
    <row r="516" spans="1:6" x14ac:dyDescent="0.25">
      <c r="A516" s="10">
        <v>37550</v>
      </c>
      <c r="B516" s="12">
        <f t="shared" si="24"/>
        <v>10</v>
      </c>
      <c r="C516" s="12">
        <f t="shared" si="25"/>
        <v>2002</v>
      </c>
      <c r="D516" s="13">
        <v>5250</v>
      </c>
      <c r="E516" s="13">
        <v>31.736999999999998</v>
      </c>
      <c r="F516" s="13">
        <f t="shared" si="26"/>
        <v>165.42206257680311</v>
      </c>
    </row>
    <row r="517" spans="1:6" x14ac:dyDescent="0.25">
      <c r="A517" s="10">
        <v>37551</v>
      </c>
      <c r="B517" s="12">
        <f t="shared" si="24"/>
        <v>10</v>
      </c>
      <c r="C517" s="12">
        <f t="shared" si="25"/>
        <v>2002</v>
      </c>
      <c r="D517" s="13">
        <v>5250</v>
      </c>
      <c r="E517" s="13">
        <v>31.736999999999998</v>
      </c>
      <c r="F517" s="13">
        <f t="shared" si="26"/>
        <v>165.42206257680311</v>
      </c>
    </row>
    <row r="518" spans="1:6" x14ac:dyDescent="0.25">
      <c r="A518" s="10">
        <v>37552</v>
      </c>
      <c r="B518" s="12">
        <f t="shared" si="24"/>
        <v>10</v>
      </c>
      <c r="C518" s="12">
        <f t="shared" si="25"/>
        <v>2002</v>
      </c>
      <c r="D518" s="13">
        <v>5250</v>
      </c>
      <c r="E518" s="13">
        <v>31.736999999999998</v>
      </c>
      <c r="F518" s="13">
        <f t="shared" si="26"/>
        <v>165.42206257680311</v>
      </c>
    </row>
    <row r="519" spans="1:6" x14ac:dyDescent="0.25">
      <c r="A519" s="10">
        <v>37553</v>
      </c>
      <c r="B519" s="12">
        <f t="shared" si="24"/>
        <v>10</v>
      </c>
      <c r="C519" s="12">
        <f t="shared" si="25"/>
        <v>2002</v>
      </c>
      <c r="D519" s="13">
        <v>5250</v>
      </c>
      <c r="E519" s="13">
        <v>31.736999999999998</v>
      </c>
      <c r="F519" s="13">
        <f t="shared" si="26"/>
        <v>165.42206257680311</v>
      </c>
    </row>
    <row r="520" spans="1:6" x14ac:dyDescent="0.25">
      <c r="A520" s="10">
        <v>37554</v>
      </c>
      <c r="B520" s="12">
        <f t="shared" si="24"/>
        <v>10</v>
      </c>
      <c r="C520" s="12">
        <f t="shared" si="25"/>
        <v>2002</v>
      </c>
      <c r="D520" s="13">
        <v>5250</v>
      </c>
      <c r="E520" s="13">
        <v>31.753</v>
      </c>
      <c r="F520" s="13">
        <f t="shared" si="26"/>
        <v>165.3387081535603</v>
      </c>
    </row>
    <row r="521" spans="1:6" x14ac:dyDescent="0.25">
      <c r="A521" s="10">
        <v>37557</v>
      </c>
      <c r="B521" s="12">
        <f t="shared" si="24"/>
        <v>10</v>
      </c>
      <c r="C521" s="12">
        <f t="shared" si="25"/>
        <v>2002</v>
      </c>
      <c r="D521" s="13">
        <v>5250</v>
      </c>
      <c r="E521" s="13">
        <v>31.753</v>
      </c>
      <c r="F521" s="13">
        <f t="shared" si="26"/>
        <v>165.3387081535603</v>
      </c>
    </row>
    <row r="522" spans="1:6" x14ac:dyDescent="0.25">
      <c r="A522" s="10">
        <v>37558</v>
      </c>
      <c r="B522" s="12">
        <f t="shared" si="24"/>
        <v>10</v>
      </c>
      <c r="C522" s="12">
        <f t="shared" si="25"/>
        <v>2002</v>
      </c>
      <c r="D522" s="13">
        <v>5250</v>
      </c>
      <c r="E522" s="13">
        <v>31.753</v>
      </c>
      <c r="F522" s="13">
        <f t="shared" si="26"/>
        <v>165.3387081535603</v>
      </c>
    </row>
    <row r="523" spans="1:6" x14ac:dyDescent="0.25">
      <c r="A523" s="10">
        <v>37559</v>
      </c>
      <c r="B523" s="12">
        <f t="shared" si="24"/>
        <v>10</v>
      </c>
      <c r="C523" s="12">
        <f t="shared" si="25"/>
        <v>2002</v>
      </c>
      <c r="D523" s="13">
        <v>5250</v>
      </c>
      <c r="E523" s="13">
        <v>31.753</v>
      </c>
      <c r="F523" s="13">
        <f t="shared" si="26"/>
        <v>165.3387081535603</v>
      </c>
    </row>
    <row r="524" spans="1:6" x14ac:dyDescent="0.25">
      <c r="A524" s="10">
        <v>37560</v>
      </c>
      <c r="B524" s="12">
        <f t="shared" si="24"/>
        <v>10</v>
      </c>
      <c r="C524" s="12">
        <f t="shared" si="25"/>
        <v>2002</v>
      </c>
      <c r="D524" s="13">
        <v>5250</v>
      </c>
      <c r="E524" s="13">
        <v>31.786999999999999</v>
      </c>
      <c r="F524" s="13">
        <f t="shared" si="26"/>
        <v>165.16185862144903</v>
      </c>
    </row>
    <row r="525" spans="1:6" x14ac:dyDescent="0.25">
      <c r="A525" s="10">
        <v>37561</v>
      </c>
      <c r="B525" s="12">
        <f t="shared" si="24"/>
        <v>11</v>
      </c>
      <c r="C525" s="12">
        <f t="shared" si="25"/>
        <v>2002</v>
      </c>
      <c r="D525" s="13">
        <v>5250</v>
      </c>
      <c r="E525" s="13">
        <v>31.786999999999999</v>
      </c>
      <c r="F525" s="13">
        <f t="shared" si="26"/>
        <v>165.16185862144903</v>
      </c>
    </row>
    <row r="526" spans="1:6" x14ac:dyDescent="0.25">
      <c r="A526" s="10">
        <v>37564</v>
      </c>
      <c r="B526" s="12">
        <f t="shared" si="24"/>
        <v>11</v>
      </c>
      <c r="C526" s="12">
        <f t="shared" si="25"/>
        <v>2002</v>
      </c>
      <c r="D526" s="13">
        <v>5400</v>
      </c>
      <c r="E526" s="13">
        <v>31.81</v>
      </c>
      <c r="F526" s="13">
        <f t="shared" si="26"/>
        <v>169.75793775542283</v>
      </c>
    </row>
    <row r="527" spans="1:6" x14ac:dyDescent="0.25">
      <c r="A527" s="10">
        <v>37565</v>
      </c>
      <c r="B527" s="12">
        <f t="shared" si="24"/>
        <v>11</v>
      </c>
      <c r="C527" s="12">
        <f t="shared" si="25"/>
        <v>2002</v>
      </c>
      <c r="D527" s="13">
        <v>5400</v>
      </c>
      <c r="E527" s="13">
        <v>31.81</v>
      </c>
      <c r="F527" s="13">
        <f t="shared" si="26"/>
        <v>169.75793775542283</v>
      </c>
    </row>
    <row r="528" spans="1:6" x14ac:dyDescent="0.25">
      <c r="A528" s="10">
        <v>37566</v>
      </c>
      <c r="B528" s="12">
        <f t="shared" si="24"/>
        <v>11</v>
      </c>
      <c r="C528" s="12">
        <f t="shared" si="25"/>
        <v>2002</v>
      </c>
      <c r="D528" s="13">
        <v>5400</v>
      </c>
      <c r="E528" s="13">
        <v>31.81</v>
      </c>
      <c r="F528" s="13">
        <f t="shared" si="26"/>
        <v>169.75793775542283</v>
      </c>
    </row>
    <row r="529" spans="1:6" x14ac:dyDescent="0.25">
      <c r="A529" s="10">
        <v>37567</v>
      </c>
      <c r="B529" s="12">
        <f t="shared" si="24"/>
        <v>11</v>
      </c>
      <c r="C529" s="12">
        <f t="shared" si="25"/>
        <v>2002</v>
      </c>
      <c r="D529" s="13">
        <v>5400</v>
      </c>
      <c r="E529" s="13">
        <v>31.81</v>
      </c>
      <c r="F529" s="13">
        <f t="shared" si="26"/>
        <v>169.75793775542283</v>
      </c>
    </row>
    <row r="530" spans="1:6" x14ac:dyDescent="0.25">
      <c r="A530" s="10">
        <v>37568</v>
      </c>
      <c r="B530" s="12">
        <f t="shared" si="24"/>
        <v>11</v>
      </c>
      <c r="C530" s="12">
        <f t="shared" si="25"/>
        <v>2002</v>
      </c>
      <c r="D530" s="13">
        <v>5400</v>
      </c>
      <c r="E530" s="13">
        <v>31.81</v>
      </c>
      <c r="F530" s="13">
        <f t="shared" si="26"/>
        <v>169.75793775542283</v>
      </c>
    </row>
    <row r="531" spans="1:6" x14ac:dyDescent="0.25">
      <c r="A531" s="10">
        <v>37571</v>
      </c>
      <c r="B531" s="12">
        <f t="shared" si="24"/>
        <v>11</v>
      </c>
      <c r="C531" s="12">
        <f t="shared" si="25"/>
        <v>2002</v>
      </c>
      <c r="D531" s="13">
        <v>5600</v>
      </c>
      <c r="E531" s="13">
        <v>31.835000000000001</v>
      </c>
      <c r="F531" s="13">
        <f t="shared" si="26"/>
        <v>175.90702057483901</v>
      </c>
    </row>
    <row r="532" spans="1:6" x14ac:dyDescent="0.25">
      <c r="A532" s="10">
        <v>37572</v>
      </c>
      <c r="B532" s="12">
        <f t="shared" si="24"/>
        <v>11</v>
      </c>
      <c r="C532" s="12">
        <f t="shared" si="25"/>
        <v>2002</v>
      </c>
      <c r="D532" s="13">
        <v>5600</v>
      </c>
      <c r="E532" s="13">
        <v>31.835000000000001</v>
      </c>
      <c r="F532" s="13">
        <f t="shared" si="26"/>
        <v>175.90702057483901</v>
      </c>
    </row>
    <row r="533" spans="1:6" x14ac:dyDescent="0.25">
      <c r="A533" s="10">
        <v>37573</v>
      </c>
      <c r="B533" s="12">
        <f t="shared" si="24"/>
        <v>11</v>
      </c>
      <c r="C533" s="12">
        <f t="shared" si="25"/>
        <v>2002</v>
      </c>
      <c r="D533" s="13">
        <v>5600</v>
      </c>
      <c r="E533" s="13">
        <v>31.835999999999999</v>
      </c>
      <c r="F533" s="13">
        <f t="shared" si="26"/>
        <v>175.9014951627089</v>
      </c>
    </row>
    <row r="534" spans="1:6" x14ac:dyDescent="0.25">
      <c r="A534" s="10">
        <v>37574</v>
      </c>
      <c r="B534" s="12">
        <f t="shared" si="24"/>
        <v>11</v>
      </c>
      <c r="C534" s="12">
        <f t="shared" si="25"/>
        <v>2002</v>
      </c>
      <c r="D534" s="13">
        <v>5600</v>
      </c>
      <c r="E534" s="13">
        <v>31.832000000000001</v>
      </c>
      <c r="F534" s="13">
        <f t="shared" si="26"/>
        <v>175.92359889419453</v>
      </c>
    </row>
    <row r="535" spans="1:6" x14ac:dyDescent="0.25">
      <c r="A535" s="10">
        <v>37575</v>
      </c>
      <c r="B535" s="12">
        <f t="shared" si="24"/>
        <v>11</v>
      </c>
      <c r="C535" s="12">
        <f t="shared" si="25"/>
        <v>2002</v>
      </c>
      <c r="D535" s="13">
        <v>5600</v>
      </c>
      <c r="E535" s="13">
        <v>31.832000000000001</v>
      </c>
      <c r="F535" s="13">
        <f t="shared" si="26"/>
        <v>175.92359889419453</v>
      </c>
    </row>
    <row r="536" spans="1:6" x14ac:dyDescent="0.25">
      <c r="A536" s="10">
        <v>37578</v>
      </c>
      <c r="B536" s="12">
        <f t="shared" si="24"/>
        <v>11</v>
      </c>
      <c r="C536" s="12">
        <f t="shared" si="25"/>
        <v>2002</v>
      </c>
      <c r="D536" s="13">
        <v>6150</v>
      </c>
      <c r="E536" s="13">
        <v>31.832000000000001</v>
      </c>
      <c r="F536" s="13">
        <f t="shared" si="26"/>
        <v>193.20180949987434</v>
      </c>
    </row>
    <row r="537" spans="1:6" x14ac:dyDescent="0.25">
      <c r="A537" s="10">
        <v>37579</v>
      </c>
      <c r="B537" s="12">
        <f t="shared" si="24"/>
        <v>11</v>
      </c>
      <c r="C537" s="12">
        <f t="shared" si="25"/>
        <v>2002</v>
      </c>
      <c r="D537" s="13">
        <v>6150</v>
      </c>
      <c r="E537" s="13">
        <v>31.832000000000001</v>
      </c>
      <c r="F537" s="13">
        <f t="shared" si="26"/>
        <v>193.20180949987434</v>
      </c>
    </row>
    <row r="538" spans="1:6" x14ac:dyDescent="0.25">
      <c r="A538" s="10">
        <v>37580</v>
      </c>
      <c r="B538" s="12">
        <f t="shared" si="24"/>
        <v>11</v>
      </c>
      <c r="C538" s="12">
        <f t="shared" si="25"/>
        <v>2002</v>
      </c>
      <c r="D538" s="13">
        <v>6150</v>
      </c>
      <c r="E538" s="13">
        <v>31.832000000000001</v>
      </c>
      <c r="F538" s="13">
        <f t="shared" si="26"/>
        <v>193.20180949987434</v>
      </c>
    </row>
    <row r="539" spans="1:6" x14ac:dyDescent="0.25">
      <c r="A539" s="10">
        <v>37581</v>
      </c>
      <c r="B539" s="12">
        <f t="shared" si="24"/>
        <v>11</v>
      </c>
      <c r="C539" s="12">
        <f t="shared" si="25"/>
        <v>2002</v>
      </c>
      <c r="D539" s="13">
        <v>6150</v>
      </c>
      <c r="E539" s="13">
        <v>31.832000000000001</v>
      </c>
      <c r="F539" s="13">
        <f t="shared" si="26"/>
        <v>193.20180949987434</v>
      </c>
    </row>
    <row r="540" spans="1:6" x14ac:dyDescent="0.25">
      <c r="A540" s="10">
        <v>37582</v>
      </c>
      <c r="B540" s="12">
        <f t="shared" si="24"/>
        <v>11</v>
      </c>
      <c r="C540" s="12">
        <f t="shared" si="25"/>
        <v>2002</v>
      </c>
      <c r="D540" s="13">
        <v>6150</v>
      </c>
      <c r="E540" s="13">
        <v>31.847000000000001</v>
      </c>
      <c r="F540" s="13">
        <f t="shared" si="26"/>
        <v>193.11081106540647</v>
      </c>
    </row>
    <row r="541" spans="1:6" x14ac:dyDescent="0.25">
      <c r="A541" s="10">
        <v>37585</v>
      </c>
      <c r="B541" s="12">
        <f t="shared" si="24"/>
        <v>11</v>
      </c>
      <c r="C541" s="12">
        <f t="shared" si="25"/>
        <v>2002</v>
      </c>
      <c r="D541" s="13">
        <v>6200</v>
      </c>
      <c r="E541" s="13">
        <v>31.858000000000001</v>
      </c>
      <c r="F541" s="13">
        <f t="shared" si="26"/>
        <v>194.61359784041684</v>
      </c>
    </row>
    <row r="542" spans="1:6" x14ac:dyDescent="0.25">
      <c r="A542" s="10">
        <v>37586</v>
      </c>
      <c r="B542" s="12">
        <f t="shared" si="24"/>
        <v>11</v>
      </c>
      <c r="C542" s="12">
        <f t="shared" si="25"/>
        <v>2002</v>
      </c>
      <c r="D542" s="13">
        <v>6200</v>
      </c>
      <c r="E542" s="13">
        <v>31.853999999999999</v>
      </c>
      <c r="F542" s="13">
        <f t="shared" si="26"/>
        <v>194.63803603942989</v>
      </c>
    </row>
    <row r="543" spans="1:6" x14ac:dyDescent="0.25">
      <c r="A543" s="10">
        <v>37587</v>
      </c>
      <c r="B543" s="12">
        <f t="shared" si="24"/>
        <v>11</v>
      </c>
      <c r="C543" s="12">
        <f t="shared" si="25"/>
        <v>2002</v>
      </c>
      <c r="D543" s="13">
        <v>6200</v>
      </c>
      <c r="E543" s="13">
        <v>31.847000000000001</v>
      </c>
      <c r="F543" s="13">
        <f t="shared" si="26"/>
        <v>194.68081765943415</v>
      </c>
    </row>
    <row r="544" spans="1:6" x14ac:dyDescent="0.25">
      <c r="A544" s="10">
        <v>37589</v>
      </c>
      <c r="B544" s="12">
        <f t="shared" si="24"/>
        <v>11</v>
      </c>
      <c r="C544" s="12">
        <f t="shared" si="25"/>
        <v>2002</v>
      </c>
      <c r="D544" s="13">
        <v>6200</v>
      </c>
      <c r="E544" s="13">
        <v>31.847000000000001</v>
      </c>
      <c r="F544" s="13">
        <f t="shared" si="26"/>
        <v>194.68081765943415</v>
      </c>
    </row>
    <row r="545" spans="1:6" x14ac:dyDescent="0.25">
      <c r="A545" s="10">
        <v>37592</v>
      </c>
      <c r="B545" s="12">
        <f t="shared" si="24"/>
        <v>12</v>
      </c>
      <c r="C545" s="12">
        <f t="shared" si="25"/>
        <v>2002</v>
      </c>
      <c r="D545" s="13">
        <v>6250</v>
      </c>
      <c r="E545" s="13">
        <v>31.847000000000001</v>
      </c>
      <c r="F545" s="13">
        <f t="shared" si="26"/>
        <v>196.25082425346184</v>
      </c>
    </row>
    <row r="546" spans="1:6" x14ac:dyDescent="0.25">
      <c r="A546" s="10">
        <v>37593</v>
      </c>
      <c r="B546" s="12">
        <f t="shared" si="24"/>
        <v>12</v>
      </c>
      <c r="C546" s="12">
        <f t="shared" si="25"/>
        <v>2002</v>
      </c>
      <c r="D546" s="13">
        <v>6250</v>
      </c>
      <c r="E546" s="13">
        <v>31.847000000000001</v>
      </c>
      <c r="F546" s="13">
        <f t="shared" si="26"/>
        <v>196.25082425346184</v>
      </c>
    </row>
    <row r="547" spans="1:6" x14ac:dyDescent="0.25">
      <c r="A547" s="10">
        <v>37594</v>
      </c>
      <c r="B547" s="12">
        <f t="shared" si="24"/>
        <v>12</v>
      </c>
      <c r="C547" s="12">
        <f t="shared" si="25"/>
        <v>2002</v>
      </c>
      <c r="D547" s="13">
        <v>6250</v>
      </c>
      <c r="E547" s="13">
        <v>31.847000000000001</v>
      </c>
      <c r="F547" s="13">
        <f t="shared" si="26"/>
        <v>196.25082425346184</v>
      </c>
    </row>
    <row r="548" spans="1:6" x14ac:dyDescent="0.25">
      <c r="A548" s="10">
        <v>37595</v>
      </c>
      <c r="B548" s="12">
        <f t="shared" si="24"/>
        <v>12</v>
      </c>
      <c r="C548" s="12">
        <f t="shared" si="25"/>
        <v>2002</v>
      </c>
      <c r="D548" s="13">
        <v>6250</v>
      </c>
      <c r="E548" s="13">
        <v>31.847000000000001</v>
      </c>
      <c r="F548" s="13">
        <f t="shared" si="26"/>
        <v>196.25082425346184</v>
      </c>
    </row>
    <row r="549" spans="1:6" x14ac:dyDescent="0.25">
      <c r="A549" s="10">
        <v>37596</v>
      </c>
      <c r="B549" s="12">
        <f t="shared" si="24"/>
        <v>12</v>
      </c>
      <c r="C549" s="12">
        <f t="shared" si="25"/>
        <v>2002</v>
      </c>
      <c r="D549" s="13">
        <v>6250</v>
      </c>
      <c r="E549" s="13">
        <v>31.86</v>
      </c>
      <c r="F549" s="13">
        <f t="shared" si="26"/>
        <v>196.17074701820465</v>
      </c>
    </row>
    <row r="550" spans="1:6" x14ac:dyDescent="0.25">
      <c r="A550" s="10">
        <v>37599</v>
      </c>
      <c r="B550" s="12">
        <f t="shared" si="24"/>
        <v>12</v>
      </c>
      <c r="C550" s="12">
        <f t="shared" si="25"/>
        <v>2002</v>
      </c>
      <c r="D550" s="13">
        <v>6250</v>
      </c>
      <c r="E550" s="13">
        <v>31.859000000000002</v>
      </c>
      <c r="F550" s="13">
        <f t="shared" si="26"/>
        <v>196.17690448538875</v>
      </c>
    </row>
    <row r="551" spans="1:6" x14ac:dyDescent="0.25">
      <c r="A551" s="10">
        <v>37600</v>
      </c>
      <c r="B551" s="12">
        <f t="shared" si="24"/>
        <v>12</v>
      </c>
      <c r="C551" s="12">
        <f t="shared" si="25"/>
        <v>2002</v>
      </c>
      <c r="D551" s="13">
        <v>6250</v>
      </c>
      <c r="E551" s="13">
        <v>31.86</v>
      </c>
      <c r="F551" s="13">
        <f t="shared" si="26"/>
        <v>196.17074701820465</v>
      </c>
    </row>
    <row r="552" spans="1:6" x14ac:dyDescent="0.25">
      <c r="A552" s="10">
        <v>37601</v>
      </c>
      <c r="B552" s="12">
        <f t="shared" si="24"/>
        <v>12</v>
      </c>
      <c r="C552" s="12">
        <f t="shared" si="25"/>
        <v>2002</v>
      </c>
      <c r="D552" s="13">
        <v>6250</v>
      </c>
      <c r="E552" s="13">
        <v>31.86</v>
      </c>
      <c r="F552" s="13">
        <f t="shared" si="26"/>
        <v>196.17074701820465</v>
      </c>
    </row>
    <row r="553" spans="1:6" x14ac:dyDescent="0.25">
      <c r="A553" s="10">
        <v>37602</v>
      </c>
      <c r="B553" s="12">
        <f t="shared" si="24"/>
        <v>12</v>
      </c>
      <c r="C553" s="12">
        <f t="shared" si="25"/>
        <v>2002</v>
      </c>
      <c r="D553" s="13">
        <v>6250</v>
      </c>
      <c r="E553" s="13">
        <v>31.86</v>
      </c>
      <c r="F553" s="13">
        <f t="shared" si="26"/>
        <v>196.17074701820465</v>
      </c>
    </row>
    <row r="554" spans="1:6" x14ac:dyDescent="0.25">
      <c r="A554" s="10">
        <v>37603</v>
      </c>
      <c r="B554" s="12">
        <f t="shared" si="24"/>
        <v>12</v>
      </c>
      <c r="C554" s="12">
        <f t="shared" si="25"/>
        <v>2002</v>
      </c>
      <c r="D554" s="13">
        <v>6250</v>
      </c>
      <c r="E554" s="13">
        <v>31.86</v>
      </c>
      <c r="F554" s="13">
        <f t="shared" si="26"/>
        <v>196.17074701820465</v>
      </c>
    </row>
    <row r="555" spans="1:6" x14ac:dyDescent="0.25">
      <c r="A555" s="10">
        <v>37606</v>
      </c>
      <c r="B555" s="12">
        <f t="shared" si="24"/>
        <v>12</v>
      </c>
      <c r="C555" s="12">
        <f t="shared" si="25"/>
        <v>2002</v>
      </c>
      <c r="D555" s="13">
        <v>6250</v>
      </c>
      <c r="E555" s="13">
        <v>31.849</v>
      </c>
      <c r="F555" s="13">
        <f t="shared" si="26"/>
        <v>196.23850042387517</v>
      </c>
    </row>
    <row r="556" spans="1:6" x14ac:dyDescent="0.25">
      <c r="A556" s="10">
        <v>37607</v>
      </c>
      <c r="B556" s="12">
        <f t="shared" si="24"/>
        <v>12</v>
      </c>
      <c r="C556" s="12">
        <f t="shared" si="25"/>
        <v>2002</v>
      </c>
      <c r="D556" s="13">
        <v>6250</v>
      </c>
      <c r="E556" s="13">
        <v>31.86</v>
      </c>
      <c r="F556" s="13">
        <f t="shared" si="26"/>
        <v>196.17074701820465</v>
      </c>
    </row>
    <row r="557" spans="1:6" x14ac:dyDescent="0.25">
      <c r="A557" s="10">
        <v>37608</v>
      </c>
      <c r="B557" s="12">
        <f t="shared" si="24"/>
        <v>12</v>
      </c>
      <c r="C557" s="12">
        <f t="shared" si="25"/>
        <v>2002</v>
      </c>
      <c r="D557" s="13">
        <v>6250</v>
      </c>
      <c r="E557" s="13">
        <v>31.86</v>
      </c>
      <c r="F557" s="13">
        <f t="shared" si="26"/>
        <v>196.17074701820465</v>
      </c>
    </row>
    <row r="558" spans="1:6" x14ac:dyDescent="0.25">
      <c r="A558" s="10">
        <v>37609</v>
      </c>
      <c r="B558" s="12">
        <f t="shared" si="24"/>
        <v>12</v>
      </c>
      <c r="C558" s="12">
        <f t="shared" si="25"/>
        <v>2002</v>
      </c>
      <c r="D558" s="13">
        <v>6250</v>
      </c>
      <c r="E558" s="13">
        <v>31.847000000000001</v>
      </c>
      <c r="F558" s="13">
        <f t="shared" si="26"/>
        <v>196.25082425346184</v>
      </c>
    </row>
    <row r="559" spans="1:6" x14ac:dyDescent="0.25">
      <c r="A559" s="10">
        <v>37610</v>
      </c>
      <c r="B559" s="12">
        <f t="shared" si="24"/>
        <v>12</v>
      </c>
      <c r="C559" s="12">
        <f t="shared" si="25"/>
        <v>2002</v>
      </c>
      <c r="D559" s="13">
        <v>6250</v>
      </c>
      <c r="E559" s="13">
        <v>31.86</v>
      </c>
      <c r="F559" s="13">
        <f t="shared" si="26"/>
        <v>196.17074701820465</v>
      </c>
    </row>
    <row r="560" spans="1:6" x14ac:dyDescent="0.25">
      <c r="A560" s="10">
        <v>37613</v>
      </c>
      <c r="B560" s="12">
        <f t="shared" si="24"/>
        <v>12</v>
      </c>
      <c r="C560" s="12">
        <f t="shared" si="25"/>
        <v>2002</v>
      </c>
      <c r="D560" s="13">
        <v>6350</v>
      </c>
      <c r="E560" s="13">
        <v>31.785</v>
      </c>
      <c r="F560" s="13">
        <f t="shared" si="26"/>
        <v>199.77977033191758</v>
      </c>
    </row>
    <row r="561" spans="1:6" x14ac:dyDescent="0.25">
      <c r="A561" s="10">
        <v>37616</v>
      </c>
      <c r="B561" s="12">
        <f t="shared" si="24"/>
        <v>12</v>
      </c>
      <c r="C561" s="12">
        <f t="shared" si="25"/>
        <v>2002</v>
      </c>
      <c r="D561" s="13">
        <v>6350</v>
      </c>
      <c r="E561" s="13">
        <v>31.800999999999998</v>
      </c>
      <c r="F561" s="13">
        <f t="shared" si="26"/>
        <v>199.67925536932802</v>
      </c>
    </row>
    <row r="562" spans="1:6" x14ac:dyDescent="0.25">
      <c r="A562" s="10">
        <v>37617</v>
      </c>
      <c r="B562" s="12">
        <f t="shared" si="24"/>
        <v>12</v>
      </c>
      <c r="C562" s="12">
        <f t="shared" si="25"/>
        <v>2002</v>
      </c>
      <c r="D562" s="13">
        <v>6350</v>
      </c>
      <c r="E562" s="13">
        <v>31.82</v>
      </c>
      <c r="F562" s="13">
        <f t="shared" si="26"/>
        <v>199.56002514142048</v>
      </c>
    </row>
    <row r="563" spans="1:6" x14ac:dyDescent="0.25">
      <c r="A563" s="10">
        <v>37620</v>
      </c>
      <c r="B563" s="12">
        <f t="shared" si="24"/>
        <v>12</v>
      </c>
      <c r="C563" s="12">
        <f t="shared" si="25"/>
        <v>2002</v>
      </c>
      <c r="D563" s="13">
        <v>6350</v>
      </c>
      <c r="E563" s="13">
        <v>31.92</v>
      </c>
      <c r="F563" s="13">
        <f t="shared" si="26"/>
        <v>198.93483709273181</v>
      </c>
    </row>
    <row r="564" spans="1:6" x14ac:dyDescent="0.25">
      <c r="A564" s="10">
        <v>37621</v>
      </c>
      <c r="B564" s="12">
        <f t="shared" si="24"/>
        <v>12</v>
      </c>
      <c r="C564" s="12">
        <f t="shared" si="25"/>
        <v>2002</v>
      </c>
      <c r="D564" s="13">
        <v>6350</v>
      </c>
      <c r="E564" s="13">
        <v>31.93</v>
      </c>
      <c r="F564" s="13">
        <f t="shared" si="26"/>
        <v>198.87253366739742</v>
      </c>
    </row>
    <row r="565" spans="1:6" x14ac:dyDescent="0.25">
      <c r="A565" s="10">
        <v>37623</v>
      </c>
      <c r="B565" s="12">
        <f t="shared" si="24"/>
        <v>1</v>
      </c>
      <c r="C565" s="12">
        <f t="shared" si="25"/>
        <v>2003</v>
      </c>
      <c r="D565" s="13">
        <v>6350</v>
      </c>
      <c r="E565" s="13">
        <v>31.93</v>
      </c>
      <c r="F565" s="13">
        <f t="shared" si="26"/>
        <v>198.87253366739742</v>
      </c>
    </row>
    <row r="566" spans="1:6" x14ac:dyDescent="0.25">
      <c r="A566" s="10">
        <v>37624</v>
      </c>
      <c r="B566" s="12">
        <f t="shared" si="24"/>
        <v>1</v>
      </c>
      <c r="C566" s="12">
        <f t="shared" si="25"/>
        <v>2003</v>
      </c>
      <c r="D566" s="13">
        <v>6350</v>
      </c>
      <c r="E566" s="13">
        <v>31.85</v>
      </c>
      <c r="F566" s="13">
        <f t="shared" si="26"/>
        <v>199.37205651491365</v>
      </c>
    </row>
    <row r="567" spans="1:6" x14ac:dyDescent="0.25">
      <c r="A567" s="10">
        <v>37627</v>
      </c>
      <c r="B567" s="12">
        <f t="shared" si="24"/>
        <v>1</v>
      </c>
      <c r="C567" s="12">
        <f t="shared" si="25"/>
        <v>2003</v>
      </c>
      <c r="D567" s="13">
        <v>6400</v>
      </c>
      <c r="E567" s="13">
        <v>31.872</v>
      </c>
      <c r="F567" s="13">
        <f t="shared" si="26"/>
        <v>200.80321285140562</v>
      </c>
    </row>
    <row r="568" spans="1:6" x14ac:dyDescent="0.25">
      <c r="A568" s="10">
        <v>37628</v>
      </c>
      <c r="B568" s="12">
        <f t="shared" si="24"/>
        <v>1</v>
      </c>
      <c r="C568" s="12">
        <f t="shared" si="25"/>
        <v>2003</v>
      </c>
      <c r="D568" s="13">
        <v>6400</v>
      </c>
      <c r="E568" s="13">
        <v>31.872</v>
      </c>
      <c r="F568" s="13">
        <f t="shared" si="26"/>
        <v>200.80321285140562</v>
      </c>
    </row>
    <row r="569" spans="1:6" x14ac:dyDescent="0.25">
      <c r="A569" s="10">
        <v>37629</v>
      </c>
      <c r="B569" s="12">
        <f t="shared" si="24"/>
        <v>1</v>
      </c>
      <c r="C569" s="12">
        <f t="shared" si="25"/>
        <v>2003</v>
      </c>
      <c r="D569" s="13">
        <v>6400</v>
      </c>
      <c r="E569" s="13">
        <v>31.882000000000001</v>
      </c>
      <c r="F569" s="13">
        <f t="shared" si="26"/>
        <v>200.74022959663759</v>
      </c>
    </row>
    <row r="570" spans="1:6" x14ac:dyDescent="0.25">
      <c r="A570" s="10">
        <v>37630</v>
      </c>
      <c r="B570" s="12">
        <f t="shared" si="24"/>
        <v>1</v>
      </c>
      <c r="C570" s="12">
        <f t="shared" si="25"/>
        <v>2003</v>
      </c>
      <c r="D570" s="13">
        <v>6400</v>
      </c>
      <c r="E570" s="13">
        <v>31.882999999999999</v>
      </c>
      <c r="F570" s="13">
        <f t="shared" si="26"/>
        <v>200.73393344415518</v>
      </c>
    </row>
    <row r="571" spans="1:6" x14ac:dyDescent="0.25">
      <c r="A571" s="10">
        <v>37631</v>
      </c>
      <c r="B571" s="12">
        <f t="shared" si="24"/>
        <v>1</v>
      </c>
      <c r="C571" s="12">
        <f t="shared" si="25"/>
        <v>2003</v>
      </c>
      <c r="D571" s="13">
        <v>6400</v>
      </c>
      <c r="E571" s="13">
        <v>31.82</v>
      </c>
      <c r="F571" s="13">
        <f t="shared" si="26"/>
        <v>201.13136392206158</v>
      </c>
    </row>
    <row r="572" spans="1:6" x14ac:dyDescent="0.25">
      <c r="A572" s="10">
        <v>37634</v>
      </c>
      <c r="B572" s="12">
        <f t="shared" si="24"/>
        <v>1</v>
      </c>
      <c r="C572" s="12">
        <f t="shared" si="25"/>
        <v>2003</v>
      </c>
      <c r="D572" s="13">
        <v>6400</v>
      </c>
      <c r="E572" s="13">
        <v>31.82</v>
      </c>
      <c r="F572" s="13">
        <f t="shared" si="26"/>
        <v>201.13136392206158</v>
      </c>
    </row>
    <row r="573" spans="1:6" x14ac:dyDescent="0.25">
      <c r="A573" s="10">
        <v>37635</v>
      </c>
      <c r="B573" s="12">
        <f t="shared" si="24"/>
        <v>1</v>
      </c>
      <c r="C573" s="12">
        <f t="shared" si="25"/>
        <v>2003</v>
      </c>
      <c r="D573" s="13">
        <v>6400</v>
      </c>
      <c r="E573" s="13">
        <v>31.82</v>
      </c>
      <c r="F573" s="13">
        <f t="shared" si="26"/>
        <v>201.13136392206158</v>
      </c>
    </row>
    <row r="574" spans="1:6" x14ac:dyDescent="0.25">
      <c r="A574" s="10">
        <v>37636</v>
      </c>
      <c r="B574" s="12">
        <f t="shared" si="24"/>
        <v>1</v>
      </c>
      <c r="C574" s="12">
        <f t="shared" si="25"/>
        <v>2003</v>
      </c>
      <c r="D574" s="13">
        <v>6400</v>
      </c>
      <c r="E574" s="13">
        <v>31.818000000000001</v>
      </c>
      <c r="F574" s="13">
        <f t="shared" si="26"/>
        <v>201.14400653718022</v>
      </c>
    </row>
    <row r="575" spans="1:6" x14ac:dyDescent="0.25">
      <c r="A575" s="10">
        <v>37637</v>
      </c>
      <c r="B575" s="12">
        <f t="shared" si="24"/>
        <v>1</v>
      </c>
      <c r="C575" s="12">
        <f t="shared" si="25"/>
        <v>2003</v>
      </c>
      <c r="D575" s="13">
        <v>6400</v>
      </c>
      <c r="E575" s="13">
        <v>31.786000000000001</v>
      </c>
      <c r="F575" s="13">
        <f t="shared" si="26"/>
        <v>201.34650475051907</v>
      </c>
    </row>
    <row r="576" spans="1:6" x14ac:dyDescent="0.25">
      <c r="A576" s="10">
        <v>37638</v>
      </c>
      <c r="B576" s="12">
        <f t="shared" si="24"/>
        <v>1</v>
      </c>
      <c r="C576" s="12">
        <f t="shared" si="25"/>
        <v>2003</v>
      </c>
      <c r="D576" s="13">
        <v>6400</v>
      </c>
      <c r="E576" s="13">
        <v>31.815999999999999</v>
      </c>
      <c r="F576" s="13">
        <f t="shared" si="26"/>
        <v>201.15665074176516</v>
      </c>
    </row>
    <row r="577" spans="1:6" x14ac:dyDescent="0.25">
      <c r="A577" s="10">
        <v>37642</v>
      </c>
      <c r="B577" s="12">
        <f t="shared" si="24"/>
        <v>1</v>
      </c>
      <c r="C577" s="12">
        <f t="shared" si="25"/>
        <v>2003</v>
      </c>
      <c r="D577" s="13">
        <v>6550</v>
      </c>
      <c r="E577" s="13">
        <v>31.815000000000001</v>
      </c>
      <c r="F577" s="13">
        <f t="shared" si="26"/>
        <v>205.87773063020586</v>
      </c>
    </row>
    <row r="578" spans="1:6" x14ac:dyDescent="0.25">
      <c r="A578" s="10">
        <v>37643</v>
      </c>
      <c r="B578" s="12">
        <f t="shared" si="24"/>
        <v>1</v>
      </c>
      <c r="C578" s="12">
        <f t="shared" si="25"/>
        <v>2003</v>
      </c>
      <c r="D578" s="13">
        <v>6550</v>
      </c>
      <c r="E578" s="13">
        <v>31.79</v>
      </c>
      <c r="F578" s="13">
        <f t="shared" si="26"/>
        <v>206.03963510537906</v>
      </c>
    </row>
    <row r="579" spans="1:6" x14ac:dyDescent="0.25">
      <c r="A579" s="10">
        <v>37644</v>
      </c>
      <c r="B579" s="12">
        <f t="shared" ref="B579:B642" si="27">MONTH(A579)</f>
        <v>1</v>
      </c>
      <c r="C579" s="12">
        <f t="shared" ref="C579:C642" si="28">YEAR(A579)</f>
        <v>2003</v>
      </c>
      <c r="D579" s="13">
        <v>6550</v>
      </c>
      <c r="E579" s="13">
        <v>31.782</v>
      </c>
      <c r="F579" s="13">
        <f t="shared" ref="F579:F642" si="29">IF(D579="","",D579/E579)</f>
        <v>206.09149833238939</v>
      </c>
    </row>
    <row r="580" spans="1:6" x14ac:dyDescent="0.25">
      <c r="A580" s="10">
        <v>37645</v>
      </c>
      <c r="B580" s="12">
        <f t="shared" si="27"/>
        <v>1</v>
      </c>
      <c r="C580" s="12">
        <f t="shared" si="28"/>
        <v>2003</v>
      </c>
      <c r="D580" s="13">
        <v>6550</v>
      </c>
      <c r="E580" s="13">
        <v>31.8</v>
      </c>
      <c r="F580" s="13">
        <f t="shared" si="29"/>
        <v>205.9748427672956</v>
      </c>
    </row>
    <row r="581" spans="1:6" x14ac:dyDescent="0.25">
      <c r="A581" s="10">
        <v>37648</v>
      </c>
      <c r="B581" s="12">
        <f t="shared" si="27"/>
        <v>1</v>
      </c>
      <c r="C581" s="12">
        <f t="shared" si="28"/>
        <v>2003</v>
      </c>
      <c r="D581" s="13">
        <v>6550</v>
      </c>
      <c r="E581" s="13">
        <v>31.78</v>
      </c>
      <c r="F581" s="13">
        <f t="shared" si="29"/>
        <v>206.10446821900567</v>
      </c>
    </row>
    <row r="582" spans="1:6" x14ac:dyDescent="0.25">
      <c r="A582" s="10">
        <v>37649</v>
      </c>
      <c r="B582" s="12">
        <f t="shared" si="27"/>
        <v>1</v>
      </c>
      <c r="C582" s="12">
        <f t="shared" si="28"/>
        <v>2003</v>
      </c>
      <c r="D582" s="13">
        <v>6550</v>
      </c>
      <c r="E582" s="13">
        <v>31.777000000000001</v>
      </c>
      <c r="F582" s="13">
        <f t="shared" si="29"/>
        <v>206.12392611007962</v>
      </c>
    </row>
    <row r="583" spans="1:6" x14ac:dyDescent="0.25">
      <c r="A583" s="10">
        <v>37650</v>
      </c>
      <c r="B583" s="12">
        <f t="shared" si="27"/>
        <v>1</v>
      </c>
      <c r="C583" s="12">
        <f t="shared" si="28"/>
        <v>2003</v>
      </c>
      <c r="D583" s="13">
        <v>6550</v>
      </c>
      <c r="E583" s="13">
        <v>31.815000000000001</v>
      </c>
      <c r="F583" s="13">
        <f t="shared" si="29"/>
        <v>205.87773063020586</v>
      </c>
    </row>
    <row r="584" spans="1:6" x14ac:dyDescent="0.25">
      <c r="A584" s="10">
        <v>37651</v>
      </c>
      <c r="B584" s="12">
        <f t="shared" si="27"/>
        <v>1</v>
      </c>
      <c r="C584" s="12">
        <f t="shared" si="28"/>
        <v>2003</v>
      </c>
      <c r="D584" s="13">
        <v>6550</v>
      </c>
      <c r="E584" s="13">
        <v>31.81</v>
      </c>
      <c r="F584" s="13">
        <f t="shared" si="29"/>
        <v>205.91009116629991</v>
      </c>
    </row>
    <row r="585" spans="1:6" x14ac:dyDescent="0.25">
      <c r="A585" s="10">
        <v>37652</v>
      </c>
      <c r="B585" s="12">
        <f t="shared" si="27"/>
        <v>1</v>
      </c>
      <c r="C585" s="12">
        <f t="shared" si="28"/>
        <v>2003</v>
      </c>
      <c r="D585" s="13">
        <v>6550</v>
      </c>
      <c r="E585" s="13">
        <v>31.821999999999999</v>
      </c>
      <c r="F585" s="13">
        <f t="shared" si="29"/>
        <v>205.83244296398718</v>
      </c>
    </row>
    <row r="586" spans="1:6" x14ac:dyDescent="0.25">
      <c r="A586" s="10">
        <v>37655</v>
      </c>
      <c r="B586" s="12">
        <f t="shared" si="27"/>
        <v>2</v>
      </c>
      <c r="C586" s="12">
        <f t="shared" si="28"/>
        <v>2003</v>
      </c>
      <c r="D586" s="13">
        <v>6600</v>
      </c>
      <c r="E586" s="13">
        <v>31.832999999999998</v>
      </c>
      <c r="F586" s="13">
        <f t="shared" si="29"/>
        <v>207.33201394779005</v>
      </c>
    </row>
    <row r="587" spans="1:6" x14ac:dyDescent="0.25">
      <c r="A587" s="10">
        <v>37656</v>
      </c>
      <c r="B587" s="12">
        <f t="shared" si="27"/>
        <v>2</v>
      </c>
      <c r="C587" s="12">
        <f t="shared" si="28"/>
        <v>2003</v>
      </c>
      <c r="D587" s="13">
        <v>6600</v>
      </c>
      <c r="E587" s="13">
        <v>31.815999999999999</v>
      </c>
      <c r="F587" s="13">
        <f t="shared" si="29"/>
        <v>207.44279607744531</v>
      </c>
    </row>
    <row r="588" spans="1:6" x14ac:dyDescent="0.25">
      <c r="A588" s="10">
        <v>37657</v>
      </c>
      <c r="B588" s="12">
        <f t="shared" si="27"/>
        <v>2</v>
      </c>
      <c r="C588" s="12">
        <f t="shared" si="28"/>
        <v>2003</v>
      </c>
      <c r="D588" s="13">
        <v>6600</v>
      </c>
      <c r="E588" s="13">
        <v>31.806999999999999</v>
      </c>
      <c r="F588" s="13">
        <f t="shared" si="29"/>
        <v>207.50149338195996</v>
      </c>
    </row>
    <row r="589" spans="1:6" x14ac:dyDescent="0.25">
      <c r="A589" s="10">
        <v>37658</v>
      </c>
      <c r="B589" s="12">
        <f t="shared" si="27"/>
        <v>2</v>
      </c>
      <c r="C589" s="12">
        <f t="shared" si="28"/>
        <v>2003</v>
      </c>
      <c r="D589" s="13">
        <v>6600</v>
      </c>
      <c r="E589" s="13">
        <v>31.81</v>
      </c>
      <c r="F589" s="13">
        <f t="shared" si="29"/>
        <v>207.48192392329457</v>
      </c>
    </row>
    <row r="590" spans="1:6" x14ac:dyDescent="0.25">
      <c r="A590" s="10">
        <v>37659</v>
      </c>
      <c r="B590" s="12">
        <f t="shared" si="27"/>
        <v>2</v>
      </c>
      <c r="C590" s="12">
        <f t="shared" si="28"/>
        <v>2003</v>
      </c>
      <c r="D590" s="13">
        <v>6600</v>
      </c>
      <c r="E590" s="13">
        <v>31.815999999999999</v>
      </c>
      <c r="F590" s="13">
        <f t="shared" si="29"/>
        <v>207.44279607744531</v>
      </c>
    </row>
    <row r="591" spans="1:6" x14ac:dyDescent="0.25">
      <c r="A591" s="10">
        <v>37662</v>
      </c>
      <c r="B591" s="12">
        <f t="shared" si="27"/>
        <v>2</v>
      </c>
      <c r="C591" s="12">
        <f t="shared" si="28"/>
        <v>2003</v>
      </c>
      <c r="D591" s="13">
        <v>6600</v>
      </c>
      <c r="E591" s="13">
        <v>31.786999999999999</v>
      </c>
      <c r="F591" s="13">
        <f t="shared" si="29"/>
        <v>207.63205083839307</v>
      </c>
    </row>
    <row r="592" spans="1:6" x14ac:dyDescent="0.25">
      <c r="A592" s="10">
        <v>37663</v>
      </c>
      <c r="B592" s="12">
        <f t="shared" si="27"/>
        <v>2</v>
      </c>
      <c r="C592" s="12">
        <f t="shared" si="28"/>
        <v>2003</v>
      </c>
      <c r="D592" s="13">
        <v>6600</v>
      </c>
      <c r="E592" s="13">
        <v>31.73</v>
      </c>
      <c r="F592" s="13">
        <f t="shared" si="29"/>
        <v>208.00504254648598</v>
      </c>
    </row>
    <row r="593" spans="1:6" x14ac:dyDescent="0.25">
      <c r="A593" s="10">
        <v>37664</v>
      </c>
      <c r="B593" s="12">
        <f t="shared" si="27"/>
        <v>2</v>
      </c>
      <c r="C593" s="12">
        <f t="shared" si="28"/>
        <v>2003</v>
      </c>
      <c r="D593" s="13">
        <v>6600</v>
      </c>
      <c r="E593" s="13">
        <v>31.614999999999998</v>
      </c>
      <c r="F593" s="13">
        <f t="shared" si="29"/>
        <v>208.76166376719914</v>
      </c>
    </row>
    <row r="594" spans="1:6" x14ac:dyDescent="0.25">
      <c r="A594" s="10">
        <v>37665</v>
      </c>
      <c r="B594" s="12">
        <f t="shared" si="27"/>
        <v>2</v>
      </c>
      <c r="C594" s="12">
        <f t="shared" si="28"/>
        <v>2003</v>
      </c>
      <c r="D594" s="13">
        <v>6600</v>
      </c>
      <c r="E594" s="13">
        <v>31.622</v>
      </c>
      <c r="F594" s="13">
        <f t="shared" si="29"/>
        <v>208.71545126810449</v>
      </c>
    </row>
    <row r="595" spans="1:6" x14ac:dyDescent="0.25">
      <c r="A595" s="10">
        <v>37666</v>
      </c>
      <c r="B595" s="12">
        <f t="shared" si="27"/>
        <v>2</v>
      </c>
      <c r="C595" s="12">
        <f t="shared" si="28"/>
        <v>2003</v>
      </c>
      <c r="D595" s="13">
        <v>6600</v>
      </c>
      <c r="E595" s="13">
        <v>31.611999999999998</v>
      </c>
      <c r="F595" s="13">
        <f t="shared" si="29"/>
        <v>208.78147538909275</v>
      </c>
    </row>
    <row r="596" spans="1:6" x14ac:dyDescent="0.25">
      <c r="A596" s="10">
        <v>37670</v>
      </c>
      <c r="B596" s="12">
        <f t="shared" si="27"/>
        <v>2</v>
      </c>
      <c r="C596" s="12">
        <f t="shared" si="28"/>
        <v>2003</v>
      </c>
      <c r="D596" s="13">
        <v>6750</v>
      </c>
      <c r="E596" s="13">
        <v>31.547999999999998</v>
      </c>
      <c r="F596" s="13">
        <f t="shared" si="29"/>
        <v>213.95968048687715</v>
      </c>
    </row>
    <row r="597" spans="1:6" x14ac:dyDescent="0.25">
      <c r="A597" s="10">
        <v>37671</v>
      </c>
      <c r="B597" s="12">
        <f t="shared" si="27"/>
        <v>2</v>
      </c>
      <c r="C597" s="12">
        <f t="shared" si="28"/>
        <v>2003</v>
      </c>
      <c r="D597" s="13">
        <v>6750</v>
      </c>
      <c r="E597" s="13">
        <v>31.548999999999999</v>
      </c>
      <c r="F597" s="13">
        <f t="shared" si="29"/>
        <v>213.95289866556786</v>
      </c>
    </row>
    <row r="598" spans="1:6" x14ac:dyDescent="0.25">
      <c r="A598" s="10">
        <v>37672</v>
      </c>
      <c r="B598" s="12">
        <f t="shared" si="27"/>
        <v>2</v>
      </c>
      <c r="C598" s="12">
        <f t="shared" si="28"/>
        <v>2003</v>
      </c>
      <c r="D598" s="13">
        <v>6750</v>
      </c>
      <c r="E598" s="13">
        <v>31.512</v>
      </c>
      <c r="F598" s="13">
        <f t="shared" si="29"/>
        <v>214.20411271896421</v>
      </c>
    </row>
    <row r="599" spans="1:6" x14ac:dyDescent="0.25">
      <c r="A599" s="10">
        <v>37673</v>
      </c>
      <c r="B599" s="12">
        <f t="shared" si="27"/>
        <v>2</v>
      </c>
      <c r="C599" s="12">
        <f t="shared" si="28"/>
        <v>2003</v>
      </c>
      <c r="D599" s="13">
        <v>6750</v>
      </c>
      <c r="E599" s="13">
        <v>31.526</v>
      </c>
      <c r="F599" s="13">
        <f t="shared" si="29"/>
        <v>214.10898940557001</v>
      </c>
    </row>
    <row r="600" spans="1:6" x14ac:dyDescent="0.25">
      <c r="A600" s="10">
        <v>37676</v>
      </c>
      <c r="B600" s="12">
        <f t="shared" si="27"/>
        <v>2</v>
      </c>
      <c r="C600" s="12">
        <f t="shared" si="28"/>
        <v>2003</v>
      </c>
      <c r="D600" s="13">
        <v>6750</v>
      </c>
      <c r="E600" s="13">
        <v>31.526</v>
      </c>
      <c r="F600" s="13">
        <f t="shared" si="29"/>
        <v>214.10898940557001</v>
      </c>
    </row>
    <row r="601" spans="1:6" x14ac:dyDescent="0.25">
      <c r="A601" s="10">
        <v>37677</v>
      </c>
      <c r="B601" s="12">
        <f t="shared" si="27"/>
        <v>2</v>
      </c>
      <c r="C601" s="12">
        <f t="shared" si="28"/>
        <v>2003</v>
      </c>
      <c r="D601" s="13">
        <v>6750</v>
      </c>
      <c r="E601" s="13">
        <v>31.625</v>
      </c>
      <c r="F601" s="13">
        <f t="shared" si="29"/>
        <v>213.43873517786562</v>
      </c>
    </row>
    <row r="602" spans="1:6" x14ac:dyDescent="0.25">
      <c r="A602" s="10">
        <v>37678</v>
      </c>
      <c r="B602" s="12">
        <f t="shared" si="27"/>
        <v>2</v>
      </c>
      <c r="C602" s="12">
        <f t="shared" si="28"/>
        <v>2003</v>
      </c>
      <c r="D602" s="13">
        <v>6750</v>
      </c>
      <c r="E602" s="13">
        <v>31.559000000000001</v>
      </c>
      <c r="F602" s="13">
        <f t="shared" si="29"/>
        <v>213.88510409075064</v>
      </c>
    </row>
    <row r="603" spans="1:6" x14ac:dyDescent="0.25">
      <c r="A603" s="10">
        <v>37679</v>
      </c>
      <c r="B603" s="12">
        <f t="shared" si="27"/>
        <v>2</v>
      </c>
      <c r="C603" s="12">
        <f t="shared" si="28"/>
        <v>2003</v>
      </c>
      <c r="D603" s="13">
        <v>6750</v>
      </c>
      <c r="E603" s="13">
        <v>31.547000000000001</v>
      </c>
      <c r="F603" s="13">
        <f t="shared" si="29"/>
        <v>213.96646273813676</v>
      </c>
    </row>
    <row r="604" spans="1:6" x14ac:dyDescent="0.25">
      <c r="A604" s="10">
        <v>37680</v>
      </c>
      <c r="B604" s="12">
        <f t="shared" si="27"/>
        <v>2</v>
      </c>
      <c r="C604" s="12">
        <f t="shared" si="28"/>
        <v>2003</v>
      </c>
      <c r="D604" s="13">
        <v>6750</v>
      </c>
      <c r="E604" s="13">
        <v>31.556999999999999</v>
      </c>
      <c r="F604" s="13">
        <f t="shared" si="29"/>
        <v>213.89865956840003</v>
      </c>
    </row>
    <row r="605" spans="1:6" x14ac:dyDescent="0.25">
      <c r="A605" s="10">
        <v>37683</v>
      </c>
      <c r="B605" s="12">
        <f t="shared" si="27"/>
        <v>3</v>
      </c>
      <c r="C605" s="12">
        <f t="shared" si="28"/>
        <v>2003</v>
      </c>
      <c r="D605" s="13">
        <v>6800</v>
      </c>
      <c r="E605" s="13">
        <v>31.59</v>
      </c>
      <c r="F605" s="13">
        <f t="shared" si="29"/>
        <v>215.25799303577082</v>
      </c>
    </row>
    <row r="606" spans="1:6" x14ac:dyDescent="0.25">
      <c r="A606" s="10">
        <v>37684</v>
      </c>
      <c r="B606" s="12">
        <f t="shared" si="27"/>
        <v>3</v>
      </c>
      <c r="C606" s="12">
        <f t="shared" si="28"/>
        <v>2003</v>
      </c>
      <c r="D606" s="13">
        <v>6800</v>
      </c>
      <c r="E606" s="13">
        <v>31.58</v>
      </c>
      <c r="F606" s="13">
        <f t="shared" si="29"/>
        <v>215.32615579480685</v>
      </c>
    </row>
    <row r="607" spans="1:6" x14ac:dyDescent="0.25">
      <c r="A607" s="10">
        <v>37685</v>
      </c>
      <c r="B607" s="12">
        <f t="shared" si="27"/>
        <v>3</v>
      </c>
      <c r="C607" s="12">
        <f t="shared" si="28"/>
        <v>2003</v>
      </c>
      <c r="D607" s="13">
        <v>6800</v>
      </c>
      <c r="E607" s="13">
        <v>31.565000000000001</v>
      </c>
      <c r="F607" s="13">
        <f t="shared" si="29"/>
        <v>215.42848091240296</v>
      </c>
    </row>
    <row r="608" spans="1:6" x14ac:dyDescent="0.25">
      <c r="A608" s="10">
        <v>37686</v>
      </c>
      <c r="B608" s="12">
        <f t="shared" si="27"/>
        <v>3</v>
      </c>
      <c r="C608" s="12">
        <f t="shared" si="28"/>
        <v>2003</v>
      </c>
      <c r="D608" s="13">
        <v>6800</v>
      </c>
      <c r="E608" s="13">
        <v>31.567</v>
      </c>
      <c r="F608" s="13">
        <f t="shared" si="29"/>
        <v>215.41483194475242</v>
      </c>
    </row>
    <row r="609" spans="1:6" x14ac:dyDescent="0.25">
      <c r="A609" s="10">
        <v>37687</v>
      </c>
      <c r="B609" s="12">
        <f t="shared" si="27"/>
        <v>3</v>
      </c>
      <c r="C609" s="12">
        <f t="shared" si="28"/>
        <v>2003</v>
      </c>
      <c r="D609" s="13">
        <v>6800</v>
      </c>
      <c r="E609" s="13">
        <v>31.535</v>
      </c>
      <c r="F609" s="13">
        <f t="shared" si="29"/>
        <v>215.63342318059298</v>
      </c>
    </row>
    <row r="610" spans="1:6" x14ac:dyDescent="0.25">
      <c r="A610" s="10">
        <v>37690</v>
      </c>
      <c r="B610" s="12">
        <f t="shared" si="27"/>
        <v>3</v>
      </c>
      <c r="C610" s="12">
        <f t="shared" si="28"/>
        <v>2003</v>
      </c>
      <c r="D610" s="13">
        <v>6800</v>
      </c>
      <c r="E610" s="13">
        <v>31.535</v>
      </c>
      <c r="F610" s="13">
        <f t="shared" si="29"/>
        <v>215.63342318059298</v>
      </c>
    </row>
    <row r="611" spans="1:6" x14ac:dyDescent="0.25">
      <c r="A611" s="10">
        <v>37691</v>
      </c>
      <c r="B611" s="12">
        <f t="shared" si="27"/>
        <v>3</v>
      </c>
      <c r="C611" s="12">
        <f t="shared" si="28"/>
        <v>2003</v>
      </c>
      <c r="D611" s="13">
        <v>6800</v>
      </c>
      <c r="E611" s="13">
        <v>31.465</v>
      </c>
      <c r="F611" s="13">
        <f t="shared" si="29"/>
        <v>216.11314158588908</v>
      </c>
    </row>
    <row r="612" spans="1:6" x14ac:dyDescent="0.25">
      <c r="A612" s="10">
        <v>37692</v>
      </c>
      <c r="B612" s="12">
        <f t="shared" si="27"/>
        <v>3</v>
      </c>
      <c r="C612" s="12">
        <f t="shared" si="28"/>
        <v>2003</v>
      </c>
      <c r="D612" s="13">
        <v>6800</v>
      </c>
      <c r="E612" s="13">
        <v>31.376999999999999</v>
      </c>
      <c r="F612" s="13">
        <f t="shared" si="29"/>
        <v>216.71925295598689</v>
      </c>
    </row>
    <row r="613" spans="1:6" x14ac:dyDescent="0.25">
      <c r="A613" s="10">
        <v>37693</v>
      </c>
      <c r="B613" s="12">
        <f t="shared" si="27"/>
        <v>3</v>
      </c>
      <c r="C613" s="12">
        <f t="shared" si="28"/>
        <v>2003</v>
      </c>
      <c r="D613" s="13">
        <v>6800</v>
      </c>
      <c r="E613" s="13">
        <v>31.361999999999998</v>
      </c>
      <c r="F613" s="13">
        <f t="shared" si="29"/>
        <v>216.82290670237867</v>
      </c>
    </row>
    <row r="614" spans="1:6" x14ac:dyDescent="0.25">
      <c r="A614" s="10">
        <v>37694</v>
      </c>
      <c r="B614" s="12">
        <f t="shared" si="27"/>
        <v>3</v>
      </c>
      <c r="C614" s="12">
        <f t="shared" si="28"/>
        <v>2003</v>
      </c>
      <c r="D614" s="13">
        <v>6800</v>
      </c>
      <c r="E614" s="13">
        <v>31.372</v>
      </c>
      <c r="F614" s="13">
        <f t="shared" si="29"/>
        <v>216.75379319138085</v>
      </c>
    </row>
    <row r="615" spans="1:6" x14ac:dyDescent="0.25">
      <c r="A615" s="10">
        <v>37697</v>
      </c>
      <c r="B615" s="12">
        <f t="shared" si="27"/>
        <v>3</v>
      </c>
      <c r="C615" s="12">
        <f t="shared" si="28"/>
        <v>2003</v>
      </c>
      <c r="D615" s="13">
        <v>6850</v>
      </c>
      <c r="E615" s="13">
        <v>31.367000000000001</v>
      </c>
      <c r="F615" s="13">
        <f t="shared" si="29"/>
        <v>218.38237638282271</v>
      </c>
    </row>
    <row r="616" spans="1:6" x14ac:dyDescent="0.25">
      <c r="A616" s="10">
        <v>37698</v>
      </c>
      <c r="B616" s="12">
        <f t="shared" si="27"/>
        <v>3</v>
      </c>
      <c r="C616" s="12">
        <f t="shared" si="28"/>
        <v>2003</v>
      </c>
      <c r="D616" s="13">
        <v>6850</v>
      </c>
      <c r="E616" s="13">
        <v>31.396999999999998</v>
      </c>
      <c r="F616" s="13">
        <f t="shared" si="29"/>
        <v>218.17371086409531</v>
      </c>
    </row>
    <row r="617" spans="1:6" x14ac:dyDescent="0.25">
      <c r="A617" s="10">
        <v>37699</v>
      </c>
      <c r="B617" s="12">
        <f t="shared" si="27"/>
        <v>3</v>
      </c>
      <c r="C617" s="12">
        <f t="shared" si="28"/>
        <v>2003</v>
      </c>
      <c r="D617" s="13">
        <v>6850</v>
      </c>
      <c r="E617" s="13">
        <v>31.367000000000001</v>
      </c>
      <c r="F617" s="13">
        <f t="shared" si="29"/>
        <v>218.38237638282271</v>
      </c>
    </row>
    <row r="618" spans="1:6" x14ac:dyDescent="0.25">
      <c r="A618" s="10">
        <v>37700</v>
      </c>
      <c r="B618" s="12">
        <f t="shared" si="27"/>
        <v>3</v>
      </c>
      <c r="C618" s="12">
        <f t="shared" si="28"/>
        <v>2003</v>
      </c>
      <c r="D618" s="13">
        <v>6850</v>
      </c>
      <c r="E618" s="13">
        <v>31.369</v>
      </c>
      <c r="F618" s="13">
        <f t="shared" si="29"/>
        <v>218.36845293123784</v>
      </c>
    </row>
    <row r="619" spans="1:6" x14ac:dyDescent="0.25">
      <c r="A619" s="10">
        <v>37701</v>
      </c>
      <c r="B619" s="12">
        <f t="shared" si="27"/>
        <v>3</v>
      </c>
      <c r="C619" s="12">
        <f t="shared" si="28"/>
        <v>2003</v>
      </c>
      <c r="D619" s="13">
        <v>6850</v>
      </c>
      <c r="E619" s="13">
        <v>31.37</v>
      </c>
      <c r="F619" s="13">
        <f t="shared" si="29"/>
        <v>218.36149187121453</v>
      </c>
    </row>
    <row r="620" spans="1:6" x14ac:dyDescent="0.25">
      <c r="A620" s="10">
        <v>37704</v>
      </c>
      <c r="B620" s="12">
        <f t="shared" si="27"/>
        <v>3</v>
      </c>
      <c r="C620" s="12">
        <f t="shared" si="28"/>
        <v>2003</v>
      </c>
      <c r="D620" s="13">
        <v>6850</v>
      </c>
      <c r="E620" s="13">
        <v>31.359000000000002</v>
      </c>
      <c r="F620" s="13">
        <f t="shared" si="29"/>
        <v>218.43808794923305</v>
      </c>
    </row>
    <row r="621" spans="1:6" x14ac:dyDescent="0.25">
      <c r="A621" s="10">
        <v>37705</v>
      </c>
      <c r="B621" s="12">
        <f t="shared" si="27"/>
        <v>3</v>
      </c>
      <c r="C621" s="12">
        <f t="shared" si="28"/>
        <v>2003</v>
      </c>
      <c r="D621" s="13">
        <v>6850</v>
      </c>
      <c r="E621" s="13">
        <v>31.36</v>
      </c>
      <c r="F621" s="13">
        <f t="shared" si="29"/>
        <v>218.43112244897961</v>
      </c>
    </row>
    <row r="622" spans="1:6" x14ac:dyDescent="0.25">
      <c r="A622" s="10">
        <v>37706</v>
      </c>
      <c r="B622" s="12">
        <f t="shared" si="27"/>
        <v>3</v>
      </c>
      <c r="C622" s="12">
        <f t="shared" si="28"/>
        <v>2003</v>
      </c>
      <c r="D622" s="13">
        <v>6850</v>
      </c>
      <c r="E622" s="13">
        <v>31.36</v>
      </c>
      <c r="F622" s="13">
        <f t="shared" si="29"/>
        <v>218.43112244897961</v>
      </c>
    </row>
    <row r="623" spans="1:6" x14ac:dyDescent="0.25">
      <c r="A623" s="10">
        <v>37707</v>
      </c>
      <c r="B623" s="12">
        <f t="shared" si="27"/>
        <v>3</v>
      </c>
      <c r="C623" s="12">
        <f t="shared" si="28"/>
        <v>2003</v>
      </c>
      <c r="D623" s="13">
        <v>6850</v>
      </c>
      <c r="E623" s="13">
        <v>31.382999999999999</v>
      </c>
      <c r="F623" s="13">
        <f t="shared" si="29"/>
        <v>218.27103846031292</v>
      </c>
    </row>
    <row r="624" spans="1:6" x14ac:dyDescent="0.25">
      <c r="A624" s="10">
        <v>37708</v>
      </c>
      <c r="B624" s="12">
        <f t="shared" si="27"/>
        <v>3</v>
      </c>
      <c r="C624" s="12">
        <f t="shared" si="28"/>
        <v>2003</v>
      </c>
      <c r="D624" s="13">
        <v>6850</v>
      </c>
      <c r="E624" s="13">
        <v>31.356999999999999</v>
      </c>
      <c r="F624" s="13">
        <f t="shared" si="29"/>
        <v>218.45202028255255</v>
      </c>
    </row>
    <row r="625" spans="1:6" x14ac:dyDescent="0.25">
      <c r="A625" s="10">
        <v>37711</v>
      </c>
      <c r="B625" s="12">
        <f t="shared" si="27"/>
        <v>3</v>
      </c>
      <c r="C625" s="12">
        <f t="shared" si="28"/>
        <v>2003</v>
      </c>
      <c r="D625" s="13">
        <v>6900</v>
      </c>
      <c r="E625" s="13">
        <v>31.36</v>
      </c>
      <c r="F625" s="13">
        <f t="shared" si="29"/>
        <v>220.02551020408163</v>
      </c>
    </row>
    <row r="626" spans="1:6" x14ac:dyDescent="0.25">
      <c r="A626" s="10">
        <v>37712</v>
      </c>
      <c r="B626" s="12">
        <f t="shared" si="27"/>
        <v>4</v>
      </c>
      <c r="C626" s="12">
        <f t="shared" si="28"/>
        <v>2003</v>
      </c>
      <c r="D626" s="13">
        <v>6900</v>
      </c>
      <c r="E626" s="13">
        <v>31.263999999999999</v>
      </c>
      <c r="F626" s="13">
        <f t="shared" si="29"/>
        <v>220.70112589559878</v>
      </c>
    </row>
    <row r="627" spans="1:6" x14ac:dyDescent="0.25">
      <c r="A627" s="10">
        <v>37713</v>
      </c>
      <c r="B627" s="12">
        <f t="shared" si="27"/>
        <v>4</v>
      </c>
      <c r="C627" s="12">
        <f t="shared" si="28"/>
        <v>2003</v>
      </c>
      <c r="D627" s="13">
        <v>6900</v>
      </c>
      <c r="E627" s="13">
        <v>31.266999999999999</v>
      </c>
      <c r="F627" s="13">
        <f t="shared" si="29"/>
        <v>220.67995010714171</v>
      </c>
    </row>
    <row r="628" spans="1:6" x14ac:dyDescent="0.25">
      <c r="A628" s="10">
        <v>37714</v>
      </c>
      <c r="B628" s="12">
        <f t="shared" si="27"/>
        <v>4</v>
      </c>
      <c r="C628" s="12">
        <f t="shared" si="28"/>
        <v>2003</v>
      </c>
      <c r="D628" s="13">
        <v>6900</v>
      </c>
      <c r="E628" s="13">
        <v>31.282</v>
      </c>
      <c r="F628" s="13">
        <f t="shared" si="29"/>
        <v>220.57413208874112</v>
      </c>
    </row>
    <row r="629" spans="1:6" x14ac:dyDescent="0.25">
      <c r="A629" s="10">
        <v>37715</v>
      </c>
      <c r="B629" s="12">
        <f t="shared" si="27"/>
        <v>4</v>
      </c>
      <c r="C629" s="12">
        <f t="shared" si="28"/>
        <v>2003</v>
      </c>
      <c r="D629" s="13">
        <v>6900</v>
      </c>
      <c r="E629" s="13">
        <v>31.257000000000001</v>
      </c>
      <c r="F629" s="13">
        <f t="shared" si="29"/>
        <v>220.75055187637969</v>
      </c>
    </row>
    <row r="630" spans="1:6" x14ac:dyDescent="0.25">
      <c r="A630" s="10">
        <v>37718</v>
      </c>
      <c r="B630" s="12">
        <f t="shared" si="27"/>
        <v>4</v>
      </c>
      <c r="C630" s="12">
        <f t="shared" si="28"/>
        <v>2003</v>
      </c>
      <c r="D630" s="13">
        <v>6900</v>
      </c>
      <c r="E630" s="13">
        <v>31.256</v>
      </c>
      <c r="F630" s="13">
        <f t="shared" si="29"/>
        <v>220.75761453800871</v>
      </c>
    </row>
    <row r="631" spans="1:6" x14ac:dyDescent="0.25">
      <c r="A631" s="10">
        <v>37719</v>
      </c>
      <c r="B631" s="12">
        <f t="shared" si="27"/>
        <v>4</v>
      </c>
      <c r="C631" s="12">
        <f t="shared" si="28"/>
        <v>2003</v>
      </c>
      <c r="D631" s="13">
        <v>6900</v>
      </c>
      <c r="E631" s="13">
        <v>31.257000000000001</v>
      </c>
      <c r="F631" s="13">
        <f t="shared" si="29"/>
        <v>220.75055187637969</v>
      </c>
    </row>
    <row r="632" spans="1:6" x14ac:dyDescent="0.25">
      <c r="A632" s="10">
        <v>37720</v>
      </c>
      <c r="B632" s="12">
        <f t="shared" si="27"/>
        <v>4</v>
      </c>
      <c r="C632" s="12">
        <f t="shared" si="28"/>
        <v>2003</v>
      </c>
      <c r="D632" s="13">
        <v>6900</v>
      </c>
      <c r="E632" s="13">
        <v>31.273</v>
      </c>
      <c r="F632" s="13">
        <f t="shared" si="29"/>
        <v>220.63761071851118</v>
      </c>
    </row>
    <row r="633" spans="1:6" x14ac:dyDescent="0.25">
      <c r="A633" s="10">
        <v>37721</v>
      </c>
      <c r="B633" s="12">
        <f t="shared" si="27"/>
        <v>4</v>
      </c>
      <c r="C633" s="12">
        <f t="shared" si="28"/>
        <v>2003</v>
      </c>
      <c r="D633" s="13">
        <v>6900</v>
      </c>
      <c r="E633" s="13">
        <v>31.263000000000002</v>
      </c>
      <c r="F633" s="13">
        <f t="shared" si="29"/>
        <v>220.70818539487573</v>
      </c>
    </row>
    <row r="634" spans="1:6" x14ac:dyDescent="0.25">
      <c r="A634" s="10">
        <v>37722</v>
      </c>
      <c r="B634" s="12">
        <f t="shared" si="27"/>
        <v>4</v>
      </c>
      <c r="C634" s="12">
        <f t="shared" si="28"/>
        <v>2003</v>
      </c>
      <c r="D634" s="13">
        <v>6900</v>
      </c>
      <c r="E634" s="13">
        <v>31.271999999999998</v>
      </c>
      <c r="F634" s="13">
        <f t="shared" si="29"/>
        <v>220.64466615502687</v>
      </c>
    </row>
    <row r="635" spans="1:6" x14ac:dyDescent="0.25">
      <c r="A635" s="10">
        <v>37725</v>
      </c>
      <c r="B635" s="12">
        <f t="shared" si="27"/>
        <v>4</v>
      </c>
      <c r="C635" s="12">
        <f t="shared" si="28"/>
        <v>2003</v>
      </c>
      <c r="D635" s="13">
        <v>6900</v>
      </c>
      <c r="E635" s="13">
        <v>31.2</v>
      </c>
      <c r="F635" s="13">
        <f t="shared" si="29"/>
        <v>221.15384615384616</v>
      </c>
    </row>
    <row r="636" spans="1:6" x14ac:dyDescent="0.25">
      <c r="A636" s="10">
        <v>37726</v>
      </c>
      <c r="B636" s="12">
        <f t="shared" si="27"/>
        <v>4</v>
      </c>
      <c r="C636" s="12">
        <f t="shared" si="28"/>
        <v>2003</v>
      </c>
      <c r="D636" s="13">
        <v>6900</v>
      </c>
      <c r="E636" s="13">
        <v>31.186699999999998</v>
      </c>
      <c r="F636" s="13">
        <f t="shared" si="29"/>
        <v>221.24816027344991</v>
      </c>
    </row>
    <row r="637" spans="1:6" x14ac:dyDescent="0.25">
      <c r="A637" s="10">
        <v>37727</v>
      </c>
      <c r="B637" s="12">
        <f t="shared" si="27"/>
        <v>4</v>
      </c>
      <c r="C637" s="12">
        <f t="shared" si="28"/>
        <v>2003</v>
      </c>
      <c r="D637" s="13">
        <v>6900</v>
      </c>
      <c r="E637" s="13">
        <v>31.184999999999999</v>
      </c>
      <c r="F637" s="13">
        <f t="shared" si="29"/>
        <v>221.26022126022127</v>
      </c>
    </row>
    <row r="638" spans="1:6" x14ac:dyDescent="0.25">
      <c r="A638" s="10">
        <v>37728</v>
      </c>
      <c r="B638" s="12">
        <f t="shared" si="27"/>
        <v>4</v>
      </c>
      <c r="C638" s="12">
        <f t="shared" si="28"/>
        <v>2003</v>
      </c>
      <c r="D638" s="13">
        <v>6900</v>
      </c>
      <c r="E638" s="13">
        <v>31.192</v>
      </c>
      <c r="F638" s="13">
        <f t="shared" si="29"/>
        <v>221.21056681200307</v>
      </c>
    </row>
    <row r="639" spans="1:6" x14ac:dyDescent="0.25">
      <c r="A639" s="10">
        <v>37732</v>
      </c>
      <c r="B639" s="12">
        <f t="shared" si="27"/>
        <v>4</v>
      </c>
      <c r="C639" s="12">
        <f t="shared" si="28"/>
        <v>2003</v>
      </c>
      <c r="D639" s="13">
        <v>6950</v>
      </c>
      <c r="E639" s="13">
        <v>31.096</v>
      </c>
      <c r="F639" s="13">
        <f t="shared" si="29"/>
        <v>223.50141497298688</v>
      </c>
    </row>
    <row r="640" spans="1:6" x14ac:dyDescent="0.25">
      <c r="A640" s="10">
        <v>37733</v>
      </c>
      <c r="B640" s="12">
        <f t="shared" si="27"/>
        <v>4</v>
      </c>
      <c r="C640" s="12">
        <f t="shared" si="28"/>
        <v>2003</v>
      </c>
      <c r="D640" s="13">
        <v>6950</v>
      </c>
      <c r="E640" s="13">
        <v>31.099</v>
      </c>
      <c r="F640" s="13">
        <f t="shared" si="29"/>
        <v>223.47985465770603</v>
      </c>
    </row>
    <row r="641" spans="1:6" x14ac:dyDescent="0.25">
      <c r="A641" s="10">
        <v>37734</v>
      </c>
      <c r="B641" s="12">
        <f t="shared" si="27"/>
        <v>4</v>
      </c>
      <c r="C641" s="12">
        <f t="shared" si="28"/>
        <v>2003</v>
      </c>
      <c r="D641" s="13">
        <v>6950</v>
      </c>
      <c r="E641" s="13">
        <v>31.0975</v>
      </c>
      <c r="F641" s="13">
        <f t="shared" si="29"/>
        <v>223.49063429536136</v>
      </c>
    </row>
    <row r="642" spans="1:6" x14ac:dyDescent="0.25">
      <c r="A642" s="10">
        <v>37735</v>
      </c>
      <c r="B642" s="12">
        <f t="shared" si="27"/>
        <v>4</v>
      </c>
      <c r="C642" s="12">
        <f t="shared" si="28"/>
        <v>2003</v>
      </c>
      <c r="D642" s="13">
        <v>6950</v>
      </c>
      <c r="E642" s="13">
        <v>31.094000000000001</v>
      </c>
      <c r="F642" s="13">
        <f t="shared" si="29"/>
        <v>223.51579082781242</v>
      </c>
    </row>
    <row r="643" spans="1:6" x14ac:dyDescent="0.25">
      <c r="A643" s="10">
        <v>37736</v>
      </c>
      <c r="B643" s="12">
        <f t="shared" ref="B643:B706" si="30">MONTH(A643)</f>
        <v>4</v>
      </c>
      <c r="C643" s="12">
        <f t="shared" ref="C643:C706" si="31">YEAR(A643)</f>
        <v>2003</v>
      </c>
      <c r="D643" s="13">
        <v>6950</v>
      </c>
      <c r="E643" s="13">
        <v>31.103999999999999</v>
      </c>
      <c r="F643" s="13">
        <f t="shared" ref="F643:F706" si="32">IF(D643="","",D643/E643)</f>
        <v>223.44393004115227</v>
      </c>
    </row>
    <row r="644" spans="1:6" x14ac:dyDescent="0.25">
      <c r="A644" s="10">
        <v>37739</v>
      </c>
      <c r="B644" s="12">
        <f t="shared" si="30"/>
        <v>4</v>
      </c>
      <c r="C644" s="12">
        <f t="shared" si="31"/>
        <v>2003</v>
      </c>
      <c r="D644" s="13">
        <v>6950</v>
      </c>
      <c r="E644" s="13">
        <v>31.093499999999999</v>
      </c>
      <c r="F644" s="13">
        <f t="shared" si="32"/>
        <v>223.51938508048306</v>
      </c>
    </row>
    <row r="645" spans="1:6" x14ac:dyDescent="0.25">
      <c r="A645" s="10">
        <v>37740</v>
      </c>
      <c r="B645" s="12">
        <f t="shared" si="30"/>
        <v>4</v>
      </c>
      <c r="C645" s="12">
        <f t="shared" si="31"/>
        <v>2003</v>
      </c>
      <c r="D645" s="13">
        <v>6950</v>
      </c>
      <c r="E645" s="13">
        <v>31.099499999999999</v>
      </c>
      <c r="F645" s="13">
        <f t="shared" si="32"/>
        <v>223.47626167623275</v>
      </c>
    </row>
    <row r="646" spans="1:6" x14ac:dyDescent="0.25">
      <c r="A646" s="10">
        <v>37741</v>
      </c>
      <c r="B646" s="12">
        <f t="shared" si="30"/>
        <v>4</v>
      </c>
      <c r="C646" s="12">
        <f t="shared" si="31"/>
        <v>2003</v>
      </c>
      <c r="D646" s="13">
        <v>6950</v>
      </c>
      <c r="E646" s="13">
        <v>31.106999999999999</v>
      </c>
      <c r="F646" s="13">
        <f t="shared" si="32"/>
        <v>223.42238081460766</v>
      </c>
    </row>
    <row r="647" spans="1:6" x14ac:dyDescent="0.25">
      <c r="A647" s="10">
        <v>37742</v>
      </c>
      <c r="B647" s="12">
        <f t="shared" si="30"/>
        <v>5</v>
      </c>
      <c r="C647" s="12">
        <f t="shared" si="31"/>
        <v>2003</v>
      </c>
      <c r="D647" s="13">
        <v>6950</v>
      </c>
      <c r="E647" s="13">
        <v>31.106999999999999</v>
      </c>
      <c r="F647" s="13">
        <f t="shared" si="32"/>
        <v>223.42238081460766</v>
      </c>
    </row>
    <row r="648" spans="1:6" x14ac:dyDescent="0.25">
      <c r="A648" s="10">
        <v>37743</v>
      </c>
      <c r="B648" s="12">
        <f t="shared" si="30"/>
        <v>5</v>
      </c>
      <c r="C648" s="12">
        <f t="shared" si="31"/>
        <v>2003</v>
      </c>
      <c r="D648" s="13">
        <v>6950</v>
      </c>
      <c r="E648" s="13">
        <v>31.106999999999999</v>
      </c>
      <c r="F648" s="13">
        <f t="shared" si="32"/>
        <v>223.42238081460766</v>
      </c>
    </row>
    <row r="649" spans="1:6" x14ac:dyDescent="0.25">
      <c r="A649" s="10">
        <v>37746</v>
      </c>
      <c r="B649" s="12">
        <f t="shared" si="30"/>
        <v>5</v>
      </c>
      <c r="C649" s="12">
        <f t="shared" si="31"/>
        <v>2003</v>
      </c>
      <c r="D649" s="13">
        <v>6950</v>
      </c>
      <c r="E649" s="13">
        <v>31.1065</v>
      </c>
      <c r="F649" s="13">
        <f t="shared" si="32"/>
        <v>223.42597206371659</v>
      </c>
    </row>
    <row r="650" spans="1:6" x14ac:dyDescent="0.25">
      <c r="A650" s="10">
        <v>37747</v>
      </c>
      <c r="B650" s="12">
        <f t="shared" si="30"/>
        <v>5</v>
      </c>
      <c r="C650" s="12">
        <f t="shared" si="31"/>
        <v>2003</v>
      </c>
      <c r="D650" s="13">
        <v>6950</v>
      </c>
      <c r="E650" s="13">
        <v>31.109000000000002</v>
      </c>
      <c r="F650" s="13">
        <f t="shared" si="32"/>
        <v>223.40801697258027</v>
      </c>
    </row>
    <row r="651" spans="1:6" x14ac:dyDescent="0.25">
      <c r="A651" s="10">
        <v>37748</v>
      </c>
      <c r="B651" s="12">
        <f t="shared" si="30"/>
        <v>5</v>
      </c>
      <c r="C651" s="12">
        <f t="shared" si="31"/>
        <v>2003</v>
      </c>
      <c r="D651" s="13">
        <v>6950</v>
      </c>
      <c r="E651" s="13">
        <v>31.094000000000001</v>
      </c>
      <c r="F651" s="13">
        <f t="shared" si="32"/>
        <v>223.51579082781242</v>
      </c>
    </row>
    <row r="652" spans="1:6" x14ac:dyDescent="0.25">
      <c r="A652" s="10">
        <v>37749</v>
      </c>
      <c r="B652" s="12">
        <f t="shared" si="30"/>
        <v>5</v>
      </c>
      <c r="C652" s="12">
        <f t="shared" si="31"/>
        <v>2003</v>
      </c>
      <c r="D652" s="13">
        <v>6950</v>
      </c>
      <c r="E652" s="13">
        <v>31.091000000000001</v>
      </c>
      <c r="F652" s="13">
        <f t="shared" si="32"/>
        <v>223.53735807790034</v>
      </c>
    </row>
    <row r="653" spans="1:6" x14ac:dyDescent="0.25">
      <c r="A653" s="10">
        <v>37750</v>
      </c>
      <c r="B653" s="12">
        <f t="shared" si="30"/>
        <v>5</v>
      </c>
      <c r="C653" s="12">
        <f t="shared" si="31"/>
        <v>2003</v>
      </c>
      <c r="D653" s="13">
        <v>6950</v>
      </c>
      <c r="E653" s="13">
        <v>31.091000000000001</v>
      </c>
      <c r="F653" s="13">
        <f t="shared" si="32"/>
        <v>223.53735807790034</v>
      </c>
    </row>
    <row r="654" spans="1:6" x14ac:dyDescent="0.25">
      <c r="A654" s="10">
        <v>37753</v>
      </c>
      <c r="B654" s="12">
        <f t="shared" si="30"/>
        <v>5</v>
      </c>
      <c r="C654" s="12">
        <f t="shared" si="31"/>
        <v>2003</v>
      </c>
      <c r="D654" s="13">
        <v>7000</v>
      </c>
      <c r="E654" s="13">
        <v>30.976800000000001</v>
      </c>
      <c r="F654" s="13">
        <f t="shared" si="32"/>
        <v>225.97556881278891</v>
      </c>
    </row>
    <row r="655" spans="1:6" x14ac:dyDescent="0.25">
      <c r="A655" s="10">
        <v>37754</v>
      </c>
      <c r="B655" s="12">
        <f t="shared" si="30"/>
        <v>5</v>
      </c>
      <c r="C655" s="12">
        <f t="shared" si="31"/>
        <v>2003</v>
      </c>
      <c r="D655" s="13">
        <v>7000</v>
      </c>
      <c r="E655" s="13">
        <v>30.974</v>
      </c>
      <c r="F655" s="13">
        <f t="shared" si="32"/>
        <v>225.9959966423452</v>
      </c>
    </row>
    <row r="656" spans="1:6" x14ac:dyDescent="0.25">
      <c r="A656" s="10">
        <v>37755</v>
      </c>
      <c r="B656" s="12">
        <f t="shared" si="30"/>
        <v>5</v>
      </c>
      <c r="C656" s="12">
        <f t="shared" si="31"/>
        <v>2003</v>
      </c>
      <c r="D656" s="13">
        <v>7000</v>
      </c>
      <c r="E656" s="13">
        <v>30.974</v>
      </c>
      <c r="F656" s="13">
        <f t="shared" si="32"/>
        <v>225.9959966423452</v>
      </c>
    </row>
    <row r="657" spans="1:6" x14ac:dyDescent="0.25">
      <c r="A657" s="10">
        <v>37756</v>
      </c>
      <c r="B657" s="12">
        <f t="shared" si="30"/>
        <v>5</v>
      </c>
      <c r="C657" s="12">
        <f t="shared" si="31"/>
        <v>2003</v>
      </c>
      <c r="D657" s="13">
        <v>7000</v>
      </c>
      <c r="E657" s="13">
        <v>30.972999999999999</v>
      </c>
      <c r="F657" s="13">
        <f t="shared" si="32"/>
        <v>226.00329319084364</v>
      </c>
    </row>
    <row r="658" spans="1:6" x14ac:dyDescent="0.25">
      <c r="A658" s="10">
        <v>37757</v>
      </c>
      <c r="B658" s="12">
        <f t="shared" si="30"/>
        <v>5</v>
      </c>
      <c r="C658" s="12">
        <f t="shared" si="31"/>
        <v>2003</v>
      </c>
      <c r="D658" s="13">
        <v>7000</v>
      </c>
      <c r="E658" s="13">
        <v>30.881699999999999</v>
      </c>
      <c r="F658" s="13">
        <f t="shared" si="32"/>
        <v>226.67145914894581</v>
      </c>
    </row>
    <row r="659" spans="1:6" x14ac:dyDescent="0.25">
      <c r="A659" s="10">
        <v>37760</v>
      </c>
      <c r="B659" s="12">
        <f t="shared" si="30"/>
        <v>5</v>
      </c>
      <c r="C659" s="12">
        <f t="shared" si="31"/>
        <v>2003</v>
      </c>
      <c r="D659" s="13">
        <v>7050</v>
      </c>
      <c r="E659" s="13">
        <v>30.881799999999998</v>
      </c>
      <c r="F659" s="13">
        <f t="shared" si="32"/>
        <v>228.2898017602601</v>
      </c>
    </row>
    <row r="660" spans="1:6" x14ac:dyDescent="0.25">
      <c r="A660" s="10">
        <v>37761</v>
      </c>
      <c r="B660" s="12">
        <f t="shared" si="30"/>
        <v>5</v>
      </c>
      <c r="C660" s="12">
        <f t="shared" si="31"/>
        <v>2003</v>
      </c>
      <c r="D660" s="13">
        <v>7050</v>
      </c>
      <c r="E660" s="13">
        <v>30.8826</v>
      </c>
      <c r="F660" s="13">
        <f t="shared" si="32"/>
        <v>228.28388801461017</v>
      </c>
    </row>
    <row r="661" spans="1:6" x14ac:dyDescent="0.25">
      <c r="A661" s="10">
        <v>37762</v>
      </c>
      <c r="B661" s="12">
        <f t="shared" si="30"/>
        <v>5</v>
      </c>
      <c r="C661" s="12">
        <f t="shared" si="31"/>
        <v>2003</v>
      </c>
      <c r="D661" s="13">
        <v>7050</v>
      </c>
      <c r="E661" s="13">
        <v>30.877500000000001</v>
      </c>
      <c r="F661" s="13">
        <f t="shared" si="32"/>
        <v>228.3215933932475</v>
      </c>
    </row>
    <row r="662" spans="1:6" x14ac:dyDescent="0.25">
      <c r="A662" s="10">
        <v>37763</v>
      </c>
      <c r="B662" s="12">
        <f t="shared" si="30"/>
        <v>5</v>
      </c>
      <c r="C662" s="12">
        <f t="shared" si="31"/>
        <v>2003</v>
      </c>
      <c r="D662" s="13">
        <v>7050</v>
      </c>
      <c r="E662" s="13">
        <v>30.776</v>
      </c>
      <c r="F662" s="13">
        <f t="shared" si="32"/>
        <v>229.07460358721082</v>
      </c>
    </row>
    <row r="663" spans="1:6" x14ac:dyDescent="0.25">
      <c r="A663" s="10">
        <v>37764</v>
      </c>
      <c r="B663" s="12">
        <f t="shared" si="30"/>
        <v>5</v>
      </c>
      <c r="C663" s="12">
        <f t="shared" si="31"/>
        <v>2003</v>
      </c>
      <c r="D663" s="13">
        <v>7050</v>
      </c>
      <c r="E663" s="13">
        <v>30.710999999999999</v>
      </c>
      <c r="F663" s="13">
        <f t="shared" si="32"/>
        <v>229.55944124255154</v>
      </c>
    </row>
    <row r="664" spans="1:6" x14ac:dyDescent="0.25">
      <c r="A664" s="10">
        <v>37768</v>
      </c>
      <c r="B664" s="12">
        <f t="shared" si="30"/>
        <v>5</v>
      </c>
      <c r="C664" s="12">
        <f t="shared" si="31"/>
        <v>2003</v>
      </c>
      <c r="D664" s="13">
        <v>7250</v>
      </c>
      <c r="E664" s="13">
        <v>30.706</v>
      </c>
      <c r="F664" s="13">
        <f t="shared" si="32"/>
        <v>236.1102064743047</v>
      </c>
    </row>
    <row r="665" spans="1:6" x14ac:dyDescent="0.25">
      <c r="A665" s="10">
        <v>37769</v>
      </c>
      <c r="B665" s="12">
        <f t="shared" si="30"/>
        <v>5</v>
      </c>
      <c r="C665" s="12">
        <f t="shared" si="31"/>
        <v>2003</v>
      </c>
      <c r="D665" s="13">
        <v>7250</v>
      </c>
      <c r="E665" s="13">
        <v>30.617999999999999</v>
      </c>
      <c r="F665" s="13">
        <f t="shared" si="32"/>
        <v>236.78881703573063</v>
      </c>
    </row>
    <row r="666" spans="1:6" x14ac:dyDescent="0.25">
      <c r="A666" s="10">
        <v>37770</v>
      </c>
      <c r="B666" s="12">
        <f t="shared" si="30"/>
        <v>5</v>
      </c>
      <c r="C666" s="12">
        <f t="shared" si="31"/>
        <v>2003</v>
      </c>
      <c r="D666" s="13">
        <v>7250</v>
      </c>
      <c r="E666" s="13">
        <v>30.717500000000001</v>
      </c>
      <c r="F666" s="13">
        <f t="shared" si="32"/>
        <v>236.02181167087164</v>
      </c>
    </row>
    <row r="667" spans="1:6" x14ac:dyDescent="0.25">
      <c r="A667" s="10">
        <v>37771</v>
      </c>
      <c r="B667" s="12">
        <f t="shared" si="30"/>
        <v>5</v>
      </c>
      <c r="C667" s="12">
        <f t="shared" si="31"/>
        <v>2003</v>
      </c>
      <c r="D667" s="13">
        <v>7250</v>
      </c>
      <c r="E667" s="13">
        <v>30.682700000000001</v>
      </c>
      <c r="F667" s="13">
        <f t="shared" si="32"/>
        <v>236.28950516088869</v>
      </c>
    </row>
    <row r="668" spans="1:6" x14ac:dyDescent="0.25">
      <c r="A668" s="10">
        <v>37774</v>
      </c>
      <c r="B668" s="12">
        <f t="shared" si="30"/>
        <v>6</v>
      </c>
      <c r="C668" s="12">
        <f t="shared" si="31"/>
        <v>2003</v>
      </c>
      <c r="D668" s="13">
        <v>7250</v>
      </c>
      <c r="E668" s="13">
        <v>30.660499999999999</v>
      </c>
      <c r="F668" s="13">
        <f t="shared" si="32"/>
        <v>236.46059261916798</v>
      </c>
    </row>
    <row r="669" spans="1:6" x14ac:dyDescent="0.25">
      <c r="A669" s="10">
        <v>37775</v>
      </c>
      <c r="B669" s="12">
        <f t="shared" si="30"/>
        <v>6</v>
      </c>
      <c r="C669" s="12">
        <f t="shared" si="31"/>
        <v>2003</v>
      </c>
      <c r="D669" s="13">
        <v>7250</v>
      </c>
      <c r="E669" s="13">
        <v>30.745000000000001</v>
      </c>
      <c r="F669" s="13">
        <f t="shared" si="32"/>
        <v>235.81070092697999</v>
      </c>
    </row>
    <row r="670" spans="1:6" x14ac:dyDescent="0.25">
      <c r="A670" s="10">
        <v>37776</v>
      </c>
      <c r="B670" s="12">
        <f t="shared" si="30"/>
        <v>6</v>
      </c>
      <c r="C670" s="12">
        <f t="shared" si="31"/>
        <v>2003</v>
      </c>
      <c r="D670" s="13">
        <v>7250</v>
      </c>
      <c r="E670" s="13">
        <v>30.702200000000001</v>
      </c>
      <c r="F670" s="13">
        <f t="shared" si="32"/>
        <v>236.13942974770538</v>
      </c>
    </row>
    <row r="671" spans="1:6" x14ac:dyDescent="0.25">
      <c r="A671" s="10">
        <v>37777</v>
      </c>
      <c r="B671" s="12">
        <f t="shared" si="30"/>
        <v>6</v>
      </c>
      <c r="C671" s="12">
        <f t="shared" si="31"/>
        <v>2003</v>
      </c>
      <c r="D671" s="13">
        <v>7250</v>
      </c>
      <c r="E671" s="13">
        <v>30.603999999999999</v>
      </c>
      <c r="F671" s="13">
        <f t="shared" si="32"/>
        <v>236.89713762906811</v>
      </c>
    </row>
    <row r="672" spans="1:6" x14ac:dyDescent="0.25">
      <c r="A672" s="10">
        <v>37778</v>
      </c>
      <c r="B672" s="12">
        <f t="shared" si="30"/>
        <v>6</v>
      </c>
      <c r="C672" s="12">
        <f t="shared" si="31"/>
        <v>2003</v>
      </c>
      <c r="D672" s="13">
        <v>7250</v>
      </c>
      <c r="E672" s="13">
        <v>30.553000000000001</v>
      </c>
      <c r="F672" s="13">
        <f t="shared" si="32"/>
        <v>237.2925735606978</v>
      </c>
    </row>
    <row r="673" spans="1:6" x14ac:dyDescent="0.25">
      <c r="A673" s="10">
        <v>37781</v>
      </c>
      <c r="B673" s="12">
        <f t="shared" si="30"/>
        <v>6</v>
      </c>
      <c r="C673" s="12">
        <f t="shared" si="31"/>
        <v>2003</v>
      </c>
      <c r="D673" s="13">
        <v>7250</v>
      </c>
      <c r="E673" s="13">
        <v>30.5425</v>
      </c>
      <c r="F673" s="13">
        <f t="shared" si="32"/>
        <v>237.37415077351233</v>
      </c>
    </row>
    <row r="674" spans="1:6" x14ac:dyDescent="0.25">
      <c r="A674" s="10">
        <v>37782</v>
      </c>
      <c r="B674" s="12">
        <f t="shared" si="30"/>
        <v>6</v>
      </c>
      <c r="C674" s="12">
        <f t="shared" si="31"/>
        <v>2003</v>
      </c>
      <c r="D674" s="13">
        <v>7250</v>
      </c>
      <c r="E674" s="13">
        <v>30.600999999999999</v>
      </c>
      <c r="F674" s="13">
        <f t="shared" si="32"/>
        <v>236.92036207967061</v>
      </c>
    </row>
    <row r="675" spans="1:6" x14ac:dyDescent="0.25">
      <c r="A675" s="10">
        <v>37783</v>
      </c>
      <c r="B675" s="12">
        <f t="shared" si="30"/>
        <v>6</v>
      </c>
      <c r="C675" s="12">
        <f t="shared" si="31"/>
        <v>2003</v>
      </c>
      <c r="D675" s="13">
        <v>7250</v>
      </c>
      <c r="E675" s="13">
        <v>30.5</v>
      </c>
      <c r="F675" s="13">
        <f t="shared" si="32"/>
        <v>237.70491803278688</v>
      </c>
    </row>
    <row r="676" spans="1:6" x14ac:dyDescent="0.25">
      <c r="A676" s="10">
        <v>37784</v>
      </c>
      <c r="B676" s="12">
        <f t="shared" si="30"/>
        <v>6</v>
      </c>
      <c r="C676" s="12">
        <f t="shared" si="31"/>
        <v>2003</v>
      </c>
      <c r="D676" s="13">
        <v>7250</v>
      </c>
      <c r="E676" s="13">
        <v>30.500599999999999</v>
      </c>
      <c r="F676" s="13">
        <f t="shared" si="32"/>
        <v>237.70024196245322</v>
      </c>
    </row>
    <row r="677" spans="1:6" x14ac:dyDescent="0.25">
      <c r="A677" s="10">
        <v>37785</v>
      </c>
      <c r="B677" s="12">
        <f t="shared" si="30"/>
        <v>6</v>
      </c>
      <c r="C677" s="12">
        <f t="shared" si="31"/>
        <v>2003</v>
      </c>
      <c r="D677" s="13">
        <v>7250</v>
      </c>
      <c r="E677" s="13">
        <v>30.500699999999998</v>
      </c>
      <c r="F677" s="13">
        <f t="shared" si="32"/>
        <v>237.69946263528379</v>
      </c>
    </row>
    <row r="678" spans="1:6" x14ac:dyDescent="0.25">
      <c r="A678" s="10">
        <v>37788</v>
      </c>
      <c r="B678" s="12">
        <f t="shared" si="30"/>
        <v>6</v>
      </c>
      <c r="C678" s="12">
        <f t="shared" si="31"/>
        <v>2003</v>
      </c>
      <c r="D678" s="13">
        <v>7600</v>
      </c>
      <c r="E678" s="13">
        <v>30.408100000000001</v>
      </c>
      <c r="F678" s="13">
        <f t="shared" si="32"/>
        <v>249.93340590171698</v>
      </c>
    </row>
    <row r="679" spans="1:6" x14ac:dyDescent="0.25">
      <c r="A679" s="10">
        <v>37789</v>
      </c>
      <c r="B679" s="12">
        <f t="shared" si="30"/>
        <v>6</v>
      </c>
      <c r="C679" s="12">
        <f t="shared" si="31"/>
        <v>2003</v>
      </c>
      <c r="D679" s="13">
        <v>7600</v>
      </c>
      <c r="E679" s="13">
        <v>30.373999999999999</v>
      </c>
      <c r="F679" s="13">
        <f t="shared" si="32"/>
        <v>250.21399881477581</v>
      </c>
    </row>
    <row r="680" spans="1:6" x14ac:dyDescent="0.25">
      <c r="A680" s="10">
        <v>37790</v>
      </c>
      <c r="B680" s="12">
        <f t="shared" si="30"/>
        <v>6</v>
      </c>
      <c r="C680" s="12">
        <f t="shared" si="31"/>
        <v>2003</v>
      </c>
      <c r="D680" s="13">
        <v>7600</v>
      </c>
      <c r="E680" s="13">
        <v>30.378900000000002</v>
      </c>
      <c r="F680" s="13">
        <f t="shared" si="32"/>
        <v>250.1736402568888</v>
      </c>
    </row>
    <row r="681" spans="1:6" x14ac:dyDescent="0.25">
      <c r="A681" s="10">
        <v>37791</v>
      </c>
      <c r="B681" s="12">
        <f t="shared" si="30"/>
        <v>6</v>
      </c>
      <c r="C681" s="12">
        <f t="shared" si="31"/>
        <v>2003</v>
      </c>
      <c r="D681" s="13">
        <v>7600</v>
      </c>
      <c r="E681" s="13">
        <v>30.370999999999999</v>
      </c>
      <c r="F681" s="13">
        <f t="shared" si="32"/>
        <v>250.23871456323468</v>
      </c>
    </row>
    <row r="682" spans="1:6" x14ac:dyDescent="0.25">
      <c r="A682" s="10">
        <v>37792</v>
      </c>
      <c r="B682" s="12">
        <f t="shared" si="30"/>
        <v>6</v>
      </c>
      <c r="C682" s="12">
        <f t="shared" si="31"/>
        <v>2003</v>
      </c>
      <c r="D682" s="13">
        <v>7600</v>
      </c>
      <c r="E682" s="13">
        <v>30.31</v>
      </c>
      <c r="F682" s="13">
        <f t="shared" si="32"/>
        <v>250.74232926426922</v>
      </c>
    </row>
    <row r="683" spans="1:6" x14ac:dyDescent="0.25">
      <c r="A683" s="10">
        <v>37795</v>
      </c>
      <c r="B683" s="12">
        <f t="shared" si="30"/>
        <v>6</v>
      </c>
      <c r="C683" s="12">
        <f t="shared" si="31"/>
        <v>2003</v>
      </c>
      <c r="D683" s="13">
        <v>7600</v>
      </c>
      <c r="E683" s="13">
        <v>30.38</v>
      </c>
      <c r="F683" s="13">
        <f t="shared" si="32"/>
        <v>250.16458196181699</v>
      </c>
    </row>
    <row r="684" spans="1:6" x14ac:dyDescent="0.25">
      <c r="A684" s="10">
        <v>37796</v>
      </c>
      <c r="B684" s="12">
        <f t="shared" si="30"/>
        <v>6</v>
      </c>
      <c r="C684" s="12">
        <f t="shared" si="31"/>
        <v>2003</v>
      </c>
      <c r="D684" s="13">
        <v>7600</v>
      </c>
      <c r="E684" s="13">
        <v>30.31</v>
      </c>
      <c r="F684" s="13">
        <f t="shared" si="32"/>
        <v>250.74232926426922</v>
      </c>
    </row>
    <row r="685" spans="1:6" x14ac:dyDescent="0.25">
      <c r="A685" s="10">
        <v>37797</v>
      </c>
      <c r="B685" s="12">
        <f t="shared" si="30"/>
        <v>6</v>
      </c>
      <c r="C685" s="12">
        <f t="shared" si="31"/>
        <v>2003</v>
      </c>
      <c r="D685" s="13">
        <v>7600</v>
      </c>
      <c r="E685" s="13">
        <v>30.327000000000002</v>
      </c>
      <c r="F685" s="13">
        <f t="shared" si="32"/>
        <v>250.60177399676854</v>
      </c>
    </row>
    <row r="686" spans="1:6" x14ac:dyDescent="0.25">
      <c r="A686" s="10">
        <v>37798</v>
      </c>
      <c r="B686" s="12">
        <f t="shared" si="30"/>
        <v>6</v>
      </c>
      <c r="C686" s="12">
        <f t="shared" si="31"/>
        <v>2003</v>
      </c>
      <c r="D686" s="13">
        <v>7600</v>
      </c>
      <c r="E686" s="13">
        <v>30.321999999999999</v>
      </c>
      <c r="F686" s="13">
        <f t="shared" si="32"/>
        <v>250.64309742101446</v>
      </c>
    </row>
    <row r="687" spans="1:6" x14ac:dyDescent="0.25">
      <c r="A687" s="10">
        <v>37799</v>
      </c>
      <c r="B687" s="12">
        <f t="shared" si="30"/>
        <v>6</v>
      </c>
      <c r="C687" s="12">
        <f t="shared" si="31"/>
        <v>2003</v>
      </c>
      <c r="D687" s="13">
        <v>7600</v>
      </c>
      <c r="E687" s="13">
        <v>30.373000000000001</v>
      </c>
      <c r="F687" s="13">
        <f t="shared" si="32"/>
        <v>250.22223685510156</v>
      </c>
    </row>
    <row r="688" spans="1:6" x14ac:dyDescent="0.25">
      <c r="A688" s="10">
        <v>37802</v>
      </c>
      <c r="B688" s="12">
        <f t="shared" si="30"/>
        <v>6</v>
      </c>
      <c r="C688" s="12">
        <f t="shared" si="31"/>
        <v>2003</v>
      </c>
      <c r="D688" s="13">
        <v>7600</v>
      </c>
      <c r="E688" s="13">
        <v>30.344999999999999</v>
      </c>
      <c r="F688" s="13">
        <f t="shared" si="32"/>
        <v>250.45312242544077</v>
      </c>
    </row>
    <row r="689" spans="1:6" x14ac:dyDescent="0.25">
      <c r="A689" s="10">
        <v>37803</v>
      </c>
      <c r="B689" s="12">
        <f t="shared" si="30"/>
        <v>7</v>
      </c>
      <c r="C689" s="12">
        <f t="shared" si="31"/>
        <v>2003</v>
      </c>
      <c r="D689" s="13">
        <v>7600</v>
      </c>
      <c r="E689" s="13">
        <v>30.2775</v>
      </c>
      <c r="F689" s="13">
        <f t="shared" si="32"/>
        <v>251.01147716951533</v>
      </c>
    </row>
    <row r="690" spans="1:6" x14ac:dyDescent="0.25">
      <c r="A690" s="10">
        <v>37804</v>
      </c>
      <c r="B690" s="12">
        <f t="shared" si="30"/>
        <v>7</v>
      </c>
      <c r="C690" s="12">
        <f t="shared" si="31"/>
        <v>2003</v>
      </c>
      <c r="D690" s="13">
        <v>7600</v>
      </c>
      <c r="E690" s="13">
        <v>30.263000000000002</v>
      </c>
      <c r="F690" s="13">
        <f t="shared" si="32"/>
        <v>251.13174503519147</v>
      </c>
    </row>
    <row r="691" spans="1:6" x14ac:dyDescent="0.25">
      <c r="A691" s="10">
        <v>37805</v>
      </c>
      <c r="B691" s="12">
        <f t="shared" si="30"/>
        <v>7</v>
      </c>
      <c r="C691" s="12">
        <f t="shared" si="31"/>
        <v>2003</v>
      </c>
      <c r="D691" s="13">
        <v>7600</v>
      </c>
      <c r="E691" s="13">
        <v>30.287500000000001</v>
      </c>
      <c r="F691" s="13">
        <f t="shared" si="32"/>
        <v>250.92860090796532</v>
      </c>
    </row>
    <row r="692" spans="1:6" x14ac:dyDescent="0.25">
      <c r="A692" s="10">
        <v>37809</v>
      </c>
      <c r="B692" s="12">
        <f t="shared" si="30"/>
        <v>7</v>
      </c>
      <c r="C692" s="12">
        <f t="shared" si="31"/>
        <v>2003</v>
      </c>
      <c r="D692" s="13">
        <v>7600</v>
      </c>
      <c r="E692" s="13">
        <v>30.332000000000001</v>
      </c>
      <c r="F692" s="13">
        <f t="shared" si="32"/>
        <v>250.56046419622839</v>
      </c>
    </row>
    <row r="693" spans="1:6" x14ac:dyDescent="0.25">
      <c r="A693" s="10">
        <v>37810</v>
      </c>
      <c r="B693" s="12">
        <f t="shared" si="30"/>
        <v>7</v>
      </c>
      <c r="C693" s="12">
        <f t="shared" si="31"/>
        <v>2003</v>
      </c>
      <c r="D693" s="13">
        <v>7600</v>
      </c>
      <c r="E693" s="13">
        <v>30.4223</v>
      </c>
      <c r="F693" s="13">
        <f t="shared" si="32"/>
        <v>249.81674626836235</v>
      </c>
    </row>
    <row r="694" spans="1:6" x14ac:dyDescent="0.25">
      <c r="A694" s="10">
        <v>37811</v>
      </c>
      <c r="B694" s="12">
        <f t="shared" si="30"/>
        <v>7</v>
      </c>
      <c r="C694" s="12">
        <f t="shared" si="31"/>
        <v>2003</v>
      </c>
      <c r="D694" s="13">
        <v>7600</v>
      </c>
      <c r="E694" s="13">
        <v>30.374500000000001</v>
      </c>
      <c r="F694" s="13">
        <f t="shared" si="32"/>
        <v>250.20987999802466</v>
      </c>
    </row>
    <row r="695" spans="1:6" x14ac:dyDescent="0.25">
      <c r="A695" s="10">
        <v>37812</v>
      </c>
      <c r="B695" s="12">
        <f t="shared" si="30"/>
        <v>7</v>
      </c>
      <c r="C695" s="12">
        <f t="shared" si="31"/>
        <v>2003</v>
      </c>
      <c r="D695" s="13">
        <v>7600</v>
      </c>
      <c r="E695" s="13">
        <v>30.393000000000001</v>
      </c>
      <c r="F695" s="13">
        <f t="shared" si="32"/>
        <v>250.05757904780705</v>
      </c>
    </row>
    <row r="696" spans="1:6" x14ac:dyDescent="0.25">
      <c r="A696" s="10">
        <v>37813</v>
      </c>
      <c r="B696" s="12">
        <f t="shared" si="30"/>
        <v>7</v>
      </c>
      <c r="C696" s="12">
        <f t="shared" si="31"/>
        <v>2003</v>
      </c>
      <c r="D696" s="13">
        <v>7600</v>
      </c>
      <c r="E696" s="13">
        <v>30.418299999999999</v>
      </c>
      <c r="F696" s="13">
        <f t="shared" si="32"/>
        <v>249.84959711752467</v>
      </c>
    </row>
    <row r="697" spans="1:6" x14ac:dyDescent="0.25">
      <c r="A697" s="10">
        <v>37816</v>
      </c>
      <c r="B697" s="12">
        <f t="shared" si="30"/>
        <v>7</v>
      </c>
      <c r="C697" s="12">
        <f t="shared" si="31"/>
        <v>2003</v>
      </c>
      <c r="D697" s="13">
        <v>7600</v>
      </c>
      <c r="E697" s="13">
        <v>30.491499999999998</v>
      </c>
      <c r="F697" s="13">
        <f t="shared" si="32"/>
        <v>249.24979092533985</v>
      </c>
    </row>
    <row r="698" spans="1:6" x14ac:dyDescent="0.25">
      <c r="A698" s="10">
        <v>37817</v>
      </c>
      <c r="B698" s="12">
        <f t="shared" si="30"/>
        <v>7</v>
      </c>
      <c r="C698" s="12">
        <f t="shared" si="31"/>
        <v>2003</v>
      </c>
      <c r="D698" s="13">
        <v>7600</v>
      </c>
      <c r="E698" s="13">
        <v>30.493099999999998</v>
      </c>
      <c r="F698" s="13">
        <f t="shared" si="32"/>
        <v>249.23671256776126</v>
      </c>
    </row>
    <row r="699" spans="1:6" x14ac:dyDescent="0.25">
      <c r="A699" s="10">
        <v>37818</v>
      </c>
      <c r="B699" s="12">
        <f t="shared" si="30"/>
        <v>7</v>
      </c>
      <c r="C699" s="12">
        <f t="shared" si="31"/>
        <v>2003</v>
      </c>
      <c r="D699" s="13">
        <v>7600</v>
      </c>
      <c r="E699" s="13">
        <v>30.5</v>
      </c>
      <c r="F699" s="13">
        <f t="shared" si="32"/>
        <v>249.18032786885246</v>
      </c>
    </row>
    <row r="700" spans="1:6" x14ac:dyDescent="0.25">
      <c r="A700" s="10">
        <v>37819</v>
      </c>
      <c r="B700" s="12">
        <f t="shared" si="30"/>
        <v>7</v>
      </c>
      <c r="C700" s="12">
        <f t="shared" si="31"/>
        <v>2003</v>
      </c>
      <c r="D700" s="13">
        <v>7600</v>
      </c>
      <c r="E700" s="13">
        <v>30.44</v>
      </c>
      <c r="F700" s="13">
        <f t="shared" si="32"/>
        <v>249.67148488830486</v>
      </c>
    </row>
    <row r="701" spans="1:6" x14ac:dyDescent="0.25">
      <c r="A701" s="10">
        <v>37820</v>
      </c>
      <c r="B701" s="12">
        <f t="shared" si="30"/>
        <v>7</v>
      </c>
      <c r="C701" s="12">
        <f t="shared" si="31"/>
        <v>2003</v>
      </c>
      <c r="D701" s="13">
        <v>7600</v>
      </c>
      <c r="E701" s="13">
        <v>30.42</v>
      </c>
      <c r="F701" s="13">
        <f t="shared" si="32"/>
        <v>249.83563445101905</v>
      </c>
    </row>
    <row r="702" spans="1:6" x14ac:dyDescent="0.25">
      <c r="A702" s="10">
        <v>37823</v>
      </c>
      <c r="B702" s="12">
        <f t="shared" si="30"/>
        <v>7</v>
      </c>
      <c r="C702" s="12">
        <f t="shared" si="31"/>
        <v>2003</v>
      </c>
      <c r="D702" s="13">
        <v>7600</v>
      </c>
      <c r="E702" s="13">
        <v>30.354399999999998</v>
      </c>
      <c r="F702" s="13">
        <f t="shared" si="32"/>
        <v>250.37556334501755</v>
      </c>
    </row>
    <row r="703" spans="1:6" x14ac:dyDescent="0.25">
      <c r="A703" s="10">
        <v>37824</v>
      </c>
      <c r="B703" s="12">
        <f t="shared" si="30"/>
        <v>7</v>
      </c>
      <c r="C703" s="12">
        <f t="shared" si="31"/>
        <v>2003</v>
      </c>
      <c r="D703" s="13">
        <v>7600</v>
      </c>
      <c r="E703" s="13">
        <v>30.331499999999998</v>
      </c>
      <c r="F703" s="13">
        <f t="shared" si="32"/>
        <v>250.5645945634077</v>
      </c>
    </row>
    <row r="704" spans="1:6" x14ac:dyDescent="0.25">
      <c r="A704" s="10">
        <v>37825</v>
      </c>
      <c r="B704" s="12">
        <f t="shared" si="30"/>
        <v>7</v>
      </c>
      <c r="C704" s="12">
        <f t="shared" si="31"/>
        <v>2003</v>
      </c>
      <c r="D704" s="13">
        <v>7600</v>
      </c>
      <c r="E704" s="13">
        <v>30.344999999999999</v>
      </c>
      <c r="F704" s="13">
        <f t="shared" si="32"/>
        <v>250.45312242544077</v>
      </c>
    </row>
    <row r="705" spans="1:6" x14ac:dyDescent="0.25">
      <c r="A705" s="10">
        <v>37826</v>
      </c>
      <c r="B705" s="12">
        <f t="shared" si="30"/>
        <v>7</v>
      </c>
      <c r="C705" s="12">
        <f t="shared" si="31"/>
        <v>2003</v>
      </c>
      <c r="D705" s="13">
        <v>7600</v>
      </c>
      <c r="E705" s="13">
        <v>30.329699999999999</v>
      </c>
      <c r="F705" s="13">
        <f t="shared" si="32"/>
        <v>250.57946501284221</v>
      </c>
    </row>
    <row r="706" spans="1:6" x14ac:dyDescent="0.25">
      <c r="A706" s="10">
        <v>37827</v>
      </c>
      <c r="B706" s="12">
        <f t="shared" si="30"/>
        <v>7</v>
      </c>
      <c r="C706" s="12">
        <f t="shared" si="31"/>
        <v>2003</v>
      </c>
      <c r="D706" s="13">
        <v>7600</v>
      </c>
      <c r="E706" s="13">
        <v>30.281099999999999</v>
      </c>
      <c r="F706" s="13">
        <f t="shared" si="32"/>
        <v>250.9816354095459</v>
      </c>
    </row>
    <row r="707" spans="1:6" x14ac:dyDescent="0.25">
      <c r="A707" s="10">
        <v>37830</v>
      </c>
      <c r="B707" s="12">
        <f t="shared" ref="B707:B770" si="33">MONTH(A707)</f>
        <v>7</v>
      </c>
      <c r="C707" s="12">
        <f t="shared" ref="C707:C770" si="34">YEAR(A707)</f>
        <v>2003</v>
      </c>
      <c r="D707" s="13">
        <v>7600</v>
      </c>
      <c r="E707" s="13">
        <v>30.24</v>
      </c>
      <c r="F707" s="13">
        <f t="shared" ref="F707:F770" si="35">IF(D707="","",D707/E707)</f>
        <v>251.32275132275134</v>
      </c>
    </row>
    <row r="708" spans="1:6" x14ac:dyDescent="0.25">
      <c r="A708" s="10">
        <v>37831</v>
      </c>
      <c r="B708" s="12">
        <f t="shared" si="33"/>
        <v>7</v>
      </c>
      <c r="C708" s="12">
        <f t="shared" si="34"/>
        <v>2003</v>
      </c>
      <c r="D708" s="13">
        <v>7600</v>
      </c>
      <c r="E708" s="13">
        <v>30.234999999999999</v>
      </c>
      <c r="F708" s="13">
        <f t="shared" si="35"/>
        <v>251.36431288242105</v>
      </c>
    </row>
    <row r="709" spans="1:6" x14ac:dyDescent="0.25">
      <c r="A709" s="10">
        <v>37832</v>
      </c>
      <c r="B709" s="12">
        <f t="shared" si="33"/>
        <v>7</v>
      </c>
      <c r="C709" s="12">
        <f t="shared" si="34"/>
        <v>2003</v>
      </c>
      <c r="D709" s="13">
        <v>7600</v>
      </c>
      <c r="E709" s="13">
        <v>30.256799999999998</v>
      </c>
      <c r="F709" s="13">
        <f t="shared" si="35"/>
        <v>251.18320509769705</v>
      </c>
    </row>
    <row r="710" spans="1:6" x14ac:dyDescent="0.25">
      <c r="A710" s="10">
        <v>37833</v>
      </c>
      <c r="B710" s="12">
        <f t="shared" si="33"/>
        <v>7</v>
      </c>
      <c r="C710" s="12">
        <f t="shared" si="34"/>
        <v>2003</v>
      </c>
      <c r="D710" s="13">
        <v>7600</v>
      </c>
      <c r="E710" s="13">
        <v>30.2547</v>
      </c>
      <c r="F710" s="13">
        <f t="shared" si="35"/>
        <v>251.20063990057744</v>
      </c>
    </row>
    <row r="711" spans="1:6" x14ac:dyDescent="0.25">
      <c r="A711" s="10">
        <v>37834</v>
      </c>
      <c r="B711" s="12">
        <f t="shared" si="33"/>
        <v>8</v>
      </c>
      <c r="C711" s="12">
        <f t="shared" si="34"/>
        <v>2003</v>
      </c>
      <c r="D711" s="13">
        <v>7600</v>
      </c>
      <c r="E711" s="13">
        <v>30.399000000000001</v>
      </c>
      <c r="F711" s="13">
        <f t="shared" si="35"/>
        <v>250.00822395473534</v>
      </c>
    </row>
    <row r="712" spans="1:6" x14ac:dyDescent="0.25">
      <c r="A712" s="10">
        <v>37837</v>
      </c>
      <c r="B712" s="12">
        <f t="shared" si="33"/>
        <v>8</v>
      </c>
      <c r="C712" s="12">
        <f t="shared" si="34"/>
        <v>2003</v>
      </c>
      <c r="D712" s="13">
        <v>7600</v>
      </c>
      <c r="E712" s="13">
        <v>30.3154</v>
      </c>
      <c r="F712" s="13">
        <f t="shared" si="35"/>
        <v>250.69766521306002</v>
      </c>
    </row>
    <row r="713" spans="1:6" x14ac:dyDescent="0.25">
      <c r="A713" s="10">
        <v>37838</v>
      </c>
      <c r="B713" s="12">
        <f t="shared" si="33"/>
        <v>8</v>
      </c>
      <c r="C713" s="12">
        <f t="shared" si="34"/>
        <v>2003</v>
      </c>
      <c r="D713" s="13">
        <v>7600</v>
      </c>
      <c r="E713" s="13">
        <v>30.3004</v>
      </c>
      <c r="F713" s="13">
        <f t="shared" si="35"/>
        <v>250.82177132975141</v>
      </c>
    </row>
    <row r="714" spans="1:6" x14ac:dyDescent="0.25">
      <c r="A714" s="10">
        <v>37839</v>
      </c>
      <c r="B714" s="12">
        <f t="shared" si="33"/>
        <v>8</v>
      </c>
      <c r="C714" s="12">
        <f t="shared" si="34"/>
        <v>2003</v>
      </c>
      <c r="D714" s="13">
        <v>7600</v>
      </c>
      <c r="E714" s="13">
        <v>30.292899999999999</v>
      </c>
      <c r="F714" s="13">
        <f t="shared" si="35"/>
        <v>250.88387047790076</v>
      </c>
    </row>
    <row r="715" spans="1:6" x14ac:dyDescent="0.25">
      <c r="A715" s="10">
        <v>37840</v>
      </c>
      <c r="B715" s="12">
        <f t="shared" si="33"/>
        <v>8</v>
      </c>
      <c r="C715" s="12">
        <f t="shared" si="34"/>
        <v>2003</v>
      </c>
      <c r="D715" s="13">
        <v>7600</v>
      </c>
      <c r="E715" s="13">
        <v>30.34</v>
      </c>
      <c r="F715" s="13">
        <f t="shared" si="35"/>
        <v>250.49439683586024</v>
      </c>
    </row>
    <row r="716" spans="1:6" x14ac:dyDescent="0.25">
      <c r="A716" s="10">
        <v>37841</v>
      </c>
      <c r="B716" s="12">
        <f t="shared" si="33"/>
        <v>8</v>
      </c>
      <c r="C716" s="12">
        <f t="shared" si="34"/>
        <v>2003</v>
      </c>
      <c r="D716" s="13">
        <v>7600</v>
      </c>
      <c r="E716" s="13">
        <v>30.408000000000001</v>
      </c>
      <c r="F716" s="13">
        <f t="shared" si="35"/>
        <v>249.9342278347803</v>
      </c>
    </row>
    <row r="717" spans="1:6" x14ac:dyDescent="0.25">
      <c r="A717" s="10">
        <v>37844</v>
      </c>
      <c r="B717" s="12">
        <f t="shared" si="33"/>
        <v>8</v>
      </c>
      <c r="C717" s="12">
        <f t="shared" si="34"/>
        <v>2003</v>
      </c>
      <c r="D717" s="13">
        <v>7600</v>
      </c>
      <c r="E717" s="13">
        <v>30.33</v>
      </c>
      <c r="F717" s="13">
        <f t="shared" si="35"/>
        <v>250.576986482031</v>
      </c>
    </row>
    <row r="718" spans="1:6" x14ac:dyDescent="0.25">
      <c r="A718" s="10">
        <v>37845</v>
      </c>
      <c r="B718" s="12">
        <f t="shared" si="33"/>
        <v>8</v>
      </c>
      <c r="C718" s="12">
        <f t="shared" si="34"/>
        <v>2003</v>
      </c>
      <c r="D718" s="13">
        <v>7600</v>
      </c>
      <c r="E718" s="13">
        <v>30.374400000000001</v>
      </c>
      <c r="F718" s="13">
        <f t="shared" si="35"/>
        <v>250.21070375052676</v>
      </c>
    </row>
    <row r="719" spans="1:6" x14ac:dyDescent="0.25">
      <c r="A719" s="10">
        <v>37846</v>
      </c>
      <c r="B719" s="12">
        <f t="shared" si="33"/>
        <v>8</v>
      </c>
      <c r="C719" s="12">
        <f t="shared" si="34"/>
        <v>2003</v>
      </c>
      <c r="D719" s="13">
        <v>7600</v>
      </c>
      <c r="E719" s="13">
        <v>30.3505</v>
      </c>
      <c r="F719" s="13">
        <f t="shared" si="35"/>
        <v>250.40773628111563</v>
      </c>
    </row>
    <row r="720" spans="1:6" x14ac:dyDescent="0.25">
      <c r="A720" s="10">
        <v>37847</v>
      </c>
      <c r="B720" s="12">
        <f t="shared" si="33"/>
        <v>8</v>
      </c>
      <c r="C720" s="12">
        <f t="shared" si="34"/>
        <v>2003</v>
      </c>
      <c r="D720" s="13">
        <v>7600</v>
      </c>
      <c r="E720" s="13">
        <v>30.352</v>
      </c>
      <c r="F720" s="13">
        <f t="shared" si="35"/>
        <v>250.39536109646809</v>
      </c>
    </row>
    <row r="721" spans="1:6" x14ac:dyDescent="0.25">
      <c r="A721" s="10">
        <v>37848</v>
      </c>
      <c r="B721" s="12">
        <f t="shared" si="33"/>
        <v>8</v>
      </c>
      <c r="C721" s="12">
        <f t="shared" si="34"/>
        <v>2003</v>
      </c>
      <c r="D721" s="13">
        <v>7600</v>
      </c>
      <c r="E721" s="13">
        <v>30.321000000000002</v>
      </c>
      <c r="F721" s="13">
        <f t="shared" si="35"/>
        <v>250.6513637413014</v>
      </c>
    </row>
    <row r="722" spans="1:6" x14ac:dyDescent="0.25">
      <c r="A722" s="10">
        <v>37851</v>
      </c>
      <c r="B722" s="12">
        <f t="shared" si="33"/>
        <v>8</v>
      </c>
      <c r="C722" s="12">
        <f t="shared" si="34"/>
        <v>2003</v>
      </c>
      <c r="D722" s="13">
        <v>7600</v>
      </c>
      <c r="E722" s="13">
        <v>30.3245</v>
      </c>
      <c r="F722" s="13">
        <f t="shared" si="35"/>
        <v>250.6224340055071</v>
      </c>
    </row>
    <row r="723" spans="1:6" x14ac:dyDescent="0.25">
      <c r="A723" s="10">
        <v>37852</v>
      </c>
      <c r="B723" s="12">
        <f t="shared" si="33"/>
        <v>8</v>
      </c>
      <c r="C723" s="12">
        <f t="shared" si="34"/>
        <v>2003</v>
      </c>
      <c r="D723" s="13">
        <v>7600</v>
      </c>
      <c r="E723" s="13">
        <v>30.32</v>
      </c>
      <c r="F723" s="13">
        <f t="shared" si="35"/>
        <v>250.65963060686016</v>
      </c>
    </row>
    <row r="724" spans="1:6" x14ac:dyDescent="0.25">
      <c r="A724" s="10">
        <v>37853</v>
      </c>
      <c r="B724" s="12">
        <f t="shared" si="33"/>
        <v>8</v>
      </c>
      <c r="C724" s="12">
        <f t="shared" si="34"/>
        <v>2003</v>
      </c>
      <c r="D724" s="13">
        <v>7600</v>
      </c>
      <c r="E724" s="13">
        <v>30.31</v>
      </c>
      <c r="F724" s="13">
        <f t="shared" si="35"/>
        <v>250.74232926426922</v>
      </c>
    </row>
    <row r="725" spans="1:6" x14ac:dyDescent="0.25">
      <c r="A725" s="10">
        <v>37854</v>
      </c>
      <c r="B725" s="12">
        <f t="shared" si="33"/>
        <v>8</v>
      </c>
      <c r="C725" s="12">
        <f t="shared" si="34"/>
        <v>2003</v>
      </c>
      <c r="D725" s="13">
        <v>7600</v>
      </c>
      <c r="E725" s="13">
        <v>30.3154</v>
      </c>
      <c r="F725" s="13">
        <f t="shared" si="35"/>
        <v>250.69766521306002</v>
      </c>
    </row>
    <row r="726" spans="1:6" x14ac:dyDescent="0.25">
      <c r="A726" s="10">
        <v>37855</v>
      </c>
      <c r="B726" s="12">
        <f t="shared" si="33"/>
        <v>8</v>
      </c>
      <c r="C726" s="12">
        <f t="shared" si="34"/>
        <v>2003</v>
      </c>
      <c r="D726" s="13">
        <v>7600</v>
      </c>
      <c r="E726" s="13">
        <v>30.265000000000001</v>
      </c>
      <c r="F726" s="13">
        <f t="shared" si="35"/>
        <v>251.11514951263837</v>
      </c>
    </row>
    <row r="727" spans="1:6" x14ac:dyDescent="0.25">
      <c r="A727" s="10">
        <v>37858</v>
      </c>
      <c r="B727" s="12">
        <f t="shared" si="33"/>
        <v>8</v>
      </c>
      <c r="C727" s="12">
        <f t="shared" si="34"/>
        <v>2003</v>
      </c>
      <c r="D727" s="13">
        <v>7600</v>
      </c>
      <c r="E727" s="13">
        <v>30.312000000000001</v>
      </c>
      <c r="F727" s="13">
        <f t="shared" si="35"/>
        <v>250.72578516759037</v>
      </c>
    </row>
    <row r="728" spans="1:6" x14ac:dyDescent="0.25">
      <c r="A728" s="10">
        <v>37859</v>
      </c>
      <c r="B728" s="12">
        <f t="shared" si="33"/>
        <v>8</v>
      </c>
      <c r="C728" s="12">
        <f t="shared" si="34"/>
        <v>2003</v>
      </c>
      <c r="D728" s="13">
        <v>7600</v>
      </c>
      <c r="E728" s="13">
        <v>30.37</v>
      </c>
      <c r="F728" s="13">
        <f t="shared" si="35"/>
        <v>250.24695423114915</v>
      </c>
    </row>
    <row r="729" spans="1:6" x14ac:dyDescent="0.25">
      <c r="A729" s="10">
        <v>37860</v>
      </c>
      <c r="B729" s="12">
        <f t="shared" si="33"/>
        <v>8</v>
      </c>
      <c r="C729" s="12">
        <f t="shared" si="34"/>
        <v>2003</v>
      </c>
      <c r="D729" s="13">
        <v>7600</v>
      </c>
      <c r="E729" s="13">
        <v>30.44</v>
      </c>
      <c r="F729" s="13">
        <f t="shared" si="35"/>
        <v>249.67148488830486</v>
      </c>
    </row>
    <row r="730" spans="1:6" x14ac:dyDescent="0.25">
      <c r="A730" s="10">
        <v>37861</v>
      </c>
      <c r="B730" s="12">
        <f t="shared" si="33"/>
        <v>8</v>
      </c>
      <c r="C730" s="12">
        <f t="shared" si="34"/>
        <v>2003</v>
      </c>
      <c r="D730" s="13">
        <v>7600</v>
      </c>
      <c r="E730" s="13">
        <v>30.487400000000001</v>
      </c>
      <c r="F730" s="13">
        <f t="shared" si="35"/>
        <v>249.28331048236319</v>
      </c>
    </row>
    <row r="731" spans="1:6" x14ac:dyDescent="0.25">
      <c r="A731" s="10">
        <v>37862</v>
      </c>
      <c r="B731" s="12">
        <f t="shared" si="33"/>
        <v>8</v>
      </c>
      <c r="C731" s="12">
        <f t="shared" si="34"/>
        <v>2003</v>
      </c>
      <c r="D731" s="13">
        <v>7600</v>
      </c>
      <c r="E731" s="13">
        <v>30.514099999999999</v>
      </c>
      <c r="F731" s="13">
        <f t="shared" si="35"/>
        <v>249.06518625815607</v>
      </c>
    </row>
    <row r="732" spans="1:6" x14ac:dyDescent="0.25">
      <c r="A732" s="10">
        <v>37866</v>
      </c>
      <c r="B732" s="12">
        <f t="shared" si="33"/>
        <v>9</v>
      </c>
      <c r="C732" s="12">
        <f t="shared" si="34"/>
        <v>2003</v>
      </c>
      <c r="D732" s="13">
        <v>5150</v>
      </c>
      <c r="E732" s="13">
        <v>30.585000000000001</v>
      </c>
      <c r="F732" s="13">
        <f t="shared" si="35"/>
        <v>168.38319437632825</v>
      </c>
    </row>
    <row r="733" spans="1:6" x14ac:dyDescent="0.25">
      <c r="A733" s="10">
        <v>37867</v>
      </c>
      <c r="B733" s="12">
        <f t="shared" si="33"/>
        <v>9</v>
      </c>
      <c r="C733" s="12">
        <f t="shared" si="34"/>
        <v>2003</v>
      </c>
      <c r="D733" s="13">
        <v>5150</v>
      </c>
      <c r="E733" s="13">
        <v>30.58</v>
      </c>
      <c r="F733" s="13">
        <f t="shared" si="35"/>
        <v>168.4107259646828</v>
      </c>
    </row>
    <row r="734" spans="1:6" x14ac:dyDescent="0.25">
      <c r="A734" s="10">
        <v>37868</v>
      </c>
      <c r="B734" s="12">
        <f t="shared" si="33"/>
        <v>9</v>
      </c>
      <c r="C734" s="12">
        <f t="shared" si="34"/>
        <v>2003</v>
      </c>
      <c r="D734" s="13">
        <v>5150</v>
      </c>
      <c r="E734" s="13">
        <v>30.661999999999999</v>
      </c>
      <c r="F734" s="13">
        <f t="shared" si="35"/>
        <v>167.96034179114213</v>
      </c>
    </row>
    <row r="735" spans="1:6" x14ac:dyDescent="0.25">
      <c r="A735" s="10">
        <v>37869</v>
      </c>
      <c r="B735" s="12">
        <f t="shared" si="33"/>
        <v>9</v>
      </c>
      <c r="C735" s="12">
        <f t="shared" si="34"/>
        <v>2003</v>
      </c>
      <c r="D735" s="13">
        <v>5150</v>
      </c>
      <c r="E735" s="13">
        <v>30.675599999999999</v>
      </c>
      <c r="F735" s="13">
        <f t="shared" si="35"/>
        <v>167.88587672286769</v>
      </c>
    </row>
    <row r="736" spans="1:6" x14ac:dyDescent="0.25">
      <c r="A736" s="10">
        <v>37872</v>
      </c>
      <c r="B736" s="12">
        <f t="shared" si="33"/>
        <v>9</v>
      </c>
      <c r="C736" s="12">
        <f t="shared" si="34"/>
        <v>2003</v>
      </c>
      <c r="D736" s="13">
        <v>5400</v>
      </c>
      <c r="E736" s="13">
        <v>30.6493</v>
      </c>
      <c r="F736" s="13">
        <f t="shared" si="35"/>
        <v>176.186731834006</v>
      </c>
    </row>
    <row r="737" spans="1:6" x14ac:dyDescent="0.25">
      <c r="A737" s="10">
        <v>37874</v>
      </c>
      <c r="B737" s="12">
        <f t="shared" si="33"/>
        <v>9</v>
      </c>
      <c r="C737" s="12">
        <f t="shared" si="34"/>
        <v>2003</v>
      </c>
      <c r="D737" s="13">
        <v>5400</v>
      </c>
      <c r="E737" s="13">
        <v>30.644600000000001</v>
      </c>
      <c r="F737" s="13">
        <f t="shared" si="35"/>
        <v>176.21375380980663</v>
      </c>
    </row>
    <row r="738" spans="1:6" x14ac:dyDescent="0.25">
      <c r="A738" s="10">
        <v>37875</v>
      </c>
      <c r="B738" s="12">
        <f t="shared" si="33"/>
        <v>9</v>
      </c>
      <c r="C738" s="12">
        <f t="shared" si="34"/>
        <v>2003</v>
      </c>
      <c r="D738" s="13">
        <v>5400</v>
      </c>
      <c r="E738" s="13">
        <v>30.66</v>
      </c>
      <c r="F738" s="13">
        <f t="shared" si="35"/>
        <v>176.1252446183953</v>
      </c>
    </row>
    <row r="739" spans="1:6" x14ac:dyDescent="0.25">
      <c r="A739" s="10">
        <v>37876</v>
      </c>
      <c r="B739" s="12">
        <f t="shared" si="33"/>
        <v>9</v>
      </c>
      <c r="C739" s="12">
        <f t="shared" si="34"/>
        <v>2003</v>
      </c>
      <c r="D739" s="13">
        <v>5400</v>
      </c>
      <c r="E739" s="13">
        <v>30.721</v>
      </c>
      <c r="F739" s="13">
        <f t="shared" si="35"/>
        <v>175.77552814036002</v>
      </c>
    </row>
    <row r="740" spans="1:6" x14ac:dyDescent="0.25">
      <c r="A740" s="10">
        <v>37879</v>
      </c>
      <c r="B740" s="12">
        <f t="shared" si="33"/>
        <v>9</v>
      </c>
      <c r="C740" s="12">
        <f t="shared" si="34"/>
        <v>2003</v>
      </c>
      <c r="D740" s="13">
        <v>5550</v>
      </c>
      <c r="E740" s="13">
        <v>30.683199999999999</v>
      </c>
      <c r="F740" s="13">
        <f t="shared" si="35"/>
        <v>180.8807425561871</v>
      </c>
    </row>
    <row r="741" spans="1:6" x14ac:dyDescent="0.25">
      <c r="A741" s="10">
        <v>37880</v>
      </c>
      <c r="B741" s="12">
        <f t="shared" si="33"/>
        <v>9</v>
      </c>
      <c r="C741" s="12">
        <f t="shared" si="34"/>
        <v>2003</v>
      </c>
      <c r="D741" s="13">
        <v>5550</v>
      </c>
      <c r="E741" s="13">
        <v>30.699300000000001</v>
      </c>
      <c r="F741" s="13">
        <f t="shared" si="35"/>
        <v>180.78588111129568</v>
      </c>
    </row>
    <row r="742" spans="1:6" x14ac:dyDescent="0.25">
      <c r="A742" s="10">
        <v>37881</v>
      </c>
      <c r="B742" s="12">
        <f t="shared" si="33"/>
        <v>9</v>
      </c>
      <c r="C742" s="12">
        <f t="shared" si="34"/>
        <v>2003</v>
      </c>
      <c r="D742" s="13">
        <v>5550</v>
      </c>
      <c r="E742" s="13">
        <v>30.627500000000001</v>
      </c>
      <c r="F742" s="13">
        <f t="shared" si="35"/>
        <v>181.20969716757816</v>
      </c>
    </row>
    <row r="743" spans="1:6" x14ac:dyDescent="0.25">
      <c r="A743" s="10">
        <v>37882</v>
      </c>
      <c r="B743" s="12">
        <f t="shared" si="33"/>
        <v>9</v>
      </c>
      <c r="C743" s="12">
        <f t="shared" si="34"/>
        <v>2003</v>
      </c>
      <c r="D743" s="13">
        <v>5550</v>
      </c>
      <c r="E743" s="13">
        <v>30.578700000000001</v>
      </c>
      <c r="F743" s="13">
        <f t="shared" si="35"/>
        <v>181.49888647980455</v>
      </c>
    </row>
    <row r="744" spans="1:6" x14ac:dyDescent="0.25">
      <c r="A744" s="10">
        <v>37883</v>
      </c>
      <c r="B744" s="12">
        <f t="shared" si="33"/>
        <v>9</v>
      </c>
      <c r="C744" s="12">
        <f t="shared" si="34"/>
        <v>2003</v>
      </c>
      <c r="D744" s="13">
        <v>5550</v>
      </c>
      <c r="E744" s="13">
        <v>30.523399999999999</v>
      </c>
      <c r="F744" s="13">
        <f t="shared" si="35"/>
        <v>181.82771250909138</v>
      </c>
    </row>
    <row r="745" spans="1:6" x14ac:dyDescent="0.25">
      <c r="A745" s="10">
        <v>37886</v>
      </c>
      <c r="B745" s="12">
        <f t="shared" si="33"/>
        <v>9</v>
      </c>
      <c r="C745" s="12">
        <f t="shared" si="34"/>
        <v>2003</v>
      </c>
      <c r="D745" s="13">
        <v>5550</v>
      </c>
      <c r="E745" s="13">
        <v>30.484400000000001</v>
      </c>
      <c r="F745" s="13">
        <f t="shared" si="35"/>
        <v>182.06033249793336</v>
      </c>
    </row>
    <row r="746" spans="1:6" x14ac:dyDescent="0.25">
      <c r="A746" s="10">
        <v>37887</v>
      </c>
      <c r="B746" s="12">
        <f t="shared" si="33"/>
        <v>9</v>
      </c>
      <c r="C746" s="12">
        <f t="shared" si="34"/>
        <v>2003</v>
      </c>
      <c r="D746" s="13">
        <v>5550</v>
      </c>
      <c r="E746" s="13">
        <v>30.459900000000001</v>
      </c>
      <c r="F746" s="13">
        <f t="shared" si="35"/>
        <v>182.20677021264021</v>
      </c>
    </row>
    <row r="747" spans="1:6" x14ac:dyDescent="0.25">
      <c r="A747" s="10">
        <v>37888</v>
      </c>
      <c r="B747" s="12">
        <f t="shared" si="33"/>
        <v>9</v>
      </c>
      <c r="C747" s="12">
        <f t="shared" si="34"/>
        <v>2003</v>
      </c>
      <c r="D747" s="13">
        <v>5550</v>
      </c>
      <c r="E747" s="13">
        <v>30.396799999999999</v>
      </c>
      <c r="F747" s="13">
        <f t="shared" si="35"/>
        <v>182.58500894831036</v>
      </c>
    </row>
    <row r="748" spans="1:6" x14ac:dyDescent="0.25">
      <c r="A748" s="10">
        <v>37889</v>
      </c>
      <c r="B748" s="12">
        <f t="shared" si="33"/>
        <v>9</v>
      </c>
      <c r="C748" s="12">
        <f t="shared" si="34"/>
        <v>2003</v>
      </c>
      <c r="D748" s="13">
        <v>5550</v>
      </c>
      <c r="E748" s="13">
        <v>30.465</v>
      </c>
      <c r="F748" s="13">
        <f t="shared" si="35"/>
        <v>182.17626784835056</v>
      </c>
    </row>
    <row r="749" spans="1:6" x14ac:dyDescent="0.25">
      <c r="A749" s="10">
        <v>37890</v>
      </c>
      <c r="B749" s="12">
        <f t="shared" si="33"/>
        <v>9</v>
      </c>
      <c r="C749" s="12">
        <f t="shared" si="34"/>
        <v>2003</v>
      </c>
      <c r="D749" s="13">
        <v>5550</v>
      </c>
      <c r="E749" s="13">
        <v>30.512499999999999</v>
      </c>
      <c r="F749" s="13">
        <f t="shared" si="35"/>
        <v>181.89266693977879</v>
      </c>
    </row>
    <row r="750" spans="1:6" x14ac:dyDescent="0.25">
      <c r="A750" s="10">
        <v>37893</v>
      </c>
      <c r="B750" s="12">
        <f t="shared" si="33"/>
        <v>9</v>
      </c>
      <c r="C750" s="12">
        <f t="shared" si="34"/>
        <v>2003</v>
      </c>
      <c r="D750" s="13">
        <v>5900</v>
      </c>
      <c r="E750" s="13">
        <v>30.604700000000001</v>
      </c>
      <c r="F750" s="13">
        <f t="shared" si="35"/>
        <v>192.78084738618577</v>
      </c>
    </row>
    <row r="751" spans="1:6" x14ac:dyDescent="0.25">
      <c r="A751" s="10">
        <v>37894</v>
      </c>
      <c r="B751" s="12">
        <f t="shared" si="33"/>
        <v>9</v>
      </c>
      <c r="C751" s="12">
        <f t="shared" si="34"/>
        <v>2003</v>
      </c>
      <c r="D751" s="13">
        <v>5900</v>
      </c>
      <c r="E751" s="13">
        <v>30.581399999999999</v>
      </c>
      <c r="F751" s="13">
        <f t="shared" si="35"/>
        <v>192.92772731137228</v>
      </c>
    </row>
    <row r="752" spans="1:6" x14ac:dyDescent="0.25">
      <c r="A752" s="10">
        <v>37895</v>
      </c>
      <c r="B752" s="12">
        <f t="shared" si="33"/>
        <v>10</v>
      </c>
      <c r="C752" s="12">
        <f t="shared" si="34"/>
        <v>2003</v>
      </c>
      <c r="D752" s="13">
        <v>5900</v>
      </c>
      <c r="E752" s="13">
        <v>30.532</v>
      </c>
      <c r="F752" s="13">
        <f t="shared" si="35"/>
        <v>193.23987947071925</v>
      </c>
    </row>
    <row r="753" spans="1:6" x14ac:dyDescent="0.25">
      <c r="A753" s="10">
        <v>37896</v>
      </c>
      <c r="B753" s="12">
        <f t="shared" si="33"/>
        <v>10</v>
      </c>
      <c r="C753" s="12">
        <f t="shared" si="34"/>
        <v>2003</v>
      </c>
      <c r="D753" s="13">
        <v>5900</v>
      </c>
      <c r="E753" s="13">
        <v>30.453299999999999</v>
      </c>
      <c r="F753" s="13">
        <f t="shared" si="35"/>
        <v>193.73926635208664</v>
      </c>
    </row>
    <row r="754" spans="1:6" x14ac:dyDescent="0.25">
      <c r="A754" s="10">
        <v>37897</v>
      </c>
      <c r="B754" s="12">
        <f t="shared" si="33"/>
        <v>10</v>
      </c>
      <c r="C754" s="12">
        <f t="shared" si="34"/>
        <v>2003</v>
      </c>
      <c r="D754" s="13">
        <v>5900</v>
      </c>
      <c r="E754" s="13">
        <v>30.44</v>
      </c>
      <c r="F754" s="13">
        <f t="shared" si="35"/>
        <v>193.8239159001314</v>
      </c>
    </row>
    <row r="755" spans="1:6" x14ac:dyDescent="0.25">
      <c r="A755" s="10">
        <v>37900</v>
      </c>
      <c r="B755" s="12">
        <f t="shared" si="33"/>
        <v>10</v>
      </c>
      <c r="C755" s="12">
        <f t="shared" si="34"/>
        <v>2003</v>
      </c>
      <c r="D755" s="13">
        <v>5900</v>
      </c>
      <c r="E755" s="13">
        <v>30.445</v>
      </c>
      <c r="F755" s="13">
        <f t="shared" si="35"/>
        <v>193.79208408605683</v>
      </c>
    </row>
    <row r="756" spans="1:6" x14ac:dyDescent="0.25">
      <c r="A756" s="10">
        <v>37901</v>
      </c>
      <c r="B756" s="12">
        <f t="shared" si="33"/>
        <v>10</v>
      </c>
      <c r="C756" s="12">
        <f t="shared" si="34"/>
        <v>2003</v>
      </c>
      <c r="D756" s="13">
        <v>5900</v>
      </c>
      <c r="E756" s="13">
        <v>30.388000000000002</v>
      </c>
      <c r="F756" s="13">
        <f t="shared" si="35"/>
        <v>194.15558773199947</v>
      </c>
    </row>
    <row r="757" spans="1:6" x14ac:dyDescent="0.25">
      <c r="A757" s="10">
        <v>37902</v>
      </c>
      <c r="B757" s="12">
        <f t="shared" si="33"/>
        <v>10</v>
      </c>
      <c r="C757" s="12">
        <f t="shared" si="34"/>
        <v>2003</v>
      </c>
      <c r="D757" s="13">
        <v>5900</v>
      </c>
      <c r="E757" s="13">
        <v>30.315100000000001</v>
      </c>
      <c r="F757" s="13">
        <f t="shared" si="35"/>
        <v>194.62248186547296</v>
      </c>
    </row>
    <row r="758" spans="1:6" x14ac:dyDescent="0.25">
      <c r="A758" s="10">
        <v>37903</v>
      </c>
      <c r="B758" s="12">
        <f t="shared" si="33"/>
        <v>10</v>
      </c>
      <c r="C758" s="12">
        <f t="shared" si="34"/>
        <v>2003</v>
      </c>
      <c r="D758" s="13">
        <v>5900</v>
      </c>
      <c r="E758" s="13">
        <v>30.135999999999999</v>
      </c>
      <c r="F758" s="13">
        <f t="shared" si="35"/>
        <v>195.7791345898593</v>
      </c>
    </row>
    <row r="759" spans="1:6" x14ac:dyDescent="0.25">
      <c r="A759" s="10">
        <v>37904</v>
      </c>
      <c r="B759" s="12">
        <f t="shared" si="33"/>
        <v>10</v>
      </c>
      <c r="C759" s="12">
        <f t="shared" si="34"/>
        <v>2003</v>
      </c>
      <c r="D759" s="13">
        <v>5900</v>
      </c>
      <c r="E759" s="13">
        <v>30.109000000000002</v>
      </c>
      <c r="F759" s="13">
        <f t="shared" si="35"/>
        <v>195.95469793085124</v>
      </c>
    </row>
    <row r="760" spans="1:6" x14ac:dyDescent="0.25">
      <c r="A760" s="10">
        <v>37907</v>
      </c>
      <c r="B760" s="12">
        <f t="shared" si="33"/>
        <v>10</v>
      </c>
      <c r="C760" s="12">
        <f t="shared" si="34"/>
        <v>2003</v>
      </c>
      <c r="D760" s="13">
        <v>5850</v>
      </c>
      <c r="E760" s="13">
        <v>30.231999999999999</v>
      </c>
      <c r="F760" s="13">
        <f t="shared" si="35"/>
        <v>193.50357237364383</v>
      </c>
    </row>
    <row r="761" spans="1:6" x14ac:dyDescent="0.25">
      <c r="A761" s="10">
        <v>37908</v>
      </c>
      <c r="B761" s="12">
        <f t="shared" si="33"/>
        <v>10</v>
      </c>
      <c r="C761" s="12">
        <f t="shared" si="34"/>
        <v>2003</v>
      </c>
      <c r="D761" s="13">
        <v>5850</v>
      </c>
      <c r="E761" s="13">
        <v>30.14</v>
      </c>
      <c r="F761" s="13">
        <f t="shared" si="35"/>
        <v>194.09422694094226</v>
      </c>
    </row>
    <row r="762" spans="1:6" x14ac:dyDescent="0.25">
      <c r="A762" s="10">
        <v>37909</v>
      </c>
      <c r="B762" s="12">
        <f t="shared" si="33"/>
        <v>10</v>
      </c>
      <c r="C762" s="12">
        <f t="shared" si="34"/>
        <v>2003</v>
      </c>
      <c r="D762" s="13">
        <v>5850</v>
      </c>
      <c r="E762" s="13">
        <v>30.119</v>
      </c>
      <c r="F762" s="13">
        <f t="shared" si="35"/>
        <v>194.22955609415985</v>
      </c>
    </row>
    <row r="763" spans="1:6" x14ac:dyDescent="0.25">
      <c r="A763" s="10">
        <v>37910</v>
      </c>
      <c r="B763" s="12">
        <f t="shared" si="33"/>
        <v>10</v>
      </c>
      <c r="C763" s="12">
        <f t="shared" si="34"/>
        <v>2003</v>
      </c>
      <c r="D763" s="13">
        <v>5850</v>
      </c>
      <c r="E763" s="13">
        <v>30.078399999999998</v>
      </c>
      <c r="F763" s="13">
        <f t="shared" si="35"/>
        <v>194.49172828341935</v>
      </c>
    </row>
    <row r="764" spans="1:6" x14ac:dyDescent="0.25">
      <c r="A764" s="10">
        <v>37911</v>
      </c>
      <c r="B764" s="12">
        <f t="shared" si="33"/>
        <v>10</v>
      </c>
      <c r="C764" s="12">
        <f t="shared" si="34"/>
        <v>2003</v>
      </c>
      <c r="D764" s="13">
        <v>5850</v>
      </c>
      <c r="E764" s="13">
        <v>30.047499999999999</v>
      </c>
      <c r="F764" s="13">
        <f t="shared" si="35"/>
        <v>194.69173808137117</v>
      </c>
    </row>
    <row r="765" spans="1:6" x14ac:dyDescent="0.25">
      <c r="A765" s="10">
        <v>37914</v>
      </c>
      <c r="B765" s="12">
        <f t="shared" si="33"/>
        <v>10</v>
      </c>
      <c r="C765" s="12">
        <f t="shared" si="34"/>
        <v>2003</v>
      </c>
      <c r="D765" s="13">
        <v>5850</v>
      </c>
      <c r="E765" s="13">
        <v>29.972000000000001</v>
      </c>
      <c r="F765" s="13">
        <f t="shared" si="35"/>
        <v>195.18217002535698</v>
      </c>
    </row>
    <row r="766" spans="1:6" x14ac:dyDescent="0.25">
      <c r="A766" s="10">
        <v>37915</v>
      </c>
      <c r="B766" s="12">
        <f t="shared" si="33"/>
        <v>10</v>
      </c>
      <c r="C766" s="12">
        <f t="shared" si="34"/>
        <v>2003</v>
      </c>
      <c r="D766" s="13">
        <v>5850</v>
      </c>
      <c r="E766" s="13">
        <v>29.928000000000001</v>
      </c>
      <c r="F766" s="13">
        <f t="shared" si="35"/>
        <v>195.46912590216519</v>
      </c>
    </row>
    <row r="767" spans="1:6" x14ac:dyDescent="0.25">
      <c r="A767" s="10">
        <v>37916</v>
      </c>
      <c r="B767" s="12">
        <f t="shared" si="33"/>
        <v>10</v>
      </c>
      <c r="C767" s="12">
        <f t="shared" si="34"/>
        <v>2003</v>
      </c>
      <c r="D767" s="13">
        <v>5850</v>
      </c>
      <c r="E767" s="13">
        <v>29.916</v>
      </c>
      <c r="F767" s="13">
        <f t="shared" si="35"/>
        <v>195.54753309265945</v>
      </c>
    </row>
    <row r="768" spans="1:6" x14ac:dyDescent="0.25">
      <c r="A768" s="10">
        <v>37917</v>
      </c>
      <c r="B768" s="12">
        <f t="shared" si="33"/>
        <v>10</v>
      </c>
      <c r="C768" s="12">
        <f t="shared" si="34"/>
        <v>2003</v>
      </c>
      <c r="D768" s="13">
        <v>5850</v>
      </c>
      <c r="E768" s="13">
        <v>29.914000000000001</v>
      </c>
      <c r="F768" s="13">
        <f t="shared" si="35"/>
        <v>195.56060707361101</v>
      </c>
    </row>
    <row r="769" spans="1:6" x14ac:dyDescent="0.25">
      <c r="A769" s="10">
        <v>37918</v>
      </c>
      <c r="B769" s="12">
        <f t="shared" si="33"/>
        <v>10</v>
      </c>
      <c r="C769" s="12">
        <f t="shared" si="34"/>
        <v>2003</v>
      </c>
      <c r="D769" s="13">
        <v>5850</v>
      </c>
      <c r="E769" s="13">
        <v>29.9</v>
      </c>
      <c r="F769" s="13">
        <f t="shared" si="35"/>
        <v>195.6521739130435</v>
      </c>
    </row>
    <row r="770" spans="1:6" x14ac:dyDescent="0.25">
      <c r="A770" s="10">
        <v>37921</v>
      </c>
      <c r="B770" s="12">
        <f t="shared" si="33"/>
        <v>10</v>
      </c>
      <c r="C770" s="12">
        <f t="shared" si="34"/>
        <v>2003</v>
      </c>
      <c r="D770" s="13">
        <v>5850</v>
      </c>
      <c r="E770" s="13">
        <v>30.039000000000001</v>
      </c>
      <c r="F770" s="13">
        <f t="shared" si="35"/>
        <v>194.74682912214121</v>
      </c>
    </row>
    <row r="771" spans="1:6" x14ac:dyDescent="0.25">
      <c r="A771" s="10">
        <v>37922</v>
      </c>
      <c r="B771" s="12">
        <f t="shared" ref="B771:B834" si="36">MONTH(A771)</f>
        <v>10</v>
      </c>
      <c r="C771" s="12">
        <f t="shared" ref="C771:C834" si="37">YEAR(A771)</f>
        <v>2003</v>
      </c>
      <c r="D771" s="13">
        <v>5850</v>
      </c>
      <c r="E771" s="13">
        <v>29.922000000000001</v>
      </c>
      <c r="F771" s="13">
        <f t="shared" ref="F771:F834" si="38">IF(D771="","",D771/E771)</f>
        <v>195.50832163625427</v>
      </c>
    </row>
    <row r="772" spans="1:6" x14ac:dyDescent="0.25">
      <c r="A772" s="10">
        <v>37923</v>
      </c>
      <c r="B772" s="12">
        <f t="shared" si="36"/>
        <v>10</v>
      </c>
      <c r="C772" s="12">
        <f t="shared" si="37"/>
        <v>2003</v>
      </c>
      <c r="D772" s="13">
        <v>5850</v>
      </c>
      <c r="E772" s="13">
        <v>29.82</v>
      </c>
      <c r="F772" s="13">
        <f t="shared" si="38"/>
        <v>196.17706237424548</v>
      </c>
    </row>
    <row r="773" spans="1:6" x14ac:dyDescent="0.25">
      <c r="A773" s="10">
        <v>37924</v>
      </c>
      <c r="B773" s="12">
        <f t="shared" si="36"/>
        <v>10</v>
      </c>
      <c r="C773" s="12">
        <f t="shared" si="37"/>
        <v>2003</v>
      </c>
      <c r="D773" s="13">
        <v>5850</v>
      </c>
      <c r="E773" s="13">
        <v>29.986599999999999</v>
      </c>
      <c r="F773" s="13">
        <f t="shared" si="38"/>
        <v>195.08713892205185</v>
      </c>
    </row>
    <row r="774" spans="1:6" x14ac:dyDescent="0.25">
      <c r="A774" s="10">
        <v>37925</v>
      </c>
      <c r="B774" s="12">
        <f t="shared" si="36"/>
        <v>10</v>
      </c>
      <c r="C774" s="12">
        <f t="shared" si="37"/>
        <v>2003</v>
      </c>
      <c r="D774" s="13">
        <v>5850</v>
      </c>
      <c r="E774" s="13">
        <v>29.945</v>
      </c>
      <c r="F774" s="13">
        <f t="shared" si="38"/>
        <v>195.35815662047085</v>
      </c>
    </row>
    <row r="775" spans="1:6" x14ac:dyDescent="0.25">
      <c r="A775" s="10">
        <v>37928</v>
      </c>
      <c r="B775" s="12">
        <f t="shared" si="36"/>
        <v>11</v>
      </c>
      <c r="C775" s="12">
        <f t="shared" si="37"/>
        <v>2003</v>
      </c>
      <c r="D775" s="13">
        <v>5850</v>
      </c>
      <c r="E775" s="13">
        <v>29.8675</v>
      </c>
      <c r="F775" s="13">
        <f t="shared" si="38"/>
        <v>195.86507072905331</v>
      </c>
    </row>
    <row r="776" spans="1:6" x14ac:dyDescent="0.25">
      <c r="A776" s="10">
        <v>37929</v>
      </c>
      <c r="B776" s="12">
        <f t="shared" si="36"/>
        <v>11</v>
      </c>
      <c r="C776" s="12">
        <f t="shared" si="37"/>
        <v>2003</v>
      </c>
      <c r="D776" s="13">
        <v>5850</v>
      </c>
      <c r="E776" s="13">
        <v>29.861499999999999</v>
      </c>
      <c r="F776" s="13">
        <f t="shared" si="38"/>
        <v>195.90442543073857</v>
      </c>
    </row>
    <row r="777" spans="1:6" x14ac:dyDescent="0.25">
      <c r="A777" s="10">
        <v>37930</v>
      </c>
      <c r="B777" s="12">
        <f t="shared" si="36"/>
        <v>11</v>
      </c>
      <c r="C777" s="12">
        <f t="shared" si="37"/>
        <v>2003</v>
      </c>
      <c r="D777" s="13">
        <v>5850</v>
      </c>
      <c r="E777" s="13">
        <v>29.802</v>
      </c>
      <c r="F777" s="13">
        <f t="shared" si="38"/>
        <v>196.29555063418562</v>
      </c>
    </row>
    <row r="778" spans="1:6" x14ac:dyDescent="0.25">
      <c r="A778" s="10">
        <v>37931</v>
      </c>
      <c r="B778" s="12">
        <f t="shared" si="36"/>
        <v>11</v>
      </c>
      <c r="C778" s="12">
        <f t="shared" si="37"/>
        <v>2003</v>
      </c>
      <c r="D778" s="13">
        <v>5850</v>
      </c>
      <c r="E778" s="13">
        <v>29.7898</v>
      </c>
      <c r="F778" s="13">
        <f t="shared" si="38"/>
        <v>196.37594075824612</v>
      </c>
    </row>
    <row r="779" spans="1:6" x14ac:dyDescent="0.25">
      <c r="A779" s="10">
        <v>37932</v>
      </c>
      <c r="B779" s="12">
        <f t="shared" si="36"/>
        <v>11</v>
      </c>
      <c r="C779" s="12">
        <f t="shared" si="37"/>
        <v>2003</v>
      </c>
      <c r="D779" s="13">
        <v>5850</v>
      </c>
      <c r="E779" s="13">
        <v>29.77</v>
      </c>
      <c r="F779" s="13">
        <f t="shared" si="38"/>
        <v>196.50655021834061</v>
      </c>
    </row>
    <row r="780" spans="1:6" x14ac:dyDescent="0.25">
      <c r="A780" s="10">
        <v>37935</v>
      </c>
      <c r="B780" s="12">
        <f t="shared" si="36"/>
        <v>11</v>
      </c>
      <c r="C780" s="12">
        <f t="shared" si="37"/>
        <v>2003</v>
      </c>
      <c r="D780" s="13">
        <v>6000</v>
      </c>
      <c r="E780" s="13">
        <v>29.805</v>
      </c>
      <c r="F780" s="13">
        <f t="shared" si="38"/>
        <v>201.30850528434826</v>
      </c>
    </row>
    <row r="781" spans="1:6" x14ac:dyDescent="0.25">
      <c r="A781" s="10">
        <v>37936</v>
      </c>
      <c r="B781" s="12">
        <f t="shared" si="36"/>
        <v>11</v>
      </c>
      <c r="C781" s="12">
        <f t="shared" si="37"/>
        <v>2003</v>
      </c>
      <c r="D781" s="13">
        <v>6000</v>
      </c>
      <c r="E781" s="13">
        <v>29.79</v>
      </c>
      <c r="F781" s="13">
        <f t="shared" si="38"/>
        <v>201.40986908358511</v>
      </c>
    </row>
    <row r="782" spans="1:6" x14ac:dyDescent="0.25">
      <c r="A782" s="10">
        <v>37937</v>
      </c>
      <c r="B782" s="12">
        <f t="shared" si="36"/>
        <v>11</v>
      </c>
      <c r="C782" s="12">
        <f t="shared" si="37"/>
        <v>2003</v>
      </c>
      <c r="D782" s="13">
        <v>6000</v>
      </c>
      <c r="E782" s="13">
        <v>29.8462</v>
      </c>
      <c r="F782" s="13">
        <f t="shared" si="38"/>
        <v>201.03061696296345</v>
      </c>
    </row>
    <row r="783" spans="1:6" x14ac:dyDescent="0.25">
      <c r="A783" s="10">
        <v>37938</v>
      </c>
      <c r="B783" s="12">
        <f t="shared" si="36"/>
        <v>11</v>
      </c>
      <c r="C783" s="12">
        <f t="shared" si="37"/>
        <v>2003</v>
      </c>
      <c r="D783" s="13">
        <v>6000</v>
      </c>
      <c r="E783" s="13">
        <v>29.8232</v>
      </c>
      <c r="F783" s="13">
        <f t="shared" si="38"/>
        <v>201.18565412162343</v>
      </c>
    </row>
    <row r="784" spans="1:6" x14ac:dyDescent="0.25">
      <c r="A784" s="10">
        <v>37939</v>
      </c>
      <c r="B784" s="12">
        <f t="shared" si="36"/>
        <v>11</v>
      </c>
      <c r="C784" s="12">
        <f t="shared" si="37"/>
        <v>2003</v>
      </c>
      <c r="D784" s="13">
        <v>6000</v>
      </c>
      <c r="E784" s="13">
        <v>29.807300000000001</v>
      </c>
      <c r="F784" s="13">
        <f t="shared" si="38"/>
        <v>201.29297185588763</v>
      </c>
    </row>
    <row r="785" spans="1:6" x14ac:dyDescent="0.25">
      <c r="A785" s="10">
        <v>37942</v>
      </c>
      <c r="B785" s="12">
        <f t="shared" si="36"/>
        <v>11</v>
      </c>
      <c r="C785" s="12">
        <f t="shared" si="37"/>
        <v>2003</v>
      </c>
      <c r="D785" s="13">
        <v>6000</v>
      </c>
      <c r="E785" s="13">
        <v>29.792000000000002</v>
      </c>
      <c r="F785" s="13">
        <f t="shared" si="38"/>
        <v>201.39634801288935</v>
      </c>
    </row>
    <row r="786" spans="1:6" x14ac:dyDescent="0.25">
      <c r="A786" s="10">
        <v>37943</v>
      </c>
      <c r="B786" s="12">
        <f t="shared" si="36"/>
        <v>11</v>
      </c>
      <c r="C786" s="12">
        <f t="shared" si="37"/>
        <v>2003</v>
      </c>
      <c r="D786" s="13">
        <v>6000</v>
      </c>
      <c r="E786" s="13">
        <v>29.7913</v>
      </c>
      <c r="F786" s="13">
        <f t="shared" si="38"/>
        <v>201.4010801811267</v>
      </c>
    </row>
    <row r="787" spans="1:6" x14ac:dyDescent="0.25">
      <c r="A787" s="10">
        <v>37944</v>
      </c>
      <c r="B787" s="12">
        <f t="shared" si="36"/>
        <v>11</v>
      </c>
      <c r="C787" s="12">
        <f t="shared" si="37"/>
        <v>2003</v>
      </c>
      <c r="D787" s="13">
        <v>6000</v>
      </c>
      <c r="E787" s="13">
        <v>29.795300000000001</v>
      </c>
      <c r="F787" s="13">
        <f t="shared" si="38"/>
        <v>201.37404221471172</v>
      </c>
    </row>
    <row r="788" spans="1:6" x14ac:dyDescent="0.25">
      <c r="A788" s="10">
        <v>37945</v>
      </c>
      <c r="B788" s="12">
        <f t="shared" si="36"/>
        <v>11</v>
      </c>
      <c r="C788" s="12">
        <f t="shared" si="37"/>
        <v>2003</v>
      </c>
      <c r="D788" s="13">
        <v>6000</v>
      </c>
      <c r="E788" s="13">
        <v>29.8002</v>
      </c>
      <c r="F788" s="13">
        <f t="shared" si="38"/>
        <v>201.34093059778121</v>
      </c>
    </row>
    <row r="789" spans="1:6" x14ac:dyDescent="0.25">
      <c r="A789" s="10">
        <v>37946</v>
      </c>
      <c r="B789" s="12">
        <f t="shared" si="36"/>
        <v>11</v>
      </c>
      <c r="C789" s="12">
        <f t="shared" si="37"/>
        <v>2003</v>
      </c>
      <c r="D789" s="13">
        <v>6000</v>
      </c>
      <c r="E789" s="13">
        <v>29.79</v>
      </c>
      <c r="F789" s="13">
        <f t="shared" si="38"/>
        <v>201.40986908358511</v>
      </c>
    </row>
    <row r="790" spans="1:6" x14ac:dyDescent="0.25">
      <c r="A790" s="10">
        <v>37949</v>
      </c>
      <c r="B790" s="12">
        <f t="shared" si="36"/>
        <v>11</v>
      </c>
      <c r="C790" s="12">
        <f t="shared" si="37"/>
        <v>2003</v>
      </c>
      <c r="D790" s="13">
        <v>6150</v>
      </c>
      <c r="E790" s="13">
        <v>29.727499999999999</v>
      </c>
      <c r="F790" s="13">
        <f t="shared" si="38"/>
        <v>206.87915230005888</v>
      </c>
    </row>
    <row r="791" spans="1:6" x14ac:dyDescent="0.25">
      <c r="A791" s="10">
        <v>37950</v>
      </c>
      <c r="B791" s="12">
        <f t="shared" si="36"/>
        <v>11</v>
      </c>
      <c r="C791" s="12">
        <f t="shared" si="37"/>
        <v>2003</v>
      </c>
      <c r="D791" s="13">
        <v>6150</v>
      </c>
      <c r="E791" s="13">
        <v>29.733000000000001</v>
      </c>
      <c r="F791" s="13">
        <f t="shared" si="38"/>
        <v>206.84088386641105</v>
      </c>
    </row>
    <row r="792" spans="1:6" x14ac:dyDescent="0.25">
      <c r="A792" s="10">
        <v>37951</v>
      </c>
      <c r="B792" s="12">
        <f t="shared" si="36"/>
        <v>11</v>
      </c>
      <c r="C792" s="12">
        <f t="shared" si="37"/>
        <v>2003</v>
      </c>
      <c r="D792" s="13">
        <v>6150</v>
      </c>
      <c r="E792" s="13">
        <v>29.725000000000001</v>
      </c>
      <c r="F792" s="13">
        <f t="shared" si="38"/>
        <v>206.89655172413791</v>
      </c>
    </row>
    <row r="793" spans="1:6" x14ac:dyDescent="0.25">
      <c r="A793" s="10">
        <v>37953</v>
      </c>
      <c r="B793" s="12">
        <f t="shared" si="36"/>
        <v>11</v>
      </c>
      <c r="C793" s="12">
        <f t="shared" si="37"/>
        <v>2003</v>
      </c>
      <c r="D793" s="13">
        <v>6150</v>
      </c>
      <c r="E793" s="13">
        <v>29.735499999999998</v>
      </c>
      <c r="F793" s="13">
        <f t="shared" si="38"/>
        <v>206.82349380370266</v>
      </c>
    </row>
    <row r="794" spans="1:6" x14ac:dyDescent="0.25">
      <c r="A794" s="10">
        <v>37956</v>
      </c>
      <c r="B794" s="12">
        <f t="shared" si="36"/>
        <v>12</v>
      </c>
      <c r="C794" s="12">
        <f t="shared" si="37"/>
        <v>2003</v>
      </c>
      <c r="D794" s="13">
        <v>6150</v>
      </c>
      <c r="E794" s="13">
        <v>29.696899999999999</v>
      </c>
      <c r="F794" s="13">
        <f t="shared" si="38"/>
        <v>207.09232276769629</v>
      </c>
    </row>
    <row r="795" spans="1:6" x14ac:dyDescent="0.25">
      <c r="A795" s="10">
        <v>37957</v>
      </c>
      <c r="B795" s="12">
        <f t="shared" si="36"/>
        <v>12</v>
      </c>
      <c r="C795" s="12">
        <f t="shared" si="37"/>
        <v>2003</v>
      </c>
      <c r="D795" s="13">
        <v>6150</v>
      </c>
      <c r="E795" s="13">
        <v>29.694800000000001</v>
      </c>
      <c r="F795" s="13">
        <f t="shared" si="38"/>
        <v>207.10696822339264</v>
      </c>
    </row>
    <row r="796" spans="1:6" x14ac:dyDescent="0.25">
      <c r="A796" s="10">
        <v>37958</v>
      </c>
      <c r="B796" s="12">
        <f t="shared" si="36"/>
        <v>12</v>
      </c>
      <c r="C796" s="12">
        <f t="shared" si="37"/>
        <v>2003</v>
      </c>
      <c r="D796" s="13">
        <v>6150</v>
      </c>
      <c r="E796" s="13">
        <v>29.691500000000001</v>
      </c>
      <c r="F796" s="13">
        <f t="shared" si="38"/>
        <v>207.1299866965293</v>
      </c>
    </row>
    <row r="797" spans="1:6" x14ac:dyDescent="0.25">
      <c r="A797" s="10">
        <v>37959</v>
      </c>
      <c r="B797" s="12">
        <f t="shared" si="36"/>
        <v>12</v>
      </c>
      <c r="C797" s="12">
        <f t="shared" si="37"/>
        <v>2003</v>
      </c>
      <c r="D797" s="13">
        <v>6150</v>
      </c>
      <c r="E797" s="13">
        <v>29.684999999999999</v>
      </c>
      <c r="F797" s="13">
        <f t="shared" si="38"/>
        <v>207.17534108135422</v>
      </c>
    </row>
    <row r="798" spans="1:6" x14ac:dyDescent="0.25">
      <c r="A798" s="10">
        <v>37960</v>
      </c>
      <c r="B798" s="12">
        <f t="shared" si="36"/>
        <v>12</v>
      </c>
      <c r="C798" s="12">
        <f t="shared" si="37"/>
        <v>2003</v>
      </c>
      <c r="D798" s="13">
        <v>6150</v>
      </c>
      <c r="E798" s="13">
        <v>29.623000000000001</v>
      </c>
      <c r="F798" s="13">
        <f t="shared" si="38"/>
        <v>207.60895250312257</v>
      </c>
    </row>
    <row r="799" spans="1:6" x14ac:dyDescent="0.25">
      <c r="A799" s="10">
        <v>37963</v>
      </c>
      <c r="B799" s="12">
        <f t="shared" si="36"/>
        <v>12</v>
      </c>
      <c r="C799" s="12">
        <f t="shared" si="37"/>
        <v>2003</v>
      </c>
      <c r="D799" s="13">
        <v>6150</v>
      </c>
      <c r="E799" s="13">
        <v>29.553000000000001</v>
      </c>
      <c r="F799" s="13">
        <f t="shared" si="38"/>
        <v>208.1007004365039</v>
      </c>
    </row>
    <row r="800" spans="1:6" x14ac:dyDescent="0.25">
      <c r="A800" s="10">
        <v>37964</v>
      </c>
      <c r="B800" s="12">
        <f t="shared" si="36"/>
        <v>12</v>
      </c>
      <c r="C800" s="12">
        <f t="shared" si="37"/>
        <v>2003</v>
      </c>
      <c r="D800" s="13">
        <v>6150</v>
      </c>
      <c r="E800" s="13">
        <v>29.535</v>
      </c>
      <c r="F800" s="13">
        <f t="shared" si="38"/>
        <v>208.22752666328086</v>
      </c>
    </row>
    <row r="801" spans="1:6" x14ac:dyDescent="0.25">
      <c r="A801" s="10">
        <v>37965</v>
      </c>
      <c r="B801" s="12">
        <f t="shared" si="36"/>
        <v>12</v>
      </c>
      <c r="C801" s="12">
        <f t="shared" si="37"/>
        <v>2003</v>
      </c>
      <c r="D801" s="13">
        <v>6150</v>
      </c>
      <c r="E801" s="13">
        <v>29.512</v>
      </c>
      <c r="F801" s="13">
        <f t="shared" si="38"/>
        <v>208.38980753591758</v>
      </c>
    </row>
    <row r="802" spans="1:6" x14ac:dyDescent="0.25">
      <c r="A802" s="10">
        <v>37966</v>
      </c>
      <c r="B802" s="12">
        <f t="shared" si="36"/>
        <v>12</v>
      </c>
      <c r="C802" s="12">
        <f t="shared" si="37"/>
        <v>2003</v>
      </c>
      <c r="D802" s="13">
        <v>6150</v>
      </c>
      <c r="E802" s="13">
        <v>29.397300000000001</v>
      </c>
      <c r="F802" s="13">
        <f t="shared" si="38"/>
        <v>209.20288597932463</v>
      </c>
    </row>
    <row r="803" spans="1:6" x14ac:dyDescent="0.25">
      <c r="A803" s="10">
        <v>37967</v>
      </c>
      <c r="B803" s="12">
        <f t="shared" si="36"/>
        <v>12</v>
      </c>
      <c r="C803" s="12">
        <f t="shared" si="37"/>
        <v>2003</v>
      </c>
      <c r="D803" s="13">
        <v>6150</v>
      </c>
      <c r="E803" s="13">
        <v>29.397500000000001</v>
      </c>
      <c r="F803" s="13">
        <f t="shared" si="38"/>
        <v>209.20146270941407</v>
      </c>
    </row>
    <row r="804" spans="1:6" x14ac:dyDescent="0.25">
      <c r="A804" s="10">
        <v>37970</v>
      </c>
      <c r="B804" s="12">
        <f t="shared" si="36"/>
        <v>12</v>
      </c>
      <c r="C804" s="12">
        <f t="shared" si="37"/>
        <v>2003</v>
      </c>
      <c r="D804" s="13">
        <v>6750</v>
      </c>
      <c r="E804" s="13">
        <v>29.38</v>
      </c>
      <c r="F804" s="13">
        <f t="shared" si="38"/>
        <v>229.74812797821647</v>
      </c>
    </row>
    <row r="805" spans="1:6" x14ac:dyDescent="0.25">
      <c r="A805" s="10">
        <v>37971</v>
      </c>
      <c r="B805" s="12">
        <f t="shared" si="36"/>
        <v>12</v>
      </c>
      <c r="C805" s="12">
        <f t="shared" si="37"/>
        <v>2003</v>
      </c>
      <c r="D805" s="13">
        <v>6750</v>
      </c>
      <c r="E805" s="13">
        <v>29.2455</v>
      </c>
      <c r="F805" s="13">
        <f t="shared" si="38"/>
        <v>230.80473919064471</v>
      </c>
    </row>
    <row r="806" spans="1:6" x14ac:dyDescent="0.25">
      <c r="A806" s="10">
        <v>37972</v>
      </c>
      <c r="B806" s="12">
        <f t="shared" si="36"/>
        <v>12</v>
      </c>
      <c r="C806" s="12">
        <f t="shared" si="37"/>
        <v>2003</v>
      </c>
      <c r="D806" s="13">
        <v>6750</v>
      </c>
      <c r="E806" s="13">
        <v>29.253699999999998</v>
      </c>
      <c r="F806" s="13">
        <f t="shared" si="38"/>
        <v>230.74004313984216</v>
      </c>
    </row>
    <row r="807" spans="1:6" x14ac:dyDescent="0.25">
      <c r="A807" s="10">
        <v>37973</v>
      </c>
      <c r="B807" s="12">
        <f t="shared" si="36"/>
        <v>12</v>
      </c>
      <c r="C807" s="12">
        <f t="shared" si="37"/>
        <v>2003</v>
      </c>
      <c r="D807" s="13">
        <v>6750</v>
      </c>
      <c r="E807" s="13">
        <v>29.2376</v>
      </c>
      <c r="F807" s="13">
        <f t="shared" si="38"/>
        <v>230.8671026349632</v>
      </c>
    </row>
    <row r="808" spans="1:6" x14ac:dyDescent="0.25">
      <c r="A808" s="10">
        <v>37974</v>
      </c>
      <c r="B808" s="12">
        <f t="shared" si="36"/>
        <v>12</v>
      </c>
      <c r="C808" s="12">
        <f t="shared" si="37"/>
        <v>2003</v>
      </c>
      <c r="D808" s="13">
        <v>6750</v>
      </c>
      <c r="E808" s="13">
        <v>29.280100000000001</v>
      </c>
      <c r="F808" s="13">
        <f t="shared" si="38"/>
        <v>230.53199954918185</v>
      </c>
    </row>
    <row r="809" spans="1:6" x14ac:dyDescent="0.25">
      <c r="A809" s="10">
        <v>37977</v>
      </c>
      <c r="B809" s="12">
        <f t="shared" si="36"/>
        <v>12</v>
      </c>
      <c r="C809" s="12">
        <f t="shared" si="37"/>
        <v>2003</v>
      </c>
      <c r="D809" s="13">
        <v>6800</v>
      </c>
      <c r="E809" s="13">
        <v>29.247399999999999</v>
      </c>
      <c r="F809" s="13">
        <f t="shared" si="38"/>
        <v>232.49929908299541</v>
      </c>
    </row>
    <row r="810" spans="1:6" x14ac:dyDescent="0.25">
      <c r="A810" s="10">
        <v>37978</v>
      </c>
      <c r="B810" s="12">
        <f t="shared" si="36"/>
        <v>12</v>
      </c>
      <c r="C810" s="12">
        <f t="shared" si="37"/>
        <v>2003</v>
      </c>
      <c r="D810" s="13">
        <v>6800</v>
      </c>
      <c r="E810" s="13">
        <v>29.238</v>
      </c>
      <c r="F810" s="13">
        <f t="shared" si="38"/>
        <v>232.57404747246733</v>
      </c>
    </row>
    <row r="811" spans="1:6" x14ac:dyDescent="0.25">
      <c r="A811" s="10">
        <v>37979</v>
      </c>
      <c r="B811" s="12">
        <f t="shared" si="36"/>
        <v>12</v>
      </c>
      <c r="C811" s="12">
        <f t="shared" si="37"/>
        <v>2003</v>
      </c>
      <c r="D811" s="13">
        <v>6800</v>
      </c>
      <c r="E811" s="13">
        <v>29.238</v>
      </c>
      <c r="F811" s="13">
        <f t="shared" si="38"/>
        <v>232.57404747246733</v>
      </c>
    </row>
    <row r="812" spans="1:6" x14ac:dyDescent="0.25">
      <c r="A812" s="10">
        <v>37981</v>
      </c>
      <c r="B812" s="12">
        <f t="shared" si="36"/>
        <v>12</v>
      </c>
      <c r="C812" s="12">
        <f t="shared" si="37"/>
        <v>2003</v>
      </c>
      <c r="D812" s="13">
        <v>6800</v>
      </c>
      <c r="E812" s="13">
        <v>29.351299999999998</v>
      </c>
      <c r="F812" s="13">
        <f t="shared" si="38"/>
        <v>231.67628009662266</v>
      </c>
    </row>
    <row r="813" spans="1:6" x14ac:dyDescent="0.25">
      <c r="A813" s="10">
        <v>37984</v>
      </c>
      <c r="B813" s="12">
        <f t="shared" si="36"/>
        <v>12</v>
      </c>
      <c r="C813" s="12">
        <f t="shared" si="37"/>
        <v>2003</v>
      </c>
      <c r="D813" s="13">
        <v>6800</v>
      </c>
      <c r="E813" s="13">
        <v>29.409700000000001</v>
      </c>
      <c r="F813" s="13">
        <f t="shared" si="38"/>
        <v>231.21623137944283</v>
      </c>
    </row>
    <row r="814" spans="1:6" x14ac:dyDescent="0.25">
      <c r="A814" s="10">
        <v>37985</v>
      </c>
      <c r="B814" s="12">
        <f t="shared" si="36"/>
        <v>12</v>
      </c>
      <c r="C814" s="12">
        <f t="shared" si="37"/>
        <v>2003</v>
      </c>
      <c r="D814" s="13">
        <v>6800</v>
      </c>
      <c r="E814" s="13">
        <v>29.234999999999999</v>
      </c>
      <c r="F814" s="13">
        <f t="shared" si="38"/>
        <v>232.59791345989396</v>
      </c>
    </row>
    <row r="815" spans="1:6" x14ac:dyDescent="0.25">
      <c r="A815" s="10">
        <v>37986</v>
      </c>
      <c r="B815" s="12">
        <f t="shared" si="36"/>
        <v>12</v>
      </c>
      <c r="C815" s="12">
        <f t="shared" si="37"/>
        <v>2003</v>
      </c>
      <c r="D815" s="13">
        <v>6800</v>
      </c>
      <c r="E815" s="13">
        <v>29.234999999999999</v>
      </c>
      <c r="F815" s="13">
        <f t="shared" si="38"/>
        <v>232.59791345989396</v>
      </c>
    </row>
    <row r="816" spans="1:6" x14ac:dyDescent="0.25">
      <c r="A816" s="10">
        <v>37988</v>
      </c>
      <c r="B816" s="12">
        <f t="shared" si="36"/>
        <v>1</v>
      </c>
      <c r="C816" s="12">
        <f t="shared" si="37"/>
        <v>2004</v>
      </c>
      <c r="D816" s="13">
        <v>6800</v>
      </c>
      <c r="E816" s="13">
        <v>29.23</v>
      </c>
      <c r="F816" s="13">
        <f t="shared" si="38"/>
        <v>232.63770099213136</v>
      </c>
    </row>
    <row r="817" spans="1:6" x14ac:dyDescent="0.25">
      <c r="A817" s="10">
        <v>37991</v>
      </c>
      <c r="B817" s="12">
        <f t="shared" si="36"/>
        <v>1</v>
      </c>
      <c r="C817" s="12">
        <f t="shared" si="37"/>
        <v>2004</v>
      </c>
      <c r="D817" s="13">
        <v>6800</v>
      </c>
      <c r="E817" s="13">
        <v>29.2316</v>
      </c>
      <c r="F817" s="13">
        <f t="shared" si="38"/>
        <v>232.62496750092365</v>
      </c>
    </row>
    <row r="818" spans="1:6" x14ac:dyDescent="0.25">
      <c r="A818" s="10">
        <v>37992</v>
      </c>
      <c r="B818" s="12">
        <f t="shared" si="36"/>
        <v>1</v>
      </c>
      <c r="C818" s="12">
        <f t="shared" si="37"/>
        <v>2004</v>
      </c>
      <c r="D818" s="13">
        <v>6800</v>
      </c>
      <c r="E818" s="13">
        <v>29.242000000000001</v>
      </c>
      <c r="F818" s="13">
        <f t="shared" si="38"/>
        <v>232.54223377333972</v>
      </c>
    </row>
    <row r="819" spans="1:6" x14ac:dyDescent="0.25">
      <c r="A819" s="10">
        <v>37993</v>
      </c>
      <c r="B819" s="12">
        <f t="shared" si="36"/>
        <v>1</v>
      </c>
      <c r="C819" s="12">
        <f t="shared" si="37"/>
        <v>2004</v>
      </c>
      <c r="D819" s="13">
        <v>6800</v>
      </c>
      <c r="E819" s="13">
        <v>29.23</v>
      </c>
      <c r="F819" s="13">
        <f t="shared" si="38"/>
        <v>232.63770099213136</v>
      </c>
    </row>
    <row r="820" spans="1:6" x14ac:dyDescent="0.25">
      <c r="A820" s="10">
        <v>37994</v>
      </c>
      <c r="B820" s="12">
        <f t="shared" si="36"/>
        <v>1</v>
      </c>
      <c r="C820" s="12">
        <f t="shared" si="37"/>
        <v>2004</v>
      </c>
      <c r="D820" s="13">
        <v>6800</v>
      </c>
      <c r="E820" s="13">
        <v>29.1</v>
      </c>
      <c r="F820" s="13">
        <f t="shared" si="38"/>
        <v>233.67697594501718</v>
      </c>
    </row>
    <row r="821" spans="1:6" x14ac:dyDescent="0.25">
      <c r="A821" s="10">
        <v>37995</v>
      </c>
      <c r="B821" s="12">
        <f t="shared" si="36"/>
        <v>1</v>
      </c>
      <c r="C821" s="12">
        <f t="shared" si="37"/>
        <v>2004</v>
      </c>
      <c r="D821" s="13">
        <v>6800</v>
      </c>
      <c r="E821" s="13">
        <v>28.937200000000001</v>
      </c>
      <c r="F821" s="13">
        <f t="shared" si="38"/>
        <v>234.99163706232807</v>
      </c>
    </row>
    <row r="822" spans="1:6" x14ac:dyDescent="0.25">
      <c r="A822" s="10">
        <v>37998</v>
      </c>
      <c r="B822" s="12">
        <f t="shared" si="36"/>
        <v>1</v>
      </c>
      <c r="C822" s="12">
        <f t="shared" si="37"/>
        <v>2004</v>
      </c>
      <c r="D822" s="13">
        <v>6800</v>
      </c>
      <c r="E822" s="13">
        <v>28.897500000000001</v>
      </c>
      <c r="F822" s="13">
        <f t="shared" si="38"/>
        <v>235.31447357037806</v>
      </c>
    </row>
    <row r="823" spans="1:6" x14ac:dyDescent="0.25">
      <c r="A823" s="10">
        <v>37999</v>
      </c>
      <c r="B823" s="12">
        <f t="shared" si="36"/>
        <v>1</v>
      </c>
      <c r="C823" s="12">
        <f t="shared" si="37"/>
        <v>2004</v>
      </c>
      <c r="D823" s="13">
        <v>6800</v>
      </c>
      <c r="E823" s="13">
        <v>28.858000000000001</v>
      </c>
      <c r="F823" s="13">
        <f t="shared" si="38"/>
        <v>235.6365652505371</v>
      </c>
    </row>
    <row r="824" spans="1:6" x14ac:dyDescent="0.25">
      <c r="A824" s="10">
        <v>38000</v>
      </c>
      <c r="B824" s="12">
        <f t="shared" si="36"/>
        <v>1</v>
      </c>
      <c r="C824" s="12">
        <f t="shared" si="37"/>
        <v>2004</v>
      </c>
      <c r="D824" s="13">
        <v>6800</v>
      </c>
      <c r="E824" s="13">
        <v>28.882000000000001</v>
      </c>
      <c r="F824" s="13">
        <f t="shared" si="38"/>
        <v>235.4407589502112</v>
      </c>
    </row>
    <row r="825" spans="1:6" x14ac:dyDescent="0.25">
      <c r="A825" s="10">
        <v>38001</v>
      </c>
      <c r="B825" s="12">
        <f t="shared" si="36"/>
        <v>1</v>
      </c>
      <c r="C825" s="12">
        <f t="shared" si="37"/>
        <v>2004</v>
      </c>
      <c r="D825" s="13">
        <v>6800</v>
      </c>
      <c r="E825" s="13">
        <v>28.873999999999999</v>
      </c>
      <c r="F825" s="13">
        <f t="shared" si="38"/>
        <v>235.50599154949091</v>
      </c>
    </row>
    <row r="826" spans="1:6" x14ac:dyDescent="0.25">
      <c r="A826" s="10">
        <v>38002</v>
      </c>
      <c r="B826" s="12">
        <f t="shared" si="36"/>
        <v>1</v>
      </c>
      <c r="C826" s="12">
        <f t="shared" si="37"/>
        <v>2004</v>
      </c>
      <c r="D826" s="13">
        <v>6800</v>
      </c>
      <c r="E826" s="13">
        <v>28.7836</v>
      </c>
      <c r="F826" s="13">
        <f t="shared" si="38"/>
        <v>236.245639878264</v>
      </c>
    </row>
    <row r="827" spans="1:6" x14ac:dyDescent="0.25">
      <c r="A827" s="10">
        <v>38006</v>
      </c>
      <c r="B827" s="12">
        <f t="shared" si="36"/>
        <v>1</v>
      </c>
      <c r="C827" s="12">
        <f t="shared" si="37"/>
        <v>2004</v>
      </c>
      <c r="D827" s="13">
        <v>7350</v>
      </c>
      <c r="E827" s="13">
        <v>28.738199999999999</v>
      </c>
      <c r="F827" s="13">
        <f t="shared" si="38"/>
        <v>255.75714554147442</v>
      </c>
    </row>
    <row r="828" spans="1:6" x14ac:dyDescent="0.25">
      <c r="A828" s="10">
        <v>38007</v>
      </c>
      <c r="B828" s="12">
        <f t="shared" si="36"/>
        <v>1</v>
      </c>
      <c r="C828" s="12">
        <f t="shared" si="37"/>
        <v>2004</v>
      </c>
      <c r="D828" s="13">
        <v>7350</v>
      </c>
      <c r="E828" s="13">
        <v>28.774000000000001</v>
      </c>
      <c r="F828" s="13">
        <f t="shared" si="38"/>
        <v>255.43893793007575</v>
      </c>
    </row>
    <row r="829" spans="1:6" x14ac:dyDescent="0.25">
      <c r="A829" s="10">
        <v>38008</v>
      </c>
      <c r="B829" s="12">
        <f t="shared" si="36"/>
        <v>1</v>
      </c>
      <c r="C829" s="12">
        <f t="shared" si="37"/>
        <v>2004</v>
      </c>
      <c r="D829" s="13">
        <v>7350</v>
      </c>
      <c r="E829" s="13">
        <v>28.615400000000001</v>
      </c>
      <c r="F829" s="13">
        <f t="shared" si="38"/>
        <v>256.85470061575234</v>
      </c>
    </row>
    <row r="830" spans="1:6" x14ac:dyDescent="0.25">
      <c r="A830" s="10">
        <v>38009</v>
      </c>
      <c r="B830" s="12">
        <f t="shared" si="36"/>
        <v>1</v>
      </c>
      <c r="C830" s="12">
        <f t="shared" si="37"/>
        <v>2004</v>
      </c>
      <c r="D830" s="13">
        <v>7350</v>
      </c>
      <c r="E830" s="13">
        <v>28.506</v>
      </c>
      <c r="F830" s="13">
        <f t="shared" si="38"/>
        <v>257.84045464112819</v>
      </c>
    </row>
    <row r="831" spans="1:6" x14ac:dyDescent="0.25">
      <c r="A831" s="10">
        <v>38012</v>
      </c>
      <c r="B831" s="12">
        <f t="shared" si="36"/>
        <v>1</v>
      </c>
      <c r="C831" s="12">
        <f t="shared" si="37"/>
        <v>2004</v>
      </c>
      <c r="D831" s="13">
        <v>7350</v>
      </c>
      <c r="E831" s="13">
        <v>28.510999999999999</v>
      </c>
      <c r="F831" s="13">
        <f t="shared" si="38"/>
        <v>257.79523692609871</v>
      </c>
    </row>
    <row r="832" spans="1:6" x14ac:dyDescent="0.25">
      <c r="A832" s="10">
        <v>38013</v>
      </c>
      <c r="B832" s="12">
        <f t="shared" si="36"/>
        <v>1</v>
      </c>
      <c r="C832" s="12">
        <f t="shared" si="37"/>
        <v>2004</v>
      </c>
      <c r="D832" s="13">
        <v>7350</v>
      </c>
      <c r="E832" s="13">
        <v>28.47</v>
      </c>
      <c r="F832" s="13">
        <f t="shared" si="38"/>
        <v>258.16649104320339</v>
      </c>
    </row>
    <row r="833" spans="1:6" x14ac:dyDescent="0.25">
      <c r="A833" s="10">
        <v>38014</v>
      </c>
      <c r="B833" s="12">
        <f t="shared" si="36"/>
        <v>1</v>
      </c>
      <c r="C833" s="12">
        <f t="shared" si="37"/>
        <v>2004</v>
      </c>
      <c r="D833" s="13">
        <v>7350</v>
      </c>
      <c r="E833" s="13">
        <v>28.47</v>
      </c>
      <c r="F833" s="13">
        <f t="shared" si="38"/>
        <v>258.16649104320339</v>
      </c>
    </row>
    <row r="834" spans="1:6" x14ac:dyDescent="0.25">
      <c r="A834" s="10">
        <v>38015</v>
      </c>
      <c r="B834" s="12">
        <f t="shared" si="36"/>
        <v>1</v>
      </c>
      <c r="C834" s="12">
        <f t="shared" si="37"/>
        <v>2004</v>
      </c>
      <c r="D834" s="13">
        <v>7350</v>
      </c>
      <c r="E834" s="13">
        <v>28.494399999999999</v>
      </c>
      <c r="F834" s="13">
        <f t="shared" si="38"/>
        <v>257.9454208546241</v>
      </c>
    </row>
    <row r="835" spans="1:6" x14ac:dyDescent="0.25">
      <c r="A835" s="10">
        <v>38016</v>
      </c>
      <c r="B835" s="12">
        <f t="shared" ref="B835:B898" si="39">MONTH(A835)</f>
        <v>1</v>
      </c>
      <c r="C835" s="12">
        <f t="shared" ref="C835:C898" si="40">YEAR(A835)</f>
        <v>2004</v>
      </c>
      <c r="D835" s="13">
        <v>7350</v>
      </c>
      <c r="E835" s="13">
        <v>28.5246</v>
      </c>
      <c r="F835" s="13">
        <f t="shared" ref="F835:F898" si="41">IF(D835="","",D835/E835)</f>
        <v>257.6723249405776</v>
      </c>
    </row>
    <row r="836" spans="1:6" x14ac:dyDescent="0.25">
      <c r="A836" s="10">
        <v>38019</v>
      </c>
      <c r="B836" s="12">
        <f t="shared" si="39"/>
        <v>2</v>
      </c>
      <c r="C836" s="12">
        <f t="shared" si="40"/>
        <v>2004</v>
      </c>
      <c r="D836" s="13">
        <v>7600</v>
      </c>
      <c r="E836" s="13">
        <v>28.591999999999999</v>
      </c>
      <c r="F836" s="13">
        <f t="shared" si="41"/>
        <v>265.8086177951875</v>
      </c>
    </row>
    <row r="837" spans="1:6" x14ac:dyDescent="0.25">
      <c r="A837" s="10">
        <v>38020</v>
      </c>
      <c r="B837" s="12">
        <f t="shared" si="39"/>
        <v>2</v>
      </c>
      <c r="C837" s="12">
        <f t="shared" si="40"/>
        <v>2004</v>
      </c>
      <c r="D837" s="13">
        <v>7600</v>
      </c>
      <c r="E837" s="13">
        <v>28.566299999999998</v>
      </c>
      <c r="F837" s="13">
        <f t="shared" si="41"/>
        <v>266.0477555721252</v>
      </c>
    </row>
    <row r="838" spans="1:6" x14ac:dyDescent="0.25">
      <c r="A838" s="10">
        <v>38021</v>
      </c>
      <c r="B838" s="12">
        <f t="shared" si="39"/>
        <v>2</v>
      </c>
      <c r="C838" s="12">
        <f t="shared" si="40"/>
        <v>2004</v>
      </c>
      <c r="D838" s="13">
        <v>7600</v>
      </c>
      <c r="E838" s="13">
        <v>28.49</v>
      </c>
      <c r="F838" s="13">
        <f t="shared" si="41"/>
        <v>266.7602667602668</v>
      </c>
    </row>
    <row r="839" spans="1:6" x14ac:dyDescent="0.25">
      <c r="A839" s="10">
        <v>38022</v>
      </c>
      <c r="B839" s="12">
        <f t="shared" si="39"/>
        <v>2</v>
      </c>
      <c r="C839" s="12">
        <f t="shared" si="40"/>
        <v>2004</v>
      </c>
      <c r="D839" s="13">
        <v>7600</v>
      </c>
      <c r="E839" s="13">
        <v>28.532</v>
      </c>
      <c r="F839" s="13">
        <f t="shared" si="41"/>
        <v>266.36758727043321</v>
      </c>
    </row>
    <row r="840" spans="1:6" x14ac:dyDescent="0.25">
      <c r="A840" s="10">
        <v>38023</v>
      </c>
      <c r="B840" s="12">
        <f t="shared" si="39"/>
        <v>2</v>
      </c>
      <c r="C840" s="12">
        <f t="shared" si="40"/>
        <v>2004</v>
      </c>
      <c r="D840" s="13">
        <v>7600</v>
      </c>
      <c r="E840" s="13">
        <v>28.523</v>
      </c>
      <c r="F840" s="13">
        <f t="shared" si="41"/>
        <v>266.45163552221015</v>
      </c>
    </row>
    <row r="841" spans="1:6" x14ac:dyDescent="0.25">
      <c r="A841" s="10">
        <v>38026</v>
      </c>
      <c r="B841" s="12">
        <f t="shared" si="39"/>
        <v>2</v>
      </c>
      <c r="C841" s="12">
        <f t="shared" si="40"/>
        <v>2004</v>
      </c>
      <c r="D841" s="13">
        <v>7750</v>
      </c>
      <c r="E841" s="13">
        <v>28.498999999999999</v>
      </c>
      <c r="F841" s="13">
        <f t="shared" si="41"/>
        <v>271.93936629355414</v>
      </c>
    </row>
    <row r="842" spans="1:6" x14ac:dyDescent="0.25">
      <c r="A842" s="10">
        <v>38027</v>
      </c>
      <c r="B842" s="12">
        <f t="shared" si="39"/>
        <v>2</v>
      </c>
      <c r="C842" s="12">
        <f t="shared" si="40"/>
        <v>2004</v>
      </c>
      <c r="D842" s="13">
        <v>7750</v>
      </c>
      <c r="E842" s="13">
        <v>28.44</v>
      </c>
      <c r="F842" s="13">
        <f t="shared" si="41"/>
        <v>272.50351617440225</v>
      </c>
    </row>
    <row r="843" spans="1:6" x14ac:dyDescent="0.25">
      <c r="A843" s="10">
        <v>38028</v>
      </c>
      <c r="B843" s="12">
        <f t="shared" si="39"/>
        <v>2</v>
      </c>
      <c r="C843" s="12">
        <f t="shared" si="40"/>
        <v>2004</v>
      </c>
      <c r="D843" s="13">
        <v>7750</v>
      </c>
      <c r="E843" s="13">
        <v>28.51</v>
      </c>
      <c r="F843" s="13">
        <f t="shared" si="41"/>
        <v>271.83444405471761</v>
      </c>
    </row>
    <row r="844" spans="1:6" x14ac:dyDescent="0.25">
      <c r="A844" s="10">
        <v>38029</v>
      </c>
      <c r="B844" s="12">
        <f t="shared" si="39"/>
        <v>2</v>
      </c>
      <c r="C844" s="12">
        <f t="shared" si="40"/>
        <v>2004</v>
      </c>
      <c r="D844" s="13">
        <v>7750</v>
      </c>
      <c r="E844" s="13">
        <v>28.45</v>
      </c>
      <c r="F844" s="13">
        <f t="shared" si="41"/>
        <v>272.40773286467487</v>
      </c>
    </row>
    <row r="845" spans="1:6" x14ac:dyDescent="0.25">
      <c r="A845" s="10">
        <v>38030</v>
      </c>
      <c r="B845" s="12">
        <f t="shared" si="39"/>
        <v>2</v>
      </c>
      <c r="C845" s="12">
        <f t="shared" si="40"/>
        <v>2004</v>
      </c>
      <c r="D845" s="13">
        <v>7750</v>
      </c>
      <c r="E845" s="13">
        <v>28.436499999999999</v>
      </c>
      <c r="F845" s="13">
        <f t="shared" si="41"/>
        <v>272.53705624813182</v>
      </c>
    </row>
    <row r="846" spans="1:6" x14ac:dyDescent="0.25">
      <c r="A846" s="10">
        <v>38034</v>
      </c>
      <c r="B846" s="12">
        <f t="shared" si="39"/>
        <v>2</v>
      </c>
      <c r="C846" s="12">
        <f t="shared" si="40"/>
        <v>2004</v>
      </c>
      <c r="D846" s="13">
        <v>7750</v>
      </c>
      <c r="E846" s="13">
        <v>28.478300000000001</v>
      </c>
      <c r="F846" s="13">
        <f t="shared" si="41"/>
        <v>272.13703065140828</v>
      </c>
    </row>
    <row r="847" spans="1:6" x14ac:dyDescent="0.25">
      <c r="A847" s="10">
        <v>38035</v>
      </c>
      <c r="B847" s="12">
        <f t="shared" si="39"/>
        <v>2</v>
      </c>
      <c r="C847" s="12">
        <f t="shared" si="40"/>
        <v>2004</v>
      </c>
      <c r="D847" s="13">
        <v>7750</v>
      </c>
      <c r="E847" s="13">
        <v>28.479399999999998</v>
      </c>
      <c r="F847" s="13">
        <f t="shared" si="41"/>
        <v>272.12651951937193</v>
      </c>
    </row>
    <row r="848" spans="1:6" x14ac:dyDescent="0.25">
      <c r="A848" s="10">
        <v>38036</v>
      </c>
      <c r="B848" s="12">
        <f t="shared" si="39"/>
        <v>2</v>
      </c>
      <c r="C848" s="12">
        <f t="shared" si="40"/>
        <v>2004</v>
      </c>
      <c r="D848" s="13">
        <v>7750</v>
      </c>
      <c r="E848" s="13">
        <v>28.49</v>
      </c>
      <c r="F848" s="13">
        <f t="shared" si="41"/>
        <v>272.02527202527205</v>
      </c>
    </row>
    <row r="849" spans="1:6" x14ac:dyDescent="0.25">
      <c r="A849" s="10">
        <v>38037</v>
      </c>
      <c r="B849" s="12">
        <f t="shared" si="39"/>
        <v>2</v>
      </c>
      <c r="C849" s="12">
        <f t="shared" si="40"/>
        <v>2004</v>
      </c>
      <c r="D849" s="13">
        <v>7750</v>
      </c>
      <c r="E849" s="13">
        <v>28.5</v>
      </c>
      <c r="F849" s="13">
        <f t="shared" si="41"/>
        <v>271.92982456140351</v>
      </c>
    </row>
    <row r="850" spans="1:6" x14ac:dyDescent="0.25">
      <c r="A850" s="10">
        <v>38040</v>
      </c>
      <c r="B850" s="12">
        <f t="shared" si="39"/>
        <v>2</v>
      </c>
      <c r="C850" s="12">
        <f t="shared" si="40"/>
        <v>2004</v>
      </c>
      <c r="D850" s="13">
        <v>7850</v>
      </c>
      <c r="E850" s="13">
        <v>28.492999999999999</v>
      </c>
      <c r="F850" s="13">
        <f t="shared" si="41"/>
        <v>275.50626469659215</v>
      </c>
    </row>
    <row r="851" spans="1:6" x14ac:dyDescent="0.25">
      <c r="A851" s="10">
        <v>38041</v>
      </c>
      <c r="B851" s="12">
        <f t="shared" si="39"/>
        <v>2</v>
      </c>
      <c r="C851" s="12">
        <f t="shared" si="40"/>
        <v>2004</v>
      </c>
      <c r="D851" s="13">
        <v>7850</v>
      </c>
      <c r="E851" s="13">
        <v>28.52</v>
      </c>
      <c r="F851" s="13">
        <f t="shared" si="41"/>
        <v>275.24544179523144</v>
      </c>
    </row>
    <row r="852" spans="1:6" x14ac:dyDescent="0.25">
      <c r="A852" s="10">
        <v>38042</v>
      </c>
      <c r="B852" s="12">
        <f t="shared" si="39"/>
        <v>2</v>
      </c>
      <c r="C852" s="12">
        <f t="shared" si="40"/>
        <v>2004</v>
      </c>
      <c r="D852" s="13">
        <v>7850</v>
      </c>
      <c r="E852" s="13">
        <v>28.491499999999998</v>
      </c>
      <c r="F852" s="13">
        <f t="shared" si="41"/>
        <v>275.52076935226296</v>
      </c>
    </row>
    <row r="853" spans="1:6" x14ac:dyDescent="0.25">
      <c r="A853" s="10">
        <v>38043</v>
      </c>
      <c r="B853" s="12">
        <f t="shared" si="39"/>
        <v>2</v>
      </c>
      <c r="C853" s="12">
        <f t="shared" si="40"/>
        <v>2004</v>
      </c>
      <c r="D853" s="13">
        <v>7850</v>
      </c>
      <c r="E853" s="13">
        <v>28.525400000000001</v>
      </c>
      <c r="F853" s="13">
        <f t="shared" si="41"/>
        <v>275.19333646504515</v>
      </c>
    </row>
    <row r="854" spans="1:6" x14ac:dyDescent="0.25">
      <c r="A854" s="10">
        <v>38044</v>
      </c>
      <c r="B854" s="12">
        <f t="shared" si="39"/>
        <v>2</v>
      </c>
      <c r="C854" s="12">
        <f t="shared" si="40"/>
        <v>2004</v>
      </c>
      <c r="D854" s="13">
        <v>7850</v>
      </c>
      <c r="E854" s="13">
        <v>28.52</v>
      </c>
      <c r="F854" s="13">
        <f t="shared" si="41"/>
        <v>275.24544179523144</v>
      </c>
    </row>
    <row r="855" spans="1:6" x14ac:dyDescent="0.25">
      <c r="A855" s="10">
        <v>38047</v>
      </c>
      <c r="B855" s="12">
        <f t="shared" si="39"/>
        <v>3</v>
      </c>
      <c r="C855" s="12">
        <f t="shared" si="40"/>
        <v>2004</v>
      </c>
      <c r="D855" s="13">
        <v>7950</v>
      </c>
      <c r="E855" s="13">
        <v>28.527999999999999</v>
      </c>
      <c r="F855" s="13">
        <f t="shared" si="41"/>
        <v>278.67358384744813</v>
      </c>
    </row>
    <row r="856" spans="1:6" x14ac:dyDescent="0.25">
      <c r="A856" s="10">
        <v>38048</v>
      </c>
      <c r="B856" s="12">
        <f t="shared" si="39"/>
        <v>3</v>
      </c>
      <c r="C856" s="12">
        <f t="shared" si="40"/>
        <v>2004</v>
      </c>
      <c r="D856" s="13">
        <v>7950</v>
      </c>
      <c r="E856" s="13">
        <v>28.54</v>
      </c>
      <c r="F856" s="13">
        <f t="shared" si="41"/>
        <v>278.55641205325861</v>
      </c>
    </row>
    <row r="857" spans="1:6" x14ac:dyDescent="0.25">
      <c r="A857" s="10">
        <v>38049</v>
      </c>
      <c r="B857" s="12">
        <f t="shared" si="39"/>
        <v>3</v>
      </c>
      <c r="C857" s="12">
        <f t="shared" si="40"/>
        <v>2004</v>
      </c>
      <c r="D857" s="13">
        <v>7950</v>
      </c>
      <c r="E857" s="13">
        <v>28.64</v>
      </c>
      <c r="F857" s="13">
        <f t="shared" si="41"/>
        <v>277.58379888268155</v>
      </c>
    </row>
    <row r="858" spans="1:6" x14ac:dyDescent="0.25">
      <c r="A858" s="10">
        <v>38050</v>
      </c>
      <c r="B858" s="12">
        <f t="shared" si="39"/>
        <v>3</v>
      </c>
      <c r="C858" s="12">
        <f t="shared" si="40"/>
        <v>2004</v>
      </c>
      <c r="D858" s="13">
        <v>7950</v>
      </c>
      <c r="E858" s="13">
        <v>28.639800000000001</v>
      </c>
      <c r="F858" s="13">
        <f t="shared" si="41"/>
        <v>277.58573733056795</v>
      </c>
    </row>
    <row r="859" spans="1:6" x14ac:dyDescent="0.25">
      <c r="A859" s="10">
        <v>38051</v>
      </c>
      <c r="B859" s="12">
        <f t="shared" si="39"/>
        <v>3</v>
      </c>
      <c r="C859" s="12">
        <f t="shared" si="40"/>
        <v>2004</v>
      </c>
      <c r="D859" s="13">
        <v>7950</v>
      </c>
      <c r="E859" s="13">
        <v>28.538699999999999</v>
      </c>
      <c r="F859" s="13">
        <f t="shared" si="41"/>
        <v>278.56910090508677</v>
      </c>
    </row>
    <row r="860" spans="1:6" x14ac:dyDescent="0.25">
      <c r="A860" s="10">
        <v>38054</v>
      </c>
      <c r="B860" s="12">
        <f t="shared" si="39"/>
        <v>3</v>
      </c>
      <c r="C860" s="12">
        <f t="shared" si="40"/>
        <v>2004</v>
      </c>
      <c r="D860" s="13">
        <v>8050</v>
      </c>
      <c r="E860" s="13">
        <v>28.539200000000001</v>
      </c>
      <c r="F860" s="13">
        <f t="shared" si="41"/>
        <v>282.06817289903012</v>
      </c>
    </row>
    <row r="861" spans="1:6" x14ac:dyDescent="0.25">
      <c r="A861" s="10">
        <v>38055</v>
      </c>
      <c r="B861" s="12">
        <f t="shared" si="39"/>
        <v>3</v>
      </c>
      <c r="C861" s="12">
        <f t="shared" si="40"/>
        <v>2004</v>
      </c>
      <c r="D861" s="13">
        <v>8050</v>
      </c>
      <c r="E861" s="13">
        <v>28.533000000000001</v>
      </c>
      <c r="F861" s="13">
        <f t="shared" si="41"/>
        <v>282.12946412925385</v>
      </c>
    </row>
    <row r="862" spans="1:6" x14ac:dyDescent="0.25">
      <c r="A862" s="10">
        <v>38056</v>
      </c>
      <c r="B862" s="12">
        <f t="shared" si="39"/>
        <v>3</v>
      </c>
      <c r="C862" s="12">
        <f t="shared" si="40"/>
        <v>2004</v>
      </c>
      <c r="D862" s="13">
        <v>8050</v>
      </c>
      <c r="E862" s="13">
        <v>28.57</v>
      </c>
      <c r="F862" s="13">
        <f t="shared" si="41"/>
        <v>281.7640882044102</v>
      </c>
    </row>
    <row r="863" spans="1:6" x14ac:dyDescent="0.25">
      <c r="A863" s="10">
        <v>38057</v>
      </c>
      <c r="B863" s="12">
        <f t="shared" si="39"/>
        <v>3</v>
      </c>
      <c r="C863" s="12">
        <f t="shared" si="40"/>
        <v>2004</v>
      </c>
      <c r="D863" s="13">
        <v>8050</v>
      </c>
      <c r="E863" s="13">
        <v>28.56</v>
      </c>
      <c r="F863" s="13">
        <f t="shared" si="41"/>
        <v>281.86274509803923</v>
      </c>
    </row>
    <row r="864" spans="1:6" x14ac:dyDescent="0.25">
      <c r="A864" s="10">
        <v>38058</v>
      </c>
      <c r="B864" s="12">
        <f t="shared" si="39"/>
        <v>3</v>
      </c>
      <c r="C864" s="12">
        <f t="shared" si="40"/>
        <v>2004</v>
      </c>
      <c r="D864" s="13">
        <v>8050</v>
      </c>
      <c r="E864" s="13">
        <v>28.5</v>
      </c>
      <c r="F864" s="13">
        <f t="shared" si="41"/>
        <v>282.45614035087721</v>
      </c>
    </row>
    <row r="865" spans="1:6" x14ac:dyDescent="0.25">
      <c r="A865" s="10">
        <v>38061</v>
      </c>
      <c r="B865" s="12">
        <f t="shared" si="39"/>
        <v>3</v>
      </c>
      <c r="C865" s="12">
        <f t="shared" si="40"/>
        <v>2004</v>
      </c>
      <c r="D865" s="13">
        <v>8150</v>
      </c>
      <c r="E865" s="13">
        <v>28.495999999999999</v>
      </c>
      <c r="F865" s="13">
        <f t="shared" si="41"/>
        <v>286.00505334081976</v>
      </c>
    </row>
    <row r="866" spans="1:6" x14ac:dyDescent="0.25">
      <c r="A866" s="10">
        <v>38062</v>
      </c>
      <c r="B866" s="12">
        <f t="shared" si="39"/>
        <v>3</v>
      </c>
      <c r="C866" s="12">
        <f t="shared" si="40"/>
        <v>2004</v>
      </c>
      <c r="D866" s="13">
        <v>8150</v>
      </c>
      <c r="E866" s="13">
        <v>28.523</v>
      </c>
      <c r="F866" s="13">
        <f t="shared" si="41"/>
        <v>285.73431967184376</v>
      </c>
    </row>
    <row r="867" spans="1:6" x14ac:dyDescent="0.25">
      <c r="A867" s="10">
        <v>38063</v>
      </c>
      <c r="B867" s="12">
        <f t="shared" si="39"/>
        <v>3</v>
      </c>
      <c r="C867" s="12">
        <f t="shared" si="40"/>
        <v>2004</v>
      </c>
      <c r="D867" s="13">
        <v>8150</v>
      </c>
      <c r="E867" s="13">
        <v>28.529</v>
      </c>
      <c r="F867" s="13">
        <f t="shared" si="41"/>
        <v>285.67422622594552</v>
      </c>
    </row>
    <row r="868" spans="1:6" x14ac:dyDescent="0.25">
      <c r="A868" s="10">
        <v>38064</v>
      </c>
      <c r="B868" s="12">
        <f t="shared" si="39"/>
        <v>3</v>
      </c>
      <c r="C868" s="12">
        <f t="shared" si="40"/>
        <v>2004</v>
      </c>
      <c r="D868" s="13">
        <v>8150</v>
      </c>
      <c r="E868" s="13">
        <v>28.510999999999999</v>
      </c>
      <c r="F868" s="13">
        <f t="shared" si="41"/>
        <v>285.85458244186458</v>
      </c>
    </row>
    <row r="869" spans="1:6" x14ac:dyDescent="0.25">
      <c r="A869" s="10">
        <v>38065</v>
      </c>
      <c r="B869" s="12">
        <f t="shared" si="39"/>
        <v>3</v>
      </c>
      <c r="C869" s="12">
        <f t="shared" si="40"/>
        <v>2004</v>
      </c>
      <c r="D869" s="13">
        <v>8150</v>
      </c>
      <c r="E869" s="13">
        <v>28.504000000000001</v>
      </c>
      <c r="F869" s="13">
        <f t="shared" si="41"/>
        <v>285.92478248666851</v>
      </c>
    </row>
    <row r="870" spans="1:6" x14ac:dyDescent="0.25">
      <c r="A870" s="10">
        <v>38068</v>
      </c>
      <c r="B870" s="12">
        <f t="shared" si="39"/>
        <v>3</v>
      </c>
      <c r="C870" s="12">
        <f t="shared" si="40"/>
        <v>2004</v>
      </c>
      <c r="D870" s="13">
        <v>8150</v>
      </c>
      <c r="E870" s="13">
        <v>28.495999999999999</v>
      </c>
      <c r="F870" s="13">
        <f t="shared" si="41"/>
        <v>286.00505334081976</v>
      </c>
    </row>
    <row r="871" spans="1:6" x14ac:dyDescent="0.25">
      <c r="A871" s="10">
        <v>38069</v>
      </c>
      <c r="B871" s="12">
        <f t="shared" si="39"/>
        <v>3</v>
      </c>
      <c r="C871" s="12">
        <f t="shared" si="40"/>
        <v>2004</v>
      </c>
      <c r="D871" s="13">
        <v>8150</v>
      </c>
      <c r="E871" s="13">
        <v>28.484000000000002</v>
      </c>
      <c r="F871" s="13">
        <f t="shared" si="41"/>
        <v>286.1255441651453</v>
      </c>
    </row>
    <row r="872" spans="1:6" x14ac:dyDescent="0.25">
      <c r="A872" s="10">
        <v>38070</v>
      </c>
      <c r="B872" s="12">
        <f t="shared" si="39"/>
        <v>3</v>
      </c>
      <c r="C872" s="12">
        <f t="shared" si="40"/>
        <v>2004</v>
      </c>
      <c r="D872" s="13">
        <v>8150</v>
      </c>
      <c r="E872" s="13">
        <v>28.484999999999999</v>
      </c>
      <c r="F872" s="13">
        <f t="shared" si="41"/>
        <v>286.11549938564156</v>
      </c>
    </row>
    <row r="873" spans="1:6" x14ac:dyDescent="0.25">
      <c r="A873" s="10">
        <v>38071</v>
      </c>
      <c r="B873" s="12">
        <f t="shared" si="39"/>
        <v>3</v>
      </c>
      <c r="C873" s="12">
        <f t="shared" si="40"/>
        <v>2004</v>
      </c>
      <c r="D873" s="13">
        <v>8150</v>
      </c>
      <c r="E873" s="13">
        <v>28.488</v>
      </c>
      <c r="F873" s="13">
        <f t="shared" si="41"/>
        <v>286.0853692782926</v>
      </c>
    </row>
    <row r="874" spans="1:6" x14ac:dyDescent="0.25">
      <c r="A874" s="10">
        <v>38072</v>
      </c>
      <c r="B874" s="12">
        <f t="shared" si="39"/>
        <v>3</v>
      </c>
      <c r="C874" s="12">
        <f t="shared" si="40"/>
        <v>2004</v>
      </c>
      <c r="D874" s="13">
        <v>8150</v>
      </c>
      <c r="E874" s="13">
        <v>28.503</v>
      </c>
      <c r="F874" s="13">
        <f t="shared" si="41"/>
        <v>285.93481387924078</v>
      </c>
    </row>
    <row r="875" spans="1:6" x14ac:dyDescent="0.25">
      <c r="A875" s="10">
        <v>38075</v>
      </c>
      <c r="B875" s="12">
        <f t="shared" si="39"/>
        <v>3</v>
      </c>
      <c r="C875" s="12">
        <f t="shared" si="40"/>
        <v>2004</v>
      </c>
      <c r="D875" s="13">
        <v>8175</v>
      </c>
      <c r="E875" s="13">
        <v>28.48</v>
      </c>
      <c r="F875" s="13">
        <f t="shared" si="41"/>
        <v>287.04353932584269</v>
      </c>
    </row>
    <row r="876" spans="1:6" x14ac:dyDescent="0.25">
      <c r="A876" s="10">
        <v>38076</v>
      </c>
      <c r="B876" s="12">
        <f t="shared" si="39"/>
        <v>3</v>
      </c>
      <c r="C876" s="12">
        <f t="shared" si="40"/>
        <v>2004</v>
      </c>
      <c r="D876" s="13">
        <v>8175</v>
      </c>
      <c r="E876" s="13">
        <v>28.497</v>
      </c>
      <c r="F876" s="13">
        <f t="shared" si="41"/>
        <v>286.87230234761552</v>
      </c>
    </row>
    <row r="877" spans="1:6" x14ac:dyDescent="0.25">
      <c r="A877" s="10">
        <v>38077</v>
      </c>
      <c r="B877" s="12">
        <f t="shared" si="39"/>
        <v>3</v>
      </c>
      <c r="C877" s="12">
        <f t="shared" si="40"/>
        <v>2004</v>
      </c>
      <c r="D877" s="13">
        <v>8175</v>
      </c>
      <c r="E877" s="13">
        <v>28.513999999999999</v>
      </c>
      <c r="F877" s="13">
        <f t="shared" si="41"/>
        <v>286.7012695517991</v>
      </c>
    </row>
    <row r="878" spans="1:6" x14ac:dyDescent="0.25">
      <c r="A878" s="10">
        <v>38078</v>
      </c>
      <c r="B878" s="12">
        <f t="shared" si="39"/>
        <v>4</v>
      </c>
      <c r="C878" s="12">
        <f t="shared" si="40"/>
        <v>2004</v>
      </c>
      <c r="D878" s="13">
        <v>8175</v>
      </c>
      <c r="E878" s="13">
        <v>28.507000000000001</v>
      </c>
      <c r="F878" s="13">
        <f t="shared" si="41"/>
        <v>286.77167011611181</v>
      </c>
    </row>
    <row r="879" spans="1:6" x14ac:dyDescent="0.25">
      <c r="A879" s="10">
        <v>38079</v>
      </c>
      <c r="B879" s="12">
        <f t="shared" si="39"/>
        <v>4</v>
      </c>
      <c r="C879" s="12">
        <f t="shared" si="40"/>
        <v>2004</v>
      </c>
      <c r="D879" s="13">
        <v>8175</v>
      </c>
      <c r="E879" s="13">
        <v>28.506</v>
      </c>
      <c r="F879" s="13">
        <f t="shared" si="41"/>
        <v>286.78173016207114</v>
      </c>
    </row>
    <row r="880" spans="1:6" x14ac:dyDescent="0.25">
      <c r="A880" s="10">
        <v>38082</v>
      </c>
      <c r="B880" s="12">
        <f t="shared" si="39"/>
        <v>4</v>
      </c>
      <c r="C880" s="12">
        <f t="shared" si="40"/>
        <v>2004</v>
      </c>
      <c r="D880" s="13">
        <v>8175</v>
      </c>
      <c r="E880" s="13">
        <v>28.542200000000001</v>
      </c>
      <c r="F880" s="13">
        <f t="shared" si="41"/>
        <v>286.41800561974901</v>
      </c>
    </row>
    <row r="881" spans="1:6" x14ac:dyDescent="0.25">
      <c r="A881" s="10">
        <v>38083</v>
      </c>
      <c r="B881" s="12">
        <f t="shared" si="39"/>
        <v>4</v>
      </c>
      <c r="C881" s="12">
        <f t="shared" si="40"/>
        <v>2004</v>
      </c>
      <c r="D881" s="13">
        <v>8175</v>
      </c>
      <c r="E881" s="13">
        <v>28.524000000000001</v>
      </c>
      <c r="F881" s="13">
        <f t="shared" si="41"/>
        <v>286.60075725704667</v>
      </c>
    </row>
    <row r="882" spans="1:6" x14ac:dyDescent="0.25">
      <c r="A882" s="10">
        <v>38084</v>
      </c>
      <c r="B882" s="12">
        <f t="shared" si="39"/>
        <v>4</v>
      </c>
      <c r="C882" s="12">
        <f t="shared" si="40"/>
        <v>2004</v>
      </c>
      <c r="D882" s="13">
        <v>8175</v>
      </c>
      <c r="E882" s="13">
        <v>28.513999999999999</v>
      </c>
      <c r="F882" s="13">
        <f t="shared" si="41"/>
        <v>286.7012695517991</v>
      </c>
    </row>
    <row r="883" spans="1:6" x14ac:dyDescent="0.25">
      <c r="A883" s="10">
        <v>38085</v>
      </c>
      <c r="B883" s="12">
        <f t="shared" si="39"/>
        <v>4</v>
      </c>
      <c r="C883" s="12">
        <f t="shared" si="40"/>
        <v>2004</v>
      </c>
      <c r="D883" s="13">
        <v>8175</v>
      </c>
      <c r="E883" s="13">
        <v>28.503399999999999</v>
      </c>
      <c r="F883" s="13">
        <f t="shared" si="41"/>
        <v>286.80788958510215</v>
      </c>
    </row>
    <row r="884" spans="1:6" x14ac:dyDescent="0.25">
      <c r="A884" s="10">
        <v>38089</v>
      </c>
      <c r="B884" s="12">
        <f t="shared" si="39"/>
        <v>4</v>
      </c>
      <c r="C884" s="12">
        <f t="shared" si="40"/>
        <v>2004</v>
      </c>
      <c r="D884" s="13">
        <v>8175</v>
      </c>
      <c r="E884" s="13">
        <v>28.59</v>
      </c>
      <c r="F884" s="13">
        <f t="shared" si="41"/>
        <v>285.93913955928645</v>
      </c>
    </row>
    <row r="885" spans="1:6" x14ac:dyDescent="0.25">
      <c r="A885" s="10">
        <v>38090</v>
      </c>
      <c r="B885" s="12">
        <f t="shared" si="39"/>
        <v>4</v>
      </c>
      <c r="C885" s="12">
        <f t="shared" si="40"/>
        <v>2004</v>
      </c>
      <c r="D885" s="13">
        <v>8175</v>
      </c>
      <c r="E885" s="13">
        <v>28.635000000000002</v>
      </c>
      <c r="F885" s="13">
        <f t="shared" si="41"/>
        <v>285.48978522786797</v>
      </c>
    </row>
    <row r="886" spans="1:6" x14ac:dyDescent="0.25">
      <c r="A886" s="10">
        <v>38091</v>
      </c>
      <c r="B886" s="12">
        <f t="shared" si="39"/>
        <v>4</v>
      </c>
      <c r="C886" s="12">
        <f t="shared" si="40"/>
        <v>2004</v>
      </c>
      <c r="D886" s="13">
        <v>8175</v>
      </c>
      <c r="E886" s="13">
        <v>28.613900000000001</v>
      </c>
      <c r="F886" s="13">
        <f t="shared" si="41"/>
        <v>285.70030649439605</v>
      </c>
    </row>
    <row r="887" spans="1:6" x14ac:dyDescent="0.25">
      <c r="A887" s="10">
        <v>38092</v>
      </c>
      <c r="B887" s="12">
        <f t="shared" si="39"/>
        <v>4</v>
      </c>
      <c r="C887" s="12">
        <f t="shared" si="40"/>
        <v>2004</v>
      </c>
      <c r="D887" s="13">
        <v>8175</v>
      </c>
      <c r="E887" s="13">
        <v>28.634399999999999</v>
      </c>
      <c r="F887" s="13">
        <f t="shared" si="41"/>
        <v>285.49576732880729</v>
      </c>
    </row>
    <row r="888" spans="1:6" x14ac:dyDescent="0.25">
      <c r="A888" s="10">
        <v>38093</v>
      </c>
      <c r="B888" s="12">
        <f t="shared" si="39"/>
        <v>4</v>
      </c>
      <c r="C888" s="12">
        <f t="shared" si="40"/>
        <v>2004</v>
      </c>
      <c r="D888" s="13">
        <v>8175</v>
      </c>
      <c r="E888" s="13">
        <v>28.642700000000001</v>
      </c>
      <c r="F888" s="13">
        <f t="shared" si="41"/>
        <v>285.41303717875758</v>
      </c>
    </row>
    <row r="889" spans="1:6" x14ac:dyDescent="0.25">
      <c r="A889" s="10">
        <v>38096</v>
      </c>
      <c r="B889" s="12">
        <f t="shared" si="39"/>
        <v>4</v>
      </c>
      <c r="C889" s="12">
        <f t="shared" si="40"/>
        <v>2004</v>
      </c>
      <c r="D889" s="13">
        <v>8175</v>
      </c>
      <c r="E889" s="13">
        <v>28.7193</v>
      </c>
      <c r="F889" s="13">
        <f t="shared" si="41"/>
        <v>284.65178468834546</v>
      </c>
    </row>
    <row r="890" spans="1:6" x14ac:dyDescent="0.25">
      <c r="A890" s="10">
        <v>38097</v>
      </c>
      <c r="B890" s="12">
        <f t="shared" si="39"/>
        <v>4</v>
      </c>
      <c r="C890" s="12">
        <f t="shared" si="40"/>
        <v>2004</v>
      </c>
      <c r="D890" s="13">
        <v>8175</v>
      </c>
      <c r="E890" s="13">
        <v>28.881499999999999</v>
      </c>
      <c r="F890" s="13">
        <f t="shared" si="41"/>
        <v>283.05316552118137</v>
      </c>
    </row>
    <row r="891" spans="1:6" x14ac:dyDescent="0.25">
      <c r="A891" s="10">
        <v>38098</v>
      </c>
      <c r="B891" s="12">
        <f t="shared" si="39"/>
        <v>4</v>
      </c>
      <c r="C891" s="12">
        <f t="shared" si="40"/>
        <v>2004</v>
      </c>
      <c r="D891" s="13">
        <v>8175</v>
      </c>
      <c r="E891" s="13">
        <v>28.86</v>
      </c>
      <c r="F891" s="13">
        <f t="shared" si="41"/>
        <v>283.26403326403329</v>
      </c>
    </row>
    <row r="892" spans="1:6" x14ac:dyDescent="0.25">
      <c r="A892" s="10">
        <v>38099</v>
      </c>
      <c r="B892" s="12">
        <f t="shared" si="39"/>
        <v>4</v>
      </c>
      <c r="C892" s="12">
        <f t="shared" si="40"/>
        <v>2004</v>
      </c>
      <c r="D892" s="13">
        <v>8175</v>
      </c>
      <c r="E892" s="13">
        <v>28.98</v>
      </c>
      <c r="F892" s="13">
        <f t="shared" si="41"/>
        <v>282.0910973084886</v>
      </c>
    </row>
    <row r="893" spans="1:6" x14ac:dyDescent="0.25">
      <c r="A893" s="10">
        <v>38100</v>
      </c>
      <c r="B893" s="12">
        <f t="shared" si="39"/>
        <v>4</v>
      </c>
      <c r="C893" s="12">
        <f t="shared" si="40"/>
        <v>2004</v>
      </c>
      <c r="D893" s="13">
        <v>8175</v>
      </c>
      <c r="E893" s="13">
        <v>28.9131</v>
      </c>
      <c r="F893" s="13">
        <f t="shared" si="41"/>
        <v>282.74380816999906</v>
      </c>
    </row>
    <row r="894" spans="1:6" x14ac:dyDescent="0.25">
      <c r="A894" s="10">
        <v>38103</v>
      </c>
      <c r="B894" s="12">
        <f t="shared" si="39"/>
        <v>4</v>
      </c>
      <c r="C894" s="12">
        <f t="shared" si="40"/>
        <v>2004</v>
      </c>
      <c r="D894" s="13">
        <v>8175</v>
      </c>
      <c r="E894" s="13">
        <v>28.896599999999999</v>
      </c>
      <c r="F894" s="13">
        <f t="shared" si="41"/>
        <v>282.90525528954964</v>
      </c>
    </row>
    <row r="895" spans="1:6" x14ac:dyDescent="0.25">
      <c r="A895" s="10">
        <v>38104</v>
      </c>
      <c r="B895" s="12">
        <f t="shared" si="39"/>
        <v>4</v>
      </c>
      <c r="C895" s="12">
        <f t="shared" si="40"/>
        <v>2004</v>
      </c>
      <c r="D895" s="13">
        <v>8175</v>
      </c>
      <c r="E895" s="13">
        <v>28.848600000000001</v>
      </c>
      <c r="F895" s="13">
        <f t="shared" si="41"/>
        <v>283.37596971776793</v>
      </c>
    </row>
    <row r="896" spans="1:6" x14ac:dyDescent="0.25">
      <c r="A896" s="10">
        <v>38105</v>
      </c>
      <c r="B896" s="12">
        <f t="shared" si="39"/>
        <v>4</v>
      </c>
      <c r="C896" s="12">
        <f t="shared" si="40"/>
        <v>2004</v>
      </c>
      <c r="D896" s="13">
        <v>8175</v>
      </c>
      <c r="E896" s="13">
        <v>28.885999999999999</v>
      </c>
      <c r="F896" s="13">
        <f t="shared" si="41"/>
        <v>283.009070137783</v>
      </c>
    </row>
    <row r="897" spans="1:6" x14ac:dyDescent="0.25">
      <c r="A897" s="10">
        <v>38106</v>
      </c>
      <c r="B897" s="12">
        <f t="shared" si="39"/>
        <v>4</v>
      </c>
      <c r="C897" s="12">
        <f t="shared" si="40"/>
        <v>2004</v>
      </c>
      <c r="D897" s="13">
        <v>8175</v>
      </c>
      <c r="E897" s="13">
        <v>28.96</v>
      </c>
      <c r="F897" s="13">
        <f t="shared" si="41"/>
        <v>282.28591160220992</v>
      </c>
    </row>
    <row r="898" spans="1:6" x14ac:dyDescent="0.25">
      <c r="A898" s="10">
        <v>38107</v>
      </c>
      <c r="B898" s="12">
        <f t="shared" si="39"/>
        <v>4</v>
      </c>
      <c r="C898" s="12">
        <f t="shared" si="40"/>
        <v>2004</v>
      </c>
      <c r="D898" s="13">
        <v>8175</v>
      </c>
      <c r="E898" s="13">
        <v>29.010300000000001</v>
      </c>
      <c r="F898" s="13">
        <f t="shared" si="41"/>
        <v>281.79646539332583</v>
      </c>
    </row>
    <row r="899" spans="1:6" x14ac:dyDescent="0.25">
      <c r="A899" s="10">
        <v>38110</v>
      </c>
      <c r="B899" s="12">
        <f t="shared" ref="B899:B962" si="42">MONTH(A899)</f>
        <v>5</v>
      </c>
      <c r="C899" s="12">
        <f t="shared" ref="C899:C962" si="43">YEAR(A899)</f>
        <v>2004</v>
      </c>
      <c r="D899" s="13">
        <v>8100</v>
      </c>
      <c r="E899" s="13">
        <v>29.002600000000001</v>
      </c>
      <c r="F899" s="13">
        <f t="shared" ref="F899:F962" si="44">IF(D899="","",D899/E899)</f>
        <v>279.28530545537296</v>
      </c>
    </row>
    <row r="900" spans="1:6" x14ac:dyDescent="0.25">
      <c r="A900" s="10">
        <v>38111</v>
      </c>
      <c r="B900" s="12">
        <f t="shared" si="42"/>
        <v>5</v>
      </c>
      <c r="C900" s="12">
        <f t="shared" si="43"/>
        <v>2004</v>
      </c>
      <c r="D900" s="13">
        <v>8100</v>
      </c>
      <c r="E900" s="13">
        <v>29.000399999999999</v>
      </c>
      <c r="F900" s="13">
        <f t="shared" si="44"/>
        <v>279.30649232424383</v>
      </c>
    </row>
    <row r="901" spans="1:6" x14ac:dyDescent="0.25">
      <c r="A901" s="10">
        <v>38112</v>
      </c>
      <c r="B901" s="12">
        <f t="shared" si="42"/>
        <v>5</v>
      </c>
      <c r="C901" s="12">
        <f t="shared" si="43"/>
        <v>2004</v>
      </c>
      <c r="D901" s="13">
        <v>8100</v>
      </c>
      <c r="E901" s="13">
        <v>28.864999999999998</v>
      </c>
      <c r="F901" s="13">
        <f t="shared" si="44"/>
        <v>280.61666377966395</v>
      </c>
    </row>
    <row r="902" spans="1:6" x14ac:dyDescent="0.25">
      <c r="A902" s="10">
        <v>38113</v>
      </c>
      <c r="B902" s="12">
        <f t="shared" si="42"/>
        <v>5</v>
      </c>
      <c r="C902" s="12">
        <f t="shared" si="43"/>
        <v>2004</v>
      </c>
      <c r="D902" s="13">
        <v>8100</v>
      </c>
      <c r="E902" s="13">
        <v>28.91</v>
      </c>
      <c r="F902" s="13">
        <f t="shared" si="44"/>
        <v>280.1798685575925</v>
      </c>
    </row>
    <row r="903" spans="1:6" x14ac:dyDescent="0.25">
      <c r="A903" s="10">
        <v>38114</v>
      </c>
      <c r="B903" s="12">
        <f t="shared" si="42"/>
        <v>5</v>
      </c>
      <c r="C903" s="12">
        <f t="shared" si="43"/>
        <v>2004</v>
      </c>
      <c r="D903" s="13">
        <v>8100</v>
      </c>
      <c r="E903" s="13">
        <v>28.95</v>
      </c>
      <c r="F903" s="13">
        <f t="shared" si="44"/>
        <v>279.79274611398966</v>
      </c>
    </row>
    <row r="904" spans="1:6" x14ac:dyDescent="0.25">
      <c r="A904" s="10">
        <v>38117</v>
      </c>
      <c r="B904" s="12">
        <f t="shared" si="42"/>
        <v>5</v>
      </c>
      <c r="C904" s="12">
        <f t="shared" si="43"/>
        <v>2004</v>
      </c>
      <c r="D904" s="13">
        <v>7950</v>
      </c>
      <c r="E904" s="13">
        <v>28.95</v>
      </c>
      <c r="F904" s="13">
        <f t="shared" si="44"/>
        <v>274.61139896373055</v>
      </c>
    </row>
    <row r="905" spans="1:6" x14ac:dyDescent="0.25">
      <c r="A905" s="10">
        <v>38118</v>
      </c>
      <c r="B905" s="12">
        <f t="shared" si="42"/>
        <v>5</v>
      </c>
      <c r="C905" s="12">
        <f t="shared" si="43"/>
        <v>2004</v>
      </c>
      <c r="D905" s="13">
        <v>7950</v>
      </c>
      <c r="E905" s="13">
        <v>28.94</v>
      </c>
      <c r="F905" s="13">
        <f t="shared" si="44"/>
        <v>274.70628887353143</v>
      </c>
    </row>
    <row r="906" spans="1:6" x14ac:dyDescent="0.25">
      <c r="A906" s="10">
        <v>38119</v>
      </c>
      <c r="B906" s="12">
        <f t="shared" si="42"/>
        <v>5</v>
      </c>
      <c r="C906" s="12">
        <f t="shared" si="43"/>
        <v>2004</v>
      </c>
      <c r="D906" s="13">
        <v>7950</v>
      </c>
      <c r="E906" s="13">
        <v>29.07</v>
      </c>
      <c r="F906" s="13">
        <f t="shared" si="44"/>
        <v>273.47781217750259</v>
      </c>
    </row>
    <row r="907" spans="1:6" x14ac:dyDescent="0.25">
      <c r="A907" s="10">
        <v>38120</v>
      </c>
      <c r="B907" s="12">
        <f t="shared" si="42"/>
        <v>5</v>
      </c>
      <c r="C907" s="12">
        <f t="shared" si="43"/>
        <v>2004</v>
      </c>
      <c r="D907" s="13">
        <v>7950</v>
      </c>
      <c r="E907" s="13">
        <v>29.06</v>
      </c>
      <c r="F907" s="13">
        <f t="shared" si="44"/>
        <v>273.57192016517553</v>
      </c>
    </row>
    <row r="908" spans="1:6" x14ac:dyDescent="0.25">
      <c r="A908" s="10">
        <v>38121</v>
      </c>
      <c r="B908" s="12">
        <f t="shared" si="42"/>
        <v>5</v>
      </c>
      <c r="C908" s="12">
        <f t="shared" si="43"/>
        <v>2004</v>
      </c>
      <c r="D908" s="13">
        <v>7950</v>
      </c>
      <c r="E908" s="13">
        <v>29.08</v>
      </c>
      <c r="F908" s="13">
        <f t="shared" si="44"/>
        <v>273.38376891334252</v>
      </c>
    </row>
    <row r="909" spans="1:6" x14ac:dyDescent="0.25">
      <c r="A909" s="10">
        <v>38124</v>
      </c>
      <c r="B909" s="12">
        <f t="shared" si="42"/>
        <v>5</v>
      </c>
      <c r="C909" s="12">
        <f t="shared" si="43"/>
        <v>2004</v>
      </c>
      <c r="D909" s="13">
        <v>7900</v>
      </c>
      <c r="E909" s="13">
        <v>28.995000000000001</v>
      </c>
      <c r="F909" s="13">
        <f t="shared" si="44"/>
        <v>272.46076909812035</v>
      </c>
    </row>
    <row r="910" spans="1:6" x14ac:dyDescent="0.25">
      <c r="A910" s="10">
        <v>38125</v>
      </c>
      <c r="B910" s="12">
        <f t="shared" si="42"/>
        <v>5</v>
      </c>
      <c r="C910" s="12">
        <f t="shared" si="43"/>
        <v>2004</v>
      </c>
      <c r="D910" s="13">
        <v>7900</v>
      </c>
      <c r="E910" s="13">
        <v>28.992000000000001</v>
      </c>
      <c r="F910" s="13">
        <f t="shared" si="44"/>
        <v>272.48896247240617</v>
      </c>
    </row>
    <row r="911" spans="1:6" x14ac:dyDescent="0.25">
      <c r="A911" s="10">
        <v>38126</v>
      </c>
      <c r="B911" s="12">
        <f t="shared" si="42"/>
        <v>5</v>
      </c>
      <c r="C911" s="12">
        <f t="shared" si="43"/>
        <v>2004</v>
      </c>
      <c r="D911" s="13">
        <v>7900</v>
      </c>
      <c r="E911" s="13">
        <v>28.983599999999999</v>
      </c>
      <c r="F911" s="13">
        <f t="shared" si="44"/>
        <v>272.56793497012103</v>
      </c>
    </row>
    <row r="912" spans="1:6" x14ac:dyDescent="0.25">
      <c r="A912" s="10">
        <v>38127</v>
      </c>
      <c r="B912" s="12">
        <f t="shared" si="42"/>
        <v>5</v>
      </c>
      <c r="C912" s="12">
        <f t="shared" si="43"/>
        <v>2004</v>
      </c>
      <c r="D912" s="13">
        <v>7900</v>
      </c>
      <c r="E912" s="13">
        <v>28.994199999999999</v>
      </c>
      <c r="F912" s="13">
        <f t="shared" si="44"/>
        <v>272.46828676080042</v>
      </c>
    </row>
    <row r="913" spans="1:6" x14ac:dyDescent="0.25">
      <c r="A913" s="10">
        <v>38128</v>
      </c>
      <c r="B913" s="12">
        <f t="shared" si="42"/>
        <v>5</v>
      </c>
      <c r="C913" s="12">
        <f t="shared" si="43"/>
        <v>2004</v>
      </c>
      <c r="D913" s="13">
        <v>7900</v>
      </c>
      <c r="E913" s="13">
        <v>28.971900000000002</v>
      </c>
      <c r="F913" s="13">
        <f t="shared" si="44"/>
        <v>272.67800869118008</v>
      </c>
    </row>
    <row r="914" spans="1:6" x14ac:dyDescent="0.25">
      <c r="A914" s="10">
        <v>38131</v>
      </c>
      <c r="B914" s="12">
        <f t="shared" si="42"/>
        <v>5</v>
      </c>
      <c r="C914" s="12">
        <f t="shared" si="43"/>
        <v>2004</v>
      </c>
      <c r="D914" s="13">
        <v>7800</v>
      </c>
      <c r="E914" s="13">
        <v>28.984000000000002</v>
      </c>
      <c r="F914" s="13">
        <f t="shared" si="44"/>
        <v>269.11399392768425</v>
      </c>
    </row>
    <row r="915" spans="1:6" x14ac:dyDescent="0.25">
      <c r="A915" s="10">
        <v>38132</v>
      </c>
      <c r="B915" s="12">
        <f t="shared" si="42"/>
        <v>5</v>
      </c>
      <c r="C915" s="12">
        <f t="shared" si="43"/>
        <v>2004</v>
      </c>
      <c r="D915" s="13">
        <v>7800</v>
      </c>
      <c r="E915" s="13">
        <v>28.972999999999999</v>
      </c>
      <c r="F915" s="13">
        <f t="shared" si="44"/>
        <v>269.21616677596381</v>
      </c>
    </row>
    <row r="916" spans="1:6" x14ac:dyDescent="0.25">
      <c r="A916" s="10">
        <v>38133</v>
      </c>
      <c r="B916" s="12">
        <f t="shared" si="42"/>
        <v>5</v>
      </c>
      <c r="C916" s="12">
        <f t="shared" si="43"/>
        <v>2004</v>
      </c>
      <c r="D916" s="13">
        <v>7800</v>
      </c>
      <c r="E916" s="13">
        <v>28.972999999999999</v>
      </c>
      <c r="F916" s="13">
        <f t="shared" si="44"/>
        <v>269.21616677596381</v>
      </c>
    </row>
    <row r="917" spans="1:6" x14ac:dyDescent="0.25">
      <c r="A917" s="10">
        <v>38134</v>
      </c>
      <c r="B917" s="12">
        <f t="shared" si="42"/>
        <v>5</v>
      </c>
      <c r="C917" s="12">
        <f t="shared" si="43"/>
        <v>2004</v>
      </c>
      <c r="D917" s="13">
        <v>7800</v>
      </c>
      <c r="E917" s="13">
        <v>29.011900000000001</v>
      </c>
      <c r="F917" s="13">
        <f t="shared" si="44"/>
        <v>268.85519390319143</v>
      </c>
    </row>
    <row r="918" spans="1:6" x14ac:dyDescent="0.25">
      <c r="A918" s="10">
        <v>38135</v>
      </c>
      <c r="B918" s="12">
        <f t="shared" si="42"/>
        <v>5</v>
      </c>
      <c r="C918" s="12">
        <f t="shared" si="43"/>
        <v>2004</v>
      </c>
      <c r="D918" s="13">
        <v>7800</v>
      </c>
      <c r="E918" s="13">
        <v>29.021000000000001</v>
      </c>
      <c r="F918" s="13">
        <f t="shared" si="44"/>
        <v>268.77089004513971</v>
      </c>
    </row>
    <row r="919" spans="1:6" x14ac:dyDescent="0.25">
      <c r="A919" s="10">
        <v>38139</v>
      </c>
      <c r="B919" s="12">
        <f t="shared" si="42"/>
        <v>6</v>
      </c>
      <c r="C919" s="12">
        <f t="shared" si="43"/>
        <v>2004</v>
      </c>
      <c r="D919" s="13">
        <v>7800</v>
      </c>
      <c r="E919" s="13">
        <v>29.03</v>
      </c>
      <c r="F919" s="13">
        <f t="shared" si="44"/>
        <v>268.68756458835685</v>
      </c>
    </row>
    <row r="920" spans="1:6" x14ac:dyDescent="0.25">
      <c r="A920" s="10">
        <v>38140</v>
      </c>
      <c r="B920" s="12">
        <f t="shared" si="42"/>
        <v>6</v>
      </c>
      <c r="C920" s="12">
        <f t="shared" si="43"/>
        <v>2004</v>
      </c>
      <c r="D920" s="13">
        <v>7800</v>
      </c>
      <c r="E920" s="13">
        <v>29.033000000000001</v>
      </c>
      <c r="F920" s="13">
        <f t="shared" si="44"/>
        <v>268.65980091619878</v>
      </c>
    </row>
    <row r="921" spans="1:6" x14ac:dyDescent="0.25">
      <c r="A921" s="10">
        <v>38141</v>
      </c>
      <c r="B921" s="12">
        <f t="shared" si="42"/>
        <v>6</v>
      </c>
      <c r="C921" s="12">
        <f t="shared" si="43"/>
        <v>2004</v>
      </c>
      <c r="D921" s="13">
        <v>7800</v>
      </c>
      <c r="E921" s="13">
        <v>29.06</v>
      </c>
      <c r="F921" s="13">
        <f t="shared" si="44"/>
        <v>268.41018582243635</v>
      </c>
    </row>
    <row r="922" spans="1:6" x14ac:dyDescent="0.25">
      <c r="A922" s="10">
        <v>38142</v>
      </c>
      <c r="B922" s="12">
        <f t="shared" si="42"/>
        <v>6</v>
      </c>
      <c r="C922" s="12">
        <f t="shared" si="43"/>
        <v>2004</v>
      </c>
      <c r="D922" s="13">
        <v>7800</v>
      </c>
      <c r="E922" s="13">
        <v>29.035900000000002</v>
      </c>
      <c r="F922" s="13">
        <f t="shared" si="44"/>
        <v>268.63296815321723</v>
      </c>
    </row>
    <row r="923" spans="1:6" x14ac:dyDescent="0.25">
      <c r="A923" s="10">
        <v>38145</v>
      </c>
      <c r="B923" s="12">
        <f t="shared" si="42"/>
        <v>6</v>
      </c>
      <c r="C923" s="12">
        <f t="shared" si="43"/>
        <v>2004</v>
      </c>
      <c r="D923" s="13">
        <v>7800</v>
      </c>
      <c r="E923" s="13">
        <v>29.040299999999998</v>
      </c>
      <c r="F923" s="13">
        <f t="shared" si="44"/>
        <v>268.59226660881603</v>
      </c>
    </row>
    <row r="924" spans="1:6" x14ac:dyDescent="0.25">
      <c r="A924" s="10">
        <v>38146</v>
      </c>
      <c r="B924" s="12">
        <f t="shared" si="42"/>
        <v>6</v>
      </c>
      <c r="C924" s="12">
        <f t="shared" si="43"/>
        <v>2004</v>
      </c>
      <c r="D924" s="13">
        <v>7800</v>
      </c>
      <c r="E924" s="13">
        <v>29.027999999999999</v>
      </c>
      <c r="F924" s="13">
        <f t="shared" si="44"/>
        <v>268.70607689127741</v>
      </c>
    </row>
    <row r="925" spans="1:6" x14ac:dyDescent="0.25">
      <c r="A925" s="10">
        <v>38147</v>
      </c>
      <c r="B925" s="12">
        <f t="shared" si="42"/>
        <v>6</v>
      </c>
      <c r="C925" s="12">
        <f t="shared" si="43"/>
        <v>2004</v>
      </c>
      <c r="D925" s="13">
        <v>7800</v>
      </c>
      <c r="E925" s="13">
        <v>29.035</v>
      </c>
      <c r="F925" s="13">
        <f t="shared" si="44"/>
        <v>268.64129498880664</v>
      </c>
    </row>
    <row r="926" spans="1:6" x14ac:dyDescent="0.25">
      <c r="A926" s="10">
        <v>38148</v>
      </c>
      <c r="B926" s="12">
        <f t="shared" si="42"/>
        <v>6</v>
      </c>
      <c r="C926" s="12">
        <f t="shared" si="43"/>
        <v>2004</v>
      </c>
      <c r="D926" s="13">
        <v>7800</v>
      </c>
      <c r="E926" s="13">
        <v>29.015000000000001</v>
      </c>
      <c r="F926" s="13">
        <f t="shared" si="44"/>
        <v>268.82646906772356</v>
      </c>
    </row>
    <row r="927" spans="1:6" x14ac:dyDescent="0.25">
      <c r="A927" s="10">
        <v>38149</v>
      </c>
      <c r="B927" s="12">
        <f t="shared" si="42"/>
        <v>6</v>
      </c>
      <c r="C927" s="12">
        <f t="shared" si="43"/>
        <v>2004</v>
      </c>
      <c r="D927" s="13">
        <v>7800</v>
      </c>
      <c r="E927" s="13">
        <v>29.017499999999998</v>
      </c>
      <c r="F927" s="13">
        <f t="shared" si="44"/>
        <v>268.80330834841044</v>
      </c>
    </row>
    <row r="928" spans="1:6" x14ac:dyDescent="0.25">
      <c r="A928" s="10">
        <v>38152</v>
      </c>
      <c r="B928" s="12">
        <f t="shared" si="42"/>
        <v>6</v>
      </c>
      <c r="C928" s="12">
        <f t="shared" si="43"/>
        <v>2004</v>
      </c>
      <c r="D928" s="13">
        <v>7800</v>
      </c>
      <c r="E928" s="13">
        <v>29.023</v>
      </c>
      <c r="F928" s="13">
        <f t="shared" si="44"/>
        <v>268.75236881094304</v>
      </c>
    </row>
    <row r="929" spans="1:6" x14ac:dyDescent="0.25">
      <c r="A929" s="10">
        <v>38153</v>
      </c>
      <c r="B929" s="12">
        <f t="shared" si="42"/>
        <v>6</v>
      </c>
      <c r="C929" s="12">
        <f t="shared" si="43"/>
        <v>2004</v>
      </c>
      <c r="D929" s="13">
        <v>7800</v>
      </c>
      <c r="E929" s="13">
        <v>29.01</v>
      </c>
      <c r="F929" s="13">
        <f t="shared" si="44"/>
        <v>268.8728024819028</v>
      </c>
    </row>
    <row r="930" spans="1:6" x14ac:dyDescent="0.25">
      <c r="A930" s="10">
        <v>38154</v>
      </c>
      <c r="B930" s="12">
        <f t="shared" si="42"/>
        <v>6</v>
      </c>
      <c r="C930" s="12">
        <f t="shared" si="43"/>
        <v>2004</v>
      </c>
      <c r="D930" s="13">
        <v>7800</v>
      </c>
      <c r="E930" s="13">
        <v>29.01</v>
      </c>
      <c r="F930" s="13">
        <f t="shared" si="44"/>
        <v>268.8728024819028</v>
      </c>
    </row>
    <row r="931" spans="1:6" x14ac:dyDescent="0.25">
      <c r="A931" s="10">
        <v>38155</v>
      </c>
      <c r="B931" s="12">
        <f t="shared" si="42"/>
        <v>6</v>
      </c>
      <c r="C931" s="12">
        <f t="shared" si="43"/>
        <v>2004</v>
      </c>
      <c r="D931" s="13">
        <v>7800</v>
      </c>
      <c r="E931" s="13">
        <v>29.013000000000002</v>
      </c>
      <c r="F931" s="13">
        <f t="shared" si="44"/>
        <v>268.84500051700962</v>
      </c>
    </row>
    <row r="932" spans="1:6" x14ac:dyDescent="0.25">
      <c r="A932" s="10">
        <v>38156</v>
      </c>
      <c r="B932" s="12">
        <f t="shared" si="42"/>
        <v>6</v>
      </c>
      <c r="C932" s="12">
        <f t="shared" si="43"/>
        <v>2004</v>
      </c>
      <c r="D932" s="13">
        <v>7800</v>
      </c>
      <c r="E932" s="13">
        <v>29.02</v>
      </c>
      <c r="F932" s="13">
        <f t="shared" si="44"/>
        <v>268.78015161957273</v>
      </c>
    </row>
    <row r="933" spans="1:6" x14ac:dyDescent="0.25">
      <c r="A933" s="10">
        <v>38159</v>
      </c>
      <c r="B933" s="12">
        <f t="shared" si="42"/>
        <v>6</v>
      </c>
      <c r="C933" s="12">
        <f t="shared" si="43"/>
        <v>2004</v>
      </c>
      <c r="D933" s="13">
        <v>7800</v>
      </c>
      <c r="E933" s="13">
        <v>29.03</v>
      </c>
      <c r="F933" s="13">
        <f t="shared" si="44"/>
        <v>268.68756458835685</v>
      </c>
    </row>
    <row r="934" spans="1:6" x14ac:dyDescent="0.25">
      <c r="A934" s="10">
        <v>38160</v>
      </c>
      <c r="B934" s="12">
        <f t="shared" si="42"/>
        <v>6</v>
      </c>
      <c r="C934" s="12">
        <f t="shared" si="43"/>
        <v>2004</v>
      </c>
      <c r="D934" s="13">
        <v>7800</v>
      </c>
      <c r="E934" s="13">
        <v>29.013000000000002</v>
      </c>
      <c r="F934" s="13">
        <f t="shared" si="44"/>
        <v>268.84500051700962</v>
      </c>
    </row>
    <row r="935" spans="1:6" x14ac:dyDescent="0.25">
      <c r="A935" s="10">
        <v>38161</v>
      </c>
      <c r="B935" s="12">
        <f t="shared" si="42"/>
        <v>6</v>
      </c>
      <c r="C935" s="12">
        <f t="shared" si="43"/>
        <v>2004</v>
      </c>
      <c r="D935" s="13">
        <v>7800</v>
      </c>
      <c r="E935" s="13">
        <v>29.01</v>
      </c>
      <c r="F935" s="13">
        <f t="shared" si="44"/>
        <v>268.8728024819028</v>
      </c>
    </row>
    <row r="936" spans="1:6" x14ac:dyDescent="0.25">
      <c r="A936" s="10">
        <v>38162</v>
      </c>
      <c r="B936" s="12">
        <f t="shared" si="42"/>
        <v>6</v>
      </c>
      <c r="C936" s="12">
        <f t="shared" si="43"/>
        <v>2004</v>
      </c>
      <c r="D936" s="13">
        <v>7800</v>
      </c>
      <c r="E936" s="13">
        <v>29.01</v>
      </c>
      <c r="F936" s="13">
        <f t="shared" si="44"/>
        <v>268.8728024819028</v>
      </c>
    </row>
    <row r="937" spans="1:6" x14ac:dyDescent="0.25">
      <c r="A937" s="10">
        <v>38163</v>
      </c>
      <c r="B937" s="12">
        <f t="shared" si="42"/>
        <v>6</v>
      </c>
      <c r="C937" s="12">
        <f t="shared" si="43"/>
        <v>2004</v>
      </c>
      <c r="D937" s="13">
        <v>7800</v>
      </c>
      <c r="E937" s="13">
        <v>29.01</v>
      </c>
      <c r="F937" s="13">
        <f t="shared" si="44"/>
        <v>268.8728024819028</v>
      </c>
    </row>
    <row r="938" spans="1:6" x14ac:dyDescent="0.25">
      <c r="A938" s="10">
        <v>38166</v>
      </c>
      <c r="B938" s="12">
        <f t="shared" si="42"/>
        <v>6</v>
      </c>
      <c r="C938" s="12">
        <f t="shared" si="43"/>
        <v>2004</v>
      </c>
      <c r="D938" s="13">
        <v>7800</v>
      </c>
      <c r="E938" s="13">
        <v>29.02</v>
      </c>
      <c r="F938" s="13">
        <f t="shared" si="44"/>
        <v>268.78015161957273</v>
      </c>
    </row>
    <row r="939" spans="1:6" x14ac:dyDescent="0.25">
      <c r="A939" s="10">
        <v>38167</v>
      </c>
      <c r="B939" s="12">
        <f t="shared" si="42"/>
        <v>6</v>
      </c>
      <c r="C939" s="12">
        <f t="shared" si="43"/>
        <v>2004</v>
      </c>
      <c r="D939" s="13">
        <v>7800</v>
      </c>
      <c r="E939" s="13">
        <v>29.03</v>
      </c>
      <c r="F939" s="13">
        <f t="shared" si="44"/>
        <v>268.68756458835685</v>
      </c>
    </row>
    <row r="940" spans="1:6" x14ac:dyDescent="0.25">
      <c r="A940" s="10">
        <v>38168</v>
      </c>
      <c r="B940" s="12">
        <f t="shared" si="42"/>
        <v>6</v>
      </c>
      <c r="C940" s="12">
        <f t="shared" si="43"/>
        <v>2004</v>
      </c>
      <c r="D940" s="13">
        <v>7800</v>
      </c>
      <c r="E940" s="13">
        <v>29.065000000000001</v>
      </c>
      <c r="F940" s="13">
        <f t="shared" si="44"/>
        <v>268.36401169791844</v>
      </c>
    </row>
    <row r="941" spans="1:6" x14ac:dyDescent="0.25">
      <c r="A941" s="10">
        <v>38169</v>
      </c>
      <c r="B941" s="12">
        <f t="shared" si="42"/>
        <v>7</v>
      </c>
      <c r="C941" s="12">
        <f t="shared" si="43"/>
        <v>2004</v>
      </c>
      <c r="D941" s="13">
        <v>7800</v>
      </c>
      <c r="E941" s="13">
        <v>29.015000000000001</v>
      </c>
      <c r="F941" s="13">
        <f t="shared" si="44"/>
        <v>268.82646906772356</v>
      </c>
    </row>
    <row r="942" spans="1:6" x14ac:dyDescent="0.25">
      <c r="A942" s="10">
        <v>38170</v>
      </c>
      <c r="B942" s="12">
        <f t="shared" si="42"/>
        <v>7</v>
      </c>
      <c r="C942" s="12">
        <f t="shared" si="43"/>
        <v>2004</v>
      </c>
      <c r="D942" s="13">
        <v>7800</v>
      </c>
      <c r="E942" s="13">
        <v>29.01</v>
      </c>
      <c r="F942" s="13">
        <f t="shared" si="44"/>
        <v>268.8728024819028</v>
      </c>
    </row>
    <row r="943" spans="1:6" x14ac:dyDescent="0.25">
      <c r="A943" s="10">
        <v>38174</v>
      </c>
      <c r="B943" s="12">
        <f t="shared" si="42"/>
        <v>7</v>
      </c>
      <c r="C943" s="12">
        <f t="shared" si="43"/>
        <v>2004</v>
      </c>
      <c r="D943" s="13">
        <v>7800</v>
      </c>
      <c r="E943" s="13">
        <v>28.975000000000001</v>
      </c>
      <c r="F943" s="13">
        <f t="shared" si="44"/>
        <v>269.197584124245</v>
      </c>
    </row>
    <row r="944" spans="1:6" x14ac:dyDescent="0.25">
      <c r="A944" s="10">
        <v>38175</v>
      </c>
      <c r="B944" s="12">
        <f t="shared" si="42"/>
        <v>7</v>
      </c>
      <c r="C944" s="12">
        <f t="shared" si="43"/>
        <v>2004</v>
      </c>
      <c r="D944" s="13">
        <v>7800</v>
      </c>
      <c r="E944" s="13">
        <v>29.07</v>
      </c>
      <c r="F944" s="13">
        <f t="shared" si="44"/>
        <v>268.31785345717236</v>
      </c>
    </row>
    <row r="945" spans="1:6" x14ac:dyDescent="0.25">
      <c r="A945" s="10">
        <v>38176</v>
      </c>
      <c r="B945" s="12">
        <f t="shared" si="42"/>
        <v>7</v>
      </c>
      <c r="C945" s="12">
        <f t="shared" si="43"/>
        <v>2004</v>
      </c>
      <c r="D945" s="13">
        <v>7800</v>
      </c>
      <c r="E945" s="13">
        <v>29.094999999999999</v>
      </c>
      <c r="F945" s="13">
        <f t="shared" si="44"/>
        <v>268.08730022340609</v>
      </c>
    </row>
    <row r="946" spans="1:6" x14ac:dyDescent="0.25">
      <c r="A946" s="10">
        <v>38177</v>
      </c>
      <c r="B946" s="12">
        <f t="shared" si="42"/>
        <v>7</v>
      </c>
      <c r="C946" s="12">
        <f t="shared" si="43"/>
        <v>2004</v>
      </c>
      <c r="D946" s="13">
        <v>7800</v>
      </c>
      <c r="E946" s="13">
        <v>29.11</v>
      </c>
      <c r="F946" s="13">
        <f t="shared" si="44"/>
        <v>267.94915836482306</v>
      </c>
    </row>
    <row r="947" spans="1:6" x14ac:dyDescent="0.25">
      <c r="A947" s="10">
        <v>38180</v>
      </c>
      <c r="B947" s="12">
        <f t="shared" si="42"/>
        <v>7</v>
      </c>
      <c r="C947" s="12">
        <f t="shared" si="43"/>
        <v>2004</v>
      </c>
      <c r="D947" s="13">
        <v>7800</v>
      </c>
      <c r="E947" s="13">
        <v>29.114999999999998</v>
      </c>
      <c r="F947" s="13">
        <f t="shared" si="44"/>
        <v>267.90314270994332</v>
      </c>
    </row>
    <row r="948" spans="1:6" x14ac:dyDescent="0.25">
      <c r="A948" s="10">
        <v>38181</v>
      </c>
      <c r="B948" s="12">
        <f t="shared" si="42"/>
        <v>7</v>
      </c>
      <c r="C948" s="12">
        <f t="shared" si="43"/>
        <v>2004</v>
      </c>
      <c r="D948" s="13">
        <v>7800</v>
      </c>
      <c r="E948" s="13">
        <v>29.12</v>
      </c>
      <c r="F948" s="13">
        <f t="shared" si="44"/>
        <v>267.85714285714283</v>
      </c>
    </row>
    <row r="949" spans="1:6" x14ac:dyDescent="0.25">
      <c r="A949" s="10">
        <v>38182</v>
      </c>
      <c r="B949" s="12">
        <f t="shared" si="42"/>
        <v>7</v>
      </c>
      <c r="C949" s="12">
        <f t="shared" si="43"/>
        <v>2004</v>
      </c>
      <c r="D949" s="13">
        <v>7800</v>
      </c>
      <c r="E949" s="13">
        <v>29.08</v>
      </c>
      <c r="F949" s="13">
        <f t="shared" si="44"/>
        <v>268.22558459422282</v>
      </c>
    </row>
    <row r="950" spans="1:6" x14ac:dyDescent="0.25">
      <c r="A950" s="10">
        <v>38183</v>
      </c>
      <c r="B950" s="12">
        <f t="shared" si="42"/>
        <v>7</v>
      </c>
      <c r="C950" s="12">
        <f t="shared" si="43"/>
        <v>2004</v>
      </c>
      <c r="D950" s="13">
        <v>7800</v>
      </c>
      <c r="E950" s="13">
        <v>29.077999999999999</v>
      </c>
      <c r="F950" s="13">
        <f t="shared" si="44"/>
        <v>268.24403328977235</v>
      </c>
    </row>
    <row r="951" spans="1:6" x14ac:dyDescent="0.25">
      <c r="A951" s="10">
        <v>38184</v>
      </c>
      <c r="B951" s="12">
        <f t="shared" si="42"/>
        <v>7</v>
      </c>
      <c r="C951" s="12">
        <f t="shared" si="43"/>
        <v>2004</v>
      </c>
      <c r="D951" s="13">
        <v>7800</v>
      </c>
      <c r="E951" s="13">
        <v>29.088000000000001</v>
      </c>
      <c r="F951" s="13">
        <f t="shared" si="44"/>
        <v>268.15181518151815</v>
      </c>
    </row>
    <row r="952" spans="1:6" x14ac:dyDescent="0.25">
      <c r="A952" s="10">
        <v>38187</v>
      </c>
      <c r="B952" s="12">
        <f t="shared" si="42"/>
        <v>7</v>
      </c>
      <c r="C952" s="12">
        <f t="shared" si="43"/>
        <v>2004</v>
      </c>
      <c r="D952" s="13">
        <v>7800</v>
      </c>
      <c r="E952" s="13">
        <v>29.076000000000001</v>
      </c>
      <c r="F952" s="13">
        <f t="shared" si="44"/>
        <v>268.26248452331822</v>
      </c>
    </row>
    <row r="953" spans="1:6" x14ac:dyDescent="0.25">
      <c r="A953" s="10">
        <v>38188</v>
      </c>
      <c r="B953" s="12">
        <f t="shared" si="42"/>
        <v>7</v>
      </c>
      <c r="C953" s="12">
        <f t="shared" si="43"/>
        <v>2004</v>
      </c>
      <c r="D953" s="13">
        <v>7800</v>
      </c>
      <c r="E953" s="13">
        <v>29.084</v>
      </c>
      <c r="F953" s="13">
        <f t="shared" si="44"/>
        <v>268.18869481501855</v>
      </c>
    </row>
    <row r="954" spans="1:6" x14ac:dyDescent="0.25">
      <c r="A954" s="10">
        <v>38189</v>
      </c>
      <c r="B954" s="12">
        <f t="shared" si="42"/>
        <v>7</v>
      </c>
      <c r="C954" s="12">
        <f t="shared" si="43"/>
        <v>2004</v>
      </c>
      <c r="D954" s="13">
        <v>7800</v>
      </c>
      <c r="E954" s="13">
        <v>29.085999999999999</v>
      </c>
      <c r="F954" s="13">
        <f t="shared" si="44"/>
        <v>268.17025373031703</v>
      </c>
    </row>
    <row r="955" spans="1:6" x14ac:dyDescent="0.25">
      <c r="A955" s="10">
        <v>38190</v>
      </c>
      <c r="B955" s="12">
        <f t="shared" si="42"/>
        <v>7</v>
      </c>
      <c r="C955" s="12">
        <f t="shared" si="43"/>
        <v>2004</v>
      </c>
      <c r="D955" s="13">
        <v>7800</v>
      </c>
      <c r="E955" s="13">
        <v>29.09</v>
      </c>
      <c r="F955" s="13">
        <f t="shared" si="44"/>
        <v>268.133379168099</v>
      </c>
    </row>
    <row r="956" spans="1:6" x14ac:dyDescent="0.25">
      <c r="A956" s="10">
        <v>38191</v>
      </c>
      <c r="B956" s="12">
        <f t="shared" si="42"/>
        <v>7</v>
      </c>
      <c r="C956" s="12">
        <f t="shared" si="43"/>
        <v>2004</v>
      </c>
      <c r="D956" s="13">
        <v>7800</v>
      </c>
      <c r="E956" s="13">
        <v>29.078700000000001</v>
      </c>
      <c r="F956" s="13">
        <f t="shared" si="44"/>
        <v>268.23757595765971</v>
      </c>
    </row>
    <row r="957" spans="1:6" x14ac:dyDescent="0.25">
      <c r="A957" s="10">
        <v>38194</v>
      </c>
      <c r="B957" s="12">
        <f t="shared" si="42"/>
        <v>7</v>
      </c>
      <c r="C957" s="12">
        <f t="shared" si="43"/>
        <v>2004</v>
      </c>
      <c r="D957" s="13">
        <v>7800</v>
      </c>
      <c r="E957" s="13">
        <v>29.0778</v>
      </c>
      <c r="F957" s="13">
        <f t="shared" si="44"/>
        <v>268.24587829890845</v>
      </c>
    </row>
    <row r="958" spans="1:6" x14ac:dyDescent="0.25">
      <c r="A958" s="10">
        <v>38195</v>
      </c>
      <c r="B958" s="12">
        <f t="shared" si="42"/>
        <v>7</v>
      </c>
      <c r="C958" s="12">
        <f t="shared" si="43"/>
        <v>2004</v>
      </c>
      <c r="D958" s="13">
        <v>7800</v>
      </c>
      <c r="E958" s="13">
        <v>29.082999999999998</v>
      </c>
      <c r="F958" s="13">
        <f t="shared" si="44"/>
        <v>268.19791630849636</v>
      </c>
    </row>
    <row r="959" spans="1:6" x14ac:dyDescent="0.25">
      <c r="A959" s="10">
        <v>38196</v>
      </c>
      <c r="B959" s="12">
        <f t="shared" si="42"/>
        <v>7</v>
      </c>
      <c r="C959" s="12">
        <f t="shared" si="43"/>
        <v>2004</v>
      </c>
      <c r="D959" s="13">
        <v>7800</v>
      </c>
      <c r="E959" s="13">
        <v>29.08</v>
      </c>
      <c r="F959" s="13">
        <f t="shared" si="44"/>
        <v>268.22558459422282</v>
      </c>
    </row>
    <row r="960" spans="1:6" x14ac:dyDescent="0.25">
      <c r="A960" s="10">
        <v>38197</v>
      </c>
      <c r="B960" s="12">
        <f t="shared" si="42"/>
        <v>7</v>
      </c>
      <c r="C960" s="12">
        <f t="shared" si="43"/>
        <v>2004</v>
      </c>
      <c r="D960" s="13">
        <v>7800</v>
      </c>
      <c r="E960" s="13">
        <v>29.0885</v>
      </c>
      <c r="F960" s="13">
        <f t="shared" si="44"/>
        <v>268.14720594049197</v>
      </c>
    </row>
    <row r="961" spans="1:6" x14ac:dyDescent="0.25">
      <c r="A961" s="10">
        <v>38198</v>
      </c>
      <c r="B961" s="12">
        <f t="shared" si="42"/>
        <v>7</v>
      </c>
      <c r="C961" s="12">
        <f t="shared" si="43"/>
        <v>2004</v>
      </c>
      <c r="D961" s="13">
        <v>7800</v>
      </c>
      <c r="E961" s="13">
        <v>29.100999999999999</v>
      </c>
      <c r="F961" s="13">
        <f t="shared" si="44"/>
        <v>268.03202639084566</v>
      </c>
    </row>
    <row r="962" spans="1:6" x14ac:dyDescent="0.25">
      <c r="A962" s="10">
        <v>38201</v>
      </c>
      <c r="B962" s="12">
        <f t="shared" si="42"/>
        <v>8</v>
      </c>
      <c r="C962" s="12">
        <f t="shared" si="43"/>
        <v>2004</v>
      </c>
      <c r="D962" s="13">
        <v>7800</v>
      </c>
      <c r="E962" s="13">
        <v>29.135000000000002</v>
      </c>
      <c r="F962" s="13">
        <f t="shared" si="44"/>
        <v>267.719238029861</v>
      </c>
    </row>
    <row r="963" spans="1:6" x14ac:dyDescent="0.25">
      <c r="A963" s="10">
        <v>38202</v>
      </c>
      <c r="B963" s="12">
        <f t="shared" ref="B963:B1026" si="45">MONTH(A963)</f>
        <v>8</v>
      </c>
      <c r="C963" s="12">
        <f t="shared" ref="C963:C1026" si="46">YEAR(A963)</f>
        <v>2004</v>
      </c>
      <c r="D963" s="13">
        <v>7800</v>
      </c>
      <c r="E963" s="13">
        <v>29.17</v>
      </c>
      <c r="F963" s="13">
        <f t="shared" ref="F963:F1026" si="47">IF(D963="","",D963/E963)</f>
        <v>267.39801165581076</v>
      </c>
    </row>
    <row r="964" spans="1:6" x14ac:dyDescent="0.25">
      <c r="A964" s="10">
        <v>38203</v>
      </c>
      <c r="B964" s="12">
        <f t="shared" si="45"/>
        <v>8</v>
      </c>
      <c r="C964" s="12">
        <f t="shared" si="46"/>
        <v>2004</v>
      </c>
      <c r="D964" s="13">
        <v>7800</v>
      </c>
      <c r="E964" s="13">
        <v>29.18</v>
      </c>
      <c r="F964" s="13">
        <f t="shared" si="47"/>
        <v>267.30637422892391</v>
      </c>
    </row>
    <row r="965" spans="1:6" x14ac:dyDescent="0.25">
      <c r="A965" s="10">
        <v>38204</v>
      </c>
      <c r="B965" s="12">
        <f t="shared" si="45"/>
        <v>8</v>
      </c>
      <c r="C965" s="12">
        <f t="shared" si="46"/>
        <v>2004</v>
      </c>
      <c r="D965" s="13">
        <v>7800</v>
      </c>
      <c r="E965" s="13">
        <v>29.193000000000001</v>
      </c>
      <c r="F965" s="13">
        <f t="shared" si="47"/>
        <v>267.18733943068543</v>
      </c>
    </row>
    <row r="966" spans="1:6" x14ac:dyDescent="0.25">
      <c r="A966" s="10">
        <v>38205</v>
      </c>
      <c r="B966" s="12">
        <f t="shared" si="45"/>
        <v>8</v>
      </c>
      <c r="C966" s="12">
        <f t="shared" si="46"/>
        <v>2004</v>
      </c>
      <c r="D966" s="13">
        <v>7800</v>
      </c>
      <c r="E966" s="13">
        <v>29.190999999999999</v>
      </c>
      <c r="F966" s="13">
        <f t="shared" si="47"/>
        <v>267.20564557569116</v>
      </c>
    </row>
    <row r="967" spans="1:6" x14ac:dyDescent="0.25">
      <c r="A967" s="10">
        <v>38208</v>
      </c>
      <c r="B967" s="12">
        <f t="shared" si="45"/>
        <v>8</v>
      </c>
      <c r="C967" s="12">
        <f t="shared" si="46"/>
        <v>2004</v>
      </c>
      <c r="D967" s="13">
        <v>7800</v>
      </c>
      <c r="E967" s="13">
        <v>29.24</v>
      </c>
      <c r="F967" s="13">
        <f t="shared" si="47"/>
        <v>266.75786593707249</v>
      </c>
    </row>
    <row r="968" spans="1:6" x14ac:dyDescent="0.25">
      <c r="A968" s="10">
        <v>38209</v>
      </c>
      <c r="B968" s="12">
        <f t="shared" si="45"/>
        <v>8</v>
      </c>
      <c r="C968" s="12">
        <f t="shared" si="46"/>
        <v>2004</v>
      </c>
      <c r="D968" s="13">
        <v>7800</v>
      </c>
      <c r="E968" s="13">
        <v>29.247</v>
      </c>
      <c r="F968" s="13">
        <f t="shared" si="47"/>
        <v>266.69401989947687</v>
      </c>
    </row>
    <row r="969" spans="1:6" x14ac:dyDescent="0.25">
      <c r="A969" s="10">
        <v>38210</v>
      </c>
      <c r="B969" s="12">
        <f t="shared" si="45"/>
        <v>8</v>
      </c>
      <c r="C969" s="12">
        <f t="shared" si="46"/>
        <v>2004</v>
      </c>
      <c r="D969" s="13">
        <v>7800</v>
      </c>
      <c r="E969" s="13">
        <v>29.263400000000001</v>
      </c>
      <c r="F969" s="13">
        <f t="shared" si="47"/>
        <v>266.54455736517286</v>
      </c>
    </row>
    <row r="970" spans="1:6" x14ac:dyDescent="0.25">
      <c r="A970" s="10">
        <v>38211</v>
      </c>
      <c r="B970" s="12">
        <f t="shared" si="45"/>
        <v>8</v>
      </c>
      <c r="C970" s="12">
        <f t="shared" si="46"/>
        <v>2004</v>
      </c>
      <c r="D970" s="13">
        <v>7800</v>
      </c>
      <c r="E970" s="13">
        <v>29.27</v>
      </c>
      <c r="F970" s="13">
        <f t="shared" si="47"/>
        <v>266.48445507345406</v>
      </c>
    </row>
    <row r="971" spans="1:6" x14ac:dyDescent="0.25">
      <c r="A971" s="10">
        <v>38212</v>
      </c>
      <c r="B971" s="12">
        <f t="shared" si="45"/>
        <v>8</v>
      </c>
      <c r="C971" s="12">
        <f t="shared" si="46"/>
        <v>2004</v>
      </c>
      <c r="D971" s="13">
        <v>7800</v>
      </c>
      <c r="E971" s="13">
        <v>29.244499999999999</v>
      </c>
      <c r="F971" s="13">
        <f t="shared" si="47"/>
        <v>266.71681854707725</v>
      </c>
    </row>
    <row r="972" spans="1:6" x14ac:dyDescent="0.25">
      <c r="A972" s="10">
        <v>38215</v>
      </c>
      <c r="B972" s="12">
        <f t="shared" si="45"/>
        <v>8</v>
      </c>
      <c r="C972" s="12">
        <f t="shared" si="46"/>
        <v>2004</v>
      </c>
      <c r="D972" s="13">
        <v>7800</v>
      </c>
      <c r="E972" s="13">
        <v>29.204999999999998</v>
      </c>
      <c r="F972" s="13">
        <f t="shared" si="47"/>
        <v>267.07755521314846</v>
      </c>
    </row>
    <row r="973" spans="1:6" x14ac:dyDescent="0.25">
      <c r="A973" s="10">
        <v>38216</v>
      </c>
      <c r="B973" s="12">
        <f t="shared" si="45"/>
        <v>8</v>
      </c>
      <c r="C973" s="12">
        <f t="shared" si="46"/>
        <v>2004</v>
      </c>
      <c r="D973" s="13">
        <v>7800</v>
      </c>
      <c r="E973" s="13">
        <v>29.209</v>
      </c>
      <c r="F973" s="13">
        <f t="shared" si="47"/>
        <v>267.04098051970283</v>
      </c>
    </row>
    <row r="974" spans="1:6" x14ac:dyDescent="0.25">
      <c r="A974" s="10">
        <v>38217</v>
      </c>
      <c r="B974" s="12">
        <f t="shared" si="45"/>
        <v>8</v>
      </c>
      <c r="C974" s="12">
        <f t="shared" si="46"/>
        <v>2004</v>
      </c>
      <c r="D974" s="13">
        <v>7800</v>
      </c>
      <c r="E974" s="13">
        <v>29.231000000000002</v>
      </c>
      <c r="F974" s="13">
        <f t="shared" si="47"/>
        <v>266.83999863158971</v>
      </c>
    </row>
    <row r="975" spans="1:6" x14ac:dyDescent="0.25">
      <c r="A975" s="10">
        <v>38218</v>
      </c>
      <c r="B975" s="12">
        <f t="shared" si="45"/>
        <v>8</v>
      </c>
      <c r="C975" s="12">
        <f t="shared" si="46"/>
        <v>2004</v>
      </c>
      <c r="D975" s="13">
        <v>7800</v>
      </c>
      <c r="E975" s="13">
        <v>29.219899999999999</v>
      </c>
      <c r="F975" s="13">
        <f t="shared" si="47"/>
        <v>266.94136530241377</v>
      </c>
    </row>
    <row r="976" spans="1:6" x14ac:dyDescent="0.25">
      <c r="A976" s="10">
        <v>38219</v>
      </c>
      <c r="B976" s="12">
        <f t="shared" si="45"/>
        <v>8</v>
      </c>
      <c r="C976" s="12">
        <f t="shared" si="46"/>
        <v>2004</v>
      </c>
      <c r="D976" s="13">
        <v>7800</v>
      </c>
      <c r="E976" s="13">
        <v>29.218900000000001</v>
      </c>
      <c r="F976" s="13">
        <f t="shared" si="47"/>
        <v>266.95050121667822</v>
      </c>
    </row>
    <row r="977" spans="1:6" x14ac:dyDescent="0.25">
      <c r="A977" s="10">
        <v>38222</v>
      </c>
      <c r="B977" s="12">
        <f t="shared" si="45"/>
        <v>8</v>
      </c>
      <c r="C977" s="12">
        <f t="shared" si="46"/>
        <v>2004</v>
      </c>
      <c r="D977" s="13">
        <v>7800</v>
      </c>
      <c r="E977" s="13">
        <v>29.212</v>
      </c>
      <c r="F977" s="13">
        <f t="shared" si="47"/>
        <v>267.01355607284677</v>
      </c>
    </row>
    <row r="978" spans="1:6" x14ac:dyDescent="0.25">
      <c r="A978" s="10">
        <v>38223</v>
      </c>
      <c r="B978" s="12">
        <f t="shared" si="45"/>
        <v>8</v>
      </c>
      <c r="C978" s="12">
        <f t="shared" si="46"/>
        <v>2004</v>
      </c>
      <c r="D978" s="13">
        <v>7800</v>
      </c>
      <c r="E978" s="13">
        <v>29.219000000000001</v>
      </c>
      <c r="F978" s="13">
        <f t="shared" si="47"/>
        <v>266.94958759711147</v>
      </c>
    </row>
    <row r="979" spans="1:6" x14ac:dyDescent="0.25">
      <c r="A979" s="10">
        <v>38224</v>
      </c>
      <c r="B979" s="12">
        <f t="shared" si="45"/>
        <v>8</v>
      </c>
      <c r="C979" s="12">
        <f t="shared" si="46"/>
        <v>2004</v>
      </c>
      <c r="D979" s="13">
        <v>7800</v>
      </c>
      <c r="E979" s="13">
        <v>29.222999999999999</v>
      </c>
      <c r="F979" s="13">
        <f t="shared" si="47"/>
        <v>266.9130479416898</v>
      </c>
    </row>
    <row r="980" spans="1:6" x14ac:dyDescent="0.25">
      <c r="A980" s="10">
        <v>38225</v>
      </c>
      <c r="B980" s="12">
        <f t="shared" si="45"/>
        <v>8</v>
      </c>
      <c r="C980" s="12">
        <f t="shared" si="46"/>
        <v>2004</v>
      </c>
      <c r="D980" s="13">
        <v>7800</v>
      </c>
      <c r="E980" s="13">
        <v>29.212</v>
      </c>
      <c r="F980" s="13">
        <f t="shared" si="47"/>
        <v>267.01355607284677</v>
      </c>
    </row>
    <row r="981" spans="1:6" x14ac:dyDescent="0.25">
      <c r="A981" s="10">
        <v>38226</v>
      </c>
      <c r="B981" s="12">
        <f t="shared" si="45"/>
        <v>8</v>
      </c>
      <c r="C981" s="12">
        <f t="shared" si="46"/>
        <v>2004</v>
      </c>
      <c r="D981" s="13">
        <v>7800</v>
      </c>
      <c r="E981" s="13">
        <v>29.22</v>
      </c>
      <c r="F981" s="13">
        <f t="shared" si="47"/>
        <v>266.9404517453799</v>
      </c>
    </row>
    <row r="982" spans="1:6" x14ac:dyDescent="0.25">
      <c r="A982" s="10">
        <v>38229</v>
      </c>
      <c r="B982" s="12">
        <f t="shared" si="45"/>
        <v>8</v>
      </c>
      <c r="C982" s="12">
        <f t="shared" si="46"/>
        <v>2004</v>
      </c>
      <c r="D982" s="13">
        <v>7800</v>
      </c>
      <c r="E982" s="13">
        <v>29.24</v>
      </c>
      <c r="F982" s="13">
        <f t="shared" si="47"/>
        <v>266.75786593707249</v>
      </c>
    </row>
    <row r="983" spans="1:6" x14ac:dyDescent="0.25">
      <c r="A983" s="10">
        <v>38230</v>
      </c>
      <c r="B983" s="12">
        <f t="shared" si="45"/>
        <v>8</v>
      </c>
      <c r="C983" s="12">
        <f t="shared" si="46"/>
        <v>2004</v>
      </c>
      <c r="D983" s="13">
        <v>7800</v>
      </c>
      <c r="E983" s="13">
        <v>29.253</v>
      </c>
      <c r="F983" s="13">
        <f t="shared" si="47"/>
        <v>266.63931904420059</v>
      </c>
    </row>
    <row r="984" spans="1:6" x14ac:dyDescent="0.25">
      <c r="A984" s="10">
        <v>38231</v>
      </c>
      <c r="B984" s="12">
        <f t="shared" si="45"/>
        <v>9</v>
      </c>
      <c r="C984" s="12">
        <f t="shared" si="46"/>
        <v>2004</v>
      </c>
      <c r="D984" s="13">
        <v>7800</v>
      </c>
      <c r="E984" s="13">
        <v>29.23</v>
      </c>
      <c r="F984" s="13">
        <f t="shared" si="47"/>
        <v>266.8491276086213</v>
      </c>
    </row>
    <row r="985" spans="1:6" x14ac:dyDescent="0.25">
      <c r="A985" s="10">
        <v>38232</v>
      </c>
      <c r="B985" s="12">
        <f t="shared" si="45"/>
        <v>9</v>
      </c>
      <c r="C985" s="12">
        <f t="shared" si="46"/>
        <v>2004</v>
      </c>
      <c r="D985" s="13">
        <v>7800</v>
      </c>
      <c r="E985" s="13">
        <v>29.234999999999999</v>
      </c>
      <c r="F985" s="13">
        <f t="shared" si="47"/>
        <v>266.80348896870191</v>
      </c>
    </row>
    <row r="986" spans="1:6" x14ac:dyDescent="0.25">
      <c r="A986" s="10">
        <v>38233</v>
      </c>
      <c r="B986" s="12">
        <f t="shared" si="45"/>
        <v>9</v>
      </c>
      <c r="C986" s="12">
        <f t="shared" si="46"/>
        <v>2004</v>
      </c>
      <c r="D986" s="13">
        <v>7800</v>
      </c>
      <c r="E986" s="13">
        <v>29.213000000000001</v>
      </c>
      <c r="F986" s="13">
        <f t="shared" si="47"/>
        <v>267.00441584226201</v>
      </c>
    </row>
    <row r="987" spans="1:6" x14ac:dyDescent="0.25">
      <c r="A987" s="10">
        <v>38237</v>
      </c>
      <c r="B987" s="12">
        <f t="shared" si="45"/>
        <v>9</v>
      </c>
      <c r="C987" s="12">
        <f t="shared" si="46"/>
        <v>2004</v>
      </c>
      <c r="D987" s="13">
        <v>7800</v>
      </c>
      <c r="E987" s="13">
        <v>29.216000000000001</v>
      </c>
      <c r="F987" s="13">
        <f t="shared" si="47"/>
        <v>266.97699890470972</v>
      </c>
    </row>
    <row r="988" spans="1:6" x14ac:dyDescent="0.25">
      <c r="A988" s="10">
        <v>38238</v>
      </c>
      <c r="B988" s="12">
        <f t="shared" si="45"/>
        <v>9</v>
      </c>
      <c r="C988" s="12">
        <f t="shared" si="46"/>
        <v>2004</v>
      </c>
      <c r="D988" s="13">
        <v>7800</v>
      </c>
      <c r="E988" s="13">
        <v>29.210999999999999</v>
      </c>
      <c r="F988" s="13">
        <f t="shared" si="47"/>
        <v>267.02269692923898</v>
      </c>
    </row>
    <row r="989" spans="1:6" x14ac:dyDescent="0.25">
      <c r="A989" s="10">
        <v>38239</v>
      </c>
      <c r="B989" s="12">
        <f t="shared" si="45"/>
        <v>9</v>
      </c>
      <c r="C989" s="12">
        <f t="shared" si="46"/>
        <v>2004</v>
      </c>
      <c r="D989" s="13">
        <v>7800</v>
      </c>
      <c r="E989" s="13">
        <v>29.209</v>
      </c>
      <c r="F989" s="13">
        <f t="shared" si="47"/>
        <v>267.04098051970283</v>
      </c>
    </row>
    <row r="990" spans="1:6" x14ac:dyDescent="0.25">
      <c r="A990" s="10">
        <v>38240</v>
      </c>
      <c r="B990" s="12">
        <f t="shared" si="45"/>
        <v>9</v>
      </c>
      <c r="C990" s="12">
        <f t="shared" si="46"/>
        <v>2004</v>
      </c>
      <c r="D990" s="13">
        <v>7800</v>
      </c>
      <c r="E990" s="13">
        <v>29.209</v>
      </c>
      <c r="F990" s="13">
        <f t="shared" si="47"/>
        <v>267.04098051970283</v>
      </c>
    </row>
    <row r="991" spans="1:6" x14ac:dyDescent="0.25">
      <c r="A991" s="10">
        <v>38243</v>
      </c>
      <c r="B991" s="12">
        <f t="shared" si="45"/>
        <v>9</v>
      </c>
      <c r="C991" s="12">
        <f t="shared" si="46"/>
        <v>2004</v>
      </c>
      <c r="D991" s="13">
        <v>6500</v>
      </c>
      <c r="E991" s="13">
        <v>29.209</v>
      </c>
      <c r="F991" s="13">
        <f t="shared" si="47"/>
        <v>222.5341504330857</v>
      </c>
    </row>
    <row r="992" spans="1:6" x14ac:dyDescent="0.25">
      <c r="A992" s="10">
        <v>38244</v>
      </c>
      <c r="B992" s="12">
        <f t="shared" si="45"/>
        <v>9</v>
      </c>
      <c r="C992" s="12">
        <f t="shared" si="46"/>
        <v>2004</v>
      </c>
      <c r="D992" s="13">
        <v>6500</v>
      </c>
      <c r="E992" s="13">
        <v>29.215</v>
      </c>
      <c r="F992" s="13">
        <f t="shared" si="47"/>
        <v>222.48844771521479</v>
      </c>
    </row>
    <row r="993" spans="1:6" x14ac:dyDescent="0.25">
      <c r="A993" s="10">
        <v>38245</v>
      </c>
      <c r="B993" s="12">
        <f t="shared" si="45"/>
        <v>9</v>
      </c>
      <c r="C993" s="12">
        <f t="shared" si="46"/>
        <v>2004</v>
      </c>
      <c r="D993" s="13">
        <v>6500</v>
      </c>
      <c r="E993" s="13">
        <v>29.21</v>
      </c>
      <c r="F993" s="13">
        <f t="shared" si="47"/>
        <v>222.52653200958576</v>
      </c>
    </row>
    <row r="994" spans="1:6" x14ac:dyDescent="0.25">
      <c r="A994" s="10">
        <v>38246</v>
      </c>
      <c r="B994" s="12">
        <f t="shared" si="45"/>
        <v>9</v>
      </c>
      <c r="C994" s="12">
        <f t="shared" si="46"/>
        <v>2004</v>
      </c>
      <c r="D994" s="13">
        <v>6500</v>
      </c>
      <c r="E994" s="13">
        <v>29.2225</v>
      </c>
      <c r="F994" s="13">
        <f t="shared" si="47"/>
        <v>222.43134570964153</v>
      </c>
    </row>
    <row r="995" spans="1:6" x14ac:dyDescent="0.25">
      <c r="A995" s="10">
        <v>38247</v>
      </c>
      <c r="B995" s="12">
        <f t="shared" si="45"/>
        <v>9</v>
      </c>
      <c r="C995" s="12">
        <f t="shared" si="46"/>
        <v>2004</v>
      </c>
      <c r="D995" s="13">
        <v>6500</v>
      </c>
      <c r="E995" s="13">
        <v>29.217500000000001</v>
      </c>
      <c r="F995" s="13">
        <f t="shared" si="47"/>
        <v>222.46941045606229</v>
      </c>
    </row>
    <row r="996" spans="1:6" x14ac:dyDescent="0.25">
      <c r="A996" s="10">
        <v>38250</v>
      </c>
      <c r="B996" s="12">
        <f t="shared" si="45"/>
        <v>9</v>
      </c>
      <c r="C996" s="12">
        <f t="shared" si="46"/>
        <v>2004</v>
      </c>
      <c r="D996" s="13">
        <v>6500</v>
      </c>
      <c r="E996" s="13">
        <v>29.209</v>
      </c>
      <c r="F996" s="13">
        <f t="shared" si="47"/>
        <v>222.5341504330857</v>
      </c>
    </row>
    <row r="997" spans="1:6" x14ac:dyDescent="0.25">
      <c r="A997" s="10">
        <v>38251</v>
      </c>
      <c r="B997" s="12">
        <f t="shared" si="45"/>
        <v>9</v>
      </c>
      <c r="C997" s="12">
        <f t="shared" si="46"/>
        <v>2004</v>
      </c>
      <c r="D997" s="13">
        <v>6500</v>
      </c>
      <c r="E997" s="13">
        <v>29.210999999999999</v>
      </c>
      <c r="F997" s="13">
        <f t="shared" si="47"/>
        <v>222.51891410769917</v>
      </c>
    </row>
    <row r="998" spans="1:6" x14ac:dyDescent="0.25">
      <c r="A998" s="10">
        <v>38252</v>
      </c>
      <c r="B998" s="12">
        <f t="shared" si="45"/>
        <v>9</v>
      </c>
      <c r="C998" s="12">
        <f t="shared" si="46"/>
        <v>2004</v>
      </c>
      <c r="D998" s="13">
        <v>6500</v>
      </c>
      <c r="E998" s="13">
        <v>29.206700000000001</v>
      </c>
      <c r="F998" s="13">
        <f t="shared" si="47"/>
        <v>222.55167478694955</v>
      </c>
    </row>
    <row r="999" spans="1:6" x14ac:dyDescent="0.25">
      <c r="A999" s="10">
        <v>38253</v>
      </c>
      <c r="B999" s="12">
        <f t="shared" si="45"/>
        <v>9</v>
      </c>
      <c r="C999" s="12">
        <f t="shared" si="46"/>
        <v>2004</v>
      </c>
      <c r="D999" s="13">
        <v>6500</v>
      </c>
      <c r="E999" s="13">
        <v>29.212900000000001</v>
      </c>
      <c r="F999" s="13">
        <f t="shared" si="47"/>
        <v>222.50444153096748</v>
      </c>
    </row>
    <row r="1000" spans="1:6" x14ac:dyDescent="0.25">
      <c r="A1000" s="10">
        <v>38254</v>
      </c>
      <c r="B1000" s="12">
        <f t="shared" si="45"/>
        <v>9</v>
      </c>
      <c r="C1000" s="12">
        <f t="shared" si="46"/>
        <v>2004</v>
      </c>
      <c r="D1000" s="13">
        <v>6500</v>
      </c>
      <c r="E1000" s="13">
        <v>29.2133</v>
      </c>
      <c r="F1000" s="13">
        <f t="shared" si="47"/>
        <v>222.50139491259119</v>
      </c>
    </row>
    <row r="1001" spans="1:6" x14ac:dyDescent="0.25">
      <c r="A1001" s="10">
        <v>38257</v>
      </c>
      <c r="B1001" s="12">
        <f t="shared" si="45"/>
        <v>9</v>
      </c>
      <c r="C1001" s="12">
        <f t="shared" si="46"/>
        <v>2004</v>
      </c>
      <c r="D1001" s="13">
        <v>6950</v>
      </c>
      <c r="E1001" s="13">
        <v>29.209900000000001</v>
      </c>
      <c r="F1001" s="13">
        <f t="shared" si="47"/>
        <v>237.93302955504811</v>
      </c>
    </row>
    <row r="1002" spans="1:6" x14ac:dyDescent="0.25">
      <c r="A1002" s="10">
        <v>38258</v>
      </c>
      <c r="B1002" s="12">
        <f t="shared" si="45"/>
        <v>9</v>
      </c>
      <c r="C1002" s="12">
        <f t="shared" si="46"/>
        <v>2004</v>
      </c>
      <c r="D1002" s="13">
        <v>6950</v>
      </c>
      <c r="E1002" s="13">
        <v>29.215</v>
      </c>
      <c r="F1002" s="13">
        <f t="shared" si="47"/>
        <v>237.8914940954989</v>
      </c>
    </row>
    <row r="1003" spans="1:6" x14ac:dyDescent="0.25">
      <c r="A1003" s="10">
        <v>38259</v>
      </c>
      <c r="B1003" s="12">
        <f t="shared" si="45"/>
        <v>9</v>
      </c>
      <c r="C1003" s="12">
        <f t="shared" si="46"/>
        <v>2004</v>
      </c>
      <c r="D1003" s="13">
        <v>6950</v>
      </c>
      <c r="E1003" s="13">
        <v>29.215</v>
      </c>
      <c r="F1003" s="13">
        <f t="shared" si="47"/>
        <v>237.8914940954989</v>
      </c>
    </row>
    <row r="1004" spans="1:6" x14ac:dyDescent="0.25">
      <c r="A1004" s="10">
        <v>38260</v>
      </c>
      <c r="B1004" s="12">
        <f t="shared" si="45"/>
        <v>9</v>
      </c>
      <c r="C1004" s="12">
        <f t="shared" si="46"/>
        <v>2004</v>
      </c>
      <c r="D1004" s="13">
        <v>6950</v>
      </c>
      <c r="E1004" s="13">
        <v>29.219100000000001</v>
      </c>
      <c r="F1004" s="13">
        <f t="shared" si="47"/>
        <v>237.85811335735872</v>
      </c>
    </row>
    <row r="1005" spans="1:6" x14ac:dyDescent="0.25">
      <c r="A1005" s="10">
        <v>38261</v>
      </c>
      <c r="B1005" s="12">
        <f t="shared" si="45"/>
        <v>10</v>
      </c>
      <c r="C1005" s="12">
        <f t="shared" si="46"/>
        <v>2004</v>
      </c>
      <c r="D1005" s="13">
        <v>6950</v>
      </c>
      <c r="E1005" s="13">
        <v>29.2135</v>
      </c>
      <c r="F1005" s="13">
        <f t="shared" si="47"/>
        <v>237.90370890170641</v>
      </c>
    </row>
    <row r="1006" spans="1:6" x14ac:dyDescent="0.25">
      <c r="A1006" s="10">
        <v>38264</v>
      </c>
      <c r="B1006" s="12">
        <f t="shared" si="45"/>
        <v>10</v>
      </c>
      <c r="C1006" s="12">
        <f t="shared" si="46"/>
        <v>2004</v>
      </c>
      <c r="D1006" s="13">
        <v>7350</v>
      </c>
      <c r="E1006" s="13">
        <v>29.184699999999999</v>
      </c>
      <c r="F1006" s="13">
        <f t="shared" si="47"/>
        <v>251.84428827433553</v>
      </c>
    </row>
    <row r="1007" spans="1:6" x14ac:dyDescent="0.25">
      <c r="A1007" s="10">
        <v>38265</v>
      </c>
      <c r="B1007" s="12">
        <f t="shared" si="45"/>
        <v>10</v>
      </c>
      <c r="C1007" s="12">
        <f t="shared" si="46"/>
        <v>2004</v>
      </c>
      <c r="D1007" s="13">
        <v>7350</v>
      </c>
      <c r="E1007" s="13">
        <v>29.2151</v>
      </c>
      <c r="F1007" s="13">
        <f t="shared" si="47"/>
        <v>251.58222973736184</v>
      </c>
    </row>
    <row r="1008" spans="1:6" x14ac:dyDescent="0.25">
      <c r="A1008" s="10">
        <v>38266</v>
      </c>
      <c r="B1008" s="12">
        <f t="shared" si="45"/>
        <v>10</v>
      </c>
      <c r="C1008" s="12">
        <f t="shared" si="46"/>
        <v>2004</v>
      </c>
      <c r="D1008" s="13">
        <v>7350</v>
      </c>
      <c r="E1008" s="13">
        <v>29.2151</v>
      </c>
      <c r="F1008" s="13">
        <f t="shared" si="47"/>
        <v>251.58222973736184</v>
      </c>
    </row>
    <row r="1009" spans="1:6" x14ac:dyDescent="0.25">
      <c r="A1009" s="10">
        <v>38267</v>
      </c>
      <c r="B1009" s="12">
        <f t="shared" si="45"/>
        <v>10</v>
      </c>
      <c r="C1009" s="12">
        <f t="shared" si="46"/>
        <v>2004</v>
      </c>
      <c r="D1009" s="13">
        <v>7350</v>
      </c>
      <c r="E1009" s="13">
        <v>29.2148</v>
      </c>
      <c r="F1009" s="13">
        <f t="shared" si="47"/>
        <v>251.58481317688296</v>
      </c>
    </row>
    <row r="1010" spans="1:6" x14ac:dyDescent="0.25">
      <c r="A1010" s="10">
        <v>38268</v>
      </c>
      <c r="B1010" s="12">
        <f t="shared" si="45"/>
        <v>10</v>
      </c>
      <c r="C1010" s="12">
        <f t="shared" si="46"/>
        <v>2004</v>
      </c>
      <c r="D1010" s="13">
        <v>7350</v>
      </c>
      <c r="E1010" s="13">
        <v>29.217700000000001</v>
      </c>
      <c r="F1010" s="13">
        <f t="shared" si="47"/>
        <v>251.55984215047727</v>
      </c>
    </row>
    <row r="1011" spans="1:6" x14ac:dyDescent="0.25">
      <c r="A1011" s="10">
        <v>38271</v>
      </c>
      <c r="B1011" s="12">
        <f t="shared" si="45"/>
        <v>10</v>
      </c>
      <c r="C1011" s="12">
        <f t="shared" si="46"/>
        <v>2004</v>
      </c>
      <c r="D1011" s="13">
        <v>7950</v>
      </c>
      <c r="E1011" s="13">
        <v>29.07</v>
      </c>
      <c r="F1011" s="13">
        <f t="shared" si="47"/>
        <v>273.47781217750259</v>
      </c>
    </row>
    <row r="1012" spans="1:6" x14ac:dyDescent="0.25">
      <c r="A1012" s="10">
        <v>38272</v>
      </c>
      <c r="B1012" s="12">
        <f t="shared" si="45"/>
        <v>10</v>
      </c>
      <c r="C1012" s="12">
        <f t="shared" si="46"/>
        <v>2004</v>
      </c>
      <c r="D1012" s="13">
        <v>7950</v>
      </c>
      <c r="E1012" s="13">
        <v>29.116</v>
      </c>
      <c r="F1012" s="13">
        <f t="shared" si="47"/>
        <v>273.04574804231351</v>
      </c>
    </row>
    <row r="1013" spans="1:6" x14ac:dyDescent="0.25">
      <c r="A1013" s="10">
        <v>38273</v>
      </c>
      <c r="B1013" s="12">
        <f t="shared" si="45"/>
        <v>10</v>
      </c>
      <c r="C1013" s="12">
        <f t="shared" si="46"/>
        <v>2004</v>
      </c>
      <c r="D1013" s="13">
        <v>7950</v>
      </c>
      <c r="E1013" s="13">
        <v>29.113900000000001</v>
      </c>
      <c r="F1013" s="13">
        <f t="shared" si="47"/>
        <v>273.06544296710507</v>
      </c>
    </row>
    <row r="1014" spans="1:6" x14ac:dyDescent="0.25">
      <c r="A1014" s="10">
        <v>38274</v>
      </c>
      <c r="B1014" s="12">
        <f t="shared" si="45"/>
        <v>10</v>
      </c>
      <c r="C1014" s="12">
        <f t="shared" si="46"/>
        <v>2004</v>
      </c>
      <c r="D1014" s="13">
        <v>7950</v>
      </c>
      <c r="E1014" s="13">
        <v>29.110499999999998</v>
      </c>
      <c r="F1014" s="13">
        <f t="shared" si="47"/>
        <v>273.0973360127789</v>
      </c>
    </row>
    <row r="1015" spans="1:6" x14ac:dyDescent="0.25">
      <c r="A1015" s="10">
        <v>38275</v>
      </c>
      <c r="B1015" s="12">
        <f t="shared" si="45"/>
        <v>10</v>
      </c>
      <c r="C1015" s="12">
        <f t="shared" si="46"/>
        <v>2004</v>
      </c>
      <c r="D1015" s="13">
        <v>7950</v>
      </c>
      <c r="E1015" s="13">
        <v>29.1112</v>
      </c>
      <c r="F1015" s="13">
        <f t="shared" si="47"/>
        <v>273.09076918849104</v>
      </c>
    </row>
    <row r="1016" spans="1:6" x14ac:dyDescent="0.25">
      <c r="A1016" s="10">
        <v>38278</v>
      </c>
      <c r="B1016" s="12">
        <f t="shared" si="45"/>
        <v>10</v>
      </c>
      <c r="C1016" s="12">
        <f t="shared" si="46"/>
        <v>2004</v>
      </c>
      <c r="D1016" s="13">
        <v>7950</v>
      </c>
      <c r="E1016" s="13">
        <v>29.115500000000001</v>
      </c>
      <c r="F1016" s="13">
        <f t="shared" si="47"/>
        <v>273.05043705242912</v>
      </c>
    </row>
    <row r="1017" spans="1:6" x14ac:dyDescent="0.25">
      <c r="A1017" s="10">
        <v>38279</v>
      </c>
      <c r="B1017" s="12">
        <f t="shared" si="45"/>
        <v>10</v>
      </c>
      <c r="C1017" s="12">
        <f t="shared" si="46"/>
        <v>2004</v>
      </c>
      <c r="D1017" s="13">
        <v>7950</v>
      </c>
      <c r="E1017" s="13">
        <v>29.115500000000001</v>
      </c>
      <c r="F1017" s="13">
        <f t="shared" si="47"/>
        <v>273.05043705242912</v>
      </c>
    </row>
    <row r="1018" spans="1:6" x14ac:dyDescent="0.25">
      <c r="A1018" s="10">
        <v>38280</v>
      </c>
      <c r="B1018" s="12">
        <f t="shared" si="45"/>
        <v>10</v>
      </c>
      <c r="C1018" s="12">
        <f t="shared" si="46"/>
        <v>2004</v>
      </c>
      <c r="D1018" s="13">
        <v>7950</v>
      </c>
      <c r="E1018" s="13">
        <v>29.112300000000001</v>
      </c>
      <c r="F1018" s="13">
        <f t="shared" si="47"/>
        <v>273.08045053121873</v>
      </c>
    </row>
    <row r="1019" spans="1:6" x14ac:dyDescent="0.25">
      <c r="A1019" s="10">
        <v>38281</v>
      </c>
      <c r="B1019" s="12">
        <f t="shared" si="45"/>
        <v>10</v>
      </c>
      <c r="C1019" s="12">
        <f t="shared" si="46"/>
        <v>2004</v>
      </c>
      <c r="D1019" s="13">
        <v>7950</v>
      </c>
      <c r="E1019" s="13">
        <v>29.111599999999999</v>
      </c>
      <c r="F1019" s="13">
        <f t="shared" si="47"/>
        <v>273.08701685925888</v>
      </c>
    </row>
    <row r="1020" spans="1:6" x14ac:dyDescent="0.25">
      <c r="A1020" s="10">
        <v>38282</v>
      </c>
      <c r="B1020" s="12">
        <f t="shared" si="45"/>
        <v>10</v>
      </c>
      <c r="C1020" s="12">
        <f t="shared" si="46"/>
        <v>2004</v>
      </c>
      <c r="D1020" s="13">
        <v>7950</v>
      </c>
      <c r="E1020" s="13">
        <v>28.935500000000001</v>
      </c>
      <c r="F1020" s="13">
        <f t="shared" si="47"/>
        <v>274.74901073076325</v>
      </c>
    </row>
    <row r="1021" spans="1:6" x14ac:dyDescent="0.25">
      <c r="A1021" s="10">
        <v>38285</v>
      </c>
      <c r="B1021" s="12">
        <f t="shared" si="45"/>
        <v>10</v>
      </c>
      <c r="C1021" s="12">
        <f t="shared" si="46"/>
        <v>2004</v>
      </c>
      <c r="D1021" s="13">
        <v>8300</v>
      </c>
      <c r="E1021" s="13">
        <v>28.858899999999998</v>
      </c>
      <c r="F1021" s="13">
        <f t="shared" si="47"/>
        <v>287.60624971845778</v>
      </c>
    </row>
    <row r="1022" spans="1:6" x14ac:dyDescent="0.25">
      <c r="A1022" s="10">
        <v>38286</v>
      </c>
      <c r="B1022" s="12">
        <f t="shared" si="45"/>
        <v>10</v>
      </c>
      <c r="C1022" s="12">
        <f t="shared" si="46"/>
        <v>2004</v>
      </c>
      <c r="D1022" s="13">
        <v>8300</v>
      </c>
      <c r="E1022" s="13">
        <v>28.729900000000001</v>
      </c>
      <c r="F1022" s="13">
        <f t="shared" si="47"/>
        <v>288.89762929909256</v>
      </c>
    </row>
    <row r="1023" spans="1:6" x14ac:dyDescent="0.25">
      <c r="A1023" s="10">
        <v>38287</v>
      </c>
      <c r="B1023" s="12">
        <f t="shared" si="45"/>
        <v>10</v>
      </c>
      <c r="C1023" s="12">
        <f t="shared" si="46"/>
        <v>2004</v>
      </c>
      <c r="D1023" s="13">
        <v>8300</v>
      </c>
      <c r="E1023" s="13">
        <v>28.763999999999999</v>
      </c>
      <c r="F1023" s="13">
        <f t="shared" si="47"/>
        <v>288.55513836740369</v>
      </c>
    </row>
    <row r="1024" spans="1:6" x14ac:dyDescent="0.25">
      <c r="A1024" s="10">
        <v>38288</v>
      </c>
      <c r="B1024" s="12">
        <f t="shared" si="45"/>
        <v>10</v>
      </c>
      <c r="C1024" s="12">
        <f t="shared" si="46"/>
        <v>2004</v>
      </c>
      <c r="D1024" s="13">
        <v>8300</v>
      </c>
      <c r="E1024" s="13">
        <v>28.757000000000001</v>
      </c>
      <c r="F1024" s="13">
        <f t="shared" si="47"/>
        <v>288.62537816879365</v>
      </c>
    </row>
    <row r="1025" spans="1:6" x14ac:dyDescent="0.25">
      <c r="A1025" s="10">
        <v>38289</v>
      </c>
      <c r="B1025" s="12">
        <f t="shared" si="45"/>
        <v>10</v>
      </c>
      <c r="C1025" s="12">
        <f t="shared" si="46"/>
        <v>2004</v>
      </c>
      <c r="D1025" s="13">
        <v>8300</v>
      </c>
      <c r="E1025" s="13">
        <v>28.734000000000002</v>
      </c>
      <c r="F1025" s="13">
        <f t="shared" si="47"/>
        <v>288.85640704392006</v>
      </c>
    </row>
    <row r="1026" spans="1:6" x14ac:dyDescent="0.25">
      <c r="A1026" s="10">
        <v>38292</v>
      </c>
      <c r="B1026" s="12">
        <f t="shared" si="45"/>
        <v>11</v>
      </c>
      <c r="C1026" s="12">
        <f t="shared" si="46"/>
        <v>2004</v>
      </c>
      <c r="D1026" s="13">
        <v>8500</v>
      </c>
      <c r="E1026" s="13">
        <v>28.7638</v>
      </c>
      <c r="F1026" s="13">
        <f t="shared" si="47"/>
        <v>295.51032895514498</v>
      </c>
    </row>
    <row r="1027" spans="1:6" x14ac:dyDescent="0.25">
      <c r="A1027" s="10">
        <v>38293</v>
      </c>
      <c r="B1027" s="12">
        <f t="shared" ref="B1027:B1090" si="48">MONTH(A1027)</f>
        <v>11</v>
      </c>
      <c r="C1027" s="12">
        <f t="shared" ref="C1027:C1090" si="49">YEAR(A1027)</f>
        <v>2004</v>
      </c>
      <c r="D1027" s="13">
        <v>8500</v>
      </c>
      <c r="E1027" s="13">
        <v>28.773</v>
      </c>
      <c r="F1027" s="13">
        <f t="shared" ref="F1027:F1090" si="50">IF(D1027="","",D1027/E1027)</f>
        <v>295.41584124005146</v>
      </c>
    </row>
    <row r="1028" spans="1:6" x14ac:dyDescent="0.25">
      <c r="A1028" s="10">
        <v>38294</v>
      </c>
      <c r="B1028" s="12">
        <f t="shared" si="48"/>
        <v>11</v>
      </c>
      <c r="C1028" s="12">
        <f t="shared" si="49"/>
        <v>2004</v>
      </c>
      <c r="D1028" s="13">
        <v>8500</v>
      </c>
      <c r="E1028" s="13">
        <v>28.759</v>
      </c>
      <c r="F1028" s="13">
        <f t="shared" si="50"/>
        <v>295.55965089189471</v>
      </c>
    </row>
    <row r="1029" spans="1:6" x14ac:dyDescent="0.25">
      <c r="A1029" s="10">
        <v>38295</v>
      </c>
      <c r="B1029" s="12">
        <f t="shared" si="48"/>
        <v>11</v>
      </c>
      <c r="C1029" s="12">
        <f t="shared" si="49"/>
        <v>2004</v>
      </c>
      <c r="D1029" s="13">
        <v>8500</v>
      </c>
      <c r="E1029" s="13">
        <v>28.739899999999999</v>
      </c>
      <c r="F1029" s="13">
        <f t="shared" si="50"/>
        <v>295.75607430784379</v>
      </c>
    </row>
    <row r="1030" spans="1:6" x14ac:dyDescent="0.25">
      <c r="A1030" s="10">
        <v>38296</v>
      </c>
      <c r="B1030" s="12">
        <f t="shared" si="48"/>
        <v>11</v>
      </c>
      <c r="C1030" s="12">
        <f t="shared" si="49"/>
        <v>2004</v>
      </c>
      <c r="D1030" s="13">
        <v>8500</v>
      </c>
      <c r="E1030" s="13">
        <v>28.659199999999998</v>
      </c>
      <c r="F1030" s="13">
        <f t="shared" si="50"/>
        <v>296.58887896382316</v>
      </c>
    </row>
    <row r="1031" spans="1:6" x14ac:dyDescent="0.25">
      <c r="A1031" s="10">
        <v>38299</v>
      </c>
      <c r="B1031" s="12">
        <f t="shared" si="48"/>
        <v>11</v>
      </c>
      <c r="C1031" s="12">
        <f t="shared" si="49"/>
        <v>2004</v>
      </c>
      <c r="D1031" s="13">
        <v>8650</v>
      </c>
      <c r="E1031" s="13">
        <v>28.658100000000001</v>
      </c>
      <c r="F1031" s="13">
        <f t="shared" si="50"/>
        <v>301.8343853919136</v>
      </c>
    </row>
    <row r="1032" spans="1:6" x14ac:dyDescent="0.25">
      <c r="A1032" s="10">
        <v>38300</v>
      </c>
      <c r="B1032" s="12">
        <f t="shared" si="48"/>
        <v>11</v>
      </c>
      <c r="C1032" s="12">
        <f t="shared" si="49"/>
        <v>2004</v>
      </c>
      <c r="D1032" s="13">
        <v>8650</v>
      </c>
      <c r="E1032" s="13">
        <v>28.658999999999999</v>
      </c>
      <c r="F1032" s="13">
        <f t="shared" si="50"/>
        <v>301.82490666108379</v>
      </c>
    </row>
    <row r="1033" spans="1:6" x14ac:dyDescent="0.25">
      <c r="A1033" s="10">
        <v>38301</v>
      </c>
      <c r="B1033" s="12">
        <f t="shared" si="48"/>
        <v>11</v>
      </c>
      <c r="C1033" s="12">
        <f t="shared" si="49"/>
        <v>2004</v>
      </c>
      <c r="D1033" s="13">
        <v>8650</v>
      </c>
      <c r="E1033" s="13">
        <v>28.677399999999999</v>
      </c>
      <c r="F1033" s="13">
        <f t="shared" si="50"/>
        <v>301.63124969488172</v>
      </c>
    </row>
    <row r="1034" spans="1:6" x14ac:dyDescent="0.25">
      <c r="A1034" s="10">
        <v>38302</v>
      </c>
      <c r="B1034" s="12">
        <f t="shared" si="48"/>
        <v>11</v>
      </c>
      <c r="C1034" s="12">
        <f t="shared" si="49"/>
        <v>2004</v>
      </c>
      <c r="D1034" s="13">
        <v>8650</v>
      </c>
      <c r="E1034" s="13">
        <v>28.673999999999999</v>
      </c>
      <c r="F1034" s="13">
        <f t="shared" si="50"/>
        <v>301.66701541466136</v>
      </c>
    </row>
    <row r="1035" spans="1:6" x14ac:dyDescent="0.25">
      <c r="A1035" s="10">
        <v>38303</v>
      </c>
      <c r="B1035" s="12">
        <f t="shared" si="48"/>
        <v>11</v>
      </c>
      <c r="C1035" s="12">
        <f t="shared" si="49"/>
        <v>2004</v>
      </c>
      <c r="D1035" s="13">
        <v>8650</v>
      </c>
      <c r="E1035" s="13">
        <v>28.668399999999998</v>
      </c>
      <c r="F1035" s="13">
        <f t="shared" si="50"/>
        <v>301.72594215233499</v>
      </c>
    </row>
    <row r="1036" spans="1:6" x14ac:dyDescent="0.25">
      <c r="A1036" s="10">
        <v>38306</v>
      </c>
      <c r="B1036" s="12">
        <f t="shared" si="48"/>
        <v>11</v>
      </c>
      <c r="C1036" s="12">
        <f t="shared" si="49"/>
        <v>2004</v>
      </c>
      <c r="D1036" s="13">
        <v>8500</v>
      </c>
      <c r="E1036" s="13">
        <v>28.679600000000001</v>
      </c>
      <c r="F1036" s="13">
        <f t="shared" si="50"/>
        <v>296.37791322054699</v>
      </c>
    </row>
    <row r="1037" spans="1:6" x14ac:dyDescent="0.25">
      <c r="A1037" s="10">
        <v>38307</v>
      </c>
      <c r="B1037" s="12">
        <f t="shared" si="48"/>
        <v>11</v>
      </c>
      <c r="C1037" s="12">
        <f t="shared" si="49"/>
        <v>2004</v>
      </c>
      <c r="D1037" s="13">
        <v>8500</v>
      </c>
      <c r="E1037" s="13">
        <v>28.678999999999998</v>
      </c>
      <c r="F1037" s="13">
        <f t="shared" si="50"/>
        <v>296.38411381149973</v>
      </c>
    </row>
    <row r="1038" spans="1:6" x14ac:dyDescent="0.25">
      <c r="A1038" s="10">
        <v>38308</v>
      </c>
      <c r="B1038" s="12">
        <f t="shared" si="48"/>
        <v>11</v>
      </c>
      <c r="C1038" s="12">
        <f t="shared" si="49"/>
        <v>2004</v>
      </c>
      <c r="D1038" s="13">
        <v>8500</v>
      </c>
      <c r="E1038" s="13">
        <v>28.638400000000001</v>
      </c>
      <c r="F1038" s="13">
        <f t="shared" si="50"/>
        <v>296.80429074249957</v>
      </c>
    </row>
    <row r="1039" spans="1:6" x14ac:dyDescent="0.25">
      <c r="A1039" s="10">
        <v>38309</v>
      </c>
      <c r="B1039" s="12">
        <f t="shared" si="48"/>
        <v>11</v>
      </c>
      <c r="C1039" s="12">
        <f t="shared" si="49"/>
        <v>2004</v>
      </c>
      <c r="D1039" s="13">
        <v>8500</v>
      </c>
      <c r="E1039" s="13">
        <v>28.541499999999999</v>
      </c>
      <c r="F1039" s="13">
        <f t="shared" si="50"/>
        <v>297.8119580260323</v>
      </c>
    </row>
    <row r="1040" spans="1:6" x14ac:dyDescent="0.25">
      <c r="A1040" s="10">
        <v>38310</v>
      </c>
      <c r="B1040" s="12">
        <f t="shared" si="48"/>
        <v>11</v>
      </c>
      <c r="C1040" s="12">
        <f t="shared" si="49"/>
        <v>2004</v>
      </c>
      <c r="D1040" s="13">
        <v>8500</v>
      </c>
      <c r="E1040" s="13">
        <v>28.518999999999998</v>
      </c>
      <c r="F1040" s="13">
        <f t="shared" si="50"/>
        <v>298.04691609102707</v>
      </c>
    </row>
    <row r="1041" spans="1:6" x14ac:dyDescent="0.25">
      <c r="A1041" s="10">
        <v>38313</v>
      </c>
      <c r="B1041" s="12">
        <f t="shared" si="48"/>
        <v>11</v>
      </c>
      <c r="C1041" s="12">
        <f t="shared" si="49"/>
        <v>2004</v>
      </c>
      <c r="D1041" s="13">
        <v>8200</v>
      </c>
      <c r="E1041" s="13">
        <v>28.515000000000001</v>
      </c>
      <c r="F1041" s="13">
        <f t="shared" si="50"/>
        <v>287.56794669472208</v>
      </c>
    </row>
    <row r="1042" spans="1:6" x14ac:dyDescent="0.25">
      <c r="A1042" s="10">
        <v>38314</v>
      </c>
      <c r="B1042" s="12">
        <f t="shared" si="48"/>
        <v>11</v>
      </c>
      <c r="C1042" s="12">
        <f t="shared" si="49"/>
        <v>2004</v>
      </c>
      <c r="D1042" s="13">
        <v>8200</v>
      </c>
      <c r="E1042" s="13">
        <v>28.49</v>
      </c>
      <c r="F1042" s="13">
        <f t="shared" si="50"/>
        <v>287.82028782028783</v>
      </c>
    </row>
    <row r="1043" spans="1:6" x14ac:dyDescent="0.25">
      <c r="A1043" s="10">
        <v>38315</v>
      </c>
      <c r="B1043" s="12">
        <f t="shared" si="48"/>
        <v>11</v>
      </c>
      <c r="C1043" s="12">
        <f t="shared" si="49"/>
        <v>2004</v>
      </c>
      <c r="D1043" s="13">
        <v>8200</v>
      </c>
      <c r="E1043" s="13">
        <v>28.37</v>
      </c>
      <c r="F1043" s="13">
        <f t="shared" si="50"/>
        <v>289.03771589707435</v>
      </c>
    </row>
    <row r="1044" spans="1:6" x14ac:dyDescent="0.25">
      <c r="A1044" s="10">
        <v>38317</v>
      </c>
      <c r="B1044" s="12">
        <f t="shared" si="48"/>
        <v>11</v>
      </c>
      <c r="C1044" s="12">
        <f t="shared" si="49"/>
        <v>2004</v>
      </c>
      <c r="D1044" s="13">
        <v>8200</v>
      </c>
      <c r="E1044" s="13">
        <v>28.309000000000001</v>
      </c>
      <c r="F1044" s="13">
        <f t="shared" si="50"/>
        <v>289.66053198629407</v>
      </c>
    </row>
    <row r="1045" spans="1:6" x14ac:dyDescent="0.25">
      <c r="A1045" s="10">
        <v>38320</v>
      </c>
      <c r="B1045" s="12">
        <f t="shared" si="48"/>
        <v>11</v>
      </c>
      <c r="C1045" s="12">
        <f t="shared" si="49"/>
        <v>2004</v>
      </c>
      <c r="D1045" s="13">
        <v>8150</v>
      </c>
      <c r="E1045" s="13">
        <v>28.15</v>
      </c>
      <c r="F1045" s="13">
        <f t="shared" si="50"/>
        <v>289.52042628774421</v>
      </c>
    </row>
    <row r="1046" spans="1:6" x14ac:dyDescent="0.25">
      <c r="A1046" s="10">
        <v>38321</v>
      </c>
      <c r="B1046" s="12">
        <f t="shared" si="48"/>
        <v>11</v>
      </c>
      <c r="C1046" s="12">
        <f t="shared" si="49"/>
        <v>2004</v>
      </c>
      <c r="D1046" s="13">
        <v>8150</v>
      </c>
      <c r="E1046" s="13">
        <v>28.125</v>
      </c>
      <c r="F1046" s="13">
        <f t="shared" si="50"/>
        <v>289.77777777777777</v>
      </c>
    </row>
    <row r="1047" spans="1:6" x14ac:dyDescent="0.25">
      <c r="A1047" s="10">
        <v>38322</v>
      </c>
      <c r="B1047" s="12">
        <f t="shared" si="48"/>
        <v>12</v>
      </c>
      <c r="C1047" s="12">
        <f t="shared" si="49"/>
        <v>2004</v>
      </c>
      <c r="D1047" s="13">
        <v>8150</v>
      </c>
      <c r="E1047" s="13">
        <v>27.934000000000001</v>
      </c>
      <c r="F1047" s="13">
        <f t="shared" si="50"/>
        <v>291.75914655974799</v>
      </c>
    </row>
    <row r="1048" spans="1:6" x14ac:dyDescent="0.25">
      <c r="A1048" s="10">
        <v>38323</v>
      </c>
      <c r="B1048" s="12">
        <f t="shared" si="48"/>
        <v>12</v>
      </c>
      <c r="C1048" s="12">
        <f t="shared" si="49"/>
        <v>2004</v>
      </c>
      <c r="D1048" s="13">
        <v>8150</v>
      </c>
      <c r="E1048" s="13">
        <v>27.992000000000001</v>
      </c>
      <c r="F1048" s="13">
        <f t="shared" si="50"/>
        <v>291.1546156044584</v>
      </c>
    </row>
    <row r="1049" spans="1:6" x14ac:dyDescent="0.25">
      <c r="A1049" s="10">
        <v>38324</v>
      </c>
      <c r="B1049" s="12">
        <f t="shared" si="48"/>
        <v>12</v>
      </c>
      <c r="C1049" s="12">
        <f t="shared" si="49"/>
        <v>2004</v>
      </c>
      <c r="D1049" s="13">
        <v>8150</v>
      </c>
      <c r="E1049" s="13">
        <v>27.919</v>
      </c>
      <c r="F1049" s="13">
        <f t="shared" si="50"/>
        <v>291.9158995666034</v>
      </c>
    </row>
    <row r="1050" spans="1:6" x14ac:dyDescent="0.25">
      <c r="A1050" s="10">
        <v>38327</v>
      </c>
      <c r="B1050" s="12">
        <f t="shared" si="48"/>
        <v>12</v>
      </c>
      <c r="C1050" s="12">
        <f t="shared" si="49"/>
        <v>2004</v>
      </c>
      <c r="D1050" s="13">
        <v>8150</v>
      </c>
      <c r="E1050" s="13">
        <v>27.856000000000002</v>
      </c>
      <c r="F1050" s="13">
        <f t="shared" si="50"/>
        <v>292.57610568638711</v>
      </c>
    </row>
    <row r="1051" spans="1:6" x14ac:dyDescent="0.25">
      <c r="A1051" s="10">
        <v>38328</v>
      </c>
      <c r="B1051" s="12">
        <f t="shared" si="48"/>
        <v>12</v>
      </c>
      <c r="C1051" s="12">
        <f t="shared" si="49"/>
        <v>2004</v>
      </c>
      <c r="D1051" s="13">
        <v>8150</v>
      </c>
      <c r="E1051" s="13">
        <v>27.879000000000001</v>
      </c>
      <c r="F1051" s="13">
        <f t="shared" si="50"/>
        <v>292.33473223573299</v>
      </c>
    </row>
    <row r="1052" spans="1:6" x14ac:dyDescent="0.25">
      <c r="A1052" s="10">
        <v>38329</v>
      </c>
      <c r="B1052" s="12">
        <f t="shared" si="48"/>
        <v>12</v>
      </c>
      <c r="C1052" s="12">
        <f t="shared" si="49"/>
        <v>2004</v>
      </c>
      <c r="D1052" s="13">
        <v>8150</v>
      </c>
      <c r="E1052" s="13">
        <v>27.986999999999998</v>
      </c>
      <c r="F1052" s="13">
        <f t="shared" si="50"/>
        <v>291.20663165040912</v>
      </c>
    </row>
    <row r="1053" spans="1:6" x14ac:dyDescent="0.25">
      <c r="A1053" s="10">
        <v>38330</v>
      </c>
      <c r="B1053" s="12">
        <f t="shared" si="48"/>
        <v>12</v>
      </c>
      <c r="C1053" s="12">
        <f t="shared" si="49"/>
        <v>2004</v>
      </c>
      <c r="D1053" s="13">
        <v>8150</v>
      </c>
      <c r="E1053" s="13">
        <v>28.026</v>
      </c>
      <c r="F1053" s="13">
        <f t="shared" si="50"/>
        <v>290.80139870120604</v>
      </c>
    </row>
    <row r="1054" spans="1:6" x14ac:dyDescent="0.25">
      <c r="A1054" s="10">
        <v>38331</v>
      </c>
      <c r="B1054" s="12">
        <f t="shared" si="48"/>
        <v>12</v>
      </c>
      <c r="C1054" s="12">
        <f t="shared" si="49"/>
        <v>2004</v>
      </c>
      <c r="D1054" s="13">
        <v>8150</v>
      </c>
      <c r="E1054" s="13">
        <v>28.094000000000001</v>
      </c>
      <c r="F1054" s="13">
        <f t="shared" si="50"/>
        <v>290.09752972164875</v>
      </c>
    </row>
    <row r="1055" spans="1:6" x14ac:dyDescent="0.25">
      <c r="A1055" s="10">
        <v>38334</v>
      </c>
      <c r="B1055" s="12">
        <f t="shared" si="48"/>
        <v>12</v>
      </c>
      <c r="C1055" s="12">
        <f t="shared" si="49"/>
        <v>2004</v>
      </c>
      <c r="D1055" s="13">
        <v>7600</v>
      </c>
      <c r="E1055" s="13">
        <v>28.094000000000001</v>
      </c>
      <c r="F1055" s="13">
        <f t="shared" si="50"/>
        <v>270.52039581405279</v>
      </c>
    </row>
    <row r="1056" spans="1:6" x14ac:dyDescent="0.25">
      <c r="A1056" s="10">
        <v>38335</v>
      </c>
      <c r="B1056" s="12">
        <f t="shared" si="48"/>
        <v>12</v>
      </c>
      <c r="C1056" s="12">
        <f t="shared" si="49"/>
        <v>2004</v>
      </c>
      <c r="D1056" s="13">
        <v>7600</v>
      </c>
      <c r="E1056" s="13">
        <v>27.965199999999999</v>
      </c>
      <c r="F1056" s="13">
        <f t="shared" si="50"/>
        <v>271.76633816314563</v>
      </c>
    </row>
    <row r="1057" spans="1:6" x14ac:dyDescent="0.25">
      <c r="A1057" s="10">
        <v>38336</v>
      </c>
      <c r="B1057" s="12">
        <f t="shared" si="48"/>
        <v>12</v>
      </c>
      <c r="C1057" s="12">
        <f t="shared" si="49"/>
        <v>2004</v>
      </c>
      <c r="D1057" s="13">
        <v>7600</v>
      </c>
      <c r="E1057" s="13">
        <v>27.8551</v>
      </c>
      <c r="F1057" s="13">
        <f t="shared" si="50"/>
        <v>272.84052112539536</v>
      </c>
    </row>
    <row r="1058" spans="1:6" x14ac:dyDescent="0.25">
      <c r="A1058" s="10">
        <v>38337</v>
      </c>
      <c r="B1058" s="12">
        <f t="shared" si="48"/>
        <v>12</v>
      </c>
      <c r="C1058" s="12">
        <f t="shared" si="49"/>
        <v>2004</v>
      </c>
      <c r="D1058" s="13">
        <v>7600</v>
      </c>
      <c r="E1058" s="13">
        <v>27.876100000000001</v>
      </c>
      <c r="F1058" s="13">
        <f t="shared" si="50"/>
        <v>272.63498122047201</v>
      </c>
    </row>
    <row r="1059" spans="1:6" x14ac:dyDescent="0.25">
      <c r="A1059" s="10">
        <v>38338</v>
      </c>
      <c r="B1059" s="12">
        <f t="shared" si="48"/>
        <v>12</v>
      </c>
      <c r="C1059" s="12">
        <f t="shared" si="49"/>
        <v>2004</v>
      </c>
      <c r="D1059" s="13">
        <v>7600</v>
      </c>
      <c r="E1059" s="13">
        <v>27.927499999999998</v>
      </c>
      <c r="F1059" s="13">
        <f t="shared" si="50"/>
        <v>272.13320204099904</v>
      </c>
    </row>
    <row r="1060" spans="1:6" x14ac:dyDescent="0.25">
      <c r="A1060" s="10">
        <v>38341</v>
      </c>
      <c r="B1060" s="12">
        <f t="shared" si="48"/>
        <v>12</v>
      </c>
      <c r="C1060" s="12">
        <f t="shared" si="49"/>
        <v>2004</v>
      </c>
      <c r="D1060" s="13">
        <v>7600</v>
      </c>
      <c r="E1060" s="13">
        <v>27.91</v>
      </c>
      <c r="F1060" s="13">
        <f t="shared" si="50"/>
        <v>272.30383375134357</v>
      </c>
    </row>
    <row r="1061" spans="1:6" x14ac:dyDescent="0.25">
      <c r="A1061" s="10">
        <v>38342</v>
      </c>
      <c r="B1061" s="12">
        <f t="shared" si="48"/>
        <v>12</v>
      </c>
      <c r="C1061" s="12">
        <f t="shared" si="49"/>
        <v>2004</v>
      </c>
      <c r="D1061" s="13">
        <v>7600</v>
      </c>
      <c r="E1061" s="13">
        <v>27.846</v>
      </c>
      <c r="F1061" s="13">
        <f t="shared" si="50"/>
        <v>272.92968469439057</v>
      </c>
    </row>
    <row r="1062" spans="1:6" x14ac:dyDescent="0.25">
      <c r="A1062" s="10">
        <v>38343</v>
      </c>
      <c r="B1062" s="12">
        <f t="shared" si="48"/>
        <v>12</v>
      </c>
      <c r="C1062" s="12">
        <f t="shared" si="49"/>
        <v>2004</v>
      </c>
      <c r="D1062" s="13">
        <v>7600</v>
      </c>
      <c r="E1062" s="13">
        <v>27.834</v>
      </c>
      <c r="F1062" s="13">
        <f t="shared" si="50"/>
        <v>273.04735215922972</v>
      </c>
    </row>
    <row r="1063" spans="1:6" x14ac:dyDescent="0.25">
      <c r="A1063" s="10">
        <v>38344</v>
      </c>
      <c r="B1063" s="12">
        <f t="shared" si="48"/>
        <v>12</v>
      </c>
      <c r="C1063" s="12">
        <f t="shared" si="49"/>
        <v>2004</v>
      </c>
      <c r="D1063" s="13">
        <v>7600</v>
      </c>
      <c r="E1063" s="13">
        <v>27.821000000000002</v>
      </c>
      <c r="F1063" s="13">
        <f t="shared" si="50"/>
        <v>273.17493979368101</v>
      </c>
    </row>
    <row r="1064" spans="1:6" x14ac:dyDescent="0.25">
      <c r="A1064" s="10">
        <v>38348</v>
      </c>
      <c r="B1064" s="12">
        <f t="shared" si="48"/>
        <v>12</v>
      </c>
      <c r="C1064" s="12">
        <f t="shared" si="49"/>
        <v>2004</v>
      </c>
      <c r="D1064" s="13">
        <v>7500</v>
      </c>
      <c r="E1064" s="13">
        <v>27.769200000000001</v>
      </c>
      <c r="F1064" s="13">
        <f t="shared" si="50"/>
        <v>270.08340175446176</v>
      </c>
    </row>
    <row r="1065" spans="1:6" x14ac:dyDescent="0.25">
      <c r="A1065" s="10">
        <v>38349</v>
      </c>
      <c r="B1065" s="12">
        <f t="shared" si="48"/>
        <v>12</v>
      </c>
      <c r="C1065" s="12">
        <f t="shared" si="49"/>
        <v>2004</v>
      </c>
      <c r="D1065" s="13">
        <v>7500</v>
      </c>
      <c r="E1065" s="13">
        <v>27.79</v>
      </c>
      <c r="F1065" s="13">
        <f t="shared" si="50"/>
        <v>269.88125224901046</v>
      </c>
    </row>
    <row r="1066" spans="1:6" x14ac:dyDescent="0.25">
      <c r="A1066" s="10">
        <v>38350</v>
      </c>
      <c r="B1066" s="12">
        <f t="shared" si="48"/>
        <v>12</v>
      </c>
      <c r="C1066" s="12">
        <f t="shared" si="49"/>
        <v>2004</v>
      </c>
      <c r="D1066" s="13">
        <v>7500</v>
      </c>
      <c r="E1066" s="13">
        <v>27.844999999999999</v>
      </c>
      <c r="F1066" s="13">
        <f t="shared" si="50"/>
        <v>269.34817741066621</v>
      </c>
    </row>
    <row r="1067" spans="1:6" x14ac:dyDescent="0.25">
      <c r="A1067" s="10">
        <v>38351</v>
      </c>
      <c r="B1067" s="12">
        <f t="shared" si="48"/>
        <v>12</v>
      </c>
      <c r="C1067" s="12">
        <f t="shared" si="49"/>
        <v>2004</v>
      </c>
      <c r="D1067" s="13">
        <v>7500</v>
      </c>
      <c r="E1067" s="13">
        <v>27.765000000000001</v>
      </c>
      <c r="F1067" s="13">
        <f t="shared" si="50"/>
        <v>270.12425715829283</v>
      </c>
    </row>
    <row r="1068" spans="1:6" x14ac:dyDescent="0.25">
      <c r="A1068" s="10">
        <v>38355</v>
      </c>
      <c r="B1068" s="12">
        <f t="shared" si="48"/>
        <v>1</v>
      </c>
      <c r="C1068" s="12">
        <f t="shared" si="49"/>
        <v>2005</v>
      </c>
      <c r="D1068" s="13">
        <v>7500</v>
      </c>
      <c r="E1068" s="13">
        <v>27.71</v>
      </c>
      <c r="F1068" s="13">
        <f t="shared" si="50"/>
        <v>270.66041140382532</v>
      </c>
    </row>
    <row r="1069" spans="1:6" x14ac:dyDescent="0.25">
      <c r="A1069" s="10">
        <v>38356</v>
      </c>
      <c r="B1069" s="12">
        <f t="shared" si="48"/>
        <v>1</v>
      </c>
      <c r="C1069" s="12">
        <f t="shared" si="49"/>
        <v>2005</v>
      </c>
      <c r="D1069" s="13">
        <v>7500</v>
      </c>
      <c r="E1069" s="13">
        <v>27.71</v>
      </c>
      <c r="F1069" s="13">
        <f t="shared" si="50"/>
        <v>270.66041140382532</v>
      </c>
    </row>
    <row r="1070" spans="1:6" x14ac:dyDescent="0.25">
      <c r="A1070" s="10">
        <v>38357</v>
      </c>
      <c r="B1070" s="12">
        <f t="shared" si="48"/>
        <v>1</v>
      </c>
      <c r="C1070" s="12">
        <f t="shared" si="49"/>
        <v>2005</v>
      </c>
      <c r="D1070" s="13">
        <v>7500</v>
      </c>
      <c r="E1070" s="13">
        <v>27.852</v>
      </c>
      <c r="F1070" s="13">
        <f t="shared" si="50"/>
        <v>269.28048255062475</v>
      </c>
    </row>
    <row r="1071" spans="1:6" x14ac:dyDescent="0.25">
      <c r="A1071" s="10">
        <v>38358</v>
      </c>
      <c r="B1071" s="12">
        <f t="shared" si="48"/>
        <v>1</v>
      </c>
      <c r="C1071" s="12">
        <f t="shared" si="49"/>
        <v>2005</v>
      </c>
      <c r="D1071" s="13">
        <v>7500</v>
      </c>
      <c r="E1071" s="13">
        <v>27.84</v>
      </c>
      <c r="F1071" s="13">
        <f t="shared" si="50"/>
        <v>269.39655172413791</v>
      </c>
    </row>
    <row r="1072" spans="1:6" x14ac:dyDescent="0.25">
      <c r="A1072" s="10">
        <v>38359</v>
      </c>
      <c r="B1072" s="12">
        <f t="shared" si="48"/>
        <v>1</v>
      </c>
      <c r="C1072" s="12">
        <f t="shared" si="49"/>
        <v>2005</v>
      </c>
      <c r="D1072" s="13">
        <v>7500</v>
      </c>
      <c r="E1072" s="13">
        <v>27.75</v>
      </c>
      <c r="F1072" s="13">
        <f t="shared" si="50"/>
        <v>270.27027027027026</v>
      </c>
    </row>
    <row r="1073" spans="1:6" x14ac:dyDescent="0.25">
      <c r="A1073" s="10">
        <v>38362</v>
      </c>
      <c r="B1073" s="12">
        <f t="shared" si="48"/>
        <v>1</v>
      </c>
      <c r="C1073" s="12">
        <f t="shared" si="49"/>
        <v>2005</v>
      </c>
      <c r="D1073" s="13">
        <v>7500</v>
      </c>
      <c r="E1073" s="13">
        <v>27.8</v>
      </c>
      <c r="F1073" s="13">
        <f t="shared" si="50"/>
        <v>269.78417266187051</v>
      </c>
    </row>
    <row r="1074" spans="1:6" x14ac:dyDescent="0.25">
      <c r="A1074" s="10">
        <v>38363</v>
      </c>
      <c r="B1074" s="12">
        <f t="shared" si="48"/>
        <v>1</v>
      </c>
      <c r="C1074" s="12">
        <f t="shared" si="49"/>
        <v>2005</v>
      </c>
      <c r="D1074" s="13">
        <v>7500</v>
      </c>
      <c r="E1074" s="13">
        <v>27.945</v>
      </c>
      <c r="F1074" s="13">
        <f t="shared" si="50"/>
        <v>268.38432635534082</v>
      </c>
    </row>
    <row r="1075" spans="1:6" x14ac:dyDescent="0.25">
      <c r="A1075" s="10">
        <v>38364</v>
      </c>
      <c r="B1075" s="12">
        <f t="shared" si="48"/>
        <v>1</v>
      </c>
      <c r="C1075" s="12">
        <f t="shared" si="49"/>
        <v>2005</v>
      </c>
      <c r="D1075" s="13">
        <v>7500</v>
      </c>
      <c r="E1075" s="13">
        <v>27.82</v>
      </c>
      <c r="F1075" s="13">
        <f t="shared" si="50"/>
        <v>269.59022286125088</v>
      </c>
    </row>
    <row r="1076" spans="1:6" x14ac:dyDescent="0.25">
      <c r="A1076" s="10">
        <v>38365</v>
      </c>
      <c r="B1076" s="12">
        <f t="shared" si="48"/>
        <v>1</v>
      </c>
      <c r="C1076" s="12">
        <f t="shared" si="49"/>
        <v>2005</v>
      </c>
      <c r="D1076" s="13">
        <v>7500</v>
      </c>
      <c r="E1076" s="13">
        <v>27.89</v>
      </c>
      <c r="F1076" s="13">
        <f t="shared" si="50"/>
        <v>268.91358910003584</v>
      </c>
    </row>
    <row r="1077" spans="1:6" x14ac:dyDescent="0.25">
      <c r="A1077" s="10">
        <v>38366</v>
      </c>
      <c r="B1077" s="12">
        <f t="shared" si="48"/>
        <v>1</v>
      </c>
      <c r="C1077" s="12">
        <f t="shared" si="49"/>
        <v>2005</v>
      </c>
      <c r="D1077" s="13">
        <v>7500</v>
      </c>
      <c r="E1077" s="13">
        <v>27.934999999999999</v>
      </c>
      <c r="F1077" s="13">
        <f t="shared" si="50"/>
        <v>268.48040093073206</v>
      </c>
    </row>
    <row r="1078" spans="1:6" x14ac:dyDescent="0.25">
      <c r="A1078" s="10">
        <v>38370</v>
      </c>
      <c r="B1078" s="12">
        <f t="shared" si="48"/>
        <v>1</v>
      </c>
      <c r="C1078" s="12">
        <f t="shared" si="49"/>
        <v>2005</v>
      </c>
      <c r="D1078" s="13">
        <v>7650</v>
      </c>
      <c r="E1078" s="13">
        <v>28.12</v>
      </c>
      <c r="F1078" s="13">
        <f t="shared" si="50"/>
        <v>272.04836415362729</v>
      </c>
    </row>
    <row r="1079" spans="1:6" x14ac:dyDescent="0.25">
      <c r="A1079" s="10">
        <v>38371</v>
      </c>
      <c r="B1079" s="12">
        <f t="shared" si="48"/>
        <v>1</v>
      </c>
      <c r="C1079" s="12">
        <f t="shared" si="49"/>
        <v>2005</v>
      </c>
      <c r="D1079" s="13">
        <v>7650</v>
      </c>
      <c r="E1079" s="13">
        <v>28.137499999999999</v>
      </c>
      <c r="F1079" s="13">
        <f t="shared" si="50"/>
        <v>271.87916481563752</v>
      </c>
    </row>
    <row r="1080" spans="1:6" x14ac:dyDescent="0.25">
      <c r="A1080" s="10">
        <v>38372</v>
      </c>
      <c r="B1080" s="12">
        <f t="shared" si="48"/>
        <v>1</v>
      </c>
      <c r="C1080" s="12">
        <f t="shared" si="49"/>
        <v>2005</v>
      </c>
      <c r="D1080" s="13">
        <v>7650</v>
      </c>
      <c r="E1080" s="13">
        <v>28.17</v>
      </c>
      <c r="F1080" s="13">
        <f t="shared" si="50"/>
        <v>271.56549520766771</v>
      </c>
    </row>
    <row r="1081" spans="1:6" x14ac:dyDescent="0.25">
      <c r="A1081" s="10">
        <v>38373</v>
      </c>
      <c r="B1081" s="12">
        <f t="shared" si="48"/>
        <v>1</v>
      </c>
      <c r="C1081" s="12">
        <f t="shared" si="49"/>
        <v>2005</v>
      </c>
      <c r="D1081" s="13">
        <v>7650</v>
      </c>
      <c r="E1081" s="13">
        <v>28.07</v>
      </c>
      <c r="F1081" s="13">
        <f t="shared" si="50"/>
        <v>272.53295333095832</v>
      </c>
    </row>
    <row r="1082" spans="1:6" x14ac:dyDescent="0.25">
      <c r="A1082" s="10">
        <v>38376</v>
      </c>
      <c r="B1082" s="12">
        <f t="shared" si="48"/>
        <v>1</v>
      </c>
      <c r="C1082" s="12">
        <f t="shared" si="49"/>
        <v>2005</v>
      </c>
      <c r="D1082" s="13">
        <v>7650</v>
      </c>
      <c r="E1082" s="13">
        <v>27.991</v>
      </c>
      <c r="F1082" s="13">
        <f t="shared" si="50"/>
        <v>273.30213282840913</v>
      </c>
    </row>
    <row r="1083" spans="1:6" x14ac:dyDescent="0.25">
      <c r="A1083" s="10">
        <v>38377</v>
      </c>
      <c r="B1083" s="12">
        <f t="shared" si="48"/>
        <v>1</v>
      </c>
      <c r="C1083" s="12">
        <f t="shared" si="49"/>
        <v>2005</v>
      </c>
      <c r="D1083" s="13">
        <v>7650</v>
      </c>
      <c r="E1083" s="13">
        <v>28.024000000000001</v>
      </c>
      <c r="F1083" s="13">
        <f t="shared" si="50"/>
        <v>272.98030259777335</v>
      </c>
    </row>
    <row r="1084" spans="1:6" x14ac:dyDescent="0.25">
      <c r="A1084" s="10">
        <v>38378</v>
      </c>
      <c r="B1084" s="12">
        <f t="shared" si="48"/>
        <v>1</v>
      </c>
      <c r="C1084" s="12">
        <f t="shared" si="49"/>
        <v>2005</v>
      </c>
      <c r="D1084" s="13">
        <v>7650</v>
      </c>
      <c r="E1084" s="13">
        <v>28.021000000000001</v>
      </c>
      <c r="F1084" s="13">
        <f t="shared" si="50"/>
        <v>273.00952856785983</v>
      </c>
    </row>
    <row r="1085" spans="1:6" x14ac:dyDescent="0.25">
      <c r="A1085" s="10">
        <v>38379</v>
      </c>
      <c r="B1085" s="12">
        <f t="shared" si="48"/>
        <v>1</v>
      </c>
      <c r="C1085" s="12">
        <f t="shared" si="49"/>
        <v>2005</v>
      </c>
      <c r="D1085" s="13">
        <v>7650</v>
      </c>
      <c r="E1085" s="13">
        <v>28.064</v>
      </c>
      <c r="F1085" s="13">
        <f t="shared" si="50"/>
        <v>272.59122006841505</v>
      </c>
    </row>
    <row r="1086" spans="1:6" x14ac:dyDescent="0.25">
      <c r="A1086" s="10">
        <v>38380</v>
      </c>
      <c r="B1086" s="12">
        <f t="shared" si="48"/>
        <v>1</v>
      </c>
      <c r="C1086" s="12">
        <f t="shared" si="49"/>
        <v>2005</v>
      </c>
      <c r="D1086" s="13">
        <v>7650</v>
      </c>
      <c r="E1086" s="13">
        <v>28.07</v>
      </c>
      <c r="F1086" s="13">
        <f t="shared" si="50"/>
        <v>272.53295333095832</v>
      </c>
    </row>
    <row r="1087" spans="1:6" x14ac:dyDescent="0.25">
      <c r="A1087" s="10">
        <v>38383</v>
      </c>
      <c r="B1087" s="12">
        <f t="shared" si="48"/>
        <v>1</v>
      </c>
      <c r="C1087" s="12">
        <f t="shared" si="49"/>
        <v>2005</v>
      </c>
      <c r="D1087" s="13">
        <v>7650</v>
      </c>
      <c r="E1087" s="13">
        <v>28.015000000000001</v>
      </c>
      <c r="F1087" s="13">
        <f t="shared" si="50"/>
        <v>273.06799928609672</v>
      </c>
    </row>
    <row r="1088" spans="1:6" x14ac:dyDescent="0.25">
      <c r="A1088" s="10">
        <v>38384</v>
      </c>
      <c r="B1088" s="12">
        <f t="shared" si="48"/>
        <v>2</v>
      </c>
      <c r="C1088" s="12">
        <f t="shared" si="49"/>
        <v>2005</v>
      </c>
      <c r="D1088" s="13">
        <v>7650</v>
      </c>
      <c r="E1088" s="13">
        <v>27.9575</v>
      </c>
      <c r="F1088" s="13">
        <f t="shared" si="50"/>
        <v>273.62961638200841</v>
      </c>
    </row>
    <row r="1089" spans="1:6" x14ac:dyDescent="0.25">
      <c r="A1089" s="10">
        <v>38385</v>
      </c>
      <c r="B1089" s="12">
        <f t="shared" si="48"/>
        <v>2</v>
      </c>
      <c r="C1089" s="12">
        <f t="shared" si="49"/>
        <v>2005</v>
      </c>
      <c r="D1089" s="13">
        <v>7650</v>
      </c>
      <c r="E1089" s="13">
        <v>27.977</v>
      </c>
      <c r="F1089" s="13">
        <f t="shared" si="50"/>
        <v>273.43889623619401</v>
      </c>
    </row>
    <row r="1090" spans="1:6" x14ac:dyDescent="0.25">
      <c r="A1090" s="10">
        <v>38386</v>
      </c>
      <c r="B1090" s="12">
        <f t="shared" si="48"/>
        <v>2</v>
      </c>
      <c r="C1090" s="12">
        <f t="shared" si="49"/>
        <v>2005</v>
      </c>
      <c r="D1090" s="13">
        <v>7650</v>
      </c>
      <c r="E1090" s="13">
        <v>28.01</v>
      </c>
      <c r="F1090" s="13">
        <f t="shared" si="50"/>
        <v>273.11674401999284</v>
      </c>
    </row>
    <row r="1091" spans="1:6" x14ac:dyDescent="0.25">
      <c r="A1091" s="10">
        <v>38387</v>
      </c>
      <c r="B1091" s="12">
        <f t="shared" ref="B1091:B1154" si="51">MONTH(A1091)</f>
        <v>2</v>
      </c>
      <c r="C1091" s="12">
        <f t="shared" ref="C1091:C1154" si="52">YEAR(A1091)</f>
        <v>2005</v>
      </c>
      <c r="D1091" s="13">
        <v>7650</v>
      </c>
      <c r="E1091" s="13">
        <v>27.952000000000002</v>
      </c>
      <c r="F1091" s="13">
        <f t="shared" ref="F1091:F1154" si="53">IF(D1091="","",D1091/E1091)</f>
        <v>273.68345735546649</v>
      </c>
    </row>
    <row r="1092" spans="1:6" x14ac:dyDescent="0.25">
      <c r="A1092" s="10">
        <v>38390</v>
      </c>
      <c r="B1092" s="12">
        <f t="shared" si="51"/>
        <v>2</v>
      </c>
      <c r="C1092" s="12">
        <f t="shared" si="52"/>
        <v>2005</v>
      </c>
      <c r="D1092" s="13">
        <v>7650</v>
      </c>
      <c r="E1092" s="13">
        <v>28.13</v>
      </c>
      <c r="F1092" s="13">
        <f t="shared" si="53"/>
        <v>271.95165303945964</v>
      </c>
    </row>
    <row r="1093" spans="1:6" x14ac:dyDescent="0.25">
      <c r="A1093" s="10">
        <v>38391</v>
      </c>
      <c r="B1093" s="12">
        <f t="shared" si="51"/>
        <v>2</v>
      </c>
      <c r="C1093" s="12">
        <f t="shared" si="52"/>
        <v>2005</v>
      </c>
      <c r="D1093" s="13">
        <v>7650</v>
      </c>
      <c r="E1093" s="13">
        <v>28.19</v>
      </c>
      <c r="F1093" s="13">
        <f t="shared" si="53"/>
        <v>271.37282724370345</v>
      </c>
    </row>
    <row r="1094" spans="1:6" x14ac:dyDescent="0.25">
      <c r="A1094" s="10">
        <v>38392</v>
      </c>
      <c r="B1094" s="12">
        <f t="shared" si="51"/>
        <v>2</v>
      </c>
      <c r="C1094" s="12">
        <f t="shared" si="52"/>
        <v>2005</v>
      </c>
      <c r="D1094" s="13">
        <v>7650</v>
      </c>
      <c r="E1094" s="13">
        <v>28.117000000000001</v>
      </c>
      <c r="F1094" s="13">
        <f t="shared" si="53"/>
        <v>272.07739090230109</v>
      </c>
    </row>
    <row r="1095" spans="1:6" x14ac:dyDescent="0.25">
      <c r="A1095" s="10">
        <v>38393</v>
      </c>
      <c r="B1095" s="12">
        <f t="shared" si="51"/>
        <v>2</v>
      </c>
      <c r="C1095" s="12">
        <f t="shared" si="52"/>
        <v>2005</v>
      </c>
      <c r="D1095" s="13">
        <v>7650</v>
      </c>
      <c r="E1095" s="13">
        <v>28.08</v>
      </c>
      <c r="F1095" s="13">
        <f t="shared" si="53"/>
        <v>272.43589743589746</v>
      </c>
    </row>
    <row r="1096" spans="1:6" x14ac:dyDescent="0.25">
      <c r="A1096" s="10">
        <v>38394</v>
      </c>
      <c r="B1096" s="12">
        <f t="shared" si="51"/>
        <v>2</v>
      </c>
      <c r="C1096" s="12">
        <f t="shared" si="52"/>
        <v>2005</v>
      </c>
      <c r="D1096" s="13">
        <v>7650</v>
      </c>
      <c r="E1096" s="13">
        <v>28.072500000000002</v>
      </c>
      <c r="F1096" s="13">
        <f t="shared" si="53"/>
        <v>272.50868287469945</v>
      </c>
    </row>
    <row r="1097" spans="1:6" x14ac:dyDescent="0.25">
      <c r="A1097" s="10">
        <v>38397</v>
      </c>
      <c r="B1097" s="12">
        <f t="shared" si="51"/>
        <v>2</v>
      </c>
      <c r="C1097" s="12">
        <f t="shared" si="52"/>
        <v>2005</v>
      </c>
      <c r="D1097" s="13">
        <v>7450</v>
      </c>
      <c r="E1097" s="13">
        <v>28.015000000000001</v>
      </c>
      <c r="F1097" s="13">
        <f t="shared" si="53"/>
        <v>265.92896662502233</v>
      </c>
    </row>
    <row r="1098" spans="1:6" x14ac:dyDescent="0.25">
      <c r="A1098" s="10">
        <v>38398</v>
      </c>
      <c r="B1098" s="12">
        <f t="shared" si="51"/>
        <v>2</v>
      </c>
      <c r="C1098" s="12">
        <f t="shared" si="52"/>
        <v>2005</v>
      </c>
      <c r="D1098" s="13">
        <v>7450</v>
      </c>
      <c r="E1098" s="13">
        <v>28.0075</v>
      </c>
      <c r="F1098" s="13">
        <f t="shared" si="53"/>
        <v>266.00017852360975</v>
      </c>
    </row>
    <row r="1099" spans="1:6" x14ac:dyDescent="0.25">
      <c r="A1099" s="10">
        <v>38399</v>
      </c>
      <c r="B1099" s="12">
        <f t="shared" si="51"/>
        <v>2</v>
      </c>
      <c r="C1099" s="12">
        <f t="shared" si="52"/>
        <v>2005</v>
      </c>
      <c r="D1099" s="13">
        <v>7450</v>
      </c>
      <c r="E1099" s="13">
        <v>27.997</v>
      </c>
      <c r="F1099" s="13">
        <f t="shared" si="53"/>
        <v>266.09993927920851</v>
      </c>
    </row>
    <row r="1100" spans="1:6" x14ac:dyDescent="0.25">
      <c r="A1100" s="10">
        <v>38400</v>
      </c>
      <c r="B1100" s="12">
        <f t="shared" si="51"/>
        <v>2</v>
      </c>
      <c r="C1100" s="12">
        <f t="shared" si="52"/>
        <v>2005</v>
      </c>
      <c r="D1100" s="13">
        <v>7450</v>
      </c>
      <c r="E1100" s="13">
        <v>27.965</v>
      </c>
      <c r="F1100" s="13">
        <f t="shared" si="53"/>
        <v>266.40443411407114</v>
      </c>
    </row>
    <row r="1101" spans="1:6" x14ac:dyDescent="0.25">
      <c r="A1101" s="10">
        <v>38401</v>
      </c>
      <c r="B1101" s="12">
        <f t="shared" si="51"/>
        <v>2</v>
      </c>
      <c r="C1101" s="12">
        <f t="shared" si="52"/>
        <v>2005</v>
      </c>
      <c r="D1101" s="13">
        <v>7450</v>
      </c>
      <c r="E1101" s="13">
        <v>27.937000000000001</v>
      </c>
      <c r="F1101" s="13">
        <f t="shared" si="53"/>
        <v>266.67143930987578</v>
      </c>
    </row>
    <row r="1102" spans="1:6" x14ac:dyDescent="0.25">
      <c r="A1102" s="10">
        <v>38405</v>
      </c>
      <c r="B1102" s="12">
        <f t="shared" si="51"/>
        <v>2</v>
      </c>
      <c r="C1102" s="12">
        <f t="shared" si="52"/>
        <v>2005</v>
      </c>
      <c r="D1102" s="13">
        <v>7450</v>
      </c>
      <c r="E1102" s="13">
        <v>27.79</v>
      </c>
      <c r="F1102" s="13">
        <f t="shared" si="53"/>
        <v>268.08204390068369</v>
      </c>
    </row>
    <row r="1103" spans="1:6" x14ac:dyDescent="0.25">
      <c r="A1103" s="10">
        <v>38406</v>
      </c>
      <c r="B1103" s="12">
        <f t="shared" si="51"/>
        <v>2</v>
      </c>
      <c r="C1103" s="12">
        <f t="shared" si="52"/>
        <v>2005</v>
      </c>
      <c r="D1103" s="13">
        <v>7450</v>
      </c>
      <c r="E1103" s="13">
        <v>27.79</v>
      </c>
      <c r="F1103" s="13">
        <f t="shared" si="53"/>
        <v>268.08204390068369</v>
      </c>
    </row>
    <row r="1104" spans="1:6" x14ac:dyDescent="0.25">
      <c r="A1104" s="10">
        <v>38407</v>
      </c>
      <c r="B1104" s="12">
        <f t="shared" si="51"/>
        <v>2</v>
      </c>
      <c r="C1104" s="12">
        <f t="shared" si="52"/>
        <v>2005</v>
      </c>
      <c r="D1104" s="13">
        <v>7450</v>
      </c>
      <c r="E1104" s="13">
        <v>27.74</v>
      </c>
      <c r="F1104" s="13">
        <f t="shared" si="53"/>
        <v>268.56524873828408</v>
      </c>
    </row>
    <row r="1105" spans="1:6" x14ac:dyDescent="0.25">
      <c r="A1105" s="10">
        <v>38408</v>
      </c>
      <c r="B1105" s="12">
        <f t="shared" si="51"/>
        <v>2</v>
      </c>
      <c r="C1105" s="12">
        <f t="shared" si="52"/>
        <v>2005</v>
      </c>
      <c r="D1105" s="13">
        <v>7450</v>
      </c>
      <c r="E1105" s="13">
        <v>27.7362</v>
      </c>
      <c r="F1105" s="13">
        <f t="shared" si="53"/>
        <v>268.60204353876884</v>
      </c>
    </row>
    <row r="1106" spans="1:6" x14ac:dyDescent="0.25">
      <c r="A1106" s="10">
        <v>38411</v>
      </c>
      <c r="B1106" s="12">
        <f t="shared" si="51"/>
        <v>2</v>
      </c>
      <c r="C1106" s="12">
        <f t="shared" si="52"/>
        <v>2005</v>
      </c>
      <c r="D1106" s="13">
        <v>7350</v>
      </c>
      <c r="E1106" s="13">
        <v>27.67</v>
      </c>
      <c r="F1106" s="13">
        <f t="shared" si="53"/>
        <v>265.63064691001085</v>
      </c>
    </row>
    <row r="1107" spans="1:6" x14ac:dyDescent="0.25">
      <c r="A1107" s="10">
        <v>38412</v>
      </c>
      <c r="B1107" s="12">
        <f t="shared" si="51"/>
        <v>3</v>
      </c>
      <c r="C1107" s="12">
        <f t="shared" si="52"/>
        <v>2005</v>
      </c>
      <c r="D1107" s="13">
        <v>7350</v>
      </c>
      <c r="E1107" s="13">
        <v>27.68</v>
      </c>
      <c r="F1107" s="13">
        <f t="shared" si="53"/>
        <v>265.53468208092488</v>
      </c>
    </row>
    <row r="1108" spans="1:6" x14ac:dyDescent="0.25">
      <c r="A1108" s="10">
        <v>38413</v>
      </c>
      <c r="B1108" s="12">
        <f t="shared" si="51"/>
        <v>3</v>
      </c>
      <c r="C1108" s="12">
        <f t="shared" si="52"/>
        <v>2005</v>
      </c>
      <c r="D1108" s="13">
        <v>7350</v>
      </c>
      <c r="E1108" s="13">
        <v>27.734999999999999</v>
      </c>
      <c r="F1108" s="13">
        <f t="shared" si="53"/>
        <v>265.00811249323959</v>
      </c>
    </row>
    <row r="1109" spans="1:6" x14ac:dyDescent="0.25">
      <c r="A1109" s="10">
        <v>38414</v>
      </c>
      <c r="B1109" s="12">
        <f t="shared" si="51"/>
        <v>3</v>
      </c>
      <c r="C1109" s="12">
        <f t="shared" si="52"/>
        <v>2005</v>
      </c>
      <c r="D1109" s="13">
        <v>7350</v>
      </c>
      <c r="E1109" s="13">
        <v>27.725999999999999</v>
      </c>
      <c r="F1109" s="13">
        <f t="shared" si="53"/>
        <v>265.09413546851334</v>
      </c>
    </row>
    <row r="1110" spans="1:6" x14ac:dyDescent="0.25">
      <c r="A1110" s="10">
        <v>38415</v>
      </c>
      <c r="B1110" s="12">
        <f t="shared" si="51"/>
        <v>3</v>
      </c>
      <c r="C1110" s="12">
        <f t="shared" si="52"/>
        <v>2005</v>
      </c>
      <c r="D1110" s="13">
        <v>7350</v>
      </c>
      <c r="E1110" s="13">
        <v>27.6935</v>
      </c>
      <c r="F1110" s="13">
        <f t="shared" si="53"/>
        <v>265.40523949663276</v>
      </c>
    </row>
    <row r="1111" spans="1:6" x14ac:dyDescent="0.25">
      <c r="A1111" s="10">
        <v>38418</v>
      </c>
      <c r="B1111" s="12">
        <f t="shared" si="51"/>
        <v>3</v>
      </c>
      <c r="C1111" s="12">
        <f t="shared" si="52"/>
        <v>2005</v>
      </c>
      <c r="D1111" s="13">
        <v>7350</v>
      </c>
      <c r="E1111" s="13">
        <v>27.6935</v>
      </c>
      <c r="F1111" s="13">
        <f t="shared" si="53"/>
        <v>265.40523949663276</v>
      </c>
    </row>
    <row r="1112" spans="1:6" x14ac:dyDescent="0.25">
      <c r="A1112" s="10">
        <v>38419</v>
      </c>
      <c r="B1112" s="12">
        <f t="shared" si="51"/>
        <v>3</v>
      </c>
      <c r="C1112" s="12">
        <f t="shared" si="52"/>
        <v>2005</v>
      </c>
      <c r="D1112" s="13">
        <v>7350</v>
      </c>
      <c r="E1112" s="13">
        <v>27.6935</v>
      </c>
      <c r="F1112" s="13">
        <f t="shared" si="53"/>
        <v>265.40523949663276</v>
      </c>
    </row>
    <row r="1113" spans="1:6" x14ac:dyDescent="0.25">
      <c r="A1113" s="10">
        <v>38420</v>
      </c>
      <c r="B1113" s="12">
        <f t="shared" si="51"/>
        <v>3</v>
      </c>
      <c r="C1113" s="12">
        <f t="shared" si="52"/>
        <v>2005</v>
      </c>
      <c r="D1113" s="13">
        <v>7350</v>
      </c>
      <c r="E1113" s="13">
        <v>27.547499999999999</v>
      </c>
      <c r="F1113" s="13">
        <f t="shared" si="53"/>
        <v>266.81187040566294</v>
      </c>
    </row>
    <row r="1114" spans="1:6" x14ac:dyDescent="0.25">
      <c r="A1114" s="10">
        <v>38421</v>
      </c>
      <c r="B1114" s="12">
        <f t="shared" si="51"/>
        <v>3</v>
      </c>
      <c r="C1114" s="12">
        <f t="shared" si="52"/>
        <v>2005</v>
      </c>
      <c r="D1114" s="13">
        <v>7350</v>
      </c>
      <c r="E1114" s="13">
        <v>27.452999999999999</v>
      </c>
      <c r="F1114" s="13">
        <f t="shared" si="53"/>
        <v>267.73030269915859</v>
      </c>
    </row>
    <row r="1115" spans="1:6" x14ac:dyDescent="0.25">
      <c r="A1115" s="10">
        <v>38422</v>
      </c>
      <c r="B1115" s="12">
        <f t="shared" si="51"/>
        <v>3</v>
      </c>
      <c r="C1115" s="12">
        <f t="shared" si="52"/>
        <v>2005</v>
      </c>
      <c r="D1115" s="13">
        <v>7350</v>
      </c>
      <c r="E1115" s="13">
        <v>27.445</v>
      </c>
      <c r="F1115" s="13">
        <f t="shared" si="53"/>
        <v>267.80834396064859</v>
      </c>
    </row>
    <row r="1116" spans="1:6" x14ac:dyDescent="0.25">
      <c r="A1116" s="10">
        <v>38425</v>
      </c>
      <c r="B1116" s="12">
        <f t="shared" si="51"/>
        <v>3</v>
      </c>
      <c r="C1116" s="12">
        <f t="shared" si="52"/>
        <v>2005</v>
      </c>
      <c r="D1116" s="13">
        <v>7300</v>
      </c>
      <c r="E1116" s="13">
        <v>27.48</v>
      </c>
      <c r="F1116" s="13">
        <f t="shared" si="53"/>
        <v>265.64774381368267</v>
      </c>
    </row>
    <row r="1117" spans="1:6" x14ac:dyDescent="0.25">
      <c r="A1117" s="10">
        <v>38426</v>
      </c>
      <c r="B1117" s="12">
        <f t="shared" si="51"/>
        <v>3</v>
      </c>
      <c r="C1117" s="12">
        <f t="shared" si="52"/>
        <v>2005</v>
      </c>
      <c r="D1117" s="13">
        <v>7300</v>
      </c>
      <c r="E1117" s="13">
        <v>27.462499999999999</v>
      </c>
      <c r="F1117" s="13">
        <f t="shared" si="53"/>
        <v>265.81702321347291</v>
      </c>
    </row>
    <row r="1118" spans="1:6" x14ac:dyDescent="0.25">
      <c r="A1118" s="10">
        <v>38427</v>
      </c>
      <c r="B1118" s="12">
        <f t="shared" si="51"/>
        <v>3</v>
      </c>
      <c r="C1118" s="12">
        <f t="shared" si="52"/>
        <v>2005</v>
      </c>
      <c r="D1118" s="13">
        <v>7300</v>
      </c>
      <c r="E1118" s="13">
        <v>27.4725</v>
      </c>
      <c r="F1118" s="13">
        <f t="shared" si="53"/>
        <v>265.72026572026573</v>
      </c>
    </row>
    <row r="1119" spans="1:6" x14ac:dyDescent="0.25">
      <c r="A1119" s="10">
        <v>38428</v>
      </c>
      <c r="B1119" s="12">
        <f t="shared" si="51"/>
        <v>3</v>
      </c>
      <c r="C1119" s="12">
        <f t="shared" si="52"/>
        <v>2005</v>
      </c>
      <c r="D1119" s="13">
        <v>7300</v>
      </c>
      <c r="E1119" s="13">
        <v>27.482500000000002</v>
      </c>
      <c r="F1119" s="13">
        <f t="shared" si="53"/>
        <v>265.62357864095333</v>
      </c>
    </row>
    <row r="1120" spans="1:6" x14ac:dyDescent="0.25">
      <c r="A1120" s="10">
        <v>38429</v>
      </c>
      <c r="B1120" s="12">
        <f t="shared" si="51"/>
        <v>3</v>
      </c>
      <c r="C1120" s="12">
        <f t="shared" si="52"/>
        <v>2005</v>
      </c>
      <c r="D1120" s="13">
        <v>7300</v>
      </c>
      <c r="E1120" s="13">
        <v>27.51</v>
      </c>
      <c r="F1120" s="13">
        <f t="shared" si="53"/>
        <v>265.35805161759356</v>
      </c>
    </row>
    <row r="1121" spans="1:6" x14ac:dyDescent="0.25">
      <c r="A1121" s="10">
        <v>38432</v>
      </c>
      <c r="B1121" s="12">
        <f t="shared" si="51"/>
        <v>3</v>
      </c>
      <c r="C1121" s="12">
        <f t="shared" si="52"/>
        <v>2005</v>
      </c>
      <c r="D1121" s="13">
        <v>7300</v>
      </c>
      <c r="E1121" s="13">
        <v>27.567499999999999</v>
      </c>
      <c r="F1121" s="13">
        <f t="shared" si="53"/>
        <v>264.80457059943774</v>
      </c>
    </row>
    <row r="1122" spans="1:6" x14ac:dyDescent="0.25">
      <c r="A1122" s="10">
        <v>38433</v>
      </c>
      <c r="B1122" s="12">
        <f t="shared" si="51"/>
        <v>3</v>
      </c>
      <c r="C1122" s="12">
        <f t="shared" si="52"/>
        <v>2005</v>
      </c>
      <c r="D1122" s="13">
        <v>7300</v>
      </c>
      <c r="E1122" s="13">
        <v>27.57</v>
      </c>
      <c r="F1122" s="13">
        <f t="shared" si="53"/>
        <v>264.78055857816469</v>
      </c>
    </row>
    <row r="1123" spans="1:6" x14ac:dyDescent="0.25">
      <c r="A1123" s="10">
        <v>38434</v>
      </c>
      <c r="B1123" s="12">
        <f t="shared" si="51"/>
        <v>3</v>
      </c>
      <c r="C1123" s="12">
        <f t="shared" si="52"/>
        <v>2005</v>
      </c>
      <c r="D1123" s="13">
        <v>7300</v>
      </c>
      <c r="E1123" s="13">
        <v>27.69</v>
      </c>
      <c r="F1123" s="13">
        <f t="shared" si="53"/>
        <v>263.63308053448895</v>
      </c>
    </row>
    <row r="1124" spans="1:6" x14ac:dyDescent="0.25">
      <c r="A1124" s="10">
        <v>38435</v>
      </c>
      <c r="B1124" s="12">
        <f t="shared" si="51"/>
        <v>3</v>
      </c>
      <c r="C1124" s="12">
        <f t="shared" si="52"/>
        <v>2005</v>
      </c>
      <c r="D1124" s="13">
        <v>7300</v>
      </c>
      <c r="E1124" s="13">
        <v>27.667000000000002</v>
      </c>
      <c r="F1124" s="13">
        <f t="shared" si="53"/>
        <v>263.85224274406329</v>
      </c>
    </row>
    <row r="1125" spans="1:6" x14ac:dyDescent="0.25">
      <c r="A1125" s="10">
        <v>38439</v>
      </c>
      <c r="B1125" s="12">
        <f t="shared" si="51"/>
        <v>3</v>
      </c>
      <c r="C1125" s="12">
        <f t="shared" si="52"/>
        <v>2005</v>
      </c>
      <c r="D1125" s="13">
        <v>7300</v>
      </c>
      <c r="E1125" s="13">
        <v>27.82</v>
      </c>
      <c r="F1125" s="13">
        <f t="shared" si="53"/>
        <v>262.40115025161754</v>
      </c>
    </row>
    <row r="1126" spans="1:6" x14ac:dyDescent="0.25">
      <c r="A1126" s="10">
        <v>38440</v>
      </c>
      <c r="B1126" s="12">
        <f t="shared" si="51"/>
        <v>3</v>
      </c>
      <c r="C1126" s="12">
        <f t="shared" si="52"/>
        <v>2005</v>
      </c>
      <c r="D1126" s="13">
        <v>7300</v>
      </c>
      <c r="E1126" s="13">
        <v>27.86</v>
      </c>
      <c r="F1126" s="13">
        <f t="shared" si="53"/>
        <v>262.02440775305098</v>
      </c>
    </row>
    <row r="1127" spans="1:6" x14ac:dyDescent="0.25">
      <c r="A1127" s="10">
        <v>38441</v>
      </c>
      <c r="B1127" s="12">
        <f t="shared" si="51"/>
        <v>3</v>
      </c>
      <c r="C1127" s="12">
        <f t="shared" si="52"/>
        <v>2005</v>
      </c>
      <c r="D1127" s="13">
        <v>7300</v>
      </c>
      <c r="E1127" s="13">
        <v>27.844999999999999</v>
      </c>
      <c r="F1127" s="13">
        <f t="shared" si="53"/>
        <v>262.16555934638177</v>
      </c>
    </row>
    <row r="1128" spans="1:6" x14ac:dyDescent="0.25">
      <c r="A1128" s="10">
        <v>38442</v>
      </c>
      <c r="B1128" s="12">
        <f t="shared" si="51"/>
        <v>3</v>
      </c>
      <c r="C1128" s="12">
        <f t="shared" si="52"/>
        <v>2005</v>
      </c>
      <c r="D1128" s="13">
        <v>7300</v>
      </c>
      <c r="E1128" s="13">
        <v>27.8691</v>
      </c>
      <c r="F1128" s="13">
        <f t="shared" si="53"/>
        <v>261.93884983727497</v>
      </c>
    </row>
    <row r="1129" spans="1:6" x14ac:dyDescent="0.25">
      <c r="A1129" s="10">
        <v>38443</v>
      </c>
      <c r="B1129" s="12">
        <f t="shared" si="51"/>
        <v>4</v>
      </c>
      <c r="C1129" s="12">
        <f t="shared" si="52"/>
        <v>2005</v>
      </c>
      <c r="D1129" s="13">
        <v>7300</v>
      </c>
      <c r="E1129" s="13">
        <v>27.804500000000001</v>
      </c>
      <c r="F1129" s="13">
        <f t="shared" si="53"/>
        <v>262.54742937294321</v>
      </c>
    </row>
    <row r="1130" spans="1:6" x14ac:dyDescent="0.25">
      <c r="A1130" s="10">
        <v>38446</v>
      </c>
      <c r="B1130" s="12">
        <f t="shared" si="51"/>
        <v>4</v>
      </c>
      <c r="C1130" s="12">
        <f t="shared" si="52"/>
        <v>2005</v>
      </c>
      <c r="D1130" s="13">
        <v>6800</v>
      </c>
      <c r="E1130" s="13">
        <v>27.89</v>
      </c>
      <c r="F1130" s="13">
        <f t="shared" si="53"/>
        <v>243.81498745069916</v>
      </c>
    </row>
    <row r="1131" spans="1:6" x14ac:dyDescent="0.25">
      <c r="A1131" s="10">
        <v>38447</v>
      </c>
      <c r="B1131" s="12">
        <f t="shared" si="51"/>
        <v>4</v>
      </c>
      <c r="C1131" s="12">
        <f t="shared" si="52"/>
        <v>2005</v>
      </c>
      <c r="D1131" s="13">
        <v>6800</v>
      </c>
      <c r="E1131" s="13">
        <v>27.910499999999999</v>
      </c>
      <c r="F1131" s="13">
        <f t="shared" si="53"/>
        <v>243.63590763332797</v>
      </c>
    </row>
    <row r="1132" spans="1:6" x14ac:dyDescent="0.25">
      <c r="A1132" s="10">
        <v>38448</v>
      </c>
      <c r="B1132" s="12">
        <f t="shared" si="51"/>
        <v>4</v>
      </c>
      <c r="C1132" s="12">
        <f t="shared" si="52"/>
        <v>2005</v>
      </c>
      <c r="D1132" s="13">
        <v>6800</v>
      </c>
      <c r="E1132" s="13">
        <v>27.873000000000001</v>
      </c>
      <c r="F1132" s="13">
        <f t="shared" si="53"/>
        <v>243.96369246223944</v>
      </c>
    </row>
    <row r="1133" spans="1:6" x14ac:dyDescent="0.25">
      <c r="A1133" s="10">
        <v>38449</v>
      </c>
      <c r="B1133" s="12">
        <f t="shared" si="51"/>
        <v>4</v>
      </c>
      <c r="C1133" s="12">
        <f t="shared" si="52"/>
        <v>2005</v>
      </c>
      <c r="D1133" s="13">
        <v>6800</v>
      </c>
      <c r="E1133" s="13">
        <v>27.797999999999998</v>
      </c>
      <c r="F1133" s="13">
        <f t="shared" si="53"/>
        <v>244.62191524570113</v>
      </c>
    </row>
    <row r="1134" spans="1:6" x14ac:dyDescent="0.25">
      <c r="A1134" s="10">
        <v>38450</v>
      </c>
      <c r="B1134" s="12">
        <f t="shared" si="51"/>
        <v>4</v>
      </c>
      <c r="C1134" s="12">
        <f t="shared" si="52"/>
        <v>2005</v>
      </c>
      <c r="D1134" s="13">
        <v>6800</v>
      </c>
      <c r="E1134" s="13">
        <v>27.846</v>
      </c>
      <c r="F1134" s="13">
        <f t="shared" si="53"/>
        <v>244.20024420024419</v>
      </c>
    </row>
    <row r="1135" spans="1:6" x14ac:dyDescent="0.25">
      <c r="A1135" s="10">
        <v>38453</v>
      </c>
      <c r="B1135" s="12">
        <f t="shared" si="51"/>
        <v>4</v>
      </c>
      <c r="C1135" s="12">
        <f t="shared" si="52"/>
        <v>2005</v>
      </c>
      <c r="D1135" s="13">
        <v>6750</v>
      </c>
      <c r="E1135" s="13">
        <v>27.766999999999999</v>
      </c>
      <c r="F1135" s="13">
        <f t="shared" si="53"/>
        <v>243.09432059639141</v>
      </c>
    </row>
    <row r="1136" spans="1:6" x14ac:dyDescent="0.25">
      <c r="A1136" s="10">
        <v>38454</v>
      </c>
      <c r="B1136" s="12">
        <f t="shared" si="51"/>
        <v>4</v>
      </c>
      <c r="C1136" s="12">
        <f t="shared" si="52"/>
        <v>2005</v>
      </c>
      <c r="D1136" s="13">
        <v>6750</v>
      </c>
      <c r="E1136" s="13">
        <v>27.779</v>
      </c>
      <c r="F1136" s="13">
        <f t="shared" si="53"/>
        <v>242.98930847042729</v>
      </c>
    </row>
    <row r="1137" spans="1:6" x14ac:dyDescent="0.25">
      <c r="A1137" s="10">
        <v>38455</v>
      </c>
      <c r="B1137" s="12">
        <f t="shared" si="51"/>
        <v>4</v>
      </c>
      <c r="C1137" s="12">
        <f t="shared" si="52"/>
        <v>2005</v>
      </c>
      <c r="D1137" s="13">
        <v>6750</v>
      </c>
      <c r="E1137" s="13">
        <v>27.8141</v>
      </c>
      <c r="F1137" s="13">
        <f t="shared" si="53"/>
        <v>242.68266814313603</v>
      </c>
    </row>
    <row r="1138" spans="1:6" x14ac:dyDescent="0.25">
      <c r="A1138" s="10">
        <v>38456</v>
      </c>
      <c r="B1138" s="12">
        <f t="shared" si="51"/>
        <v>4</v>
      </c>
      <c r="C1138" s="12">
        <f t="shared" si="52"/>
        <v>2005</v>
      </c>
      <c r="D1138" s="13">
        <v>6750</v>
      </c>
      <c r="E1138" s="13">
        <v>27.871500000000001</v>
      </c>
      <c r="F1138" s="13">
        <f t="shared" si="53"/>
        <v>242.18287497981808</v>
      </c>
    </row>
    <row r="1139" spans="1:6" x14ac:dyDescent="0.25">
      <c r="A1139" s="10">
        <v>38457</v>
      </c>
      <c r="B1139" s="12">
        <f t="shared" si="51"/>
        <v>4</v>
      </c>
      <c r="C1139" s="12">
        <f t="shared" si="52"/>
        <v>2005</v>
      </c>
      <c r="D1139" s="13">
        <v>6750</v>
      </c>
      <c r="E1139" s="13">
        <v>27.9099</v>
      </c>
      <c r="F1139" s="13">
        <f t="shared" si="53"/>
        <v>241.84966624746056</v>
      </c>
    </row>
    <row r="1140" spans="1:6" x14ac:dyDescent="0.25">
      <c r="A1140" s="10">
        <v>38460</v>
      </c>
      <c r="B1140" s="12">
        <f t="shared" si="51"/>
        <v>4</v>
      </c>
      <c r="C1140" s="12">
        <f t="shared" si="52"/>
        <v>2005</v>
      </c>
      <c r="D1140" s="13">
        <v>6650</v>
      </c>
      <c r="E1140" s="13">
        <v>27.7883</v>
      </c>
      <c r="F1140" s="13">
        <f t="shared" si="53"/>
        <v>239.30934961836456</v>
      </c>
    </row>
    <row r="1141" spans="1:6" x14ac:dyDescent="0.25">
      <c r="A1141" s="10">
        <v>38461</v>
      </c>
      <c r="B1141" s="12">
        <f t="shared" si="51"/>
        <v>4</v>
      </c>
      <c r="C1141" s="12">
        <f t="shared" si="52"/>
        <v>2005</v>
      </c>
      <c r="D1141" s="13">
        <v>6650</v>
      </c>
      <c r="E1141" s="13">
        <v>27.753</v>
      </c>
      <c r="F1141" s="13">
        <f t="shared" si="53"/>
        <v>239.61373545202321</v>
      </c>
    </row>
    <row r="1142" spans="1:6" x14ac:dyDescent="0.25">
      <c r="A1142" s="10">
        <v>38462</v>
      </c>
      <c r="B1142" s="12">
        <f t="shared" si="51"/>
        <v>4</v>
      </c>
      <c r="C1142" s="12">
        <f t="shared" si="52"/>
        <v>2005</v>
      </c>
      <c r="D1142" s="13">
        <v>6650</v>
      </c>
      <c r="E1142" s="13">
        <v>27.734999999999999</v>
      </c>
      <c r="F1142" s="13">
        <f t="shared" si="53"/>
        <v>239.76924463674058</v>
      </c>
    </row>
    <row r="1143" spans="1:6" x14ac:dyDescent="0.25">
      <c r="A1143" s="10">
        <v>38463</v>
      </c>
      <c r="B1143" s="12">
        <f t="shared" si="51"/>
        <v>4</v>
      </c>
      <c r="C1143" s="12">
        <f t="shared" si="52"/>
        <v>2005</v>
      </c>
      <c r="D1143" s="13">
        <v>6650</v>
      </c>
      <c r="E1143" s="13">
        <v>27.704000000000001</v>
      </c>
      <c r="F1143" s="13">
        <f t="shared" si="53"/>
        <v>240.0375397054577</v>
      </c>
    </row>
    <row r="1144" spans="1:6" x14ac:dyDescent="0.25">
      <c r="A1144" s="10">
        <v>38464</v>
      </c>
      <c r="B1144" s="12">
        <f t="shared" si="51"/>
        <v>4</v>
      </c>
      <c r="C1144" s="12">
        <f t="shared" si="52"/>
        <v>2005</v>
      </c>
      <c r="D1144" s="13">
        <v>6650</v>
      </c>
      <c r="E1144" s="13">
        <v>27.704000000000001</v>
      </c>
      <c r="F1144" s="13">
        <f t="shared" si="53"/>
        <v>240.0375397054577</v>
      </c>
    </row>
    <row r="1145" spans="1:6" x14ac:dyDescent="0.25">
      <c r="A1145" s="10">
        <v>38467</v>
      </c>
      <c r="B1145" s="12">
        <f t="shared" si="51"/>
        <v>4</v>
      </c>
      <c r="C1145" s="12">
        <f t="shared" si="52"/>
        <v>2005</v>
      </c>
      <c r="D1145" s="13">
        <v>6650</v>
      </c>
      <c r="E1145" s="13">
        <v>27.7438</v>
      </c>
      <c r="F1145" s="13">
        <f t="shared" si="53"/>
        <v>239.69319271332694</v>
      </c>
    </row>
    <row r="1146" spans="1:6" x14ac:dyDescent="0.25">
      <c r="A1146" s="10">
        <v>38468</v>
      </c>
      <c r="B1146" s="12">
        <f t="shared" si="51"/>
        <v>4</v>
      </c>
      <c r="C1146" s="12">
        <f t="shared" si="52"/>
        <v>2005</v>
      </c>
      <c r="D1146" s="13">
        <v>6650</v>
      </c>
      <c r="E1146" s="13">
        <v>27.748799999999999</v>
      </c>
      <c r="F1146" s="13">
        <f t="shared" si="53"/>
        <v>239.65000288300757</v>
      </c>
    </row>
    <row r="1147" spans="1:6" x14ac:dyDescent="0.25">
      <c r="A1147" s="10">
        <v>38469</v>
      </c>
      <c r="B1147" s="12">
        <f t="shared" si="51"/>
        <v>4</v>
      </c>
      <c r="C1147" s="12">
        <f t="shared" si="52"/>
        <v>2005</v>
      </c>
      <c r="D1147" s="13">
        <v>6650</v>
      </c>
      <c r="E1147" s="13">
        <v>27.722000000000001</v>
      </c>
      <c r="F1147" s="13">
        <f t="shared" si="53"/>
        <v>239.88168241829592</v>
      </c>
    </row>
    <row r="1148" spans="1:6" x14ac:dyDescent="0.25">
      <c r="A1148" s="10">
        <v>38470</v>
      </c>
      <c r="B1148" s="12">
        <f t="shared" si="51"/>
        <v>4</v>
      </c>
      <c r="C1148" s="12">
        <f t="shared" si="52"/>
        <v>2005</v>
      </c>
      <c r="D1148" s="13">
        <v>6650</v>
      </c>
      <c r="E1148" s="13">
        <v>27.797999999999998</v>
      </c>
      <c r="F1148" s="13">
        <f t="shared" si="53"/>
        <v>239.22584358586951</v>
      </c>
    </row>
    <row r="1149" spans="1:6" x14ac:dyDescent="0.25">
      <c r="A1149" s="10">
        <v>38471</v>
      </c>
      <c r="B1149" s="12">
        <f t="shared" si="51"/>
        <v>4</v>
      </c>
      <c r="C1149" s="12">
        <f t="shared" si="52"/>
        <v>2005</v>
      </c>
      <c r="D1149" s="13">
        <v>6650</v>
      </c>
      <c r="E1149" s="13">
        <v>27.776</v>
      </c>
      <c r="F1149" s="13">
        <f t="shared" si="53"/>
        <v>239.41532258064515</v>
      </c>
    </row>
    <row r="1150" spans="1:6" x14ac:dyDescent="0.25">
      <c r="A1150" s="10">
        <v>38474</v>
      </c>
      <c r="B1150" s="12">
        <f t="shared" si="51"/>
        <v>5</v>
      </c>
      <c r="C1150" s="12">
        <f t="shared" si="52"/>
        <v>2005</v>
      </c>
      <c r="D1150" s="13">
        <v>6750</v>
      </c>
      <c r="E1150" s="13">
        <v>27.776</v>
      </c>
      <c r="F1150" s="13">
        <f t="shared" si="53"/>
        <v>243.01555299539172</v>
      </c>
    </row>
    <row r="1151" spans="1:6" x14ac:dyDescent="0.25">
      <c r="A1151" s="10">
        <v>38475</v>
      </c>
      <c r="B1151" s="12">
        <f t="shared" si="51"/>
        <v>5</v>
      </c>
      <c r="C1151" s="12">
        <f t="shared" si="52"/>
        <v>2005</v>
      </c>
      <c r="D1151" s="13">
        <v>6750</v>
      </c>
      <c r="E1151" s="13">
        <v>27.823499999999999</v>
      </c>
      <c r="F1151" s="13">
        <f t="shared" si="53"/>
        <v>242.60067928190199</v>
      </c>
    </row>
    <row r="1152" spans="1:6" x14ac:dyDescent="0.25">
      <c r="A1152" s="10">
        <v>38476</v>
      </c>
      <c r="B1152" s="12">
        <f t="shared" si="51"/>
        <v>5</v>
      </c>
      <c r="C1152" s="12">
        <f t="shared" si="52"/>
        <v>2005</v>
      </c>
      <c r="D1152" s="13">
        <v>6750</v>
      </c>
      <c r="E1152" s="13">
        <v>27.7836</v>
      </c>
      <c r="F1152" s="13">
        <f t="shared" si="53"/>
        <v>242.94907787327776</v>
      </c>
    </row>
    <row r="1153" spans="1:6" x14ac:dyDescent="0.25">
      <c r="A1153" s="10">
        <v>38477</v>
      </c>
      <c r="B1153" s="12">
        <f t="shared" si="51"/>
        <v>5</v>
      </c>
      <c r="C1153" s="12">
        <f t="shared" si="52"/>
        <v>2005</v>
      </c>
      <c r="D1153" s="13">
        <v>6750</v>
      </c>
      <c r="E1153" s="13">
        <v>27.774999999999999</v>
      </c>
      <c r="F1153" s="13">
        <f t="shared" si="53"/>
        <v>243.02430243024304</v>
      </c>
    </row>
    <row r="1154" spans="1:6" x14ac:dyDescent="0.25">
      <c r="A1154" s="10">
        <v>38478</v>
      </c>
      <c r="B1154" s="12">
        <f t="shared" si="51"/>
        <v>5</v>
      </c>
      <c r="C1154" s="12">
        <f t="shared" si="52"/>
        <v>2005</v>
      </c>
      <c r="D1154" s="13">
        <v>6750</v>
      </c>
      <c r="E1154" s="13">
        <v>27.814499999999999</v>
      </c>
      <c r="F1154" s="13">
        <f t="shared" si="53"/>
        <v>242.67917812651675</v>
      </c>
    </row>
    <row r="1155" spans="1:6" x14ac:dyDescent="0.25">
      <c r="A1155" s="10">
        <v>38481</v>
      </c>
      <c r="B1155" s="12">
        <f t="shared" ref="B1155:B1218" si="54">MONTH(A1155)</f>
        <v>5</v>
      </c>
      <c r="C1155" s="12">
        <f t="shared" ref="C1155:C1218" si="55">YEAR(A1155)</f>
        <v>2005</v>
      </c>
      <c r="D1155" s="13">
        <v>6950</v>
      </c>
      <c r="E1155" s="13">
        <v>27.814499999999999</v>
      </c>
      <c r="F1155" s="13">
        <f t="shared" ref="F1155:F1218" si="56">IF(D1155="","",D1155/E1155)</f>
        <v>249.86967229322838</v>
      </c>
    </row>
    <row r="1156" spans="1:6" x14ac:dyDescent="0.25">
      <c r="A1156" s="10">
        <v>38482</v>
      </c>
      <c r="B1156" s="12">
        <f t="shared" si="54"/>
        <v>5</v>
      </c>
      <c r="C1156" s="12">
        <f t="shared" si="55"/>
        <v>2005</v>
      </c>
      <c r="D1156" s="13">
        <v>6950</v>
      </c>
      <c r="E1156" s="13">
        <v>27.814499999999999</v>
      </c>
      <c r="F1156" s="13">
        <f t="shared" si="56"/>
        <v>249.86967229322838</v>
      </c>
    </row>
    <row r="1157" spans="1:6" x14ac:dyDescent="0.25">
      <c r="A1157" s="10">
        <v>38483</v>
      </c>
      <c r="B1157" s="12">
        <f t="shared" si="54"/>
        <v>5</v>
      </c>
      <c r="C1157" s="12">
        <f t="shared" si="55"/>
        <v>2005</v>
      </c>
      <c r="D1157" s="13">
        <v>6950</v>
      </c>
      <c r="E1157" s="13">
        <v>27.853400000000001</v>
      </c>
      <c r="F1157" s="13">
        <f t="shared" si="56"/>
        <v>249.5207048331622</v>
      </c>
    </row>
    <row r="1158" spans="1:6" x14ac:dyDescent="0.25">
      <c r="A1158" s="10">
        <v>38484</v>
      </c>
      <c r="B1158" s="12">
        <f t="shared" si="54"/>
        <v>5</v>
      </c>
      <c r="C1158" s="12">
        <f t="shared" si="55"/>
        <v>2005</v>
      </c>
      <c r="D1158" s="13">
        <v>6950</v>
      </c>
      <c r="E1158" s="13">
        <v>27.886199999999999</v>
      </c>
      <c r="F1158" s="13">
        <f t="shared" si="56"/>
        <v>249.22721632922378</v>
      </c>
    </row>
    <row r="1159" spans="1:6" x14ac:dyDescent="0.25">
      <c r="A1159" s="10">
        <v>38485</v>
      </c>
      <c r="B1159" s="12">
        <f t="shared" si="54"/>
        <v>5</v>
      </c>
      <c r="C1159" s="12">
        <f t="shared" si="55"/>
        <v>2005</v>
      </c>
      <c r="D1159" s="13">
        <v>6950</v>
      </c>
      <c r="E1159" s="13">
        <v>27.9603</v>
      </c>
      <c r="F1159" s="13">
        <f t="shared" si="56"/>
        <v>248.56671781061004</v>
      </c>
    </row>
    <row r="1160" spans="1:6" x14ac:dyDescent="0.25">
      <c r="A1160" s="10">
        <v>38488</v>
      </c>
      <c r="B1160" s="12">
        <f t="shared" si="54"/>
        <v>5</v>
      </c>
      <c r="C1160" s="12">
        <f t="shared" si="55"/>
        <v>2005</v>
      </c>
      <c r="D1160" s="13">
        <v>7050</v>
      </c>
      <c r="E1160" s="13">
        <v>28.0045</v>
      </c>
      <c r="F1160" s="13">
        <f t="shared" si="56"/>
        <v>251.74525522683854</v>
      </c>
    </row>
    <row r="1161" spans="1:6" x14ac:dyDescent="0.25">
      <c r="A1161" s="10">
        <v>38489</v>
      </c>
      <c r="B1161" s="12">
        <f t="shared" si="54"/>
        <v>5</v>
      </c>
      <c r="C1161" s="12">
        <f t="shared" si="55"/>
        <v>2005</v>
      </c>
      <c r="D1161" s="13">
        <v>7050</v>
      </c>
      <c r="E1161" s="13">
        <v>27.9878</v>
      </c>
      <c r="F1161" s="13">
        <f t="shared" si="56"/>
        <v>251.89546873995099</v>
      </c>
    </row>
    <row r="1162" spans="1:6" x14ac:dyDescent="0.25">
      <c r="A1162" s="10">
        <v>38490</v>
      </c>
      <c r="B1162" s="12">
        <f t="shared" si="54"/>
        <v>5</v>
      </c>
      <c r="C1162" s="12">
        <f t="shared" si="55"/>
        <v>2005</v>
      </c>
      <c r="D1162" s="13">
        <v>7050</v>
      </c>
      <c r="E1162" s="13">
        <v>27.995000000000001</v>
      </c>
      <c r="F1162" s="13">
        <f t="shared" si="56"/>
        <v>251.83068405072333</v>
      </c>
    </row>
    <row r="1163" spans="1:6" x14ac:dyDescent="0.25">
      <c r="A1163" s="10">
        <v>38491</v>
      </c>
      <c r="B1163" s="12">
        <f t="shared" si="54"/>
        <v>5</v>
      </c>
      <c r="C1163" s="12">
        <f t="shared" si="55"/>
        <v>2005</v>
      </c>
      <c r="D1163" s="13">
        <v>7050</v>
      </c>
      <c r="E1163" s="13">
        <v>27.9725</v>
      </c>
      <c r="F1163" s="13">
        <f t="shared" si="56"/>
        <v>252.03324693895792</v>
      </c>
    </row>
    <row r="1164" spans="1:6" x14ac:dyDescent="0.25">
      <c r="A1164" s="10">
        <v>38492</v>
      </c>
      <c r="B1164" s="12">
        <f t="shared" si="54"/>
        <v>5</v>
      </c>
      <c r="C1164" s="12">
        <f t="shared" si="55"/>
        <v>2005</v>
      </c>
      <c r="D1164" s="13">
        <v>7050</v>
      </c>
      <c r="E1164" s="13">
        <v>28.0242</v>
      </c>
      <c r="F1164" s="13">
        <f t="shared" si="56"/>
        <v>251.56828740873959</v>
      </c>
    </row>
    <row r="1165" spans="1:6" x14ac:dyDescent="0.25">
      <c r="A1165" s="10">
        <v>38495</v>
      </c>
      <c r="B1165" s="12">
        <f t="shared" si="54"/>
        <v>5</v>
      </c>
      <c r="C1165" s="12">
        <f t="shared" si="55"/>
        <v>2005</v>
      </c>
      <c r="D1165" s="13">
        <v>7150</v>
      </c>
      <c r="E1165" s="13">
        <v>28.035499999999999</v>
      </c>
      <c r="F1165" s="13">
        <f t="shared" si="56"/>
        <v>255.03379643666068</v>
      </c>
    </row>
    <row r="1166" spans="1:6" x14ac:dyDescent="0.25">
      <c r="A1166" s="10">
        <v>38496</v>
      </c>
      <c r="B1166" s="12">
        <f t="shared" si="54"/>
        <v>5</v>
      </c>
      <c r="C1166" s="12">
        <f t="shared" si="55"/>
        <v>2005</v>
      </c>
      <c r="D1166" s="13">
        <v>7150</v>
      </c>
      <c r="E1166" s="13">
        <v>28.007000000000001</v>
      </c>
      <c r="F1166" s="13">
        <f t="shared" si="56"/>
        <v>255.29331952726102</v>
      </c>
    </row>
    <row r="1167" spans="1:6" x14ac:dyDescent="0.25">
      <c r="A1167" s="10">
        <v>38497</v>
      </c>
      <c r="B1167" s="12">
        <f t="shared" si="54"/>
        <v>5</v>
      </c>
      <c r="C1167" s="12">
        <f t="shared" si="55"/>
        <v>2005</v>
      </c>
      <c r="D1167" s="13">
        <v>7150</v>
      </c>
      <c r="E1167" s="13">
        <v>28.02</v>
      </c>
      <c r="F1167" s="13">
        <f t="shared" si="56"/>
        <v>255.17487508922198</v>
      </c>
    </row>
    <row r="1168" spans="1:6" x14ac:dyDescent="0.25">
      <c r="A1168" s="10">
        <v>38498</v>
      </c>
      <c r="B1168" s="12">
        <f t="shared" si="54"/>
        <v>5</v>
      </c>
      <c r="C1168" s="12">
        <f t="shared" si="55"/>
        <v>2005</v>
      </c>
      <c r="D1168" s="13">
        <v>7150</v>
      </c>
      <c r="E1168" s="13">
        <v>28.073</v>
      </c>
      <c r="F1168" s="13">
        <f t="shared" si="56"/>
        <v>254.69312150464859</v>
      </c>
    </row>
    <row r="1169" spans="1:6" x14ac:dyDescent="0.25">
      <c r="A1169" s="10">
        <v>38499</v>
      </c>
      <c r="B1169" s="12">
        <f t="shared" si="54"/>
        <v>5</v>
      </c>
      <c r="C1169" s="12">
        <f t="shared" si="55"/>
        <v>2005</v>
      </c>
      <c r="D1169" s="13">
        <v>7150</v>
      </c>
      <c r="E1169" s="13">
        <v>28.074999999999999</v>
      </c>
      <c r="F1169" s="13">
        <f t="shared" si="56"/>
        <v>254.67497773820125</v>
      </c>
    </row>
    <row r="1170" spans="1:6" x14ac:dyDescent="0.25">
      <c r="A1170" s="10">
        <v>38503</v>
      </c>
      <c r="B1170" s="12">
        <f t="shared" si="54"/>
        <v>5</v>
      </c>
      <c r="C1170" s="12">
        <f t="shared" si="55"/>
        <v>2005</v>
      </c>
      <c r="D1170" s="13">
        <v>7150</v>
      </c>
      <c r="E1170" s="13">
        <v>28.236499999999999</v>
      </c>
      <c r="F1170" s="13">
        <f t="shared" si="56"/>
        <v>253.21835213287767</v>
      </c>
    </row>
    <row r="1171" spans="1:6" x14ac:dyDescent="0.25">
      <c r="A1171" s="10">
        <v>38504</v>
      </c>
      <c r="B1171" s="12">
        <f t="shared" si="54"/>
        <v>6</v>
      </c>
      <c r="C1171" s="12">
        <f t="shared" si="55"/>
        <v>2005</v>
      </c>
      <c r="D1171" s="13">
        <v>7150</v>
      </c>
      <c r="E1171" s="13">
        <v>28.3825</v>
      </c>
      <c r="F1171" s="13">
        <f t="shared" si="56"/>
        <v>251.91579318241875</v>
      </c>
    </row>
    <row r="1172" spans="1:6" x14ac:dyDescent="0.25">
      <c r="A1172" s="10">
        <v>38505</v>
      </c>
      <c r="B1172" s="12">
        <f t="shared" si="54"/>
        <v>6</v>
      </c>
      <c r="C1172" s="12">
        <f t="shared" si="55"/>
        <v>2005</v>
      </c>
      <c r="D1172" s="13">
        <v>7150</v>
      </c>
      <c r="E1172" s="13">
        <v>28.371500000000001</v>
      </c>
      <c r="F1172" s="13">
        <f t="shared" si="56"/>
        <v>252.01346421585041</v>
      </c>
    </row>
    <row r="1173" spans="1:6" x14ac:dyDescent="0.25">
      <c r="A1173" s="10">
        <v>38506</v>
      </c>
      <c r="B1173" s="12">
        <f t="shared" si="54"/>
        <v>6</v>
      </c>
      <c r="C1173" s="12">
        <f t="shared" si="55"/>
        <v>2005</v>
      </c>
      <c r="D1173" s="13">
        <v>7150</v>
      </c>
      <c r="E1173" s="13">
        <v>28.366499999999998</v>
      </c>
      <c r="F1173" s="13">
        <f t="shared" si="56"/>
        <v>252.05788518146406</v>
      </c>
    </row>
    <row r="1174" spans="1:6" x14ac:dyDescent="0.25">
      <c r="A1174" s="10">
        <v>38509</v>
      </c>
      <c r="B1174" s="12">
        <f t="shared" si="54"/>
        <v>6</v>
      </c>
      <c r="C1174" s="12">
        <f t="shared" si="55"/>
        <v>2005</v>
      </c>
      <c r="D1174" s="13">
        <v>7350</v>
      </c>
      <c r="E1174" s="13">
        <v>28.407499999999999</v>
      </c>
      <c r="F1174" s="13">
        <f t="shared" si="56"/>
        <v>258.73448913139134</v>
      </c>
    </row>
    <row r="1175" spans="1:6" x14ac:dyDescent="0.25">
      <c r="A1175" s="10">
        <v>38510</v>
      </c>
      <c r="B1175" s="12">
        <f t="shared" si="54"/>
        <v>6</v>
      </c>
      <c r="C1175" s="12">
        <f t="shared" si="55"/>
        <v>2005</v>
      </c>
      <c r="D1175" s="13">
        <v>7350</v>
      </c>
      <c r="E1175" s="13">
        <v>28.401499999999999</v>
      </c>
      <c r="F1175" s="13">
        <f t="shared" si="56"/>
        <v>258.78914846046865</v>
      </c>
    </row>
    <row r="1176" spans="1:6" x14ac:dyDescent="0.25">
      <c r="A1176" s="10">
        <v>38511</v>
      </c>
      <c r="B1176" s="12">
        <f t="shared" si="54"/>
        <v>6</v>
      </c>
      <c r="C1176" s="12">
        <f t="shared" si="55"/>
        <v>2005</v>
      </c>
      <c r="D1176" s="13">
        <v>7350</v>
      </c>
      <c r="E1176" s="13">
        <v>28.349699999999999</v>
      </c>
      <c r="F1176" s="13">
        <f t="shared" si="56"/>
        <v>259.2620027725161</v>
      </c>
    </row>
    <row r="1177" spans="1:6" x14ac:dyDescent="0.25">
      <c r="A1177" s="10">
        <v>38512</v>
      </c>
      <c r="B1177" s="12">
        <f t="shared" si="54"/>
        <v>6</v>
      </c>
      <c r="C1177" s="12">
        <f t="shared" si="55"/>
        <v>2005</v>
      </c>
      <c r="D1177" s="13">
        <v>7350</v>
      </c>
      <c r="E1177" s="13">
        <v>28.4422</v>
      </c>
      <c r="F1177" s="13">
        <f t="shared" si="56"/>
        <v>258.41882836067532</v>
      </c>
    </row>
    <row r="1178" spans="1:6" x14ac:dyDescent="0.25">
      <c r="A1178" s="10">
        <v>38513</v>
      </c>
      <c r="B1178" s="12">
        <f t="shared" si="54"/>
        <v>6</v>
      </c>
      <c r="C1178" s="12">
        <f t="shared" si="55"/>
        <v>2005</v>
      </c>
      <c r="D1178" s="13">
        <v>7350</v>
      </c>
      <c r="E1178" s="13">
        <v>28.482500000000002</v>
      </c>
      <c r="F1178" s="13">
        <f t="shared" si="56"/>
        <v>258.05319055560432</v>
      </c>
    </row>
    <row r="1179" spans="1:6" x14ac:dyDescent="0.25">
      <c r="A1179" s="10">
        <v>38516</v>
      </c>
      <c r="B1179" s="12">
        <f t="shared" si="54"/>
        <v>6</v>
      </c>
      <c r="C1179" s="12">
        <f t="shared" si="55"/>
        <v>2005</v>
      </c>
      <c r="D1179" s="13">
        <v>7500</v>
      </c>
      <c r="E1179" s="13">
        <v>28.482500000000002</v>
      </c>
      <c r="F1179" s="13">
        <f t="shared" si="56"/>
        <v>263.31958219959625</v>
      </c>
    </row>
    <row r="1180" spans="1:6" x14ac:dyDescent="0.25">
      <c r="A1180" s="10">
        <v>38517</v>
      </c>
      <c r="B1180" s="12">
        <f t="shared" si="54"/>
        <v>6</v>
      </c>
      <c r="C1180" s="12">
        <f t="shared" si="55"/>
        <v>2005</v>
      </c>
      <c r="D1180" s="13">
        <v>7500</v>
      </c>
      <c r="E1180" s="13">
        <v>28.55</v>
      </c>
      <c r="F1180" s="13">
        <f t="shared" si="56"/>
        <v>262.69702276707528</v>
      </c>
    </row>
    <row r="1181" spans="1:6" x14ac:dyDescent="0.25">
      <c r="A1181" s="10">
        <v>38518</v>
      </c>
      <c r="B1181" s="12">
        <f t="shared" si="54"/>
        <v>6</v>
      </c>
      <c r="C1181" s="12">
        <f t="shared" si="55"/>
        <v>2005</v>
      </c>
      <c r="D1181" s="13">
        <v>7500</v>
      </c>
      <c r="E1181" s="13">
        <v>28.567499999999999</v>
      </c>
      <c r="F1181" s="13">
        <f t="shared" si="56"/>
        <v>262.53609871357315</v>
      </c>
    </row>
    <row r="1182" spans="1:6" x14ac:dyDescent="0.25">
      <c r="A1182" s="10">
        <v>38519</v>
      </c>
      <c r="B1182" s="12">
        <f t="shared" si="54"/>
        <v>6</v>
      </c>
      <c r="C1182" s="12">
        <f t="shared" si="55"/>
        <v>2005</v>
      </c>
      <c r="D1182" s="13">
        <v>7500</v>
      </c>
      <c r="E1182" s="13">
        <v>28.555</v>
      </c>
      <c r="F1182" s="13">
        <f t="shared" si="56"/>
        <v>262.65102433899494</v>
      </c>
    </row>
    <row r="1183" spans="1:6" x14ac:dyDescent="0.25">
      <c r="A1183" s="10">
        <v>38520</v>
      </c>
      <c r="B1183" s="12">
        <f t="shared" si="54"/>
        <v>6</v>
      </c>
      <c r="C1183" s="12">
        <f t="shared" si="55"/>
        <v>2005</v>
      </c>
      <c r="D1183" s="13">
        <v>7500</v>
      </c>
      <c r="E1183" s="13">
        <v>28.5185</v>
      </c>
      <c r="F1183" s="13">
        <f t="shared" si="56"/>
        <v>262.98718375791151</v>
      </c>
    </row>
    <row r="1184" spans="1:6" x14ac:dyDescent="0.25">
      <c r="A1184" s="10">
        <v>38523</v>
      </c>
      <c r="B1184" s="12">
        <f t="shared" si="54"/>
        <v>6</v>
      </c>
      <c r="C1184" s="12">
        <f t="shared" si="55"/>
        <v>2005</v>
      </c>
      <c r="D1184" s="13">
        <v>7500</v>
      </c>
      <c r="E1184" s="13">
        <v>28.523499999999999</v>
      </c>
      <c r="F1184" s="13">
        <f t="shared" si="56"/>
        <v>262.94108366785281</v>
      </c>
    </row>
    <row r="1185" spans="1:6" x14ac:dyDescent="0.25">
      <c r="A1185" s="10">
        <v>38524</v>
      </c>
      <c r="B1185" s="12">
        <f t="shared" si="54"/>
        <v>6</v>
      </c>
      <c r="C1185" s="12">
        <f t="shared" si="55"/>
        <v>2005</v>
      </c>
      <c r="D1185" s="13">
        <v>7500</v>
      </c>
      <c r="E1185" s="13">
        <v>28.579499999999999</v>
      </c>
      <c r="F1185" s="13">
        <f t="shared" si="56"/>
        <v>262.42586469322418</v>
      </c>
    </row>
    <row r="1186" spans="1:6" x14ac:dyDescent="0.25">
      <c r="A1186" s="10">
        <v>38525</v>
      </c>
      <c r="B1186" s="12">
        <f t="shared" si="54"/>
        <v>6</v>
      </c>
      <c r="C1186" s="12">
        <f t="shared" si="55"/>
        <v>2005</v>
      </c>
      <c r="D1186" s="13">
        <v>7500</v>
      </c>
      <c r="E1186" s="13">
        <v>28.578499999999998</v>
      </c>
      <c r="F1186" s="13">
        <f t="shared" si="56"/>
        <v>262.43504732578691</v>
      </c>
    </row>
    <row r="1187" spans="1:6" x14ac:dyDescent="0.25">
      <c r="A1187" s="10">
        <v>38526</v>
      </c>
      <c r="B1187" s="12">
        <f t="shared" si="54"/>
        <v>6</v>
      </c>
      <c r="C1187" s="12">
        <f t="shared" si="55"/>
        <v>2005</v>
      </c>
      <c r="D1187" s="13">
        <v>7500</v>
      </c>
      <c r="E1187" s="13">
        <v>28.66</v>
      </c>
      <c r="F1187" s="13">
        <f t="shared" si="56"/>
        <v>261.68876482902999</v>
      </c>
    </row>
    <row r="1188" spans="1:6" x14ac:dyDescent="0.25">
      <c r="A1188" s="10">
        <v>38527</v>
      </c>
      <c r="B1188" s="12">
        <f t="shared" si="54"/>
        <v>6</v>
      </c>
      <c r="C1188" s="12">
        <f t="shared" si="55"/>
        <v>2005</v>
      </c>
      <c r="D1188" s="13">
        <v>7500</v>
      </c>
      <c r="E1188" s="13">
        <v>28.64</v>
      </c>
      <c r="F1188" s="13">
        <f t="shared" si="56"/>
        <v>261.87150837988827</v>
      </c>
    </row>
    <row r="1189" spans="1:6" x14ac:dyDescent="0.25">
      <c r="A1189" s="10">
        <v>38530</v>
      </c>
      <c r="B1189" s="12">
        <f t="shared" si="54"/>
        <v>6</v>
      </c>
      <c r="C1189" s="12">
        <f t="shared" si="55"/>
        <v>2005</v>
      </c>
      <c r="D1189" s="13">
        <v>7500</v>
      </c>
      <c r="E1189" s="13">
        <v>28.557500000000001</v>
      </c>
      <c r="F1189" s="13">
        <f t="shared" si="56"/>
        <v>262.62803116519302</v>
      </c>
    </row>
    <row r="1190" spans="1:6" x14ac:dyDescent="0.25">
      <c r="A1190" s="10">
        <v>38531</v>
      </c>
      <c r="B1190" s="12">
        <f t="shared" si="54"/>
        <v>6</v>
      </c>
      <c r="C1190" s="12">
        <f t="shared" si="55"/>
        <v>2005</v>
      </c>
      <c r="D1190" s="13">
        <v>7500</v>
      </c>
      <c r="E1190" s="13">
        <v>28.630500000000001</v>
      </c>
      <c r="F1190" s="13">
        <f t="shared" si="56"/>
        <v>261.95840100592022</v>
      </c>
    </row>
    <row r="1191" spans="1:6" x14ac:dyDescent="0.25">
      <c r="A1191" s="10">
        <v>38532</v>
      </c>
      <c r="B1191" s="12">
        <f t="shared" si="54"/>
        <v>6</v>
      </c>
      <c r="C1191" s="12">
        <f t="shared" si="55"/>
        <v>2005</v>
      </c>
      <c r="D1191" s="13">
        <v>7500</v>
      </c>
      <c r="E1191" s="13">
        <v>28.677499999999998</v>
      </c>
      <c r="F1191" s="13">
        <f t="shared" si="56"/>
        <v>261.52907331531691</v>
      </c>
    </row>
    <row r="1192" spans="1:6" x14ac:dyDescent="0.25">
      <c r="A1192" s="10">
        <v>38533</v>
      </c>
      <c r="B1192" s="12">
        <f t="shared" si="54"/>
        <v>6</v>
      </c>
      <c r="C1192" s="12">
        <f t="shared" si="55"/>
        <v>2005</v>
      </c>
      <c r="D1192" s="13">
        <v>7500</v>
      </c>
      <c r="E1192" s="13">
        <v>28.627500000000001</v>
      </c>
      <c r="F1192" s="13">
        <f t="shared" si="56"/>
        <v>261.98585276395073</v>
      </c>
    </row>
    <row r="1193" spans="1:6" x14ac:dyDescent="0.25">
      <c r="A1193" s="10">
        <v>38534</v>
      </c>
      <c r="B1193" s="12">
        <f t="shared" si="54"/>
        <v>7</v>
      </c>
      <c r="C1193" s="12">
        <f t="shared" si="55"/>
        <v>2005</v>
      </c>
      <c r="D1193" s="13">
        <v>7500</v>
      </c>
      <c r="E1193" s="13">
        <v>28.627500000000001</v>
      </c>
      <c r="F1193" s="13">
        <f t="shared" si="56"/>
        <v>261.98585276395073</v>
      </c>
    </row>
    <row r="1194" spans="1:6" x14ac:dyDescent="0.25">
      <c r="A1194" s="10">
        <v>38538</v>
      </c>
      <c r="B1194" s="12">
        <f t="shared" si="54"/>
        <v>7</v>
      </c>
      <c r="C1194" s="12">
        <f t="shared" si="55"/>
        <v>2005</v>
      </c>
      <c r="D1194" s="13">
        <v>7500</v>
      </c>
      <c r="E1194" s="13">
        <v>28.827500000000001</v>
      </c>
      <c r="F1194" s="13">
        <f t="shared" si="56"/>
        <v>260.16824212991065</v>
      </c>
    </row>
    <row r="1195" spans="1:6" x14ac:dyDescent="0.25">
      <c r="A1195" s="10">
        <v>38539</v>
      </c>
      <c r="B1195" s="12">
        <f t="shared" si="54"/>
        <v>7</v>
      </c>
      <c r="C1195" s="12">
        <f t="shared" si="55"/>
        <v>2005</v>
      </c>
      <c r="D1195" s="13">
        <v>7500</v>
      </c>
      <c r="E1195" s="13">
        <v>28.8325</v>
      </c>
      <c r="F1195" s="13">
        <f t="shared" si="56"/>
        <v>260.12312494580766</v>
      </c>
    </row>
    <row r="1196" spans="1:6" x14ac:dyDescent="0.25">
      <c r="A1196" s="10">
        <v>38540</v>
      </c>
      <c r="B1196" s="12">
        <f t="shared" si="54"/>
        <v>7</v>
      </c>
      <c r="C1196" s="12">
        <f t="shared" si="55"/>
        <v>2005</v>
      </c>
      <c r="D1196" s="13">
        <v>7500</v>
      </c>
      <c r="E1196" s="13">
        <v>28.822500000000002</v>
      </c>
      <c r="F1196" s="13">
        <f t="shared" si="56"/>
        <v>260.21337496747333</v>
      </c>
    </row>
    <row r="1197" spans="1:6" x14ac:dyDescent="0.25">
      <c r="A1197" s="10">
        <v>38541</v>
      </c>
      <c r="B1197" s="12">
        <f t="shared" si="54"/>
        <v>7</v>
      </c>
      <c r="C1197" s="12">
        <f t="shared" si="55"/>
        <v>2005</v>
      </c>
      <c r="D1197" s="13">
        <v>7500</v>
      </c>
      <c r="E1197" s="13">
        <v>28.773499999999999</v>
      </c>
      <c r="F1197" s="13">
        <f t="shared" si="56"/>
        <v>260.65650685526612</v>
      </c>
    </row>
    <row r="1198" spans="1:6" x14ac:dyDescent="0.25">
      <c r="A1198" s="10">
        <v>38544</v>
      </c>
      <c r="B1198" s="12">
        <f t="shared" si="54"/>
        <v>7</v>
      </c>
      <c r="C1198" s="12">
        <f t="shared" si="55"/>
        <v>2005</v>
      </c>
      <c r="D1198" s="13">
        <v>7500</v>
      </c>
      <c r="E1198" s="13">
        <v>28.71</v>
      </c>
      <c r="F1198" s="13">
        <f t="shared" si="56"/>
        <v>261.23301985370949</v>
      </c>
    </row>
    <row r="1199" spans="1:6" x14ac:dyDescent="0.25">
      <c r="A1199" s="10">
        <v>38545</v>
      </c>
      <c r="B1199" s="12">
        <f t="shared" si="54"/>
        <v>7</v>
      </c>
      <c r="C1199" s="12">
        <f t="shared" si="55"/>
        <v>2005</v>
      </c>
      <c r="D1199" s="13">
        <v>7500</v>
      </c>
      <c r="E1199" s="13">
        <v>28.58</v>
      </c>
      <c r="F1199" s="13">
        <f t="shared" si="56"/>
        <v>262.42127361791466</v>
      </c>
    </row>
    <row r="1200" spans="1:6" x14ac:dyDescent="0.25">
      <c r="A1200" s="10">
        <v>38546</v>
      </c>
      <c r="B1200" s="12">
        <f t="shared" si="54"/>
        <v>7</v>
      </c>
      <c r="C1200" s="12">
        <f t="shared" si="55"/>
        <v>2005</v>
      </c>
      <c r="D1200" s="13">
        <v>7500</v>
      </c>
      <c r="E1200" s="13">
        <v>28.642499999999998</v>
      </c>
      <c r="F1200" s="13">
        <f t="shared" si="56"/>
        <v>261.84865147944487</v>
      </c>
    </row>
    <row r="1201" spans="1:6" x14ac:dyDescent="0.25">
      <c r="A1201" s="10">
        <v>38547</v>
      </c>
      <c r="B1201" s="12">
        <f t="shared" si="54"/>
        <v>7</v>
      </c>
      <c r="C1201" s="12">
        <f t="shared" si="55"/>
        <v>2005</v>
      </c>
      <c r="D1201" s="13">
        <v>7500</v>
      </c>
      <c r="E1201" s="13">
        <v>28.662500000000001</v>
      </c>
      <c r="F1201" s="13">
        <f t="shared" si="56"/>
        <v>261.66593981683383</v>
      </c>
    </row>
    <row r="1202" spans="1:6" x14ac:dyDescent="0.25">
      <c r="A1202" s="10">
        <v>38548</v>
      </c>
      <c r="B1202" s="12">
        <f t="shared" si="54"/>
        <v>7</v>
      </c>
      <c r="C1202" s="12">
        <f t="shared" si="55"/>
        <v>2005</v>
      </c>
      <c r="D1202" s="13">
        <v>7500</v>
      </c>
      <c r="E1202" s="13">
        <v>28.6907</v>
      </c>
      <c r="F1202" s="13">
        <f t="shared" si="56"/>
        <v>261.40874917656242</v>
      </c>
    </row>
    <row r="1203" spans="1:6" x14ac:dyDescent="0.25">
      <c r="A1203" s="10">
        <v>38551</v>
      </c>
      <c r="B1203" s="12">
        <f t="shared" si="54"/>
        <v>7</v>
      </c>
      <c r="C1203" s="12">
        <f t="shared" si="55"/>
        <v>2005</v>
      </c>
      <c r="D1203" s="13">
        <v>7500</v>
      </c>
      <c r="E1203" s="13">
        <v>28.6767</v>
      </c>
      <c r="F1203" s="13">
        <f t="shared" si="56"/>
        <v>261.53636924750754</v>
      </c>
    </row>
    <row r="1204" spans="1:6" x14ac:dyDescent="0.25">
      <c r="A1204" s="10">
        <v>38552</v>
      </c>
      <c r="B1204" s="12">
        <f t="shared" si="54"/>
        <v>7</v>
      </c>
      <c r="C1204" s="12">
        <f t="shared" si="55"/>
        <v>2005</v>
      </c>
      <c r="D1204" s="13">
        <v>7500</v>
      </c>
      <c r="E1204" s="13">
        <v>28.692499999999999</v>
      </c>
      <c r="F1204" s="13">
        <f t="shared" si="56"/>
        <v>261.39234991722577</v>
      </c>
    </row>
    <row r="1205" spans="1:6" x14ac:dyDescent="0.25">
      <c r="A1205" s="10">
        <v>38553</v>
      </c>
      <c r="B1205" s="12">
        <f t="shared" si="54"/>
        <v>7</v>
      </c>
      <c r="C1205" s="12">
        <f t="shared" si="55"/>
        <v>2005</v>
      </c>
      <c r="D1205" s="13">
        <v>7500</v>
      </c>
      <c r="E1205" s="13">
        <v>28.65</v>
      </c>
      <c r="F1205" s="13">
        <f t="shared" si="56"/>
        <v>261.78010471204192</v>
      </c>
    </row>
    <row r="1206" spans="1:6" x14ac:dyDescent="0.25">
      <c r="A1206" s="10">
        <v>38554</v>
      </c>
      <c r="B1206" s="12">
        <f t="shared" si="54"/>
        <v>7</v>
      </c>
      <c r="C1206" s="12">
        <f t="shared" si="55"/>
        <v>2005</v>
      </c>
      <c r="D1206" s="13">
        <v>7500</v>
      </c>
      <c r="E1206" s="13">
        <v>28.5715</v>
      </c>
      <c r="F1206" s="13">
        <f t="shared" si="56"/>
        <v>262.49934375164059</v>
      </c>
    </row>
    <row r="1207" spans="1:6" x14ac:dyDescent="0.25">
      <c r="A1207" s="10">
        <v>38555</v>
      </c>
      <c r="B1207" s="12">
        <f t="shared" si="54"/>
        <v>7</v>
      </c>
      <c r="C1207" s="12">
        <f t="shared" si="55"/>
        <v>2005</v>
      </c>
      <c r="D1207" s="13">
        <v>7500</v>
      </c>
      <c r="E1207" s="13">
        <v>28.610299999999999</v>
      </c>
      <c r="F1207" s="13">
        <f t="shared" si="56"/>
        <v>262.14335396692803</v>
      </c>
    </row>
    <row r="1208" spans="1:6" x14ac:dyDescent="0.25">
      <c r="A1208" s="10">
        <v>38558</v>
      </c>
      <c r="B1208" s="12">
        <f t="shared" si="54"/>
        <v>7</v>
      </c>
      <c r="C1208" s="12">
        <f t="shared" si="55"/>
        <v>2005</v>
      </c>
      <c r="D1208" s="13">
        <v>7500</v>
      </c>
      <c r="E1208" s="13">
        <v>28.657699999999998</v>
      </c>
      <c r="F1208" s="13">
        <f t="shared" si="56"/>
        <v>261.70976735746416</v>
      </c>
    </row>
    <row r="1209" spans="1:6" x14ac:dyDescent="0.25">
      <c r="A1209" s="10">
        <v>38559</v>
      </c>
      <c r="B1209" s="12">
        <f t="shared" si="54"/>
        <v>7</v>
      </c>
      <c r="C1209" s="12">
        <f t="shared" si="55"/>
        <v>2005</v>
      </c>
      <c r="D1209" s="13">
        <v>7500</v>
      </c>
      <c r="E1209" s="13">
        <v>28.7361</v>
      </c>
      <c r="F1209" s="13">
        <f t="shared" si="56"/>
        <v>260.99575098917387</v>
      </c>
    </row>
    <row r="1210" spans="1:6" x14ac:dyDescent="0.25">
      <c r="A1210" s="10">
        <v>38560</v>
      </c>
      <c r="B1210" s="12">
        <f t="shared" si="54"/>
        <v>7</v>
      </c>
      <c r="C1210" s="12">
        <f t="shared" si="55"/>
        <v>2005</v>
      </c>
      <c r="D1210" s="13">
        <v>7500</v>
      </c>
      <c r="E1210" s="13">
        <v>28.696899999999999</v>
      </c>
      <c r="F1210" s="13">
        <f t="shared" si="56"/>
        <v>261.35227149970905</v>
      </c>
    </row>
    <row r="1211" spans="1:6" x14ac:dyDescent="0.25">
      <c r="A1211" s="10">
        <v>38561</v>
      </c>
      <c r="B1211" s="12">
        <f t="shared" si="54"/>
        <v>7</v>
      </c>
      <c r="C1211" s="12">
        <f t="shared" si="55"/>
        <v>2005</v>
      </c>
      <c r="D1211" s="13">
        <v>7500</v>
      </c>
      <c r="E1211" s="13">
        <v>28.661100000000001</v>
      </c>
      <c r="F1211" s="13">
        <f t="shared" si="56"/>
        <v>261.67872133309606</v>
      </c>
    </row>
    <row r="1212" spans="1:6" x14ac:dyDescent="0.25">
      <c r="A1212" s="10">
        <v>38562</v>
      </c>
      <c r="B1212" s="12">
        <f t="shared" si="54"/>
        <v>7</v>
      </c>
      <c r="C1212" s="12">
        <f t="shared" si="55"/>
        <v>2005</v>
      </c>
      <c r="D1212" s="13">
        <v>7500</v>
      </c>
      <c r="E1212" s="13">
        <v>28.611000000000001</v>
      </c>
      <c r="F1212" s="13">
        <f t="shared" si="56"/>
        <v>262.13694033763238</v>
      </c>
    </row>
    <row r="1213" spans="1:6" x14ac:dyDescent="0.25">
      <c r="A1213" s="10">
        <v>38565</v>
      </c>
      <c r="B1213" s="12">
        <f t="shared" si="54"/>
        <v>8</v>
      </c>
      <c r="C1213" s="12">
        <f t="shared" si="55"/>
        <v>2005</v>
      </c>
      <c r="D1213" s="13">
        <v>7500</v>
      </c>
      <c r="E1213" s="13">
        <v>28.567499999999999</v>
      </c>
      <c r="F1213" s="13">
        <f t="shared" si="56"/>
        <v>262.53609871357315</v>
      </c>
    </row>
    <row r="1214" spans="1:6" x14ac:dyDescent="0.25">
      <c r="A1214" s="10">
        <v>38566</v>
      </c>
      <c r="B1214" s="12">
        <f t="shared" si="54"/>
        <v>8</v>
      </c>
      <c r="C1214" s="12">
        <f t="shared" si="55"/>
        <v>2005</v>
      </c>
      <c r="D1214" s="13">
        <v>7500</v>
      </c>
      <c r="E1214" s="13">
        <v>28.565000000000001</v>
      </c>
      <c r="F1214" s="13">
        <f t="shared" si="56"/>
        <v>262.55907579205319</v>
      </c>
    </row>
    <row r="1215" spans="1:6" x14ac:dyDescent="0.25">
      <c r="A1215" s="10">
        <v>38567</v>
      </c>
      <c r="B1215" s="12">
        <f t="shared" si="54"/>
        <v>8</v>
      </c>
      <c r="C1215" s="12">
        <f t="shared" si="55"/>
        <v>2005</v>
      </c>
      <c r="D1215" s="13">
        <v>7500</v>
      </c>
      <c r="E1215" s="13">
        <v>28.482500000000002</v>
      </c>
      <c r="F1215" s="13">
        <f t="shared" si="56"/>
        <v>263.31958219959625</v>
      </c>
    </row>
    <row r="1216" spans="1:6" x14ac:dyDescent="0.25">
      <c r="A1216" s="10">
        <v>38568</v>
      </c>
      <c r="B1216" s="12">
        <f t="shared" si="54"/>
        <v>8</v>
      </c>
      <c r="C1216" s="12">
        <f t="shared" si="55"/>
        <v>2005</v>
      </c>
      <c r="D1216" s="13">
        <v>7500</v>
      </c>
      <c r="E1216" s="13">
        <v>28.454999999999998</v>
      </c>
      <c r="F1216" s="13">
        <f t="shared" si="56"/>
        <v>263.5740643120717</v>
      </c>
    </row>
    <row r="1217" spans="1:6" x14ac:dyDescent="0.25">
      <c r="A1217" s="10">
        <v>38569</v>
      </c>
      <c r="B1217" s="12">
        <f t="shared" si="54"/>
        <v>8</v>
      </c>
      <c r="C1217" s="12">
        <f t="shared" si="55"/>
        <v>2005</v>
      </c>
      <c r="D1217" s="13">
        <v>7500</v>
      </c>
      <c r="E1217" s="13">
        <v>28.41</v>
      </c>
      <c r="F1217" s="13">
        <f t="shared" si="56"/>
        <v>263.99155227032736</v>
      </c>
    </row>
    <row r="1218" spans="1:6" x14ac:dyDescent="0.25">
      <c r="A1218" s="10">
        <v>38572</v>
      </c>
      <c r="B1218" s="12">
        <f t="shared" si="54"/>
        <v>8</v>
      </c>
      <c r="C1218" s="12">
        <f t="shared" si="55"/>
        <v>2005</v>
      </c>
      <c r="D1218" s="13">
        <v>7500</v>
      </c>
      <c r="E1218" s="13">
        <v>28.395</v>
      </c>
      <c r="F1218" s="13">
        <f t="shared" si="56"/>
        <v>264.13100898045428</v>
      </c>
    </row>
    <row r="1219" spans="1:6" x14ac:dyDescent="0.25">
      <c r="A1219" s="10">
        <v>38573</v>
      </c>
      <c r="B1219" s="12">
        <f t="shared" ref="B1219:B1282" si="57">MONTH(A1219)</f>
        <v>8</v>
      </c>
      <c r="C1219" s="12">
        <f t="shared" ref="C1219:C1282" si="58">YEAR(A1219)</f>
        <v>2005</v>
      </c>
      <c r="D1219" s="13">
        <v>7500</v>
      </c>
      <c r="E1219" s="13">
        <v>28.407499999999999</v>
      </c>
      <c r="F1219" s="13">
        <f t="shared" ref="F1219:F1282" si="59">IF(D1219="","",D1219/E1219)</f>
        <v>264.01478482795039</v>
      </c>
    </row>
    <row r="1220" spans="1:6" x14ac:dyDescent="0.25">
      <c r="A1220" s="10">
        <v>38574</v>
      </c>
      <c r="B1220" s="12">
        <f t="shared" si="57"/>
        <v>8</v>
      </c>
      <c r="C1220" s="12">
        <f t="shared" si="58"/>
        <v>2005</v>
      </c>
      <c r="D1220" s="13">
        <v>7500</v>
      </c>
      <c r="E1220" s="13">
        <v>28.385000000000002</v>
      </c>
      <c r="F1220" s="13">
        <f t="shared" si="59"/>
        <v>264.22406200457988</v>
      </c>
    </row>
    <row r="1221" spans="1:6" x14ac:dyDescent="0.25">
      <c r="A1221" s="10">
        <v>38575</v>
      </c>
      <c r="B1221" s="12">
        <f t="shared" si="57"/>
        <v>8</v>
      </c>
      <c r="C1221" s="12">
        <f t="shared" si="58"/>
        <v>2005</v>
      </c>
      <c r="D1221" s="13">
        <v>7500</v>
      </c>
      <c r="E1221" s="13">
        <v>28.335000000000001</v>
      </c>
      <c r="F1221" s="13">
        <f t="shared" si="59"/>
        <v>264.69031233456855</v>
      </c>
    </row>
    <row r="1222" spans="1:6" x14ac:dyDescent="0.25">
      <c r="A1222" s="10">
        <v>38576</v>
      </c>
      <c r="B1222" s="12">
        <f t="shared" si="57"/>
        <v>8</v>
      </c>
      <c r="C1222" s="12">
        <f t="shared" si="58"/>
        <v>2005</v>
      </c>
      <c r="D1222" s="13">
        <v>7500</v>
      </c>
      <c r="E1222" s="13">
        <v>28.307500000000001</v>
      </c>
      <c r="F1222" s="13">
        <f t="shared" si="59"/>
        <v>264.94745208866908</v>
      </c>
    </row>
    <row r="1223" spans="1:6" x14ac:dyDescent="0.25">
      <c r="A1223" s="10">
        <v>38579</v>
      </c>
      <c r="B1223" s="12">
        <f t="shared" si="57"/>
        <v>8</v>
      </c>
      <c r="C1223" s="12">
        <f t="shared" si="58"/>
        <v>2005</v>
      </c>
      <c r="D1223" s="13">
        <v>7500</v>
      </c>
      <c r="E1223" s="13">
        <v>28.4175</v>
      </c>
      <c r="F1223" s="13">
        <f t="shared" si="59"/>
        <v>263.92187912377938</v>
      </c>
    </row>
    <row r="1224" spans="1:6" x14ac:dyDescent="0.25">
      <c r="A1224" s="10">
        <v>38580</v>
      </c>
      <c r="B1224" s="12">
        <f t="shared" si="57"/>
        <v>8</v>
      </c>
      <c r="C1224" s="12">
        <f t="shared" si="58"/>
        <v>2005</v>
      </c>
      <c r="D1224" s="13">
        <v>7500</v>
      </c>
      <c r="E1224" s="13">
        <v>28.45</v>
      </c>
      <c r="F1224" s="13">
        <f t="shared" si="59"/>
        <v>263.62038664323376</v>
      </c>
    </row>
    <row r="1225" spans="1:6" x14ac:dyDescent="0.25">
      <c r="A1225" s="10">
        <v>38581</v>
      </c>
      <c r="B1225" s="12">
        <f t="shared" si="57"/>
        <v>8</v>
      </c>
      <c r="C1225" s="12">
        <f t="shared" si="58"/>
        <v>2005</v>
      </c>
      <c r="D1225" s="13">
        <v>7500</v>
      </c>
      <c r="E1225" s="13">
        <v>28.465</v>
      </c>
      <c r="F1225" s="13">
        <f t="shared" si="59"/>
        <v>263.48146847005091</v>
      </c>
    </row>
    <row r="1226" spans="1:6" x14ac:dyDescent="0.25">
      <c r="A1226" s="10">
        <v>38582</v>
      </c>
      <c r="B1226" s="12">
        <f t="shared" si="57"/>
        <v>8</v>
      </c>
      <c r="C1226" s="12">
        <f t="shared" si="58"/>
        <v>2005</v>
      </c>
      <c r="D1226" s="13">
        <v>7500</v>
      </c>
      <c r="E1226" s="13">
        <v>28.574999999999999</v>
      </c>
      <c r="F1226" s="13">
        <f t="shared" si="59"/>
        <v>262.46719160104988</v>
      </c>
    </row>
    <row r="1227" spans="1:6" x14ac:dyDescent="0.25">
      <c r="A1227" s="10">
        <v>38583</v>
      </c>
      <c r="B1227" s="12">
        <f t="shared" si="57"/>
        <v>8</v>
      </c>
      <c r="C1227" s="12">
        <f t="shared" si="58"/>
        <v>2005</v>
      </c>
      <c r="D1227" s="13">
        <v>7500</v>
      </c>
      <c r="E1227" s="13">
        <v>28.59</v>
      </c>
      <c r="F1227" s="13">
        <f t="shared" si="59"/>
        <v>262.32948583420779</v>
      </c>
    </row>
    <row r="1228" spans="1:6" x14ac:dyDescent="0.25">
      <c r="A1228" s="10">
        <v>38586</v>
      </c>
      <c r="B1228" s="12">
        <f t="shared" si="57"/>
        <v>8</v>
      </c>
      <c r="C1228" s="12">
        <f t="shared" si="58"/>
        <v>2005</v>
      </c>
      <c r="D1228" s="13">
        <v>7500</v>
      </c>
      <c r="E1228" s="13">
        <v>28.54</v>
      </c>
      <c r="F1228" s="13">
        <f t="shared" si="59"/>
        <v>262.78906797477225</v>
      </c>
    </row>
    <row r="1229" spans="1:6" x14ac:dyDescent="0.25">
      <c r="A1229" s="10">
        <v>38587</v>
      </c>
      <c r="B1229" s="12">
        <f t="shared" si="57"/>
        <v>8</v>
      </c>
      <c r="C1229" s="12">
        <f t="shared" si="58"/>
        <v>2005</v>
      </c>
      <c r="D1229" s="13">
        <v>7500</v>
      </c>
      <c r="E1229" s="13">
        <v>28.561499999999999</v>
      </c>
      <c r="F1229" s="13">
        <f t="shared" si="59"/>
        <v>262.59125045953471</v>
      </c>
    </row>
    <row r="1230" spans="1:6" x14ac:dyDescent="0.25">
      <c r="A1230" s="10">
        <v>38588</v>
      </c>
      <c r="B1230" s="12">
        <f t="shared" si="57"/>
        <v>8</v>
      </c>
      <c r="C1230" s="12">
        <f t="shared" si="58"/>
        <v>2005</v>
      </c>
      <c r="D1230" s="13">
        <v>7500</v>
      </c>
      <c r="E1230" s="13">
        <v>28.47</v>
      </c>
      <c r="F1230" s="13">
        <f t="shared" si="59"/>
        <v>263.43519494204429</v>
      </c>
    </row>
    <row r="1231" spans="1:6" x14ac:dyDescent="0.25">
      <c r="A1231" s="10">
        <v>38589</v>
      </c>
      <c r="B1231" s="12">
        <f t="shared" si="57"/>
        <v>8</v>
      </c>
      <c r="C1231" s="12">
        <f t="shared" si="58"/>
        <v>2005</v>
      </c>
      <c r="D1231" s="13">
        <v>7500</v>
      </c>
      <c r="E1231" s="13">
        <v>28.465</v>
      </c>
      <c r="F1231" s="13">
        <f t="shared" si="59"/>
        <v>263.48146847005091</v>
      </c>
    </row>
    <row r="1232" spans="1:6" x14ac:dyDescent="0.25">
      <c r="A1232" s="10">
        <v>38590</v>
      </c>
      <c r="B1232" s="12">
        <f t="shared" si="57"/>
        <v>8</v>
      </c>
      <c r="C1232" s="12">
        <f t="shared" si="58"/>
        <v>2005</v>
      </c>
      <c r="D1232" s="13">
        <v>7500</v>
      </c>
      <c r="E1232" s="13">
        <v>28.43</v>
      </c>
      <c r="F1232" s="13">
        <f t="shared" si="59"/>
        <v>263.8058389025677</v>
      </c>
    </row>
    <row r="1233" spans="1:6" x14ac:dyDescent="0.25">
      <c r="A1233" s="10">
        <v>38593</v>
      </c>
      <c r="B1233" s="12">
        <f t="shared" si="57"/>
        <v>8</v>
      </c>
      <c r="C1233" s="12">
        <f t="shared" si="58"/>
        <v>2005</v>
      </c>
      <c r="D1233" s="13">
        <v>6500</v>
      </c>
      <c r="E1233" s="13">
        <v>28.482500000000002</v>
      </c>
      <c r="F1233" s="13">
        <f t="shared" si="59"/>
        <v>228.2103045729834</v>
      </c>
    </row>
    <row r="1234" spans="1:6" x14ac:dyDescent="0.25">
      <c r="A1234" s="10">
        <v>38594</v>
      </c>
      <c r="B1234" s="12">
        <f t="shared" si="57"/>
        <v>8</v>
      </c>
      <c r="C1234" s="12">
        <f t="shared" si="58"/>
        <v>2005</v>
      </c>
      <c r="D1234" s="13">
        <v>6500</v>
      </c>
      <c r="E1234" s="13">
        <v>28.568999999999999</v>
      </c>
      <c r="F1234" s="13">
        <f t="shared" si="59"/>
        <v>227.51933914382724</v>
      </c>
    </row>
    <row r="1235" spans="1:6" x14ac:dyDescent="0.25">
      <c r="A1235" s="10">
        <v>38595</v>
      </c>
      <c r="B1235" s="12">
        <f t="shared" si="57"/>
        <v>8</v>
      </c>
      <c r="C1235" s="12">
        <f t="shared" si="58"/>
        <v>2005</v>
      </c>
      <c r="D1235" s="13">
        <v>6500</v>
      </c>
      <c r="E1235" s="13">
        <v>28.487500000000001</v>
      </c>
      <c r="F1235" s="13">
        <f t="shared" si="59"/>
        <v>228.17025010969724</v>
      </c>
    </row>
    <row r="1236" spans="1:6" x14ac:dyDescent="0.25">
      <c r="A1236" s="10">
        <v>38596</v>
      </c>
      <c r="B1236" s="12">
        <f t="shared" si="57"/>
        <v>9</v>
      </c>
      <c r="C1236" s="12">
        <f t="shared" si="58"/>
        <v>2005</v>
      </c>
      <c r="D1236" s="13">
        <v>6500</v>
      </c>
      <c r="E1236" s="13">
        <v>28.42</v>
      </c>
      <c r="F1236" s="13">
        <f t="shared" si="59"/>
        <v>228.7121745249824</v>
      </c>
    </row>
    <row r="1237" spans="1:6" x14ac:dyDescent="0.25">
      <c r="A1237" s="10">
        <v>38597</v>
      </c>
      <c r="B1237" s="12">
        <f t="shared" si="57"/>
        <v>9</v>
      </c>
      <c r="C1237" s="12">
        <f t="shared" si="58"/>
        <v>2005</v>
      </c>
      <c r="D1237" s="13">
        <v>6500</v>
      </c>
      <c r="E1237" s="13">
        <v>28.274999999999999</v>
      </c>
      <c r="F1237" s="13">
        <f t="shared" si="59"/>
        <v>229.88505747126439</v>
      </c>
    </row>
    <row r="1238" spans="1:6" x14ac:dyDescent="0.25">
      <c r="A1238" s="10">
        <v>38601</v>
      </c>
      <c r="B1238" s="12">
        <f t="shared" si="57"/>
        <v>9</v>
      </c>
      <c r="C1238" s="12">
        <f t="shared" si="58"/>
        <v>2005</v>
      </c>
      <c r="D1238" s="13">
        <v>6450</v>
      </c>
      <c r="E1238" s="13">
        <v>28.2225</v>
      </c>
      <c r="F1238" s="13">
        <f t="shared" si="59"/>
        <v>228.54105766675525</v>
      </c>
    </row>
    <row r="1239" spans="1:6" x14ac:dyDescent="0.25">
      <c r="A1239" s="10">
        <v>38602</v>
      </c>
      <c r="B1239" s="12">
        <f t="shared" si="57"/>
        <v>9</v>
      </c>
      <c r="C1239" s="12">
        <f t="shared" si="58"/>
        <v>2005</v>
      </c>
      <c r="D1239" s="13">
        <v>6450</v>
      </c>
      <c r="E1239" s="13">
        <v>28.237500000000001</v>
      </c>
      <c r="F1239" s="13">
        <f t="shared" si="59"/>
        <v>228.41965471447543</v>
      </c>
    </row>
    <row r="1240" spans="1:6" x14ac:dyDescent="0.25">
      <c r="A1240" s="10">
        <v>38603</v>
      </c>
      <c r="B1240" s="12">
        <f t="shared" si="57"/>
        <v>9</v>
      </c>
      <c r="C1240" s="12">
        <f t="shared" si="58"/>
        <v>2005</v>
      </c>
      <c r="D1240" s="13">
        <v>6450</v>
      </c>
      <c r="E1240" s="13">
        <v>28.252500000000001</v>
      </c>
      <c r="F1240" s="13">
        <f t="shared" si="59"/>
        <v>228.29838067427661</v>
      </c>
    </row>
    <row r="1241" spans="1:6" x14ac:dyDescent="0.25">
      <c r="A1241" s="10">
        <v>38604</v>
      </c>
      <c r="B1241" s="12">
        <f t="shared" si="57"/>
        <v>9</v>
      </c>
      <c r="C1241" s="12">
        <f t="shared" si="58"/>
        <v>2005</v>
      </c>
      <c r="D1241" s="13">
        <v>6450</v>
      </c>
      <c r="E1241" s="13">
        <v>28.265000000000001</v>
      </c>
      <c r="F1241" s="13">
        <f t="shared" si="59"/>
        <v>228.19741730054838</v>
      </c>
    </row>
    <row r="1242" spans="1:6" x14ac:dyDescent="0.25">
      <c r="A1242" s="10">
        <v>38607</v>
      </c>
      <c r="B1242" s="12">
        <f t="shared" si="57"/>
        <v>9</v>
      </c>
      <c r="C1242" s="12">
        <f t="shared" si="58"/>
        <v>2005</v>
      </c>
      <c r="D1242" s="13">
        <v>6500</v>
      </c>
      <c r="E1242" s="13">
        <v>28.385000000000002</v>
      </c>
      <c r="F1242" s="13">
        <f t="shared" si="59"/>
        <v>228.99418707063589</v>
      </c>
    </row>
    <row r="1243" spans="1:6" x14ac:dyDescent="0.25">
      <c r="A1243" s="10">
        <v>38608</v>
      </c>
      <c r="B1243" s="12">
        <f t="shared" si="57"/>
        <v>9</v>
      </c>
      <c r="C1243" s="12">
        <f t="shared" si="58"/>
        <v>2005</v>
      </c>
      <c r="D1243" s="13">
        <v>6500</v>
      </c>
      <c r="E1243" s="13">
        <v>28.41</v>
      </c>
      <c r="F1243" s="13">
        <f t="shared" si="59"/>
        <v>228.7926786342837</v>
      </c>
    </row>
    <row r="1244" spans="1:6" x14ac:dyDescent="0.25">
      <c r="A1244" s="10">
        <v>38609</v>
      </c>
      <c r="B1244" s="12">
        <f t="shared" si="57"/>
        <v>9</v>
      </c>
      <c r="C1244" s="12">
        <f t="shared" si="58"/>
        <v>2005</v>
      </c>
      <c r="D1244" s="13">
        <v>6500</v>
      </c>
      <c r="E1244" s="13">
        <v>28.2925</v>
      </c>
      <c r="F1244" s="13">
        <f t="shared" si="59"/>
        <v>229.74286471679773</v>
      </c>
    </row>
    <row r="1245" spans="1:6" x14ac:dyDescent="0.25">
      <c r="A1245" s="10">
        <v>38610</v>
      </c>
      <c r="B1245" s="12">
        <f t="shared" si="57"/>
        <v>9</v>
      </c>
      <c r="C1245" s="12">
        <f t="shared" si="58"/>
        <v>2005</v>
      </c>
      <c r="D1245" s="13">
        <v>6500</v>
      </c>
      <c r="E1245" s="13">
        <v>28.363499999999998</v>
      </c>
      <c r="F1245" s="13">
        <f t="shared" si="59"/>
        <v>229.16776843478416</v>
      </c>
    </row>
    <row r="1246" spans="1:6" x14ac:dyDescent="0.25">
      <c r="A1246" s="10">
        <v>38611</v>
      </c>
      <c r="B1246" s="12">
        <f t="shared" si="57"/>
        <v>9</v>
      </c>
      <c r="C1246" s="12">
        <f t="shared" si="58"/>
        <v>2005</v>
      </c>
      <c r="D1246" s="13">
        <v>6500</v>
      </c>
      <c r="E1246" s="13">
        <v>28.37</v>
      </c>
      <c r="F1246" s="13">
        <f t="shared" si="59"/>
        <v>229.11526260133942</v>
      </c>
    </row>
    <row r="1247" spans="1:6" x14ac:dyDescent="0.25">
      <c r="A1247" s="10">
        <v>38614</v>
      </c>
      <c r="B1247" s="12">
        <f t="shared" si="57"/>
        <v>9</v>
      </c>
      <c r="C1247" s="12">
        <f t="shared" si="58"/>
        <v>2005</v>
      </c>
      <c r="D1247" s="13">
        <v>6500</v>
      </c>
      <c r="E1247" s="13">
        <v>28.42</v>
      </c>
      <c r="F1247" s="13">
        <f t="shared" si="59"/>
        <v>228.7121745249824</v>
      </c>
    </row>
    <row r="1248" spans="1:6" x14ac:dyDescent="0.25">
      <c r="A1248" s="10">
        <v>38615</v>
      </c>
      <c r="B1248" s="12">
        <f t="shared" si="57"/>
        <v>9</v>
      </c>
      <c r="C1248" s="12">
        <f t="shared" si="58"/>
        <v>2005</v>
      </c>
      <c r="D1248" s="13">
        <v>6500</v>
      </c>
      <c r="E1248" s="13">
        <v>28.383199999999999</v>
      </c>
      <c r="F1248" s="13">
        <f t="shared" si="59"/>
        <v>229.00870937737818</v>
      </c>
    </row>
    <row r="1249" spans="1:6" x14ac:dyDescent="0.25">
      <c r="A1249" s="10">
        <v>38616</v>
      </c>
      <c r="B1249" s="12">
        <f t="shared" si="57"/>
        <v>9</v>
      </c>
      <c r="C1249" s="12">
        <f t="shared" si="58"/>
        <v>2005</v>
      </c>
      <c r="D1249" s="13">
        <v>6500</v>
      </c>
      <c r="E1249" s="13">
        <v>28.3475</v>
      </c>
      <c r="F1249" s="13">
        <f t="shared" si="59"/>
        <v>229.29711614780845</v>
      </c>
    </row>
    <row r="1250" spans="1:6" x14ac:dyDescent="0.25">
      <c r="A1250" s="10">
        <v>38617</v>
      </c>
      <c r="B1250" s="12">
        <f t="shared" si="57"/>
        <v>9</v>
      </c>
      <c r="C1250" s="12">
        <f t="shared" si="58"/>
        <v>2005</v>
      </c>
      <c r="D1250" s="13">
        <v>6500</v>
      </c>
      <c r="E1250" s="13">
        <v>28.385000000000002</v>
      </c>
      <c r="F1250" s="13">
        <f t="shared" si="59"/>
        <v>228.99418707063589</v>
      </c>
    </row>
    <row r="1251" spans="1:6" x14ac:dyDescent="0.25">
      <c r="A1251" s="10">
        <v>38618</v>
      </c>
      <c r="B1251" s="12">
        <f t="shared" si="57"/>
        <v>9</v>
      </c>
      <c r="C1251" s="12">
        <f t="shared" si="58"/>
        <v>2005</v>
      </c>
      <c r="D1251" s="13">
        <v>6500</v>
      </c>
      <c r="E1251" s="13">
        <v>28.471800000000002</v>
      </c>
      <c r="F1251" s="13">
        <f t="shared" si="59"/>
        <v>228.29606839047759</v>
      </c>
    </row>
    <row r="1252" spans="1:6" x14ac:dyDescent="0.25">
      <c r="A1252" s="10">
        <v>38621</v>
      </c>
      <c r="B1252" s="12">
        <f t="shared" si="57"/>
        <v>9</v>
      </c>
      <c r="C1252" s="12">
        <f t="shared" si="58"/>
        <v>2005</v>
      </c>
      <c r="D1252" s="13">
        <v>6150</v>
      </c>
      <c r="E1252" s="13">
        <v>28.552499999999998</v>
      </c>
      <c r="F1252" s="13">
        <f t="shared" si="59"/>
        <v>215.39269766220121</v>
      </c>
    </row>
    <row r="1253" spans="1:6" x14ac:dyDescent="0.25">
      <c r="A1253" s="10">
        <v>38622</v>
      </c>
      <c r="B1253" s="12">
        <f t="shared" si="57"/>
        <v>9</v>
      </c>
      <c r="C1253" s="12">
        <f t="shared" si="58"/>
        <v>2005</v>
      </c>
      <c r="D1253" s="13">
        <v>6150</v>
      </c>
      <c r="E1253" s="13">
        <v>28.54</v>
      </c>
      <c r="F1253" s="13">
        <f t="shared" si="59"/>
        <v>215.48703573931326</v>
      </c>
    </row>
    <row r="1254" spans="1:6" x14ac:dyDescent="0.25">
      <c r="A1254" s="10">
        <v>38623</v>
      </c>
      <c r="B1254" s="12">
        <f t="shared" si="57"/>
        <v>9</v>
      </c>
      <c r="C1254" s="12">
        <f t="shared" si="58"/>
        <v>2005</v>
      </c>
      <c r="D1254" s="13">
        <v>6150</v>
      </c>
      <c r="E1254" s="13">
        <v>28.5227</v>
      </c>
      <c r="F1254" s="13">
        <f t="shared" si="59"/>
        <v>215.61773604883129</v>
      </c>
    </row>
    <row r="1255" spans="1:6" x14ac:dyDescent="0.25">
      <c r="A1255" s="10">
        <v>38624</v>
      </c>
      <c r="B1255" s="12">
        <f t="shared" si="57"/>
        <v>9</v>
      </c>
      <c r="C1255" s="12">
        <f t="shared" si="58"/>
        <v>2005</v>
      </c>
      <c r="D1255" s="13">
        <v>6150</v>
      </c>
      <c r="E1255" s="13">
        <v>28.535</v>
      </c>
      <c r="F1255" s="13">
        <f t="shared" si="59"/>
        <v>215.52479411249342</v>
      </c>
    </row>
    <row r="1256" spans="1:6" x14ac:dyDescent="0.25">
      <c r="A1256" s="10">
        <v>38625</v>
      </c>
      <c r="B1256" s="12">
        <f t="shared" si="57"/>
        <v>9</v>
      </c>
      <c r="C1256" s="12">
        <f t="shared" si="58"/>
        <v>2005</v>
      </c>
      <c r="D1256" s="13">
        <v>6150</v>
      </c>
      <c r="E1256" s="13">
        <v>28.495000000000001</v>
      </c>
      <c r="F1256" s="13">
        <f t="shared" si="59"/>
        <v>215.82733812949638</v>
      </c>
    </row>
    <row r="1257" spans="1:6" x14ac:dyDescent="0.25">
      <c r="A1257" s="10">
        <v>38628</v>
      </c>
      <c r="B1257" s="12">
        <f t="shared" si="57"/>
        <v>10</v>
      </c>
      <c r="C1257" s="12">
        <f t="shared" si="58"/>
        <v>2005</v>
      </c>
      <c r="D1257" s="13">
        <v>5600</v>
      </c>
      <c r="E1257" s="13">
        <v>28.6615</v>
      </c>
      <c r="F1257" s="13">
        <f t="shared" si="59"/>
        <v>195.38405177677373</v>
      </c>
    </row>
    <row r="1258" spans="1:6" x14ac:dyDescent="0.25">
      <c r="A1258" s="10">
        <v>38629</v>
      </c>
      <c r="B1258" s="12">
        <f t="shared" si="57"/>
        <v>10</v>
      </c>
      <c r="C1258" s="12">
        <f t="shared" si="58"/>
        <v>2005</v>
      </c>
      <c r="D1258" s="13">
        <v>5600</v>
      </c>
      <c r="E1258" s="13">
        <v>28.62</v>
      </c>
      <c r="F1258" s="13">
        <f t="shared" si="59"/>
        <v>195.66736547868624</v>
      </c>
    </row>
    <row r="1259" spans="1:6" x14ac:dyDescent="0.25">
      <c r="A1259" s="10">
        <v>38630</v>
      </c>
      <c r="B1259" s="12">
        <f t="shared" si="57"/>
        <v>10</v>
      </c>
      <c r="C1259" s="12">
        <f t="shared" si="58"/>
        <v>2005</v>
      </c>
      <c r="D1259" s="13">
        <v>5600</v>
      </c>
      <c r="E1259" s="13">
        <v>28.555599999999998</v>
      </c>
      <c r="F1259" s="13">
        <f t="shared" si="59"/>
        <v>196.10864418888065</v>
      </c>
    </row>
    <row r="1260" spans="1:6" x14ac:dyDescent="0.25">
      <c r="A1260" s="10">
        <v>38631</v>
      </c>
      <c r="B1260" s="12">
        <f t="shared" si="57"/>
        <v>10</v>
      </c>
      <c r="C1260" s="12">
        <f t="shared" si="58"/>
        <v>2005</v>
      </c>
      <c r="D1260" s="13">
        <v>5600</v>
      </c>
      <c r="E1260" s="13">
        <v>28.487500000000001</v>
      </c>
      <c r="F1260" s="13">
        <f t="shared" si="59"/>
        <v>196.57744624835453</v>
      </c>
    </row>
    <row r="1261" spans="1:6" x14ac:dyDescent="0.25">
      <c r="A1261" s="10">
        <v>38632</v>
      </c>
      <c r="B1261" s="12">
        <f t="shared" si="57"/>
        <v>10</v>
      </c>
      <c r="C1261" s="12">
        <f t="shared" si="58"/>
        <v>2005</v>
      </c>
      <c r="D1261" s="13">
        <v>5600</v>
      </c>
      <c r="E1261" s="13">
        <v>28.493400000000001</v>
      </c>
      <c r="F1261" s="13">
        <f t="shared" si="59"/>
        <v>196.53674184197041</v>
      </c>
    </row>
    <row r="1262" spans="1:6" x14ac:dyDescent="0.25">
      <c r="A1262" s="10">
        <v>38635</v>
      </c>
      <c r="B1262" s="12">
        <f t="shared" si="57"/>
        <v>10</v>
      </c>
      <c r="C1262" s="12">
        <f t="shared" si="58"/>
        <v>2005</v>
      </c>
      <c r="D1262" s="13">
        <v>5300</v>
      </c>
      <c r="E1262" s="13">
        <v>28.520399999999999</v>
      </c>
      <c r="F1262" s="13">
        <f t="shared" si="59"/>
        <v>185.8318957658378</v>
      </c>
    </row>
    <row r="1263" spans="1:6" x14ac:dyDescent="0.25">
      <c r="A1263" s="10">
        <v>38636</v>
      </c>
      <c r="B1263" s="12">
        <f t="shared" si="57"/>
        <v>10</v>
      </c>
      <c r="C1263" s="12">
        <f t="shared" si="58"/>
        <v>2005</v>
      </c>
      <c r="D1263" s="13">
        <v>5300</v>
      </c>
      <c r="E1263" s="13">
        <v>28.584800000000001</v>
      </c>
      <c r="F1263" s="13">
        <f t="shared" si="59"/>
        <v>185.41322660994655</v>
      </c>
    </row>
    <row r="1264" spans="1:6" x14ac:dyDescent="0.25">
      <c r="A1264" s="10">
        <v>38637</v>
      </c>
      <c r="B1264" s="12">
        <f t="shared" si="57"/>
        <v>10</v>
      </c>
      <c r="C1264" s="12">
        <f t="shared" si="58"/>
        <v>2005</v>
      </c>
      <c r="D1264" s="13">
        <v>5300</v>
      </c>
      <c r="E1264" s="13">
        <v>28.57</v>
      </c>
      <c r="F1264" s="13">
        <f t="shared" si="59"/>
        <v>185.50927546377318</v>
      </c>
    </row>
    <row r="1265" spans="1:6" x14ac:dyDescent="0.25">
      <c r="A1265" s="10">
        <v>38638</v>
      </c>
      <c r="B1265" s="12">
        <f t="shared" si="57"/>
        <v>10</v>
      </c>
      <c r="C1265" s="12">
        <f t="shared" si="58"/>
        <v>2005</v>
      </c>
      <c r="D1265" s="13">
        <v>5300</v>
      </c>
      <c r="E1265" s="13">
        <v>28.612300000000001</v>
      </c>
      <c r="F1265" s="13">
        <f t="shared" si="59"/>
        <v>185.23502130202743</v>
      </c>
    </row>
    <row r="1266" spans="1:6" x14ac:dyDescent="0.25">
      <c r="A1266" s="10">
        <v>38639</v>
      </c>
      <c r="B1266" s="12">
        <f t="shared" si="57"/>
        <v>10</v>
      </c>
      <c r="C1266" s="12">
        <f t="shared" si="58"/>
        <v>2005</v>
      </c>
      <c r="D1266" s="13">
        <v>5300</v>
      </c>
      <c r="E1266" s="13">
        <v>28.537500000000001</v>
      </c>
      <c r="F1266" s="13">
        <f t="shared" si="59"/>
        <v>185.72054314498467</v>
      </c>
    </row>
    <row r="1267" spans="1:6" x14ac:dyDescent="0.25">
      <c r="A1267" s="10">
        <v>38642</v>
      </c>
      <c r="B1267" s="12">
        <f t="shared" si="57"/>
        <v>10</v>
      </c>
      <c r="C1267" s="12">
        <f t="shared" si="58"/>
        <v>2005</v>
      </c>
      <c r="D1267" s="13">
        <v>5150</v>
      </c>
      <c r="E1267" s="13">
        <v>28.569700000000001</v>
      </c>
      <c r="F1267" s="13">
        <f t="shared" si="59"/>
        <v>180.26090578479997</v>
      </c>
    </row>
    <row r="1268" spans="1:6" x14ac:dyDescent="0.25">
      <c r="A1268" s="10">
        <v>38643</v>
      </c>
      <c r="B1268" s="12">
        <f t="shared" si="57"/>
        <v>10</v>
      </c>
      <c r="C1268" s="12">
        <f t="shared" si="58"/>
        <v>2005</v>
      </c>
      <c r="D1268" s="13">
        <v>5150</v>
      </c>
      <c r="E1268" s="13">
        <v>28.6174</v>
      </c>
      <c r="F1268" s="13">
        <f t="shared" si="59"/>
        <v>179.9604436461733</v>
      </c>
    </row>
    <row r="1269" spans="1:6" x14ac:dyDescent="0.25">
      <c r="A1269" s="10">
        <v>38644</v>
      </c>
      <c r="B1269" s="12">
        <f t="shared" si="57"/>
        <v>10</v>
      </c>
      <c r="C1269" s="12">
        <f t="shared" si="58"/>
        <v>2005</v>
      </c>
      <c r="D1269" s="13">
        <v>5150</v>
      </c>
      <c r="E1269" s="13">
        <v>28.608799999999999</v>
      </c>
      <c r="F1269" s="13">
        <f t="shared" si="59"/>
        <v>180.01454098039764</v>
      </c>
    </row>
    <row r="1270" spans="1:6" x14ac:dyDescent="0.25">
      <c r="A1270" s="10">
        <v>38645</v>
      </c>
      <c r="B1270" s="12">
        <f t="shared" si="57"/>
        <v>10</v>
      </c>
      <c r="C1270" s="12">
        <f t="shared" si="58"/>
        <v>2005</v>
      </c>
      <c r="D1270" s="13">
        <v>5150</v>
      </c>
      <c r="E1270" s="13">
        <v>28.609100000000002</v>
      </c>
      <c r="F1270" s="13">
        <f t="shared" si="59"/>
        <v>180.01265331660204</v>
      </c>
    </row>
    <row r="1271" spans="1:6" x14ac:dyDescent="0.25">
      <c r="A1271" s="10">
        <v>38646</v>
      </c>
      <c r="B1271" s="12">
        <f t="shared" si="57"/>
        <v>10</v>
      </c>
      <c r="C1271" s="12">
        <f t="shared" si="58"/>
        <v>2005</v>
      </c>
      <c r="D1271" s="13">
        <v>5150</v>
      </c>
      <c r="E1271" s="13">
        <v>28.6525</v>
      </c>
      <c r="F1271" s="13">
        <f t="shared" si="59"/>
        <v>179.73998778466103</v>
      </c>
    </row>
    <row r="1272" spans="1:6" x14ac:dyDescent="0.25">
      <c r="A1272" s="10">
        <v>38649</v>
      </c>
      <c r="B1272" s="12">
        <f t="shared" si="57"/>
        <v>10</v>
      </c>
      <c r="C1272" s="12">
        <f t="shared" si="58"/>
        <v>2005</v>
      </c>
      <c r="D1272" s="13">
        <v>4750</v>
      </c>
      <c r="E1272" s="13">
        <v>28.576799999999999</v>
      </c>
      <c r="F1272" s="13">
        <f t="shared" si="59"/>
        <v>166.21875087483554</v>
      </c>
    </row>
    <row r="1273" spans="1:6" x14ac:dyDescent="0.25">
      <c r="A1273" s="10">
        <v>38650</v>
      </c>
      <c r="B1273" s="12">
        <f t="shared" si="57"/>
        <v>10</v>
      </c>
      <c r="C1273" s="12">
        <f t="shared" si="58"/>
        <v>2005</v>
      </c>
      <c r="D1273" s="13">
        <v>4750</v>
      </c>
      <c r="E1273" s="13">
        <v>28.47</v>
      </c>
      <c r="F1273" s="13">
        <f t="shared" si="59"/>
        <v>166.84229012996136</v>
      </c>
    </row>
    <row r="1274" spans="1:6" x14ac:dyDescent="0.25">
      <c r="A1274" s="10">
        <v>38651</v>
      </c>
      <c r="B1274" s="12">
        <f t="shared" si="57"/>
        <v>10</v>
      </c>
      <c r="C1274" s="12">
        <f t="shared" si="58"/>
        <v>2005</v>
      </c>
      <c r="D1274" s="13">
        <v>4750</v>
      </c>
      <c r="E1274" s="13">
        <v>28.497399999999999</v>
      </c>
      <c r="F1274" s="13">
        <f t="shared" si="59"/>
        <v>166.68187273224927</v>
      </c>
    </row>
    <row r="1275" spans="1:6" x14ac:dyDescent="0.25">
      <c r="A1275" s="10">
        <v>38652</v>
      </c>
      <c r="B1275" s="12">
        <f t="shared" si="57"/>
        <v>10</v>
      </c>
      <c r="C1275" s="12">
        <f t="shared" si="58"/>
        <v>2005</v>
      </c>
      <c r="D1275" s="13">
        <v>4750</v>
      </c>
      <c r="E1275" s="13">
        <v>28.4175</v>
      </c>
      <c r="F1275" s="13">
        <f t="shared" si="59"/>
        <v>167.15052344506026</v>
      </c>
    </row>
    <row r="1276" spans="1:6" x14ac:dyDescent="0.25">
      <c r="A1276" s="10">
        <v>38653</v>
      </c>
      <c r="B1276" s="12">
        <f t="shared" si="57"/>
        <v>10</v>
      </c>
      <c r="C1276" s="12">
        <f t="shared" si="58"/>
        <v>2005</v>
      </c>
      <c r="D1276" s="13">
        <v>4750</v>
      </c>
      <c r="E1276" s="13">
        <v>28.45</v>
      </c>
      <c r="F1276" s="13">
        <f t="shared" si="59"/>
        <v>166.95957820738138</v>
      </c>
    </row>
    <row r="1277" spans="1:6" x14ac:dyDescent="0.25">
      <c r="A1277" s="10">
        <v>38656</v>
      </c>
      <c r="B1277" s="12">
        <f t="shared" si="57"/>
        <v>10</v>
      </c>
      <c r="C1277" s="12">
        <f t="shared" si="58"/>
        <v>2005</v>
      </c>
      <c r="D1277" s="13">
        <v>4750</v>
      </c>
      <c r="E1277" s="13">
        <v>28.555</v>
      </c>
      <c r="F1277" s="13">
        <f t="shared" si="59"/>
        <v>166.34564874803013</v>
      </c>
    </row>
    <row r="1278" spans="1:6" x14ac:dyDescent="0.25">
      <c r="A1278" s="10">
        <v>38657</v>
      </c>
      <c r="B1278" s="12">
        <f t="shared" si="57"/>
        <v>11</v>
      </c>
      <c r="C1278" s="12">
        <f t="shared" si="58"/>
        <v>2005</v>
      </c>
      <c r="D1278" s="13">
        <v>4750</v>
      </c>
      <c r="E1278" s="13">
        <v>28.68</v>
      </c>
      <c r="F1278" s="13">
        <f t="shared" si="59"/>
        <v>165.62064156206415</v>
      </c>
    </row>
    <row r="1279" spans="1:6" x14ac:dyDescent="0.25">
      <c r="A1279" s="10">
        <v>38658</v>
      </c>
      <c r="B1279" s="12">
        <f t="shared" si="57"/>
        <v>11</v>
      </c>
      <c r="C1279" s="12">
        <f t="shared" si="58"/>
        <v>2005</v>
      </c>
      <c r="D1279" s="13">
        <v>4750</v>
      </c>
      <c r="E1279" s="13">
        <v>28.5427</v>
      </c>
      <c r="F1279" s="13">
        <f t="shared" si="59"/>
        <v>166.41733262795742</v>
      </c>
    </row>
    <row r="1280" spans="1:6" x14ac:dyDescent="0.25">
      <c r="A1280" s="10">
        <v>38659</v>
      </c>
      <c r="B1280" s="12">
        <f t="shared" si="57"/>
        <v>11</v>
      </c>
      <c r="C1280" s="12">
        <f t="shared" si="58"/>
        <v>2005</v>
      </c>
      <c r="D1280" s="13">
        <v>4750</v>
      </c>
      <c r="E1280" s="13">
        <v>28.574400000000001</v>
      </c>
      <c r="F1280" s="13">
        <f t="shared" si="59"/>
        <v>166.232711797973</v>
      </c>
    </row>
    <row r="1281" spans="1:6" x14ac:dyDescent="0.25">
      <c r="A1281" s="10">
        <v>38660</v>
      </c>
      <c r="B1281" s="12">
        <f t="shared" si="57"/>
        <v>11</v>
      </c>
      <c r="C1281" s="12">
        <f t="shared" si="58"/>
        <v>2005</v>
      </c>
      <c r="D1281" s="13">
        <v>4750</v>
      </c>
      <c r="E1281" s="13">
        <v>28.574400000000001</v>
      </c>
      <c r="F1281" s="13">
        <f t="shared" si="59"/>
        <v>166.232711797973</v>
      </c>
    </row>
    <row r="1282" spans="1:6" x14ac:dyDescent="0.25">
      <c r="A1282" s="10">
        <v>38663</v>
      </c>
      <c r="B1282" s="12">
        <f t="shared" si="57"/>
        <v>11</v>
      </c>
      <c r="C1282" s="12">
        <f t="shared" si="58"/>
        <v>2005</v>
      </c>
      <c r="D1282" s="13">
        <v>4650</v>
      </c>
      <c r="E1282" s="13">
        <v>28.78</v>
      </c>
      <c r="F1282" s="13">
        <f t="shared" si="59"/>
        <v>161.57053509381515</v>
      </c>
    </row>
    <row r="1283" spans="1:6" x14ac:dyDescent="0.25">
      <c r="A1283" s="10">
        <v>38664</v>
      </c>
      <c r="B1283" s="12">
        <f t="shared" ref="B1283:B1346" si="60">MONTH(A1283)</f>
        <v>11</v>
      </c>
      <c r="C1283" s="12">
        <f t="shared" ref="C1283:C1346" si="61">YEAR(A1283)</f>
        <v>2005</v>
      </c>
      <c r="D1283" s="13">
        <v>4650</v>
      </c>
      <c r="E1283" s="13">
        <v>28.852499999999999</v>
      </c>
      <c r="F1283" s="13">
        <f t="shared" ref="F1283:F1346" si="62">IF(D1283="","",D1283/E1283)</f>
        <v>161.16454380036393</v>
      </c>
    </row>
    <row r="1284" spans="1:6" x14ac:dyDescent="0.25">
      <c r="A1284" s="10">
        <v>38665</v>
      </c>
      <c r="B1284" s="12">
        <f t="shared" si="60"/>
        <v>11</v>
      </c>
      <c r="C1284" s="12">
        <f t="shared" si="61"/>
        <v>2005</v>
      </c>
      <c r="D1284" s="13">
        <v>4650</v>
      </c>
      <c r="E1284" s="13">
        <v>28.842500000000001</v>
      </c>
      <c r="F1284" s="13">
        <f t="shared" si="62"/>
        <v>161.22042125335875</v>
      </c>
    </row>
    <row r="1285" spans="1:6" x14ac:dyDescent="0.25">
      <c r="A1285" s="10">
        <v>38666</v>
      </c>
      <c r="B1285" s="12">
        <f t="shared" si="60"/>
        <v>11</v>
      </c>
      <c r="C1285" s="12">
        <f t="shared" si="61"/>
        <v>2005</v>
      </c>
      <c r="D1285" s="13">
        <v>4650</v>
      </c>
      <c r="E1285" s="13">
        <v>28.837499999999999</v>
      </c>
      <c r="F1285" s="13">
        <f t="shared" si="62"/>
        <v>161.24837451235371</v>
      </c>
    </row>
    <row r="1286" spans="1:6" x14ac:dyDescent="0.25">
      <c r="A1286" s="10">
        <v>38667</v>
      </c>
      <c r="B1286" s="12">
        <f t="shared" si="60"/>
        <v>11</v>
      </c>
      <c r="C1286" s="12">
        <f t="shared" si="61"/>
        <v>2005</v>
      </c>
      <c r="D1286" s="13">
        <v>4650</v>
      </c>
      <c r="E1286" s="13">
        <v>28.865400000000001</v>
      </c>
      <c r="F1286" s="13">
        <f t="shared" si="62"/>
        <v>161.09251907127563</v>
      </c>
    </row>
    <row r="1287" spans="1:6" x14ac:dyDescent="0.25">
      <c r="A1287" s="10">
        <v>38670</v>
      </c>
      <c r="B1287" s="12">
        <f t="shared" si="60"/>
        <v>11</v>
      </c>
      <c r="C1287" s="12">
        <f t="shared" si="61"/>
        <v>2005</v>
      </c>
      <c r="D1287" s="13">
        <v>4650</v>
      </c>
      <c r="E1287" s="13">
        <v>28.878799999999998</v>
      </c>
      <c r="F1287" s="13">
        <f t="shared" si="62"/>
        <v>161.0177708215023</v>
      </c>
    </row>
    <row r="1288" spans="1:6" x14ac:dyDescent="0.25">
      <c r="A1288" s="10">
        <v>38671</v>
      </c>
      <c r="B1288" s="12">
        <f t="shared" si="60"/>
        <v>11</v>
      </c>
      <c r="C1288" s="12">
        <f t="shared" si="61"/>
        <v>2005</v>
      </c>
      <c r="D1288" s="13">
        <v>4650</v>
      </c>
      <c r="E1288" s="13">
        <v>28.8841</v>
      </c>
      <c r="F1288" s="13">
        <f t="shared" si="62"/>
        <v>160.9882253558186</v>
      </c>
    </row>
    <row r="1289" spans="1:6" x14ac:dyDescent="0.25">
      <c r="A1289" s="10">
        <v>38672</v>
      </c>
      <c r="B1289" s="12">
        <f t="shared" si="60"/>
        <v>11</v>
      </c>
      <c r="C1289" s="12">
        <f t="shared" si="61"/>
        <v>2005</v>
      </c>
      <c r="D1289" s="13">
        <v>4650</v>
      </c>
      <c r="E1289" s="13">
        <v>28.882899999999999</v>
      </c>
      <c r="F1289" s="13">
        <f t="shared" si="62"/>
        <v>160.99491394562182</v>
      </c>
    </row>
    <row r="1290" spans="1:6" x14ac:dyDescent="0.25">
      <c r="A1290" s="10">
        <v>38673</v>
      </c>
      <c r="B1290" s="12">
        <f t="shared" si="60"/>
        <v>11</v>
      </c>
      <c r="C1290" s="12">
        <f t="shared" si="61"/>
        <v>2005</v>
      </c>
      <c r="D1290" s="13">
        <v>4650</v>
      </c>
      <c r="E1290" s="13">
        <v>28.823799999999999</v>
      </c>
      <c r="F1290" s="13">
        <f t="shared" si="62"/>
        <v>161.32501613250162</v>
      </c>
    </row>
    <row r="1291" spans="1:6" x14ac:dyDescent="0.25">
      <c r="A1291" s="10">
        <v>38674</v>
      </c>
      <c r="B1291" s="12">
        <f t="shared" si="60"/>
        <v>11</v>
      </c>
      <c r="C1291" s="12">
        <f t="shared" si="61"/>
        <v>2005</v>
      </c>
      <c r="D1291" s="13">
        <v>4650</v>
      </c>
      <c r="E1291" s="13">
        <v>28.84</v>
      </c>
      <c r="F1291" s="13">
        <f t="shared" si="62"/>
        <v>161.23439667128989</v>
      </c>
    </row>
    <row r="1292" spans="1:6" x14ac:dyDescent="0.25">
      <c r="A1292" s="10">
        <v>38677</v>
      </c>
      <c r="B1292" s="12">
        <f t="shared" si="60"/>
        <v>11</v>
      </c>
      <c r="C1292" s="12">
        <f t="shared" si="61"/>
        <v>2005</v>
      </c>
      <c r="D1292" s="13">
        <v>4650</v>
      </c>
      <c r="E1292" s="13">
        <v>28.715</v>
      </c>
      <c r="F1292" s="13">
        <f t="shared" si="62"/>
        <v>161.93627024203377</v>
      </c>
    </row>
    <row r="1293" spans="1:6" x14ac:dyDescent="0.25">
      <c r="A1293" s="10">
        <v>38678</v>
      </c>
      <c r="B1293" s="12">
        <f t="shared" si="60"/>
        <v>11</v>
      </c>
      <c r="C1293" s="12">
        <f t="shared" si="61"/>
        <v>2005</v>
      </c>
      <c r="D1293" s="13">
        <v>4650</v>
      </c>
      <c r="E1293" s="13">
        <v>28.843299999999999</v>
      </c>
      <c r="F1293" s="13">
        <f t="shared" si="62"/>
        <v>161.21594963128354</v>
      </c>
    </row>
    <row r="1294" spans="1:6" x14ac:dyDescent="0.25">
      <c r="A1294" s="10">
        <v>38679</v>
      </c>
      <c r="B1294" s="12">
        <f t="shared" si="60"/>
        <v>11</v>
      </c>
      <c r="C1294" s="12">
        <f t="shared" si="61"/>
        <v>2005</v>
      </c>
      <c r="D1294" s="13">
        <v>4650</v>
      </c>
      <c r="E1294" s="13">
        <v>28.753</v>
      </c>
      <c r="F1294" s="13">
        <f t="shared" si="62"/>
        <v>161.72225506903627</v>
      </c>
    </row>
    <row r="1295" spans="1:6" x14ac:dyDescent="0.25">
      <c r="A1295" s="10">
        <v>38681</v>
      </c>
      <c r="B1295" s="12">
        <f t="shared" si="60"/>
        <v>11</v>
      </c>
      <c r="C1295" s="12">
        <f t="shared" si="61"/>
        <v>2005</v>
      </c>
      <c r="D1295" s="13">
        <v>4650</v>
      </c>
      <c r="E1295" s="13">
        <v>28.791</v>
      </c>
      <c r="F1295" s="13">
        <f t="shared" si="62"/>
        <v>161.50880483484423</v>
      </c>
    </row>
    <row r="1296" spans="1:6" x14ac:dyDescent="0.25">
      <c r="A1296" s="10">
        <v>38684</v>
      </c>
      <c r="B1296" s="12">
        <f t="shared" si="60"/>
        <v>11</v>
      </c>
      <c r="C1296" s="12">
        <f t="shared" si="61"/>
        <v>2005</v>
      </c>
      <c r="D1296" s="13">
        <v>4650</v>
      </c>
      <c r="E1296" s="13">
        <v>28.78</v>
      </c>
      <c r="F1296" s="13">
        <f t="shared" si="62"/>
        <v>161.57053509381515</v>
      </c>
    </row>
    <row r="1297" spans="1:6" x14ac:dyDescent="0.25">
      <c r="A1297" s="10">
        <v>38685</v>
      </c>
      <c r="B1297" s="12">
        <f t="shared" si="60"/>
        <v>11</v>
      </c>
      <c r="C1297" s="12">
        <f t="shared" si="61"/>
        <v>2005</v>
      </c>
      <c r="D1297" s="13">
        <v>4650</v>
      </c>
      <c r="E1297" s="13">
        <v>28.782499999999999</v>
      </c>
      <c r="F1297" s="13">
        <f t="shared" si="62"/>
        <v>161.55650134630417</v>
      </c>
    </row>
    <row r="1298" spans="1:6" x14ac:dyDescent="0.25">
      <c r="A1298" s="10">
        <v>38686</v>
      </c>
      <c r="B1298" s="12">
        <f t="shared" si="60"/>
        <v>11</v>
      </c>
      <c r="C1298" s="12">
        <f t="shared" si="61"/>
        <v>2005</v>
      </c>
      <c r="D1298" s="13">
        <v>4650</v>
      </c>
      <c r="E1298" s="13">
        <v>28.802199999999999</v>
      </c>
      <c r="F1298" s="13">
        <f t="shared" si="62"/>
        <v>161.44600065272792</v>
      </c>
    </row>
    <row r="1299" spans="1:6" x14ac:dyDescent="0.25">
      <c r="A1299" s="10">
        <v>38687</v>
      </c>
      <c r="B1299" s="12">
        <f t="shared" si="60"/>
        <v>12</v>
      </c>
      <c r="C1299" s="12">
        <f t="shared" si="61"/>
        <v>2005</v>
      </c>
      <c r="D1299" s="13">
        <v>4650</v>
      </c>
      <c r="E1299" s="13">
        <v>28.86</v>
      </c>
      <c r="F1299" s="13">
        <f t="shared" si="62"/>
        <v>161.12266112266113</v>
      </c>
    </row>
    <row r="1300" spans="1:6" x14ac:dyDescent="0.25">
      <c r="A1300" s="10">
        <v>38688</v>
      </c>
      <c r="B1300" s="12">
        <f t="shared" si="60"/>
        <v>12</v>
      </c>
      <c r="C1300" s="12">
        <f t="shared" si="61"/>
        <v>2005</v>
      </c>
      <c r="D1300" s="13">
        <v>4650</v>
      </c>
      <c r="E1300" s="13">
        <v>28.965900000000001</v>
      </c>
      <c r="F1300" s="13">
        <f t="shared" si="62"/>
        <v>160.53359294895031</v>
      </c>
    </row>
    <row r="1301" spans="1:6" x14ac:dyDescent="0.25">
      <c r="A1301" s="10">
        <v>38691</v>
      </c>
      <c r="B1301" s="12">
        <f t="shared" si="60"/>
        <v>12</v>
      </c>
      <c r="C1301" s="12">
        <f t="shared" si="61"/>
        <v>2005</v>
      </c>
      <c r="D1301" s="13">
        <v>4700</v>
      </c>
      <c r="E1301" s="13">
        <v>28.925000000000001</v>
      </c>
      <c r="F1301" s="13">
        <f t="shared" si="62"/>
        <v>162.48919619706137</v>
      </c>
    </row>
    <row r="1302" spans="1:6" x14ac:dyDescent="0.25">
      <c r="A1302" s="10">
        <v>38692</v>
      </c>
      <c r="B1302" s="12">
        <f t="shared" si="60"/>
        <v>12</v>
      </c>
      <c r="C1302" s="12">
        <f t="shared" si="61"/>
        <v>2005</v>
      </c>
      <c r="D1302" s="13">
        <v>4700</v>
      </c>
      <c r="E1302" s="13">
        <v>28.911999999999999</v>
      </c>
      <c r="F1302" s="13">
        <f t="shared" si="62"/>
        <v>162.56225788599889</v>
      </c>
    </row>
    <row r="1303" spans="1:6" x14ac:dyDescent="0.25">
      <c r="A1303" s="10">
        <v>38693</v>
      </c>
      <c r="B1303" s="12">
        <f t="shared" si="60"/>
        <v>12</v>
      </c>
      <c r="C1303" s="12">
        <f t="shared" si="61"/>
        <v>2005</v>
      </c>
      <c r="D1303" s="13">
        <v>4700</v>
      </c>
      <c r="E1303" s="13">
        <v>28.991499999999998</v>
      </c>
      <c r="F1303" s="13">
        <f t="shared" si="62"/>
        <v>162.11648241726024</v>
      </c>
    </row>
    <row r="1304" spans="1:6" x14ac:dyDescent="0.25">
      <c r="A1304" s="10">
        <v>38694</v>
      </c>
      <c r="B1304" s="12">
        <f t="shared" si="60"/>
        <v>12</v>
      </c>
      <c r="C1304" s="12">
        <f t="shared" si="61"/>
        <v>2005</v>
      </c>
      <c r="D1304" s="13">
        <v>4700</v>
      </c>
      <c r="E1304" s="13">
        <v>28.919599999999999</v>
      </c>
      <c r="F1304" s="13">
        <f t="shared" si="62"/>
        <v>162.51953692305565</v>
      </c>
    </row>
    <row r="1305" spans="1:6" x14ac:dyDescent="0.25">
      <c r="A1305" s="10">
        <v>38695</v>
      </c>
      <c r="B1305" s="12">
        <f t="shared" si="60"/>
        <v>12</v>
      </c>
      <c r="C1305" s="12">
        <f t="shared" si="61"/>
        <v>2005</v>
      </c>
      <c r="D1305" s="13">
        <v>4700</v>
      </c>
      <c r="E1305" s="13">
        <v>28.86</v>
      </c>
      <c r="F1305" s="13">
        <f t="shared" si="62"/>
        <v>162.85516285516286</v>
      </c>
    </row>
    <row r="1306" spans="1:6" x14ac:dyDescent="0.25">
      <c r="A1306" s="10">
        <v>38698</v>
      </c>
      <c r="B1306" s="12">
        <f t="shared" si="60"/>
        <v>12</v>
      </c>
      <c r="C1306" s="12">
        <f t="shared" si="61"/>
        <v>2005</v>
      </c>
      <c r="D1306" s="13">
        <v>4850</v>
      </c>
      <c r="E1306" s="13">
        <v>28.698499999999999</v>
      </c>
      <c r="F1306" s="13">
        <f t="shared" si="62"/>
        <v>168.99837970625643</v>
      </c>
    </row>
    <row r="1307" spans="1:6" x14ac:dyDescent="0.25">
      <c r="A1307" s="10">
        <v>38699</v>
      </c>
      <c r="B1307" s="12">
        <f t="shared" si="60"/>
        <v>12</v>
      </c>
      <c r="C1307" s="12">
        <f t="shared" si="61"/>
        <v>2005</v>
      </c>
      <c r="D1307" s="13">
        <v>4850</v>
      </c>
      <c r="E1307" s="13">
        <v>28.731999999999999</v>
      </c>
      <c r="F1307" s="13">
        <f t="shared" si="62"/>
        <v>168.80133648893221</v>
      </c>
    </row>
    <row r="1308" spans="1:6" x14ac:dyDescent="0.25">
      <c r="A1308" s="10">
        <v>38700</v>
      </c>
      <c r="B1308" s="12">
        <f t="shared" si="60"/>
        <v>12</v>
      </c>
      <c r="C1308" s="12">
        <f t="shared" si="61"/>
        <v>2005</v>
      </c>
      <c r="D1308" s="13">
        <v>4850</v>
      </c>
      <c r="E1308" s="13">
        <v>28.647099999999998</v>
      </c>
      <c r="F1308" s="13">
        <f t="shared" si="62"/>
        <v>169.30160469995218</v>
      </c>
    </row>
    <row r="1309" spans="1:6" x14ac:dyDescent="0.25">
      <c r="A1309" s="10">
        <v>38701</v>
      </c>
      <c r="B1309" s="12">
        <f t="shared" si="60"/>
        <v>12</v>
      </c>
      <c r="C1309" s="12">
        <f t="shared" si="61"/>
        <v>2005</v>
      </c>
      <c r="D1309" s="13">
        <v>4850</v>
      </c>
      <c r="E1309" s="13">
        <v>28.7073</v>
      </c>
      <c r="F1309" s="13">
        <f t="shared" si="62"/>
        <v>168.94657456465777</v>
      </c>
    </row>
    <row r="1310" spans="1:6" x14ac:dyDescent="0.25">
      <c r="A1310" s="10">
        <v>38702</v>
      </c>
      <c r="B1310" s="12">
        <f t="shared" si="60"/>
        <v>12</v>
      </c>
      <c r="C1310" s="12">
        <f t="shared" si="61"/>
        <v>2005</v>
      </c>
      <c r="D1310" s="13">
        <v>4850</v>
      </c>
      <c r="E1310" s="13">
        <v>28.637</v>
      </c>
      <c r="F1310" s="13">
        <f t="shared" si="62"/>
        <v>169.36131578028426</v>
      </c>
    </row>
    <row r="1311" spans="1:6" x14ac:dyDescent="0.25">
      <c r="A1311" s="10">
        <v>38705</v>
      </c>
      <c r="B1311" s="12">
        <f t="shared" si="60"/>
        <v>12</v>
      </c>
      <c r="C1311" s="12">
        <f t="shared" si="61"/>
        <v>2005</v>
      </c>
      <c r="D1311" s="13">
        <v>4850</v>
      </c>
      <c r="E1311" s="13">
        <v>28.652000000000001</v>
      </c>
      <c r="F1311" s="13">
        <f t="shared" si="62"/>
        <v>169.2726511238308</v>
      </c>
    </row>
    <row r="1312" spans="1:6" x14ac:dyDescent="0.25">
      <c r="A1312" s="10">
        <v>38706</v>
      </c>
      <c r="B1312" s="12">
        <f t="shared" si="60"/>
        <v>12</v>
      </c>
      <c r="C1312" s="12">
        <f t="shared" si="61"/>
        <v>2005</v>
      </c>
      <c r="D1312" s="13">
        <v>4850</v>
      </c>
      <c r="E1312" s="13">
        <v>28.725000000000001</v>
      </c>
      <c r="F1312" s="13">
        <f t="shared" si="62"/>
        <v>168.84247171453438</v>
      </c>
    </row>
    <row r="1313" spans="1:6" x14ac:dyDescent="0.25">
      <c r="A1313" s="10">
        <v>38707</v>
      </c>
      <c r="B1313" s="12">
        <f t="shared" si="60"/>
        <v>12</v>
      </c>
      <c r="C1313" s="12">
        <f t="shared" si="61"/>
        <v>2005</v>
      </c>
      <c r="D1313" s="13">
        <v>4850</v>
      </c>
      <c r="E1313" s="13">
        <v>28.850999999999999</v>
      </c>
      <c r="F1313" s="13">
        <f t="shared" si="62"/>
        <v>168.10509167793145</v>
      </c>
    </row>
    <row r="1314" spans="1:6" x14ac:dyDescent="0.25">
      <c r="A1314" s="10">
        <v>38708</v>
      </c>
      <c r="B1314" s="12">
        <f t="shared" si="60"/>
        <v>12</v>
      </c>
      <c r="C1314" s="12">
        <f t="shared" si="61"/>
        <v>2005</v>
      </c>
      <c r="D1314" s="13">
        <v>4850</v>
      </c>
      <c r="E1314" s="13">
        <v>28.795999999999999</v>
      </c>
      <c r="F1314" s="13">
        <f t="shared" si="62"/>
        <v>168.42617030143074</v>
      </c>
    </row>
    <row r="1315" spans="1:6" x14ac:dyDescent="0.25">
      <c r="A1315" s="10">
        <v>38709</v>
      </c>
      <c r="B1315" s="12">
        <f t="shared" si="60"/>
        <v>12</v>
      </c>
      <c r="C1315" s="12">
        <f t="shared" si="61"/>
        <v>2005</v>
      </c>
      <c r="D1315" s="13">
        <v>4850</v>
      </c>
      <c r="E1315" s="13">
        <v>28.7852</v>
      </c>
      <c r="F1315" s="13">
        <f t="shared" si="62"/>
        <v>168.48936258910828</v>
      </c>
    </row>
    <row r="1316" spans="1:6" x14ac:dyDescent="0.25">
      <c r="A1316" s="10">
        <v>38713</v>
      </c>
      <c r="B1316" s="12">
        <f t="shared" si="60"/>
        <v>12</v>
      </c>
      <c r="C1316" s="12">
        <f t="shared" si="61"/>
        <v>2005</v>
      </c>
      <c r="D1316" s="13">
        <v>4850</v>
      </c>
      <c r="E1316" s="13">
        <v>28.8035</v>
      </c>
      <c r="F1316" s="13">
        <f t="shared" si="62"/>
        <v>168.38231464926139</v>
      </c>
    </row>
    <row r="1317" spans="1:6" x14ac:dyDescent="0.25">
      <c r="A1317" s="10">
        <v>38714</v>
      </c>
      <c r="B1317" s="12">
        <f t="shared" si="60"/>
        <v>12</v>
      </c>
      <c r="C1317" s="12">
        <f t="shared" si="61"/>
        <v>2005</v>
      </c>
      <c r="D1317" s="13">
        <v>4850</v>
      </c>
      <c r="E1317" s="13">
        <v>28.74</v>
      </c>
      <c r="F1317" s="13">
        <f t="shared" si="62"/>
        <v>168.75434933890048</v>
      </c>
    </row>
    <row r="1318" spans="1:6" x14ac:dyDescent="0.25">
      <c r="A1318" s="10">
        <v>38715</v>
      </c>
      <c r="B1318" s="12">
        <f t="shared" si="60"/>
        <v>12</v>
      </c>
      <c r="C1318" s="12">
        <f t="shared" si="61"/>
        <v>2005</v>
      </c>
      <c r="D1318" s="13">
        <v>4850</v>
      </c>
      <c r="E1318" s="13">
        <v>28.8</v>
      </c>
      <c r="F1318" s="13">
        <f t="shared" si="62"/>
        <v>168.40277777777777</v>
      </c>
    </row>
    <row r="1319" spans="1:6" x14ac:dyDescent="0.25">
      <c r="A1319" s="10">
        <v>38716</v>
      </c>
      <c r="B1319" s="12">
        <f t="shared" si="60"/>
        <v>12</v>
      </c>
      <c r="C1319" s="12">
        <f t="shared" si="61"/>
        <v>2005</v>
      </c>
      <c r="D1319" s="13">
        <v>4850</v>
      </c>
      <c r="E1319" s="13">
        <v>28.738900000000001</v>
      </c>
      <c r="F1319" s="13">
        <f t="shared" si="62"/>
        <v>168.76080852085499</v>
      </c>
    </row>
    <row r="1320" spans="1:6" x14ac:dyDescent="0.25">
      <c r="A1320" s="10">
        <v>38720</v>
      </c>
      <c r="B1320" s="12">
        <f t="shared" si="60"/>
        <v>1</v>
      </c>
      <c r="C1320" s="12">
        <f t="shared" si="61"/>
        <v>2006</v>
      </c>
      <c r="D1320" s="13">
        <v>4850</v>
      </c>
      <c r="E1320" s="13">
        <v>28.738900000000001</v>
      </c>
      <c r="F1320" s="13">
        <f t="shared" si="62"/>
        <v>168.76080852085499</v>
      </c>
    </row>
    <row r="1321" spans="1:6" x14ac:dyDescent="0.25">
      <c r="A1321" s="10">
        <v>38721</v>
      </c>
      <c r="B1321" s="12">
        <f t="shared" si="60"/>
        <v>1</v>
      </c>
      <c r="C1321" s="12">
        <f t="shared" si="61"/>
        <v>2006</v>
      </c>
      <c r="D1321" s="13">
        <v>4850</v>
      </c>
      <c r="E1321" s="13">
        <v>28.738900000000001</v>
      </c>
      <c r="F1321" s="13">
        <f t="shared" si="62"/>
        <v>168.76080852085499</v>
      </c>
    </row>
    <row r="1322" spans="1:6" x14ac:dyDescent="0.25">
      <c r="A1322" s="10">
        <v>38722</v>
      </c>
      <c r="B1322" s="12">
        <f t="shared" si="60"/>
        <v>1</v>
      </c>
      <c r="C1322" s="12">
        <f t="shared" si="61"/>
        <v>2006</v>
      </c>
      <c r="D1322" s="13">
        <v>4850</v>
      </c>
      <c r="E1322" s="13">
        <v>28.664999999999999</v>
      </c>
      <c r="F1322" s="13">
        <f t="shared" si="62"/>
        <v>169.19588348159778</v>
      </c>
    </row>
    <row r="1323" spans="1:6" x14ac:dyDescent="0.25">
      <c r="A1323" s="10">
        <v>38723</v>
      </c>
      <c r="B1323" s="12">
        <f t="shared" si="60"/>
        <v>1</v>
      </c>
      <c r="C1323" s="12">
        <f t="shared" si="61"/>
        <v>2006</v>
      </c>
      <c r="D1323" s="13">
        <v>4850</v>
      </c>
      <c r="E1323" s="13">
        <v>28.664999999999999</v>
      </c>
      <c r="F1323" s="13">
        <f t="shared" si="62"/>
        <v>169.19588348159778</v>
      </c>
    </row>
    <row r="1324" spans="1:6" x14ac:dyDescent="0.25">
      <c r="A1324" s="10">
        <v>38726</v>
      </c>
      <c r="B1324" s="12">
        <f t="shared" si="60"/>
        <v>1</v>
      </c>
      <c r="C1324" s="12">
        <f t="shared" si="61"/>
        <v>2006</v>
      </c>
      <c r="D1324" s="13">
        <v>4850</v>
      </c>
      <c r="E1324" s="13">
        <v>28.664999999999999</v>
      </c>
      <c r="F1324" s="13">
        <f t="shared" si="62"/>
        <v>169.19588348159778</v>
      </c>
    </row>
    <row r="1325" spans="1:6" x14ac:dyDescent="0.25">
      <c r="A1325" s="10">
        <v>38727</v>
      </c>
      <c r="B1325" s="12">
        <f t="shared" si="60"/>
        <v>1</v>
      </c>
      <c r="C1325" s="12">
        <f t="shared" si="61"/>
        <v>2006</v>
      </c>
      <c r="D1325" s="13">
        <v>4850</v>
      </c>
      <c r="E1325" s="13">
        <v>28.502500000000001</v>
      </c>
      <c r="F1325" s="13">
        <f t="shared" si="62"/>
        <v>170.16051223576878</v>
      </c>
    </row>
    <row r="1326" spans="1:6" x14ac:dyDescent="0.25">
      <c r="A1326" s="10">
        <v>38728</v>
      </c>
      <c r="B1326" s="12">
        <f t="shared" si="60"/>
        <v>1</v>
      </c>
      <c r="C1326" s="12">
        <f t="shared" si="61"/>
        <v>2006</v>
      </c>
      <c r="D1326" s="13">
        <v>4850</v>
      </c>
      <c r="E1326" s="13">
        <v>28.4132</v>
      </c>
      <c r="F1326" s="13">
        <f t="shared" si="62"/>
        <v>170.69531063027043</v>
      </c>
    </row>
    <row r="1327" spans="1:6" x14ac:dyDescent="0.25">
      <c r="A1327" s="10">
        <v>38729</v>
      </c>
      <c r="B1327" s="12">
        <f t="shared" si="60"/>
        <v>1</v>
      </c>
      <c r="C1327" s="12">
        <f t="shared" si="61"/>
        <v>2006</v>
      </c>
      <c r="D1327" s="13">
        <v>4850</v>
      </c>
      <c r="E1327" s="13">
        <v>28.499400000000001</v>
      </c>
      <c r="F1327" s="13">
        <f t="shared" si="62"/>
        <v>170.17902131272939</v>
      </c>
    </row>
    <row r="1328" spans="1:6" x14ac:dyDescent="0.25">
      <c r="A1328" s="10">
        <v>38730</v>
      </c>
      <c r="B1328" s="12">
        <f t="shared" si="60"/>
        <v>1</v>
      </c>
      <c r="C1328" s="12">
        <f t="shared" si="61"/>
        <v>2006</v>
      </c>
      <c r="D1328" s="13">
        <v>4850</v>
      </c>
      <c r="E1328" s="13">
        <v>28.422499999999999</v>
      </c>
      <c r="F1328" s="13">
        <f t="shared" si="62"/>
        <v>170.63945817574105</v>
      </c>
    </row>
    <row r="1329" spans="1:6" x14ac:dyDescent="0.25">
      <c r="A1329" s="10">
        <v>38734</v>
      </c>
      <c r="B1329" s="12">
        <f t="shared" si="60"/>
        <v>1</v>
      </c>
      <c r="C1329" s="12">
        <f t="shared" si="61"/>
        <v>2006</v>
      </c>
      <c r="D1329" s="13">
        <v>4800</v>
      </c>
      <c r="E1329" s="13">
        <v>28.342600000000001</v>
      </c>
      <c r="F1329" s="13">
        <f t="shared" si="62"/>
        <v>169.35637520904928</v>
      </c>
    </row>
    <row r="1330" spans="1:6" x14ac:dyDescent="0.25">
      <c r="A1330" s="10">
        <v>38735</v>
      </c>
      <c r="B1330" s="12">
        <f t="shared" si="60"/>
        <v>1</v>
      </c>
      <c r="C1330" s="12">
        <f t="shared" si="61"/>
        <v>2006</v>
      </c>
      <c r="D1330" s="13">
        <v>4800</v>
      </c>
      <c r="E1330" s="13">
        <v>28.254999999999999</v>
      </c>
      <c r="F1330" s="13">
        <f t="shared" si="62"/>
        <v>169.88143691382058</v>
      </c>
    </row>
    <row r="1331" spans="1:6" x14ac:dyDescent="0.25">
      <c r="A1331" s="10">
        <v>38736</v>
      </c>
      <c r="B1331" s="12">
        <f t="shared" si="60"/>
        <v>1</v>
      </c>
      <c r="C1331" s="12">
        <f t="shared" si="61"/>
        <v>2006</v>
      </c>
      <c r="D1331" s="13">
        <v>4800</v>
      </c>
      <c r="E1331" s="13">
        <v>28.24</v>
      </c>
      <c r="F1331" s="13">
        <f t="shared" si="62"/>
        <v>169.97167138810198</v>
      </c>
    </row>
    <row r="1332" spans="1:6" x14ac:dyDescent="0.25">
      <c r="A1332" s="10">
        <v>38737</v>
      </c>
      <c r="B1332" s="12">
        <f t="shared" si="60"/>
        <v>1</v>
      </c>
      <c r="C1332" s="12">
        <f t="shared" si="61"/>
        <v>2006</v>
      </c>
      <c r="D1332" s="13">
        <v>4800</v>
      </c>
      <c r="E1332" s="13">
        <v>28.25</v>
      </c>
      <c r="F1332" s="13">
        <f t="shared" si="62"/>
        <v>169.91150442477877</v>
      </c>
    </row>
    <row r="1333" spans="1:6" x14ac:dyDescent="0.25">
      <c r="A1333" s="10">
        <v>38740</v>
      </c>
      <c r="B1333" s="12">
        <f t="shared" si="60"/>
        <v>1</v>
      </c>
      <c r="C1333" s="12">
        <f t="shared" si="61"/>
        <v>2006</v>
      </c>
      <c r="D1333" s="13">
        <v>4800</v>
      </c>
      <c r="E1333" s="13">
        <v>28</v>
      </c>
      <c r="F1333" s="13">
        <f t="shared" si="62"/>
        <v>171.42857142857142</v>
      </c>
    </row>
    <row r="1334" spans="1:6" x14ac:dyDescent="0.25">
      <c r="A1334" s="10">
        <v>38741</v>
      </c>
      <c r="B1334" s="12">
        <f t="shared" si="60"/>
        <v>1</v>
      </c>
      <c r="C1334" s="12">
        <f t="shared" si="61"/>
        <v>2006</v>
      </c>
      <c r="D1334" s="13">
        <v>4800</v>
      </c>
      <c r="E1334" s="13">
        <v>27.99</v>
      </c>
      <c r="F1334" s="13">
        <f t="shared" si="62"/>
        <v>171.48981779206861</v>
      </c>
    </row>
    <row r="1335" spans="1:6" x14ac:dyDescent="0.25">
      <c r="A1335" s="10">
        <v>38742</v>
      </c>
      <c r="B1335" s="12">
        <f t="shared" si="60"/>
        <v>1</v>
      </c>
      <c r="C1335" s="12">
        <f t="shared" si="61"/>
        <v>2006</v>
      </c>
      <c r="D1335" s="13">
        <v>4800</v>
      </c>
      <c r="E1335" s="13">
        <v>27.945</v>
      </c>
      <c r="F1335" s="13">
        <f t="shared" si="62"/>
        <v>171.76596886741814</v>
      </c>
    </row>
    <row r="1336" spans="1:6" x14ac:dyDescent="0.25">
      <c r="A1336" s="10">
        <v>38743</v>
      </c>
      <c r="B1336" s="12">
        <f t="shared" si="60"/>
        <v>1</v>
      </c>
      <c r="C1336" s="12">
        <f t="shared" si="61"/>
        <v>2006</v>
      </c>
      <c r="D1336" s="13">
        <v>4800</v>
      </c>
      <c r="E1336" s="13">
        <v>27.975999999999999</v>
      </c>
      <c r="F1336" s="13">
        <f t="shared" si="62"/>
        <v>171.57563625965113</v>
      </c>
    </row>
    <row r="1337" spans="1:6" x14ac:dyDescent="0.25">
      <c r="A1337" s="10">
        <v>38744</v>
      </c>
      <c r="B1337" s="12">
        <f t="shared" si="60"/>
        <v>1</v>
      </c>
      <c r="C1337" s="12">
        <f t="shared" si="61"/>
        <v>2006</v>
      </c>
      <c r="D1337" s="13">
        <v>4800</v>
      </c>
      <c r="E1337" s="13">
        <v>27.995000000000001</v>
      </c>
      <c r="F1337" s="13">
        <f t="shared" si="62"/>
        <v>171.45918914091803</v>
      </c>
    </row>
    <row r="1338" spans="1:6" x14ac:dyDescent="0.25">
      <c r="A1338" s="10">
        <v>38747</v>
      </c>
      <c r="B1338" s="12">
        <f t="shared" si="60"/>
        <v>1</v>
      </c>
      <c r="C1338" s="12">
        <f t="shared" si="61"/>
        <v>2006</v>
      </c>
      <c r="D1338" s="13">
        <v>4800</v>
      </c>
      <c r="E1338" s="13">
        <v>28.142499999999998</v>
      </c>
      <c r="F1338" s="13">
        <f t="shared" si="62"/>
        <v>170.56054010837701</v>
      </c>
    </row>
    <row r="1339" spans="1:6" x14ac:dyDescent="0.25">
      <c r="A1339" s="10">
        <v>38748</v>
      </c>
      <c r="B1339" s="12">
        <f t="shared" si="60"/>
        <v>1</v>
      </c>
      <c r="C1339" s="12">
        <f t="shared" si="61"/>
        <v>2006</v>
      </c>
      <c r="D1339" s="13">
        <v>4800</v>
      </c>
      <c r="E1339" s="13">
        <v>28.1175</v>
      </c>
      <c r="F1339" s="13">
        <f t="shared" si="62"/>
        <v>170.71218991731129</v>
      </c>
    </row>
    <row r="1340" spans="1:6" x14ac:dyDescent="0.25">
      <c r="A1340" s="10">
        <v>38749</v>
      </c>
      <c r="B1340" s="12">
        <f t="shared" si="60"/>
        <v>2</v>
      </c>
      <c r="C1340" s="12">
        <f t="shared" si="61"/>
        <v>2006</v>
      </c>
      <c r="D1340" s="13">
        <v>4800</v>
      </c>
      <c r="E1340" s="13">
        <v>28.15</v>
      </c>
      <c r="F1340" s="13">
        <f t="shared" si="62"/>
        <v>170.51509769094139</v>
      </c>
    </row>
    <row r="1341" spans="1:6" x14ac:dyDescent="0.25">
      <c r="A1341" s="10">
        <v>38750</v>
      </c>
      <c r="B1341" s="12">
        <f t="shared" si="60"/>
        <v>2</v>
      </c>
      <c r="C1341" s="12">
        <f t="shared" si="61"/>
        <v>2006</v>
      </c>
      <c r="D1341" s="13">
        <v>4800</v>
      </c>
      <c r="E1341" s="13">
        <v>28.136199999999999</v>
      </c>
      <c r="F1341" s="13">
        <f t="shared" si="62"/>
        <v>170.59873046111417</v>
      </c>
    </row>
    <row r="1342" spans="1:6" x14ac:dyDescent="0.25">
      <c r="A1342" s="10">
        <v>38751</v>
      </c>
      <c r="B1342" s="12">
        <f t="shared" si="60"/>
        <v>2</v>
      </c>
      <c r="C1342" s="12">
        <f t="shared" si="61"/>
        <v>2006</v>
      </c>
      <c r="D1342" s="13">
        <v>4800</v>
      </c>
      <c r="E1342" s="13">
        <v>28.249500000000001</v>
      </c>
      <c r="F1342" s="13">
        <f t="shared" si="62"/>
        <v>169.91451176127009</v>
      </c>
    </row>
    <row r="1343" spans="1:6" x14ac:dyDescent="0.25">
      <c r="A1343" s="10">
        <v>38754</v>
      </c>
      <c r="B1343" s="12">
        <f t="shared" si="60"/>
        <v>2</v>
      </c>
      <c r="C1343" s="12">
        <f t="shared" si="61"/>
        <v>2006</v>
      </c>
      <c r="D1343" s="13">
        <v>4700</v>
      </c>
      <c r="E1343" s="13">
        <v>28.245999999999999</v>
      </c>
      <c r="F1343" s="13">
        <f t="shared" si="62"/>
        <v>166.39524180414926</v>
      </c>
    </row>
    <row r="1344" spans="1:6" x14ac:dyDescent="0.25">
      <c r="A1344" s="10">
        <v>38755</v>
      </c>
      <c r="B1344" s="12">
        <f t="shared" si="60"/>
        <v>2</v>
      </c>
      <c r="C1344" s="12">
        <f t="shared" si="61"/>
        <v>2006</v>
      </c>
      <c r="D1344" s="13">
        <v>4700</v>
      </c>
      <c r="E1344" s="13">
        <v>28.260899999999999</v>
      </c>
      <c r="F1344" s="13">
        <f t="shared" si="62"/>
        <v>166.30751320729348</v>
      </c>
    </row>
    <row r="1345" spans="1:6" x14ac:dyDescent="0.25">
      <c r="A1345" s="10">
        <v>38756</v>
      </c>
      <c r="B1345" s="12">
        <f t="shared" si="60"/>
        <v>2</v>
      </c>
      <c r="C1345" s="12">
        <f t="shared" si="61"/>
        <v>2006</v>
      </c>
      <c r="D1345" s="13">
        <v>4700</v>
      </c>
      <c r="E1345" s="13">
        <v>28.2697</v>
      </c>
      <c r="F1345" s="13">
        <f t="shared" si="62"/>
        <v>166.25574378221205</v>
      </c>
    </row>
    <row r="1346" spans="1:6" x14ac:dyDescent="0.25">
      <c r="A1346" s="10">
        <v>38757</v>
      </c>
      <c r="B1346" s="12">
        <f t="shared" si="60"/>
        <v>2</v>
      </c>
      <c r="C1346" s="12">
        <f t="shared" si="61"/>
        <v>2006</v>
      </c>
      <c r="D1346" s="13">
        <v>4700</v>
      </c>
      <c r="E1346" s="13">
        <v>28.255400000000002</v>
      </c>
      <c r="F1346" s="13">
        <f t="shared" si="62"/>
        <v>166.33988547321928</v>
      </c>
    </row>
    <row r="1347" spans="1:6" x14ac:dyDescent="0.25">
      <c r="A1347" s="10">
        <v>38758</v>
      </c>
      <c r="B1347" s="12">
        <f t="shared" ref="B1347:B1410" si="63">MONTH(A1347)</f>
        <v>2</v>
      </c>
      <c r="C1347" s="12">
        <f t="shared" ref="C1347:C1410" si="64">YEAR(A1347)</f>
        <v>2006</v>
      </c>
      <c r="D1347" s="13">
        <v>4700</v>
      </c>
      <c r="E1347" s="13">
        <v>28.245799999999999</v>
      </c>
      <c r="F1347" s="13">
        <f t="shared" ref="F1347:F1410" si="65">IF(D1347="","",D1347/E1347)</f>
        <v>166.39641999872549</v>
      </c>
    </row>
    <row r="1348" spans="1:6" x14ac:dyDescent="0.25">
      <c r="A1348" s="10">
        <v>38761</v>
      </c>
      <c r="B1348" s="12">
        <f t="shared" si="63"/>
        <v>2</v>
      </c>
      <c r="C1348" s="12">
        <f t="shared" si="64"/>
        <v>2006</v>
      </c>
      <c r="D1348" s="13">
        <v>4750</v>
      </c>
      <c r="E1348" s="13">
        <v>28.181000000000001</v>
      </c>
      <c r="F1348" s="13">
        <f t="shared" si="65"/>
        <v>168.55328057911359</v>
      </c>
    </row>
    <row r="1349" spans="1:6" x14ac:dyDescent="0.25">
      <c r="A1349" s="10">
        <v>38762</v>
      </c>
      <c r="B1349" s="12">
        <f t="shared" si="63"/>
        <v>2</v>
      </c>
      <c r="C1349" s="12">
        <f t="shared" si="64"/>
        <v>2006</v>
      </c>
      <c r="D1349" s="13">
        <v>4750</v>
      </c>
      <c r="E1349" s="13">
        <v>28.209700000000002</v>
      </c>
      <c r="F1349" s="13">
        <f t="shared" si="65"/>
        <v>168.38179775041917</v>
      </c>
    </row>
    <row r="1350" spans="1:6" x14ac:dyDescent="0.25">
      <c r="A1350" s="10">
        <v>38763</v>
      </c>
      <c r="B1350" s="12">
        <f t="shared" si="63"/>
        <v>2</v>
      </c>
      <c r="C1350" s="12">
        <f t="shared" si="64"/>
        <v>2006</v>
      </c>
      <c r="D1350" s="13">
        <v>4750</v>
      </c>
      <c r="E1350" s="13">
        <v>28.224900000000002</v>
      </c>
      <c r="F1350" s="13">
        <f t="shared" si="65"/>
        <v>168.29111883478771</v>
      </c>
    </row>
    <row r="1351" spans="1:6" x14ac:dyDescent="0.25">
      <c r="A1351" s="10">
        <v>38764</v>
      </c>
      <c r="B1351" s="12">
        <f t="shared" si="63"/>
        <v>2</v>
      </c>
      <c r="C1351" s="12">
        <f t="shared" si="64"/>
        <v>2006</v>
      </c>
      <c r="D1351" s="13">
        <v>4750</v>
      </c>
      <c r="E1351" s="13">
        <v>28.219799999999999</v>
      </c>
      <c r="F1351" s="13">
        <f t="shared" si="65"/>
        <v>168.32153310795965</v>
      </c>
    </row>
    <row r="1352" spans="1:6" x14ac:dyDescent="0.25">
      <c r="A1352" s="10">
        <v>38765</v>
      </c>
      <c r="B1352" s="12">
        <f t="shared" si="63"/>
        <v>2</v>
      </c>
      <c r="C1352" s="12">
        <f t="shared" si="64"/>
        <v>2006</v>
      </c>
      <c r="D1352" s="13">
        <v>4750</v>
      </c>
      <c r="E1352" s="13">
        <v>28.1892</v>
      </c>
      <c r="F1352" s="13">
        <f t="shared" si="65"/>
        <v>168.50424985455422</v>
      </c>
    </row>
    <row r="1353" spans="1:6" x14ac:dyDescent="0.25">
      <c r="A1353" s="10">
        <v>38769</v>
      </c>
      <c r="B1353" s="12">
        <f t="shared" si="63"/>
        <v>2</v>
      </c>
      <c r="C1353" s="12">
        <f t="shared" si="64"/>
        <v>2006</v>
      </c>
      <c r="D1353" s="13">
        <v>4750</v>
      </c>
      <c r="E1353" s="13">
        <v>28.183800000000002</v>
      </c>
      <c r="F1353" s="13">
        <f t="shared" si="65"/>
        <v>168.53653517268785</v>
      </c>
    </row>
    <row r="1354" spans="1:6" x14ac:dyDescent="0.25">
      <c r="A1354" s="10">
        <v>38770</v>
      </c>
      <c r="B1354" s="12">
        <f t="shared" si="63"/>
        <v>2</v>
      </c>
      <c r="C1354" s="12">
        <f t="shared" si="64"/>
        <v>2006</v>
      </c>
      <c r="D1354" s="13">
        <v>4750</v>
      </c>
      <c r="E1354" s="13">
        <v>28.22</v>
      </c>
      <c r="F1354" s="13">
        <f t="shared" si="65"/>
        <v>168.32034018426648</v>
      </c>
    </row>
    <row r="1355" spans="1:6" x14ac:dyDescent="0.25">
      <c r="A1355" s="10">
        <v>38771</v>
      </c>
      <c r="B1355" s="12">
        <f t="shared" si="63"/>
        <v>2</v>
      </c>
      <c r="C1355" s="12">
        <f t="shared" si="64"/>
        <v>2006</v>
      </c>
      <c r="D1355" s="13">
        <v>4750</v>
      </c>
      <c r="E1355" s="13">
        <v>28.183800000000002</v>
      </c>
      <c r="F1355" s="13">
        <f t="shared" si="65"/>
        <v>168.53653517268785</v>
      </c>
    </row>
    <row r="1356" spans="1:6" x14ac:dyDescent="0.25">
      <c r="A1356" s="10">
        <v>38772</v>
      </c>
      <c r="B1356" s="12">
        <f t="shared" si="63"/>
        <v>2</v>
      </c>
      <c r="C1356" s="12">
        <f t="shared" si="64"/>
        <v>2006</v>
      </c>
      <c r="D1356" s="13">
        <v>4750</v>
      </c>
      <c r="E1356" s="13">
        <v>28.183800000000002</v>
      </c>
      <c r="F1356" s="13">
        <f t="shared" si="65"/>
        <v>168.53653517268785</v>
      </c>
    </row>
    <row r="1357" spans="1:6" x14ac:dyDescent="0.25">
      <c r="A1357" s="10">
        <v>38775</v>
      </c>
      <c r="B1357" s="12">
        <f t="shared" si="63"/>
        <v>2</v>
      </c>
      <c r="C1357" s="12">
        <f t="shared" si="64"/>
        <v>2006</v>
      </c>
      <c r="D1357" s="13">
        <v>4750</v>
      </c>
      <c r="E1357" s="13">
        <v>28.1236</v>
      </c>
      <c r="F1357" s="13">
        <f t="shared" si="65"/>
        <v>168.89729622096743</v>
      </c>
    </row>
    <row r="1358" spans="1:6" x14ac:dyDescent="0.25">
      <c r="A1358" s="10">
        <v>38776</v>
      </c>
      <c r="B1358" s="12">
        <f t="shared" si="63"/>
        <v>2</v>
      </c>
      <c r="C1358" s="12">
        <f t="shared" si="64"/>
        <v>2006</v>
      </c>
      <c r="D1358" s="13">
        <v>4750</v>
      </c>
      <c r="E1358" s="13">
        <v>28.0246</v>
      </c>
      <c r="F1358" s="13">
        <f t="shared" si="65"/>
        <v>169.49394460581061</v>
      </c>
    </row>
    <row r="1359" spans="1:6" x14ac:dyDescent="0.25">
      <c r="A1359" s="10">
        <v>38777</v>
      </c>
      <c r="B1359" s="12">
        <f t="shared" si="63"/>
        <v>3</v>
      </c>
      <c r="C1359" s="12">
        <f t="shared" si="64"/>
        <v>2006</v>
      </c>
      <c r="D1359" s="13">
        <v>4750</v>
      </c>
      <c r="E1359" s="13">
        <v>28.0443</v>
      </c>
      <c r="F1359" s="13">
        <f t="shared" si="65"/>
        <v>169.37488188330605</v>
      </c>
    </row>
    <row r="1360" spans="1:6" x14ac:dyDescent="0.25">
      <c r="A1360" s="10">
        <v>38778</v>
      </c>
      <c r="B1360" s="12">
        <f t="shared" si="63"/>
        <v>3</v>
      </c>
      <c r="C1360" s="12">
        <f t="shared" si="64"/>
        <v>2006</v>
      </c>
      <c r="D1360" s="13">
        <v>4750</v>
      </c>
      <c r="E1360" s="13">
        <v>28.02</v>
      </c>
      <c r="F1360" s="13">
        <f t="shared" si="65"/>
        <v>169.52177016416846</v>
      </c>
    </row>
    <row r="1361" spans="1:6" x14ac:dyDescent="0.25">
      <c r="A1361" s="10">
        <v>38779</v>
      </c>
      <c r="B1361" s="12">
        <f t="shared" si="63"/>
        <v>3</v>
      </c>
      <c r="C1361" s="12">
        <f t="shared" si="64"/>
        <v>2006</v>
      </c>
      <c r="D1361" s="13">
        <v>4750</v>
      </c>
      <c r="E1361" s="13">
        <v>27.9255</v>
      </c>
      <c r="F1361" s="13">
        <f t="shared" si="65"/>
        <v>170.09543249001808</v>
      </c>
    </row>
    <row r="1362" spans="1:6" x14ac:dyDescent="0.25">
      <c r="A1362" s="10">
        <v>38782</v>
      </c>
      <c r="B1362" s="12">
        <f t="shared" si="63"/>
        <v>3</v>
      </c>
      <c r="C1362" s="12">
        <f t="shared" si="64"/>
        <v>2006</v>
      </c>
      <c r="D1362" s="13">
        <v>4900</v>
      </c>
      <c r="E1362" s="13">
        <v>27.921099999999999</v>
      </c>
      <c r="F1362" s="13">
        <f t="shared" si="65"/>
        <v>175.49451848243802</v>
      </c>
    </row>
    <row r="1363" spans="1:6" x14ac:dyDescent="0.25">
      <c r="A1363" s="10">
        <v>38783</v>
      </c>
      <c r="B1363" s="12">
        <f t="shared" si="63"/>
        <v>3</v>
      </c>
      <c r="C1363" s="12">
        <f t="shared" si="64"/>
        <v>2006</v>
      </c>
      <c r="D1363" s="13">
        <v>4900</v>
      </c>
      <c r="E1363" s="13">
        <v>28.062000000000001</v>
      </c>
      <c r="F1363" s="13">
        <f t="shared" si="65"/>
        <v>174.61335613997576</v>
      </c>
    </row>
    <row r="1364" spans="1:6" x14ac:dyDescent="0.25">
      <c r="A1364" s="10">
        <v>38784</v>
      </c>
      <c r="B1364" s="12">
        <f t="shared" si="63"/>
        <v>3</v>
      </c>
      <c r="C1364" s="12">
        <f t="shared" si="64"/>
        <v>2006</v>
      </c>
      <c r="D1364" s="13">
        <v>4900</v>
      </c>
      <c r="E1364" s="13">
        <v>28.062000000000001</v>
      </c>
      <c r="F1364" s="13">
        <f t="shared" si="65"/>
        <v>174.61335613997576</v>
      </c>
    </row>
    <row r="1365" spans="1:6" x14ac:dyDescent="0.25">
      <c r="A1365" s="10">
        <v>38785</v>
      </c>
      <c r="B1365" s="12">
        <f t="shared" si="63"/>
        <v>3</v>
      </c>
      <c r="C1365" s="12">
        <f t="shared" si="64"/>
        <v>2006</v>
      </c>
      <c r="D1365" s="13">
        <v>4900</v>
      </c>
      <c r="E1365" s="13">
        <v>28.04</v>
      </c>
      <c r="F1365" s="13">
        <f t="shared" si="65"/>
        <v>174.7503566333809</v>
      </c>
    </row>
    <row r="1366" spans="1:6" x14ac:dyDescent="0.25">
      <c r="A1366" s="10">
        <v>38786</v>
      </c>
      <c r="B1366" s="12">
        <f t="shared" si="63"/>
        <v>3</v>
      </c>
      <c r="C1366" s="12">
        <f t="shared" si="64"/>
        <v>2006</v>
      </c>
      <c r="D1366" s="13">
        <v>4900</v>
      </c>
      <c r="E1366" s="13">
        <v>28.037500000000001</v>
      </c>
      <c r="F1366" s="13">
        <f t="shared" si="65"/>
        <v>174.76593847525635</v>
      </c>
    </row>
    <row r="1367" spans="1:6" x14ac:dyDescent="0.25">
      <c r="A1367" s="10">
        <v>38789</v>
      </c>
      <c r="B1367" s="12">
        <f t="shared" si="63"/>
        <v>3</v>
      </c>
      <c r="C1367" s="12">
        <f t="shared" si="64"/>
        <v>2006</v>
      </c>
      <c r="D1367" s="13">
        <v>5000</v>
      </c>
      <c r="E1367" s="13">
        <v>28.03</v>
      </c>
      <c r="F1367" s="13">
        <f t="shared" si="65"/>
        <v>178.38030681412772</v>
      </c>
    </row>
    <row r="1368" spans="1:6" x14ac:dyDescent="0.25">
      <c r="A1368" s="10">
        <v>38790</v>
      </c>
      <c r="B1368" s="12">
        <f t="shared" si="63"/>
        <v>3</v>
      </c>
      <c r="C1368" s="12">
        <f t="shared" si="64"/>
        <v>2006</v>
      </c>
      <c r="D1368" s="13">
        <v>5000</v>
      </c>
      <c r="E1368" s="13">
        <v>27.9543</v>
      </c>
      <c r="F1368" s="13">
        <f t="shared" si="65"/>
        <v>178.86335912542972</v>
      </c>
    </row>
    <row r="1369" spans="1:6" x14ac:dyDescent="0.25">
      <c r="A1369" s="10">
        <v>38791</v>
      </c>
      <c r="B1369" s="12">
        <f t="shared" si="63"/>
        <v>3</v>
      </c>
      <c r="C1369" s="12">
        <f t="shared" si="64"/>
        <v>2006</v>
      </c>
      <c r="D1369" s="13">
        <v>5000</v>
      </c>
      <c r="E1369" s="13">
        <v>27.822600000000001</v>
      </c>
      <c r="F1369" s="13">
        <f t="shared" si="65"/>
        <v>179.71001991187021</v>
      </c>
    </row>
    <row r="1370" spans="1:6" x14ac:dyDescent="0.25">
      <c r="A1370" s="10">
        <v>38792</v>
      </c>
      <c r="B1370" s="12">
        <f t="shared" si="63"/>
        <v>3</v>
      </c>
      <c r="C1370" s="12">
        <f t="shared" si="64"/>
        <v>2006</v>
      </c>
      <c r="D1370" s="13">
        <v>5000</v>
      </c>
      <c r="E1370" s="13">
        <v>27.732500000000002</v>
      </c>
      <c r="F1370" s="13">
        <f t="shared" si="65"/>
        <v>180.29387902280718</v>
      </c>
    </row>
    <row r="1371" spans="1:6" x14ac:dyDescent="0.25">
      <c r="A1371" s="10">
        <v>38793</v>
      </c>
      <c r="B1371" s="12">
        <f t="shared" si="63"/>
        <v>3</v>
      </c>
      <c r="C1371" s="12">
        <f t="shared" si="64"/>
        <v>2006</v>
      </c>
      <c r="D1371" s="13">
        <v>5000</v>
      </c>
      <c r="E1371" s="13">
        <v>27.6587</v>
      </c>
      <c r="F1371" s="13">
        <f t="shared" si="65"/>
        <v>180.77494603867862</v>
      </c>
    </row>
    <row r="1372" spans="1:6" x14ac:dyDescent="0.25">
      <c r="A1372" s="10">
        <v>38796</v>
      </c>
      <c r="B1372" s="12">
        <f t="shared" si="63"/>
        <v>3</v>
      </c>
      <c r="C1372" s="12">
        <f t="shared" si="64"/>
        <v>2006</v>
      </c>
      <c r="D1372" s="13">
        <v>5000</v>
      </c>
      <c r="E1372" s="13">
        <v>27.652999999999999</v>
      </c>
      <c r="F1372" s="13">
        <f t="shared" si="65"/>
        <v>180.8122084403139</v>
      </c>
    </row>
    <row r="1373" spans="1:6" x14ac:dyDescent="0.25">
      <c r="A1373" s="10">
        <v>38797</v>
      </c>
      <c r="B1373" s="12">
        <f t="shared" si="63"/>
        <v>3</v>
      </c>
      <c r="C1373" s="12">
        <f t="shared" si="64"/>
        <v>2006</v>
      </c>
      <c r="D1373" s="13">
        <v>5000</v>
      </c>
      <c r="E1373" s="13">
        <v>27.7485</v>
      </c>
      <c r="F1373" s="13">
        <f t="shared" si="65"/>
        <v>180.18992017586535</v>
      </c>
    </row>
    <row r="1374" spans="1:6" x14ac:dyDescent="0.25">
      <c r="A1374" s="10">
        <v>38798</v>
      </c>
      <c r="B1374" s="12">
        <f t="shared" si="63"/>
        <v>3</v>
      </c>
      <c r="C1374" s="12">
        <f t="shared" si="64"/>
        <v>2006</v>
      </c>
      <c r="D1374" s="13">
        <v>5000</v>
      </c>
      <c r="E1374" s="13">
        <v>27.730699999999999</v>
      </c>
      <c r="F1374" s="13">
        <f t="shared" si="65"/>
        <v>180.30558190020449</v>
      </c>
    </row>
    <row r="1375" spans="1:6" x14ac:dyDescent="0.25">
      <c r="A1375" s="10">
        <v>38799</v>
      </c>
      <c r="B1375" s="12">
        <f t="shared" si="63"/>
        <v>3</v>
      </c>
      <c r="C1375" s="12">
        <f t="shared" si="64"/>
        <v>2006</v>
      </c>
      <c r="D1375" s="13">
        <v>5000</v>
      </c>
      <c r="E1375" s="13">
        <v>27.827300000000001</v>
      </c>
      <c r="F1375" s="13">
        <f t="shared" si="65"/>
        <v>179.6796670895128</v>
      </c>
    </row>
    <row r="1376" spans="1:6" x14ac:dyDescent="0.25">
      <c r="A1376" s="10">
        <v>38800</v>
      </c>
      <c r="B1376" s="12">
        <f t="shared" si="63"/>
        <v>3</v>
      </c>
      <c r="C1376" s="12">
        <f t="shared" si="64"/>
        <v>2006</v>
      </c>
      <c r="D1376" s="13">
        <v>5000</v>
      </c>
      <c r="E1376" s="13">
        <v>27.846399999999999</v>
      </c>
      <c r="F1376" s="13">
        <f t="shared" si="65"/>
        <v>179.55642381061824</v>
      </c>
    </row>
    <row r="1377" spans="1:6" x14ac:dyDescent="0.25">
      <c r="A1377" s="10">
        <v>38803</v>
      </c>
      <c r="B1377" s="12">
        <f t="shared" si="63"/>
        <v>3</v>
      </c>
      <c r="C1377" s="12">
        <f t="shared" si="64"/>
        <v>2006</v>
      </c>
      <c r="D1377" s="13">
        <v>5150</v>
      </c>
      <c r="E1377" s="13">
        <v>27.783200000000001</v>
      </c>
      <c r="F1377" s="13">
        <f t="shared" si="65"/>
        <v>185.36381698292493</v>
      </c>
    </row>
    <row r="1378" spans="1:6" x14ac:dyDescent="0.25">
      <c r="A1378" s="10">
        <v>38804</v>
      </c>
      <c r="B1378" s="12">
        <f t="shared" si="63"/>
        <v>3</v>
      </c>
      <c r="C1378" s="12">
        <f t="shared" si="64"/>
        <v>2006</v>
      </c>
      <c r="D1378" s="13">
        <v>5150</v>
      </c>
      <c r="E1378" s="13">
        <v>27.7</v>
      </c>
      <c r="F1378" s="13">
        <f t="shared" si="65"/>
        <v>185.92057761732852</v>
      </c>
    </row>
    <row r="1379" spans="1:6" x14ac:dyDescent="0.25">
      <c r="A1379" s="10">
        <v>38805</v>
      </c>
      <c r="B1379" s="12">
        <f t="shared" si="63"/>
        <v>3</v>
      </c>
      <c r="C1379" s="12">
        <f t="shared" si="64"/>
        <v>2006</v>
      </c>
      <c r="D1379" s="13">
        <v>5150</v>
      </c>
      <c r="E1379" s="13">
        <v>27.771699999999999</v>
      </c>
      <c r="F1379" s="13">
        <f t="shared" si="65"/>
        <v>185.4405743976782</v>
      </c>
    </row>
    <row r="1380" spans="1:6" x14ac:dyDescent="0.25">
      <c r="A1380" s="10">
        <v>38806</v>
      </c>
      <c r="B1380" s="12">
        <f t="shared" si="63"/>
        <v>3</v>
      </c>
      <c r="C1380" s="12">
        <f t="shared" si="64"/>
        <v>2006</v>
      </c>
      <c r="D1380" s="13">
        <v>5150</v>
      </c>
      <c r="E1380" s="13">
        <v>27.6921</v>
      </c>
      <c r="F1380" s="13">
        <f t="shared" si="65"/>
        <v>185.97361702434989</v>
      </c>
    </row>
    <row r="1381" spans="1:6" x14ac:dyDescent="0.25">
      <c r="A1381" s="10">
        <v>38807</v>
      </c>
      <c r="B1381" s="12">
        <f t="shared" si="63"/>
        <v>3</v>
      </c>
      <c r="C1381" s="12">
        <f t="shared" si="64"/>
        <v>2006</v>
      </c>
      <c r="D1381" s="13">
        <v>5150</v>
      </c>
      <c r="E1381" s="13">
        <v>27.705100000000002</v>
      </c>
      <c r="F1381" s="13">
        <f t="shared" si="65"/>
        <v>185.88635305413081</v>
      </c>
    </row>
    <row r="1382" spans="1:6" x14ac:dyDescent="0.25">
      <c r="A1382" s="10">
        <v>38810</v>
      </c>
      <c r="B1382" s="12">
        <f t="shared" si="63"/>
        <v>4</v>
      </c>
      <c r="C1382" s="12">
        <f t="shared" si="64"/>
        <v>2006</v>
      </c>
      <c r="D1382" s="13">
        <v>5200</v>
      </c>
      <c r="E1382" s="13">
        <v>27.730499999999999</v>
      </c>
      <c r="F1382" s="13">
        <f t="shared" si="65"/>
        <v>187.51915760624584</v>
      </c>
    </row>
    <row r="1383" spans="1:6" x14ac:dyDescent="0.25">
      <c r="A1383" s="10">
        <v>38811</v>
      </c>
      <c r="B1383" s="12">
        <f t="shared" si="63"/>
        <v>4</v>
      </c>
      <c r="C1383" s="12">
        <f t="shared" si="64"/>
        <v>2006</v>
      </c>
      <c r="D1383" s="13">
        <v>5200</v>
      </c>
      <c r="E1383" s="13">
        <v>27.566700000000001</v>
      </c>
      <c r="F1383" s="13">
        <f t="shared" si="65"/>
        <v>188.63338738405395</v>
      </c>
    </row>
    <row r="1384" spans="1:6" x14ac:dyDescent="0.25">
      <c r="A1384" s="10">
        <v>38812</v>
      </c>
      <c r="B1384" s="12">
        <f t="shared" si="63"/>
        <v>4</v>
      </c>
      <c r="C1384" s="12">
        <f t="shared" si="64"/>
        <v>2006</v>
      </c>
      <c r="D1384" s="13">
        <v>5200</v>
      </c>
      <c r="E1384" s="13">
        <v>27.538499999999999</v>
      </c>
      <c r="F1384" s="13">
        <f t="shared" si="65"/>
        <v>188.82655191822357</v>
      </c>
    </row>
    <row r="1385" spans="1:6" x14ac:dyDescent="0.25">
      <c r="A1385" s="10">
        <v>38813</v>
      </c>
      <c r="B1385" s="12">
        <f t="shared" si="63"/>
        <v>4</v>
      </c>
      <c r="C1385" s="12">
        <f t="shared" si="64"/>
        <v>2006</v>
      </c>
      <c r="D1385" s="13">
        <v>5200</v>
      </c>
      <c r="E1385" s="13">
        <v>27.587499999999999</v>
      </c>
      <c r="F1385" s="13">
        <f t="shared" si="65"/>
        <v>188.49116447666518</v>
      </c>
    </row>
    <row r="1386" spans="1:6" x14ac:dyDescent="0.25">
      <c r="A1386" s="10">
        <v>38814</v>
      </c>
      <c r="B1386" s="12">
        <f t="shared" si="63"/>
        <v>4</v>
      </c>
      <c r="C1386" s="12">
        <f t="shared" si="64"/>
        <v>2006</v>
      </c>
      <c r="D1386" s="13">
        <v>5200</v>
      </c>
      <c r="E1386" s="13">
        <v>27.6645</v>
      </c>
      <c r="F1386" s="13">
        <f t="shared" si="65"/>
        <v>187.96652749914151</v>
      </c>
    </row>
    <row r="1387" spans="1:6" x14ac:dyDescent="0.25">
      <c r="A1387" s="10">
        <v>38817</v>
      </c>
      <c r="B1387" s="12">
        <f t="shared" si="63"/>
        <v>4</v>
      </c>
      <c r="C1387" s="12">
        <f t="shared" si="64"/>
        <v>2006</v>
      </c>
      <c r="D1387" s="13">
        <v>5200</v>
      </c>
      <c r="E1387" s="13">
        <v>27.702000000000002</v>
      </c>
      <c r="F1387" s="13">
        <f t="shared" si="65"/>
        <v>187.71207855028516</v>
      </c>
    </row>
    <row r="1388" spans="1:6" x14ac:dyDescent="0.25">
      <c r="A1388" s="10">
        <v>38818</v>
      </c>
      <c r="B1388" s="12">
        <f t="shared" si="63"/>
        <v>4</v>
      </c>
      <c r="C1388" s="12">
        <f t="shared" si="64"/>
        <v>2006</v>
      </c>
      <c r="D1388" s="13">
        <v>5200</v>
      </c>
      <c r="E1388" s="13">
        <v>27.684999999999999</v>
      </c>
      <c r="F1388" s="13">
        <f t="shared" si="65"/>
        <v>187.82734332671123</v>
      </c>
    </row>
    <row r="1389" spans="1:6" x14ac:dyDescent="0.25">
      <c r="A1389" s="10">
        <v>38819</v>
      </c>
      <c r="B1389" s="12">
        <f t="shared" si="63"/>
        <v>4</v>
      </c>
      <c r="C1389" s="12">
        <f t="shared" si="64"/>
        <v>2006</v>
      </c>
      <c r="D1389" s="13">
        <v>5200</v>
      </c>
      <c r="E1389" s="13">
        <v>27.697500000000002</v>
      </c>
      <c r="F1389" s="13">
        <f t="shared" si="65"/>
        <v>187.74257604476938</v>
      </c>
    </row>
    <row r="1390" spans="1:6" x14ac:dyDescent="0.25">
      <c r="A1390" s="10">
        <v>38820</v>
      </c>
      <c r="B1390" s="12">
        <f t="shared" si="63"/>
        <v>4</v>
      </c>
      <c r="C1390" s="12">
        <f t="shared" si="64"/>
        <v>2006</v>
      </c>
      <c r="D1390" s="13">
        <v>5200</v>
      </c>
      <c r="E1390" s="13">
        <v>27.713999999999999</v>
      </c>
      <c r="F1390" s="13">
        <f t="shared" si="65"/>
        <v>187.63080031752907</v>
      </c>
    </row>
    <row r="1391" spans="1:6" x14ac:dyDescent="0.25">
      <c r="A1391" s="10">
        <v>38824</v>
      </c>
      <c r="B1391" s="12">
        <f t="shared" si="63"/>
        <v>4</v>
      </c>
      <c r="C1391" s="12">
        <f t="shared" si="64"/>
        <v>2006</v>
      </c>
      <c r="D1391" s="13">
        <v>5550</v>
      </c>
      <c r="E1391" s="13">
        <v>27.527999999999999</v>
      </c>
      <c r="F1391" s="13">
        <f t="shared" si="65"/>
        <v>201.61290322580646</v>
      </c>
    </row>
    <row r="1392" spans="1:6" x14ac:dyDescent="0.25">
      <c r="A1392" s="10">
        <v>38825</v>
      </c>
      <c r="B1392" s="12">
        <f t="shared" si="63"/>
        <v>4</v>
      </c>
      <c r="C1392" s="12">
        <f t="shared" si="64"/>
        <v>2006</v>
      </c>
      <c r="D1392" s="13">
        <v>5550</v>
      </c>
      <c r="E1392" s="13">
        <v>27.521999999999998</v>
      </c>
      <c r="F1392" s="13">
        <f t="shared" si="65"/>
        <v>201.65685633311534</v>
      </c>
    </row>
    <row r="1393" spans="1:6" x14ac:dyDescent="0.25">
      <c r="A1393" s="10">
        <v>38826</v>
      </c>
      <c r="B1393" s="12">
        <f t="shared" si="63"/>
        <v>4</v>
      </c>
      <c r="C1393" s="12">
        <f t="shared" si="64"/>
        <v>2006</v>
      </c>
      <c r="D1393" s="13">
        <v>5550</v>
      </c>
      <c r="E1393" s="13">
        <v>27.446999999999999</v>
      </c>
      <c r="F1393" s="13">
        <f t="shared" si="65"/>
        <v>202.20789157284949</v>
      </c>
    </row>
    <row r="1394" spans="1:6" x14ac:dyDescent="0.25">
      <c r="A1394" s="10">
        <v>38827</v>
      </c>
      <c r="B1394" s="12">
        <f t="shared" si="63"/>
        <v>4</v>
      </c>
      <c r="C1394" s="12">
        <f t="shared" si="64"/>
        <v>2006</v>
      </c>
      <c r="D1394" s="13">
        <v>5550</v>
      </c>
      <c r="E1394" s="13">
        <v>27.477</v>
      </c>
      <c r="F1394" s="13">
        <f t="shared" si="65"/>
        <v>201.98711649743422</v>
      </c>
    </row>
    <row r="1395" spans="1:6" x14ac:dyDescent="0.25">
      <c r="A1395" s="10">
        <v>38828</v>
      </c>
      <c r="B1395" s="12">
        <f t="shared" si="63"/>
        <v>4</v>
      </c>
      <c r="C1395" s="12">
        <f t="shared" si="64"/>
        <v>2006</v>
      </c>
      <c r="D1395" s="13">
        <v>5550</v>
      </c>
      <c r="E1395" s="13">
        <v>27.4815</v>
      </c>
      <c r="F1395" s="13">
        <f t="shared" si="65"/>
        <v>201.95404180994487</v>
      </c>
    </row>
    <row r="1396" spans="1:6" x14ac:dyDescent="0.25">
      <c r="A1396" s="10">
        <v>38831</v>
      </c>
      <c r="B1396" s="12">
        <f t="shared" si="63"/>
        <v>4</v>
      </c>
      <c r="C1396" s="12">
        <f t="shared" si="64"/>
        <v>2006</v>
      </c>
      <c r="D1396" s="13">
        <v>5750</v>
      </c>
      <c r="E1396" s="13">
        <v>27.442</v>
      </c>
      <c r="F1396" s="13">
        <f t="shared" si="65"/>
        <v>209.5328328839006</v>
      </c>
    </row>
    <row r="1397" spans="1:6" x14ac:dyDescent="0.25">
      <c r="A1397" s="10">
        <v>38832</v>
      </c>
      <c r="B1397" s="12">
        <f t="shared" si="63"/>
        <v>4</v>
      </c>
      <c r="C1397" s="12">
        <f t="shared" si="64"/>
        <v>2006</v>
      </c>
      <c r="D1397" s="13">
        <v>5750</v>
      </c>
      <c r="E1397" s="13">
        <v>27.402000000000001</v>
      </c>
      <c r="F1397" s="13">
        <f t="shared" si="65"/>
        <v>209.83869790526239</v>
      </c>
    </row>
    <row r="1398" spans="1:6" x14ac:dyDescent="0.25">
      <c r="A1398" s="10">
        <v>38833</v>
      </c>
      <c r="B1398" s="12">
        <f t="shared" si="63"/>
        <v>4</v>
      </c>
      <c r="C1398" s="12">
        <f t="shared" si="64"/>
        <v>2006</v>
      </c>
      <c r="D1398" s="13">
        <v>5750</v>
      </c>
      <c r="E1398" s="13">
        <v>27.393000000000001</v>
      </c>
      <c r="F1398" s="13">
        <f t="shared" si="65"/>
        <v>209.90764063811923</v>
      </c>
    </row>
    <row r="1399" spans="1:6" x14ac:dyDescent="0.25">
      <c r="A1399" s="10">
        <v>38834</v>
      </c>
      <c r="B1399" s="12">
        <f t="shared" si="63"/>
        <v>4</v>
      </c>
      <c r="C1399" s="12">
        <f t="shared" si="64"/>
        <v>2006</v>
      </c>
      <c r="D1399" s="13">
        <v>5750</v>
      </c>
      <c r="E1399" s="13">
        <v>27.39</v>
      </c>
      <c r="F1399" s="13">
        <f t="shared" si="65"/>
        <v>209.93063161737859</v>
      </c>
    </row>
    <row r="1400" spans="1:6" x14ac:dyDescent="0.25">
      <c r="A1400" s="10">
        <v>38835</v>
      </c>
      <c r="B1400" s="12">
        <f t="shared" si="63"/>
        <v>4</v>
      </c>
      <c r="C1400" s="12">
        <f t="shared" si="64"/>
        <v>2006</v>
      </c>
      <c r="D1400" s="13">
        <v>5750</v>
      </c>
      <c r="E1400" s="13">
        <v>27.2501</v>
      </c>
      <c r="F1400" s="13">
        <f t="shared" si="65"/>
        <v>211.00839996917443</v>
      </c>
    </row>
    <row r="1401" spans="1:6" x14ac:dyDescent="0.25">
      <c r="A1401" s="10">
        <v>38838</v>
      </c>
      <c r="B1401" s="12">
        <f t="shared" si="63"/>
        <v>5</v>
      </c>
      <c r="C1401" s="12">
        <f t="shared" si="64"/>
        <v>2006</v>
      </c>
      <c r="D1401" s="13">
        <v>5750</v>
      </c>
      <c r="E1401" s="13">
        <v>27.2501</v>
      </c>
      <c r="F1401" s="13">
        <f t="shared" si="65"/>
        <v>211.00839996917443</v>
      </c>
    </row>
    <row r="1402" spans="1:6" x14ac:dyDescent="0.25">
      <c r="A1402" s="10">
        <v>38839</v>
      </c>
      <c r="B1402" s="12">
        <f t="shared" si="63"/>
        <v>5</v>
      </c>
      <c r="C1402" s="12">
        <f t="shared" si="64"/>
        <v>2006</v>
      </c>
      <c r="D1402" s="13">
        <v>5750</v>
      </c>
      <c r="E1402" s="13">
        <v>27.1675</v>
      </c>
      <c r="F1402" s="13">
        <f t="shared" si="65"/>
        <v>211.64994938805557</v>
      </c>
    </row>
    <row r="1403" spans="1:6" x14ac:dyDescent="0.25">
      <c r="A1403" s="10">
        <v>38840</v>
      </c>
      <c r="B1403" s="12">
        <f t="shared" si="63"/>
        <v>5</v>
      </c>
      <c r="C1403" s="12">
        <f t="shared" si="64"/>
        <v>2006</v>
      </c>
      <c r="D1403" s="13">
        <v>5750</v>
      </c>
      <c r="E1403" s="13">
        <v>27.172499999999999</v>
      </c>
      <c r="F1403" s="13">
        <f t="shared" si="65"/>
        <v>211.61100377219617</v>
      </c>
    </row>
    <row r="1404" spans="1:6" x14ac:dyDescent="0.25">
      <c r="A1404" s="10">
        <v>38841</v>
      </c>
      <c r="B1404" s="12">
        <f t="shared" si="63"/>
        <v>5</v>
      </c>
      <c r="C1404" s="12">
        <f t="shared" si="64"/>
        <v>2006</v>
      </c>
      <c r="D1404" s="13">
        <v>5750</v>
      </c>
      <c r="E1404" s="13">
        <v>27.117000000000001</v>
      </c>
      <c r="F1404" s="13">
        <f t="shared" si="65"/>
        <v>212.04410517387615</v>
      </c>
    </row>
    <row r="1405" spans="1:6" x14ac:dyDescent="0.25">
      <c r="A1405" s="10">
        <v>38842</v>
      </c>
      <c r="B1405" s="12">
        <f t="shared" si="63"/>
        <v>5</v>
      </c>
      <c r="C1405" s="12">
        <f t="shared" si="64"/>
        <v>2006</v>
      </c>
      <c r="D1405" s="13">
        <v>5750</v>
      </c>
      <c r="E1405" s="13">
        <v>27.074999999999999</v>
      </c>
      <c r="F1405" s="13">
        <f t="shared" si="65"/>
        <v>212.37303785780242</v>
      </c>
    </row>
    <row r="1406" spans="1:6" x14ac:dyDescent="0.25">
      <c r="A1406" s="10">
        <v>38845</v>
      </c>
      <c r="B1406" s="12">
        <f t="shared" si="63"/>
        <v>5</v>
      </c>
      <c r="C1406" s="12">
        <f t="shared" si="64"/>
        <v>2006</v>
      </c>
      <c r="D1406" s="13">
        <v>6350</v>
      </c>
      <c r="E1406" s="13">
        <v>27.107900000000001</v>
      </c>
      <c r="F1406" s="13">
        <f t="shared" si="65"/>
        <v>234.24905654809115</v>
      </c>
    </row>
    <row r="1407" spans="1:6" x14ac:dyDescent="0.25">
      <c r="A1407" s="10">
        <v>38846</v>
      </c>
      <c r="B1407" s="12">
        <f t="shared" si="63"/>
        <v>5</v>
      </c>
      <c r="C1407" s="12">
        <f t="shared" si="64"/>
        <v>2006</v>
      </c>
      <c r="D1407" s="13">
        <v>6350</v>
      </c>
      <c r="E1407" s="13">
        <v>27.06</v>
      </c>
      <c r="F1407" s="13">
        <f t="shared" si="65"/>
        <v>234.66371027346639</v>
      </c>
    </row>
    <row r="1408" spans="1:6" x14ac:dyDescent="0.25">
      <c r="A1408" s="10">
        <v>38847</v>
      </c>
      <c r="B1408" s="12">
        <f t="shared" si="63"/>
        <v>5</v>
      </c>
      <c r="C1408" s="12">
        <f t="shared" si="64"/>
        <v>2006</v>
      </c>
      <c r="D1408" s="13">
        <v>6350</v>
      </c>
      <c r="E1408" s="13">
        <v>27.016500000000001</v>
      </c>
      <c r="F1408" s="13">
        <f t="shared" si="65"/>
        <v>235.04154868321211</v>
      </c>
    </row>
    <row r="1409" spans="1:6" x14ac:dyDescent="0.25">
      <c r="A1409" s="10">
        <v>38848</v>
      </c>
      <c r="B1409" s="12">
        <f t="shared" si="63"/>
        <v>5</v>
      </c>
      <c r="C1409" s="12">
        <f t="shared" si="64"/>
        <v>2006</v>
      </c>
      <c r="D1409" s="13">
        <v>6350</v>
      </c>
      <c r="E1409" s="13">
        <v>26.965</v>
      </c>
      <c r="F1409" s="13">
        <f t="shared" si="65"/>
        <v>235.4904505840905</v>
      </c>
    </row>
    <row r="1410" spans="1:6" x14ac:dyDescent="0.25">
      <c r="A1410" s="10">
        <v>38849</v>
      </c>
      <c r="B1410" s="12">
        <f t="shared" si="63"/>
        <v>5</v>
      </c>
      <c r="C1410" s="12">
        <f t="shared" si="64"/>
        <v>2006</v>
      </c>
      <c r="D1410" s="13">
        <v>6350</v>
      </c>
      <c r="E1410" s="13">
        <v>26.922499999999999</v>
      </c>
      <c r="F1410" s="13">
        <f t="shared" si="65"/>
        <v>235.86219704707958</v>
      </c>
    </row>
    <row r="1411" spans="1:6" x14ac:dyDescent="0.25">
      <c r="A1411" s="10">
        <v>38852</v>
      </c>
      <c r="B1411" s="12">
        <f t="shared" ref="B1411:B1474" si="66">MONTH(A1411)</f>
        <v>5</v>
      </c>
      <c r="C1411" s="12">
        <f t="shared" ref="C1411:C1474" si="67">YEAR(A1411)</f>
        <v>2006</v>
      </c>
      <c r="D1411" s="13">
        <v>6350</v>
      </c>
      <c r="E1411" s="13">
        <v>27.0228</v>
      </c>
      <c r="F1411" s="13">
        <f t="shared" ref="F1411:F1474" si="68">IF(D1411="","",D1411/E1411)</f>
        <v>234.98675192800152</v>
      </c>
    </row>
    <row r="1412" spans="1:6" x14ac:dyDescent="0.25">
      <c r="A1412" s="10">
        <v>38853</v>
      </c>
      <c r="B1412" s="12">
        <f t="shared" si="66"/>
        <v>5</v>
      </c>
      <c r="C1412" s="12">
        <f t="shared" si="67"/>
        <v>2006</v>
      </c>
      <c r="D1412" s="13">
        <v>6350</v>
      </c>
      <c r="E1412" s="13">
        <v>26.997499999999999</v>
      </c>
      <c r="F1412" s="13">
        <f t="shared" si="68"/>
        <v>235.20696360774147</v>
      </c>
    </row>
    <row r="1413" spans="1:6" x14ac:dyDescent="0.25">
      <c r="A1413" s="10">
        <v>38854</v>
      </c>
      <c r="B1413" s="12">
        <f t="shared" si="66"/>
        <v>5</v>
      </c>
      <c r="C1413" s="12">
        <f t="shared" si="67"/>
        <v>2006</v>
      </c>
      <c r="D1413" s="13">
        <v>6350</v>
      </c>
      <c r="E1413" s="13">
        <v>26.947500000000002</v>
      </c>
      <c r="F1413" s="13">
        <f t="shared" si="68"/>
        <v>235.64338064755543</v>
      </c>
    </row>
    <row r="1414" spans="1:6" x14ac:dyDescent="0.25">
      <c r="A1414" s="10">
        <v>38855</v>
      </c>
      <c r="B1414" s="12">
        <f t="shared" si="66"/>
        <v>5</v>
      </c>
      <c r="C1414" s="12">
        <f t="shared" si="67"/>
        <v>2006</v>
      </c>
      <c r="D1414" s="13">
        <v>6350</v>
      </c>
      <c r="E1414" s="13">
        <v>27.0276</v>
      </c>
      <c r="F1414" s="13">
        <f t="shared" si="68"/>
        <v>234.94501916559369</v>
      </c>
    </row>
    <row r="1415" spans="1:6" x14ac:dyDescent="0.25">
      <c r="A1415" s="10">
        <v>38856</v>
      </c>
      <c r="B1415" s="12">
        <f t="shared" si="66"/>
        <v>5</v>
      </c>
      <c r="C1415" s="12">
        <f t="shared" si="67"/>
        <v>2006</v>
      </c>
      <c r="D1415" s="13">
        <v>6350</v>
      </c>
      <c r="E1415" s="13">
        <v>27.052499999999998</v>
      </c>
      <c r="F1415" s="13">
        <f t="shared" si="68"/>
        <v>234.72876813603182</v>
      </c>
    </row>
    <row r="1416" spans="1:6" x14ac:dyDescent="0.25">
      <c r="A1416" s="10">
        <v>38859</v>
      </c>
      <c r="B1416" s="12">
        <f t="shared" si="66"/>
        <v>5</v>
      </c>
      <c r="C1416" s="12">
        <f t="shared" si="67"/>
        <v>2006</v>
      </c>
      <c r="D1416" s="13">
        <v>6550</v>
      </c>
      <c r="E1416" s="13">
        <v>27.06</v>
      </c>
      <c r="F1416" s="13">
        <f t="shared" si="68"/>
        <v>242.05469327420548</v>
      </c>
    </row>
    <row r="1417" spans="1:6" x14ac:dyDescent="0.25">
      <c r="A1417" s="10">
        <v>38860</v>
      </c>
      <c r="B1417" s="12">
        <f t="shared" si="66"/>
        <v>5</v>
      </c>
      <c r="C1417" s="12">
        <f t="shared" si="67"/>
        <v>2006</v>
      </c>
      <c r="D1417" s="13">
        <v>6550</v>
      </c>
      <c r="E1417" s="13">
        <v>26.982500000000002</v>
      </c>
      <c r="F1417" s="13">
        <f t="shared" si="68"/>
        <v>242.74993051051607</v>
      </c>
    </row>
    <row r="1418" spans="1:6" x14ac:dyDescent="0.25">
      <c r="A1418" s="10">
        <v>38861</v>
      </c>
      <c r="B1418" s="12">
        <f t="shared" si="66"/>
        <v>5</v>
      </c>
      <c r="C1418" s="12">
        <f t="shared" si="67"/>
        <v>2006</v>
      </c>
      <c r="D1418" s="13">
        <v>6550</v>
      </c>
      <c r="E1418" s="13">
        <v>27.009</v>
      </c>
      <c r="F1418" s="13">
        <f t="shared" si="68"/>
        <v>242.51175534081233</v>
      </c>
    </row>
    <row r="1419" spans="1:6" x14ac:dyDescent="0.25">
      <c r="A1419" s="10">
        <v>38862</v>
      </c>
      <c r="B1419" s="12">
        <f t="shared" si="66"/>
        <v>5</v>
      </c>
      <c r="C1419" s="12">
        <f t="shared" si="67"/>
        <v>2006</v>
      </c>
      <c r="D1419" s="13">
        <v>6550</v>
      </c>
      <c r="E1419" s="13">
        <v>27.035</v>
      </c>
      <c r="F1419" s="13">
        <f t="shared" si="68"/>
        <v>242.27852783428889</v>
      </c>
    </row>
    <row r="1420" spans="1:6" x14ac:dyDescent="0.25">
      <c r="A1420" s="10">
        <v>38863</v>
      </c>
      <c r="B1420" s="12">
        <f t="shared" si="66"/>
        <v>5</v>
      </c>
      <c r="C1420" s="12">
        <f t="shared" si="67"/>
        <v>2006</v>
      </c>
      <c r="D1420" s="13">
        <v>6550</v>
      </c>
      <c r="E1420" s="13">
        <v>27.047999999999998</v>
      </c>
      <c r="F1420" s="13">
        <f t="shared" si="68"/>
        <v>242.16208222419405</v>
      </c>
    </row>
    <row r="1421" spans="1:6" x14ac:dyDescent="0.25">
      <c r="A1421" s="10">
        <v>38867</v>
      </c>
      <c r="B1421" s="12">
        <f t="shared" si="66"/>
        <v>5</v>
      </c>
      <c r="C1421" s="12">
        <f t="shared" si="67"/>
        <v>2006</v>
      </c>
      <c r="D1421" s="13">
        <v>6550</v>
      </c>
      <c r="E1421" s="13">
        <v>26.94</v>
      </c>
      <c r="F1421" s="13">
        <f t="shared" si="68"/>
        <v>243.13288789903487</v>
      </c>
    </row>
    <row r="1422" spans="1:6" x14ac:dyDescent="0.25">
      <c r="A1422" s="10">
        <v>38868</v>
      </c>
      <c r="B1422" s="12">
        <f t="shared" si="66"/>
        <v>5</v>
      </c>
      <c r="C1422" s="12">
        <f t="shared" si="67"/>
        <v>2006</v>
      </c>
      <c r="D1422" s="13">
        <v>6550</v>
      </c>
      <c r="E1422" s="13">
        <v>26.9834</v>
      </c>
      <c r="F1422" s="13">
        <f t="shared" si="68"/>
        <v>242.74183386823009</v>
      </c>
    </row>
    <row r="1423" spans="1:6" x14ac:dyDescent="0.25">
      <c r="A1423" s="10">
        <v>38869</v>
      </c>
      <c r="B1423" s="12">
        <f t="shared" si="66"/>
        <v>6</v>
      </c>
      <c r="C1423" s="12">
        <f t="shared" si="67"/>
        <v>2006</v>
      </c>
      <c r="D1423" s="13">
        <v>6550</v>
      </c>
      <c r="E1423" s="13">
        <v>27.09</v>
      </c>
      <c r="F1423" s="13">
        <f t="shared" si="68"/>
        <v>241.78663713547434</v>
      </c>
    </row>
    <row r="1424" spans="1:6" x14ac:dyDescent="0.25">
      <c r="A1424" s="10">
        <v>38870</v>
      </c>
      <c r="B1424" s="12">
        <f t="shared" si="66"/>
        <v>6</v>
      </c>
      <c r="C1424" s="12">
        <f t="shared" si="67"/>
        <v>2006</v>
      </c>
      <c r="D1424" s="13">
        <v>6550</v>
      </c>
      <c r="E1424" s="13">
        <v>26.76</v>
      </c>
      <c r="F1424" s="13">
        <f t="shared" si="68"/>
        <v>244.76831091180867</v>
      </c>
    </row>
    <row r="1425" spans="1:6" x14ac:dyDescent="0.25">
      <c r="A1425" s="10">
        <v>38873</v>
      </c>
      <c r="B1425" s="12">
        <f t="shared" si="66"/>
        <v>6</v>
      </c>
      <c r="C1425" s="12">
        <f t="shared" si="67"/>
        <v>2006</v>
      </c>
      <c r="D1425" s="13">
        <v>6400</v>
      </c>
      <c r="E1425" s="13">
        <v>26.71</v>
      </c>
      <c r="F1425" s="13">
        <f t="shared" si="68"/>
        <v>239.61063272182702</v>
      </c>
    </row>
    <row r="1426" spans="1:6" x14ac:dyDescent="0.25">
      <c r="A1426" s="10">
        <v>38874</v>
      </c>
      <c r="B1426" s="12">
        <f t="shared" si="66"/>
        <v>6</v>
      </c>
      <c r="C1426" s="12">
        <f t="shared" si="67"/>
        <v>2006</v>
      </c>
      <c r="D1426" s="13">
        <v>6400</v>
      </c>
      <c r="E1426" s="13">
        <v>26.822500000000002</v>
      </c>
      <c r="F1426" s="13">
        <f t="shared" si="68"/>
        <v>238.60564824307949</v>
      </c>
    </row>
    <row r="1427" spans="1:6" x14ac:dyDescent="0.25">
      <c r="A1427" s="10">
        <v>38875</v>
      </c>
      <c r="B1427" s="12">
        <f t="shared" si="66"/>
        <v>6</v>
      </c>
      <c r="C1427" s="12">
        <f t="shared" si="67"/>
        <v>2006</v>
      </c>
      <c r="D1427" s="13">
        <v>6400</v>
      </c>
      <c r="E1427" s="13">
        <v>26.847999999999999</v>
      </c>
      <c r="F1427" s="13">
        <f t="shared" si="68"/>
        <v>238.37902264600717</v>
      </c>
    </row>
    <row r="1428" spans="1:6" x14ac:dyDescent="0.25">
      <c r="A1428" s="10">
        <v>38876</v>
      </c>
      <c r="B1428" s="12">
        <f t="shared" si="66"/>
        <v>6</v>
      </c>
      <c r="C1428" s="12">
        <f t="shared" si="67"/>
        <v>2006</v>
      </c>
      <c r="D1428" s="13">
        <v>6400</v>
      </c>
      <c r="E1428" s="13">
        <v>26.987500000000001</v>
      </c>
      <c r="F1428" s="13">
        <f t="shared" si="68"/>
        <v>237.14682723483094</v>
      </c>
    </row>
    <row r="1429" spans="1:6" x14ac:dyDescent="0.25">
      <c r="A1429" s="10">
        <v>38877</v>
      </c>
      <c r="B1429" s="12">
        <f t="shared" si="66"/>
        <v>6</v>
      </c>
      <c r="C1429" s="12">
        <f t="shared" si="67"/>
        <v>2006</v>
      </c>
      <c r="D1429" s="13">
        <v>6400</v>
      </c>
      <c r="E1429" s="13">
        <v>27.045000000000002</v>
      </c>
      <c r="F1429" s="13">
        <f t="shared" si="68"/>
        <v>236.6426326492882</v>
      </c>
    </row>
    <row r="1430" spans="1:6" x14ac:dyDescent="0.25">
      <c r="A1430" s="10">
        <v>38880</v>
      </c>
      <c r="B1430" s="12">
        <f t="shared" si="66"/>
        <v>6</v>
      </c>
      <c r="C1430" s="12">
        <f t="shared" si="67"/>
        <v>2006</v>
      </c>
      <c r="D1430" s="13">
        <v>6400</v>
      </c>
      <c r="E1430" s="13">
        <v>27.045000000000002</v>
      </c>
      <c r="F1430" s="13">
        <f t="shared" si="68"/>
        <v>236.6426326492882</v>
      </c>
    </row>
    <row r="1431" spans="1:6" x14ac:dyDescent="0.25">
      <c r="A1431" s="10">
        <v>38881</v>
      </c>
      <c r="B1431" s="12">
        <f t="shared" si="66"/>
        <v>6</v>
      </c>
      <c r="C1431" s="12">
        <f t="shared" si="67"/>
        <v>2006</v>
      </c>
      <c r="D1431" s="13">
        <v>6400</v>
      </c>
      <c r="E1431" s="13">
        <v>27.11</v>
      </c>
      <c r="F1431" s="13">
        <f t="shared" si="68"/>
        <v>236.07524898561417</v>
      </c>
    </row>
    <row r="1432" spans="1:6" x14ac:dyDescent="0.25">
      <c r="A1432" s="10">
        <v>38882</v>
      </c>
      <c r="B1432" s="12">
        <f t="shared" si="66"/>
        <v>6</v>
      </c>
      <c r="C1432" s="12">
        <f t="shared" si="67"/>
        <v>2006</v>
      </c>
      <c r="D1432" s="13">
        <v>6400</v>
      </c>
      <c r="E1432" s="13">
        <v>27.037500000000001</v>
      </c>
      <c r="F1432" s="13">
        <f t="shared" si="68"/>
        <v>236.70827554322699</v>
      </c>
    </row>
    <row r="1433" spans="1:6" x14ac:dyDescent="0.25">
      <c r="A1433" s="10">
        <v>38883</v>
      </c>
      <c r="B1433" s="12">
        <f t="shared" si="66"/>
        <v>6</v>
      </c>
      <c r="C1433" s="12">
        <f t="shared" si="67"/>
        <v>2006</v>
      </c>
      <c r="D1433" s="13">
        <v>6400</v>
      </c>
      <c r="E1433" s="13">
        <v>27.035</v>
      </c>
      <c r="F1433" s="13">
        <f t="shared" si="68"/>
        <v>236.73016460144257</v>
      </c>
    </row>
    <row r="1434" spans="1:6" x14ac:dyDescent="0.25">
      <c r="A1434" s="10">
        <v>38884</v>
      </c>
      <c r="B1434" s="12">
        <f t="shared" si="66"/>
        <v>6</v>
      </c>
      <c r="C1434" s="12">
        <f t="shared" si="67"/>
        <v>2006</v>
      </c>
      <c r="D1434" s="13">
        <v>6400</v>
      </c>
      <c r="E1434" s="13">
        <v>27.004999999999999</v>
      </c>
      <c r="F1434" s="13">
        <f t="shared" si="68"/>
        <v>236.99314941677468</v>
      </c>
    </row>
    <row r="1435" spans="1:6" x14ac:dyDescent="0.25">
      <c r="A1435" s="10">
        <v>38887</v>
      </c>
      <c r="B1435" s="12">
        <f t="shared" si="66"/>
        <v>6</v>
      </c>
      <c r="C1435" s="12">
        <f t="shared" si="67"/>
        <v>2006</v>
      </c>
      <c r="D1435" s="13">
        <v>6350</v>
      </c>
      <c r="E1435" s="13">
        <v>27.0565</v>
      </c>
      <c r="F1435" s="13">
        <f t="shared" si="68"/>
        <v>234.69406612089517</v>
      </c>
    </row>
    <row r="1436" spans="1:6" x14ac:dyDescent="0.25">
      <c r="A1436" s="10">
        <v>38888</v>
      </c>
      <c r="B1436" s="12">
        <f t="shared" si="66"/>
        <v>6</v>
      </c>
      <c r="C1436" s="12">
        <f t="shared" si="67"/>
        <v>2006</v>
      </c>
      <c r="D1436" s="13">
        <v>6350</v>
      </c>
      <c r="E1436" s="13">
        <v>27.03</v>
      </c>
      <c r="F1436" s="13">
        <f t="shared" si="68"/>
        <v>234.9241583425823</v>
      </c>
    </row>
    <row r="1437" spans="1:6" x14ac:dyDescent="0.25">
      <c r="A1437" s="10">
        <v>38889</v>
      </c>
      <c r="B1437" s="12">
        <f t="shared" si="66"/>
        <v>6</v>
      </c>
      <c r="C1437" s="12">
        <f t="shared" si="67"/>
        <v>2006</v>
      </c>
      <c r="D1437" s="13">
        <v>6350</v>
      </c>
      <c r="E1437" s="13">
        <v>26.961500000000001</v>
      </c>
      <c r="F1437" s="13">
        <f t="shared" si="68"/>
        <v>235.52102071472285</v>
      </c>
    </row>
    <row r="1438" spans="1:6" x14ac:dyDescent="0.25">
      <c r="A1438" s="10">
        <v>38890</v>
      </c>
      <c r="B1438" s="12">
        <f t="shared" si="66"/>
        <v>6</v>
      </c>
      <c r="C1438" s="12">
        <f t="shared" si="67"/>
        <v>2006</v>
      </c>
      <c r="D1438" s="13">
        <v>6350</v>
      </c>
      <c r="E1438" s="13">
        <v>27.048999999999999</v>
      </c>
      <c r="F1438" s="13">
        <f t="shared" si="68"/>
        <v>234.75914081851454</v>
      </c>
    </row>
    <row r="1439" spans="1:6" x14ac:dyDescent="0.25">
      <c r="A1439" s="10">
        <v>38891</v>
      </c>
      <c r="B1439" s="12">
        <f t="shared" si="66"/>
        <v>6</v>
      </c>
      <c r="C1439" s="12">
        <f t="shared" si="67"/>
        <v>2006</v>
      </c>
      <c r="D1439" s="13">
        <v>6350</v>
      </c>
      <c r="E1439" s="13">
        <v>27.1035</v>
      </c>
      <c r="F1439" s="13">
        <f t="shared" si="68"/>
        <v>234.28708469385873</v>
      </c>
    </row>
    <row r="1440" spans="1:6" x14ac:dyDescent="0.25">
      <c r="A1440" s="10">
        <v>38894</v>
      </c>
      <c r="B1440" s="12">
        <f t="shared" si="66"/>
        <v>6</v>
      </c>
      <c r="C1440" s="12">
        <f t="shared" si="67"/>
        <v>2006</v>
      </c>
      <c r="D1440" s="13">
        <v>6300</v>
      </c>
      <c r="E1440" s="13">
        <v>27.03</v>
      </c>
      <c r="F1440" s="13">
        <f t="shared" si="68"/>
        <v>233.07436182019975</v>
      </c>
    </row>
    <row r="1441" spans="1:6" x14ac:dyDescent="0.25">
      <c r="A1441" s="10">
        <v>38895</v>
      </c>
      <c r="B1441" s="12">
        <f t="shared" si="66"/>
        <v>6</v>
      </c>
      <c r="C1441" s="12">
        <f t="shared" si="67"/>
        <v>2006</v>
      </c>
      <c r="D1441" s="13">
        <v>6300</v>
      </c>
      <c r="E1441" s="13">
        <v>27.043500000000002</v>
      </c>
      <c r="F1441" s="13">
        <f t="shared" si="68"/>
        <v>232.95801209163014</v>
      </c>
    </row>
    <row r="1442" spans="1:6" x14ac:dyDescent="0.25">
      <c r="A1442" s="10">
        <v>38896</v>
      </c>
      <c r="B1442" s="12">
        <f t="shared" si="66"/>
        <v>6</v>
      </c>
      <c r="C1442" s="12">
        <f t="shared" si="67"/>
        <v>2006</v>
      </c>
      <c r="D1442" s="13">
        <v>6300</v>
      </c>
      <c r="E1442" s="13">
        <v>27.082000000000001</v>
      </c>
      <c r="F1442" s="13">
        <f t="shared" si="68"/>
        <v>232.62683701351452</v>
      </c>
    </row>
    <row r="1443" spans="1:6" x14ac:dyDescent="0.25">
      <c r="A1443" s="10">
        <v>38897</v>
      </c>
      <c r="B1443" s="12">
        <f t="shared" si="66"/>
        <v>6</v>
      </c>
      <c r="C1443" s="12">
        <f t="shared" si="67"/>
        <v>2006</v>
      </c>
      <c r="D1443" s="13">
        <v>6300</v>
      </c>
      <c r="E1443" s="13">
        <v>27.102</v>
      </c>
      <c r="F1443" s="13">
        <f t="shared" si="68"/>
        <v>232.45516936019482</v>
      </c>
    </row>
    <row r="1444" spans="1:6" x14ac:dyDescent="0.25">
      <c r="A1444" s="10">
        <v>38898</v>
      </c>
      <c r="B1444" s="12">
        <f t="shared" si="66"/>
        <v>6</v>
      </c>
      <c r="C1444" s="12">
        <f t="shared" si="67"/>
        <v>2006</v>
      </c>
      <c r="D1444" s="13">
        <v>6300</v>
      </c>
      <c r="E1444" s="13">
        <v>26.856999999999999</v>
      </c>
      <c r="F1444" s="13">
        <f t="shared" si="68"/>
        <v>234.57571582827569</v>
      </c>
    </row>
    <row r="1445" spans="1:6" x14ac:dyDescent="0.25">
      <c r="A1445" s="10">
        <v>38901</v>
      </c>
      <c r="B1445" s="12">
        <f t="shared" si="66"/>
        <v>7</v>
      </c>
      <c r="C1445" s="12">
        <f t="shared" si="67"/>
        <v>2006</v>
      </c>
      <c r="D1445" s="13">
        <v>6250</v>
      </c>
      <c r="E1445" s="13">
        <v>26.852</v>
      </c>
      <c r="F1445" s="13">
        <f t="shared" si="68"/>
        <v>232.75733651124682</v>
      </c>
    </row>
    <row r="1446" spans="1:6" x14ac:dyDescent="0.25">
      <c r="A1446" s="10">
        <v>38903</v>
      </c>
      <c r="B1446" s="12">
        <f t="shared" si="66"/>
        <v>7</v>
      </c>
      <c r="C1446" s="12">
        <f t="shared" si="67"/>
        <v>2006</v>
      </c>
      <c r="D1446" s="13">
        <v>6250</v>
      </c>
      <c r="E1446" s="13">
        <v>26.919</v>
      </c>
      <c r="F1446" s="13">
        <f t="shared" si="68"/>
        <v>232.17801552806569</v>
      </c>
    </row>
    <row r="1447" spans="1:6" x14ac:dyDescent="0.25">
      <c r="A1447" s="10">
        <v>38904</v>
      </c>
      <c r="B1447" s="12">
        <f t="shared" si="66"/>
        <v>7</v>
      </c>
      <c r="C1447" s="12">
        <f t="shared" si="67"/>
        <v>2006</v>
      </c>
      <c r="D1447" s="13">
        <v>6250</v>
      </c>
      <c r="E1447" s="13">
        <v>26.87</v>
      </c>
      <c r="F1447" s="13">
        <f t="shared" si="68"/>
        <v>232.60141421659844</v>
      </c>
    </row>
    <row r="1448" spans="1:6" x14ac:dyDescent="0.25">
      <c r="A1448" s="10">
        <v>38905</v>
      </c>
      <c r="B1448" s="12">
        <f t="shared" si="66"/>
        <v>7</v>
      </c>
      <c r="C1448" s="12">
        <f t="shared" si="67"/>
        <v>2006</v>
      </c>
      <c r="D1448" s="13">
        <v>6250</v>
      </c>
      <c r="E1448" s="13">
        <v>26.821999999999999</v>
      </c>
      <c r="F1448" s="13">
        <f t="shared" si="68"/>
        <v>233.01767206024905</v>
      </c>
    </row>
    <row r="1449" spans="1:6" x14ac:dyDescent="0.25">
      <c r="A1449" s="10">
        <v>38908</v>
      </c>
      <c r="B1449" s="12">
        <f t="shared" si="66"/>
        <v>7</v>
      </c>
      <c r="C1449" s="12">
        <f t="shared" si="67"/>
        <v>2006</v>
      </c>
      <c r="D1449" s="13">
        <v>6150</v>
      </c>
      <c r="E1449" s="13">
        <v>26.91</v>
      </c>
      <c r="F1449" s="13">
        <f t="shared" si="68"/>
        <v>228.53957636566332</v>
      </c>
    </row>
    <row r="1450" spans="1:6" x14ac:dyDescent="0.25">
      <c r="A1450" s="10">
        <v>38909</v>
      </c>
      <c r="B1450" s="12">
        <f t="shared" si="66"/>
        <v>7</v>
      </c>
      <c r="C1450" s="12">
        <f t="shared" si="67"/>
        <v>2006</v>
      </c>
      <c r="D1450" s="13">
        <v>6150</v>
      </c>
      <c r="E1450" s="13">
        <v>26.869</v>
      </c>
      <c r="F1450" s="13">
        <f t="shared" si="68"/>
        <v>228.88830994826753</v>
      </c>
    </row>
    <row r="1451" spans="1:6" x14ac:dyDescent="0.25">
      <c r="A1451" s="10">
        <v>38910</v>
      </c>
      <c r="B1451" s="12">
        <f t="shared" si="66"/>
        <v>7</v>
      </c>
      <c r="C1451" s="12">
        <f t="shared" si="67"/>
        <v>2006</v>
      </c>
      <c r="D1451" s="13">
        <v>6150</v>
      </c>
      <c r="E1451" s="13">
        <v>26.923999999999999</v>
      </c>
      <c r="F1451" s="13">
        <f t="shared" si="68"/>
        <v>228.42073986034765</v>
      </c>
    </row>
    <row r="1452" spans="1:6" x14ac:dyDescent="0.25">
      <c r="A1452" s="10">
        <v>38911</v>
      </c>
      <c r="B1452" s="12">
        <f t="shared" si="66"/>
        <v>7</v>
      </c>
      <c r="C1452" s="12">
        <f t="shared" si="67"/>
        <v>2006</v>
      </c>
      <c r="D1452" s="13">
        <v>6150</v>
      </c>
      <c r="E1452" s="13">
        <v>26.937000000000001</v>
      </c>
      <c r="F1452" s="13">
        <f t="shared" si="68"/>
        <v>228.31050228310502</v>
      </c>
    </row>
    <row r="1453" spans="1:6" x14ac:dyDescent="0.25">
      <c r="A1453" s="10">
        <v>38912</v>
      </c>
      <c r="B1453" s="12">
        <f t="shared" si="66"/>
        <v>7</v>
      </c>
      <c r="C1453" s="12">
        <f t="shared" si="67"/>
        <v>2006</v>
      </c>
      <c r="D1453" s="13">
        <v>6150</v>
      </c>
      <c r="E1453" s="13">
        <v>26.969000000000001</v>
      </c>
      <c r="F1453" s="13">
        <f t="shared" si="68"/>
        <v>228.03960102339721</v>
      </c>
    </row>
    <row r="1454" spans="1:6" x14ac:dyDescent="0.25">
      <c r="A1454" s="10">
        <v>38915</v>
      </c>
      <c r="B1454" s="12">
        <f t="shared" si="66"/>
        <v>7</v>
      </c>
      <c r="C1454" s="12">
        <f t="shared" si="67"/>
        <v>2006</v>
      </c>
      <c r="D1454" s="13">
        <v>6100</v>
      </c>
      <c r="E1454" s="13">
        <v>27.006</v>
      </c>
      <c r="F1454" s="13">
        <f t="shared" si="68"/>
        <v>225.87573131896616</v>
      </c>
    </row>
    <row r="1455" spans="1:6" x14ac:dyDescent="0.25">
      <c r="A1455" s="10">
        <v>38916</v>
      </c>
      <c r="B1455" s="12">
        <f t="shared" si="66"/>
        <v>7</v>
      </c>
      <c r="C1455" s="12">
        <f t="shared" si="67"/>
        <v>2006</v>
      </c>
      <c r="D1455" s="13">
        <v>6100</v>
      </c>
      <c r="E1455" s="13">
        <v>27.05</v>
      </c>
      <c r="F1455" s="13">
        <f t="shared" si="68"/>
        <v>225.5083179297597</v>
      </c>
    </row>
    <row r="1456" spans="1:6" x14ac:dyDescent="0.25">
      <c r="A1456" s="10">
        <v>38917</v>
      </c>
      <c r="B1456" s="12">
        <f t="shared" si="66"/>
        <v>7</v>
      </c>
      <c r="C1456" s="12">
        <f t="shared" si="67"/>
        <v>2006</v>
      </c>
      <c r="D1456" s="13">
        <v>6100</v>
      </c>
      <c r="E1456" s="13">
        <v>26.945</v>
      </c>
      <c r="F1456" s="13">
        <f t="shared" si="68"/>
        <v>226.3870848023752</v>
      </c>
    </row>
    <row r="1457" spans="1:6" x14ac:dyDescent="0.25">
      <c r="A1457" s="10">
        <v>38918</v>
      </c>
      <c r="B1457" s="12">
        <f t="shared" si="66"/>
        <v>7</v>
      </c>
      <c r="C1457" s="12">
        <f t="shared" si="67"/>
        <v>2006</v>
      </c>
      <c r="D1457" s="13">
        <v>6100</v>
      </c>
      <c r="E1457" s="13">
        <v>26.914999999999999</v>
      </c>
      <c r="F1457" s="13">
        <f t="shared" si="68"/>
        <v>226.63942039754784</v>
      </c>
    </row>
    <row r="1458" spans="1:6" x14ac:dyDescent="0.25">
      <c r="A1458" s="10">
        <v>38919</v>
      </c>
      <c r="B1458" s="12">
        <f t="shared" si="66"/>
        <v>7</v>
      </c>
      <c r="C1458" s="12">
        <f t="shared" si="67"/>
        <v>2006</v>
      </c>
      <c r="D1458" s="13">
        <v>6100</v>
      </c>
      <c r="E1458" s="13">
        <v>26.864999999999998</v>
      </c>
      <c r="F1458" s="13">
        <f t="shared" si="68"/>
        <v>227.06123208635773</v>
      </c>
    </row>
    <row r="1459" spans="1:6" x14ac:dyDescent="0.25">
      <c r="A1459" s="10">
        <v>38922</v>
      </c>
      <c r="B1459" s="12">
        <f t="shared" si="66"/>
        <v>7</v>
      </c>
      <c r="C1459" s="12">
        <f t="shared" si="67"/>
        <v>2006</v>
      </c>
      <c r="D1459" s="13">
        <v>6100</v>
      </c>
      <c r="E1459" s="13">
        <v>26.928999999999998</v>
      </c>
      <c r="F1459" s="13">
        <f t="shared" si="68"/>
        <v>226.52159382078801</v>
      </c>
    </row>
    <row r="1460" spans="1:6" x14ac:dyDescent="0.25">
      <c r="A1460" s="10">
        <v>38923</v>
      </c>
      <c r="B1460" s="12">
        <f t="shared" si="66"/>
        <v>7</v>
      </c>
      <c r="C1460" s="12">
        <f t="shared" si="67"/>
        <v>2006</v>
      </c>
      <c r="D1460" s="13">
        <v>6100</v>
      </c>
      <c r="E1460" s="13">
        <v>26.975999999999999</v>
      </c>
      <c r="F1460" s="13">
        <f t="shared" si="68"/>
        <v>226.12692763938315</v>
      </c>
    </row>
    <row r="1461" spans="1:6" x14ac:dyDescent="0.25">
      <c r="A1461" s="10">
        <v>38924</v>
      </c>
      <c r="B1461" s="12">
        <f t="shared" si="66"/>
        <v>7</v>
      </c>
      <c r="C1461" s="12">
        <f t="shared" si="67"/>
        <v>2006</v>
      </c>
      <c r="D1461" s="13">
        <v>6100</v>
      </c>
      <c r="E1461" s="13">
        <v>26.933</v>
      </c>
      <c r="F1461" s="13">
        <f t="shared" si="68"/>
        <v>226.48795158355921</v>
      </c>
    </row>
    <row r="1462" spans="1:6" x14ac:dyDescent="0.25">
      <c r="A1462" s="10">
        <v>38925</v>
      </c>
      <c r="B1462" s="12">
        <f t="shared" si="66"/>
        <v>7</v>
      </c>
      <c r="C1462" s="12">
        <f t="shared" si="67"/>
        <v>2006</v>
      </c>
      <c r="D1462" s="13">
        <v>6100</v>
      </c>
      <c r="E1462" s="13">
        <v>26.802</v>
      </c>
      <c r="F1462" s="13">
        <f t="shared" si="68"/>
        <v>227.59495560032835</v>
      </c>
    </row>
    <row r="1463" spans="1:6" x14ac:dyDescent="0.25">
      <c r="A1463" s="10">
        <v>38926</v>
      </c>
      <c r="B1463" s="12">
        <f t="shared" si="66"/>
        <v>7</v>
      </c>
      <c r="C1463" s="12">
        <f t="shared" si="67"/>
        <v>2006</v>
      </c>
      <c r="D1463" s="13">
        <v>6100</v>
      </c>
      <c r="E1463" s="13">
        <v>26.81</v>
      </c>
      <c r="F1463" s="13">
        <f t="shared" si="68"/>
        <v>227.52704214845207</v>
      </c>
    </row>
    <row r="1464" spans="1:6" x14ac:dyDescent="0.25">
      <c r="A1464" s="10">
        <v>38929</v>
      </c>
      <c r="B1464" s="12">
        <f t="shared" si="66"/>
        <v>7</v>
      </c>
      <c r="C1464" s="12">
        <f t="shared" si="67"/>
        <v>2006</v>
      </c>
      <c r="D1464" s="13">
        <v>6000</v>
      </c>
      <c r="E1464" s="13">
        <v>26.797000000000001</v>
      </c>
      <c r="F1464" s="13">
        <f t="shared" si="68"/>
        <v>223.90566108146433</v>
      </c>
    </row>
    <row r="1465" spans="1:6" x14ac:dyDescent="0.25">
      <c r="A1465" s="10">
        <v>38930</v>
      </c>
      <c r="B1465" s="12">
        <f t="shared" si="66"/>
        <v>8</v>
      </c>
      <c r="C1465" s="12">
        <f t="shared" si="67"/>
        <v>2006</v>
      </c>
      <c r="D1465" s="13">
        <v>6000</v>
      </c>
      <c r="E1465" s="13">
        <v>26.76</v>
      </c>
      <c r="F1465" s="13">
        <f t="shared" si="68"/>
        <v>224.2152466367713</v>
      </c>
    </row>
    <row r="1466" spans="1:6" x14ac:dyDescent="0.25">
      <c r="A1466" s="10">
        <v>38931</v>
      </c>
      <c r="B1466" s="12">
        <f t="shared" si="66"/>
        <v>8</v>
      </c>
      <c r="C1466" s="12">
        <f t="shared" si="67"/>
        <v>2006</v>
      </c>
      <c r="D1466" s="13">
        <v>6000</v>
      </c>
      <c r="E1466" s="13">
        <v>26.766999999999999</v>
      </c>
      <c r="F1466" s="13">
        <f t="shared" si="68"/>
        <v>224.15661075204542</v>
      </c>
    </row>
    <row r="1467" spans="1:6" x14ac:dyDescent="0.25">
      <c r="A1467" s="10">
        <v>38932</v>
      </c>
      <c r="B1467" s="12">
        <f t="shared" si="66"/>
        <v>8</v>
      </c>
      <c r="C1467" s="12">
        <f t="shared" si="67"/>
        <v>2006</v>
      </c>
      <c r="D1467" s="13">
        <v>6000</v>
      </c>
      <c r="E1467" s="13">
        <v>26.76</v>
      </c>
      <c r="F1467" s="13">
        <f t="shared" si="68"/>
        <v>224.2152466367713</v>
      </c>
    </row>
    <row r="1468" spans="1:6" x14ac:dyDescent="0.25">
      <c r="A1468" s="10">
        <v>38933</v>
      </c>
      <c r="B1468" s="12">
        <f t="shared" si="66"/>
        <v>8</v>
      </c>
      <c r="C1468" s="12">
        <f t="shared" si="67"/>
        <v>2006</v>
      </c>
      <c r="D1468" s="13">
        <v>6000</v>
      </c>
      <c r="E1468" s="13">
        <v>26.67</v>
      </c>
      <c r="F1468" s="13">
        <f t="shared" si="68"/>
        <v>224.97187851518558</v>
      </c>
    </row>
    <row r="1469" spans="1:6" x14ac:dyDescent="0.25">
      <c r="A1469" s="10">
        <v>38936</v>
      </c>
      <c r="B1469" s="12">
        <f t="shared" si="66"/>
        <v>8</v>
      </c>
      <c r="C1469" s="12">
        <f t="shared" si="67"/>
        <v>2006</v>
      </c>
      <c r="D1469" s="13">
        <v>5950</v>
      </c>
      <c r="E1469" s="13">
        <v>26.722000000000001</v>
      </c>
      <c r="F1469" s="13">
        <f t="shared" si="68"/>
        <v>222.66297432826883</v>
      </c>
    </row>
    <row r="1470" spans="1:6" x14ac:dyDescent="0.25">
      <c r="A1470" s="10">
        <v>38937</v>
      </c>
      <c r="B1470" s="12">
        <f t="shared" si="66"/>
        <v>8</v>
      </c>
      <c r="C1470" s="12">
        <f t="shared" si="67"/>
        <v>2006</v>
      </c>
      <c r="D1470" s="13">
        <v>5950</v>
      </c>
      <c r="E1470" s="13">
        <v>26.718</v>
      </c>
      <c r="F1470" s="13">
        <f t="shared" si="68"/>
        <v>222.69630960401227</v>
      </c>
    </row>
    <row r="1471" spans="1:6" x14ac:dyDescent="0.25">
      <c r="A1471" s="10">
        <v>38938</v>
      </c>
      <c r="B1471" s="12">
        <f t="shared" si="66"/>
        <v>8</v>
      </c>
      <c r="C1471" s="12">
        <f t="shared" si="67"/>
        <v>2006</v>
      </c>
      <c r="D1471" s="13">
        <v>5950</v>
      </c>
      <c r="E1471" s="13">
        <v>26.683499999999999</v>
      </c>
      <c r="F1471" s="13">
        <f t="shared" si="68"/>
        <v>222.98424119774393</v>
      </c>
    </row>
    <row r="1472" spans="1:6" x14ac:dyDescent="0.25">
      <c r="A1472" s="10">
        <v>38939</v>
      </c>
      <c r="B1472" s="12">
        <f t="shared" si="66"/>
        <v>8</v>
      </c>
      <c r="C1472" s="12">
        <f t="shared" si="67"/>
        <v>2006</v>
      </c>
      <c r="D1472" s="13">
        <v>5950</v>
      </c>
      <c r="E1472" s="13">
        <v>26.770499999999998</v>
      </c>
      <c r="F1472" s="13">
        <f t="shared" si="68"/>
        <v>222.25957677294036</v>
      </c>
    </row>
    <row r="1473" spans="1:6" x14ac:dyDescent="0.25">
      <c r="A1473" s="10">
        <v>38940</v>
      </c>
      <c r="B1473" s="12">
        <f t="shared" si="66"/>
        <v>8</v>
      </c>
      <c r="C1473" s="12">
        <f t="shared" si="67"/>
        <v>2006</v>
      </c>
      <c r="D1473" s="13">
        <v>5950</v>
      </c>
      <c r="E1473" s="13">
        <v>26.8215</v>
      </c>
      <c r="F1473" s="13">
        <f t="shared" si="68"/>
        <v>221.83695915590104</v>
      </c>
    </row>
    <row r="1474" spans="1:6" x14ac:dyDescent="0.25">
      <c r="A1474" s="10">
        <v>38943</v>
      </c>
      <c r="B1474" s="12">
        <f t="shared" si="66"/>
        <v>8</v>
      </c>
      <c r="C1474" s="12">
        <f t="shared" si="67"/>
        <v>2006</v>
      </c>
      <c r="D1474" s="13">
        <v>5950</v>
      </c>
      <c r="E1474" s="13">
        <v>26.829000000000001</v>
      </c>
      <c r="F1474" s="13">
        <f t="shared" si="68"/>
        <v>221.77494502217749</v>
      </c>
    </row>
    <row r="1475" spans="1:6" x14ac:dyDescent="0.25">
      <c r="A1475" s="10">
        <v>38944</v>
      </c>
      <c r="B1475" s="12">
        <f t="shared" ref="B1475:B1538" si="69">MONTH(A1475)</f>
        <v>8</v>
      </c>
      <c r="C1475" s="12">
        <f t="shared" ref="C1475:C1538" si="70">YEAR(A1475)</f>
        <v>2006</v>
      </c>
      <c r="D1475" s="13">
        <v>5950</v>
      </c>
      <c r="E1475" s="13">
        <v>26.77</v>
      </c>
      <c r="F1475" s="13">
        <f t="shared" ref="F1475:F1538" si="71">IF(D1475="","",D1475/E1475)</f>
        <v>222.26372805379157</v>
      </c>
    </row>
    <row r="1476" spans="1:6" x14ac:dyDescent="0.25">
      <c r="A1476" s="10">
        <v>38945</v>
      </c>
      <c r="B1476" s="12">
        <f t="shared" si="69"/>
        <v>8</v>
      </c>
      <c r="C1476" s="12">
        <f t="shared" si="70"/>
        <v>2006</v>
      </c>
      <c r="D1476" s="13">
        <v>5950</v>
      </c>
      <c r="E1476" s="13">
        <v>26.727499999999999</v>
      </c>
      <c r="F1476" s="13">
        <f t="shared" si="71"/>
        <v>222.6171546160322</v>
      </c>
    </row>
    <row r="1477" spans="1:6" x14ac:dyDescent="0.25">
      <c r="A1477" s="10">
        <v>38946</v>
      </c>
      <c r="B1477" s="12">
        <f t="shared" si="69"/>
        <v>8</v>
      </c>
      <c r="C1477" s="12">
        <f t="shared" si="70"/>
        <v>2006</v>
      </c>
      <c r="D1477" s="13">
        <v>5950</v>
      </c>
      <c r="E1477" s="13">
        <v>26.7563</v>
      </c>
      <c r="F1477" s="13">
        <f t="shared" si="71"/>
        <v>222.37753351547113</v>
      </c>
    </row>
    <row r="1478" spans="1:6" x14ac:dyDescent="0.25">
      <c r="A1478" s="10">
        <v>38947</v>
      </c>
      <c r="B1478" s="12">
        <f t="shared" si="69"/>
        <v>8</v>
      </c>
      <c r="C1478" s="12">
        <f t="shared" si="70"/>
        <v>2006</v>
      </c>
      <c r="D1478" s="13">
        <v>5950</v>
      </c>
      <c r="E1478" s="13">
        <v>26.733000000000001</v>
      </c>
      <c r="F1478" s="13">
        <f t="shared" si="71"/>
        <v>222.57135375752816</v>
      </c>
    </row>
    <row r="1479" spans="1:6" x14ac:dyDescent="0.25">
      <c r="A1479" s="10">
        <v>38950</v>
      </c>
      <c r="B1479" s="12">
        <f t="shared" si="69"/>
        <v>8</v>
      </c>
      <c r="C1479" s="12">
        <f t="shared" si="70"/>
        <v>2006</v>
      </c>
      <c r="D1479" s="13">
        <v>5950</v>
      </c>
      <c r="E1479" s="13">
        <v>26.675000000000001</v>
      </c>
      <c r="F1479" s="13">
        <f t="shared" si="71"/>
        <v>223.05529522024366</v>
      </c>
    </row>
    <row r="1480" spans="1:6" x14ac:dyDescent="0.25">
      <c r="A1480" s="10">
        <v>38951</v>
      </c>
      <c r="B1480" s="12">
        <f t="shared" si="69"/>
        <v>8</v>
      </c>
      <c r="C1480" s="12">
        <f t="shared" si="70"/>
        <v>2006</v>
      </c>
      <c r="D1480" s="13">
        <v>5950</v>
      </c>
      <c r="E1480" s="13">
        <v>26.7714</v>
      </c>
      <c r="F1480" s="13">
        <f t="shared" si="71"/>
        <v>222.25210485816953</v>
      </c>
    </row>
    <row r="1481" spans="1:6" x14ac:dyDescent="0.25">
      <c r="A1481" s="10">
        <v>38952</v>
      </c>
      <c r="B1481" s="12">
        <f t="shared" si="69"/>
        <v>8</v>
      </c>
      <c r="C1481" s="12">
        <f t="shared" si="70"/>
        <v>2006</v>
      </c>
      <c r="D1481" s="13">
        <v>5950</v>
      </c>
      <c r="E1481" s="13">
        <v>26.774100000000001</v>
      </c>
      <c r="F1481" s="13">
        <f t="shared" si="71"/>
        <v>222.22969212783997</v>
      </c>
    </row>
    <row r="1482" spans="1:6" x14ac:dyDescent="0.25">
      <c r="A1482" s="10">
        <v>38953</v>
      </c>
      <c r="B1482" s="12">
        <f t="shared" si="69"/>
        <v>8</v>
      </c>
      <c r="C1482" s="12">
        <f t="shared" si="70"/>
        <v>2006</v>
      </c>
      <c r="D1482" s="13">
        <v>5950</v>
      </c>
      <c r="E1482" s="13">
        <v>26.79</v>
      </c>
      <c r="F1482" s="13">
        <f t="shared" si="71"/>
        <v>222.09779768570363</v>
      </c>
    </row>
    <row r="1483" spans="1:6" x14ac:dyDescent="0.25">
      <c r="A1483" s="10">
        <v>38954</v>
      </c>
      <c r="B1483" s="12">
        <f t="shared" si="69"/>
        <v>8</v>
      </c>
      <c r="C1483" s="12">
        <f t="shared" si="70"/>
        <v>2006</v>
      </c>
      <c r="D1483" s="13">
        <v>5950</v>
      </c>
      <c r="E1483" s="13">
        <v>26.795999999999999</v>
      </c>
      <c r="F1483" s="13">
        <f t="shared" si="71"/>
        <v>222.04806687565309</v>
      </c>
    </row>
    <row r="1484" spans="1:6" x14ac:dyDescent="0.25">
      <c r="A1484" s="10">
        <v>38957</v>
      </c>
      <c r="B1484" s="12">
        <f t="shared" si="69"/>
        <v>8</v>
      </c>
      <c r="C1484" s="12">
        <f t="shared" si="70"/>
        <v>2006</v>
      </c>
      <c r="D1484" s="13">
        <v>5750</v>
      </c>
      <c r="E1484" s="13">
        <v>26.7666</v>
      </c>
      <c r="F1484" s="13">
        <f t="shared" si="71"/>
        <v>214.81996219168664</v>
      </c>
    </row>
    <row r="1485" spans="1:6" x14ac:dyDescent="0.25">
      <c r="A1485" s="10">
        <v>38958</v>
      </c>
      <c r="B1485" s="12">
        <f t="shared" si="69"/>
        <v>8</v>
      </c>
      <c r="C1485" s="12">
        <f t="shared" si="70"/>
        <v>2006</v>
      </c>
      <c r="D1485" s="13">
        <v>5750</v>
      </c>
      <c r="E1485" s="13">
        <v>26.784099999999999</v>
      </c>
      <c r="F1485" s="13">
        <f t="shared" si="71"/>
        <v>214.67960469084272</v>
      </c>
    </row>
    <row r="1486" spans="1:6" x14ac:dyDescent="0.25">
      <c r="A1486" s="10">
        <v>38959</v>
      </c>
      <c r="B1486" s="12">
        <f t="shared" si="69"/>
        <v>8</v>
      </c>
      <c r="C1486" s="12">
        <f t="shared" si="70"/>
        <v>2006</v>
      </c>
      <c r="D1486" s="13">
        <v>5750</v>
      </c>
      <c r="E1486" s="13">
        <v>26.734000000000002</v>
      </c>
      <c r="F1486" s="13">
        <f t="shared" si="71"/>
        <v>215.08191815665444</v>
      </c>
    </row>
    <row r="1487" spans="1:6" x14ac:dyDescent="0.25">
      <c r="A1487" s="10">
        <v>38960</v>
      </c>
      <c r="B1487" s="12">
        <f t="shared" si="69"/>
        <v>8</v>
      </c>
      <c r="C1487" s="12">
        <f t="shared" si="70"/>
        <v>2006</v>
      </c>
      <c r="D1487" s="13">
        <v>5750</v>
      </c>
      <c r="E1487" s="13">
        <v>26.766400000000001</v>
      </c>
      <c r="F1487" s="13">
        <f t="shared" si="71"/>
        <v>214.82156733815529</v>
      </c>
    </row>
    <row r="1488" spans="1:6" x14ac:dyDescent="0.25">
      <c r="A1488" s="10">
        <v>38961</v>
      </c>
      <c r="B1488" s="12">
        <f t="shared" si="69"/>
        <v>9</v>
      </c>
      <c r="C1488" s="12">
        <f t="shared" si="70"/>
        <v>2006</v>
      </c>
      <c r="D1488" s="13">
        <v>5750</v>
      </c>
      <c r="E1488" s="13">
        <v>26.732299999999999</v>
      </c>
      <c r="F1488" s="13">
        <f t="shared" si="71"/>
        <v>215.09559596443256</v>
      </c>
    </row>
    <row r="1489" spans="1:6" x14ac:dyDescent="0.25">
      <c r="A1489" s="10">
        <v>38965</v>
      </c>
      <c r="B1489" s="12">
        <f t="shared" si="69"/>
        <v>9</v>
      </c>
      <c r="C1489" s="12">
        <f t="shared" si="70"/>
        <v>2006</v>
      </c>
      <c r="D1489" s="13">
        <v>5350</v>
      </c>
      <c r="E1489" s="13">
        <v>26.674299999999999</v>
      </c>
      <c r="F1489" s="13">
        <f t="shared" si="71"/>
        <v>200.56758752807011</v>
      </c>
    </row>
    <row r="1490" spans="1:6" x14ac:dyDescent="0.25">
      <c r="A1490" s="10">
        <v>38966</v>
      </c>
      <c r="B1490" s="12">
        <f t="shared" si="69"/>
        <v>9</v>
      </c>
      <c r="C1490" s="12">
        <f t="shared" si="70"/>
        <v>2006</v>
      </c>
      <c r="D1490" s="13">
        <v>5350</v>
      </c>
      <c r="E1490" s="13">
        <v>26.697199999999999</v>
      </c>
      <c r="F1490" s="13">
        <f t="shared" si="71"/>
        <v>200.39554709857214</v>
      </c>
    </row>
    <row r="1491" spans="1:6" x14ac:dyDescent="0.25">
      <c r="A1491" s="10">
        <v>38967</v>
      </c>
      <c r="B1491" s="12">
        <f t="shared" si="69"/>
        <v>9</v>
      </c>
      <c r="C1491" s="12">
        <f t="shared" si="70"/>
        <v>2006</v>
      </c>
      <c r="D1491" s="13">
        <v>5350</v>
      </c>
      <c r="E1491" s="13">
        <v>26.715</v>
      </c>
      <c r="F1491" s="13">
        <f t="shared" si="71"/>
        <v>200.26202507954332</v>
      </c>
    </row>
    <row r="1492" spans="1:6" x14ac:dyDescent="0.25">
      <c r="A1492" s="10">
        <v>38968</v>
      </c>
      <c r="B1492" s="12">
        <f t="shared" si="69"/>
        <v>9</v>
      </c>
      <c r="C1492" s="12">
        <f t="shared" si="70"/>
        <v>2006</v>
      </c>
      <c r="D1492" s="13">
        <v>5350</v>
      </c>
      <c r="E1492" s="13">
        <v>26.800699999999999</v>
      </c>
      <c r="F1492" s="13">
        <f t="shared" si="71"/>
        <v>199.6216516732772</v>
      </c>
    </row>
    <row r="1493" spans="1:6" x14ac:dyDescent="0.25">
      <c r="A1493" s="10">
        <v>38971</v>
      </c>
      <c r="B1493" s="12">
        <f t="shared" si="69"/>
        <v>9</v>
      </c>
      <c r="C1493" s="12">
        <f t="shared" si="70"/>
        <v>2006</v>
      </c>
      <c r="D1493" s="13">
        <v>5300</v>
      </c>
      <c r="E1493" s="13">
        <v>26.795000000000002</v>
      </c>
      <c r="F1493" s="13">
        <f t="shared" si="71"/>
        <v>197.79809665982458</v>
      </c>
    </row>
    <row r="1494" spans="1:6" x14ac:dyDescent="0.25">
      <c r="A1494" s="10">
        <v>38972</v>
      </c>
      <c r="B1494" s="12">
        <f t="shared" si="69"/>
        <v>9</v>
      </c>
      <c r="C1494" s="12">
        <f t="shared" si="70"/>
        <v>2006</v>
      </c>
      <c r="D1494" s="13">
        <v>5300</v>
      </c>
      <c r="E1494" s="13">
        <v>26.806100000000001</v>
      </c>
      <c r="F1494" s="13">
        <f t="shared" si="71"/>
        <v>197.71619146388321</v>
      </c>
    </row>
    <row r="1495" spans="1:6" x14ac:dyDescent="0.25">
      <c r="A1495" s="10">
        <v>38973</v>
      </c>
      <c r="B1495" s="12">
        <f t="shared" si="69"/>
        <v>9</v>
      </c>
      <c r="C1495" s="12">
        <f t="shared" si="70"/>
        <v>2006</v>
      </c>
      <c r="D1495" s="13">
        <v>5300</v>
      </c>
      <c r="E1495" s="13">
        <v>26.79</v>
      </c>
      <c r="F1495" s="13">
        <f t="shared" si="71"/>
        <v>197.83501306457634</v>
      </c>
    </row>
    <row r="1496" spans="1:6" x14ac:dyDescent="0.25">
      <c r="A1496" s="10">
        <v>38974</v>
      </c>
      <c r="B1496" s="12">
        <f t="shared" si="69"/>
        <v>9</v>
      </c>
      <c r="C1496" s="12">
        <f t="shared" si="70"/>
        <v>2006</v>
      </c>
      <c r="D1496" s="13">
        <v>5300</v>
      </c>
      <c r="E1496" s="13">
        <v>26.758500000000002</v>
      </c>
      <c r="F1496" s="13">
        <f t="shared" si="71"/>
        <v>198.06790365678194</v>
      </c>
    </row>
    <row r="1497" spans="1:6" x14ac:dyDescent="0.25">
      <c r="A1497" s="10">
        <v>38975</v>
      </c>
      <c r="B1497" s="12">
        <f t="shared" si="69"/>
        <v>9</v>
      </c>
      <c r="C1497" s="12">
        <f t="shared" si="70"/>
        <v>2006</v>
      </c>
      <c r="D1497" s="13">
        <v>5300</v>
      </c>
      <c r="E1497" s="13">
        <v>26.797499999999999</v>
      </c>
      <c r="F1497" s="13">
        <f t="shared" si="71"/>
        <v>197.77964362347234</v>
      </c>
    </row>
    <row r="1498" spans="1:6" x14ac:dyDescent="0.25">
      <c r="A1498" s="10">
        <v>38978</v>
      </c>
      <c r="B1498" s="12">
        <f t="shared" si="69"/>
        <v>9</v>
      </c>
      <c r="C1498" s="12">
        <f t="shared" si="70"/>
        <v>2006</v>
      </c>
      <c r="D1498" s="13">
        <v>5250</v>
      </c>
      <c r="E1498" s="13">
        <v>26.786000000000001</v>
      </c>
      <c r="F1498" s="13">
        <f t="shared" si="71"/>
        <v>195.99790935563354</v>
      </c>
    </row>
    <row r="1499" spans="1:6" x14ac:dyDescent="0.25">
      <c r="A1499" s="10">
        <v>38979</v>
      </c>
      <c r="B1499" s="12">
        <f t="shared" si="69"/>
        <v>9</v>
      </c>
      <c r="C1499" s="12">
        <f t="shared" si="70"/>
        <v>2006</v>
      </c>
      <c r="D1499" s="13">
        <v>5250</v>
      </c>
      <c r="E1499" s="13">
        <v>26.792000000000002</v>
      </c>
      <c r="F1499" s="13">
        <f t="shared" si="71"/>
        <v>195.95401612421617</v>
      </c>
    </row>
    <row r="1500" spans="1:6" x14ac:dyDescent="0.25">
      <c r="A1500" s="10">
        <v>38980</v>
      </c>
      <c r="B1500" s="12">
        <f t="shared" si="69"/>
        <v>9</v>
      </c>
      <c r="C1500" s="12">
        <f t="shared" si="70"/>
        <v>2006</v>
      </c>
      <c r="D1500" s="13">
        <v>5250</v>
      </c>
      <c r="E1500" s="13">
        <v>26.754999999999999</v>
      </c>
      <c r="F1500" s="13">
        <f t="shared" si="71"/>
        <v>196.22500467202391</v>
      </c>
    </row>
    <row r="1501" spans="1:6" x14ac:dyDescent="0.25">
      <c r="A1501" s="10">
        <v>38981</v>
      </c>
      <c r="B1501" s="12">
        <f t="shared" si="69"/>
        <v>9</v>
      </c>
      <c r="C1501" s="12">
        <f t="shared" si="70"/>
        <v>2006</v>
      </c>
      <c r="D1501" s="13">
        <v>5250</v>
      </c>
      <c r="E1501" s="13">
        <v>26.69</v>
      </c>
      <c r="F1501" s="13">
        <f t="shared" si="71"/>
        <v>196.7028849756463</v>
      </c>
    </row>
    <row r="1502" spans="1:6" x14ac:dyDescent="0.25">
      <c r="A1502" s="10">
        <v>38982</v>
      </c>
      <c r="B1502" s="12">
        <f t="shared" si="69"/>
        <v>9</v>
      </c>
      <c r="C1502" s="12">
        <f t="shared" si="70"/>
        <v>2006</v>
      </c>
      <c r="D1502" s="13">
        <v>5250</v>
      </c>
      <c r="E1502" s="13">
        <v>26.661999999999999</v>
      </c>
      <c r="F1502" s="13">
        <f t="shared" si="71"/>
        <v>196.90945915535218</v>
      </c>
    </row>
    <row r="1503" spans="1:6" x14ac:dyDescent="0.25">
      <c r="A1503" s="10">
        <v>38985</v>
      </c>
      <c r="B1503" s="12">
        <f t="shared" si="69"/>
        <v>9</v>
      </c>
      <c r="C1503" s="12">
        <f t="shared" si="70"/>
        <v>2006</v>
      </c>
      <c r="D1503" s="13">
        <v>5150</v>
      </c>
      <c r="E1503" s="13">
        <v>26.72</v>
      </c>
      <c r="F1503" s="13">
        <f t="shared" si="71"/>
        <v>192.73952095808383</v>
      </c>
    </row>
    <row r="1504" spans="1:6" x14ac:dyDescent="0.25">
      <c r="A1504" s="10">
        <v>38986</v>
      </c>
      <c r="B1504" s="12">
        <f t="shared" si="69"/>
        <v>9</v>
      </c>
      <c r="C1504" s="12">
        <f t="shared" si="70"/>
        <v>2006</v>
      </c>
      <c r="D1504" s="13">
        <v>5150</v>
      </c>
      <c r="E1504" s="13">
        <v>26.785</v>
      </c>
      <c r="F1504" s="13">
        <f t="shared" si="71"/>
        <v>192.2717939145044</v>
      </c>
    </row>
    <row r="1505" spans="1:6" x14ac:dyDescent="0.25">
      <c r="A1505" s="10">
        <v>38987</v>
      </c>
      <c r="B1505" s="12">
        <f t="shared" si="69"/>
        <v>9</v>
      </c>
      <c r="C1505" s="12">
        <f t="shared" si="70"/>
        <v>2006</v>
      </c>
      <c r="D1505" s="13">
        <v>5150</v>
      </c>
      <c r="E1505" s="13">
        <v>26.762</v>
      </c>
      <c r="F1505" s="13">
        <f t="shared" si="71"/>
        <v>192.43703759061356</v>
      </c>
    </row>
    <row r="1506" spans="1:6" x14ac:dyDescent="0.25">
      <c r="A1506" s="10">
        <v>38988</v>
      </c>
      <c r="B1506" s="12">
        <f t="shared" si="69"/>
        <v>9</v>
      </c>
      <c r="C1506" s="12">
        <f t="shared" si="70"/>
        <v>2006</v>
      </c>
      <c r="D1506" s="13">
        <v>5150</v>
      </c>
      <c r="E1506" s="13">
        <v>26.763100000000001</v>
      </c>
      <c r="F1506" s="13">
        <f t="shared" si="71"/>
        <v>192.42912816527232</v>
      </c>
    </row>
    <row r="1507" spans="1:6" x14ac:dyDescent="0.25">
      <c r="A1507" s="10">
        <v>38989</v>
      </c>
      <c r="B1507" s="12">
        <f t="shared" si="69"/>
        <v>9</v>
      </c>
      <c r="C1507" s="12">
        <f t="shared" si="70"/>
        <v>2006</v>
      </c>
      <c r="D1507" s="13">
        <v>5150</v>
      </c>
      <c r="E1507" s="13">
        <v>26.778199999999998</v>
      </c>
      <c r="F1507" s="13">
        <f t="shared" si="71"/>
        <v>192.32061901098655</v>
      </c>
    </row>
    <row r="1508" spans="1:6" x14ac:dyDescent="0.25">
      <c r="A1508" s="10">
        <v>38992</v>
      </c>
      <c r="B1508" s="12">
        <f t="shared" si="69"/>
        <v>10</v>
      </c>
      <c r="C1508" s="12">
        <f t="shared" si="70"/>
        <v>2006</v>
      </c>
      <c r="D1508" s="13">
        <v>5100</v>
      </c>
      <c r="E1508" s="13">
        <v>26.7315</v>
      </c>
      <c r="F1508" s="13">
        <f t="shared" si="71"/>
        <v>190.78615116996801</v>
      </c>
    </row>
    <row r="1509" spans="1:6" x14ac:dyDescent="0.25">
      <c r="A1509" s="10">
        <v>38993</v>
      </c>
      <c r="B1509" s="12">
        <f t="shared" si="69"/>
        <v>10</v>
      </c>
      <c r="C1509" s="12">
        <f t="shared" si="70"/>
        <v>2006</v>
      </c>
      <c r="D1509" s="13">
        <v>5100</v>
      </c>
      <c r="E1509" s="13">
        <v>26.765999999999998</v>
      </c>
      <c r="F1509" s="13">
        <f t="shared" si="71"/>
        <v>190.54023761488457</v>
      </c>
    </row>
    <row r="1510" spans="1:6" x14ac:dyDescent="0.25">
      <c r="A1510" s="10">
        <v>38994</v>
      </c>
      <c r="B1510" s="12">
        <f t="shared" si="69"/>
        <v>10</v>
      </c>
      <c r="C1510" s="12">
        <f t="shared" si="70"/>
        <v>2006</v>
      </c>
      <c r="D1510" s="13">
        <v>5100</v>
      </c>
      <c r="E1510" s="13">
        <v>26.787500000000001</v>
      </c>
      <c r="F1510" s="13">
        <f t="shared" si="71"/>
        <v>190.38730751283248</v>
      </c>
    </row>
    <row r="1511" spans="1:6" x14ac:dyDescent="0.25">
      <c r="A1511" s="10">
        <v>38995</v>
      </c>
      <c r="B1511" s="12">
        <f t="shared" si="69"/>
        <v>10</v>
      </c>
      <c r="C1511" s="12">
        <f t="shared" si="70"/>
        <v>2006</v>
      </c>
      <c r="D1511" s="13">
        <v>5100</v>
      </c>
      <c r="E1511" s="13">
        <v>26.8035</v>
      </c>
      <c r="F1511" s="13">
        <f t="shared" si="71"/>
        <v>190.27365829089484</v>
      </c>
    </row>
    <row r="1512" spans="1:6" x14ac:dyDescent="0.25">
      <c r="A1512" s="10">
        <v>38996</v>
      </c>
      <c r="B1512" s="12">
        <f t="shared" si="69"/>
        <v>10</v>
      </c>
      <c r="C1512" s="12">
        <f t="shared" si="70"/>
        <v>2006</v>
      </c>
      <c r="D1512" s="13">
        <v>5100</v>
      </c>
      <c r="E1512" s="13">
        <v>26.8917</v>
      </c>
      <c r="F1512" s="13">
        <f t="shared" si="71"/>
        <v>189.64959448454357</v>
      </c>
    </row>
    <row r="1513" spans="1:6" x14ac:dyDescent="0.25">
      <c r="A1513" s="10">
        <v>38999</v>
      </c>
      <c r="B1513" s="12">
        <f t="shared" si="69"/>
        <v>10</v>
      </c>
      <c r="C1513" s="12">
        <f t="shared" si="70"/>
        <v>2006</v>
      </c>
      <c r="D1513" s="13">
        <v>5100</v>
      </c>
      <c r="E1513" s="13">
        <v>26.882999999999999</v>
      </c>
      <c r="F1513" s="13">
        <f t="shared" si="71"/>
        <v>189.71096975783954</v>
      </c>
    </row>
    <row r="1514" spans="1:6" x14ac:dyDescent="0.25">
      <c r="A1514" s="10">
        <v>39000</v>
      </c>
      <c r="B1514" s="12">
        <f t="shared" si="69"/>
        <v>10</v>
      </c>
      <c r="C1514" s="12">
        <f t="shared" si="70"/>
        <v>2006</v>
      </c>
      <c r="D1514" s="13">
        <v>5100</v>
      </c>
      <c r="E1514" s="13">
        <v>26.949000000000002</v>
      </c>
      <c r="F1514" s="13">
        <f t="shared" si="71"/>
        <v>189.24635422464655</v>
      </c>
    </row>
    <row r="1515" spans="1:6" x14ac:dyDescent="0.25">
      <c r="A1515" s="10">
        <v>39001</v>
      </c>
      <c r="B1515" s="12">
        <f t="shared" si="69"/>
        <v>10</v>
      </c>
      <c r="C1515" s="12">
        <f t="shared" si="70"/>
        <v>2006</v>
      </c>
      <c r="D1515" s="13">
        <v>5100</v>
      </c>
      <c r="E1515" s="13">
        <v>26.949000000000002</v>
      </c>
      <c r="F1515" s="13">
        <f t="shared" si="71"/>
        <v>189.24635422464655</v>
      </c>
    </row>
    <row r="1516" spans="1:6" x14ac:dyDescent="0.25">
      <c r="A1516" s="10">
        <v>39002</v>
      </c>
      <c r="B1516" s="12">
        <f t="shared" si="69"/>
        <v>10</v>
      </c>
      <c r="C1516" s="12">
        <f t="shared" si="70"/>
        <v>2006</v>
      </c>
      <c r="D1516" s="13">
        <v>5100</v>
      </c>
      <c r="E1516" s="13">
        <v>26.9392</v>
      </c>
      <c r="F1516" s="13">
        <f t="shared" si="71"/>
        <v>189.31519866959673</v>
      </c>
    </row>
    <row r="1517" spans="1:6" x14ac:dyDescent="0.25">
      <c r="A1517" s="10">
        <v>39003</v>
      </c>
      <c r="B1517" s="12">
        <f t="shared" si="69"/>
        <v>10</v>
      </c>
      <c r="C1517" s="12">
        <f t="shared" si="70"/>
        <v>2006</v>
      </c>
      <c r="D1517" s="13">
        <v>5100</v>
      </c>
      <c r="E1517" s="13">
        <v>26.971800000000002</v>
      </c>
      <c r="F1517" s="13">
        <f t="shared" si="71"/>
        <v>189.08637910706736</v>
      </c>
    </row>
    <row r="1518" spans="1:6" x14ac:dyDescent="0.25">
      <c r="A1518" s="10">
        <v>39006</v>
      </c>
      <c r="B1518" s="12">
        <f t="shared" si="69"/>
        <v>10</v>
      </c>
      <c r="C1518" s="12">
        <f t="shared" si="70"/>
        <v>2006</v>
      </c>
      <c r="D1518" s="13">
        <v>5100</v>
      </c>
      <c r="E1518" s="13">
        <v>26.957799999999999</v>
      </c>
      <c r="F1518" s="13">
        <f t="shared" si="71"/>
        <v>189.18457737649214</v>
      </c>
    </row>
    <row r="1519" spans="1:6" x14ac:dyDescent="0.25">
      <c r="A1519" s="10">
        <v>39007</v>
      </c>
      <c r="B1519" s="12">
        <f t="shared" si="69"/>
        <v>10</v>
      </c>
      <c r="C1519" s="12">
        <f t="shared" si="70"/>
        <v>2006</v>
      </c>
      <c r="D1519" s="13">
        <v>5100</v>
      </c>
      <c r="E1519" s="13">
        <v>26.924600000000002</v>
      </c>
      <c r="F1519" s="13">
        <f t="shared" si="71"/>
        <v>189.41785578987245</v>
      </c>
    </row>
    <row r="1520" spans="1:6" x14ac:dyDescent="0.25">
      <c r="A1520" s="10">
        <v>39008</v>
      </c>
      <c r="B1520" s="12">
        <f t="shared" si="69"/>
        <v>10</v>
      </c>
      <c r="C1520" s="12">
        <f t="shared" si="70"/>
        <v>2006</v>
      </c>
      <c r="D1520" s="13">
        <v>5100</v>
      </c>
      <c r="E1520" s="13">
        <v>26.95</v>
      </c>
      <c r="F1520" s="13">
        <f t="shared" si="71"/>
        <v>189.23933209647495</v>
      </c>
    </row>
    <row r="1521" spans="1:6" x14ac:dyDescent="0.25">
      <c r="A1521" s="10">
        <v>39009</v>
      </c>
      <c r="B1521" s="12">
        <f t="shared" si="69"/>
        <v>10</v>
      </c>
      <c r="C1521" s="12">
        <f t="shared" si="70"/>
        <v>2006</v>
      </c>
      <c r="D1521" s="13">
        <v>5100</v>
      </c>
      <c r="E1521" s="13">
        <v>26.8506</v>
      </c>
      <c r="F1521" s="13">
        <f t="shared" si="71"/>
        <v>189.93988961140533</v>
      </c>
    </row>
    <row r="1522" spans="1:6" x14ac:dyDescent="0.25">
      <c r="A1522" s="10">
        <v>39010</v>
      </c>
      <c r="B1522" s="12">
        <f t="shared" si="69"/>
        <v>10</v>
      </c>
      <c r="C1522" s="12">
        <f t="shared" si="70"/>
        <v>2006</v>
      </c>
      <c r="D1522" s="13">
        <v>5100</v>
      </c>
      <c r="E1522" s="13">
        <v>26.861999999999998</v>
      </c>
      <c r="F1522" s="13">
        <f t="shared" si="71"/>
        <v>189.85928076837169</v>
      </c>
    </row>
    <row r="1523" spans="1:6" x14ac:dyDescent="0.25">
      <c r="A1523" s="10">
        <v>39013</v>
      </c>
      <c r="B1523" s="12">
        <f t="shared" si="69"/>
        <v>10</v>
      </c>
      <c r="C1523" s="12">
        <f t="shared" si="70"/>
        <v>2006</v>
      </c>
      <c r="D1523" s="13">
        <v>5200</v>
      </c>
      <c r="E1523" s="13">
        <v>26.921800000000001</v>
      </c>
      <c r="F1523" s="13">
        <f t="shared" si="71"/>
        <v>193.15201806714259</v>
      </c>
    </row>
    <row r="1524" spans="1:6" x14ac:dyDescent="0.25">
      <c r="A1524" s="10">
        <v>39014</v>
      </c>
      <c r="B1524" s="12">
        <f t="shared" si="69"/>
        <v>10</v>
      </c>
      <c r="C1524" s="12">
        <f t="shared" si="70"/>
        <v>2006</v>
      </c>
      <c r="D1524" s="13">
        <v>5200</v>
      </c>
      <c r="E1524" s="13">
        <v>26.890499999999999</v>
      </c>
      <c r="F1524" s="13">
        <f t="shared" si="71"/>
        <v>193.37684312303602</v>
      </c>
    </row>
    <row r="1525" spans="1:6" x14ac:dyDescent="0.25">
      <c r="A1525" s="10">
        <v>39015</v>
      </c>
      <c r="B1525" s="12">
        <f t="shared" si="69"/>
        <v>10</v>
      </c>
      <c r="C1525" s="12">
        <f t="shared" si="70"/>
        <v>2006</v>
      </c>
      <c r="D1525" s="13">
        <v>5200</v>
      </c>
      <c r="E1525" s="13">
        <v>26.881499999999999</v>
      </c>
      <c r="F1525" s="13">
        <f t="shared" si="71"/>
        <v>193.44158622100701</v>
      </c>
    </row>
    <row r="1526" spans="1:6" x14ac:dyDescent="0.25">
      <c r="A1526" s="10">
        <v>39016</v>
      </c>
      <c r="B1526" s="12">
        <f t="shared" si="69"/>
        <v>10</v>
      </c>
      <c r="C1526" s="12">
        <f t="shared" si="70"/>
        <v>2006</v>
      </c>
      <c r="D1526" s="13">
        <v>5200</v>
      </c>
      <c r="E1526" s="13">
        <v>26.768000000000001</v>
      </c>
      <c r="F1526" s="13">
        <f t="shared" si="71"/>
        <v>194.26180514046624</v>
      </c>
    </row>
    <row r="1527" spans="1:6" x14ac:dyDescent="0.25">
      <c r="A1527" s="10">
        <v>39017</v>
      </c>
      <c r="B1527" s="12">
        <f t="shared" si="69"/>
        <v>10</v>
      </c>
      <c r="C1527" s="12">
        <f t="shared" si="70"/>
        <v>2006</v>
      </c>
      <c r="D1527" s="13">
        <v>5200</v>
      </c>
      <c r="E1527" s="13">
        <v>26.737500000000001</v>
      </c>
      <c r="F1527" s="13">
        <f t="shared" si="71"/>
        <v>194.48340345956055</v>
      </c>
    </row>
    <row r="1528" spans="1:6" x14ac:dyDescent="0.25">
      <c r="A1528" s="10">
        <v>39020</v>
      </c>
      <c r="B1528" s="12">
        <f t="shared" si="69"/>
        <v>10</v>
      </c>
      <c r="C1528" s="12">
        <f t="shared" si="70"/>
        <v>2006</v>
      </c>
      <c r="D1528" s="13">
        <v>5200</v>
      </c>
      <c r="E1528" s="13">
        <v>26.746500000000001</v>
      </c>
      <c r="F1528" s="13">
        <f t="shared" si="71"/>
        <v>194.41796122857195</v>
      </c>
    </row>
    <row r="1529" spans="1:6" x14ac:dyDescent="0.25">
      <c r="A1529" s="10">
        <v>39021</v>
      </c>
      <c r="B1529" s="12">
        <f t="shared" si="69"/>
        <v>10</v>
      </c>
      <c r="C1529" s="12">
        <f t="shared" si="70"/>
        <v>2006</v>
      </c>
      <c r="D1529" s="13">
        <v>5200</v>
      </c>
      <c r="E1529" s="13">
        <v>26.698499999999999</v>
      </c>
      <c r="F1529" s="13">
        <f t="shared" si="71"/>
        <v>194.76749630129035</v>
      </c>
    </row>
    <row r="1530" spans="1:6" x14ac:dyDescent="0.25">
      <c r="A1530" s="10">
        <v>39022</v>
      </c>
      <c r="B1530" s="12">
        <f t="shared" si="69"/>
        <v>11</v>
      </c>
      <c r="C1530" s="12">
        <f t="shared" si="70"/>
        <v>2006</v>
      </c>
      <c r="D1530" s="13">
        <v>5200</v>
      </c>
      <c r="E1530" s="13">
        <v>26.7105</v>
      </c>
      <c r="F1530" s="13">
        <f t="shared" si="71"/>
        <v>194.67999475861552</v>
      </c>
    </row>
    <row r="1531" spans="1:6" x14ac:dyDescent="0.25">
      <c r="A1531" s="10">
        <v>39023</v>
      </c>
      <c r="B1531" s="12">
        <f t="shared" si="69"/>
        <v>11</v>
      </c>
      <c r="C1531" s="12">
        <f t="shared" si="70"/>
        <v>2006</v>
      </c>
      <c r="D1531" s="13">
        <v>5200</v>
      </c>
      <c r="E1531" s="13">
        <v>26.698</v>
      </c>
      <c r="F1531" s="13">
        <f t="shared" si="71"/>
        <v>194.77114390591055</v>
      </c>
    </row>
    <row r="1532" spans="1:6" x14ac:dyDescent="0.25">
      <c r="A1532" s="10">
        <v>39024</v>
      </c>
      <c r="B1532" s="12">
        <f t="shared" si="69"/>
        <v>11</v>
      </c>
      <c r="C1532" s="12">
        <f t="shared" si="70"/>
        <v>2006</v>
      </c>
      <c r="D1532" s="13">
        <v>5200</v>
      </c>
      <c r="E1532" s="13">
        <v>26.762</v>
      </c>
      <c r="F1532" s="13">
        <f t="shared" si="71"/>
        <v>194.30535834392049</v>
      </c>
    </row>
    <row r="1533" spans="1:6" x14ac:dyDescent="0.25">
      <c r="A1533" s="10">
        <v>39027</v>
      </c>
      <c r="B1533" s="12">
        <f t="shared" si="69"/>
        <v>11</v>
      </c>
      <c r="C1533" s="12">
        <f t="shared" si="70"/>
        <v>2006</v>
      </c>
      <c r="D1533" s="13">
        <v>5200</v>
      </c>
      <c r="E1533" s="13">
        <v>26.745000000000001</v>
      </c>
      <c r="F1533" s="13">
        <f t="shared" si="71"/>
        <v>194.42886520845016</v>
      </c>
    </row>
    <row r="1534" spans="1:6" x14ac:dyDescent="0.25">
      <c r="A1534" s="10">
        <v>39028</v>
      </c>
      <c r="B1534" s="12">
        <f t="shared" si="69"/>
        <v>11</v>
      </c>
      <c r="C1534" s="12">
        <f t="shared" si="70"/>
        <v>2006</v>
      </c>
      <c r="D1534" s="13">
        <v>5200</v>
      </c>
      <c r="E1534" s="13">
        <v>26.661999999999999</v>
      </c>
      <c r="F1534" s="13">
        <f t="shared" si="71"/>
        <v>195.03413097292028</v>
      </c>
    </row>
    <row r="1535" spans="1:6" x14ac:dyDescent="0.25">
      <c r="A1535" s="10">
        <v>39029</v>
      </c>
      <c r="B1535" s="12">
        <f t="shared" si="69"/>
        <v>11</v>
      </c>
      <c r="C1535" s="12">
        <f t="shared" si="70"/>
        <v>2006</v>
      </c>
      <c r="D1535" s="13">
        <v>5200</v>
      </c>
      <c r="E1535" s="13">
        <v>26.701000000000001</v>
      </c>
      <c r="F1535" s="13">
        <f t="shared" si="71"/>
        <v>194.74926032732856</v>
      </c>
    </row>
    <row r="1536" spans="1:6" x14ac:dyDescent="0.25">
      <c r="A1536" s="10">
        <v>39030</v>
      </c>
      <c r="B1536" s="12">
        <f t="shared" si="69"/>
        <v>11</v>
      </c>
      <c r="C1536" s="12">
        <f t="shared" si="70"/>
        <v>2006</v>
      </c>
      <c r="D1536" s="13">
        <v>5200</v>
      </c>
      <c r="E1536" s="13">
        <v>26.638500000000001</v>
      </c>
      <c r="F1536" s="13">
        <f t="shared" si="71"/>
        <v>195.20618653452709</v>
      </c>
    </row>
    <row r="1537" spans="1:6" x14ac:dyDescent="0.25">
      <c r="A1537" s="10">
        <v>39031</v>
      </c>
      <c r="B1537" s="12">
        <f t="shared" si="69"/>
        <v>11</v>
      </c>
      <c r="C1537" s="12">
        <f t="shared" si="70"/>
        <v>2006</v>
      </c>
      <c r="D1537" s="13">
        <v>5200</v>
      </c>
      <c r="E1537" s="13">
        <v>26.62</v>
      </c>
      <c r="F1537" s="13">
        <f t="shared" si="71"/>
        <v>195.34184823441021</v>
      </c>
    </row>
    <row r="1538" spans="1:6" x14ac:dyDescent="0.25">
      <c r="A1538" s="10">
        <v>39034</v>
      </c>
      <c r="B1538" s="12">
        <f t="shared" si="69"/>
        <v>11</v>
      </c>
      <c r="C1538" s="12">
        <f t="shared" si="70"/>
        <v>2006</v>
      </c>
      <c r="D1538" s="13">
        <v>5200</v>
      </c>
      <c r="E1538" s="13">
        <v>26.664000000000001</v>
      </c>
      <c r="F1538" s="13">
        <f t="shared" si="71"/>
        <v>195.01950195019501</v>
      </c>
    </row>
    <row r="1539" spans="1:6" x14ac:dyDescent="0.25">
      <c r="A1539" s="10">
        <v>39035</v>
      </c>
      <c r="B1539" s="12">
        <f t="shared" ref="B1539:B1602" si="72">MONTH(A1539)</f>
        <v>11</v>
      </c>
      <c r="C1539" s="12">
        <f t="shared" ref="C1539:C1602" si="73">YEAR(A1539)</f>
        <v>2006</v>
      </c>
      <c r="D1539" s="13">
        <v>5200</v>
      </c>
      <c r="E1539" s="13">
        <v>26.655200000000001</v>
      </c>
      <c r="F1539" s="13">
        <f t="shared" ref="F1539:F1602" si="74">IF(D1539="","",D1539/E1539)</f>
        <v>195.08388607101054</v>
      </c>
    </row>
    <row r="1540" spans="1:6" x14ac:dyDescent="0.25">
      <c r="A1540" s="10">
        <v>39036</v>
      </c>
      <c r="B1540" s="12">
        <f t="shared" si="72"/>
        <v>11</v>
      </c>
      <c r="C1540" s="12">
        <f t="shared" si="73"/>
        <v>2006</v>
      </c>
      <c r="D1540" s="13">
        <v>5200</v>
      </c>
      <c r="E1540" s="13">
        <v>26.654</v>
      </c>
      <c r="F1540" s="13">
        <f t="shared" si="74"/>
        <v>195.09266901778344</v>
      </c>
    </row>
    <row r="1541" spans="1:6" x14ac:dyDescent="0.25">
      <c r="A1541" s="10">
        <v>39037</v>
      </c>
      <c r="B1541" s="12">
        <f t="shared" si="72"/>
        <v>11</v>
      </c>
      <c r="C1541" s="12">
        <f t="shared" si="73"/>
        <v>2006</v>
      </c>
      <c r="D1541" s="13">
        <v>5200</v>
      </c>
      <c r="E1541" s="13">
        <v>26.677499999999998</v>
      </c>
      <c r="F1541" s="13">
        <f t="shared" si="74"/>
        <v>194.92081341954832</v>
      </c>
    </row>
    <row r="1542" spans="1:6" x14ac:dyDescent="0.25">
      <c r="A1542" s="10">
        <v>39038</v>
      </c>
      <c r="B1542" s="12">
        <f t="shared" si="72"/>
        <v>11</v>
      </c>
      <c r="C1542" s="12">
        <f t="shared" si="73"/>
        <v>2006</v>
      </c>
      <c r="D1542" s="13">
        <v>5200</v>
      </c>
      <c r="E1542" s="13">
        <v>26.646000000000001</v>
      </c>
      <c r="F1542" s="13">
        <f t="shared" si="74"/>
        <v>195.15124221271483</v>
      </c>
    </row>
    <row r="1543" spans="1:6" x14ac:dyDescent="0.25">
      <c r="A1543" s="10">
        <v>39041</v>
      </c>
      <c r="B1543" s="12">
        <f t="shared" si="72"/>
        <v>11</v>
      </c>
      <c r="C1543" s="12">
        <f t="shared" si="73"/>
        <v>2006</v>
      </c>
      <c r="D1543" s="13">
        <v>5200</v>
      </c>
      <c r="E1543" s="13">
        <v>26.662500000000001</v>
      </c>
      <c r="F1543" s="13">
        <f t="shared" si="74"/>
        <v>195.03047351148615</v>
      </c>
    </row>
    <row r="1544" spans="1:6" x14ac:dyDescent="0.25">
      <c r="A1544" s="10">
        <v>39042</v>
      </c>
      <c r="B1544" s="12">
        <f t="shared" si="72"/>
        <v>11</v>
      </c>
      <c r="C1544" s="12">
        <f t="shared" si="73"/>
        <v>2006</v>
      </c>
      <c r="D1544" s="13">
        <v>5200</v>
      </c>
      <c r="E1544" s="13">
        <v>26.655000000000001</v>
      </c>
      <c r="F1544" s="13">
        <f t="shared" si="74"/>
        <v>195.08534984055524</v>
      </c>
    </row>
    <row r="1545" spans="1:6" x14ac:dyDescent="0.25">
      <c r="A1545" s="10">
        <v>39043</v>
      </c>
      <c r="B1545" s="12">
        <f t="shared" si="72"/>
        <v>11</v>
      </c>
      <c r="C1545" s="12">
        <f t="shared" si="73"/>
        <v>2006</v>
      </c>
      <c r="D1545" s="13">
        <v>5200</v>
      </c>
      <c r="E1545" s="13">
        <v>26.566500000000001</v>
      </c>
      <c r="F1545" s="13">
        <f t="shared" si="74"/>
        <v>195.73523045941317</v>
      </c>
    </row>
    <row r="1546" spans="1:6" x14ac:dyDescent="0.25">
      <c r="A1546" s="10">
        <v>39045</v>
      </c>
      <c r="B1546" s="12">
        <f t="shared" si="72"/>
        <v>11</v>
      </c>
      <c r="C1546" s="12">
        <f t="shared" si="73"/>
        <v>2006</v>
      </c>
      <c r="D1546" s="13">
        <v>5200</v>
      </c>
      <c r="E1546" s="13">
        <v>26.404499999999999</v>
      </c>
      <c r="F1546" s="13">
        <f t="shared" si="74"/>
        <v>196.93612831146208</v>
      </c>
    </row>
    <row r="1547" spans="1:6" x14ac:dyDescent="0.25">
      <c r="A1547" s="10">
        <v>39048</v>
      </c>
      <c r="B1547" s="12">
        <f t="shared" si="72"/>
        <v>11</v>
      </c>
      <c r="C1547" s="12">
        <f t="shared" si="73"/>
        <v>2006</v>
      </c>
      <c r="D1547" s="13">
        <v>5200</v>
      </c>
      <c r="E1547" s="13">
        <v>26.37</v>
      </c>
      <c r="F1547" s="13">
        <f t="shared" si="74"/>
        <v>197.19378081152826</v>
      </c>
    </row>
    <row r="1548" spans="1:6" x14ac:dyDescent="0.25">
      <c r="A1548" s="10">
        <v>39049</v>
      </c>
      <c r="B1548" s="12">
        <f t="shared" si="72"/>
        <v>11</v>
      </c>
      <c r="C1548" s="12">
        <f t="shared" si="73"/>
        <v>2006</v>
      </c>
      <c r="D1548" s="13">
        <v>5200</v>
      </c>
      <c r="E1548" s="13">
        <v>26.3325</v>
      </c>
      <c r="F1548" s="13">
        <f t="shared" si="74"/>
        <v>197.47460362669705</v>
      </c>
    </row>
    <row r="1549" spans="1:6" x14ac:dyDescent="0.25">
      <c r="A1549" s="10">
        <v>39050</v>
      </c>
      <c r="B1549" s="12">
        <f t="shared" si="72"/>
        <v>11</v>
      </c>
      <c r="C1549" s="12">
        <f t="shared" si="73"/>
        <v>2006</v>
      </c>
      <c r="D1549" s="13">
        <v>5200</v>
      </c>
      <c r="E1549" s="13">
        <v>26.338999999999999</v>
      </c>
      <c r="F1549" s="13">
        <f t="shared" si="74"/>
        <v>197.42587038232281</v>
      </c>
    </row>
    <row r="1550" spans="1:6" x14ac:dyDescent="0.25">
      <c r="A1550" s="10">
        <v>39051</v>
      </c>
      <c r="B1550" s="12">
        <f t="shared" si="72"/>
        <v>11</v>
      </c>
      <c r="C1550" s="12">
        <f t="shared" si="73"/>
        <v>2006</v>
      </c>
      <c r="D1550" s="13">
        <v>5200</v>
      </c>
      <c r="E1550" s="13">
        <v>26.2485</v>
      </c>
      <c r="F1550" s="13">
        <f t="shared" si="74"/>
        <v>198.1065584700078</v>
      </c>
    </row>
    <row r="1551" spans="1:6" x14ac:dyDescent="0.25">
      <c r="A1551" s="10">
        <v>39052</v>
      </c>
      <c r="B1551" s="12">
        <f t="shared" si="72"/>
        <v>12</v>
      </c>
      <c r="C1551" s="12">
        <f t="shared" si="73"/>
        <v>2006</v>
      </c>
      <c r="D1551" s="13">
        <v>5200</v>
      </c>
      <c r="E1551" s="13">
        <v>26.1812</v>
      </c>
      <c r="F1551" s="13">
        <f t="shared" si="74"/>
        <v>198.61580065084868</v>
      </c>
    </row>
    <row r="1552" spans="1:6" x14ac:dyDescent="0.25">
      <c r="A1552" s="10">
        <v>39055</v>
      </c>
      <c r="B1552" s="12">
        <f t="shared" si="72"/>
        <v>12</v>
      </c>
      <c r="C1552" s="12">
        <f t="shared" si="73"/>
        <v>2006</v>
      </c>
      <c r="D1552" s="13">
        <v>5200</v>
      </c>
      <c r="E1552" s="13">
        <v>26.172999999999998</v>
      </c>
      <c r="F1552" s="13">
        <f t="shared" si="74"/>
        <v>198.67802697436289</v>
      </c>
    </row>
    <row r="1553" spans="1:6" x14ac:dyDescent="0.25">
      <c r="A1553" s="10">
        <v>39056</v>
      </c>
      <c r="B1553" s="12">
        <f t="shared" si="72"/>
        <v>12</v>
      </c>
      <c r="C1553" s="12">
        <f t="shared" si="73"/>
        <v>2006</v>
      </c>
      <c r="D1553" s="13">
        <v>5200</v>
      </c>
      <c r="E1553" s="13">
        <v>26.1814</v>
      </c>
      <c r="F1553" s="13">
        <f t="shared" si="74"/>
        <v>198.61428342258245</v>
      </c>
    </row>
    <row r="1554" spans="1:6" x14ac:dyDescent="0.25">
      <c r="A1554" s="10">
        <v>39057</v>
      </c>
      <c r="B1554" s="12">
        <f t="shared" si="72"/>
        <v>12</v>
      </c>
      <c r="C1554" s="12">
        <f t="shared" si="73"/>
        <v>2006</v>
      </c>
      <c r="D1554" s="13">
        <v>5200</v>
      </c>
      <c r="E1554" s="13">
        <v>26.2011</v>
      </c>
      <c r="F1554" s="13">
        <f t="shared" si="74"/>
        <v>198.46494994484965</v>
      </c>
    </row>
    <row r="1555" spans="1:6" x14ac:dyDescent="0.25">
      <c r="A1555" s="10">
        <v>39058</v>
      </c>
      <c r="B1555" s="12">
        <f t="shared" si="72"/>
        <v>12</v>
      </c>
      <c r="C1555" s="12">
        <f t="shared" si="73"/>
        <v>2006</v>
      </c>
      <c r="D1555" s="13">
        <v>5200</v>
      </c>
      <c r="E1555" s="13">
        <v>26.222200000000001</v>
      </c>
      <c r="F1555" s="13">
        <f t="shared" si="74"/>
        <v>198.3052528010617</v>
      </c>
    </row>
    <row r="1556" spans="1:6" x14ac:dyDescent="0.25">
      <c r="A1556" s="10">
        <v>39059</v>
      </c>
      <c r="B1556" s="12">
        <f t="shared" si="72"/>
        <v>12</v>
      </c>
      <c r="C1556" s="12">
        <f t="shared" si="73"/>
        <v>2006</v>
      </c>
      <c r="D1556" s="13">
        <v>5200</v>
      </c>
      <c r="E1556" s="13">
        <v>26.265000000000001</v>
      </c>
      <c r="F1556" s="13">
        <f t="shared" si="74"/>
        <v>197.98210546354463</v>
      </c>
    </row>
    <row r="1557" spans="1:6" x14ac:dyDescent="0.25">
      <c r="A1557" s="10">
        <v>39062</v>
      </c>
      <c r="B1557" s="12">
        <f t="shared" si="72"/>
        <v>12</v>
      </c>
      <c r="C1557" s="12">
        <f t="shared" si="73"/>
        <v>2006</v>
      </c>
      <c r="D1557" s="13">
        <v>5200</v>
      </c>
      <c r="E1557" s="13">
        <v>26.236999999999998</v>
      </c>
      <c r="F1557" s="13">
        <f t="shared" si="74"/>
        <v>198.19339101269202</v>
      </c>
    </row>
    <row r="1558" spans="1:6" x14ac:dyDescent="0.25">
      <c r="A1558" s="10">
        <v>39063</v>
      </c>
      <c r="B1558" s="12">
        <f t="shared" si="72"/>
        <v>12</v>
      </c>
      <c r="C1558" s="12">
        <f t="shared" si="73"/>
        <v>2006</v>
      </c>
      <c r="D1558" s="13">
        <v>5200</v>
      </c>
      <c r="E1558" s="13">
        <v>26.254000000000001</v>
      </c>
      <c r="F1558" s="13">
        <f t="shared" si="74"/>
        <v>198.06505675325664</v>
      </c>
    </row>
    <row r="1559" spans="1:6" x14ac:dyDescent="0.25">
      <c r="A1559" s="10">
        <v>39064</v>
      </c>
      <c r="B1559" s="12">
        <f t="shared" si="72"/>
        <v>12</v>
      </c>
      <c r="C1559" s="12">
        <f t="shared" si="73"/>
        <v>2006</v>
      </c>
      <c r="D1559" s="13">
        <v>5200</v>
      </c>
      <c r="E1559" s="13">
        <v>26.285</v>
      </c>
      <c r="F1559" s="13">
        <f t="shared" si="74"/>
        <v>197.83146281148944</v>
      </c>
    </row>
    <row r="1560" spans="1:6" x14ac:dyDescent="0.25">
      <c r="A1560" s="10">
        <v>39065</v>
      </c>
      <c r="B1560" s="12">
        <f t="shared" si="72"/>
        <v>12</v>
      </c>
      <c r="C1560" s="12">
        <f t="shared" si="73"/>
        <v>2006</v>
      </c>
      <c r="D1560" s="13">
        <v>5200</v>
      </c>
      <c r="E1560" s="13">
        <v>26.330300000000001</v>
      </c>
      <c r="F1560" s="13">
        <f t="shared" si="74"/>
        <v>197.49110340558215</v>
      </c>
    </row>
    <row r="1561" spans="1:6" x14ac:dyDescent="0.25">
      <c r="A1561" s="10">
        <v>39066</v>
      </c>
      <c r="B1561" s="12">
        <f t="shared" si="72"/>
        <v>12</v>
      </c>
      <c r="C1561" s="12">
        <f t="shared" si="73"/>
        <v>2006</v>
      </c>
      <c r="D1561" s="13">
        <v>5200</v>
      </c>
      <c r="E1561" s="13">
        <v>26.402000000000001</v>
      </c>
      <c r="F1561" s="13">
        <f t="shared" si="74"/>
        <v>196.95477615332172</v>
      </c>
    </row>
    <row r="1562" spans="1:6" x14ac:dyDescent="0.25">
      <c r="A1562" s="10">
        <v>39069</v>
      </c>
      <c r="B1562" s="12">
        <f t="shared" si="72"/>
        <v>12</v>
      </c>
      <c r="C1562" s="12">
        <f t="shared" si="73"/>
        <v>2006</v>
      </c>
      <c r="D1562" s="13">
        <v>6150</v>
      </c>
      <c r="E1562" s="13">
        <v>26.408999999999999</v>
      </c>
      <c r="F1562" s="13">
        <f t="shared" si="74"/>
        <v>232.87515619675111</v>
      </c>
    </row>
    <row r="1563" spans="1:6" x14ac:dyDescent="0.25">
      <c r="A1563" s="10">
        <v>39070</v>
      </c>
      <c r="B1563" s="12">
        <f t="shared" si="72"/>
        <v>12</v>
      </c>
      <c r="C1563" s="12">
        <f t="shared" si="73"/>
        <v>2006</v>
      </c>
      <c r="D1563" s="13">
        <v>6150</v>
      </c>
      <c r="E1563" s="13">
        <v>26.292999999999999</v>
      </c>
      <c r="F1563" s="13">
        <f t="shared" si="74"/>
        <v>233.902559616628</v>
      </c>
    </row>
    <row r="1564" spans="1:6" x14ac:dyDescent="0.25">
      <c r="A1564" s="10">
        <v>39071</v>
      </c>
      <c r="B1564" s="12">
        <f t="shared" si="72"/>
        <v>12</v>
      </c>
      <c r="C1564" s="12">
        <f t="shared" si="73"/>
        <v>2006</v>
      </c>
      <c r="D1564" s="13">
        <v>6150</v>
      </c>
      <c r="E1564" s="13">
        <v>26.318999999999999</v>
      </c>
      <c r="F1564" s="13">
        <f t="shared" si="74"/>
        <v>233.67149207796649</v>
      </c>
    </row>
    <row r="1565" spans="1:6" x14ac:dyDescent="0.25">
      <c r="A1565" s="10">
        <v>39072</v>
      </c>
      <c r="B1565" s="12">
        <f t="shared" si="72"/>
        <v>12</v>
      </c>
      <c r="C1565" s="12">
        <f t="shared" si="73"/>
        <v>2006</v>
      </c>
      <c r="D1565" s="13">
        <v>6150</v>
      </c>
      <c r="E1565" s="13">
        <v>26.32</v>
      </c>
      <c r="F1565" s="13">
        <f t="shared" si="74"/>
        <v>233.66261398176292</v>
      </c>
    </row>
    <row r="1566" spans="1:6" x14ac:dyDescent="0.25">
      <c r="A1566" s="10">
        <v>39073</v>
      </c>
      <c r="B1566" s="12">
        <f t="shared" si="72"/>
        <v>12</v>
      </c>
      <c r="C1566" s="12">
        <f t="shared" si="73"/>
        <v>2006</v>
      </c>
      <c r="D1566" s="13">
        <v>6150</v>
      </c>
      <c r="E1566" s="13">
        <v>26.332000000000001</v>
      </c>
      <c r="F1566" s="13">
        <f t="shared" si="74"/>
        <v>233.55612942427464</v>
      </c>
    </row>
    <row r="1567" spans="1:6" x14ac:dyDescent="0.25">
      <c r="A1567" s="10">
        <v>39077</v>
      </c>
      <c r="B1567" s="12">
        <f t="shared" si="72"/>
        <v>12</v>
      </c>
      <c r="C1567" s="12">
        <f t="shared" si="73"/>
        <v>2006</v>
      </c>
      <c r="D1567" s="13">
        <v>6150</v>
      </c>
      <c r="E1567" s="13">
        <v>26.394100000000002</v>
      </c>
      <c r="F1567" s="13">
        <f t="shared" si="74"/>
        <v>233.00661890346706</v>
      </c>
    </row>
    <row r="1568" spans="1:6" x14ac:dyDescent="0.25">
      <c r="A1568" s="10">
        <v>39078</v>
      </c>
      <c r="B1568" s="12">
        <f t="shared" si="72"/>
        <v>12</v>
      </c>
      <c r="C1568" s="12">
        <f t="shared" si="73"/>
        <v>2006</v>
      </c>
      <c r="D1568" s="13">
        <v>6150</v>
      </c>
      <c r="E1568" s="13">
        <v>26.37</v>
      </c>
      <c r="F1568" s="13">
        <f t="shared" si="74"/>
        <v>233.21956769055745</v>
      </c>
    </row>
    <row r="1569" spans="1:6" x14ac:dyDescent="0.25">
      <c r="A1569" s="10">
        <v>39079</v>
      </c>
      <c r="B1569" s="12">
        <f t="shared" si="72"/>
        <v>12</v>
      </c>
      <c r="C1569" s="12">
        <f t="shared" si="73"/>
        <v>2006</v>
      </c>
      <c r="D1569" s="13">
        <v>6150</v>
      </c>
      <c r="E1569" s="13">
        <v>26.35</v>
      </c>
      <c r="F1569" s="13">
        <f t="shared" si="74"/>
        <v>233.39658444022768</v>
      </c>
    </row>
    <row r="1570" spans="1:6" x14ac:dyDescent="0.25">
      <c r="A1570" s="10">
        <v>39080</v>
      </c>
      <c r="B1570" s="12">
        <f t="shared" si="72"/>
        <v>12</v>
      </c>
      <c r="C1570" s="12">
        <f t="shared" si="73"/>
        <v>2006</v>
      </c>
      <c r="D1570" s="13">
        <v>6150</v>
      </c>
      <c r="E1570" s="13">
        <v>26.32</v>
      </c>
      <c r="F1570" s="13">
        <f t="shared" si="74"/>
        <v>233.66261398176292</v>
      </c>
    </row>
    <row r="1571" spans="1:6" x14ac:dyDescent="0.25">
      <c r="A1571" s="10">
        <v>39084</v>
      </c>
      <c r="B1571" s="12">
        <f t="shared" si="72"/>
        <v>1</v>
      </c>
      <c r="C1571" s="12">
        <f t="shared" si="73"/>
        <v>2007</v>
      </c>
      <c r="D1571" s="13">
        <v>6150</v>
      </c>
      <c r="E1571" s="13">
        <v>26.305</v>
      </c>
      <c r="F1571" s="13">
        <f t="shared" si="74"/>
        <v>233.79585630108346</v>
      </c>
    </row>
    <row r="1572" spans="1:6" x14ac:dyDescent="0.25">
      <c r="A1572" s="10">
        <v>39085</v>
      </c>
      <c r="B1572" s="12">
        <f t="shared" si="72"/>
        <v>1</v>
      </c>
      <c r="C1572" s="12">
        <f t="shared" si="73"/>
        <v>2007</v>
      </c>
      <c r="D1572" s="13">
        <v>6150</v>
      </c>
      <c r="E1572" s="13">
        <v>26.305</v>
      </c>
      <c r="F1572" s="13">
        <f t="shared" si="74"/>
        <v>233.79585630108346</v>
      </c>
    </row>
    <row r="1573" spans="1:6" x14ac:dyDescent="0.25">
      <c r="A1573" s="10">
        <v>39086</v>
      </c>
      <c r="B1573" s="12">
        <f t="shared" si="72"/>
        <v>1</v>
      </c>
      <c r="C1573" s="12">
        <f t="shared" si="73"/>
        <v>2007</v>
      </c>
      <c r="D1573" s="13">
        <v>6150</v>
      </c>
      <c r="E1573" s="13">
        <v>26.382000000000001</v>
      </c>
      <c r="F1573" s="13">
        <f t="shared" si="74"/>
        <v>233.11348646804637</v>
      </c>
    </row>
    <row r="1574" spans="1:6" x14ac:dyDescent="0.25">
      <c r="A1574" s="10">
        <v>39087</v>
      </c>
      <c r="B1574" s="12">
        <f t="shared" si="72"/>
        <v>1</v>
      </c>
      <c r="C1574" s="12">
        <f t="shared" si="73"/>
        <v>2007</v>
      </c>
      <c r="D1574" s="13">
        <v>6150</v>
      </c>
      <c r="E1574" s="13">
        <v>26.382000000000001</v>
      </c>
      <c r="F1574" s="13">
        <f t="shared" si="74"/>
        <v>233.11348646804637</v>
      </c>
    </row>
    <row r="1575" spans="1:6" x14ac:dyDescent="0.25">
      <c r="A1575" s="10">
        <v>39090</v>
      </c>
      <c r="B1575" s="12">
        <f t="shared" si="72"/>
        <v>1</v>
      </c>
      <c r="C1575" s="12">
        <f t="shared" si="73"/>
        <v>2007</v>
      </c>
      <c r="D1575" s="13">
        <v>6150</v>
      </c>
      <c r="E1575" s="13">
        <v>26.382000000000001</v>
      </c>
      <c r="F1575" s="13">
        <f t="shared" si="74"/>
        <v>233.11348646804637</v>
      </c>
    </row>
    <row r="1576" spans="1:6" x14ac:dyDescent="0.25">
      <c r="A1576" s="10">
        <v>39091</v>
      </c>
      <c r="B1576" s="12">
        <f t="shared" si="72"/>
        <v>1</v>
      </c>
      <c r="C1576" s="12">
        <f t="shared" si="73"/>
        <v>2007</v>
      </c>
      <c r="D1576" s="13">
        <v>6150</v>
      </c>
      <c r="E1576" s="13">
        <v>26.468</v>
      </c>
      <c r="F1576" s="13">
        <f t="shared" si="74"/>
        <v>232.35605259180898</v>
      </c>
    </row>
    <row r="1577" spans="1:6" x14ac:dyDescent="0.25">
      <c r="A1577" s="10">
        <v>39092</v>
      </c>
      <c r="B1577" s="12">
        <f t="shared" si="72"/>
        <v>1</v>
      </c>
      <c r="C1577" s="12">
        <f t="shared" si="73"/>
        <v>2007</v>
      </c>
      <c r="D1577" s="13">
        <v>6150</v>
      </c>
      <c r="E1577" s="13">
        <v>26.545500000000001</v>
      </c>
      <c r="F1577" s="13">
        <f t="shared" si="74"/>
        <v>231.67768548341527</v>
      </c>
    </row>
    <row r="1578" spans="1:6" x14ac:dyDescent="0.25">
      <c r="A1578" s="10">
        <v>39093</v>
      </c>
      <c r="B1578" s="12">
        <f t="shared" si="72"/>
        <v>1</v>
      </c>
      <c r="C1578" s="12">
        <f t="shared" si="73"/>
        <v>2007</v>
      </c>
      <c r="D1578" s="13">
        <v>6150</v>
      </c>
      <c r="E1578" s="13">
        <v>26.587499999999999</v>
      </c>
      <c r="F1578" s="13">
        <f t="shared" si="74"/>
        <v>231.31170662905501</v>
      </c>
    </row>
    <row r="1579" spans="1:6" x14ac:dyDescent="0.25">
      <c r="A1579" s="10">
        <v>39094</v>
      </c>
      <c r="B1579" s="12">
        <f t="shared" si="72"/>
        <v>1</v>
      </c>
      <c r="C1579" s="12">
        <f t="shared" si="73"/>
        <v>2007</v>
      </c>
      <c r="D1579" s="13">
        <v>6150</v>
      </c>
      <c r="E1579" s="13">
        <v>26.57</v>
      </c>
      <c r="F1579" s="13">
        <f t="shared" si="74"/>
        <v>231.46405720737673</v>
      </c>
    </row>
    <row r="1580" spans="1:6" x14ac:dyDescent="0.25">
      <c r="A1580" s="10">
        <v>39098</v>
      </c>
      <c r="B1580" s="12">
        <f t="shared" si="72"/>
        <v>1</v>
      </c>
      <c r="C1580" s="12">
        <f t="shared" si="73"/>
        <v>2007</v>
      </c>
      <c r="D1580" s="13">
        <v>6300</v>
      </c>
      <c r="E1580" s="13">
        <v>26.565000000000001</v>
      </c>
      <c r="F1580" s="13">
        <f t="shared" si="74"/>
        <v>237.15415019762844</v>
      </c>
    </row>
    <row r="1581" spans="1:6" x14ac:dyDescent="0.25">
      <c r="A1581" s="10">
        <v>39099</v>
      </c>
      <c r="B1581" s="12">
        <f t="shared" si="72"/>
        <v>1</v>
      </c>
      <c r="C1581" s="12">
        <f t="shared" si="73"/>
        <v>2007</v>
      </c>
      <c r="D1581" s="13">
        <v>6300</v>
      </c>
      <c r="E1581" s="13">
        <v>26.551500000000001</v>
      </c>
      <c r="F1581" s="13">
        <f t="shared" si="74"/>
        <v>237.27473024122929</v>
      </c>
    </row>
    <row r="1582" spans="1:6" x14ac:dyDescent="0.25">
      <c r="A1582" s="10">
        <v>39100</v>
      </c>
      <c r="B1582" s="12">
        <f t="shared" si="72"/>
        <v>1</v>
      </c>
      <c r="C1582" s="12">
        <f t="shared" si="73"/>
        <v>2007</v>
      </c>
      <c r="D1582" s="13">
        <v>6300</v>
      </c>
      <c r="E1582" s="13">
        <v>26.5275</v>
      </c>
      <c r="F1582" s="13">
        <f t="shared" si="74"/>
        <v>237.48939779474131</v>
      </c>
    </row>
    <row r="1583" spans="1:6" x14ac:dyDescent="0.25">
      <c r="A1583" s="10">
        <v>39101</v>
      </c>
      <c r="B1583" s="12">
        <f t="shared" si="72"/>
        <v>1</v>
      </c>
      <c r="C1583" s="12">
        <f t="shared" si="73"/>
        <v>2007</v>
      </c>
      <c r="D1583" s="13">
        <v>6300</v>
      </c>
      <c r="E1583" s="13">
        <v>26.513000000000002</v>
      </c>
      <c r="F1583" s="13">
        <f t="shared" si="74"/>
        <v>237.61928110738128</v>
      </c>
    </row>
    <row r="1584" spans="1:6" x14ac:dyDescent="0.25">
      <c r="A1584" s="10">
        <v>39104</v>
      </c>
      <c r="B1584" s="12">
        <f t="shared" si="72"/>
        <v>1</v>
      </c>
      <c r="C1584" s="12">
        <f t="shared" si="73"/>
        <v>2007</v>
      </c>
      <c r="D1584" s="13">
        <v>6300</v>
      </c>
      <c r="E1584" s="13">
        <v>26.533999999999999</v>
      </c>
      <c r="F1584" s="13">
        <f t="shared" si="74"/>
        <v>237.43122032109747</v>
      </c>
    </row>
    <row r="1585" spans="1:6" x14ac:dyDescent="0.25">
      <c r="A1585" s="10">
        <v>39105</v>
      </c>
      <c r="B1585" s="12">
        <f t="shared" si="72"/>
        <v>1</v>
      </c>
      <c r="C1585" s="12">
        <f t="shared" si="73"/>
        <v>2007</v>
      </c>
      <c r="D1585" s="13">
        <v>6300</v>
      </c>
      <c r="E1585" s="13">
        <v>26.4861</v>
      </c>
      <c r="F1585" s="13">
        <f t="shared" si="74"/>
        <v>237.8606136803833</v>
      </c>
    </row>
    <row r="1586" spans="1:6" x14ac:dyDescent="0.25">
      <c r="A1586" s="10">
        <v>39106</v>
      </c>
      <c r="B1586" s="12">
        <f t="shared" si="72"/>
        <v>1</v>
      </c>
      <c r="C1586" s="12">
        <f t="shared" si="73"/>
        <v>2007</v>
      </c>
      <c r="D1586" s="13">
        <v>6300</v>
      </c>
      <c r="E1586" s="13">
        <v>26.523</v>
      </c>
      <c r="F1586" s="13">
        <f t="shared" si="74"/>
        <v>237.52969121140143</v>
      </c>
    </row>
    <row r="1587" spans="1:6" x14ac:dyDescent="0.25">
      <c r="A1587" s="10">
        <v>39107</v>
      </c>
      <c r="B1587" s="12">
        <f t="shared" si="72"/>
        <v>1</v>
      </c>
      <c r="C1587" s="12">
        <f t="shared" si="73"/>
        <v>2007</v>
      </c>
      <c r="D1587" s="13">
        <v>6300</v>
      </c>
      <c r="E1587" s="13">
        <v>26.494</v>
      </c>
      <c r="F1587" s="13">
        <f t="shared" si="74"/>
        <v>237.78968823129765</v>
      </c>
    </row>
    <row r="1588" spans="1:6" x14ac:dyDescent="0.25">
      <c r="A1588" s="10">
        <v>39108</v>
      </c>
      <c r="B1588" s="12">
        <f t="shared" si="72"/>
        <v>1</v>
      </c>
      <c r="C1588" s="12">
        <f t="shared" si="73"/>
        <v>2007</v>
      </c>
      <c r="D1588" s="13">
        <v>6300</v>
      </c>
      <c r="E1588" s="13">
        <v>26.564</v>
      </c>
      <c r="F1588" s="13">
        <f t="shared" si="74"/>
        <v>237.16307784972142</v>
      </c>
    </row>
    <row r="1589" spans="1:6" x14ac:dyDescent="0.25">
      <c r="A1589" s="10">
        <v>39111</v>
      </c>
      <c r="B1589" s="12">
        <f t="shared" si="72"/>
        <v>1</v>
      </c>
      <c r="C1589" s="12">
        <f t="shared" si="73"/>
        <v>2007</v>
      </c>
      <c r="D1589" s="13">
        <v>6300</v>
      </c>
      <c r="E1589" s="13">
        <v>26.5395</v>
      </c>
      <c r="F1589" s="13">
        <f t="shared" si="74"/>
        <v>237.38201548635053</v>
      </c>
    </row>
    <row r="1590" spans="1:6" x14ac:dyDescent="0.25">
      <c r="A1590" s="10">
        <v>39112</v>
      </c>
      <c r="B1590" s="12">
        <f t="shared" si="72"/>
        <v>1</v>
      </c>
      <c r="C1590" s="12">
        <f t="shared" si="73"/>
        <v>2007</v>
      </c>
      <c r="D1590" s="13">
        <v>6300</v>
      </c>
      <c r="E1590" s="13">
        <v>26.5305</v>
      </c>
      <c r="F1590" s="13">
        <f t="shared" si="74"/>
        <v>237.46254311075933</v>
      </c>
    </row>
    <row r="1591" spans="1:6" x14ac:dyDescent="0.25">
      <c r="A1591" s="10">
        <v>39113</v>
      </c>
      <c r="B1591" s="12">
        <f t="shared" si="72"/>
        <v>1</v>
      </c>
      <c r="C1591" s="12">
        <f t="shared" si="73"/>
        <v>2007</v>
      </c>
      <c r="D1591" s="13">
        <v>6300</v>
      </c>
      <c r="E1591" s="13">
        <v>26.491499999999998</v>
      </c>
      <c r="F1591" s="13">
        <f t="shared" si="74"/>
        <v>237.81212841854935</v>
      </c>
    </row>
    <row r="1592" spans="1:6" x14ac:dyDescent="0.25">
      <c r="A1592" s="10">
        <v>39114</v>
      </c>
      <c r="B1592" s="12">
        <f t="shared" si="72"/>
        <v>2</v>
      </c>
      <c r="C1592" s="12">
        <f t="shared" si="73"/>
        <v>2007</v>
      </c>
      <c r="D1592" s="13">
        <v>6300</v>
      </c>
      <c r="E1592" s="13">
        <v>26.486000000000001</v>
      </c>
      <c r="F1592" s="13">
        <f t="shared" si="74"/>
        <v>237.86151174205239</v>
      </c>
    </row>
    <row r="1593" spans="1:6" x14ac:dyDescent="0.25">
      <c r="A1593" s="10">
        <v>39115</v>
      </c>
      <c r="B1593" s="12">
        <f t="shared" si="72"/>
        <v>2</v>
      </c>
      <c r="C1593" s="12">
        <f t="shared" si="73"/>
        <v>2007</v>
      </c>
      <c r="D1593" s="13">
        <v>6300</v>
      </c>
      <c r="E1593" s="13">
        <v>26.52</v>
      </c>
      <c r="F1593" s="13">
        <f t="shared" si="74"/>
        <v>237.55656108597285</v>
      </c>
    </row>
    <row r="1594" spans="1:6" x14ac:dyDescent="0.25">
      <c r="A1594" s="10">
        <v>39118</v>
      </c>
      <c r="B1594" s="12">
        <f t="shared" si="72"/>
        <v>2</v>
      </c>
      <c r="C1594" s="12">
        <f t="shared" si="73"/>
        <v>2007</v>
      </c>
      <c r="D1594" s="13">
        <v>6300</v>
      </c>
      <c r="E1594" s="13">
        <v>26.536999999999999</v>
      </c>
      <c r="F1594" s="13">
        <f t="shared" si="74"/>
        <v>237.4043787918755</v>
      </c>
    </row>
    <row r="1595" spans="1:6" x14ac:dyDescent="0.25">
      <c r="A1595" s="10">
        <v>39119</v>
      </c>
      <c r="B1595" s="12">
        <f t="shared" si="72"/>
        <v>2</v>
      </c>
      <c r="C1595" s="12">
        <f t="shared" si="73"/>
        <v>2007</v>
      </c>
      <c r="D1595" s="13">
        <v>6300</v>
      </c>
      <c r="E1595" s="13">
        <v>26.510999999999999</v>
      </c>
      <c r="F1595" s="13">
        <f t="shared" si="74"/>
        <v>237.63720719701257</v>
      </c>
    </row>
    <row r="1596" spans="1:6" x14ac:dyDescent="0.25">
      <c r="A1596" s="10">
        <v>39120</v>
      </c>
      <c r="B1596" s="12">
        <f t="shared" si="72"/>
        <v>2</v>
      </c>
      <c r="C1596" s="12">
        <f t="shared" si="73"/>
        <v>2007</v>
      </c>
      <c r="D1596" s="13">
        <v>6300</v>
      </c>
      <c r="E1596" s="13">
        <v>26.470500000000001</v>
      </c>
      <c r="F1596" s="13">
        <f t="shared" si="74"/>
        <v>238.00079333597779</v>
      </c>
    </row>
    <row r="1597" spans="1:6" x14ac:dyDescent="0.25">
      <c r="A1597" s="10">
        <v>39121</v>
      </c>
      <c r="B1597" s="12">
        <f t="shared" si="72"/>
        <v>2</v>
      </c>
      <c r="C1597" s="12">
        <f t="shared" si="73"/>
        <v>2007</v>
      </c>
      <c r="D1597" s="13">
        <v>6300</v>
      </c>
      <c r="E1597" s="13">
        <v>26.318999999999999</v>
      </c>
      <c r="F1597" s="13">
        <f t="shared" si="74"/>
        <v>239.37079676279495</v>
      </c>
    </row>
    <row r="1598" spans="1:6" x14ac:dyDescent="0.25">
      <c r="A1598" s="10">
        <v>39122</v>
      </c>
      <c r="B1598" s="12">
        <f t="shared" si="72"/>
        <v>2</v>
      </c>
      <c r="C1598" s="12">
        <f t="shared" si="73"/>
        <v>2007</v>
      </c>
      <c r="D1598" s="13">
        <v>6300</v>
      </c>
      <c r="E1598" s="13">
        <v>26.3583</v>
      </c>
      <c r="F1598" s="13">
        <f t="shared" si="74"/>
        <v>239.01389695086559</v>
      </c>
    </row>
    <row r="1599" spans="1:6" x14ac:dyDescent="0.25">
      <c r="A1599" s="10">
        <v>39125</v>
      </c>
      <c r="B1599" s="12">
        <f t="shared" si="72"/>
        <v>2</v>
      </c>
      <c r="C1599" s="12">
        <f t="shared" si="73"/>
        <v>2007</v>
      </c>
      <c r="D1599" s="13">
        <v>6300</v>
      </c>
      <c r="E1599" s="13">
        <v>26.384</v>
      </c>
      <c r="F1599" s="13">
        <f t="shared" si="74"/>
        <v>238.78107944208611</v>
      </c>
    </row>
    <row r="1600" spans="1:6" x14ac:dyDescent="0.25">
      <c r="A1600" s="10">
        <v>39126</v>
      </c>
      <c r="B1600" s="12">
        <f t="shared" si="72"/>
        <v>2</v>
      </c>
      <c r="C1600" s="12">
        <f t="shared" si="73"/>
        <v>2007</v>
      </c>
      <c r="D1600" s="13">
        <v>6300</v>
      </c>
      <c r="E1600" s="13">
        <v>26.346</v>
      </c>
      <c r="F1600" s="13">
        <f t="shared" si="74"/>
        <v>239.12548394443178</v>
      </c>
    </row>
    <row r="1601" spans="1:6" x14ac:dyDescent="0.25">
      <c r="A1601" s="10">
        <v>39127</v>
      </c>
      <c r="B1601" s="12">
        <f t="shared" si="72"/>
        <v>2</v>
      </c>
      <c r="C1601" s="12">
        <f t="shared" si="73"/>
        <v>2007</v>
      </c>
      <c r="D1601" s="13">
        <v>6300</v>
      </c>
      <c r="E1601" s="13">
        <v>26.242999999999999</v>
      </c>
      <c r="F1601" s="13">
        <f t="shared" si="74"/>
        <v>240.06401707121901</v>
      </c>
    </row>
    <row r="1602" spans="1:6" x14ac:dyDescent="0.25">
      <c r="A1602" s="10">
        <v>39128</v>
      </c>
      <c r="B1602" s="12">
        <f t="shared" si="72"/>
        <v>2</v>
      </c>
      <c r="C1602" s="12">
        <f t="shared" si="73"/>
        <v>2007</v>
      </c>
      <c r="D1602" s="13">
        <v>6300</v>
      </c>
      <c r="E1602" s="13">
        <v>26.231000000000002</v>
      </c>
      <c r="F1602" s="13">
        <f t="shared" si="74"/>
        <v>240.17384011284358</v>
      </c>
    </row>
    <row r="1603" spans="1:6" x14ac:dyDescent="0.25">
      <c r="A1603" s="10">
        <v>39129</v>
      </c>
      <c r="B1603" s="12">
        <f t="shared" ref="B1603:B1666" si="75">MONTH(A1603)</f>
        <v>2</v>
      </c>
      <c r="C1603" s="12">
        <f t="shared" ref="C1603:C1666" si="76">YEAR(A1603)</f>
        <v>2007</v>
      </c>
      <c r="D1603" s="13">
        <v>6300</v>
      </c>
      <c r="E1603" s="13">
        <v>26.222000000000001</v>
      </c>
      <c r="F1603" s="13">
        <f t="shared" ref="F1603:F1666" si="77">IF(D1603="","",D1603/E1603)</f>
        <v>240.25627335824879</v>
      </c>
    </row>
    <row r="1604" spans="1:6" x14ac:dyDescent="0.25">
      <c r="A1604" s="10">
        <v>39133</v>
      </c>
      <c r="B1604" s="12">
        <f t="shared" si="75"/>
        <v>2</v>
      </c>
      <c r="C1604" s="12">
        <f t="shared" si="76"/>
        <v>2007</v>
      </c>
      <c r="D1604" s="13">
        <v>6300</v>
      </c>
      <c r="E1604" s="13">
        <v>26.217400000000001</v>
      </c>
      <c r="F1604" s="13">
        <f t="shared" si="77"/>
        <v>240.29842776171549</v>
      </c>
    </row>
    <row r="1605" spans="1:6" x14ac:dyDescent="0.25">
      <c r="A1605" s="10">
        <v>39134</v>
      </c>
      <c r="B1605" s="12">
        <f t="shared" si="75"/>
        <v>2</v>
      </c>
      <c r="C1605" s="12">
        <f t="shared" si="76"/>
        <v>2007</v>
      </c>
      <c r="D1605" s="13">
        <v>6300</v>
      </c>
      <c r="E1605" s="13">
        <v>26.2149</v>
      </c>
      <c r="F1605" s="13">
        <f t="shared" si="77"/>
        <v>240.32134396850645</v>
      </c>
    </row>
    <row r="1606" spans="1:6" x14ac:dyDescent="0.25">
      <c r="A1606" s="10">
        <v>39135</v>
      </c>
      <c r="B1606" s="12">
        <f t="shared" si="75"/>
        <v>2</v>
      </c>
      <c r="C1606" s="12">
        <f t="shared" si="76"/>
        <v>2007</v>
      </c>
      <c r="D1606" s="13">
        <v>6300</v>
      </c>
      <c r="E1606" s="13">
        <v>26.219000000000001</v>
      </c>
      <c r="F1606" s="13">
        <f t="shared" si="77"/>
        <v>240.28376368282542</v>
      </c>
    </row>
    <row r="1607" spans="1:6" x14ac:dyDescent="0.25">
      <c r="A1607" s="10">
        <v>39136</v>
      </c>
      <c r="B1607" s="12">
        <f t="shared" si="75"/>
        <v>2</v>
      </c>
      <c r="C1607" s="12">
        <f t="shared" si="76"/>
        <v>2007</v>
      </c>
      <c r="D1607" s="13">
        <v>6300</v>
      </c>
      <c r="E1607" s="13">
        <v>26.176100000000002</v>
      </c>
      <c r="F1607" s="13">
        <f t="shared" si="77"/>
        <v>240.67756464866804</v>
      </c>
    </row>
    <row r="1608" spans="1:6" x14ac:dyDescent="0.25">
      <c r="A1608" s="10">
        <v>39139</v>
      </c>
      <c r="B1608" s="12">
        <f t="shared" si="75"/>
        <v>2</v>
      </c>
      <c r="C1608" s="12">
        <f t="shared" si="76"/>
        <v>2007</v>
      </c>
      <c r="D1608" s="13">
        <v>6300</v>
      </c>
      <c r="E1608" s="13">
        <v>26.1829</v>
      </c>
      <c r="F1608" s="13">
        <f t="shared" si="77"/>
        <v>240.61505791948179</v>
      </c>
    </row>
    <row r="1609" spans="1:6" x14ac:dyDescent="0.25">
      <c r="A1609" s="10">
        <v>39140</v>
      </c>
      <c r="B1609" s="12">
        <f t="shared" si="75"/>
        <v>2</v>
      </c>
      <c r="C1609" s="12">
        <f t="shared" si="76"/>
        <v>2007</v>
      </c>
      <c r="D1609" s="13">
        <v>6300</v>
      </c>
      <c r="E1609" s="13">
        <v>26.105399999999999</v>
      </c>
      <c r="F1609" s="13">
        <f t="shared" si="77"/>
        <v>241.32938012824934</v>
      </c>
    </row>
    <row r="1610" spans="1:6" x14ac:dyDescent="0.25">
      <c r="A1610" s="10">
        <v>39141</v>
      </c>
      <c r="B1610" s="12">
        <f t="shared" si="75"/>
        <v>2</v>
      </c>
      <c r="C1610" s="12">
        <f t="shared" si="76"/>
        <v>2007</v>
      </c>
      <c r="D1610" s="13">
        <v>6300</v>
      </c>
      <c r="E1610" s="13">
        <v>26.1173</v>
      </c>
      <c r="F1610" s="13">
        <f t="shared" si="77"/>
        <v>241.21942160943129</v>
      </c>
    </row>
    <row r="1611" spans="1:6" x14ac:dyDescent="0.25">
      <c r="A1611" s="10">
        <v>39142</v>
      </c>
      <c r="B1611" s="12">
        <f t="shared" si="75"/>
        <v>3</v>
      </c>
      <c r="C1611" s="12">
        <f t="shared" si="76"/>
        <v>2007</v>
      </c>
      <c r="D1611" s="13">
        <v>6300</v>
      </c>
      <c r="E1611" s="13">
        <v>26.173999999999999</v>
      </c>
      <c r="F1611" s="13">
        <f t="shared" si="77"/>
        <v>240.69687476121342</v>
      </c>
    </row>
    <row r="1612" spans="1:6" x14ac:dyDescent="0.25">
      <c r="A1612" s="10">
        <v>39143</v>
      </c>
      <c r="B1612" s="12">
        <f t="shared" si="75"/>
        <v>3</v>
      </c>
      <c r="C1612" s="12">
        <f t="shared" si="76"/>
        <v>2007</v>
      </c>
      <c r="D1612" s="13">
        <v>6300</v>
      </c>
      <c r="E1612" s="13">
        <v>26.1525</v>
      </c>
      <c r="F1612" s="13">
        <f t="shared" si="77"/>
        <v>240.89475193576141</v>
      </c>
    </row>
    <row r="1613" spans="1:6" x14ac:dyDescent="0.25">
      <c r="A1613" s="10">
        <v>39146</v>
      </c>
      <c r="B1613" s="12">
        <f t="shared" si="75"/>
        <v>3</v>
      </c>
      <c r="C1613" s="12">
        <f t="shared" si="76"/>
        <v>2007</v>
      </c>
      <c r="D1613" s="13">
        <v>6300</v>
      </c>
      <c r="E1613" s="13">
        <v>26.2681</v>
      </c>
      <c r="F1613" s="13">
        <f t="shared" si="77"/>
        <v>239.83462831342959</v>
      </c>
    </row>
    <row r="1614" spans="1:6" x14ac:dyDescent="0.25">
      <c r="A1614" s="10">
        <v>39147</v>
      </c>
      <c r="B1614" s="12">
        <f t="shared" si="75"/>
        <v>3</v>
      </c>
      <c r="C1614" s="12">
        <f t="shared" si="76"/>
        <v>2007</v>
      </c>
      <c r="D1614" s="13">
        <v>6300</v>
      </c>
      <c r="E1614" s="13">
        <v>26.245100000000001</v>
      </c>
      <c r="F1614" s="13">
        <f t="shared" si="77"/>
        <v>240.04480836422798</v>
      </c>
    </row>
    <row r="1615" spans="1:6" x14ac:dyDescent="0.25">
      <c r="A1615" s="10">
        <v>39148</v>
      </c>
      <c r="B1615" s="12">
        <f t="shared" si="75"/>
        <v>3</v>
      </c>
      <c r="C1615" s="12">
        <f t="shared" si="76"/>
        <v>2007</v>
      </c>
      <c r="D1615" s="13">
        <v>6300</v>
      </c>
      <c r="E1615" s="13">
        <v>26.207999999999998</v>
      </c>
      <c r="F1615" s="13">
        <f t="shared" si="77"/>
        <v>240.38461538461539</v>
      </c>
    </row>
    <row r="1616" spans="1:6" x14ac:dyDescent="0.25">
      <c r="A1616" s="10">
        <v>39149</v>
      </c>
      <c r="B1616" s="12">
        <f t="shared" si="75"/>
        <v>3</v>
      </c>
      <c r="C1616" s="12">
        <f t="shared" si="76"/>
        <v>2007</v>
      </c>
      <c r="D1616" s="13">
        <v>6300</v>
      </c>
      <c r="E1616" s="13">
        <v>26.221</v>
      </c>
      <c r="F1616" s="13">
        <f t="shared" si="77"/>
        <v>240.26543610083522</v>
      </c>
    </row>
    <row r="1617" spans="1:6" x14ac:dyDescent="0.25">
      <c r="A1617" s="10">
        <v>39150</v>
      </c>
      <c r="B1617" s="12">
        <f t="shared" si="75"/>
        <v>3</v>
      </c>
      <c r="C1617" s="12">
        <f t="shared" si="76"/>
        <v>2007</v>
      </c>
      <c r="D1617" s="13">
        <v>6300</v>
      </c>
      <c r="E1617" s="13">
        <v>26.231999999999999</v>
      </c>
      <c r="F1617" s="13">
        <f t="shared" si="77"/>
        <v>240.16468435498629</v>
      </c>
    </row>
    <row r="1618" spans="1:6" x14ac:dyDescent="0.25">
      <c r="A1618" s="10">
        <v>39153</v>
      </c>
      <c r="B1618" s="12">
        <f t="shared" si="75"/>
        <v>3</v>
      </c>
      <c r="C1618" s="12">
        <f t="shared" si="76"/>
        <v>2007</v>
      </c>
      <c r="D1618" s="13">
        <v>6350</v>
      </c>
      <c r="E1618" s="13">
        <v>26.167000000000002</v>
      </c>
      <c r="F1618" s="13">
        <f t="shared" si="77"/>
        <v>242.67206787174683</v>
      </c>
    </row>
    <row r="1619" spans="1:6" x14ac:dyDescent="0.25">
      <c r="A1619" s="10">
        <v>39154</v>
      </c>
      <c r="B1619" s="12">
        <f t="shared" si="75"/>
        <v>3</v>
      </c>
      <c r="C1619" s="12">
        <f t="shared" si="76"/>
        <v>2007</v>
      </c>
      <c r="D1619" s="13">
        <v>6350</v>
      </c>
      <c r="E1619" s="13">
        <v>26.141100000000002</v>
      </c>
      <c r="F1619" s="13">
        <f t="shared" si="77"/>
        <v>242.91250176924459</v>
      </c>
    </row>
    <row r="1620" spans="1:6" x14ac:dyDescent="0.25">
      <c r="A1620" s="10">
        <v>39155</v>
      </c>
      <c r="B1620" s="12">
        <f t="shared" si="75"/>
        <v>3</v>
      </c>
      <c r="C1620" s="12">
        <f t="shared" si="76"/>
        <v>2007</v>
      </c>
      <c r="D1620" s="13">
        <v>6350</v>
      </c>
      <c r="E1620" s="13">
        <v>26.1235</v>
      </c>
      <c r="F1620" s="13">
        <f t="shared" si="77"/>
        <v>243.07615748272627</v>
      </c>
    </row>
    <row r="1621" spans="1:6" x14ac:dyDescent="0.25">
      <c r="A1621" s="10">
        <v>39156</v>
      </c>
      <c r="B1621" s="12">
        <f t="shared" si="75"/>
        <v>3</v>
      </c>
      <c r="C1621" s="12">
        <f t="shared" si="76"/>
        <v>2007</v>
      </c>
      <c r="D1621" s="13">
        <v>6350</v>
      </c>
      <c r="E1621" s="13">
        <v>26.117000000000001</v>
      </c>
      <c r="F1621" s="13">
        <f t="shared" si="77"/>
        <v>243.13665428648005</v>
      </c>
    </row>
    <row r="1622" spans="1:6" x14ac:dyDescent="0.25">
      <c r="A1622" s="10">
        <v>39157</v>
      </c>
      <c r="B1622" s="12">
        <f t="shared" si="75"/>
        <v>3</v>
      </c>
      <c r="C1622" s="12">
        <f t="shared" si="76"/>
        <v>2007</v>
      </c>
      <c r="D1622" s="13">
        <v>6350</v>
      </c>
      <c r="E1622" s="13">
        <v>26.03</v>
      </c>
      <c r="F1622" s="13">
        <f t="shared" si="77"/>
        <v>243.94928928159814</v>
      </c>
    </row>
    <row r="1623" spans="1:6" x14ac:dyDescent="0.25">
      <c r="A1623" s="10">
        <v>39160</v>
      </c>
      <c r="B1623" s="12">
        <f t="shared" si="75"/>
        <v>3</v>
      </c>
      <c r="C1623" s="12">
        <f t="shared" si="76"/>
        <v>2007</v>
      </c>
      <c r="D1623" s="13">
        <v>6500</v>
      </c>
      <c r="E1623" s="13">
        <v>26.032</v>
      </c>
      <c r="F1623" s="13">
        <f t="shared" si="77"/>
        <v>249.69268592501535</v>
      </c>
    </row>
    <row r="1624" spans="1:6" x14ac:dyDescent="0.25">
      <c r="A1624" s="10">
        <v>39161</v>
      </c>
      <c r="B1624" s="12">
        <f t="shared" si="75"/>
        <v>3</v>
      </c>
      <c r="C1624" s="12">
        <f t="shared" si="76"/>
        <v>2007</v>
      </c>
      <c r="D1624" s="13">
        <v>6500</v>
      </c>
      <c r="E1624" s="13">
        <v>26.023499999999999</v>
      </c>
      <c r="F1624" s="13">
        <f t="shared" si="77"/>
        <v>249.77424251157609</v>
      </c>
    </row>
    <row r="1625" spans="1:6" x14ac:dyDescent="0.25">
      <c r="A1625" s="10">
        <v>39162</v>
      </c>
      <c r="B1625" s="12">
        <f t="shared" si="75"/>
        <v>3</v>
      </c>
      <c r="C1625" s="12">
        <f t="shared" si="76"/>
        <v>2007</v>
      </c>
      <c r="D1625" s="13">
        <v>6500</v>
      </c>
      <c r="E1625" s="13">
        <v>26.04</v>
      </c>
      <c r="F1625" s="13">
        <f t="shared" si="77"/>
        <v>249.61597542242706</v>
      </c>
    </row>
    <row r="1626" spans="1:6" x14ac:dyDescent="0.25">
      <c r="A1626" s="10">
        <v>39163</v>
      </c>
      <c r="B1626" s="12">
        <f t="shared" si="75"/>
        <v>3</v>
      </c>
      <c r="C1626" s="12">
        <f t="shared" si="76"/>
        <v>2007</v>
      </c>
      <c r="D1626" s="13">
        <v>6500</v>
      </c>
      <c r="E1626" s="13">
        <v>26.015000000000001</v>
      </c>
      <c r="F1626" s="13">
        <f t="shared" si="77"/>
        <v>249.85585239285027</v>
      </c>
    </row>
    <row r="1627" spans="1:6" x14ac:dyDescent="0.25">
      <c r="A1627" s="10">
        <v>39164</v>
      </c>
      <c r="B1627" s="12">
        <f t="shared" si="75"/>
        <v>3</v>
      </c>
      <c r="C1627" s="12">
        <f t="shared" si="76"/>
        <v>2007</v>
      </c>
      <c r="D1627" s="13">
        <v>6500</v>
      </c>
      <c r="E1627" s="13">
        <v>26.052299999999999</v>
      </c>
      <c r="F1627" s="13">
        <f t="shared" si="77"/>
        <v>249.49812492563038</v>
      </c>
    </row>
    <row r="1628" spans="1:6" x14ac:dyDescent="0.25">
      <c r="A1628" s="10">
        <v>39167</v>
      </c>
      <c r="B1628" s="12">
        <f t="shared" si="75"/>
        <v>3</v>
      </c>
      <c r="C1628" s="12">
        <f t="shared" si="76"/>
        <v>2007</v>
      </c>
      <c r="D1628" s="13">
        <v>6550</v>
      </c>
      <c r="E1628" s="13">
        <v>26.002500000000001</v>
      </c>
      <c r="F1628" s="13">
        <f t="shared" si="77"/>
        <v>251.89885587924238</v>
      </c>
    </row>
    <row r="1629" spans="1:6" x14ac:dyDescent="0.25">
      <c r="A1629" s="10">
        <v>39168</v>
      </c>
      <c r="B1629" s="12">
        <f t="shared" si="75"/>
        <v>3</v>
      </c>
      <c r="C1629" s="12">
        <f t="shared" si="76"/>
        <v>2007</v>
      </c>
      <c r="D1629" s="13">
        <v>6550</v>
      </c>
      <c r="E1629" s="13">
        <v>25.9954</v>
      </c>
      <c r="F1629" s="13">
        <f t="shared" si="77"/>
        <v>251.96765581602898</v>
      </c>
    </row>
    <row r="1630" spans="1:6" x14ac:dyDescent="0.25">
      <c r="A1630" s="10">
        <v>39169</v>
      </c>
      <c r="B1630" s="12">
        <f t="shared" si="75"/>
        <v>3</v>
      </c>
      <c r="C1630" s="12">
        <f t="shared" si="76"/>
        <v>2007</v>
      </c>
      <c r="D1630" s="13">
        <v>6550</v>
      </c>
      <c r="E1630" s="13">
        <v>26.0045</v>
      </c>
      <c r="F1630" s="13">
        <f t="shared" si="77"/>
        <v>251.8794823972774</v>
      </c>
    </row>
    <row r="1631" spans="1:6" x14ac:dyDescent="0.25">
      <c r="A1631" s="10">
        <v>39170</v>
      </c>
      <c r="B1631" s="12">
        <f t="shared" si="75"/>
        <v>3</v>
      </c>
      <c r="C1631" s="12">
        <f t="shared" si="76"/>
        <v>2007</v>
      </c>
      <c r="D1631" s="13">
        <v>6550</v>
      </c>
      <c r="E1631" s="13">
        <v>26.0031</v>
      </c>
      <c r="F1631" s="13">
        <f t="shared" si="77"/>
        <v>251.89304352173394</v>
      </c>
    </row>
    <row r="1632" spans="1:6" x14ac:dyDescent="0.25">
      <c r="A1632" s="10">
        <v>39171</v>
      </c>
      <c r="B1632" s="12">
        <f t="shared" si="75"/>
        <v>3</v>
      </c>
      <c r="C1632" s="12">
        <f t="shared" si="76"/>
        <v>2007</v>
      </c>
      <c r="D1632" s="13">
        <v>6550</v>
      </c>
      <c r="E1632" s="13">
        <v>25.963000000000001</v>
      </c>
      <c r="F1632" s="13">
        <f t="shared" si="77"/>
        <v>252.28209374879634</v>
      </c>
    </row>
    <row r="1633" spans="1:6" x14ac:dyDescent="0.25">
      <c r="A1633" s="10">
        <v>39174</v>
      </c>
      <c r="B1633" s="12">
        <f t="shared" si="75"/>
        <v>4</v>
      </c>
      <c r="C1633" s="12">
        <f t="shared" si="76"/>
        <v>2007</v>
      </c>
      <c r="D1633" s="13">
        <v>6650</v>
      </c>
      <c r="E1633" s="13">
        <v>25.974799999999998</v>
      </c>
      <c r="F1633" s="13">
        <f t="shared" si="77"/>
        <v>256.01737068235366</v>
      </c>
    </row>
    <row r="1634" spans="1:6" x14ac:dyDescent="0.25">
      <c r="A1634" s="10">
        <v>39175</v>
      </c>
      <c r="B1634" s="12">
        <f t="shared" si="75"/>
        <v>4</v>
      </c>
      <c r="C1634" s="12">
        <f t="shared" si="76"/>
        <v>2007</v>
      </c>
      <c r="D1634" s="13">
        <v>6650</v>
      </c>
      <c r="E1634" s="13">
        <v>26.015999999999998</v>
      </c>
      <c r="F1634" s="13">
        <f t="shared" si="77"/>
        <v>255.61193111931121</v>
      </c>
    </row>
    <row r="1635" spans="1:6" x14ac:dyDescent="0.25">
      <c r="A1635" s="10">
        <v>39176</v>
      </c>
      <c r="B1635" s="12">
        <f t="shared" si="75"/>
        <v>4</v>
      </c>
      <c r="C1635" s="12">
        <f t="shared" si="76"/>
        <v>2007</v>
      </c>
      <c r="D1635" s="13">
        <v>6650</v>
      </c>
      <c r="E1635" s="13">
        <v>25.9755</v>
      </c>
      <c r="F1635" s="13">
        <f t="shared" si="77"/>
        <v>256.01047140574769</v>
      </c>
    </row>
    <row r="1636" spans="1:6" x14ac:dyDescent="0.25">
      <c r="A1636" s="10">
        <v>39177</v>
      </c>
      <c r="B1636" s="12">
        <f t="shared" si="75"/>
        <v>4</v>
      </c>
      <c r="C1636" s="12">
        <f t="shared" si="76"/>
        <v>2007</v>
      </c>
      <c r="D1636" s="13">
        <v>6650</v>
      </c>
      <c r="E1636" s="13">
        <v>25.914000000000001</v>
      </c>
      <c r="F1636" s="13">
        <f t="shared" si="77"/>
        <v>256.61804430037819</v>
      </c>
    </row>
    <row r="1637" spans="1:6" x14ac:dyDescent="0.25">
      <c r="A1637" s="10">
        <v>39181</v>
      </c>
      <c r="B1637" s="12">
        <f t="shared" si="75"/>
        <v>4</v>
      </c>
      <c r="C1637" s="12">
        <f t="shared" si="76"/>
        <v>2007</v>
      </c>
      <c r="D1637" s="13">
        <v>6750</v>
      </c>
      <c r="E1637" s="13">
        <v>25.986000000000001</v>
      </c>
      <c r="F1637" s="13">
        <f t="shared" si="77"/>
        <v>259.75525282844609</v>
      </c>
    </row>
    <row r="1638" spans="1:6" x14ac:dyDescent="0.25">
      <c r="A1638" s="10">
        <v>39182</v>
      </c>
      <c r="B1638" s="12">
        <f t="shared" si="75"/>
        <v>4</v>
      </c>
      <c r="C1638" s="12">
        <f t="shared" si="76"/>
        <v>2007</v>
      </c>
      <c r="D1638" s="13">
        <v>6750</v>
      </c>
      <c r="E1638" s="13">
        <v>25.911000000000001</v>
      </c>
      <c r="F1638" s="13">
        <f t="shared" si="77"/>
        <v>260.50712052796109</v>
      </c>
    </row>
    <row r="1639" spans="1:6" x14ac:dyDescent="0.25">
      <c r="A1639" s="10">
        <v>39183</v>
      </c>
      <c r="B1639" s="12">
        <f t="shared" si="75"/>
        <v>4</v>
      </c>
      <c r="C1639" s="12">
        <f t="shared" si="76"/>
        <v>2007</v>
      </c>
      <c r="D1639" s="13">
        <v>6750</v>
      </c>
      <c r="E1639" s="13">
        <v>25.912500000000001</v>
      </c>
      <c r="F1639" s="13">
        <f t="shared" si="77"/>
        <v>260.49204052098406</v>
      </c>
    </row>
    <row r="1640" spans="1:6" x14ac:dyDescent="0.25">
      <c r="A1640" s="10">
        <v>39184</v>
      </c>
      <c r="B1640" s="12">
        <f t="shared" si="75"/>
        <v>4</v>
      </c>
      <c r="C1640" s="12">
        <f t="shared" si="76"/>
        <v>2007</v>
      </c>
      <c r="D1640" s="13">
        <v>6750</v>
      </c>
      <c r="E1640" s="13">
        <v>25.849499999999999</v>
      </c>
      <c r="F1640" s="13">
        <f t="shared" si="77"/>
        <v>261.1269076771311</v>
      </c>
    </row>
    <row r="1641" spans="1:6" x14ac:dyDescent="0.25">
      <c r="A1641" s="10">
        <v>39185</v>
      </c>
      <c r="B1641" s="12">
        <f t="shared" si="75"/>
        <v>4</v>
      </c>
      <c r="C1641" s="12">
        <f t="shared" si="76"/>
        <v>2007</v>
      </c>
      <c r="D1641" s="13">
        <v>6750</v>
      </c>
      <c r="E1641" s="13">
        <v>25.8</v>
      </c>
      <c r="F1641" s="13">
        <f t="shared" si="77"/>
        <v>261.62790697674416</v>
      </c>
    </row>
    <row r="1642" spans="1:6" x14ac:dyDescent="0.25">
      <c r="A1642" s="10">
        <v>39188</v>
      </c>
      <c r="B1642" s="12">
        <f t="shared" si="75"/>
        <v>4</v>
      </c>
      <c r="C1642" s="12">
        <f t="shared" si="76"/>
        <v>2007</v>
      </c>
      <c r="D1642" s="13">
        <v>6850</v>
      </c>
      <c r="E1642" s="13">
        <v>25.790099999999999</v>
      </c>
      <c r="F1642" s="13">
        <f t="shared" si="77"/>
        <v>265.60579447152202</v>
      </c>
    </row>
    <row r="1643" spans="1:6" x14ac:dyDescent="0.25">
      <c r="A1643" s="10">
        <v>39189</v>
      </c>
      <c r="B1643" s="12">
        <f t="shared" si="75"/>
        <v>4</v>
      </c>
      <c r="C1643" s="12">
        <f t="shared" si="76"/>
        <v>2007</v>
      </c>
      <c r="D1643" s="13">
        <v>6850</v>
      </c>
      <c r="E1643" s="13">
        <v>25.766500000000001</v>
      </c>
      <c r="F1643" s="13">
        <f t="shared" si="77"/>
        <v>265.84906758775929</v>
      </c>
    </row>
    <row r="1644" spans="1:6" x14ac:dyDescent="0.25">
      <c r="A1644" s="10">
        <v>39190</v>
      </c>
      <c r="B1644" s="12">
        <f t="shared" si="75"/>
        <v>4</v>
      </c>
      <c r="C1644" s="12">
        <f t="shared" si="76"/>
        <v>2007</v>
      </c>
      <c r="D1644" s="13">
        <v>6850</v>
      </c>
      <c r="E1644" s="13">
        <v>25.76</v>
      </c>
      <c r="F1644" s="13">
        <f t="shared" si="77"/>
        <v>265.91614906832297</v>
      </c>
    </row>
    <row r="1645" spans="1:6" x14ac:dyDescent="0.25">
      <c r="A1645" s="10">
        <v>39191</v>
      </c>
      <c r="B1645" s="12">
        <f t="shared" si="75"/>
        <v>4</v>
      </c>
      <c r="C1645" s="12">
        <f t="shared" si="76"/>
        <v>2007</v>
      </c>
      <c r="D1645" s="13">
        <v>6850</v>
      </c>
      <c r="E1645" s="13">
        <v>25.738499999999998</v>
      </c>
      <c r="F1645" s="13">
        <f t="shared" si="77"/>
        <v>266.13827534627114</v>
      </c>
    </row>
    <row r="1646" spans="1:6" x14ac:dyDescent="0.25">
      <c r="A1646" s="10">
        <v>39192</v>
      </c>
      <c r="B1646" s="12">
        <f t="shared" si="75"/>
        <v>4</v>
      </c>
      <c r="C1646" s="12">
        <f t="shared" si="76"/>
        <v>2007</v>
      </c>
      <c r="D1646" s="13">
        <v>6850</v>
      </c>
      <c r="E1646" s="13">
        <v>25.729500000000002</v>
      </c>
      <c r="F1646" s="13">
        <f t="shared" si="77"/>
        <v>266.23136866243027</v>
      </c>
    </row>
    <row r="1647" spans="1:6" x14ac:dyDescent="0.25">
      <c r="A1647" s="10">
        <v>39195</v>
      </c>
      <c r="B1647" s="12">
        <f t="shared" si="75"/>
        <v>4</v>
      </c>
      <c r="C1647" s="12">
        <f t="shared" si="76"/>
        <v>2007</v>
      </c>
      <c r="D1647" s="13">
        <v>7050</v>
      </c>
      <c r="E1647" s="13">
        <v>25.757999999999999</v>
      </c>
      <c r="F1647" s="13">
        <f t="shared" si="77"/>
        <v>273.70137433030516</v>
      </c>
    </row>
    <row r="1648" spans="1:6" x14ac:dyDescent="0.25">
      <c r="A1648" s="10">
        <v>39196</v>
      </c>
      <c r="B1648" s="12">
        <f t="shared" si="75"/>
        <v>4</v>
      </c>
      <c r="C1648" s="12">
        <f t="shared" si="76"/>
        <v>2007</v>
      </c>
      <c r="D1648" s="13">
        <v>7050</v>
      </c>
      <c r="E1648" s="13">
        <v>25.713100000000001</v>
      </c>
      <c r="F1648" s="13">
        <f t="shared" si="77"/>
        <v>274.17930937926582</v>
      </c>
    </row>
    <row r="1649" spans="1:6" x14ac:dyDescent="0.25">
      <c r="A1649" s="10">
        <v>39197</v>
      </c>
      <c r="B1649" s="12">
        <f t="shared" si="75"/>
        <v>4</v>
      </c>
      <c r="C1649" s="12">
        <f t="shared" si="76"/>
        <v>2007</v>
      </c>
      <c r="D1649" s="13">
        <v>7050</v>
      </c>
      <c r="E1649" s="13">
        <v>25.697700000000001</v>
      </c>
      <c r="F1649" s="13">
        <f t="shared" si="77"/>
        <v>274.34361830047044</v>
      </c>
    </row>
    <row r="1650" spans="1:6" x14ac:dyDescent="0.25">
      <c r="A1650" s="10">
        <v>39198</v>
      </c>
      <c r="B1650" s="12">
        <f t="shared" si="75"/>
        <v>4</v>
      </c>
      <c r="C1650" s="12">
        <f t="shared" si="76"/>
        <v>2007</v>
      </c>
      <c r="D1650" s="13">
        <v>7050</v>
      </c>
      <c r="E1650" s="13">
        <v>25.725999999999999</v>
      </c>
      <c r="F1650" s="13">
        <f t="shared" si="77"/>
        <v>274.04182539065539</v>
      </c>
    </row>
    <row r="1651" spans="1:6" x14ac:dyDescent="0.25">
      <c r="A1651" s="10">
        <v>39199</v>
      </c>
      <c r="B1651" s="12">
        <f t="shared" si="75"/>
        <v>4</v>
      </c>
      <c r="C1651" s="12">
        <f t="shared" si="76"/>
        <v>2007</v>
      </c>
      <c r="D1651" s="13">
        <v>7050</v>
      </c>
      <c r="E1651" s="13">
        <v>25.701000000000001</v>
      </c>
      <c r="F1651" s="13">
        <f t="shared" si="77"/>
        <v>274.30839266954592</v>
      </c>
    </row>
    <row r="1652" spans="1:6" x14ac:dyDescent="0.25">
      <c r="A1652" s="10">
        <v>39202</v>
      </c>
      <c r="B1652" s="12">
        <f t="shared" si="75"/>
        <v>4</v>
      </c>
      <c r="C1652" s="12">
        <f t="shared" si="76"/>
        <v>2007</v>
      </c>
      <c r="D1652" s="13">
        <v>7100</v>
      </c>
      <c r="E1652" s="13">
        <v>25.68</v>
      </c>
      <c r="F1652" s="13">
        <f t="shared" si="77"/>
        <v>276.4797507788162</v>
      </c>
    </row>
    <row r="1653" spans="1:6" x14ac:dyDescent="0.25">
      <c r="A1653" s="10">
        <v>39203</v>
      </c>
      <c r="B1653" s="12">
        <f t="shared" si="75"/>
        <v>5</v>
      </c>
      <c r="C1653" s="12">
        <f t="shared" si="76"/>
        <v>2007</v>
      </c>
      <c r="D1653" s="13">
        <v>7100</v>
      </c>
      <c r="E1653" s="13">
        <v>25.735499999999998</v>
      </c>
      <c r="F1653" s="13">
        <f t="shared" si="77"/>
        <v>275.88350721765659</v>
      </c>
    </row>
    <row r="1654" spans="1:6" x14ac:dyDescent="0.25">
      <c r="A1654" s="10">
        <v>39204</v>
      </c>
      <c r="B1654" s="12">
        <f t="shared" si="75"/>
        <v>5</v>
      </c>
      <c r="C1654" s="12">
        <f t="shared" si="76"/>
        <v>2007</v>
      </c>
      <c r="D1654" s="13">
        <v>7100</v>
      </c>
      <c r="E1654" s="13">
        <v>25.732500000000002</v>
      </c>
      <c r="F1654" s="13">
        <f t="shared" si="77"/>
        <v>275.91567084426305</v>
      </c>
    </row>
    <row r="1655" spans="1:6" x14ac:dyDescent="0.25">
      <c r="A1655" s="10">
        <v>39205</v>
      </c>
      <c r="B1655" s="12">
        <f t="shared" si="75"/>
        <v>5</v>
      </c>
      <c r="C1655" s="12">
        <f t="shared" si="76"/>
        <v>2007</v>
      </c>
      <c r="D1655" s="13">
        <v>7100</v>
      </c>
      <c r="E1655" s="13">
        <v>25.771100000000001</v>
      </c>
      <c r="F1655" s="13">
        <f t="shared" si="77"/>
        <v>275.50240385548153</v>
      </c>
    </row>
    <row r="1656" spans="1:6" x14ac:dyDescent="0.25">
      <c r="A1656" s="10">
        <v>39206</v>
      </c>
      <c r="B1656" s="12">
        <f t="shared" si="75"/>
        <v>5</v>
      </c>
      <c r="C1656" s="12">
        <f t="shared" si="76"/>
        <v>2007</v>
      </c>
      <c r="D1656" s="13">
        <v>7100</v>
      </c>
      <c r="E1656" s="13">
        <v>25.731100000000001</v>
      </c>
      <c r="F1656" s="13">
        <f t="shared" si="77"/>
        <v>275.93068310332632</v>
      </c>
    </row>
    <row r="1657" spans="1:6" x14ac:dyDescent="0.25">
      <c r="A1657" s="10">
        <v>39209</v>
      </c>
      <c r="B1657" s="12">
        <f t="shared" si="75"/>
        <v>5</v>
      </c>
      <c r="C1657" s="12">
        <f t="shared" si="76"/>
        <v>2007</v>
      </c>
      <c r="D1657" s="13">
        <v>7400</v>
      </c>
      <c r="E1657" s="13">
        <v>25.725000000000001</v>
      </c>
      <c r="F1657" s="13">
        <f t="shared" si="77"/>
        <v>287.65792031098152</v>
      </c>
    </row>
    <row r="1658" spans="1:6" x14ac:dyDescent="0.25">
      <c r="A1658" s="10">
        <v>39210</v>
      </c>
      <c r="B1658" s="12">
        <f t="shared" si="75"/>
        <v>5</v>
      </c>
      <c r="C1658" s="12">
        <f t="shared" si="76"/>
        <v>2007</v>
      </c>
      <c r="D1658" s="13">
        <v>7400</v>
      </c>
      <c r="E1658" s="13">
        <v>25.798500000000001</v>
      </c>
      <c r="F1658" s="13">
        <f t="shared" si="77"/>
        <v>286.83838207647733</v>
      </c>
    </row>
    <row r="1659" spans="1:6" x14ac:dyDescent="0.25">
      <c r="A1659" s="10">
        <v>39211</v>
      </c>
      <c r="B1659" s="12">
        <f t="shared" si="75"/>
        <v>5</v>
      </c>
      <c r="C1659" s="12">
        <f t="shared" si="76"/>
        <v>2007</v>
      </c>
      <c r="D1659" s="13">
        <v>7400</v>
      </c>
      <c r="E1659" s="13">
        <v>25.787099999999999</v>
      </c>
      <c r="F1659" s="13">
        <f t="shared" si="77"/>
        <v>286.96518802036678</v>
      </c>
    </row>
    <row r="1660" spans="1:6" x14ac:dyDescent="0.25">
      <c r="A1660" s="10">
        <v>39212</v>
      </c>
      <c r="B1660" s="12">
        <f t="shared" si="75"/>
        <v>5</v>
      </c>
      <c r="C1660" s="12">
        <f t="shared" si="76"/>
        <v>2007</v>
      </c>
      <c r="D1660" s="13">
        <v>7400</v>
      </c>
      <c r="E1660" s="13">
        <v>25.861499999999999</v>
      </c>
      <c r="F1660" s="13">
        <f t="shared" si="77"/>
        <v>286.13962840515825</v>
      </c>
    </row>
    <row r="1661" spans="1:6" x14ac:dyDescent="0.25">
      <c r="A1661" s="10">
        <v>39213</v>
      </c>
      <c r="B1661" s="12">
        <f t="shared" si="75"/>
        <v>5</v>
      </c>
      <c r="C1661" s="12">
        <f t="shared" si="76"/>
        <v>2007</v>
      </c>
      <c r="D1661" s="13">
        <v>7400</v>
      </c>
      <c r="E1661" s="13">
        <v>25.818000000000001</v>
      </c>
      <c r="F1661" s="13">
        <f t="shared" si="77"/>
        <v>286.62173677279418</v>
      </c>
    </row>
    <row r="1662" spans="1:6" x14ac:dyDescent="0.25">
      <c r="A1662" s="10">
        <v>39216</v>
      </c>
      <c r="B1662" s="12">
        <f t="shared" si="75"/>
        <v>5</v>
      </c>
      <c r="C1662" s="12">
        <f t="shared" si="76"/>
        <v>2007</v>
      </c>
      <c r="D1662" s="13">
        <v>8100</v>
      </c>
      <c r="E1662" s="13">
        <v>25.785</v>
      </c>
      <c r="F1662" s="13">
        <f t="shared" si="77"/>
        <v>314.13612565445027</v>
      </c>
    </row>
    <row r="1663" spans="1:6" x14ac:dyDescent="0.25">
      <c r="A1663" s="10">
        <v>39217</v>
      </c>
      <c r="B1663" s="12">
        <f t="shared" si="75"/>
        <v>5</v>
      </c>
      <c r="C1663" s="12">
        <f t="shared" si="76"/>
        <v>2007</v>
      </c>
      <c r="D1663" s="13">
        <v>8100</v>
      </c>
      <c r="E1663" s="13">
        <v>25.7376</v>
      </c>
      <c r="F1663" s="13">
        <f t="shared" si="77"/>
        <v>314.71465870943678</v>
      </c>
    </row>
    <row r="1664" spans="1:6" x14ac:dyDescent="0.25">
      <c r="A1664" s="10">
        <v>39218</v>
      </c>
      <c r="B1664" s="12">
        <f t="shared" si="75"/>
        <v>5</v>
      </c>
      <c r="C1664" s="12">
        <f t="shared" si="76"/>
        <v>2007</v>
      </c>
      <c r="D1664" s="13">
        <v>8100</v>
      </c>
      <c r="E1664" s="13">
        <v>25.825500000000002</v>
      </c>
      <c r="F1664" s="13">
        <f t="shared" si="77"/>
        <v>313.64349189754313</v>
      </c>
    </row>
    <row r="1665" spans="1:6" x14ac:dyDescent="0.25">
      <c r="A1665" s="10">
        <v>39219</v>
      </c>
      <c r="B1665" s="12">
        <f t="shared" si="75"/>
        <v>5</v>
      </c>
      <c r="C1665" s="12">
        <f t="shared" si="76"/>
        <v>2007</v>
      </c>
      <c r="D1665" s="13">
        <v>8100</v>
      </c>
      <c r="E1665" s="13">
        <v>25.843499999999999</v>
      </c>
      <c r="F1665" s="13">
        <f t="shared" si="77"/>
        <v>313.42503917812991</v>
      </c>
    </row>
    <row r="1666" spans="1:6" x14ac:dyDescent="0.25">
      <c r="A1666" s="10">
        <v>39220</v>
      </c>
      <c r="B1666" s="12">
        <f t="shared" si="75"/>
        <v>5</v>
      </c>
      <c r="C1666" s="12">
        <f t="shared" si="76"/>
        <v>2007</v>
      </c>
      <c r="D1666" s="13">
        <v>8100</v>
      </c>
      <c r="E1666" s="13">
        <v>25.819700000000001</v>
      </c>
      <c r="F1666" s="13">
        <f t="shared" si="77"/>
        <v>313.71394710240628</v>
      </c>
    </row>
    <row r="1667" spans="1:6" x14ac:dyDescent="0.25">
      <c r="A1667" s="10">
        <v>39223</v>
      </c>
      <c r="B1667" s="12">
        <f t="shared" ref="B1667:B1730" si="78">MONTH(A1667)</f>
        <v>5</v>
      </c>
      <c r="C1667" s="12">
        <f t="shared" ref="C1667:C1730" si="79">YEAR(A1667)</f>
        <v>2007</v>
      </c>
      <c r="D1667" s="13">
        <v>8300</v>
      </c>
      <c r="E1667" s="13">
        <v>25.878399999999999</v>
      </c>
      <c r="F1667" s="13">
        <f t="shared" ref="F1667:F1730" si="80">IF(D1667="","",D1667/E1667)</f>
        <v>320.7308025225671</v>
      </c>
    </row>
    <row r="1668" spans="1:6" x14ac:dyDescent="0.25">
      <c r="A1668" s="10">
        <v>39224</v>
      </c>
      <c r="B1668" s="12">
        <f t="shared" si="78"/>
        <v>5</v>
      </c>
      <c r="C1668" s="12">
        <f t="shared" si="79"/>
        <v>2007</v>
      </c>
      <c r="D1668" s="13">
        <v>8300</v>
      </c>
      <c r="E1668" s="13">
        <v>25.877500000000001</v>
      </c>
      <c r="F1668" s="13">
        <f t="shared" si="80"/>
        <v>320.74195729881171</v>
      </c>
    </row>
    <row r="1669" spans="1:6" x14ac:dyDescent="0.25">
      <c r="A1669" s="10">
        <v>39225</v>
      </c>
      <c r="B1669" s="12">
        <f t="shared" si="78"/>
        <v>5</v>
      </c>
      <c r="C1669" s="12">
        <f t="shared" si="79"/>
        <v>2007</v>
      </c>
      <c r="D1669" s="13">
        <v>8300</v>
      </c>
      <c r="E1669" s="13">
        <v>25.882999999999999</v>
      </c>
      <c r="F1669" s="13">
        <f t="shared" si="80"/>
        <v>320.67380133678478</v>
      </c>
    </row>
    <row r="1670" spans="1:6" x14ac:dyDescent="0.25">
      <c r="A1670" s="10">
        <v>39226</v>
      </c>
      <c r="B1670" s="12">
        <f t="shared" si="78"/>
        <v>5</v>
      </c>
      <c r="C1670" s="12">
        <f t="shared" si="79"/>
        <v>2007</v>
      </c>
      <c r="D1670" s="13">
        <v>8300</v>
      </c>
      <c r="E1670" s="13">
        <v>25.89</v>
      </c>
      <c r="F1670" s="13">
        <f t="shared" si="80"/>
        <v>320.5870992661259</v>
      </c>
    </row>
    <row r="1671" spans="1:6" x14ac:dyDescent="0.25">
      <c r="A1671" s="10">
        <v>39227</v>
      </c>
      <c r="B1671" s="12">
        <f t="shared" si="78"/>
        <v>5</v>
      </c>
      <c r="C1671" s="12">
        <f t="shared" si="79"/>
        <v>2007</v>
      </c>
      <c r="D1671" s="13">
        <v>8300</v>
      </c>
      <c r="E1671" s="13">
        <v>25.884499999999999</v>
      </c>
      <c r="F1671" s="13">
        <f t="shared" si="80"/>
        <v>320.65521837393038</v>
      </c>
    </row>
    <row r="1672" spans="1:6" x14ac:dyDescent="0.25">
      <c r="A1672" s="10">
        <v>39231</v>
      </c>
      <c r="B1672" s="12">
        <f t="shared" si="78"/>
        <v>5</v>
      </c>
      <c r="C1672" s="12">
        <f t="shared" si="79"/>
        <v>2007</v>
      </c>
      <c r="D1672" s="13">
        <v>8600</v>
      </c>
      <c r="E1672" s="13">
        <v>25.900500000000001</v>
      </c>
      <c r="F1672" s="13">
        <f t="shared" si="80"/>
        <v>332.03992200922761</v>
      </c>
    </row>
    <row r="1673" spans="1:6" x14ac:dyDescent="0.25">
      <c r="A1673" s="10">
        <v>39232</v>
      </c>
      <c r="B1673" s="12">
        <f t="shared" si="78"/>
        <v>5</v>
      </c>
      <c r="C1673" s="12">
        <f t="shared" si="79"/>
        <v>2007</v>
      </c>
      <c r="D1673" s="13">
        <v>8600</v>
      </c>
      <c r="E1673" s="13">
        <v>25.912500000000001</v>
      </c>
      <c r="F1673" s="13">
        <f t="shared" si="80"/>
        <v>331.88615533043895</v>
      </c>
    </row>
    <row r="1674" spans="1:6" x14ac:dyDescent="0.25">
      <c r="A1674" s="10">
        <v>39233</v>
      </c>
      <c r="B1674" s="12">
        <f t="shared" si="78"/>
        <v>5</v>
      </c>
      <c r="C1674" s="12">
        <f t="shared" si="79"/>
        <v>2007</v>
      </c>
      <c r="D1674" s="13">
        <v>8600</v>
      </c>
      <c r="E1674" s="13">
        <v>25.8842</v>
      </c>
      <c r="F1674" s="13">
        <f t="shared" si="80"/>
        <v>332.249016774712</v>
      </c>
    </row>
    <row r="1675" spans="1:6" x14ac:dyDescent="0.25">
      <c r="A1675" s="10">
        <v>39234</v>
      </c>
      <c r="B1675" s="12">
        <f t="shared" si="78"/>
        <v>6</v>
      </c>
      <c r="C1675" s="12">
        <f t="shared" si="79"/>
        <v>2007</v>
      </c>
      <c r="D1675" s="13">
        <v>8600</v>
      </c>
      <c r="E1675" s="13">
        <v>25.897500000000001</v>
      </c>
      <c r="F1675" s="13">
        <f t="shared" si="80"/>
        <v>332.07838594458923</v>
      </c>
    </row>
    <row r="1676" spans="1:6" x14ac:dyDescent="0.25">
      <c r="A1676" s="10">
        <v>39237</v>
      </c>
      <c r="B1676" s="12">
        <f t="shared" si="78"/>
        <v>6</v>
      </c>
      <c r="C1676" s="12">
        <f t="shared" si="79"/>
        <v>2007</v>
      </c>
      <c r="D1676" s="13">
        <v>8700</v>
      </c>
      <c r="E1676" s="13">
        <v>25.861499999999999</v>
      </c>
      <c r="F1676" s="13">
        <f t="shared" si="80"/>
        <v>336.40740096282121</v>
      </c>
    </row>
    <row r="1677" spans="1:6" x14ac:dyDescent="0.25">
      <c r="A1677" s="10">
        <v>39238</v>
      </c>
      <c r="B1677" s="12">
        <f t="shared" si="78"/>
        <v>6</v>
      </c>
      <c r="C1677" s="12">
        <f t="shared" si="79"/>
        <v>2007</v>
      </c>
      <c r="D1677" s="13">
        <v>8700</v>
      </c>
      <c r="E1677" s="13">
        <v>25.8323</v>
      </c>
      <c r="F1677" s="13">
        <f t="shared" si="80"/>
        <v>336.7876650549893</v>
      </c>
    </row>
    <row r="1678" spans="1:6" x14ac:dyDescent="0.25">
      <c r="A1678" s="10">
        <v>39239</v>
      </c>
      <c r="B1678" s="12">
        <f t="shared" si="78"/>
        <v>6</v>
      </c>
      <c r="C1678" s="12">
        <f t="shared" si="79"/>
        <v>2007</v>
      </c>
      <c r="D1678" s="13">
        <v>8700</v>
      </c>
      <c r="E1678" s="13">
        <v>25.836200000000002</v>
      </c>
      <c r="F1678" s="13">
        <f t="shared" si="80"/>
        <v>336.73682662311018</v>
      </c>
    </row>
    <row r="1679" spans="1:6" x14ac:dyDescent="0.25">
      <c r="A1679" s="10">
        <v>39240</v>
      </c>
      <c r="B1679" s="12">
        <f t="shared" si="78"/>
        <v>6</v>
      </c>
      <c r="C1679" s="12">
        <f t="shared" si="79"/>
        <v>2007</v>
      </c>
      <c r="D1679" s="13">
        <v>8700</v>
      </c>
      <c r="E1679" s="13">
        <v>25.908000000000001</v>
      </c>
      <c r="F1679" s="13">
        <f t="shared" si="80"/>
        <v>335.80361278369617</v>
      </c>
    </row>
    <row r="1680" spans="1:6" x14ac:dyDescent="0.25">
      <c r="A1680" s="10">
        <v>39241</v>
      </c>
      <c r="B1680" s="12">
        <f t="shared" si="78"/>
        <v>6</v>
      </c>
      <c r="C1680" s="12">
        <f t="shared" si="79"/>
        <v>2007</v>
      </c>
      <c r="D1680" s="13">
        <v>8700</v>
      </c>
      <c r="E1680" s="13">
        <v>25.984200000000001</v>
      </c>
      <c r="F1680" s="13">
        <f t="shared" si="80"/>
        <v>334.81885145588473</v>
      </c>
    </row>
    <row r="1681" spans="1:6" x14ac:dyDescent="0.25">
      <c r="A1681" s="10">
        <v>39244</v>
      </c>
      <c r="B1681" s="12">
        <f t="shared" si="78"/>
        <v>6</v>
      </c>
      <c r="C1681" s="12">
        <f t="shared" si="79"/>
        <v>2007</v>
      </c>
      <c r="D1681" s="13">
        <v>8700</v>
      </c>
      <c r="E1681" s="13">
        <v>25.98</v>
      </c>
      <c r="F1681" s="13">
        <f t="shared" si="80"/>
        <v>334.87297921478057</v>
      </c>
    </row>
    <row r="1682" spans="1:6" x14ac:dyDescent="0.25">
      <c r="A1682" s="10">
        <v>39245</v>
      </c>
      <c r="B1682" s="12">
        <f t="shared" si="78"/>
        <v>6</v>
      </c>
      <c r="C1682" s="12">
        <f t="shared" si="79"/>
        <v>2007</v>
      </c>
      <c r="D1682" s="13">
        <v>8700</v>
      </c>
      <c r="E1682" s="13">
        <v>26.004999999999999</v>
      </c>
      <c r="F1682" s="13">
        <f t="shared" si="80"/>
        <v>334.55104787540859</v>
      </c>
    </row>
    <row r="1683" spans="1:6" x14ac:dyDescent="0.25">
      <c r="A1683" s="10">
        <v>39246</v>
      </c>
      <c r="B1683" s="12">
        <f t="shared" si="78"/>
        <v>6</v>
      </c>
      <c r="C1683" s="12">
        <f t="shared" si="79"/>
        <v>2007</v>
      </c>
      <c r="D1683" s="13">
        <v>8700</v>
      </c>
      <c r="E1683" s="13">
        <v>26.053699999999999</v>
      </c>
      <c r="F1683" s="13">
        <f t="shared" si="80"/>
        <v>333.92569961272295</v>
      </c>
    </row>
    <row r="1684" spans="1:6" x14ac:dyDescent="0.25">
      <c r="A1684" s="10">
        <v>39247</v>
      </c>
      <c r="B1684" s="12">
        <f t="shared" si="78"/>
        <v>6</v>
      </c>
      <c r="C1684" s="12">
        <f t="shared" si="79"/>
        <v>2007</v>
      </c>
      <c r="D1684" s="13">
        <v>8700</v>
      </c>
      <c r="E1684" s="13">
        <v>26.036999999999999</v>
      </c>
      <c r="F1684" s="13">
        <f t="shared" si="80"/>
        <v>334.13987786611364</v>
      </c>
    </row>
    <row r="1685" spans="1:6" x14ac:dyDescent="0.25">
      <c r="A1685" s="10">
        <v>39248</v>
      </c>
      <c r="B1685" s="12">
        <f t="shared" si="78"/>
        <v>6</v>
      </c>
      <c r="C1685" s="12">
        <f t="shared" si="79"/>
        <v>2007</v>
      </c>
      <c r="D1685" s="13">
        <v>8700</v>
      </c>
      <c r="E1685" s="13">
        <v>25.965</v>
      </c>
      <c r="F1685" s="13">
        <f t="shared" si="80"/>
        <v>335.06643558636625</v>
      </c>
    </row>
    <row r="1686" spans="1:6" x14ac:dyDescent="0.25">
      <c r="A1686" s="10">
        <v>39251</v>
      </c>
      <c r="B1686" s="12">
        <f t="shared" si="78"/>
        <v>6</v>
      </c>
      <c r="C1686" s="12">
        <f t="shared" si="79"/>
        <v>2007</v>
      </c>
      <c r="D1686" s="13">
        <v>8700</v>
      </c>
      <c r="E1686" s="13">
        <v>25.942499999999999</v>
      </c>
      <c r="F1686" s="13">
        <f t="shared" si="80"/>
        <v>335.35703960682281</v>
      </c>
    </row>
    <row r="1687" spans="1:6" x14ac:dyDescent="0.25">
      <c r="A1687" s="10">
        <v>39252</v>
      </c>
      <c r="B1687" s="12">
        <f t="shared" si="78"/>
        <v>6</v>
      </c>
      <c r="C1687" s="12">
        <f t="shared" si="79"/>
        <v>2007</v>
      </c>
      <c r="D1687" s="13">
        <v>8700</v>
      </c>
      <c r="E1687" s="13">
        <v>25.922999999999998</v>
      </c>
      <c r="F1687" s="13">
        <f t="shared" si="80"/>
        <v>335.60930447864831</v>
      </c>
    </row>
    <row r="1688" spans="1:6" x14ac:dyDescent="0.25">
      <c r="A1688" s="10">
        <v>39253</v>
      </c>
      <c r="B1688" s="12">
        <f t="shared" si="78"/>
        <v>6</v>
      </c>
      <c r="C1688" s="12">
        <f t="shared" si="79"/>
        <v>2007</v>
      </c>
      <c r="D1688" s="13">
        <v>8700</v>
      </c>
      <c r="E1688" s="13">
        <v>25.939499999999999</v>
      </c>
      <c r="F1688" s="13">
        <f t="shared" si="80"/>
        <v>335.39582490024867</v>
      </c>
    </row>
    <row r="1689" spans="1:6" x14ac:dyDescent="0.25">
      <c r="A1689" s="10">
        <v>39254</v>
      </c>
      <c r="B1689" s="12">
        <f t="shared" si="78"/>
        <v>6</v>
      </c>
      <c r="C1689" s="12">
        <f t="shared" si="79"/>
        <v>2007</v>
      </c>
      <c r="D1689" s="13">
        <v>8700</v>
      </c>
      <c r="E1689" s="13">
        <v>25.958300000000001</v>
      </c>
      <c r="F1689" s="13">
        <f t="shared" si="80"/>
        <v>335.15291833440557</v>
      </c>
    </row>
    <row r="1690" spans="1:6" x14ac:dyDescent="0.25">
      <c r="A1690" s="10">
        <v>39255</v>
      </c>
      <c r="B1690" s="12">
        <f t="shared" si="78"/>
        <v>6</v>
      </c>
      <c r="C1690" s="12">
        <f t="shared" si="79"/>
        <v>2007</v>
      </c>
      <c r="D1690" s="13">
        <v>8700</v>
      </c>
      <c r="E1690" s="13">
        <v>25.888500000000001</v>
      </c>
      <c r="F1690" s="13">
        <f t="shared" si="80"/>
        <v>336.0565502056898</v>
      </c>
    </row>
    <row r="1691" spans="1:6" x14ac:dyDescent="0.25">
      <c r="A1691" s="10">
        <v>39258</v>
      </c>
      <c r="B1691" s="12">
        <f t="shared" si="78"/>
        <v>6</v>
      </c>
      <c r="C1691" s="12">
        <f t="shared" si="79"/>
        <v>2007</v>
      </c>
      <c r="D1691" s="13">
        <v>9000</v>
      </c>
      <c r="E1691" s="13">
        <v>25.8825</v>
      </c>
      <c r="F1691" s="13">
        <f t="shared" si="80"/>
        <v>347.72529701535785</v>
      </c>
    </row>
    <row r="1692" spans="1:6" x14ac:dyDescent="0.25">
      <c r="A1692" s="10">
        <v>39259</v>
      </c>
      <c r="B1692" s="12">
        <f t="shared" si="78"/>
        <v>6</v>
      </c>
      <c r="C1692" s="12">
        <f t="shared" si="79"/>
        <v>2007</v>
      </c>
      <c r="D1692" s="13">
        <v>9000</v>
      </c>
      <c r="E1692" s="13">
        <v>25.7835</v>
      </c>
      <c r="F1692" s="13">
        <f t="shared" si="80"/>
        <v>349.06044563383557</v>
      </c>
    </row>
    <row r="1693" spans="1:6" x14ac:dyDescent="0.25">
      <c r="A1693" s="10">
        <v>39260</v>
      </c>
      <c r="B1693" s="12">
        <f t="shared" si="78"/>
        <v>6</v>
      </c>
      <c r="C1693" s="12">
        <f t="shared" si="79"/>
        <v>2007</v>
      </c>
      <c r="D1693" s="13">
        <v>9000</v>
      </c>
      <c r="E1693" s="13">
        <v>25.835000000000001</v>
      </c>
      <c r="F1693" s="13">
        <f t="shared" si="80"/>
        <v>348.36462163731369</v>
      </c>
    </row>
    <row r="1694" spans="1:6" x14ac:dyDescent="0.25">
      <c r="A1694" s="10">
        <v>39261</v>
      </c>
      <c r="B1694" s="12">
        <f t="shared" si="78"/>
        <v>6</v>
      </c>
      <c r="C1694" s="12">
        <f t="shared" si="79"/>
        <v>2007</v>
      </c>
      <c r="D1694" s="13">
        <v>9000</v>
      </c>
      <c r="E1694" s="13">
        <v>25.812000000000001</v>
      </c>
      <c r="F1694" s="13">
        <f t="shared" si="80"/>
        <v>348.67503486750348</v>
      </c>
    </row>
    <row r="1695" spans="1:6" x14ac:dyDescent="0.25">
      <c r="A1695" s="10">
        <v>39262</v>
      </c>
      <c r="B1695" s="12">
        <f t="shared" si="78"/>
        <v>6</v>
      </c>
      <c r="C1695" s="12">
        <f t="shared" si="79"/>
        <v>2007</v>
      </c>
      <c r="D1695" s="13">
        <v>9000</v>
      </c>
      <c r="E1695" s="13">
        <v>25.721499999999999</v>
      </c>
      <c r="F1695" s="13">
        <f t="shared" si="80"/>
        <v>349.90183309682561</v>
      </c>
    </row>
    <row r="1696" spans="1:6" x14ac:dyDescent="0.25">
      <c r="A1696" s="10">
        <v>39265</v>
      </c>
      <c r="B1696" s="12">
        <f t="shared" si="78"/>
        <v>7</v>
      </c>
      <c r="C1696" s="12">
        <f t="shared" si="79"/>
        <v>2007</v>
      </c>
      <c r="D1696" s="13">
        <v>9400</v>
      </c>
      <c r="E1696" s="13">
        <v>25.65</v>
      </c>
      <c r="F1696" s="13">
        <f t="shared" si="80"/>
        <v>366.47173489278754</v>
      </c>
    </row>
    <row r="1697" spans="1:6" x14ac:dyDescent="0.25">
      <c r="A1697" s="10">
        <v>39266</v>
      </c>
      <c r="B1697" s="12">
        <f t="shared" si="78"/>
        <v>7</v>
      </c>
      <c r="C1697" s="12">
        <f t="shared" si="79"/>
        <v>2007</v>
      </c>
      <c r="D1697" s="13">
        <v>9400</v>
      </c>
      <c r="E1697" s="13">
        <v>25.6815</v>
      </c>
      <c r="F1697" s="13">
        <f t="shared" si="80"/>
        <v>366.02223390378288</v>
      </c>
    </row>
    <row r="1698" spans="1:6" x14ac:dyDescent="0.25">
      <c r="A1698" s="10">
        <v>39268</v>
      </c>
      <c r="B1698" s="12">
        <f t="shared" si="78"/>
        <v>7</v>
      </c>
      <c r="C1698" s="12">
        <f t="shared" si="79"/>
        <v>2007</v>
      </c>
      <c r="D1698" s="13">
        <v>9400</v>
      </c>
      <c r="E1698" s="13">
        <v>25.6995</v>
      </c>
      <c r="F1698" s="13">
        <f t="shared" si="80"/>
        <v>365.76587093134106</v>
      </c>
    </row>
    <row r="1699" spans="1:6" x14ac:dyDescent="0.25">
      <c r="A1699" s="10">
        <v>39269</v>
      </c>
      <c r="B1699" s="12">
        <f t="shared" si="78"/>
        <v>7</v>
      </c>
      <c r="C1699" s="12">
        <f t="shared" si="79"/>
        <v>2007</v>
      </c>
      <c r="D1699" s="13">
        <v>9400</v>
      </c>
      <c r="E1699" s="13">
        <v>25.708500000000001</v>
      </c>
      <c r="F1699" s="13">
        <f t="shared" si="80"/>
        <v>365.63782406597039</v>
      </c>
    </row>
    <row r="1700" spans="1:6" x14ac:dyDescent="0.25">
      <c r="A1700" s="10">
        <v>39272</v>
      </c>
      <c r="B1700" s="12">
        <f t="shared" si="78"/>
        <v>7</v>
      </c>
      <c r="C1700" s="12">
        <f t="shared" si="79"/>
        <v>2007</v>
      </c>
      <c r="D1700" s="13">
        <v>9500</v>
      </c>
      <c r="E1700" s="13">
        <v>25.665199999999999</v>
      </c>
      <c r="F1700" s="13">
        <f t="shared" si="80"/>
        <v>370.15102161681966</v>
      </c>
    </row>
    <row r="1701" spans="1:6" x14ac:dyDescent="0.25">
      <c r="A1701" s="10">
        <v>39273</v>
      </c>
      <c r="B1701" s="12">
        <f t="shared" si="78"/>
        <v>7</v>
      </c>
      <c r="C1701" s="12">
        <f t="shared" si="79"/>
        <v>2007</v>
      </c>
      <c r="D1701" s="13">
        <v>9500</v>
      </c>
      <c r="E1701" s="13">
        <v>25.552499999999998</v>
      </c>
      <c r="F1701" s="13">
        <f t="shared" si="80"/>
        <v>371.78358281968497</v>
      </c>
    </row>
    <row r="1702" spans="1:6" x14ac:dyDescent="0.25">
      <c r="A1702" s="10">
        <v>39274</v>
      </c>
      <c r="B1702" s="12">
        <f t="shared" si="78"/>
        <v>7</v>
      </c>
      <c r="C1702" s="12">
        <f t="shared" si="79"/>
        <v>2007</v>
      </c>
      <c r="D1702" s="13">
        <v>9500</v>
      </c>
      <c r="E1702" s="13">
        <v>25.5105</v>
      </c>
      <c r="F1702" s="13">
        <f t="shared" si="80"/>
        <v>372.39568021010956</v>
      </c>
    </row>
    <row r="1703" spans="1:6" x14ac:dyDescent="0.25">
      <c r="A1703" s="10">
        <v>39275</v>
      </c>
      <c r="B1703" s="12">
        <f t="shared" si="78"/>
        <v>7</v>
      </c>
      <c r="C1703" s="12">
        <f t="shared" si="79"/>
        <v>2007</v>
      </c>
      <c r="D1703" s="13">
        <v>9500</v>
      </c>
      <c r="E1703" s="13">
        <v>25.4955</v>
      </c>
      <c r="F1703" s="13">
        <f t="shared" si="80"/>
        <v>372.61477515640013</v>
      </c>
    </row>
    <row r="1704" spans="1:6" x14ac:dyDescent="0.25">
      <c r="A1704" s="10">
        <v>39276</v>
      </c>
      <c r="B1704" s="12">
        <f t="shared" si="78"/>
        <v>7</v>
      </c>
      <c r="C1704" s="12">
        <f t="shared" si="79"/>
        <v>2007</v>
      </c>
      <c r="D1704" s="13">
        <v>9500</v>
      </c>
      <c r="E1704" s="13">
        <v>25.450500000000002</v>
      </c>
      <c r="F1704" s="13">
        <f t="shared" si="80"/>
        <v>373.2736095558044</v>
      </c>
    </row>
    <row r="1705" spans="1:6" x14ac:dyDescent="0.25">
      <c r="A1705" s="10">
        <v>39279</v>
      </c>
      <c r="B1705" s="12">
        <f t="shared" si="78"/>
        <v>7</v>
      </c>
      <c r="C1705" s="12">
        <f t="shared" si="79"/>
        <v>2007</v>
      </c>
      <c r="D1705" s="13">
        <v>9600</v>
      </c>
      <c r="E1705" s="13">
        <v>25.465499999999999</v>
      </c>
      <c r="F1705" s="13">
        <f t="shared" si="80"/>
        <v>376.98062083995995</v>
      </c>
    </row>
    <row r="1706" spans="1:6" x14ac:dyDescent="0.25">
      <c r="A1706" s="10">
        <v>39280</v>
      </c>
      <c r="B1706" s="12">
        <f t="shared" si="78"/>
        <v>7</v>
      </c>
      <c r="C1706" s="12">
        <f t="shared" si="79"/>
        <v>2007</v>
      </c>
      <c r="D1706" s="13">
        <v>9600</v>
      </c>
      <c r="E1706" s="13">
        <v>25.457999999999998</v>
      </c>
      <c r="F1706" s="13">
        <f t="shared" si="80"/>
        <v>377.09168041480086</v>
      </c>
    </row>
    <row r="1707" spans="1:6" x14ac:dyDescent="0.25">
      <c r="A1707" s="10">
        <v>39281</v>
      </c>
      <c r="B1707" s="12">
        <f t="shared" si="78"/>
        <v>7</v>
      </c>
      <c r="C1707" s="12">
        <f t="shared" si="79"/>
        <v>2007</v>
      </c>
      <c r="D1707" s="13">
        <v>9600</v>
      </c>
      <c r="E1707" s="13">
        <v>25.428000000000001</v>
      </c>
      <c r="F1707" s="13">
        <f t="shared" si="80"/>
        <v>377.53657385559222</v>
      </c>
    </row>
    <row r="1708" spans="1:6" x14ac:dyDescent="0.25">
      <c r="A1708" s="10">
        <v>39282</v>
      </c>
      <c r="B1708" s="12">
        <f t="shared" si="78"/>
        <v>7</v>
      </c>
      <c r="C1708" s="12">
        <f t="shared" si="79"/>
        <v>2007</v>
      </c>
      <c r="D1708" s="13">
        <v>9600</v>
      </c>
      <c r="E1708" s="13">
        <v>25.4055</v>
      </c>
      <c r="F1708" s="13">
        <f t="shared" si="80"/>
        <v>377.87093345929031</v>
      </c>
    </row>
    <row r="1709" spans="1:6" x14ac:dyDescent="0.25">
      <c r="A1709" s="10">
        <v>39283</v>
      </c>
      <c r="B1709" s="12">
        <f t="shared" si="78"/>
        <v>7</v>
      </c>
      <c r="C1709" s="12">
        <f t="shared" si="79"/>
        <v>2007</v>
      </c>
      <c r="D1709" s="13">
        <v>9600</v>
      </c>
      <c r="E1709" s="13">
        <v>25.3933</v>
      </c>
      <c r="F1709" s="13">
        <f t="shared" si="80"/>
        <v>378.05247840965922</v>
      </c>
    </row>
    <row r="1710" spans="1:6" x14ac:dyDescent="0.25">
      <c r="A1710" s="10">
        <v>39286</v>
      </c>
      <c r="B1710" s="12">
        <f t="shared" si="78"/>
        <v>7</v>
      </c>
      <c r="C1710" s="12">
        <f t="shared" si="79"/>
        <v>2007</v>
      </c>
      <c r="D1710" s="13">
        <v>9750</v>
      </c>
      <c r="E1710" s="13">
        <v>25.41</v>
      </c>
      <c r="F1710" s="13">
        <f t="shared" si="80"/>
        <v>383.70720188902004</v>
      </c>
    </row>
    <row r="1711" spans="1:6" x14ac:dyDescent="0.25">
      <c r="A1711" s="10">
        <v>39287</v>
      </c>
      <c r="B1711" s="12">
        <f t="shared" si="78"/>
        <v>7</v>
      </c>
      <c r="C1711" s="12">
        <f t="shared" si="79"/>
        <v>2007</v>
      </c>
      <c r="D1711" s="13">
        <v>9750</v>
      </c>
      <c r="E1711" s="13">
        <v>25.387499999999999</v>
      </c>
      <c r="F1711" s="13">
        <f t="shared" si="80"/>
        <v>384.04726735598229</v>
      </c>
    </row>
    <row r="1712" spans="1:6" x14ac:dyDescent="0.25">
      <c r="A1712" s="10">
        <v>39288</v>
      </c>
      <c r="B1712" s="12">
        <f t="shared" si="78"/>
        <v>7</v>
      </c>
      <c r="C1712" s="12">
        <f t="shared" si="79"/>
        <v>2007</v>
      </c>
      <c r="D1712" s="13">
        <v>9750</v>
      </c>
      <c r="E1712" s="13">
        <v>25.497</v>
      </c>
      <c r="F1712" s="13">
        <f t="shared" si="80"/>
        <v>382.39792916813741</v>
      </c>
    </row>
    <row r="1713" spans="1:6" x14ac:dyDescent="0.25">
      <c r="A1713" s="10">
        <v>39289</v>
      </c>
      <c r="B1713" s="12">
        <f t="shared" si="78"/>
        <v>7</v>
      </c>
      <c r="C1713" s="12">
        <f t="shared" si="79"/>
        <v>2007</v>
      </c>
      <c r="D1713" s="13">
        <v>9750</v>
      </c>
      <c r="E1713" s="13">
        <v>25.454000000000001</v>
      </c>
      <c r="F1713" s="13">
        <f t="shared" si="80"/>
        <v>383.04392236976508</v>
      </c>
    </row>
    <row r="1714" spans="1:6" x14ac:dyDescent="0.25">
      <c r="A1714" s="10">
        <v>39290</v>
      </c>
      <c r="B1714" s="12">
        <f t="shared" si="78"/>
        <v>7</v>
      </c>
      <c r="C1714" s="12">
        <f t="shared" si="79"/>
        <v>2007</v>
      </c>
      <c r="D1714" s="13">
        <v>9750</v>
      </c>
      <c r="E1714" s="13">
        <v>25.5915</v>
      </c>
      <c r="F1714" s="13">
        <f t="shared" si="80"/>
        <v>380.98587421604827</v>
      </c>
    </row>
    <row r="1715" spans="1:6" x14ac:dyDescent="0.25">
      <c r="A1715" s="10">
        <v>39293</v>
      </c>
      <c r="B1715" s="12">
        <f t="shared" si="78"/>
        <v>7</v>
      </c>
      <c r="C1715" s="12">
        <f t="shared" si="79"/>
        <v>2007</v>
      </c>
      <c r="D1715" s="13">
        <v>9750</v>
      </c>
      <c r="E1715" s="13">
        <v>25.555499999999999</v>
      </c>
      <c r="F1715" s="13">
        <f t="shared" si="80"/>
        <v>381.5225685273229</v>
      </c>
    </row>
    <row r="1716" spans="1:6" x14ac:dyDescent="0.25">
      <c r="A1716" s="10">
        <v>39294</v>
      </c>
      <c r="B1716" s="12">
        <f t="shared" si="78"/>
        <v>7</v>
      </c>
      <c r="C1716" s="12">
        <f t="shared" si="79"/>
        <v>2007</v>
      </c>
      <c r="D1716" s="13">
        <v>9750</v>
      </c>
      <c r="E1716" s="13">
        <v>25.556999999999999</v>
      </c>
      <c r="F1716" s="13">
        <f t="shared" si="80"/>
        <v>381.50017607700437</v>
      </c>
    </row>
    <row r="1717" spans="1:6" x14ac:dyDescent="0.25">
      <c r="A1717" s="10">
        <v>39295</v>
      </c>
      <c r="B1717" s="12">
        <f t="shared" si="78"/>
        <v>8</v>
      </c>
      <c r="C1717" s="12">
        <f t="shared" si="79"/>
        <v>2007</v>
      </c>
      <c r="D1717" s="13">
        <v>9750</v>
      </c>
      <c r="E1717" s="13">
        <v>25.596</v>
      </c>
      <c r="F1717" s="13">
        <f t="shared" si="80"/>
        <v>380.91889357712142</v>
      </c>
    </row>
    <row r="1718" spans="1:6" x14ac:dyDescent="0.25">
      <c r="A1718" s="10">
        <v>39296</v>
      </c>
      <c r="B1718" s="12">
        <f t="shared" si="78"/>
        <v>8</v>
      </c>
      <c r="C1718" s="12">
        <f t="shared" si="79"/>
        <v>2007</v>
      </c>
      <c r="D1718" s="13">
        <v>9750</v>
      </c>
      <c r="E1718" s="13">
        <v>25.570499999999999</v>
      </c>
      <c r="F1718" s="13">
        <f t="shared" si="80"/>
        <v>381.29876224555642</v>
      </c>
    </row>
    <row r="1719" spans="1:6" x14ac:dyDescent="0.25">
      <c r="A1719" s="10">
        <v>39297</v>
      </c>
      <c r="B1719" s="12">
        <f t="shared" si="78"/>
        <v>8</v>
      </c>
      <c r="C1719" s="12">
        <f t="shared" si="79"/>
        <v>2007</v>
      </c>
      <c r="D1719" s="13">
        <v>9750</v>
      </c>
      <c r="E1719" s="13">
        <v>25.475999999999999</v>
      </c>
      <c r="F1719" s="13">
        <f t="shared" si="80"/>
        <v>382.71314178049931</v>
      </c>
    </row>
    <row r="1720" spans="1:6" x14ac:dyDescent="0.25">
      <c r="A1720" s="10">
        <v>39300</v>
      </c>
      <c r="B1720" s="12">
        <f t="shared" si="78"/>
        <v>8</v>
      </c>
      <c r="C1720" s="12">
        <f t="shared" si="79"/>
        <v>2007</v>
      </c>
      <c r="D1720" s="13">
        <v>9750</v>
      </c>
      <c r="E1720" s="13">
        <v>25.481999999999999</v>
      </c>
      <c r="F1720" s="13">
        <f t="shared" si="80"/>
        <v>382.6230280197787</v>
      </c>
    </row>
    <row r="1721" spans="1:6" x14ac:dyDescent="0.25">
      <c r="A1721" s="10">
        <v>39301</v>
      </c>
      <c r="B1721" s="12">
        <f t="shared" si="78"/>
        <v>8</v>
      </c>
      <c r="C1721" s="12">
        <f t="shared" si="79"/>
        <v>2007</v>
      </c>
      <c r="D1721" s="13">
        <v>9750</v>
      </c>
      <c r="E1721" s="13">
        <v>25.457999999999998</v>
      </c>
      <c r="F1721" s="13">
        <f t="shared" si="80"/>
        <v>382.98373792128211</v>
      </c>
    </row>
    <row r="1722" spans="1:6" x14ac:dyDescent="0.25">
      <c r="A1722" s="10">
        <v>39302</v>
      </c>
      <c r="B1722" s="12">
        <f t="shared" si="78"/>
        <v>8</v>
      </c>
      <c r="C1722" s="12">
        <f t="shared" si="79"/>
        <v>2007</v>
      </c>
      <c r="D1722" s="13">
        <v>9750</v>
      </c>
      <c r="E1722" s="13">
        <v>25.432500000000001</v>
      </c>
      <c r="F1722" s="13">
        <f t="shared" si="80"/>
        <v>383.367738130345</v>
      </c>
    </row>
    <row r="1723" spans="1:6" x14ac:dyDescent="0.25">
      <c r="A1723" s="10">
        <v>39303</v>
      </c>
      <c r="B1723" s="12">
        <f t="shared" si="78"/>
        <v>8</v>
      </c>
      <c r="C1723" s="12">
        <f t="shared" si="79"/>
        <v>2007</v>
      </c>
      <c r="D1723" s="13">
        <v>9750</v>
      </c>
      <c r="E1723" s="13">
        <v>25.454999999999998</v>
      </c>
      <c r="F1723" s="13">
        <f t="shared" si="80"/>
        <v>383.02887448438423</v>
      </c>
    </row>
    <row r="1724" spans="1:6" x14ac:dyDescent="0.25">
      <c r="A1724" s="10">
        <v>39304</v>
      </c>
      <c r="B1724" s="12">
        <f t="shared" si="78"/>
        <v>8</v>
      </c>
      <c r="C1724" s="12">
        <f t="shared" si="79"/>
        <v>2007</v>
      </c>
      <c r="D1724" s="13">
        <v>9750</v>
      </c>
      <c r="E1724" s="13">
        <v>25.459199999999999</v>
      </c>
      <c r="F1724" s="13">
        <f t="shared" si="80"/>
        <v>382.96568627450984</v>
      </c>
    </row>
    <row r="1725" spans="1:6" x14ac:dyDescent="0.25">
      <c r="A1725" s="10">
        <v>39307</v>
      </c>
      <c r="B1725" s="12">
        <f t="shared" si="78"/>
        <v>8</v>
      </c>
      <c r="C1725" s="12">
        <f t="shared" si="79"/>
        <v>2007</v>
      </c>
      <c r="D1725" s="13">
        <v>9750</v>
      </c>
      <c r="E1725" s="13">
        <v>25.531400000000001</v>
      </c>
      <c r="F1725" s="13">
        <f t="shared" si="80"/>
        <v>381.8827013011429</v>
      </c>
    </row>
    <row r="1726" spans="1:6" x14ac:dyDescent="0.25">
      <c r="A1726" s="10">
        <v>39308</v>
      </c>
      <c r="B1726" s="12">
        <f t="shared" si="78"/>
        <v>8</v>
      </c>
      <c r="C1726" s="12">
        <f t="shared" si="79"/>
        <v>2007</v>
      </c>
      <c r="D1726" s="13">
        <v>9750</v>
      </c>
      <c r="E1726" s="13">
        <v>25.5945</v>
      </c>
      <c r="F1726" s="13">
        <f t="shared" si="80"/>
        <v>380.94121783977027</v>
      </c>
    </row>
    <row r="1727" spans="1:6" x14ac:dyDescent="0.25">
      <c r="A1727" s="10">
        <v>39309</v>
      </c>
      <c r="B1727" s="12">
        <f t="shared" si="78"/>
        <v>8</v>
      </c>
      <c r="C1727" s="12">
        <f t="shared" si="79"/>
        <v>2007</v>
      </c>
      <c r="D1727" s="13">
        <v>9750</v>
      </c>
      <c r="E1727" s="13">
        <v>25.6935</v>
      </c>
      <c r="F1727" s="13">
        <f t="shared" si="80"/>
        <v>379.4734076712009</v>
      </c>
    </row>
    <row r="1728" spans="1:6" x14ac:dyDescent="0.25">
      <c r="A1728" s="10">
        <v>39310</v>
      </c>
      <c r="B1728" s="12">
        <f t="shared" si="78"/>
        <v>8</v>
      </c>
      <c r="C1728" s="12">
        <f t="shared" si="79"/>
        <v>2007</v>
      </c>
      <c r="D1728" s="13">
        <v>9750</v>
      </c>
      <c r="E1728" s="13">
        <v>25.7925</v>
      </c>
      <c r="F1728" s="13">
        <f t="shared" si="80"/>
        <v>378.0168653678395</v>
      </c>
    </row>
    <row r="1729" spans="1:6" x14ac:dyDescent="0.25">
      <c r="A1729" s="10">
        <v>39311</v>
      </c>
      <c r="B1729" s="12">
        <f t="shared" si="78"/>
        <v>8</v>
      </c>
      <c r="C1729" s="12">
        <f t="shared" si="79"/>
        <v>2007</v>
      </c>
      <c r="D1729" s="13">
        <v>9750</v>
      </c>
      <c r="E1729" s="13">
        <v>25.779</v>
      </c>
      <c r="F1729" s="13">
        <f t="shared" si="80"/>
        <v>378.21482602118004</v>
      </c>
    </row>
    <row r="1730" spans="1:6" x14ac:dyDescent="0.25">
      <c r="A1730" s="10">
        <v>39314</v>
      </c>
      <c r="B1730" s="12">
        <f t="shared" si="78"/>
        <v>8</v>
      </c>
      <c r="C1730" s="12">
        <f t="shared" si="79"/>
        <v>2007</v>
      </c>
      <c r="D1730" s="13">
        <v>9750</v>
      </c>
      <c r="E1730" s="13">
        <v>25.793900000000001</v>
      </c>
      <c r="F1730" s="13">
        <f t="shared" si="80"/>
        <v>377.99634797374574</v>
      </c>
    </row>
    <row r="1731" spans="1:6" x14ac:dyDescent="0.25">
      <c r="A1731" s="10">
        <v>39315</v>
      </c>
      <c r="B1731" s="12">
        <f t="shared" ref="B1731:B1794" si="81">MONTH(A1731)</f>
        <v>8</v>
      </c>
      <c r="C1731" s="12">
        <f t="shared" ref="C1731:C1794" si="82">YEAR(A1731)</f>
        <v>2007</v>
      </c>
      <c r="D1731" s="13">
        <v>9750</v>
      </c>
      <c r="E1731" s="13">
        <v>25.893599999999999</v>
      </c>
      <c r="F1731" s="13">
        <f t="shared" ref="F1731:F1794" si="83">IF(D1731="","",D1731/E1731)</f>
        <v>376.54092130874039</v>
      </c>
    </row>
    <row r="1732" spans="1:6" x14ac:dyDescent="0.25">
      <c r="A1732" s="10">
        <v>39316</v>
      </c>
      <c r="B1732" s="12">
        <f t="shared" si="81"/>
        <v>8</v>
      </c>
      <c r="C1732" s="12">
        <f t="shared" si="82"/>
        <v>2007</v>
      </c>
      <c r="D1732" s="13">
        <v>9750</v>
      </c>
      <c r="E1732" s="13">
        <v>25.764299999999999</v>
      </c>
      <c r="F1732" s="13">
        <f t="shared" si="83"/>
        <v>378.43061911249288</v>
      </c>
    </row>
    <row r="1733" spans="1:6" x14ac:dyDescent="0.25">
      <c r="A1733" s="10">
        <v>39317</v>
      </c>
      <c r="B1733" s="12">
        <f t="shared" si="81"/>
        <v>8</v>
      </c>
      <c r="C1733" s="12">
        <f t="shared" si="82"/>
        <v>2007</v>
      </c>
      <c r="D1733" s="13">
        <v>9750</v>
      </c>
      <c r="E1733" s="13">
        <v>25.728000000000002</v>
      </c>
      <c r="F1733" s="13">
        <f t="shared" si="83"/>
        <v>378.96455223880594</v>
      </c>
    </row>
    <row r="1734" spans="1:6" x14ac:dyDescent="0.25">
      <c r="A1734" s="10">
        <v>39318</v>
      </c>
      <c r="B1734" s="12">
        <f t="shared" si="81"/>
        <v>8</v>
      </c>
      <c r="C1734" s="12">
        <f t="shared" si="82"/>
        <v>2007</v>
      </c>
      <c r="D1734" s="13">
        <v>9750</v>
      </c>
      <c r="E1734" s="13">
        <v>25.6753</v>
      </c>
      <c r="F1734" s="13">
        <f t="shared" si="83"/>
        <v>379.74239833614405</v>
      </c>
    </row>
    <row r="1735" spans="1:6" x14ac:dyDescent="0.25">
      <c r="A1735" s="10">
        <v>39321</v>
      </c>
      <c r="B1735" s="12">
        <f t="shared" si="81"/>
        <v>8</v>
      </c>
      <c r="C1735" s="12">
        <f t="shared" si="82"/>
        <v>2007</v>
      </c>
      <c r="D1735" s="13">
        <v>9750</v>
      </c>
      <c r="E1735" s="13">
        <v>25.6662</v>
      </c>
      <c r="F1735" s="13">
        <f t="shared" si="83"/>
        <v>379.87703672534303</v>
      </c>
    </row>
    <row r="1736" spans="1:6" x14ac:dyDescent="0.25">
      <c r="A1736" s="10">
        <v>39322</v>
      </c>
      <c r="B1736" s="12">
        <f t="shared" si="81"/>
        <v>8</v>
      </c>
      <c r="C1736" s="12">
        <f t="shared" si="82"/>
        <v>2007</v>
      </c>
      <c r="D1736" s="13">
        <v>9750</v>
      </c>
      <c r="E1736" s="13">
        <v>25.7194</v>
      </c>
      <c r="F1736" s="13">
        <f t="shared" si="83"/>
        <v>379.09126962526341</v>
      </c>
    </row>
    <row r="1737" spans="1:6" x14ac:dyDescent="0.25">
      <c r="A1737" s="10">
        <v>39323</v>
      </c>
      <c r="B1737" s="12">
        <f t="shared" si="81"/>
        <v>8</v>
      </c>
      <c r="C1737" s="12">
        <f t="shared" si="82"/>
        <v>2007</v>
      </c>
      <c r="D1737" s="13">
        <v>9750</v>
      </c>
      <c r="E1737" s="13">
        <v>25.6435</v>
      </c>
      <c r="F1737" s="13">
        <f t="shared" si="83"/>
        <v>380.21330941564139</v>
      </c>
    </row>
    <row r="1738" spans="1:6" x14ac:dyDescent="0.25">
      <c r="A1738" s="10">
        <v>39324</v>
      </c>
      <c r="B1738" s="12">
        <f t="shared" si="81"/>
        <v>8</v>
      </c>
      <c r="C1738" s="12">
        <f t="shared" si="82"/>
        <v>2007</v>
      </c>
      <c r="D1738" s="13">
        <v>9750</v>
      </c>
      <c r="E1738" s="13">
        <v>25.625699999999998</v>
      </c>
      <c r="F1738" s="13">
        <f t="shared" si="83"/>
        <v>380.47741134876316</v>
      </c>
    </row>
    <row r="1739" spans="1:6" x14ac:dyDescent="0.25">
      <c r="A1739" s="10">
        <v>39325</v>
      </c>
      <c r="B1739" s="12">
        <f t="shared" si="81"/>
        <v>8</v>
      </c>
      <c r="C1739" s="12">
        <f t="shared" si="82"/>
        <v>2007</v>
      </c>
      <c r="D1739" s="13">
        <v>9750</v>
      </c>
      <c r="E1739" s="13">
        <v>25.651</v>
      </c>
      <c r="F1739" s="13">
        <f t="shared" si="83"/>
        <v>380.10214026743597</v>
      </c>
    </row>
    <row r="1740" spans="1:6" x14ac:dyDescent="0.25">
      <c r="A1740" s="10">
        <v>39329</v>
      </c>
      <c r="B1740" s="12">
        <f t="shared" si="81"/>
        <v>9</v>
      </c>
      <c r="C1740" s="12">
        <f t="shared" si="82"/>
        <v>2007</v>
      </c>
      <c r="D1740" s="13">
        <v>11900</v>
      </c>
      <c r="E1740" s="13">
        <v>25.6675</v>
      </c>
      <c r="F1740" s="13">
        <f t="shared" si="83"/>
        <v>463.62131099639623</v>
      </c>
    </row>
    <row r="1741" spans="1:6" x14ac:dyDescent="0.25">
      <c r="A1741" s="10">
        <v>39330</v>
      </c>
      <c r="B1741" s="12">
        <f t="shared" si="81"/>
        <v>9</v>
      </c>
      <c r="C1741" s="12">
        <f t="shared" si="82"/>
        <v>2007</v>
      </c>
      <c r="D1741" s="13">
        <v>11900</v>
      </c>
      <c r="E1741" s="13">
        <v>25.615300000000001</v>
      </c>
      <c r="F1741" s="13">
        <f t="shared" si="83"/>
        <v>464.56609916729451</v>
      </c>
    </row>
    <row r="1742" spans="1:6" x14ac:dyDescent="0.25">
      <c r="A1742" s="10">
        <v>39331</v>
      </c>
      <c r="B1742" s="12">
        <f t="shared" si="81"/>
        <v>9</v>
      </c>
      <c r="C1742" s="12">
        <f t="shared" si="82"/>
        <v>2007</v>
      </c>
      <c r="D1742" s="13">
        <v>11900</v>
      </c>
      <c r="E1742" s="13">
        <v>25.643000000000001</v>
      </c>
      <c r="F1742" s="13">
        <f t="shared" si="83"/>
        <v>464.06426705143701</v>
      </c>
    </row>
    <row r="1743" spans="1:6" x14ac:dyDescent="0.25">
      <c r="A1743" s="10">
        <v>39332</v>
      </c>
      <c r="B1743" s="12">
        <f t="shared" si="81"/>
        <v>9</v>
      </c>
      <c r="C1743" s="12">
        <f t="shared" si="82"/>
        <v>2007</v>
      </c>
      <c r="D1743" s="13">
        <v>11900</v>
      </c>
      <c r="E1743" s="13">
        <v>25.560400000000001</v>
      </c>
      <c r="F1743" s="13">
        <f t="shared" si="83"/>
        <v>465.56391918749313</v>
      </c>
    </row>
    <row r="1744" spans="1:6" x14ac:dyDescent="0.25">
      <c r="A1744" s="10">
        <v>39335</v>
      </c>
      <c r="B1744" s="12">
        <f t="shared" si="81"/>
        <v>9</v>
      </c>
      <c r="C1744" s="12">
        <f t="shared" si="82"/>
        <v>2007</v>
      </c>
      <c r="D1744" s="13">
        <v>12600</v>
      </c>
      <c r="E1744" s="13">
        <v>25.523700000000002</v>
      </c>
      <c r="F1744" s="13">
        <f t="shared" si="83"/>
        <v>493.65883473007437</v>
      </c>
    </row>
    <row r="1745" spans="1:6" x14ac:dyDescent="0.25">
      <c r="A1745" s="10">
        <v>39336</v>
      </c>
      <c r="B1745" s="12">
        <f t="shared" si="81"/>
        <v>9</v>
      </c>
      <c r="C1745" s="12">
        <f t="shared" si="82"/>
        <v>2007</v>
      </c>
      <c r="D1745" s="13">
        <v>12600</v>
      </c>
      <c r="E1745" s="13">
        <v>25.4557</v>
      </c>
      <c r="F1745" s="13">
        <f t="shared" si="83"/>
        <v>494.97754923258839</v>
      </c>
    </row>
    <row r="1746" spans="1:6" x14ac:dyDescent="0.25">
      <c r="A1746" s="10">
        <v>39337</v>
      </c>
      <c r="B1746" s="12">
        <f t="shared" si="81"/>
        <v>9</v>
      </c>
      <c r="C1746" s="12">
        <f t="shared" si="82"/>
        <v>2007</v>
      </c>
      <c r="D1746" s="13">
        <v>12600</v>
      </c>
      <c r="E1746" s="13">
        <v>25.364000000000001</v>
      </c>
      <c r="F1746" s="13">
        <f t="shared" si="83"/>
        <v>496.76707143983595</v>
      </c>
    </row>
    <row r="1747" spans="1:6" x14ac:dyDescent="0.25">
      <c r="A1747" s="10">
        <v>39338</v>
      </c>
      <c r="B1747" s="12">
        <f t="shared" si="81"/>
        <v>9</v>
      </c>
      <c r="C1747" s="12">
        <f t="shared" si="82"/>
        <v>2007</v>
      </c>
      <c r="D1747" s="13">
        <v>12600</v>
      </c>
      <c r="E1747" s="13">
        <v>25.354500000000002</v>
      </c>
      <c r="F1747" s="13">
        <f t="shared" si="83"/>
        <v>496.95320357333014</v>
      </c>
    </row>
    <row r="1748" spans="1:6" x14ac:dyDescent="0.25">
      <c r="A1748" s="10">
        <v>39339</v>
      </c>
      <c r="B1748" s="12">
        <f t="shared" si="81"/>
        <v>9</v>
      </c>
      <c r="C1748" s="12">
        <f t="shared" si="82"/>
        <v>2007</v>
      </c>
      <c r="D1748" s="13">
        <v>12600</v>
      </c>
      <c r="E1748" s="13">
        <v>25.340499999999999</v>
      </c>
      <c r="F1748" s="13">
        <f t="shared" si="83"/>
        <v>497.22775793689948</v>
      </c>
    </row>
    <row r="1749" spans="1:6" x14ac:dyDescent="0.25">
      <c r="A1749" s="10">
        <v>39342</v>
      </c>
      <c r="B1749" s="12">
        <f t="shared" si="81"/>
        <v>9</v>
      </c>
      <c r="C1749" s="12">
        <f t="shared" si="82"/>
        <v>2007</v>
      </c>
      <c r="D1749" s="13">
        <v>13000</v>
      </c>
      <c r="E1749" s="13">
        <v>25.339400000000001</v>
      </c>
      <c r="F1749" s="13">
        <f t="shared" si="83"/>
        <v>513.03503634655908</v>
      </c>
    </row>
    <row r="1750" spans="1:6" x14ac:dyDescent="0.25">
      <c r="A1750" s="10">
        <v>39343</v>
      </c>
      <c r="B1750" s="12">
        <f t="shared" si="81"/>
        <v>9</v>
      </c>
      <c r="C1750" s="12">
        <f t="shared" si="82"/>
        <v>2007</v>
      </c>
      <c r="D1750" s="13">
        <v>13000</v>
      </c>
      <c r="E1750" s="13">
        <v>25.331600000000002</v>
      </c>
      <c r="F1750" s="13">
        <f t="shared" si="83"/>
        <v>513.19300794264871</v>
      </c>
    </row>
    <row r="1751" spans="1:6" x14ac:dyDescent="0.25">
      <c r="A1751" s="10">
        <v>39344</v>
      </c>
      <c r="B1751" s="12">
        <f t="shared" si="81"/>
        <v>9</v>
      </c>
      <c r="C1751" s="12">
        <f t="shared" si="82"/>
        <v>2007</v>
      </c>
      <c r="D1751" s="13">
        <v>13000</v>
      </c>
      <c r="E1751" s="13">
        <v>25.173999999999999</v>
      </c>
      <c r="F1751" s="13">
        <f t="shared" si="83"/>
        <v>516.40581552395327</v>
      </c>
    </row>
    <row r="1752" spans="1:6" x14ac:dyDescent="0.25">
      <c r="A1752" s="10">
        <v>39345</v>
      </c>
      <c r="B1752" s="12">
        <f t="shared" si="81"/>
        <v>9</v>
      </c>
      <c r="C1752" s="12">
        <f t="shared" si="82"/>
        <v>2007</v>
      </c>
      <c r="D1752" s="13">
        <v>13000</v>
      </c>
      <c r="E1752" s="13">
        <v>25.065000000000001</v>
      </c>
      <c r="F1752" s="13">
        <f t="shared" si="83"/>
        <v>518.65150608418105</v>
      </c>
    </row>
    <row r="1753" spans="1:6" x14ac:dyDescent="0.25">
      <c r="A1753" s="10">
        <v>39346</v>
      </c>
      <c r="B1753" s="12">
        <f t="shared" si="81"/>
        <v>9</v>
      </c>
      <c r="C1753" s="12">
        <f t="shared" si="82"/>
        <v>2007</v>
      </c>
      <c r="D1753" s="13">
        <v>13000</v>
      </c>
      <c r="E1753" s="13">
        <v>25.053000000000001</v>
      </c>
      <c r="F1753" s="13">
        <f t="shared" si="83"/>
        <v>518.89993214385504</v>
      </c>
    </row>
    <row r="1754" spans="1:6" x14ac:dyDescent="0.25">
      <c r="A1754" s="10">
        <v>39349</v>
      </c>
      <c r="B1754" s="12">
        <f t="shared" si="81"/>
        <v>9</v>
      </c>
      <c r="C1754" s="12">
        <f t="shared" si="82"/>
        <v>2007</v>
      </c>
      <c r="D1754" s="13">
        <v>13350</v>
      </c>
      <c r="E1754" s="13">
        <v>25.015000000000001</v>
      </c>
      <c r="F1754" s="13">
        <f t="shared" si="83"/>
        <v>533.67979212472517</v>
      </c>
    </row>
    <row r="1755" spans="1:6" x14ac:dyDescent="0.25">
      <c r="A1755" s="10">
        <v>39350</v>
      </c>
      <c r="B1755" s="12">
        <f t="shared" si="81"/>
        <v>9</v>
      </c>
      <c r="C1755" s="12">
        <f t="shared" si="82"/>
        <v>2007</v>
      </c>
      <c r="D1755" s="13">
        <v>13350</v>
      </c>
      <c r="E1755" s="13">
        <v>24.959</v>
      </c>
      <c r="F1755" s="13">
        <f t="shared" si="83"/>
        <v>534.87719860571337</v>
      </c>
    </row>
    <row r="1756" spans="1:6" x14ac:dyDescent="0.25">
      <c r="A1756" s="10">
        <v>39351</v>
      </c>
      <c r="B1756" s="12">
        <f t="shared" si="81"/>
        <v>9</v>
      </c>
      <c r="C1756" s="12">
        <f t="shared" si="82"/>
        <v>2007</v>
      </c>
      <c r="D1756" s="13">
        <v>13350</v>
      </c>
      <c r="E1756" s="13">
        <v>24.9832</v>
      </c>
      <c r="F1756" s="13">
        <f t="shared" si="83"/>
        <v>534.35908930801497</v>
      </c>
    </row>
    <row r="1757" spans="1:6" x14ac:dyDescent="0.25">
      <c r="A1757" s="10">
        <v>39352</v>
      </c>
      <c r="B1757" s="12">
        <f t="shared" si="81"/>
        <v>9</v>
      </c>
      <c r="C1757" s="12">
        <f t="shared" si="82"/>
        <v>2007</v>
      </c>
      <c r="D1757" s="13">
        <v>13350</v>
      </c>
      <c r="E1757" s="13">
        <v>24.958600000000001</v>
      </c>
      <c r="F1757" s="13">
        <f t="shared" si="83"/>
        <v>534.88577083650523</v>
      </c>
    </row>
    <row r="1758" spans="1:6" x14ac:dyDescent="0.25">
      <c r="A1758" s="10">
        <v>39353</v>
      </c>
      <c r="B1758" s="12">
        <f t="shared" si="81"/>
        <v>9</v>
      </c>
      <c r="C1758" s="12">
        <f t="shared" si="82"/>
        <v>2007</v>
      </c>
      <c r="D1758" s="13">
        <v>13350</v>
      </c>
      <c r="E1758" s="13">
        <v>24.851600000000001</v>
      </c>
      <c r="F1758" s="13">
        <f t="shared" si="83"/>
        <v>537.18875243445086</v>
      </c>
    </row>
    <row r="1759" spans="1:6" x14ac:dyDescent="0.25">
      <c r="A1759" s="10">
        <v>39356</v>
      </c>
      <c r="B1759" s="12">
        <f t="shared" si="81"/>
        <v>10</v>
      </c>
      <c r="C1759" s="12">
        <f t="shared" si="82"/>
        <v>2007</v>
      </c>
      <c r="D1759" s="13">
        <v>13750</v>
      </c>
      <c r="E1759" s="13">
        <v>24.863800000000001</v>
      </c>
      <c r="F1759" s="13">
        <f t="shared" si="83"/>
        <v>553.01281380963485</v>
      </c>
    </row>
    <row r="1760" spans="1:6" x14ac:dyDescent="0.25">
      <c r="A1760" s="10">
        <v>39357</v>
      </c>
      <c r="B1760" s="12">
        <f t="shared" si="81"/>
        <v>10</v>
      </c>
      <c r="C1760" s="12">
        <f t="shared" si="82"/>
        <v>2007</v>
      </c>
      <c r="D1760" s="13">
        <v>13750</v>
      </c>
      <c r="E1760" s="13">
        <v>24.945900000000002</v>
      </c>
      <c r="F1760" s="13">
        <f t="shared" si="83"/>
        <v>551.19278117847023</v>
      </c>
    </row>
    <row r="1761" spans="1:6" x14ac:dyDescent="0.25">
      <c r="A1761" s="10">
        <v>39358</v>
      </c>
      <c r="B1761" s="12">
        <f t="shared" si="81"/>
        <v>10</v>
      </c>
      <c r="C1761" s="12">
        <f t="shared" si="82"/>
        <v>2007</v>
      </c>
      <c r="D1761" s="13">
        <v>13750</v>
      </c>
      <c r="E1761" s="13">
        <v>24.9831</v>
      </c>
      <c r="F1761" s="13">
        <f t="shared" si="83"/>
        <v>550.37205150681859</v>
      </c>
    </row>
    <row r="1762" spans="1:6" x14ac:dyDescent="0.25">
      <c r="A1762" s="10">
        <v>39359</v>
      </c>
      <c r="B1762" s="12">
        <f t="shared" si="81"/>
        <v>10</v>
      </c>
      <c r="C1762" s="12">
        <f t="shared" si="82"/>
        <v>2007</v>
      </c>
      <c r="D1762" s="13">
        <v>13750</v>
      </c>
      <c r="E1762" s="13">
        <v>24.981000000000002</v>
      </c>
      <c r="F1762" s="13">
        <f t="shared" si="83"/>
        <v>550.41831792162043</v>
      </c>
    </row>
    <row r="1763" spans="1:6" x14ac:dyDescent="0.25">
      <c r="A1763" s="10">
        <v>39360</v>
      </c>
      <c r="B1763" s="12">
        <f t="shared" si="81"/>
        <v>10</v>
      </c>
      <c r="C1763" s="12">
        <f t="shared" si="82"/>
        <v>2007</v>
      </c>
      <c r="D1763" s="13">
        <v>13750</v>
      </c>
      <c r="E1763" s="13">
        <v>24.961400000000001</v>
      </c>
      <c r="F1763" s="13">
        <f t="shared" si="83"/>
        <v>550.85051319236902</v>
      </c>
    </row>
    <row r="1764" spans="1:6" x14ac:dyDescent="0.25">
      <c r="A1764" s="10">
        <v>39363</v>
      </c>
      <c r="B1764" s="12">
        <f t="shared" si="81"/>
        <v>10</v>
      </c>
      <c r="C1764" s="12">
        <f t="shared" si="82"/>
        <v>2007</v>
      </c>
      <c r="D1764" s="13">
        <v>13850</v>
      </c>
      <c r="E1764" s="13">
        <v>25.056899999999999</v>
      </c>
      <c r="F1764" s="13">
        <f t="shared" si="83"/>
        <v>552.74195930063183</v>
      </c>
    </row>
    <row r="1765" spans="1:6" x14ac:dyDescent="0.25">
      <c r="A1765" s="10">
        <v>39364</v>
      </c>
      <c r="B1765" s="12">
        <f t="shared" si="81"/>
        <v>10</v>
      </c>
      <c r="C1765" s="12">
        <f t="shared" si="82"/>
        <v>2007</v>
      </c>
      <c r="D1765" s="13">
        <v>13850</v>
      </c>
      <c r="E1765" s="13">
        <v>25.021599999999999</v>
      </c>
      <c r="F1765" s="13">
        <f t="shared" si="83"/>
        <v>553.52175720177763</v>
      </c>
    </row>
    <row r="1766" spans="1:6" x14ac:dyDescent="0.25">
      <c r="A1766" s="10">
        <v>39365</v>
      </c>
      <c r="B1766" s="12">
        <f t="shared" si="81"/>
        <v>10</v>
      </c>
      <c r="C1766" s="12">
        <f t="shared" si="82"/>
        <v>2007</v>
      </c>
      <c r="D1766" s="13">
        <v>13850</v>
      </c>
      <c r="E1766" s="13">
        <v>24.962299999999999</v>
      </c>
      <c r="F1766" s="13">
        <f t="shared" si="83"/>
        <v>554.83669373415114</v>
      </c>
    </row>
    <row r="1767" spans="1:6" x14ac:dyDescent="0.25">
      <c r="A1767" s="10">
        <v>39366</v>
      </c>
      <c r="B1767" s="12">
        <f t="shared" si="81"/>
        <v>10</v>
      </c>
      <c r="C1767" s="12">
        <f t="shared" si="82"/>
        <v>2007</v>
      </c>
      <c r="D1767" s="13">
        <v>13850</v>
      </c>
      <c r="E1767" s="13">
        <v>24.885999999999999</v>
      </c>
      <c r="F1767" s="13">
        <f t="shared" si="83"/>
        <v>556.53781242465641</v>
      </c>
    </row>
    <row r="1768" spans="1:6" x14ac:dyDescent="0.25">
      <c r="A1768" s="10">
        <v>39367</v>
      </c>
      <c r="B1768" s="12">
        <f t="shared" si="81"/>
        <v>10</v>
      </c>
      <c r="C1768" s="12">
        <f t="shared" si="82"/>
        <v>2007</v>
      </c>
      <c r="D1768" s="13">
        <v>13850</v>
      </c>
      <c r="E1768" s="13">
        <v>24.920999999999999</v>
      </c>
      <c r="F1768" s="13">
        <f t="shared" si="83"/>
        <v>555.75618955900643</v>
      </c>
    </row>
    <row r="1769" spans="1:6" x14ac:dyDescent="0.25">
      <c r="A1769" s="10">
        <v>39370</v>
      </c>
      <c r="B1769" s="12">
        <f t="shared" si="81"/>
        <v>10</v>
      </c>
      <c r="C1769" s="12">
        <f t="shared" si="82"/>
        <v>2007</v>
      </c>
      <c r="D1769" s="13">
        <v>13850</v>
      </c>
      <c r="E1769" s="13">
        <v>24.896000000000001</v>
      </c>
      <c r="F1769" s="13">
        <f t="shared" si="83"/>
        <v>556.31426735218508</v>
      </c>
    </row>
    <row r="1770" spans="1:6" x14ac:dyDescent="0.25">
      <c r="A1770" s="10">
        <v>39371</v>
      </c>
      <c r="B1770" s="12">
        <f t="shared" si="81"/>
        <v>10</v>
      </c>
      <c r="C1770" s="12">
        <f t="shared" si="82"/>
        <v>2007</v>
      </c>
      <c r="D1770" s="13">
        <v>13850</v>
      </c>
      <c r="E1770" s="13">
        <v>24.9358</v>
      </c>
      <c r="F1770" s="13">
        <f t="shared" si="83"/>
        <v>555.42633482783788</v>
      </c>
    </row>
    <row r="1771" spans="1:6" x14ac:dyDescent="0.25">
      <c r="A1771" s="10">
        <v>39372</v>
      </c>
      <c r="B1771" s="12">
        <f t="shared" si="81"/>
        <v>10</v>
      </c>
      <c r="C1771" s="12">
        <f t="shared" si="82"/>
        <v>2007</v>
      </c>
      <c r="D1771" s="13">
        <v>13850</v>
      </c>
      <c r="E1771" s="13">
        <v>24.917400000000001</v>
      </c>
      <c r="F1771" s="13">
        <f t="shared" si="83"/>
        <v>555.83648374228449</v>
      </c>
    </row>
    <row r="1772" spans="1:6" x14ac:dyDescent="0.25">
      <c r="A1772" s="10">
        <v>39373</v>
      </c>
      <c r="B1772" s="12">
        <f t="shared" si="81"/>
        <v>10</v>
      </c>
      <c r="C1772" s="12">
        <f t="shared" si="82"/>
        <v>2007</v>
      </c>
      <c r="D1772" s="13">
        <v>13850</v>
      </c>
      <c r="E1772" s="13">
        <v>24.820399999999999</v>
      </c>
      <c r="F1772" s="13">
        <f t="shared" si="83"/>
        <v>558.00873475044727</v>
      </c>
    </row>
    <row r="1773" spans="1:6" x14ac:dyDescent="0.25">
      <c r="A1773" s="10">
        <v>39374</v>
      </c>
      <c r="B1773" s="12">
        <f t="shared" si="81"/>
        <v>10</v>
      </c>
      <c r="C1773" s="12">
        <f t="shared" si="82"/>
        <v>2007</v>
      </c>
      <c r="D1773" s="13">
        <v>13850</v>
      </c>
      <c r="E1773" s="13">
        <v>24.850999999999999</v>
      </c>
      <c r="F1773" s="13">
        <f t="shared" si="83"/>
        <v>557.32163695625934</v>
      </c>
    </row>
    <row r="1774" spans="1:6" x14ac:dyDescent="0.25">
      <c r="A1774" s="10">
        <v>39377</v>
      </c>
      <c r="B1774" s="12">
        <f t="shared" si="81"/>
        <v>10</v>
      </c>
      <c r="C1774" s="12">
        <f t="shared" si="82"/>
        <v>2007</v>
      </c>
      <c r="D1774" s="13">
        <v>13600</v>
      </c>
      <c r="E1774" s="13">
        <v>24.9573</v>
      </c>
      <c r="F1774" s="13">
        <f t="shared" si="83"/>
        <v>544.93074170683531</v>
      </c>
    </row>
    <row r="1775" spans="1:6" x14ac:dyDescent="0.25">
      <c r="A1775" s="10">
        <v>39378</v>
      </c>
      <c r="B1775" s="12">
        <f t="shared" si="81"/>
        <v>10</v>
      </c>
      <c r="C1775" s="12">
        <f t="shared" si="82"/>
        <v>2007</v>
      </c>
      <c r="D1775" s="13">
        <v>13600</v>
      </c>
      <c r="E1775" s="13">
        <v>24.875499999999999</v>
      </c>
      <c r="F1775" s="13">
        <f t="shared" si="83"/>
        <v>546.72267894112679</v>
      </c>
    </row>
    <row r="1776" spans="1:6" x14ac:dyDescent="0.25">
      <c r="A1776" s="10">
        <v>39379</v>
      </c>
      <c r="B1776" s="12">
        <f t="shared" si="81"/>
        <v>10</v>
      </c>
      <c r="C1776" s="12">
        <f t="shared" si="82"/>
        <v>2007</v>
      </c>
      <c r="D1776" s="13">
        <v>13600</v>
      </c>
      <c r="E1776" s="13">
        <v>24.879200000000001</v>
      </c>
      <c r="F1776" s="13">
        <f t="shared" si="83"/>
        <v>546.64137110518016</v>
      </c>
    </row>
    <row r="1777" spans="1:6" x14ac:dyDescent="0.25">
      <c r="A1777" s="10">
        <v>39380</v>
      </c>
      <c r="B1777" s="12">
        <f t="shared" si="81"/>
        <v>10</v>
      </c>
      <c r="C1777" s="12">
        <f t="shared" si="82"/>
        <v>2007</v>
      </c>
      <c r="D1777" s="13">
        <v>13600</v>
      </c>
      <c r="E1777" s="13">
        <v>24.815899999999999</v>
      </c>
      <c r="F1777" s="13">
        <f t="shared" si="83"/>
        <v>548.03573515367168</v>
      </c>
    </row>
    <row r="1778" spans="1:6" x14ac:dyDescent="0.25">
      <c r="A1778" s="10">
        <v>39381</v>
      </c>
      <c r="B1778" s="12">
        <f t="shared" si="81"/>
        <v>10</v>
      </c>
      <c r="C1778" s="12">
        <f t="shared" si="82"/>
        <v>2007</v>
      </c>
      <c r="D1778" s="13">
        <v>13600</v>
      </c>
      <c r="E1778" s="13">
        <v>24.733499999999999</v>
      </c>
      <c r="F1778" s="13">
        <f t="shared" si="83"/>
        <v>549.86152384417892</v>
      </c>
    </row>
    <row r="1779" spans="1:6" x14ac:dyDescent="0.25">
      <c r="A1779" s="10">
        <v>39384</v>
      </c>
      <c r="B1779" s="12">
        <f t="shared" si="81"/>
        <v>10</v>
      </c>
      <c r="C1779" s="12">
        <f t="shared" si="82"/>
        <v>2007</v>
      </c>
      <c r="D1779" s="13">
        <v>13700</v>
      </c>
      <c r="E1779" s="13">
        <v>24.698399999999999</v>
      </c>
      <c r="F1779" s="13">
        <f t="shared" si="83"/>
        <v>554.69180189809867</v>
      </c>
    </row>
    <row r="1780" spans="1:6" x14ac:dyDescent="0.25">
      <c r="A1780" s="10">
        <v>39385</v>
      </c>
      <c r="B1780" s="12">
        <f t="shared" si="81"/>
        <v>10</v>
      </c>
      <c r="C1780" s="12">
        <f t="shared" si="82"/>
        <v>2007</v>
      </c>
      <c r="D1780" s="13">
        <v>13700</v>
      </c>
      <c r="E1780" s="13">
        <v>24.686</v>
      </c>
      <c r="F1780" s="13">
        <f t="shared" si="83"/>
        <v>554.97042858300256</v>
      </c>
    </row>
    <row r="1781" spans="1:6" x14ac:dyDescent="0.25">
      <c r="A1781" s="10">
        <v>39386</v>
      </c>
      <c r="B1781" s="12">
        <f t="shared" si="81"/>
        <v>10</v>
      </c>
      <c r="C1781" s="12">
        <f t="shared" si="82"/>
        <v>2007</v>
      </c>
      <c r="D1781" s="13">
        <v>13700</v>
      </c>
      <c r="E1781" s="13">
        <v>24.667000000000002</v>
      </c>
      <c r="F1781" s="13">
        <f t="shared" si="83"/>
        <v>555.39790002837799</v>
      </c>
    </row>
    <row r="1782" spans="1:6" x14ac:dyDescent="0.25">
      <c r="A1782" s="10">
        <v>39387</v>
      </c>
      <c r="B1782" s="12">
        <f t="shared" si="81"/>
        <v>11</v>
      </c>
      <c r="C1782" s="12">
        <f t="shared" si="82"/>
        <v>2007</v>
      </c>
      <c r="D1782" s="13">
        <v>13700</v>
      </c>
      <c r="E1782" s="13">
        <v>24.671900000000001</v>
      </c>
      <c r="F1782" s="13">
        <f t="shared" si="83"/>
        <v>555.28759438875807</v>
      </c>
    </row>
    <row r="1783" spans="1:6" x14ac:dyDescent="0.25">
      <c r="A1783" s="10">
        <v>39388</v>
      </c>
      <c r="B1783" s="12">
        <f t="shared" si="81"/>
        <v>11</v>
      </c>
      <c r="C1783" s="12">
        <f t="shared" si="82"/>
        <v>2007</v>
      </c>
      <c r="D1783" s="13">
        <v>13700</v>
      </c>
      <c r="E1783" s="13">
        <v>24.612500000000001</v>
      </c>
      <c r="F1783" s="13">
        <f t="shared" si="83"/>
        <v>556.6277298120873</v>
      </c>
    </row>
    <row r="1784" spans="1:6" x14ac:dyDescent="0.25">
      <c r="A1784" s="10">
        <v>39391</v>
      </c>
      <c r="B1784" s="12">
        <f t="shared" si="81"/>
        <v>11</v>
      </c>
      <c r="C1784" s="12">
        <f t="shared" si="82"/>
        <v>2007</v>
      </c>
      <c r="D1784" s="13">
        <v>13950</v>
      </c>
      <c r="E1784" s="13">
        <v>24.646100000000001</v>
      </c>
      <c r="F1784" s="13">
        <f t="shared" si="83"/>
        <v>566.01247256158172</v>
      </c>
    </row>
    <row r="1785" spans="1:6" x14ac:dyDescent="0.25">
      <c r="A1785" s="10">
        <v>39392</v>
      </c>
      <c r="B1785" s="12">
        <f t="shared" si="81"/>
        <v>11</v>
      </c>
      <c r="C1785" s="12">
        <f t="shared" si="82"/>
        <v>2007</v>
      </c>
      <c r="D1785" s="13">
        <v>13950</v>
      </c>
      <c r="E1785" s="13">
        <v>24.584199999999999</v>
      </c>
      <c r="F1785" s="13">
        <f t="shared" si="83"/>
        <v>567.43762253805289</v>
      </c>
    </row>
    <row r="1786" spans="1:6" x14ac:dyDescent="0.25">
      <c r="A1786" s="10">
        <v>39393</v>
      </c>
      <c r="B1786" s="12">
        <f t="shared" si="81"/>
        <v>11</v>
      </c>
      <c r="C1786" s="12">
        <f t="shared" si="82"/>
        <v>2007</v>
      </c>
      <c r="D1786" s="13">
        <v>13950</v>
      </c>
      <c r="E1786" s="13">
        <v>24.475000000000001</v>
      </c>
      <c r="F1786" s="13">
        <f t="shared" si="83"/>
        <v>569.96935648621036</v>
      </c>
    </row>
    <row r="1787" spans="1:6" x14ac:dyDescent="0.25">
      <c r="A1787" s="10">
        <v>39394</v>
      </c>
      <c r="B1787" s="12">
        <f t="shared" si="81"/>
        <v>11</v>
      </c>
      <c r="C1787" s="12">
        <f t="shared" si="82"/>
        <v>2007</v>
      </c>
      <c r="D1787" s="13">
        <v>13950</v>
      </c>
      <c r="E1787" s="13">
        <v>24.464700000000001</v>
      </c>
      <c r="F1787" s="13">
        <f t="shared" si="83"/>
        <v>570.20932200272227</v>
      </c>
    </row>
    <row r="1788" spans="1:6" x14ac:dyDescent="0.25">
      <c r="A1788" s="10">
        <v>39395</v>
      </c>
      <c r="B1788" s="12">
        <f t="shared" si="81"/>
        <v>11</v>
      </c>
      <c r="C1788" s="12">
        <f t="shared" si="82"/>
        <v>2007</v>
      </c>
      <c r="D1788" s="13">
        <v>13950</v>
      </c>
      <c r="E1788" s="13">
        <v>24.470500000000001</v>
      </c>
      <c r="F1788" s="13">
        <f t="shared" si="83"/>
        <v>570.07417094052016</v>
      </c>
    </row>
    <row r="1789" spans="1:6" x14ac:dyDescent="0.25">
      <c r="A1789" s="10">
        <v>39398</v>
      </c>
      <c r="B1789" s="12">
        <f t="shared" si="81"/>
        <v>11</v>
      </c>
      <c r="C1789" s="12">
        <f t="shared" si="82"/>
        <v>2007</v>
      </c>
      <c r="D1789" s="13">
        <v>14250</v>
      </c>
      <c r="E1789" s="13">
        <v>24.585699999999999</v>
      </c>
      <c r="F1789" s="13">
        <f t="shared" si="83"/>
        <v>579.60521766718057</v>
      </c>
    </row>
    <row r="1790" spans="1:6" x14ac:dyDescent="0.25">
      <c r="A1790" s="10">
        <v>39399</v>
      </c>
      <c r="B1790" s="12">
        <f t="shared" si="81"/>
        <v>11</v>
      </c>
      <c r="C1790" s="12">
        <f t="shared" si="82"/>
        <v>2007</v>
      </c>
      <c r="D1790" s="13">
        <v>14250</v>
      </c>
      <c r="E1790" s="13">
        <v>24.5398</v>
      </c>
      <c r="F1790" s="13">
        <f t="shared" si="83"/>
        <v>580.68932917138693</v>
      </c>
    </row>
    <row r="1791" spans="1:6" x14ac:dyDescent="0.25">
      <c r="A1791" s="10">
        <v>39400</v>
      </c>
      <c r="B1791" s="12">
        <f t="shared" si="81"/>
        <v>11</v>
      </c>
      <c r="C1791" s="12">
        <f t="shared" si="82"/>
        <v>2007</v>
      </c>
      <c r="D1791" s="13">
        <v>14250</v>
      </c>
      <c r="E1791" s="13">
        <v>24.467500000000001</v>
      </c>
      <c r="F1791" s="13">
        <f t="shared" si="83"/>
        <v>582.40523142944721</v>
      </c>
    </row>
    <row r="1792" spans="1:6" x14ac:dyDescent="0.25">
      <c r="A1792" s="10">
        <v>39401</v>
      </c>
      <c r="B1792" s="12">
        <f t="shared" si="81"/>
        <v>11</v>
      </c>
      <c r="C1792" s="12">
        <f t="shared" si="82"/>
        <v>2007</v>
      </c>
      <c r="D1792" s="13">
        <v>14250</v>
      </c>
      <c r="E1792" s="13">
        <v>24.501000000000001</v>
      </c>
      <c r="F1792" s="13">
        <f t="shared" si="83"/>
        <v>581.60891392188068</v>
      </c>
    </row>
    <row r="1793" spans="1:6" x14ac:dyDescent="0.25">
      <c r="A1793" s="10">
        <v>39402</v>
      </c>
      <c r="B1793" s="12">
        <f t="shared" si="81"/>
        <v>11</v>
      </c>
      <c r="C1793" s="12">
        <f t="shared" si="82"/>
        <v>2007</v>
      </c>
      <c r="D1793" s="13">
        <v>14250</v>
      </c>
      <c r="E1793" s="13">
        <v>24.4787</v>
      </c>
      <c r="F1793" s="13">
        <f t="shared" si="83"/>
        <v>582.13875736865111</v>
      </c>
    </row>
    <row r="1794" spans="1:6" x14ac:dyDescent="0.25">
      <c r="A1794" s="10">
        <v>39405</v>
      </c>
      <c r="B1794" s="12">
        <f t="shared" si="81"/>
        <v>11</v>
      </c>
      <c r="C1794" s="12">
        <f t="shared" si="82"/>
        <v>2007</v>
      </c>
      <c r="D1794" s="13">
        <v>15750</v>
      </c>
      <c r="E1794" s="13">
        <v>24.482500000000002</v>
      </c>
      <c r="F1794" s="13">
        <f t="shared" si="83"/>
        <v>643.31665475339526</v>
      </c>
    </row>
    <row r="1795" spans="1:6" x14ac:dyDescent="0.25">
      <c r="A1795" s="10">
        <v>39406</v>
      </c>
      <c r="B1795" s="12">
        <f t="shared" ref="B1795:B1858" si="84">MONTH(A1795)</f>
        <v>11</v>
      </c>
      <c r="C1795" s="12">
        <f t="shared" ref="C1795:C1858" si="85">YEAR(A1795)</f>
        <v>2007</v>
      </c>
      <c r="D1795" s="13">
        <v>15750</v>
      </c>
      <c r="E1795" s="13">
        <v>24.375299999999999</v>
      </c>
      <c r="F1795" s="13">
        <f t="shared" ref="F1795:F1858" si="86">IF(D1795="","",D1795/E1795)</f>
        <v>646.14589358900196</v>
      </c>
    </row>
    <row r="1796" spans="1:6" x14ac:dyDescent="0.25">
      <c r="A1796" s="10">
        <v>39407</v>
      </c>
      <c r="B1796" s="12">
        <f t="shared" si="84"/>
        <v>11</v>
      </c>
      <c r="C1796" s="12">
        <f t="shared" si="85"/>
        <v>2007</v>
      </c>
      <c r="D1796" s="13">
        <v>15750</v>
      </c>
      <c r="E1796" s="13">
        <v>24.322800000000001</v>
      </c>
      <c r="F1796" s="13">
        <f t="shared" si="86"/>
        <v>647.54057920963044</v>
      </c>
    </row>
    <row r="1797" spans="1:6" x14ac:dyDescent="0.25">
      <c r="A1797" s="10">
        <v>39409</v>
      </c>
      <c r="B1797" s="12">
        <f t="shared" si="84"/>
        <v>11</v>
      </c>
      <c r="C1797" s="12">
        <f t="shared" si="85"/>
        <v>2007</v>
      </c>
      <c r="D1797" s="13">
        <v>15750</v>
      </c>
      <c r="E1797" s="13">
        <v>24.317399999999999</v>
      </c>
      <c r="F1797" s="13">
        <f t="shared" si="86"/>
        <v>647.68437415184189</v>
      </c>
    </row>
    <row r="1798" spans="1:6" x14ac:dyDescent="0.25">
      <c r="A1798" s="10">
        <v>39412</v>
      </c>
      <c r="B1798" s="12">
        <f t="shared" si="84"/>
        <v>11</v>
      </c>
      <c r="C1798" s="12">
        <f t="shared" si="85"/>
        <v>2007</v>
      </c>
      <c r="D1798" s="13">
        <v>16500</v>
      </c>
      <c r="E1798" s="13">
        <v>24.296299999999999</v>
      </c>
      <c r="F1798" s="13">
        <f t="shared" si="86"/>
        <v>679.11575013479421</v>
      </c>
    </row>
    <row r="1799" spans="1:6" x14ac:dyDescent="0.25">
      <c r="A1799" s="10">
        <v>39413</v>
      </c>
      <c r="B1799" s="12">
        <f t="shared" si="84"/>
        <v>11</v>
      </c>
      <c r="C1799" s="12">
        <f t="shared" si="85"/>
        <v>2007</v>
      </c>
      <c r="D1799" s="13">
        <v>16500</v>
      </c>
      <c r="E1799" s="13">
        <v>24.333200000000001</v>
      </c>
      <c r="F1799" s="13">
        <f t="shared" si="86"/>
        <v>678.08590732004006</v>
      </c>
    </row>
    <row r="1800" spans="1:6" x14ac:dyDescent="0.25">
      <c r="A1800" s="10">
        <v>39414</v>
      </c>
      <c r="B1800" s="12">
        <f t="shared" si="84"/>
        <v>11</v>
      </c>
      <c r="C1800" s="12">
        <f t="shared" si="85"/>
        <v>2007</v>
      </c>
      <c r="D1800" s="13">
        <v>16500</v>
      </c>
      <c r="E1800" s="13">
        <v>24.373200000000001</v>
      </c>
      <c r="F1800" s="13">
        <f t="shared" si="86"/>
        <v>676.97306878046379</v>
      </c>
    </row>
    <row r="1801" spans="1:6" x14ac:dyDescent="0.25">
      <c r="A1801" s="10">
        <v>39415</v>
      </c>
      <c r="B1801" s="12">
        <f t="shared" si="84"/>
        <v>11</v>
      </c>
      <c r="C1801" s="12">
        <f t="shared" si="85"/>
        <v>2007</v>
      </c>
      <c r="D1801" s="13">
        <v>16500</v>
      </c>
      <c r="E1801" s="13">
        <v>24.396699999999999</v>
      </c>
      <c r="F1801" s="13">
        <f t="shared" si="86"/>
        <v>676.32097783716654</v>
      </c>
    </row>
    <row r="1802" spans="1:6" x14ac:dyDescent="0.25">
      <c r="A1802" s="10">
        <v>39416</v>
      </c>
      <c r="B1802" s="12">
        <f t="shared" si="84"/>
        <v>11</v>
      </c>
      <c r="C1802" s="12">
        <f t="shared" si="85"/>
        <v>2007</v>
      </c>
      <c r="D1802" s="13">
        <v>16500</v>
      </c>
      <c r="E1802" s="13">
        <v>24.442</v>
      </c>
      <c r="F1802" s="13">
        <f t="shared" si="86"/>
        <v>675.06750675067508</v>
      </c>
    </row>
    <row r="1803" spans="1:6" x14ac:dyDescent="0.25">
      <c r="A1803" s="10">
        <v>39419</v>
      </c>
      <c r="B1803" s="12">
        <f t="shared" si="84"/>
        <v>12</v>
      </c>
      <c r="C1803" s="12">
        <f t="shared" si="85"/>
        <v>2007</v>
      </c>
      <c r="D1803" s="13">
        <v>16500</v>
      </c>
      <c r="E1803" s="13">
        <v>24.471</v>
      </c>
      <c r="F1803" s="13">
        <f t="shared" si="86"/>
        <v>674.2675003064852</v>
      </c>
    </row>
    <row r="1804" spans="1:6" x14ac:dyDescent="0.25">
      <c r="A1804" s="10">
        <v>39420</v>
      </c>
      <c r="B1804" s="12">
        <f t="shared" si="84"/>
        <v>12</v>
      </c>
      <c r="C1804" s="12">
        <f t="shared" si="85"/>
        <v>2007</v>
      </c>
      <c r="D1804" s="13">
        <v>16500</v>
      </c>
      <c r="E1804" s="13">
        <v>24.392099999999999</v>
      </c>
      <c r="F1804" s="13">
        <f t="shared" si="86"/>
        <v>676.44852226745547</v>
      </c>
    </row>
    <row r="1805" spans="1:6" x14ac:dyDescent="0.25">
      <c r="A1805" s="10">
        <v>39421</v>
      </c>
      <c r="B1805" s="12">
        <f t="shared" si="84"/>
        <v>12</v>
      </c>
      <c r="C1805" s="12">
        <f t="shared" si="85"/>
        <v>2007</v>
      </c>
      <c r="D1805" s="13">
        <v>16500</v>
      </c>
      <c r="E1805" s="13">
        <v>24.476199999999999</v>
      </c>
      <c r="F1805" s="13">
        <f t="shared" si="86"/>
        <v>674.12425131352097</v>
      </c>
    </row>
    <row r="1806" spans="1:6" x14ac:dyDescent="0.25">
      <c r="A1806" s="10">
        <v>39422</v>
      </c>
      <c r="B1806" s="12">
        <f t="shared" si="84"/>
        <v>12</v>
      </c>
      <c r="C1806" s="12">
        <f t="shared" si="85"/>
        <v>2007</v>
      </c>
      <c r="D1806" s="13">
        <v>16500</v>
      </c>
      <c r="E1806" s="13">
        <v>24.484999999999999</v>
      </c>
      <c r="F1806" s="13">
        <f t="shared" si="86"/>
        <v>673.88196855217484</v>
      </c>
    </row>
    <row r="1807" spans="1:6" x14ac:dyDescent="0.25">
      <c r="A1807" s="10">
        <v>39423</v>
      </c>
      <c r="B1807" s="12">
        <f t="shared" si="84"/>
        <v>12</v>
      </c>
      <c r="C1807" s="12">
        <f t="shared" si="85"/>
        <v>2007</v>
      </c>
      <c r="D1807" s="13">
        <v>16500</v>
      </c>
      <c r="E1807" s="13">
        <v>24.49</v>
      </c>
      <c r="F1807" s="13">
        <f t="shared" si="86"/>
        <v>673.74438546345448</v>
      </c>
    </row>
    <row r="1808" spans="1:6" x14ac:dyDescent="0.25">
      <c r="A1808" s="10">
        <v>39426</v>
      </c>
      <c r="B1808" s="12">
        <f t="shared" si="84"/>
        <v>12</v>
      </c>
      <c r="C1808" s="12">
        <f t="shared" si="85"/>
        <v>2007</v>
      </c>
      <c r="D1808" s="13">
        <v>16650</v>
      </c>
      <c r="E1808" s="13">
        <v>24.4284</v>
      </c>
      <c r="F1808" s="13">
        <f t="shared" si="86"/>
        <v>681.58373041214327</v>
      </c>
    </row>
    <row r="1809" spans="1:6" x14ac:dyDescent="0.25">
      <c r="A1809" s="10">
        <v>39427</v>
      </c>
      <c r="B1809" s="12">
        <f t="shared" si="84"/>
        <v>12</v>
      </c>
      <c r="C1809" s="12">
        <f t="shared" si="85"/>
        <v>2007</v>
      </c>
      <c r="D1809" s="13">
        <v>16650</v>
      </c>
      <c r="E1809" s="13">
        <v>24.438099999999999</v>
      </c>
      <c r="F1809" s="13">
        <f t="shared" si="86"/>
        <v>681.31319537934621</v>
      </c>
    </row>
    <row r="1810" spans="1:6" x14ac:dyDescent="0.25">
      <c r="A1810" s="10">
        <v>39428</v>
      </c>
      <c r="B1810" s="12">
        <f t="shared" si="84"/>
        <v>12</v>
      </c>
      <c r="C1810" s="12">
        <f t="shared" si="85"/>
        <v>2007</v>
      </c>
      <c r="D1810" s="13">
        <v>16650</v>
      </c>
      <c r="E1810" s="13">
        <v>24.4514</v>
      </c>
      <c r="F1810" s="13">
        <f t="shared" si="86"/>
        <v>680.94260451344303</v>
      </c>
    </row>
    <row r="1811" spans="1:6" x14ac:dyDescent="0.25">
      <c r="A1811" s="10">
        <v>39429</v>
      </c>
      <c r="B1811" s="12">
        <f t="shared" si="84"/>
        <v>12</v>
      </c>
      <c r="C1811" s="12">
        <f t="shared" si="85"/>
        <v>2007</v>
      </c>
      <c r="D1811" s="13">
        <v>16650</v>
      </c>
      <c r="E1811" s="13">
        <v>24.519500000000001</v>
      </c>
      <c r="F1811" s="13">
        <f t="shared" si="86"/>
        <v>679.0513672791044</v>
      </c>
    </row>
    <row r="1812" spans="1:6" x14ac:dyDescent="0.25">
      <c r="A1812" s="10">
        <v>39430</v>
      </c>
      <c r="B1812" s="12">
        <f t="shared" si="84"/>
        <v>12</v>
      </c>
      <c r="C1812" s="12">
        <f t="shared" si="85"/>
        <v>2007</v>
      </c>
      <c r="D1812" s="13">
        <v>16650</v>
      </c>
      <c r="E1812" s="13">
        <v>24.673500000000001</v>
      </c>
      <c r="F1812" s="13">
        <f t="shared" si="86"/>
        <v>674.81305854459231</v>
      </c>
    </row>
    <row r="1813" spans="1:6" x14ac:dyDescent="0.25">
      <c r="A1813" s="10">
        <v>39433</v>
      </c>
      <c r="B1813" s="12">
        <f t="shared" si="84"/>
        <v>12</v>
      </c>
      <c r="C1813" s="12">
        <f t="shared" si="85"/>
        <v>2007</v>
      </c>
      <c r="D1813" s="13">
        <v>16650</v>
      </c>
      <c r="E1813" s="13">
        <v>24.727900000000002</v>
      </c>
      <c r="F1813" s="13">
        <f t="shared" si="86"/>
        <v>673.32850747536179</v>
      </c>
    </row>
    <row r="1814" spans="1:6" x14ac:dyDescent="0.25">
      <c r="A1814" s="10">
        <v>39434</v>
      </c>
      <c r="B1814" s="12">
        <f t="shared" si="84"/>
        <v>12</v>
      </c>
      <c r="C1814" s="12">
        <f t="shared" si="85"/>
        <v>2007</v>
      </c>
      <c r="D1814" s="13">
        <v>16650</v>
      </c>
      <c r="E1814" s="13">
        <v>24.704000000000001</v>
      </c>
      <c r="F1814" s="13">
        <f t="shared" si="86"/>
        <v>673.97992227979273</v>
      </c>
    </row>
    <row r="1815" spans="1:6" x14ac:dyDescent="0.25">
      <c r="A1815" s="10">
        <v>39435</v>
      </c>
      <c r="B1815" s="12">
        <f t="shared" si="84"/>
        <v>12</v>
      </c>
      <c r="C1815" s="12">
        <f t="shared" si="85"/>
        <v>2007</v>
      </c>
      <c r="D1815" s="13">
        <v>16650</v>
      </c>
      <c r="E1815" s="13">
        <v>24.7515</v>
      </c>
      <c r="F1815" s="13">
        <f t="shared" si="86"/>
        <v>672.68650384825162</v>
      </c>
    </row>
    <row r="1816" spans="1:6" x14ac:dyDescent="0.25">
      <c r="A1816" s="10">
        <v>39436</v>
      </c>
      <c r="B1816" s="12">
        <f t="shared" si="84"/>
        <v>12</v>
      </c>
      <c r="C1816" s="12">
        <f t="shared" si="85"/>
        <v>2007</v>
      </c>
      <c r="D1816" s="13">
        <v>16650</v>
      </c>
      <c r="E1816" s="13">
        <v>24.763100000000001</v>
      </c>
      <c r="F1816" s="13">
        <f t="shared" si="86"/>
        <v>672.37139130399669</v>
      </c>
    </row>
    <row r="1817" spans="1:6" x14ac:dyDescent="0.25">
      <c r="A1817" s="10">
        <v>39437</v>
      </c>
      <c r="B1817" s="12">
        <f t="shared" si="84"/>
        <v>12</v>
      </c>
      <c r="C1817" s="12">
        <f t="shared" si="85"/>
        <v>2007</v>
      </c>
      <c r="D1817" s="13">
        <v>16650</v>
      </c>
      <c r="E1817" s="13">
        <v>24.750399999999999</v>
      </c>
      <c r="F1817" s="13">
        <f t="shared" si="86"/>
        <v>672.71640054302156</v>
      </c>
    </row>
    <row r="1818" spans="1:6" x14ac:dyDescent="0.25">
      <c r="A1818" s="10">
        <v>39440</v>
      </c>
      <c r="B1818" s="12">
        <f t="shared" si="84"/>
        <v>12</v>
      </c>
      <c r="C1818" s="12">
        <f t="shared" si="85"/>
        <v>2007</v>
      </c>
      <c r="E1818" s="13">
        <v>24.707699999999999</v>
      </c>
      <c r="F1818" s="13" t="str">
        <f t="shared" si="86"/>
        <v/>
      </c>
    </row>
    <row r="1819" spans="1:6" x14ac:dyDescent="0.25">
      <c r="A1819" s="10">
        <v>39442</v>
      </c>
      <c r="B1819" s="12">
        <f t="shared" si="84"/>
        <v>12</v>
      </c>
      <c r="C1819" s="12">
        <f t="shared" si="85"/>
        <v>2007</v>
      </c>
      <c r="E1819" s="13">
        <v>24.6252</v>
      </c>
      <c r="F1819" s="13" t="str">
        <f t="shared" si="86"/>
        <v/>
      </c>
    </row>
    <row r="1820" spans="1:6" x14ac:dyDescent="0.25">
      <c r="A1820" s="10">
        <v>39443</v>
      </c>
      <c r="B1820" s="12">
        <f t="shared" si="84"/>
        <v>12</v>
      </c>
      <c r="C1820" s="12">
        <f t="shared" si="85"/>
        <v>2007</v>
      </c>
      <c r="E1820" s="13">
        <v>24.580300000000001</v>
      </c>
      <c r="F1820" s="13" t="str">
        <f t="shared" si="86"/>
        <v/>
      </c>
    </row>
    <row r="1821" spans="1:6" x14ac:dyDescent="0.25">
      <c r="A1821" s="10">
        <v>39444</v>
      </c>
      <c r="B1821" s="12">
        <f t="shared" si="84"/>
        <v>12</v>
      </c>
      <c r="C1821" s="12">
        <f t="shared" si="85"/>
        <v>2007</v>
      </c>
      <c r="E1821" s="13">
        <v>24.452000000000002</v>
      </c>
      <c r="F1821" s="13" t="str">
        <f t="shared" si="86"/>
        <v/>
      </c>
    </row>
    <row r="1822" spans="1:6" x14ac:dyDescent="0.25">
      <c r="A1822" s="10">
        <v>39447</v>
      </c>
      <c r="B1822" s="12">
        <f t="shared" si="84"/>
        <v>12</v>
      </c>
      <c r="C1822" s="12">
        <f t="shared" si="85"/>
        <v>2007</v>
      </c>
      <c r="E1822" s="13">
        <v>24.569500000000001</v>
      </c>
      <c r="F1822" s="13" t="str">
        <f t="shared" si="86"/>
        <v/>
      </c>
    </row>
    <row r="1823" spans="1:6" x14ac:dyDescent="0.25">
      <c r="A1823" s="10">
        <v>39449</v>
      </c>
      <c r="B1823" s="12">
        <f t="shared" si="84"/>
        <v>1</v>
      </c>
      <c r="C1823" s="12">
        <f t="shared" si="85"/>
        <v>2008</v>
      </c>
      <c r="E1823" s="13">
        <v>24.432500000000001</v>
      </c>
      <c r="F1823" s="13" t="str">
        <f t="shared" si="86"/>
        <v/>
      </c>
    </row>
    <row r="1824" spans="1:6" x14ac:dyDescent="0.25">
      <c r="A1824" s="10">
        <v>39450</v>
      </c>
      <c r="B1824" s="12">
        <f t="shared" si="84"/>
        <v>1</v>
      </c>
      <c r="C1824" s="12">
        <f t="shared" si="85"/>
        <v>2008</v>
      </c>
      <c r="E1824" s="13">
        <v>24.4328</v>
      </c>
      <c r="F1824" s="13" t="str">
        <f t="shared" si="86"/>
        <v/>
      </c>
    </row>
    <row r="1825" spans="1:6" x14ac:dyDescent="0.25">
      <c r="A1825" s="10">
        <v>39451</v>
      </c>
      <c r="B1825" s="12">
        <f t="shared" si="84"/>
        <v>1</v>
      </c>
      <c r="C1825" s="12">
        <f t="shared" si="85"/>
        <v>2008</v>
      </c>
      <c r="E1825" s="13">
        <v>24.404499999999999</v>
      </c>
      <c r="F1825" s="13" t="str">
        <f t="shared" si="86"/>
        <v/>
      </c>
    </row>
    <row r="1826" spans="1:6" x14ac:dyDescent="0.25">
      <c r="A1826" s="10">
        <v>39454</v>
      </c>
      <c r="B1826" s="12">
        <f t="shared" si="84"/>
        <v>1</v>
      </c>
      <c r="C1826" s="12">
        <f t="shared" si="85"/>
        <v>2008</v>
      </c>
      <c r="E1826" s="13">
        <v>24.4832</v>
      </c>
      <c r="F1826" s="13" t="str">
        <f t="shared" si="86"/>
        <v/>
      </c>
    </row>
    <row r="1827" spans="1:6" x14ac:dyDescent="0.25">
      <c r="A1827" s="10">
        <v>39455</v>
      </c>
      <c r="B1827" s="12">
        <f t="shared" si="84"/>
        <v>1</v>
      </c>
      <c r="C1827" s="12">
        <f t="shared" si="85"/>
        <v>2008</v>
      </c>
      <c r="E1827" s="13">
        <v>24.449000000000002</v>
      </c>
      <c r="F1827" s="13" t="str">
        <f t="shared" si="86"/>
        <v/>
      </c>
    </row>
    <row r="1828" spans="1:6" x14ac:dyDescent="0.25">
      <c r="A1828" s="10">
        <v>39456</v>
      </c>
      <c r="B1828" s="12">
        <f t="shared" si="84"/>
        <v>1</v>
      </c>
      <c r="C1828" s="12">
        <f t="shared" si="85"/>
        <v>2008</v>
      </c>
      <c r="E1828" s="13">
        <v>24.4786</v>
      </c>
      <c r="F1828" s="13" t="str">
        <f t="shared" si="86"/>
        <v/>
      </c>
    </row>
    <row r="1829" spans="1:6" x14ac:dyDescent="0.25">
      <c r="A1829" s="10">
        <v>39457</v>
      </c>
      <c r="B1829" s="12">
        <f t="shared" si="84"/>
        <v>1</v>
      </c>
      <c r="C1829" s="12">
        <f t="shared" si="85"/>
        <v>2008</v>
      </c>
      <c r="E1829" s="13">
        <v>24.360399999999998</v>
      </c>
      <c r="F1829" s="13" t="str">
        <f t="shared" si="86"/>
        <v/>
      </c>
    </row>
    <row r="1830" spans="1:6" x14ac:dyDescent="0.25">
      <c r="A1830" s="10">
        <v>39458</v>
      </c>
      <c r="B1830" s="12">
        <f t="shared" si="84"/>
        <v>1</v>
      </c>
      <c r="C1830" s="12">
        <f t="shared" si="85"/>
        <v>2008</v>
      </c>
      <c r="E1830" s="13">
        <v>24.345700000000001</v>
      </c>
      <c r="F1830" s="13" t="str">
        <f t="shared" si="86"/>
        <v/>
      </c>
    </row>
    <row r="1831" spans="1:6" x14ac:dyDescent="0.25">
      <c r="A1831" s="10">
        <v>39461</v>
      </c>
      <c r="B1831" s="12">
        <f t="shared" si="84"/>
        <v>1</v>
      </c>
      <c r="C1831" s="12">
        <f t="shared" si="85"/>
        <v>2008</v>
      </c>
      <c r="D1831" s="13">
        <v>16750</v>
      </c>
      <c r="E1831" s="13">
        <v>24.2803</v>
      </c>
      <c r="F1831" s="13">
        <f t="shared" si="86"/>
        <v>689.85968048170741</v>
      </c>
    </row>
    <row r="1832" spans="1:6" x14ac:dyDescent="0.25">
      <c r="A1832" s="10">
        <v>39462</v>
      </c>
      <c r="B1832" s="12">
        <f t="shared" si="84"/>
        <v>1</v>
      </c>
      <c r="C1832" s="12">
        <f t="shared" si="85"/>
        <v>2008</v>
      </c>
      <c r="D1832" s="13">
        <v>16750</v>
      </c>
      <c r="E1832" s="13">
        <v>24.311499999999999</v>
      </c>
      <c r="F1832" s="13">
        <f t="shared" si="86"/>
        <v>688.97435370092342</v>
      </c>
    </row>
    <row r="1833" spans="1:6" x14ac:dyDescent="0.25">
      <c r="A1833" s="10">
        <v>39463</v>
      </c>
      <c r="B1833" s="12">
        <f t="shared" si="84"/>
        <v>1</v>
      </c>
      <c r="C1833" s="12">
        <f t="shared" si="85"/>
        <v>2008</v>
      </c>
      <c r="D1833" s="13">
        <v>16750</v>
      </c>
      <c r="E1833" s="13">
        <v>24.4785</v>
      </c>
      <c r="F1833" s="13">
        <f t="shared" si="86"/>
        <v>684.27395469493638</v>
      </c>
    </row>
    <row r="1834" spans="1:6" x14ac:dyDescent="0.25">
      <c r="A1834" s="10">
        <v>39464</v>
      </c>
      <c r="B1834" s="12">
        <f t="shared" si="84"/>
        <v>1</v>
      </c>
      <c r="C1834" s="12">
        <f t="shared" si="85"/>
        <v>2008</v>
      </c>
      <c r="D1834" s="13">
        <v>16750</v>
      </c>
      <c r="E1834" s="13">
        <v>24.448499999999999</v>
      </c>
      <c r="F1834" s="13">
        <f t="shared" si="86"/>
        <v>685.11360615170668</v>
      </c>
    </row>
    <row r="1835" spans="1:6" x14ac:dyDescent="0.25">
      <c r="A1835" s="10">
        <v>39465</v>
      </c>
      <c r="B1835" s="12">
        <f t="shared" si="84"/>
        <v>1</v>
      </c>
      <c r="C1835" s="12">
        <f t="shared" si="85"/>
        <v>2008</v>
      </c>
      <c r="D1835" s="13">
        <v>16750</v>
      </c>
      <c r="E1835" s="13">
        <v>24.5063</v>
      </c>
      <c r="F1835" s="13">
        <f t="shared" si="86"/>
        <v>683.49771283302664</v>
      </c>
    </row>
    <row r="1836" spans="1:6" x14ac:dyDescent="0.25">
      <c r="A1836" s="10">
        <v>39469</v>
      </c>
      <c r="B1836" s="12">
        <f t="shared" si="84"/>
        <v>1</v>
      </c>
      <c r="C1836" s="12">
        <f t="shared" si="85"/>
        <v>2008</v>
      </c>
      <c r="D1836" s="13">
        <v>16850</v>
      </c>
      <c r="E1836" s="13">
        <v>24.657</v>
      </c>
      <c r="F1836" s="13">
        <f t="shared" si="86"/>
        <v>683.37591758932558</v>
      </c>
    </row>
    <row r="1837" spans="1:6" x14ac:dyDescent="0.25">
      <c r="A1837" s="10">
        <v>39470</v>
      </c>
      <c r="B1837" s="12">
        <f t="shared" si="84"/>
        <v>1</v>
      </c>
      <c r="C1837" s="12">
        <f t="shared" si="85"/>
        <v>2008</v>
      </c>
      <c r="D1837" s="13">
        <v>16850</v>
      </c>
      <c r="E1837" s="13">
        <v>24.7257</v>
      </c>
      <c r="F1837" s="13">
        <f t="shared" si="86"/>
        <v>681.47716748160826</v>
      </c>
    </row>
    <row r="1838" spans="1:6" x14ac:dyDescent="0.25">
      <c r="A1838" s="10">
        <v>39471</v>
      </c>
      <c r="B1838" s="12">
        <f t="shared" si="84"/>
        <v>1</v>
      </c>
      <c r="C1838" s="12">
        <f t="shared" si="85"/>
        <v>2008</v>
      </c>
      <c r="D1838" s="13">
        <v>16850</v>
      </c>
      <c r="E1838" s="13">
        <v>24.4848</v>
      </c>
      <c r="F1838" s="13">
        <f t="shared" si="86"/>
        <v>688.18205580605115</v>
      </c>
    </row>
    <row r="1839" spans="1:6" x14ac:dyDescent="0.25">
      <c r="A1839" s="10">
        <v>39472</v>
      </c>
      <c r="B1839" s="12">
        <f t="shared" si="84"/>
        <v>1</v>
      </c>
      <c r="C1839" s="12">
        <f t="shared" si="85"/>
        <v>2008</v>
      </c>
      <c r="D1839" s="13">
        <v>16850</v>
      </c>
      <c r="E1839" s="13">
        <v>24.489000000000001</v>
      </c>
      <c r="F1839" s="13">
        <f t="shared" si="86"/>
        <v>688.0640287476009</v>
      </c>
    </row>
    <row r="1840" spans="1:6" x14ac:dyDescent="0.25">
      <c r="A1840" s="10">
        <v>39475</v>
      </c>
      <c r="B1840" s="12">
        <f t="shared" si="84"/>
        <v>1</v>
      </c>
      <c r="C1840" s="12">
        <f t="shared" si="85"/>
        <v>2008</v>
      </c>
      <c r="D1840" s="13">
        <v>17250</v>
      </c>
      <c r="E1840" s="13">
        <v>24.4724</v>
      </c>
      <c r="F1840" s="13">
        <f t="shared" si="86"/>
        <v>704.87569670322489</v>
      </c>
    </row>
    <row r="1841" spans="1:6" x14ac:dyDescent="0.25">
      <c r="A1841" s="10">
        <v>39476</v>
      </c>
      <c r="B1841" s="12">
        <f t="shared" si="84"/>
        <v>1</v>
      </c>
      <c r="C1841" s="12">
        <f t="shared" si="85"/>
        <v>2008</v>
      </c>
      <c r="D1841" s="13">
        <v>17250</v>
      </c>
      <c r="E1841" s="13">
        <v>24.4862</v>
      </c>
      <c r="F1841" s="13">
        <f t="shared" si="86"/>
        <v>704.47844091774141</v>
      </c>
    </row>
    <row r="1842" spans="1:6" x14ac:dyDescent="0.25">
      <c r="A1842" s="10">
        <v>39477</v>
      </c>
      <c r="B1842" s="12">
        <f t="shared" si="84"/>
        <v>1</v>
      </c>
      <c r="C1842" s="12">
        <f t="shared" si="85"/>
        <v>2008</v>
      </c>
      <c r="D1842" s="13">
        <v>17250</v>
      </c>
      <c r="E1842" s="13">
        <v>24.474799999999998</v>
      </c>
      <c r="F1842" s="13">
        <f t="shared" si="86"/>
        <v>704.80657656038056</v>
      </c>
    </row>
    <row r="1843" spans="1:6" x14ac:dyDescent="0.25">
      <c r="A1843" s="10">
        <v>39478</v>
      </c>
      <c r="B1843" s="12">
        <f t="shared" si="84"/>
        <v>1</v>
      </c>
      <c r="C1843" s="12">
        <f t="shared" si="85"/>
        <v>2008</v>
      </c>
      <c r="D1843" s="13">
        <v>17250</v>
      </c>
      <c r="E1843" s="13">
        <v>24.444900000000001</v>
      </c>
      <c r="F1843" s="13">
        <f t="shared" si="86"/>
        <v>705.66866708393161</v>
      </c>
    </row>
    <row r="1844" spans="1:6" x14ac:dyDescent="0.25">
      <c r="A1844" s="10">
        <v>39479</v>
      </c>
      <c r="B1844" s="12">
        <f t="shared" si="84"/>
        <v>2</v>
      </c>
      <c r="C1844" s="12">
        <f t="shared" si="85"/>
        <v>2008</v>
      </c>
      <c r="D1844" s="13">
        <v>17250</v>
      </c>
      <c r="E1844" s="13">
        <v>24.4772</v>
      </c>
      <c r="F1844" s="13">
        <f t="shared" si="86"/>
        <v>704.73746997205558</v>
      </c>
    </row>
    <row r="1845" spans="1:6" x14ac:dyDescent="0.25">
      <c r="A1845" s="10">
        <v>39482</v>
      </c>
      <c r="B1845" s="12">
        <f t="shared" si="84"/>
        <v>2</v>
      </c>
      <c r="C1845" s="12">
        <f t="shared" si="85"/>
        <v>2008</v>
      </c>
      <c r="D1845" s="13">
        <v>18250</v>
      </c>
      <c r="E1845" s="13">
        <v>24.4818</v>
      </c>
      <c r="F1845" s="13">
        <f t="shared" si="86"/>
        <v>745.45172332099764</v>
      </c>
    </row>
    <row r="1846" spans="1:6" x14ac:dyDescent="0.25">
      <c r="A1846" s="10">
        <v>39483</v>
      </c>
      <c r="B1846" s="12">
        <f t="shared" si="84"/>
        <v>2</v>
      </c>
      <c r="C1846" s="12">
        <f t="shared" si="85"/>
        <v>2008</v>
      </c>
      <c r="D1846" s="13">
        <v>18250</v>
      </c>
      <c r="E1846" s="13">
        <v>24.6249</v>
      </c>
      <c r="F1846" s="13">
        <f t="shared" si="86"/>
        <v>741.11976089243001</v>
      </c>
    </row>
    <row r="1847" spans="1:6" x14ac:dyDescent="0.25">
      <c r="A1847" s="10">
        <v>39484</v>
      </c>
      <c r="B1847" s="12">
        <f t="shared" si="84"/>
        <v>2</v>
      </c>
      <c r="C1847" s="12">
        <f t="shared" si="85"/>
        <v>2008</v>
      </c>
      <c r="D1847" s="13">
        <v>18250</v>
      </c>
      <c r="E1847" s="13">
        <v>24.633500000000002</v>
      </c>
      <c r="F1847" s="13">
        <f t="shared" si="86"/>
        <v>740.86102259118672</v>
      </c>
    </row>
    <row r="1848" spans="1:6" x14ac:dyDescent="0.25">
      <c r="A1848" s="10">
        <v>39485</v>
      </c>
      <c r="B1848" s="12">
        <f t="shared" si="84"/>
        <v>2</v>
      </c>
      <c r="C1848" s="12">
        <f t="shared" si="85"/>
        <v>2008</v>
      </c>
      <c r="D1848" s="13">
        <v>18250</v>
      </c>
      <c r="E1848" s="13">
        <v>24.782</v>
      </c>
      <c r="F1848" s="13">
        <f t="shared" si="86"/>
        <v>736.42159631990967</v>
      </c>
    </row>
    <row r="1849" spans="1:6" x14ac:dyDescent="0.25">
      <c r="A1849" s="10">
        <v>39486</v>
      </c>
      <c r="B1849" s="12">
        <f t="shared" si="84"/>
        <v>2</v>
      </c>
      <c r="C1849" s="12">
        <f t="shared" si="85"/>
        <v>2008</v>
      </c>
      <c r="D1849" s="13">
        <v>18250</v>
      </c>
      <c r="E1849" s="13">
        <v>24.748000000000001</v>
      </c>
      <c r="F1849" s="13">
        <f t="shared" si="86"/>
        <v>737.43332794569255</v>
      </c>
    </row>
    <row r="1850" spans="1:6" x14ac:dyDescent="0.25">
      <c r="A1850" s="10">
        <v>39489</v>
      </c>
      <c r="B1850" s="12">
        <f t="shared" si="84"/>
        <v>2</v>
      </c>
      <c r="C1850" s="12">
        <f t="shared" si="85"/>
        <v>2008</v>
      </c>
      <c r="D1850" s="13">
        <v>18300</v>
      </c>
      <c r="E1850" s="13">
        <v>24.702500000000001</v>
      </c>
      <c r="F1850" s="13">
        <f t="shared" si="86"/>
        <v>740.81570691225579</v>
      </c>
    </row>
    <row r="1851" spans="1:6" x14ac:dyDescent="0.25">
      <c r="A1851" s="10">
        <v>39490</v>
      </c>
      <c r="B1851" s="12">
        <f t="shared" si="84"/>
        <v>2</v>
      </c>
      <c r="C1851" s="12">
        <f t="shared" si="85"/>
        <v>2008</v>
      </c>
      <c r="D1851" s="13">
        <v>18300</v>
      </c>
      <c r="E1851" s="13">
        <v>24.620999999999999</v>
      </c>
      <c r="F1851" s="13">
        <f t="shared" si="86"/>
        <v>743.26794200073107</v>
      </c>
    </row>
    <row r="1852" spans="1:6" x14ac:dyDescent="0.25">
      <c r="A1852" s="10">
        <v>39491</v>
      </c>
      <c r="B1852" s="12">
        <f t="shared" si="84"/>
        <v>2</v>
      </c>
      <c r="C1852" s="12">
        <f t="shared" si="85"/>
        <v>2008</v>
      </c>
      <c r="D1852" s="13">
        <v>18300</v>
      </c>
      <c r="E1852" s="13">
        <v>24.659099999999999</v>
      </c>
      <c r="F1852" s="13">
        <f t="shared" si="86"/>
        <v>742.1195420757449</v>
      </c>
    </row>
    <row r="1853" spans="1:6" x14ac:dyDescent="0.25">
      <c r="A1853" s="10">
        <v>39492</v>
      </c>
      <c r="B1853" s="12">
        <f t="shared" si="84"/>
        <v>2</v>
      </c>
      <c r="C1853" s="12">
        <f t="shared" si="85"/>
        <v>2008</v>
      </c>
      <c r="D1853" s="13">
        <v>18300</v>
      </c>
      <c r="E1853" s="13">
        <v>24.620899999999999</v>
      </c>
      <c r="F1853" s="13">
        <f t="shared" si="86"/>
        <v>743.27096085033452</v>
      </c>
    </row>
    <row r="1854" spans="1:6" x14ac:dyDescent="0.25">
      <c r="A1854" s="10">
        <v>39493</v>
      </c>
      <c r="B1854" s="12">
        <f t="shared" si="84"/>
        <v>2</v>
      </c>
      <c r="C1854" s="12">
        <f t="shared" si="85"/>
        <v>2008</v>
      </c>
      <c r="D1854" s="13">
        <v>18300</v>
      </c>
      <c r="E1854" s="13">
        <v>24.591799999999999</v>
      </c>
      <c r="F1854" s="13">
        <f t="shared" si="86"/>
        <v>744.15048918745276</v>
      </c>
    </row>
    <row r="1855" spans="1:6" x14ac:dyDescent="0.25">
      <c r="A1855" s="10">
        <v>39497</v>
      </c>
      <c r="B1855" s="12">
        <f t="shared" si="84"/>
        <v>2</v>
      </c>
      <c r="C1855" s="12">
        <f t="shared" si="85"/>
        <v>2008</v>
      </c>
      <c r="D1855" s="13">
        <v>19500</v>
      </c>
      <c r="E1855" s="13">
        <v>24.531300000000002</v>
      </c>
      <c r="F1855" s="13">
        <f t="shared" si="86"/>
        <v>794.90283841459677</v>
      </c>
    </row>
    <row r="1856" spans="1:6" x14ac:dyDescent="0.25">
      <c r="A1856" s="10">
        <v>39498</v>
      </c>
      <c r="B1856" s="12">
        <f t="shared" si="84"/>
        <v>2</v>
      </c>
      <c r="C1856" s="12">
        <f t="shared" si="85"/>
        <v>2008</v>
      </c>
      <c r="D1856" s="13">
        <v>19500</v>
      </c>
      <c r="E1856" s="13">
        <v>24.564</v>
      </c>
      <c r="F1856" s="13">
        <f t="shared" si="86"/>
        <v>793.8446507083537</v>
      </c>
    </row>
    <row r="1857" spans="1:6" x14ac:dyDescent="0.25">
      <c r="A1857" s="10">
        <v>39499</v>
      </c>
      <c r="B1857" s="12">
        <f t="shared" si="84"/>
        <v>2</v>
      </c>
      <c r="C1857" s="12">
        <f t="shared" si="85"/>
        <v>2008</v>
      </c>
      <c r="D1857" s="13">
        <v>19500</v>
      </c>
      <c r="E1857" s="13">
        <v>24.474499999999999</v>
      </c>
      <c r="F1857" s="13">
        <f t="shared" si="86"/>
        <v>796.74763529387735</v>
      </c>
    </row>
    <row r="1858" spans="1:6" x14ac:dyDescent="0.25">
      <c r="A1858" s="10">
        <v>39500</v>
      </c>
      <c r="B1858" s="12">
        <f t="shared" si="84"/>
        <v>2</v>
      </c>
      <c r="C1858" s="12">
        <f t="shared" si="85"/>
        <v>2008</v>
      </c>
      <c r="D1858" s="13">
        <v>19500</v>
      </c>
      <c r="E1858" s="13">
        <v>24.446100000000001</v>
      </c>
      <c r="F1858" s="13">
        <f t="shared" si="86"/>
        <v>797.67324849362467</v>
      </c>
    </row>
    <row r="1859" spans="1:6" x14ac:dyDescent="0.25">
      <c r="A1859" s="10">
        <v>39503</v>
      </c>
      <c r="B1859" s="12">
        <f t="shared" ref="B1859:B1922" si="87">MONTH(A1859)</f>
        <v>2</v>
      </c>
      <c r="C1859" s="12">
        <f t="shared" ref="C1859:C1922" si="88">YEAR(A1859)</f>
        <v>2008</v>
      </c>
      <c r="D1859" s="13">
        <v>19900</v>
      </c>
      <c r="E1859" s="13">
        <v>24.436499999999999</v>
      </c>
      <c r="F1859" s="13">
        <f t="shared" ref="F1859:F1922" si="89">IF(D1859="","",D1859/E1859)</f>
        <v>814.35557465267129</v>
      </c>
    </row>
    <row r="1860" spans="1:6" x14ac:dyDescent="0.25">
      <c r="A1860" s="10">
        <v>39504</v>
      </c>
      <c r="B1860" s="12">
        <f t="shared" si="87"/>
        <v>2</v>
      </c>
      <c r="C1860" s="12">
        <f t="shared" si="88"/>
        <v>2008</v>
      </c>
      <c r="D1860" s="13">
        <v>19900</v>
      </c>
      <c r="E1860" s="13">
        <v>24.304400000000001</v>
      </c>
      <c r="F1860" s="13">
        <f t="shared" si="89"/>
        <v>818.78178436826249</v>
      </c>
    </row>
    <row r="1861" spans="1:6" x14ac:dyDescent="0.25">
      <c r="A1861" s="10">
        <v>39505</v>
      </c>
      <c r="B1861" s="12">
        <f t="shared" si="87"/>
        <v>2</v>
      </c>
      <c r="C1861" s="12">
        <f t="shared" si="88"/>
        <v>2008</v>
      </c>
      <c r="D1861" s="13">
        <v>19900</v>
      </c>
      <c r="E1861" s="13">
        <v>24.091100000000001</v>
      </c>
      <c r="F1861" s="13">
        <f t="shared" si="89"/>
        <v>826.03118994151362</v>
      </c>
    </row>
    <row r="1862" spans="1:6" x14ac:dyDescent="0.25">
      <c r="A1862" s="10">
        <v>39506</v>
      </c>
      <c r="B1862" s="12">
        <f t="shared" si="87"/>
        <v>2</v>
      </c>
      <c r="C1862" s="12">
        <f t="shared" si="88"/>
        <v>2008</v>
      </c>
      <c r="D1862" s="13">
        <v>19900</v>
      </c>
      <c r="E1862" s="13">
        <v>23.979299999999999</v>
      </c>
      <c r="F1862" s="13">
        <f t="shared" si="89"/>
        <v>829.88244027140081</v>
      </c>
    </row>
    <row r="1863" spans="1:6" x14ac:dyDescent="0.25">
      <c r="A1863" s="10">
        <v>39507</v>
      </c>
      <c r="B1863" s="12">
        <f t="shared" si="87"/>
        <v>2</v>
      </c>
      <c r="C1863" s="12">
        <f t="shared" si="88"/>
        <v>2008</v>
      </c>
      <c r="D1863" s="13">
        <v>19900</v>
      </c>
      <c r="E1863" s="13">
        <v>24.018000000000001</v>
      </c>
      <c r="F1863" s="13">
        <f t="shared" si="89"/>
        <v>828.54525772337411</v>
      </c>
    </row>
    <row r="1864" spans="1:6" x14ac:dyDescent="0.25">
      <c r="A1864" s="10">
        <v>39510</v>
      </c>
      <c r="B1864" s="12">
        <f t="shared" si="87"/>
        <v>3</v>
      </c>
      <c r="C1864" s="12">
        <f t="shared" si="88"/>
        <v>2008</v>
      </c>
      <c r="D1864" s="13">
        <v>20500</v>
      </c>
      <c r="E1864" s="13">
        <v>24.0366</v>
      </c>
      <c r="F1864" s="13">
        <f t="shared" si="89"/>
        <v>852.86604594659809</v>
      </c>
    </row>
    <row r="1865" spans="1:6" x14ac:dyDescent="0.25">
      <c r="A1865" s="10">
        <v>39511</v>
      </c>
      <c r="B1865" s="12">
        <f t="shared" si="87"/>
        <v>3</v>
      </c>
      <c r="C1865" s="12">
        <f t="shared" si="88"/>
        <v>2008</v>
      </c>
      <c r="D1865" s="13">
        <v>20500</v>
      </c>
      <c r="E1865" s="13">
        <v>23.9971</v>
      </c>
      <c r="F1865" s="13">
        <f t="shared" si="89"/>
        <v>854.26989094515591</v>
      </c>
    </row>
    <row r="1866" spans="1:6" x14ac:dyDescent="0.25">
      <c r="A1866" s="10">
        <v>39512</v>
      </c>
      <c r="B1866" s="12">
        <f t="shared" si="87"/>
        <v>3</v>
      </c>
      <c r="C1866" s="12">
        <f t="shared" si="88"/>
        <v>2008</v>
      </c>
      <c r="D1866" s="13">
        <v>20500</v>
      </c>
      <c r="E1866" s="13">
        <v>23.934100000000001</v>
      </c>
      <c r="F1866" s="13">
        <f t="shared" si="89"/>
        <v>856.51852377987893</v>
      </c>
    </row>
    <row r="1867" spans="1:6" x14ac:dyDescent="0.25">
      <c r="A1867" s="10">
        <v>39513</v>
      </c>
      <c r="B1867" s="12">
        <f t="shared" si="87"/>
        <v>3</v>
      </c>
      <c r="C1867" s="12">
        <f t="shared" si="88"/>
        <v>2008</v>
      </c>
      <c r="D1867" s="13">
        <v>20500</v>
      </c>
      <c r="E1867" s="13">
        <v>23.832899999999999</v>
      </c>
      <c r="F1867" s="13">
        <f t="shared" si="89"/>
        <v>860.15549933075715</v>
      </c>
    </row>
    <row r="1868" spans="1:6" x14ac:dyDescent="0.25">
      <c r="A1868" s="10">
        <v>39514</v>
      </c>
      <c r="B1868" s="12">
        <f t="shared" si="87"/>
        <v>3</v>
      </c>
      <c r="C1868" s="12">
        <f t="shared" si="88"/>
        <v>2008</v>
      </c>
      <c r="D1868" s="13">
        <v>20500</v>
      </c>
      <c r="E1868" s="13">
        <v>23.863</v>
      </c>
      <c r="F1868" s="13">
        <f t="shared" si="89"/>
        <v>859.07052759502164</v>
      </c>
    </row>
    <row r="1869" spans="1:6" x14ac:dyDescent="0.25">
      <c r="A1869" s="10">
        <v>39517</v>
      </c>
      <c r="B1869" s="12">
        <f t="shared" si="87"/>
        <v>3</v>
      </c>
      <c r="C1869" s="12">
        <f t="shared" si="88"/>
        <v>2008</v>
      </c>
      <c r="D1869" s="13">
        <v>21500</v>
      </c>
      <c r="E1869" s="13">
        <v>23.8736</v>
      </c>
      <c r="F1869" s="13">
        <f t="shared" si="89"/>
        <v>900.57636887608066</v>
      </c>
    </row>
    <row r="1870" spans="1:6" x14ac:dyDescent="0.25">
      <c r="A1870" s="10">
        <v>39518</v>
      </c>
      <c r="B1870" s="12">
        <f t="shared" si="87"/>
        <v>3</v>
      </c>
      <c r="C1870" s="12">
        <f t="shared" si="88"/>
        <v>2008</v>
      </c>
      <c r="D1870" s="13">
        <v>21500</v>
      </c>
      <c r="E1870" s="13">
        <v>23.881499999999999</v>
      </c>
      <c r="F1870" s="13">
        <f t="shared" si="89"/>
        <v>900.2784582207986</v>
      </c>
    </row>
    <row r="1871" spans="1:6" x14ac:dyDescent="0.25">
      <c r="A1871" s="10">
        <v>39519</v>
      </c>
      <c r="B1871" s="12">
        <f t="shared" si="87"/>
        <v>3</v>
      </c>
      <c r="C1871" s="12">
        <f t="shared" si="88"/>
        <v>2008</v>
      </c>
      <c r="D1871" s="13">
        <v>21500</v>
      </c>
      <c r="E1871" s="13">
        <v>23.715</v>
      </c>
      <c r="F1871" s="13">
        <f t="shared" si="89"/>
        <v>906.59919881931273</v>
      </c>
    </row>
    <row r="1872" spans="1:6" x14ac:dyDescent="0.25">
      <c r="A1872" s="10">
        <v>39520</v>
      </c>
      <c r="B1872" s="12">
        <f t="shared" si="87"/>
        <v>3</v>
      </c>
      <c r="C1872" s="12">
        <f t="shared" si="88"/>
        <v>2008</v>
      </c>
      <c r="D1872" s="13">
        <v>21500</v>
      </c>
      <c r="E1872" s="13">
        <v>23.6722</v>
      </c>
      <c r="F1872" s="13">
        <f t="shared" si="89"/>
        <v>908.2383555394091</v>
      </c>
    </row>
    <row r="1873" spans="1:6" x14ac:dyDescent="0.25">
      <c r="A1873" s="10">
        <v>39521</v>
      </c>
      <c r="B1873" s="12">
        <f t="shared" si="87"/>
        <v>3</v>
      </c>
      <c r="C1873" s="12">
        <f t="shared" si="88"/>
        <v>2008</v>
      </c>
      <c r="D1873" s="13">
        <v>21500</v>
      </c>
      <c r="E1873" s="13">
        <v>23.610199999999999</v>
      </c>
      <c r="F1873" s="13">
        <f t="shared" si="89"/>
        <v>910.62337464316272</v>
      </c>
    </row>
    <row r="1874" spans="1:6" x14ac:dyDescent="0.25">
      <c r="A1874" s="10">
        <v>39524</v>
      </c>
      <c r="B1874" s="12">
        <f t="shared" si="87"/>
        <v>3</v>
      </c>
      <c r="C1874" s="12">
        <f t="shared" si="88"/>
        <v>2008</v>
      </c>
      <c r="D1874" s="13">
        <v>22250</v>
      </c>
      <c r="E1874" s="13">
        <v>23.544699999999999</v>
      </c>
      <c r="F1874" s="13">
        <f t="shared" si="89"/>
        <v>945.01097911631916</v>
      </c>
    </row>
    <row r="1875" spans="1:6" x14ac:dyDescent="0.25">
      <c r="A1875" s="10">
        <v>39525</v>
      </c>
      <c r="B1875" s="12">
        <f t="shared" si="87"/>
        <v>3</v>
      </c>
      <c r="C1875" s="12">
        <f t="shared" si="88"/>
        <v>2008</v>
      </c>
      <c r="D1875" s="13">
        <v>22250</v>
      </c>
      <c r="E1875" s="13">
        <v>23.485199999999999</v>
      </c>
      <c r="F1875" s="13">
        <f t="shared" si="89"/>
        <v>947.40517432255217</v>
      </c>
    </row>
    <row r="1876" spans="1:6" x14ac:dyDescent="0.25">
      <c r="A1876" s="10">
        <v>39526</v>
      </c>
      <c r="B1876" s="12">
        <f t="shared" si="87"/>
        <v>3</v>
      </c>
      <c r="C1876" s="12">
        <f t="shared" si="88"/>
        <v>2008</v>
      </c>
      <c r="D1876" s="13">
        <v>22250</v>
      </c>
      <c r="E1876" s="13">
        <v>23.5947</v>
      </c>
      <c r="F1876" s="13">
        <f t="shared" si="89"/>
        <v>943.00838747684861</v>
      </c>
    </row>
    <row r="1877" spans="1:6" x14ac:dyDescent="0.25">
      <c r="A1877" s="10">
        <v>39527</v>
      </c>
      <c r="B1877" s="12">
        <f t="shared" si="87"/>
        <v>3</v>
      </c>
      <c r="C1877" s="12">
        <f t="shared" si="88"/>
        <v>2008</v>
      </c>
      <c r="D1877" s="13">
        <v>22250</v>
      </c>
      <c r="E1877" s="13">
        <v>23.7743</v>
      </c>
      <c r="F1877" s="13">
        <f t="shared" si="89"/>
        <v>935.88454759971899</v>
      </c>
    </row>
    <row r="1878" spans="1:6" x14ac:dyDescent="0.25">
      <c r="A1878" s="10">
        <v>39531</v>
      </c>
      <c r="B1878" s="12">
        <f t="shared" si="87"/>
        <v>3</v>
      </c>
      <c r="C1878" s="12">
        <f t="shared" si="88"/>
        <v>2008</v>
      </c>
      <c r="D1878" s="13">
        <v>22500</v>
      </c>
      <c r="E1878" s="13">
        <v>23.8063</v>
      </c>
      <c r="F1878" s="13">
        <f t="shared" si="89"/>
        <v>945.12797032718231</v>
      </c>
    </row>
    <row r="1879" spans="1:6" x14ac:dyDescent="0.25">
      <c r="A1879" s="10">
        <v>39532</v>
      </c>
      <c r="B1879" s="12">
        <f t="shared" si="87"/>
        <v>3</v>
      </c>
      <c r="C1879" s="12">
        <f t="shared" si="88"/>
        <v>2008</v>
      </c>
      <c r="D1879" s="13">
        <v>22500</v>
      </c>
      <c r="E1879" s="13">
        <v>23.6629</v>
      </c>
      <c r="F1879" s="13">
        <f t="shared" si="89"/>
        <v>950.85555870159612</v>
      </c>
    </row>
    <row r="1880" spans="1:6" x14ac:dyDescent="0.25">
      <c r="A1880" s="10">
        <v>39533</v>
      </c>
      <c r="B1880" s="12">
        <f t="shared" si="87"/>
        <v>3</v>
      </c>
      <c r="C1880" s="12">
        <f t="shared" si="88"/>
        <v>2008</v>
      </c>
      <c r="D1880" s="13">
        <v>22500</v>
      </c>
      <c r="E1880" s="13">
        <v>23.489000000000001</v>
      </c>
      <c r="F1880" s="13">
        <f t="shared" si="89"/>
        <v>957.89518498020345</v>
      </c>
    </row>
    <row r="1881" spans="1:6" x14ac:dyDescent="0.25">
      <c r="A1881" s="10">
        <v>39534</v>
      </c>
      <c r="B1881" s="12">
        <f t="shared" si="87"/>
        <v>3</v>
      </c>
      <c r="C1881" s="12">
        <f t="shared" si="88"/>
        <v>2008</v>
      </c>
      <c r="D1881" s="13">
        <v>22500</v>
      </c>
      <c r="E1881" s="13">
        <v>23.475899999999999</v>
      </c>
      <c r="F1881" s="13">
        <f t="shared" si="89"/>
        <v>958.42970876515915</v>
      </c>
    </row>
    <row r="1882" spans="1:6" x14ac:dyDescent="0.25">
      <c r="A1882" s="10">
        <v>39535</v>
      </c>
      <c r="B1882" s="12">
        <f t="shared" si="87"/>
        <v>3</v>
      </c>
      <c r="C1882" s="12">
        <f t="shared" si="88"/>
        <v>2008</v>
      </c>
      <c r="D1882" s="13">
        <v>22500</v>
      </c>
      <c r="E1882" s="13">
        <v>23.515799999999999</v>
      </c>
      <c r="F1882" s="13">
        <f t="shared" si="89"/>
        <v>956.80351083101584</v>
      </c>
    </row>
    <row r="1883" spans="1:6" x14ac:dyDescent="0.25">
      <c r="A1883" s="10">
        <v>39538</v>
      </c>
      <c r="B1883" s="12">
        <f t="shared" si="87"/>
        <v>3</v>
      </c>
      <c r="C1883" s="12">
        <f t="shared" si="88"/>
        <v>2008</v>
      </c>
      <c r="D1883" s="13">
        <v>23000</v>
      </c>
      <c r="E1883" s="13">
        <v>23.486000000000001</v>
      </c>
      <c r="F1883" s="13">
        <f t="shared" si="89"/>
        <v>979.30682108490157</v>
      </c>
    </row>
    <row r="1884" spans="1:6" x14ac:dyDescent="0.25">
      <c r="A1884" s="10">
        <v>39539</v>
      </c>
      <c r="B1884" s="12">
        <f t="shared" si="87"/>
        <v>4</v>
      </c>
      <c r="C1884" s="12">
        <f t="shared" si="88"/>
        <v>2008</v>
      </c>
      <c r="D1884" s="13">
        <v>23000</v>
      </c>
      <c r="E1884" s="13">
        <v>23.648099999999999</v>
      </c>
      <c r="F1884" s="13">
        <f t="shared" si="89"/>
        <v>972.59399275206044</v>
      </c>
    </row>
    <row r="1885" spans="1:6" x14ac:dyDescent="0.25">
      <c r="A1885" s="10">
        <v>39540</v>
      </c>
      <c r="B1885" s="12">
        <f t="shared" si="87"/>
        <v>4</v>
      </c>
      <c r="C1885" s="12">
        <f t="shared" si="88"/>
        <v>2008</v>
      </c>
      <c r="D1885" s="13">
        <v>23000</v>
      </c>
      <c r="E1885" s="13">
        <v>23.585999999999999</v>
      </c>
      <c r="F1885" s="13">
        <f t="shared" si="89"/>
        <v>975.15475281946919</v>
      </c>
    </row>
    <row r="1886" spans="1:6" x14ac:dyDescent="0.25">
      <c r="A1886" s="10">
        <v>39541</v>
      </c>
      <c r="B1886" s="12">
        <f t="shared" si="87"/>
        <v>4</v>
      </c>
      <c r="C1886" s="12">
        <f t="shared" si="88"/>
        <v>2008</v>
      </c>
      <c r="D1886" s="13">
        <v>23000</v>
      </c>
      <c r="E1886" s="13">
        <v>23.589300000000001</v>
      </c>
      <c r="F1886" s="13">
        <f t="shared" si="89"/>
        <v>975.01833458390024</v>
      </c>
    </row>
    <row r="1887" spans="1:6" x14ac:dyDescent="0.25">
      <c r="A1887" s="10">
        <v>39542</v>
      </c>
      <c r="B1887" s="12">
        <f t="shared" si="87"/>
        <v>4</v>
      </c>
      <c r="C1887" s="12">
        <f t="shared" si="88"/>
        <v>2008</v>
      </c>
      <c r="D1887" s="13">
        <v>23000</v>
      </c>
      <c r="E1887" s="13">
        <v>23.564599999999999</v>
      </c>
      <c r="F1887" s="13">
        <f t="shared" si="89"/>
        <v>976.04033168396666</v>
      </c>
    </row>
    <row r="1888" spans="1:6" x14ac:dyDescent="0.25">
      <c r="A1888" s="10">
        <v>39545</v>
      </c>
      <c r="B1888" s="12">
        <f t="shared" si="87"/>
        <v>4</v>
      </c>
      <c r="C1888" s="12">
        <f t="shared" si="88"/>
        <v>2008</v>
      </c>
      <c r="D1888" s="13">
        <v>23500</v>
      </c>
      <c r="E1888" s="13">
        <v>23.5627</v>
      </c>
      <c r="F1888" s="13">
        <f t="shared" si="89"/>
        <v>997.33901462905362</v>
      </c>
    </row>
    <row r="1889" spans="1:6" x14ac:dyDescent="0.25">
      <c r="A1889" s="10">
        <v>39546</v>
      </c>
      <c r="B1889" s="12">
        <f t="shared" si="87"/>
        <v>4</v>
      </c>
      <c r="C1889" s="12">
        <f t="shared" si="88"/>
        <v>2008</v>
      </c>
      <c r="D1889" s="13">
        <v>23500</v>
      </c>
      <c r="E1889" s="13">
        <v>23.562000000000001</v>
      </c>
      <c r="F1889" s="13">
        <f t="shared" si="89"/>
        <v>997.36864442746787</v>
      </c>
    </row>
    <row r="1890" spans="1:6" x14ac:dyDescent="0.25">
      <c r="A1890" s="10">
        <v>39547</v>
      </c>
      <c r="B1890" s="12">
        <f t="shared" si="87"/>
        <v>4</v>
      </c>
      <c r="C1890" s="12">
        <f t="shared" si="88"/>
        <v>2008</v>
      </c>
      <c r="D1890" s="13">
        <v>23500</v>
      </c>
      <c r="E1890" s="13">
        <v>23.450099999999999</v>
      </c>
      <c r="F1890" s="13">
        <f t="shared" si="89"/>
        <v>1002.1279226954257</v>
      </c>
    </row>
    <row r="1891" spans="1:6" x14ac:dyDescent="0.25">
      <c r="A1891" s="10">
        <v>39548</v>
      </c>
      <c r="B1891" s="12">
        <f t="shared" si="87"/>
        <v>4</v>
      </c>
      <c r="C1891" s="12">
        <f t="shared" si="88"/>
        <v>2008</v>
      </c>
      <c r="D1891" s="13">
        <v>23500</v>
      </c>
      <c r="E1891" s="13">
        <v>23.538699999999999</v>
      </c>
      <c r="F1891" s="13">
        <f t="shared" si="89"/>
        <v>998.35589900886634</v>
      </c>
    </row>
    <row r="1892" spans="1:6" x14ac:dyDescent="0.25">
      <c r="A1892" s="10">
        <v>39549</v>
      </c>
      <c r="B1892" s="12">
        <f t="shared" si="87"/>
        <v>4</v>
      </c>
      <c r="C1892" s="12">
        <f t="shared" si="88"/>
        <v>2008</v>
      </c>
      <c r="D1892" s="13">
        <v>23500</v>
      </c>
      <c r="E1892" s="13">
        <v>23.476099999999999</v>
      </c>
      <c r="F1892" s="13">
        <f t="shared" si="89"/>
        <v>1001.0180566618817</v>
      </c>
    </row>
    <row r="1893" spans="1:6" x14ac:dyDescent="0.25">
      <c r="A1893" s="10">
        <v>39552</v>
      </c>
      <c r="B1893" s="12">
        <f t="shared" si="87"/>
        <v>4</v>
      </c>
      <c r="C1893" s="12">
        <f t="shared" si="88"/>
        <v>2008</v>
      </c>
      <c r="D1893" s="13">
        <v>24500</v>
      </c>
      <c r="E1893" s="13">
        <v>23.457999999999998</v>
      </c>
      <c r="F1893" s="13">
        <f t="shared" si="89"/>
        <v>1044.4198141359025</v>
      </c>
    </row>
    <row r="1894" spans="1:6" x14ac:dyDescent="0.25">
      <c r="A1894" s="10">
        <v>39553</v>
      </c>
      <c r="B1894" s="12">
        <f t="shared" si="87"/>
        <v>4</v>
      </c>
      <c r="C1894" s="12">
        <f t="shared" si="88"/>
        <v>2008</v>
      </c>
      <c r="D1894" s="13">
        <v>24500</v>
      </c>
      <c r="E1894" s="13">
        <v>23.504899999999999</v>
      </c>
      <c r="F1894" s="13">
        <f t="shared" si="89"/>
        <v>1042.3358533752537</v>
      </c>
    </row>
    <row r="1895" spans="1:6" x14ac:dyDescent="0.25">
      <c r="A1895" s="10">
        <v>39554</v>
      </c>
      <c r="B1895" s="12">
        <f t="shared" si="87"/>
        <v>4</v>
      </c>
      <c r="C1895" s="12">
        <f t="shared" si="88"/>
        <v>2008</v>
      </c>
      <c r="D1895" s="13">
        <v>24500</v>
      </c>
      <c r="E1895" s="13">
        <v>23.3477</v>
      </c>
      <c r="F1895" s="13">
        <f t="shared" si="89"/>
        <v>1049.3538978143458</v>
      </c>
    </row>
    <row r="1896" spans="1:6" x14ac:dyDescent="0.25">
      <c r="A1896" s="10">
        <v>39555</v>
      </c>
      <c r="B1896" s="12">
        <f t="shared" si="87"/>
        <v>4</v>
      </c>
      <c r="C1896" s="12">
        <f t="shared" si="88"/>
        <v>2008</v>
      </c>
      <c r="D1896" s="13">
        <v>24500</v>
      </c>
      <c r="E1896" s="13">
        <v>23.408799999999999</v>
      </c>
      <c r="F1896" s="13">
        <f t="shared" si="89"/>
        <v>1046.6149482245994</v>
      </c>
    </row>
    <row r="1897" spans="1:6" x14ac:dyDescent="0.25">
      <c r="A1897" s="10">
        <v>39556</v>
      </c>
      <c r="B1897" s="12">
        <f t="shared" si="87"/>
        <v>4</v>
      </c>
      <c r="C1897" s="12">
        <f t="shared" si="88"/>
        <v>2008</v>
      </c>
      <c r="D1897" s="13">
        <v>24500</v>
      </c>
      <c r="E1897" s="13">
        <v>23.499400000000001</v>
      </c>
      <c r="F1897" s="13">
        <f t="shared" si="89"/>
        <v>1042.5798105483543</v>
      </c>
    </row>
    <row r="1898" spans="1:6" x14ac:dyDescent="0.25">
      <c r="A1898" s="10">
        <v>39559</v>
      </c>
      <c r="B1898" s="12">
        <f t="shared" si="87"/>
        <v>4</v>
      </c>
      <c r="C1898" s="12">
        <f t="shared" si="88"/>
        <v>2008</v>
      </c>
      <c r="D1898" s="13">
        <v>24500</v>
      </c>
      <c r="E1898" s="13">
        <v>23.407399999999999</v>
      </c>
      <c r="F1898" s="13">
        <f t="shared" si="89"/>
        <v>1046.677546416945</v>
      </c>
    </row>
    <row r="1899" spans="1:6" x14ac:dyDescent="0.25">
      <c r="A1899" s="10">
        <v>39560</v>
      </c>
      <c r="B1899" s="12">
        <f t="shared" si="87"/>
        <v>4</v>
      </c>
      <c r="C1899" s="12">
        <f t="shared" si="88"/>
        <v>2008</v>
      </c>
      <c r="D1899" s="13">
        <v>24500</v>
      </c>
      <c r="E1899" s="13">
        <v>23.313199999999998</v>
      </c>
      <c r="F1899" s="13">
        <f t="shared" si="89"/>
        <v>1050.9067824236913</v>
      </c>
    </row>
    <row r="1900" spans="1:6" x14ac:dyDescent="0.25">
      <c r="A1900" s="10">
        <v>39561</v>
      </c>
      <c r="B1900" s="12">
        <f t="shared" si="87"/>
        <v>4</v>
      </c>
      <c r="C1900" s="12">
        <f t="shared" si="88"/>
        <v>2008</v>
      </c>
      <c r="D1900" s="13">
        <v>24500</v>
      </c>
      <c r="E1900" s="13">
        <v>23.395700000000001</v>
      </c>
      <c r="F1900" s="13">
        <f t="shared" si="89"/>
        <v>1047.2009813769196</v>
      </c>
    </row>
    <row r="1901" spans="1:6" x14ac:dyDescent="0.25">
      <c r="A1901" s="10">
        <v>39562</v>
      </c>
      <c r="B1901" s="12">
        <f t="shared" si="87"/>
        <v>4</v>
      </c>
      <c r="C1901" s="12">
        <f t="shared" si="88"/>
        <v>2008</v>
      </c>
      <c r="D1901" s="13">
        <v>24500</v>
      </c>
      <c r="E1901" s="13">
        <v>23.591899999999999</v>
      </c>
      <c r="F1901" s="13">
        <f t="shared" si="89"/>
        <v>1038.4920248051239</v>
      </c>
    </row>
    <row r="1902" spans="1:6" x14ac:dyDescent="0.25">
      <c r="A1902" s="10">
        <v>39563</v>
      </c>
      <c r="B1902" s="12">
        <f t="shared" si="87"/>
        <v>4</v>
      </c>
      <c r="C1902" s="12">
        <f t="shared" si="88"/>
        <v>2008</v>
      </c>
      <c r="D1902" s="13">
        <v>24500</v>
      </c>
      <c r="E1902" s="13">
        <v>23.636099999999999</v>
      </c>
      <c r="F1902" s="13">
        <f t="shared" si="89"/>
        <v>1036.5500230579496</v>
      </c>
    </row>
    <row r="1903" spans="1:6" x14ac:dyDescent="0.25">
      <c r="A1903" s="10">
        <v>39566</v>
      </c>
      <c r="B1903" s="12">
        <f t="shared" si="87"/>
        <v>4</v>
      </c>
      <c r="C1903" s="12">
        <f t="shared" si="88"/>
        <v>2008</v>
      </c>
      <c r="E1903" s="13">
        <v>23.616199999999999</v>
      </c>
      <c r="F1903" s="13" t="str">
        <f t="shared" si="89"/>
        <v/>
      </c>
    </row>
    <row r="1904" spans="1:6" x14ac:dyDescent="0.25">
      <c r="A1904" s="10">
        <v>39567</v>
      </c>
      <c r="B1904" s="12">
        <f t="shared" si="87"/>
        <v>4</v>
      </c>
      <c r="C1904" s="12">
        <f t="shared" si="88"/>
        <v>2008</v>
      </c>
      <c r="E1904" s="13">
        <v>23.665099999999999</v>
      </c>
      <c r="F1904" s="13" t="str">
        <f t="shared" si="89"/>
        <v/>
      </c>
    </row>
    <row r="1905" spans="1:6" x14ac:dyDescent="0.25">
      <c r="A1905" s="10">
        <v>39568</v>
      </c>
      <c r="B1905" s="12">
        <f t="shared" si="87"/>
        <v>4</v>
      </c>
      <c r="C1905" s="12">
        <f t="shared" si="88"/>
        <v>2008</v>
      </c>
      <c r="E1905" s="13">
        <v>23.678999999999998</v>
      </c>
      <c r="F1905" s="13" t="str">
        <f t="shared" si="89"/>
        <v/>
      </c>
    </row>
    <row r="1906" spans="1:6" x14ac:dyDescent="0.25">
      <c r="A1906" s="10">
        <v>39569</v>
      </c>
      <c r="B1906" s="12">
        <f t="shared" si="87"/>
        <v>5</v>
      </c>
      <c r="C1906" s="12">
        <f t="shared" si="88"/>
        <v>2008</v>
      </c>
      <c r="E1906" s="13">
        <v>23.781300000000002</v>
      </c>
      <c r="F1906" s="13" t="str">
        <f t="shared" si="89"/>
        <v/>
      </c>
    </row>
    <row r="1907" spans="1:6" x14ac:dyDescent="0.25">
      <c r="A1907" s="10">
        <v>39570</v>
      </c>
      <c r="B1907" s="12">
        <f t="shared" si="87"/>
        <v>5</v>
      </c>
      <c r="C1907" s="12">
        <f t="shared" si="88"/>
        <v>2008</v>
      </c>
      <c r="E1907" s="13">
        <v>23.8066</v>
      </c>
      <c r="F1907" s="13" t="str">
        <f t="shared" si="89"/>
        <v/>
      </c>
    </row>
    <row r="1908" spans="1:6" x14ac:dyDescent="0.25">
      <c r="A1908" s="10">
        <v>39573</v>
      </c>
      <c r="B1908" s="12">
        <f t="shared" si="87"/>
        <v>5</v>
      </c>
      <c r="C1908" s="12">
        <f t="shared" si="88"/>
        <v>2008</v>
      </c>
      <c r="D1908" s="13">
        <v>24500</v>
      </c>
      <c r="E1908" s="13">
        <v>23.715800000000002</v>
      </c>
      <c r="F1908" s="13">
        <f t="shared" si="89"/>
        <v>1033.0665632194571</v>
      </c>
    </row>
    <row r="1909" spans="1:6" x14ac:dyDescent="0.25">
      <c r="A1909" s="10">
        <v>39574</v>
      </c>
      <c r="B1909" s="12">
        <f t="shared" si="87"/>
        <v>5</v>
      </c>
      <c r="C1909" s="12">
        <f t="shared" si="88"/>
        <v>2008</v>
      </c>
      <c r="D1909" s="13">
        <v>24500</v>
      </c>
      <c r="E1909" s="13">
        <v>23.707799999999999</v>
      </c>
      <c r="F1909" s="13">
        <f t="shared" si="89"/>
        <v>1033.4151629421542</v>
      </c>
    </row>
    <row r="1910" spans="1:6" x14ac:dyDescent="0.25">
      <c r="A1910" s="10">
        <v>39575</v>
      </c>
      <c r="B1910" s="12">
        <f t="shared" si="87"/>
        <v>5</v>
      </c>
      <c r="C1910" s="12">
        <f t="shared" si="88"/>
        <v>2008</v>
      </c>
      <c r="D1910" s="13">
        <v>24500</v>
      </c>
      <c r="E1910" s="13">
        <v>23.821400000000001</v>
      </c>
      <c r="F1910" s="13">
        <f t="shared" si="89"/>
        <v>1028.4869906890442</v>
      </c>
    </row>
    <row r="1911" spans="1:6" x14ac:dyDescent="0.25">
      <c r="A1911" s="10">
        <v>39576</v>
      </c>
      <c r="B1911" s="12">
        <f t="shared" si="87"/>
        <v>5</v>
      </c>
      <c r="C1911" s="12">
        <f t="shared" si="88"/>
        <v>2008</v>
      </c>
      <c r="D1911" s="13">
        <v>24500</v>
      </c>
      <c r="E1911" s="13">
        <v>23.819700000000001</v>
      </c>
      <c r="F1911" s="13">
        <f t="shared" si="89"/>
        <v>1028.5603932879087</v>
      </c>
    </row>
    <row r="1912" spans="1:6" x14ac:dyDescent="0.25">
      <c r="A1912" s="10">
        <v>39577</v>
      </c>
      <c r="B1912" s="12">
        <f t="shared" si="87"/>
        <v>5</v>
      </c>
      <c r="C1912" s="12">
        <f t="shared" si="88"/>
        <v>2008</v>
      </c>
      <c r="D1912" s="13">
        <v>24500</v>
      </c>
      <c r="E1912" s="13">
        <v>23.764399999999998</v>
      </c>
      <c r="F1912" s="13">
        <f t="shared" si="89"/>
        <v>1030.9538637626029</v>
      </c>
    </row>
    <row r="1913" spans="1:6" x14ac:dyDescent="0.25">
      <c r="A1913" s="10">
        <v>39580</v>
      </c>
      <c r="B1913" s="12">
        <f t="shared" si="87"/>
        <v>5</v>
      </c>
      <c r="C1913" s="12">
        <f t="shared" si="88"/>
        <v>2008</v>
      </c>
      <c r="D1913" s="13">
        <v>24000</v>
      </c>
      <c r="E1913" s="13">
        <v>23.688099999999999</v>
      </c>
      <c r="F1913" s="13">
        <f t="shared" si="89"/>
        <v>1013.1669488055185</v>
      </c>
    </row>
    <row r="1914" spans="1:6" x14ac:dyDescent="0.25">
      <c r="A1914" s="10">
        <v>39581</v>
      </c>
      <c r="B1914" s="12">
        <f t="shared" si="87"/>
        <v>5</v>
      </c>
      <c r="C1914" s="12">
        <f t="shared" si="88"/>
        <v>2008</v>
      </c>
      <c r="D1914" s="13">
        <v>24000</v>
      </c>
      <c r="E1914" s="13">
        <v>23.808800000000002</v>
      </c>
      <c r="F1914" s="13">
        <f t="shared" si="89"/>
        <v>1008.0306441315815</v>
      </c>
    </row>
    <row r="1915" spans="1:6" x14ac:dyDescent="0.25">
      <c r="A1915" s="10">
        <v>39582</v>
      </c>
      <c r="B1915" s="12">
        <f t="shared" si="87"/>
        <v>5</v>
      </c>
      <c r="C1915" s="12">
        <f t="shared" si="88"/>
        <v>2008</v>
      </c>
      <c r="D1915" s="13">
        <v>24000</v>
      </c>
      <c r="E1915" s="13">
        <v>23.8764</v>
      </c>
      <c r="F1915" s="13">
        <f t="shared" si="89"/>
        <v>1005.1766597979595</v>
      </c>
    </row>
    <row r="1916" spans="1:6" x14ac:dyDescent="0.25">
      <c r="A1916" s="10">
        <v>39583</v>
      </c>
      <c r="B1916" s="12">
        <f t="shared" si="87"/>
        <v>5</v>
      </c>
      <c r="C1916" s="12">
        <f t="shared" si="88"/>
        <v>2008</v>
      </c>
      <c r="D1916" s="13">
        <v>24000</v>
      </c>
      <c r="E1916" s="13">
        <v>23.901199999999999</v>
      </c>
      <c r="F1916" s="13">
        <f t="shared" si="89"/>
        <v>1004.1336836644185</v>
      </c>
    </row>
    <row r="1917" spans="1:6" x14ac:dyDescent="0.25">
      <c r="A1917" s="10">
        <v>39584</v>
      </c>
      <c r="B1917" s="12">
        <f t="shared" si="87"/>
        <v>5</v>
      </c>
      <c r="C1917" s="12">
        <f t="shared" si="88"/>
        <v>2008</v>
      </c>
      <c r="D1917" s="13">
        <v>24000</v>
      </c>
      <c r="E1917" s="13">
        <v>23.7104</v>
      </c>
      <c r="F1917" s="13">
        <f t="shared" si="89"/>
        <v>1012.2140495310075</v>
      </c>
    </row>
    <row r="1918" spans="1:6" x14ac:dyDescent="0.25">
      <c r="A1918" s="10">
        <v>39587</v>
      </c>
      <c r="B1918" s="12">
        <f t="shared" si="87"/>
        <v>5</v>
      </c>
      <c r="C1918" s="12">
        <f t="shared" si="88"/>
        <v>2008</v>
      </c>
      <c r="D1918" s="13">
        <v>22000</v>
      </c>
      <c r="E1918" s="13">
        <v>23.781700000000001</v>
      </c>
      <c r="F1918" s="13">
        <f t="shared" si="89"/>
        <v>925.08104971469652</v>
      </c>
    </row>
    <row r="1919" spans="1:6" x14ac:dyDescent="0.25">
      <c r="A1919" s="10">
        <v>39588</v>
      </c>
      <c r="B1919" s="12">
        <f t="shared" si="87"/>
        <v>5</v>
      </c>
      <c r="C1919" s="12">
        <f t="shared" si="88"/>
        <v>2008</v>
      </c>
      <c r="D1919" s="13">
        <v>22000</v>
      </c>
      <c r="E1919" s="13">
        <v>23.694299999999998</v>
      </c>
      <c r="F1919" s="13">
        <f t="shared" si="89"/>
        <v>928.49335072148165</v>
      </c>
    </row>
    <row r="1920" spans="1:6" x14ac:dyDescent="0.25">
      <c r="A1920" s="10">
        <v>39589</v>
      </c>
      <c r="B1920" s="12">
        <f t="shared" si="87"/>
        <v>5</v>
      </c>
      <c r="C1920" s="12">
        <f t="shared" si="88"/>
        <v>2008</v>
      </c>
      <c r="D1920" s="13">
        <v>22000</v>
      </c>
      <c r="E1920" s="13">
        <v>23.555</v>
      </c>
      <c r="F1920" s="13">
        <f t="shared" si="89"/>
        <v>933.98429208236041</v>
      </c>
    </row>
    <row r="1921" spans="1:6" x14ac:dyDescent="0.25">
      <c r="A1921" s="10">
        <v>39590</v>
      </c>
      <c r="B1921" s="12">
        <f t="shared" si="87"/>
        <v>5</v>
      </c>
      <c r="C1921" s="12">
        <f t="shared" si="88"/>
        <v>2008</v>
      </c>
      <c r="D1921" s="13">
        <v>22000</v>
      </c>
      <c r="E1921" s="13">
        <v>23.602399999999999</v>
      </c>
      <c r="F1921" s="13">
        <f t="shared" si="89"/>
        <v>932.10859912551268</v>
      </c>
    </row>
    <row r="1922" spans="1:6" x14ac:dyDescent="0.25">
      <c r="A1922" s="10">
        <v>39591</v>
      </c>
      <c r="B1922" s="12">
        <f t="shared" si="87"/>
        <v>5</v>
      </c>
      <c r="C1922" s="12">
        <f t="shared" si="88"/>
        <v>2008</v>
      </c>
      <c r="D1922" s="13">
        <v>22000</v>
      </c>
      <c r="E1922" s="13">
        <v>23.560600000000001</v>
      </c>
      <c r="F1922" s="13">
        <f t="shared" si="89"/>
        <v>933.76229807390303</v>
      </c>
    </row>
    <row r="1923" spans="1:6" x14ac:dyDescent="0.25">
      <c r="A1923" s="10">
        <v>39595</v>
      </c>
      <c r="B1923" s="12">
        <f t="shared" ref="B1923:B1986" si="90">MONTH(A1923)</f>
        <v>5</v>
      </c>
      <c r="C1923" s="12">
        <f t="shared" ref="C1923:C1986" si="91">YEAR(A1923)</f>
        <v>2008</v>
      </c>
      <c r="D1923" s="13">
        <v>20750</v>
      </c>
      <c r="E1923" s="13">
        <v>23.626999999999999</v>
      </c>
      <c r="F1923" s="13">
        <f t="shared" ref="F1923:F1986" si="92">IF(D1923="","",D1923/E1923)</f>
        <v>878.2325305794219</v>
      </c>
    </row>
    <row r="1924" spans="1:6" x14ac:dyDescent="0.25">
      <c r="A1924" s="10">
        <v>39596</v>
      </c>
      <c r="B1924" s="12">
        <f t="shared" si="90"/>
        <v>5</v>
      </c>
      <c r="C1924" s="12">
        <f t="shared" si="91"/>
        <v>2008</v>
      </c>
      <c r="D1924" s="13">
        <v>20750</v>
      </c>
      <c r="E1924" s="13">
        <v>23.616800000000001</v>
      </c>
      <c r="F1924" s="13">
        <f t="shared" si="92"/>
        <v>878.61183564242401</v>
      </c>
    </row>
    <row r="1925" spans="1:6" x14ac:dyDescent="0.25">
      <c r="A1925" s="10">
        <v>39597</v>
      </c>
      <c r="B1925" s="12">
        <f t="shared" si="90"/>
        <v>5</v>
      </c>
      <c r="C1925" s="12">
        <f t="shared" si="91"/>
        <v>2008</v>
      </c>
      <c r="D1925" s="13">
        <v>20750</v>
      </c>
      <c r="E1925" s="13">
        <v>23.713699999999999</v>
      </c>
      <c r="F1925" s="13">
        <f t="shared" si="92"/>
        <v>875.02161197957298</v>
      </c>
    </row>
    <row r="1926" spans="1:6" x14ac:dyDescent="0.25">
      <c r="A1926" s="10">
        <v>39598</v>
      </c>
      <c r="B1926" s="12">
        <f t="shared" si="90"/>
        <v>5</v>
      </c>
      <c r="C1926" s="12">
        <f t="shared" si="91"/>
        <v>2008</v>
      </c>
      <c r="D1926" s="13">
        <v>20750</v>
      </c>
      <c r="E1926" s="13">
        <v>23.685300000000002</v>
      </c>
      <c r="F1926" s="13">
        <f t="shared" si="92"/>
        <v>876.0708118537658</v>
      </c>
    </row>
    <row r="1927" spans="1:6" x14ac:dyDescent="0.25">
      <c r="A1927" s="10">
        <v>39601</v>
      </c>
      <c r="B1927" s="12">
        <f t="shared" si="90"/>
        <v>6</v>
      </c>
      <c r="C1927" s="12">
        <f t="shared" si="91"/>
        <v>2008</v>
      </c>
      <c r="D1927" s="13">
        <v>19250</v>
      </c>
      <c r="E1927" s="13">
        <v>23.705400000000001</v>
      </c>
      <c r="F1927" s="13">
        <f t="shared" si="92"/>
        <v>812.05126258152143</v>
      </c>
    </row>
    <row r="1928" spans="1:6" x14ac:dyDescent="0.25">
      <c r="A1928" s="10">
        <v>39602</v>
      </c>
      <c r="B1928" s="12">
        <f t="shared" si="90"/>
        <v>6</v>
      </c>
      <c r="C1928" s="12">
        <f t="shared" si="91"/>
        <v>2008</v>
      </c>
      <c r="D1928" s="13">
        <v>19250</v>
      </c>
      <c r="E1928" s="13">
        <v>23.795100000000001</v>
      </c>
      <c r="F1928" s="13">
        <f t="shared" si="92"/>
        <v>808.99008619421636</v>
      </c>
    </row>
    <row r="1929" spans="1:6" x14ac:dyDescent="0.25">
      <c r="A1929" s="10">
        <v>39603</v>
      </c>
      <c r="B1929" s="12">
        <f t="shared" si="90"/>
        <v>6</v>
      </c>
      <c r="C1929" s="12">
        <f t="shared" si="91"/>
        <v>2008</v>
      </c>
      <c r="D1929" s="13">
        <v>19250</v>
      </c>
      <c r="E1929" s="13">
        <v>23.785</v>
      </c>
      <c r="F1929" s="13">
        <f t="shared" si="92"/>
        <v>809.33361362203073</v>
      </c>
    </row>
    <row r="1930" spans="1:6" x14ac:dyDescent="0.25">
      <c r="A1930" s="10">
        <v>39604</v>
      </c>
      <c r="B1930" s="12">
        <f t="shared" si="90"/>
        <v>6</v>
      </c>
      <c r="C1930" s="12">
        <f t="shared" si="91"/>
        <v>2008</v>
      </c>
      <c r="D1930" s="13">
        <v>19250</v>
      </c>
      <c r="E1930" s="13">
        <v>23.678000000000001</v>
      </c>
      <c r="F1930" s="13">
        <f t="shared" si="92"/>
        <v>812.99096207449952</v>
      </c>
    </row>
    <row r="1931" spans="1:6" x14ac:dyDescent="0.25">
      <c r="A1931" s="10">
        <v>39605</v>
      </c>
      <c r="B1931" s="12">
        <f t="shared" si="90"/>
        <v>6</v>
      </c>
      <c r="C1931" s="12">
        <f t="shared" si="91"/>
        <v>2008</v>
      </c>
      <c r="D1931" s="13">
        <v>19250</v>
      </c>
      <c r="E1931" s="13">
        <v>23.534800000000001</v>
      </c>
      <c r="F1931" s="13">
        <f t="shared" si="92"/>
        <v>817.93769226847053</v>
      </c>
    </row>
    <row r="1932" spans="1:6" x14ac:dyDescent="0.25">
      <c r="A1932" s="10">
        <v>39608</v>
      </c>
      <c r="B1932" s="12">
        <f t="shared" si="90"/>
        <v>6</v>
      </c>
      <c r="C1932" s="12">
        <f t="shared" si="91"/>
        <v>2008</v>
      </c>
      <c r="E1932" s="13">
        <v>23.652200000000001</v>
      </c>
      <c r="F1932" s="13" t="str">
        <f t="shared" si="92"/>
        <v/>
      </c>
    </row>
    <row r="1933" spans="1:6" x14ac:dyDescent="0.25">
      <c r="A1933" s="10">
        <v>39609</v>
      </c>
      <c r="B1933" s="12">
        <f t="shared" si="90"/>
        <v>6</v>
      </c>
      <c r="C1933" s="12">
        <f t="shared" si="91"/>
        <v>2008</v>
      </c>
      <c r="E1933" s="13">
        <v>23.705100000000002</v>
      </c>
      <c r="F1933" s="13" t="str">
        <f t="shared" si="92"/>
        <v/>
      </c>
    </row>
    <row r="1934" spans="1:6" x14ac:dyDescent="0.25">
      <c r="A1934" s="10">
        <v>39610</v>
      </c>
      <c r="B1934" s="12">
        <f t="shared" si="90"/>
        <v>6</v>
      </c>
      <c r="C1934" s="12">
        <f t="shared" si="91"/>
        <v>2008</v>
      </c>
      <c r="E1934" s="13">
        <v>23.628900000000002</v>
      </c>
      <c r="F1934" s="13" t="str">
        <f t="shared" si="92"/>
        <v/>
      </c>
    </row>
    <row r="1935" spans="1:6" x14ac:dyDescent="0.25">
      <c r="A1935" s="10">
        <v>39611</v>
      </c>
      <c r="B1935" s="12">
        <f t="shared" si="90"/>
        <v>6</v>
      </c>
      <c r="C1935" s="12">
        <f t="shared" si="91"/>
        <v>2008</v>
      </c>
      <c r="E1935" s="13">
        <v>23.739000000000001</v>
      </c>
      <c r="F1935" s="13" t="str">
        <f t="shared" si="92"/>
        <v/>
      </c>
    </row>
    <row r="1936" spans="1:6" x14ac:dyDescent="0.25">
      <c r="A1936" s="10">
        <v>39612</v>
      </c>
      <c r="B1936" s="12">
        <f t="shared" si="90"/>
        <v>6</v>
      </c>
      <c r="C1936" s="12">
        <f t="shared" si="91"/>
        <v>2008</v>
      </c>
      <c r="E1936" s="13">
        <v>23.790099999999999</v>
      </c>
      <c r="F1936" s="13" t="str">
        <f t="shared" si="92"/>
        <v/>
      </c>
    </row>
    <row r="1937" spans="1:6" x14ac:dyDescent="0.25">
      <c r="A1937" s="10">
        <v>39615</v>
      </c>
      <c r="B1937" s="12">
        <f t="shared" si="90"/>
        <v>6</v>
      </c>
      <c r="C1937" s="12">
        <f t="shared" si="91"/>
        <v>2008</v>
      </c>
      <c r="D1937" s="13">
        <v>17500</v>
      </c>
      <c r="E1937" s="13">
        <v>23.684000000000001</v>
      </c>
      <c r="F1937" s="13">
        <f t="shared" si="92"/>
        <v>738.89545684850532</v>
      </c>
    </row>
    <row r="1938" spans="1:6" x14ac:dyDescent="0.25">
      <c r="A1938" s="10">
        <v>39616</v>
      </c>
      <c r="B1938" s="12">
        <f t="shared" si="90"/>
        <v>6</v>
      </c>
      <c r="C1938" s="12">
        <f t="shared" si="91"/>
        <v>2008</v>
      </c>
      <c r="D1938" s="13">
        <v>17500</v>
      </c>
      <c r="E1938" s="13">
        <v>23.6464</v>
      </c>
      <c r="F1938" s="13">
        <f t="shared" si="92"/>
        <v>740.07037011976456</v>
      </c>
    </row>
    <row r="1939" spans="1:6" x14ac:dyDescent="0.25">
      <c r="A1939" s="10">
        <v>39617</v>
      </c>
      <c r="B1939" s="12">
        <f t="shared" si="90"/>
        <v>6</v>
      </c>
      <c r="C1939" s="12">
        <f t="shared" si="91"/>
        <v>2008</v>
      </c>
      <c r="D1939" s="13">
        <v>17500</v>
      </c>
      <c r="E1939" s="13">
        <v>23.622499999999999</v>
      </c>
      <c r="F1939" s="13">
        <f t="shared" si="92"/>
        <v>740.81913429992596</v>
      </c>
    </row>
    <row r="1940" spans="1:6" x14ac:dyDescent="0.25">
      <c r="A1940" s="10">
        <v>39618</v>
      </c>
      <c r="B1940" s="12">
        <f t="shared" si="90"/>
        <v>6</v>
      </c>
      <c r="C1940" s="12">
        <f t="shared" si="91"/>
        <v>2008</v>
      </c>
      <c r="D1940" s="13">
        <v>17500</v>
      </c>
      <c r="E1940" s="13">
        <v>23.6494</v>
      </c>
      <c r="F1940" s="13">
        <f t="shared" si="92"/>
        <v>739.97648988980689</v>
      </c>
    </row>
    <row r="1941" spans="1:6" x14ac:dyDescent="0.25">
      <c r="A1941" s="10">
        <v>39619</v>
      </c>
      <c r="B1941" s="12">
        <f t="shared" si="90"/>
        <v>6</v>
      </c>
      <c r="C1941" s="12">
        <f t="shared" si="91"/>
        <v>2008</v>
      </c>
      <c r="D1941" s="13">
        <v>17500</v>
      </c>
      <c r="E1941" s="13">
        <v>23.5608</v>
      </c>
      <c r="F1941" s="13">
        <f t="shared" si="92"/>
        <v>742.75915928151846</v>
      </c>
    </row>
    <row r="1942" spans="1:6" x14ac:dyDescent="0.25">
      <c r="A1942" s="10">
        <v>39622</v>
      </c>
      <c r="B1942" s="12">
        <f t="shared" si="90"/>
        <v>6</v>
      </c>
      <c r="C1942" s="12">
        <f t="shared" si="91"/>
        <v>2008</v>
      </c>
      <c r="D1942" s="13">
        <v>17250</v>
      </c>
      <c r="E1942" s="13">
        <v>23.64</v>
      </c>
      <c r="F1942" s="13">
        <f t="shared" si="92"/>
        <v>729.69543147208117</v>
      </c>
    </row>
    <row r="1943" spans="1:6" x14ac:dyDescent="0.25">
      <c r="A1943" s="10">
        <v>39623</v>
      </c>
      <c r="B1943" s="12">
        <f t="shared" si="90"/>
        <v>6</v>
      </c>
      <c r="C1943" s="12">
        <f t="shared" si="91"/>
        <v>2008</v>
      </c>
      <c r="D1943" s="13">
        <v>17250</v>
      </c>
      <c r="E1943" s="13">
        <v>23.602900000000002</v>
      </c>
      <c r="F1943" s="13">
        <f t="shared" si="92"/>
        <v>730.84239648517757</v>
      </c>
    </row>
    <row r="1944" spans="1:6" x14ac:dyDescent="0.25">
      <c r="A1944" s="10">
        <v>39624</v>
      </c>
      <c r="B1944" s="12">
        <f t="shared" si="90"/>
        <v>6</v>
      </c>
      <c r="C1944" s="12">
        <f t="shared" si="91"/>
        <v>2008</v>
      </c>
      <c r="D1944" s="13">
        <v>17250</v>
      </c>
      <c r="E1944" s="13">
        <v>23.509799999999998</v>
      </c>
      <c r="F1944" s="13">
        <f t="shared" si="92"/>
        <v>733.73656943062042</v>
      </c>
    </row>
    <row r="1945" spans="1:6" x14ac:dyDescent="0.25">
      <c r="A1945" s="10">
        <v>39625</v>
      </c>
      <c r="B1945" s="12">
        <f t="shared" si="90"/>
        <v>6</v>
      </c>
      <c r="C1945" s="12">
        <f t="shared" si="91"/>
        <v>2008</v>
      </c>
      <c r="D1945" s="13">
        <v>17250</v>
      </c>
      <c r="E1945" s="13">
        <v>23.441099999999999</v>
      </c>
      <c r="F1945" s="13">
        <f t="shared" si="92"/>
        <v>735.88696776175186</v>
      </c>
    </row>
    <row r="1946" spans="1:6" x14ac:dyDescent="0.25">
      <c r="A1946" s="10">
        <v>39626</v>
      </c>
      <c r="B1946" s="12">
        <f t="shared" si="90"/>
        <v>6</v>
      </c>
      <c r="C1946" s="12">
        <f t="shared" si="91"/>
        <v>2008</v>
      </c>
      <c r="D1946" s="13">
        <v>17250</v>
      </c>
      <c r="E1946" s="13">
        <v>23.412600000000001</v>
      </c>
      <c r="F1946" s="13">
        <f t="shared" si="92"/>
        <v>736.78275800210145</v>
      </c>
    </row>
    <row r="1947" spans="1:6" x14ac:dyDescent="0.25">
      <c r="A1947" s="10">
        <v>39629</v>
      </c>
      <c r="B1947" s="12">
        <f t="shared" si="90"/>
        <v>6</v>
      </c>
      <c r="C1947" s="12">
        <f t="shared" si="91"/>
        <v>2008</v>
      </c>
      <c r="D1947" s="13">
        <v>16750</v>
      </c>
      <c r="E1947" s="13">
        <v>23.444400000000002</v>
      </c>
      <c r="F1947" s="13">
        <f t="shared" si="92"/>
        <v>714.45633072290184</v>
      </c>
    </row>
    <row r="1948" spans="1:6" x14ac:dyDescent="0.25">
      <c r="A1948" s="10">
        <v>39630</v>
      </c>
      <c r="B1948" s="12">
        <f t="shared" si="90"/>
        <v>7</v>
      </c>
      <c r="C1948" s="12">
        <f t="shared" si="91"/>
        <v>2008</v>
      </c>
      <c r="D1948" s="13">
        <v>16750</v>
      </c>
      <c r="E1948" s="13">
        <v>23.4114</v>
      </c>
      <c r="F1948" s="13">
        <f t="shared" si="92"/>
        <v>715.46340671638598</v>
      </c>
    </row>
    <row r="1949" spans="1:6" x14ac:dyDescent="0.25">
      <c r="A1949" s="10">
        <v>39631</v>
      </c>
      <c r="B1949" s="12">
        <f t="shared" si="90"/>
        <v>7</v>
      </c>
      <c r="C1949" s="12">
        <f t="shared" si="91"/>
        <v>2008</v>
      </c>
      <c r="D1949" s="13">
        <v>16750</v>
      </c>
      <c r="E1949" s="13">
        <v>23.367799999999999</v>
      </c>
      <c r="F1949" s="13">
        <f t="shared" si="92"/>
        <v>716.79832932496856</v>
      </c>
    </row>
    <row r="1950" spans="1:6" x14ac:dyDescent="0.25">
      <c r="A1950" s="10">
        <v>39632</v>
      </c>
      <c r="B1950" s="12">
        <f t="shared" si="90"/>
        <v>7</v>
      </c>
      <c r="C1950" s="12">
        <f t="shared" si="91"/>
        <v>2008</v>
      </c>
      <c r="D1950" s="13">
        <v>16750</v>
      </c>
      <c r="E1950" s="13">
        <v>23.5181</v>
      </c>
      <c r="F1950" s="13">
        <f t="shared" si="92"/>
        <v>712.21739851433574</v>
      </c>
    </row>
    <row r="1951" spans="1:6" x14ac:dyDescent="0.25">
      <c r="A1951" s="10">
        <v>39636</v>
      </c>
      <c r="B1951" s="12">
        <f t="shared" si="90"/>
        <v>7</v>
      </c>
      <c r="C1951" s="12">
        <f t="shared" si="91"/>
        <v>2008</v>
      </c>
      <c r="E1951" s="13">
        <v>23.469799999999999</v>
      </c>
      <c r="F1951" s="13" t="str">
        <f t="shared" si="92"/>
        <v/>
      </c>
    </row>
    <row r="1952" spans="1:6" x14ac:dyDescent="0.25">
      <c r="A1952" s="10">
        <v>39637</v>
      </c>
      <c r="B1952" s="12">
        <f t="shared" si="90"/>
        <v>7</v>
      </c>
      <c r="C1952" s="12">
        <f t="shared" si="91"/>
        <v>2008</v>
      </c>
      <c r="E1952" s="13">
        <v>23.513200000000001</v>
      </c>
      <c r="F1952" s="13" t="str">
        <f t="shared" si="92"/>
        <v/>
      </c>
    </row>
    <row r="1953" spans="1:6" x14ac:dyDescent="0.25">
      <c r="A1953" s="10">
        <v>39638</v>
      </c>
      <c r="B1953" s="12">
        <f t="shared" si="90"/>
        <v>7</v>
      </c>
      <c r="C1953" s="12">
        <f t="shared" si="91"/>
        <v>2008</v>
      </c>
      <c r="E1953" s="13">
        <v>23.419</v>
      </c>
      <c r="F1953" s="13" t="str">
        <f t="shared" si="92"/>
        <v/>
      </c>
    </row>
    <row r="1954" spans="1:6" x14ac:dyDescent="0.25">
      <c r="A1954" s="10">
        <v>39639</v>
      </c>
      <c r="B1954" s="12">
        <f t="shared" si="90"/>
        <v>7</v>
      </c>
      <c r="C1954" s="12">
        <f t="shared" si="91"/>
        <v>2008</v>
      </c>
      <c r="E1954" s="13">
        <v>23.350300000000001</v>
      </c>
      <c r="F1954" s="13" t="str">
        <f t="shared" si="92"/>
        <v/>
      </c>
    </row>
    <row r="1955" spans="1:6" x14ac:dyDescent="0.25">
      <c r="A1955" s="10">
        <v>39640</v>
      </c>
      <c r="B1955" s="12">
        <f t="shared" si="90"/>
        <v>7</v>
      </c>
      <c r="C1955" s="12">
        <f t="shared" si="91"/>
        <v>2008</v>
      </c>
      <c r="E1955" s="13">
        <v>23.247299999999999</v>
      </c>
      <c r="F1955" s="13" t="str">
        <f t="shared" si="92"/>
        <v/>
      </c>
    </row>
    <row r="1956" spans="1:6" x14ac:dyDescent="0.25">
      <c r="A1956" s="10">
        <v>39643</v>
      </c>
      <c r="B1956" s="12">
        <f t="shared" si="90"/>
        <v>7</v>
      </c>
      <c r="C1956" s="12">
        <f t="shared" si="91"/>
        <v>2008</v>
      </c>
      <c r="D1956" s="13">
        <v>16500</v>
      </c>
      <c r="E1956" s="13">
        <v>23.153099999999998</v>
      </c>
      <c r="F1956" s="13">
        <f t="shared" si="92"/>
        <v>712.64755043601076</v>
      </c>
    </row>
    <row r="1957" spans="1:6" x14ac:dyDescent="0.25">
      <c r="A1957" s="10">
        <v>39644</v>
      </c>
      <c r="B1957" s="12">
        <f t="shared" si="90"/>
        <v>7</v>
      </c>
      <c r="C1957" s="12">
        <f t="shared" si="91"/>
        <v>2008</v>
      </c>
      <c r="D1957" s="13">
        <v>16500</v>
      </c>
      <c r="E1957" s="13">
        <v>23.159400000000002</v>
      </c>
      <c r="F1957" s="13">
        <f t="shared" si="92"/>
        <v>712.45369051011676</v>
      </c>
    </row>
    <row r="1958" spans="1:6" x14ac:dyDescent="0.25">
      <c r="A1958" s="10">
        <v>39645</v>
      </c>
      <c r="B1958" s="12">
        <f t="shared" si="90"/>
        <v>7</v>
      </c>
      <c r="C1958" s="12">
        <f t="shared" si="91"/>
        <v>2008</v>
      </c>
      <c r="D1958" s="13">
        <v>16500</v>
      </c>
      <c r="E1958" s="13">
        <v>23.257100000000001</v>
      </c>
      <c r="F1958" s="13">
        <f t="shared" si="92"/>
        <v>709.46076681959482</v>
      </c>
    </row>
    <row r="1959" spans="1:6" x14ac:dyDescent="0.25">
      <c r="A1959" s="10">
        <v>39646</v>
      </c>
      <c r="B1959" s="12">
        <f t="shared" si="90"/>
        <v>7</v>
      </c>
      <c r="C1959" s="12">
        <f t="shared" si="91"/>
        <v>2008</v>
      </c>
      <c r="D1959" s="13">
        <v>16500</v>
      </c>
      <c r="E1959" s="13">
        <v>23.220099999999999</v>
      </c>
      <c r="F1959" s="13">
        <f t="shared" si="92"/>
        <v>710.59125499028858</v>
      </c>
    </row>
    <row r="1960" spans="1:6" x14ac:dyDescent="0.25">
      <c r="A1960" s="10">
        <v>39647</v>
      </c>
      <c r="B1960" s="12">
        <f t="shared" si="90"/>
        <v>7</v>
      </c>
      <c r="C1960" s="12">
        <f t="shared" si="91"/>
        <v>2008</v>
      </c>
      <c r="D1960" s="13">
        <v>16500</v>
      </c>
      <c r="E1960" s="13">
        <v>23.218399999999999</v>
      </c>
      <c r="F1960" s="13">
        <f t="shared" si="92"/>
        <v>710.64328291355139</v>
      </c>
    </row>
    <row r="1961" spans="1:6" x14ac:dyDescent="0.25">
      <c r="A1961" s="10">
        <v>39650</v>
      </c>
      <c r="B1961" s="12">
        <f t="shared" si="90"/>
        <v>7</v>
      </c>
      <c r="C1961" s="12">
        <f t="shared" si="91"/>
        <v>2008</v>
      </c>
      <c r="D1961" s="13">
        <v>16250</v>
      </c>
      <c r="E1961" s="13">
        <v>23.174499999999998</v>
      </c>
      <c r="F1961" s="13">
        <f t="shared" si="92"/>
        <v>701.20175192560794</v>
      </c>
    </row>
    <row r="1962" spans="1:6" x14ac:dyDescent="0.25">
      <c r="A1962" s="10">
        <v>39651</v>
      </c>
      <c r="B1962" s="12">
        <f t="shared" si="90"/>
        <v>7</v>
      </c>
      <c r="C1962" s="12">
        <f t="shared" si="91"/>
        <v>2008</v>
      </c>
      <c r="D1962" s="13">
        <v>16250</v>
      </c>
      <c r="E1962" s="13">
        <v>23.294699999999999</v>
      </c>
      <c r="F1962" s="13">
        <f t="shared" si="92"/>
        <v>697.58357051174733</v>
      </c>
    </row>
    <row r="1963" spans="1:6" x14ac:dyDescent="0.25">
      <c r="A1963" s="10">
        <v>39652</v>
      </c>
      <c r="B1963" s="12">
        <f t="shared" si="90"/>
        <v>7</v>
      </c>
      <c r="C1963" s="12">
        <f t="shared" si="91"/>
        <v>2008</v>
      </c>
      <c r="D1963" s="13">
        <v>16250</v>
      </c>
      <c r="E1963" s="13">
        <v>23.361499999999999</v>
      </c>
      <c r="F1963" s="13">
        <f t="shared" si="92"/>
        <v>695.58889626094219</v>
      </c>
    </row>
    <row r="1964" spans="1:6" x14ac:dyDescent="0.25">
      <c r="A1964" s="10">
        <v>39653</v>
      </c>
      <c r="B1964" s="12">
        <f t="shared" si="90"/>
        <v>7</v>
      </c>
      <c r="C1964" s="12">
        <f t="shared" si="91"/>
        <v>2008</v>
      </c>
      <c r="D1964" s="13">
        <v>16250</v>
      </c>
      <c r="E1964" s="13">
        <v>23.3813</v>
      </c>
      <c r="F1964" s="13">
        <f t="shared" si="92"/>
        <v>694.99985030772461</v>
      </c>
    </row>
    <row r="1965" spans="1:6" x14ac:dyDescent="0.25">
      <c r="A1965" s="10">
        <v>39654</v>
      </c>
      <c r="B1965" s="12">
        <f t="shared" si="90"/>
        <v>7</v>
      </c>
      <c r="C1965" s="12">
        <f t="shared" si="91"/>
        <v>2008</v>
      </c>
      <c r="D1965" s="13">
        <v>16250</v>
      </c>
      <c r="E1965" s="13">
        <v>23.3797</v>
      </c>
      <c r="F1965" s="13">
        <f t="shared" si="92"/>
        <v>695.04741292659878</v>
      </c>
    </row>
    <row r="1966" spans="1:6" x14ac:dyDescent="0.25">
      <c r="A1966" s="10">
        <v>39657</v>
      </c>
      <c r="B1966" s="12">
        <f t="shared" si="90"/>
        <v>7</v>
      </c>
      <c r="C1966" s="12">
        <f t="shared" si="91"/>
        <v>2008</v>
      </c>
      <c r="D1966" s="13">
        <v>15500</v>
      </c>
      <c r="E1966" s="13">
        <v>23.3398</v>
      </c>
      <c r="F1966" s="13">
        <f t="shared" si="92"/>
        <v>664.10166325332693</v>
      </c>
    </row>
    <row r="1967" spans="1:6" x14ac:dyDescent="0.25">
      <c r="A1967" s="10">
        <v>39658</v>
      </c>
      <c r="B1967" s="12">
        <f t="shared" si="90"/>
        <v>7</v>
      </c>
      <c r="C1967" s="12">
        <f t="shared" si="91"/>
        <v>2008</v>
      </c>
      <c r="D1967" s="13">
        <v>15500</v>
      </c>
      <c r="E1967" s="13">
        <v>23.449400000000001</v>
      </c>
      <c r="F1967" s="13">
        <f t="shared" si="92"/>
        <v>660.99772275623252</v>
      </c>
    </row>
    <row r="1968" spans="1:6" x14ac:dyDescent="0.25">
      <c r="A1968" s="10">
        <v>39659</v>
      </c>
      <c r="B1968" s="12">
        <f t="shared" si="90"/>
        <v>7</v>
      </c>
      <c r="C1968" s="12">
        <f t="shared" si="91"/>
        <v>2008</v>
      </c>
      <c r="D1968" s="13">
        <v>15500</v>
      </c>
      <c r="E1968" s="13">
        <v>23.4391</v>
      </c>
      <c r="F1968" s="13">
        <f t="shared" si="92"/>
        <v>661.2881893929374</v>
      </c>
    </row>
    <row r="1969" spans="1:6" x14ac:dyDescent="0.25">
      <c r="A1969" s="10">
        <v>39660</v>
      </c>
      <c r="B1969" s="12">
        <f t="shared" si="90"/>
        <v>7</v>
      </c>
      <c r="C1969" s="12">
        <f t="shared" si="91"/>
        <v>2008</v>
      </c>
      <c r="D1969" s="13">
        <v>15500</v>
      </c>
      <c r="E1969" s="13">
        <v>23.430499999999999</v>
      </c>
      <c r="F1969" s="13">
        <f t="shared" si="92"/>
        <v>661.53091056528888</v>
      </c>
    </row>
    <row r="1970" spans="1:6" x14ac:dyDescent="0.25">
      <c r="A1970" s="10">
        <v>39661</v>
      </c>
      <c r="B1970" s="12">
        <f t="shared" si="90"/>
        <v>8</v>
      </c>
      <c r="C1970" s="12">
        <f t="shared" si="91"/>
        <v>2008</v>
      </c>
      <c r="D1970" s="13">
        <v>15500</v>
      </c>
      <c r="E1970" s="13">
        <v>23.473199999999999</v>
      </c>
      <c r="F1970" s="13">
        <f t="shared" si="92"/>
        <v>660.32752245113579</v>
      </c>
    </row>
    <row r="1971" spans="1:6" x14ac:dyDescent="0.25">
      <c r="A1971" s="10">
        <v>39664</v>
      </c>
      <c r="B1971" s="12">
        <f t="shared" si="90"/>
        <v>8</v>
      </c>
      <c r="C1971" s="12">
        <f t="shared" si="91"/>
        <v>2008</v>
      </c>
      <c r="D1971" s="13">
        <v>15500</v>
      </c>
      <c r="E1971" s="13">
        <v>23.4068</v>
      </c>
      <c r="F1971" s="13">
        <f t="shared" si="92"/>
        <v>662.20072799357445</v>
      </c>
    </row>
    <row r="1972" spans="1:6" x14ac:dyDescent="0.25">
      <c r="A1972" s="10">
        <v>39665</v>
      </c>
      <c r="B1972" s="12">
        <f t="shared" si="90"/>
        <v>8</v>
      </c>
      <c r="C1972" s="12">
        <f t="shared" si="91"/>
        <v>2008</v>
      </c>
      <c r="D1972" s="13">
        <v>15500</v>
      </c>
      <c r="E1972" s="13">
        <v>23.556000000000001</v>
      </c>
      <c r="F1972" s="13">
        <f t="shared" si="92"/>
        <v>658.00645270843938</v>
      </c>
    </row>
    <row r="1973" spans="1:6" x14ac:dyDescent="0.25">
      <c r="A1973" s="10">
        <v>39666</v>
      </c>
      <c r="B1973" s="12">
        <f t="shared" si="90"/>
        <v>8</v>
      </c>
      <c r="C1973" s="12">
        <f t="shared" si="91"/>
        <v>2008</v>
      </c>
      <c r="D1973" s="13">
        <v>15500</v>
      </c>
      <c r="E1973" s="13">
        <v>23.6477</v>
      </c>
      <c r="F1973" s="13">
        <f t="shared" si="92"/>
        <v>655.45486453228011</v>
      </c>
    </row>
    <row r="1974" spans="1:6" x14ac:dyDescent="0.25">
      <c r="A1974" s="10">
        <v>39667</v>
      </c>
      <c r="B1974" s="12">
        <f t="shared" si="90"/>
        <v>8</v>
      </c>
      <c r="C1974" s="12">
        <f t="shared" si="91"/>
        <v>2008</v>
      </c>
      <c r="D1974" s="13">
        <v>15500</v>
      </c>
      <c r="E1974" s="13">
        <v>23.679099999999998</v>
      </c>
      <c r="F1974" s="13">
        <f t="shared" si="92"/>
        <v>654.58568948988773</v>
      </c>
    </row>
    <row r="1975" spans="1:6" x14ac:dyDescent="0.25">
      <c r="A1975" s="10">
        <v>39668</v>
      </c>
      <c r="B1975" s="12">
        <f t="shared" si="90"/>
        <v>8</v>
      </c>
      <c r="C1975" s="12">
        <f t="shared" si="91"/>
        <v>2008</v>
      </c>
      <c r="D1975" s="13">
        <v>15500</v>
      </c>
      <c r="E1975" s="13">
        <v>24.235900000000001</v>
      </c>
      <c r="F1975" s="13">
        <f t="shared" si="92"/>
        <v>639.54711811816355</v>
      </c>
    </row>
    <row r="1976" spans="1:6" x14ac:dyDescent="0.25">
      <c r="A1976" s="10">
        <v>39671</v>
      </c>
      <c r="B1976" s="12">
        <f t="shared" si="90"/>
        <v>8</v>
      </c>
      <c r="C1976" s="12">
        <f t="shared" si="91"/>
        <v>2008</v>
      </c>
      <c r="D1976" s="13">
        <v>15000</v>
      </c>
      <c r="E1976" s="13">
        <v>24.4315</v>
      </c>
      <c r="F1976" s="13">
        <f t="shared" si="92"/>
        <v>613.96148414956099</v>
      </c>
    </row>
    <row r="1977" spans="1:6" x14ac:dyDescent="0.25">
      <c r="A1977" s="10">
        <v>39672</v>
      </c>
      <c r="B1977" s="12">
        <f t="shared" si="90"/>
        <v>8</v>
      </c>
      <c r="C1977" s="12">
        <f t="shared" si="91"/>
        <v>2008</v>
      </c>
      <c r="D1977" s="13">
        <v>15000</v>
      </c>
      <c r="E1977" s="13">
        <v>24.2516</v>
      </c>
      <c r="F1977" s="13">
        <f t="shared" si="92"/>
        <v>618.51589173497837</v>
      </c>
    </row>
    <row r="1978" spans="1:6" x14ac:dyDescent="0.25">
      <c r="A1978" s="10">
        <v>39673</v>
      </c>
      <c r="B1978" s="12">
        <f t="shared" si="90"/>
        <v>8</v>
      </c>
      <c r="C1978" s="12">
        <f t="shared" si="91"/>
        <v>2008</v>
      </c>
      <c r="D1978" s="13">
        <v>15000</v>
      </c>
      <c r="E1978" s="13">
        <v>24.211400000000001</v>
      </c>
      <c r="F1978" s="13">
        <f t="shared" si="92"/>
        <v>619.54285997505303</v>
      </c>
    </row>
    <row r="1979" spans="1:6" x14ac:dyDescent="0.25">
      <c r="A1979" s="10">
        <v>39674</v>
      </c>
      <c r="B1979" s="12">
        <f t="shared" si="90"/>
        <v>8</v>
      </c>
      <c r="C1979" s="12">
        <f t="shared" si="91"/>
        <v>2008</v>
      </c>
      <c r="D1979" s="13">
        <v>15000</v>
      </c>
      <c r="E1979" s="13">
        <v>24.384</v>
      </c>
      <c r="F1979" s="13">
        <f t="shared" si="92"/>
        <v>615.15748031496059</v>
      </c>
    </row>
    <row r="1980" spans="1:6" x14ac:dyDescent="0.25">
      <c r="A1980" s="10">
        <v>39675</v>
      </c>
      <c r="B1980" s="12">
        <f t="shared" si="90"/>
        <v>8</v>
      </c>
      <c r="C1980" s="12">
        <f t="shared" si="91"/>
        <v>2008</v>
      </c>
      <c r="D1980" s="13">
        <v>15000</v>
      </c>
      <c r="E1980" s="13">
        <v>24.604900000000001</v>
      </c>
      <c r="F1980" s="13">
        <f t="shared" si="92"/>
        <v>609.63466626566253</v>
      </c>
    </row>
    <row r="1981" spans="1:6" x14ac:dyDescent="0.25">
      <c r="A1981" s="10">
        <v>39678</v>
      </c>
      <c r="B1981" s="12">
        <f t="shared" si="90"/>
        <v>8</v>
      </c>
      <c r="C1981" s="12">
        <f t="shared" si="91"/>
        <v>2008</v>
      </c>
      <c r="D1981" s="13">
        <v>11500</v>
      </c>
      <c r="E1981" s="13">
        <v>24.548999999999999</v>
      </c>
      <c r="F1981" s="13">
        <f t="shared" si="92"/>
        <v>468.45085339525031</v>
      </c>
    </row>
    <row r="1982" spans="1:6" x14ac:dyDescent="0.25">
      <c r="A1982" s="10">
        <v>39679</v>
      </c>
      <c r="B1982" s="12">
        <f t="shared" si="90"/>
        <v>8</v>
      </c>
      <c r="C1982" s="12">
        <f t="shared" si="91"/>
        <v>2008</v>
      </c>
      <c r="D1982" s="13">
        <v>11500</v>
      </c>
      <c r="E1982" s="13">
        <v>24.4664</v>
      </c>
      <c r="F1982" s="13">
        <f t="shared" si="92"/>
        <v>470.03237092502371</v>
      </c>
    </row>
    <row r="1983" spans="1:6" x14ac:dyDescent="0.25">
      <c r="A1983" s="10">
        <v>39680</v>
      </c>
      <c r="B1983" s="12">
        <f t="shared" si="90"/>
        <v>8</v>
      </c>
      <c r="C1983" s="12">
        <f t="shared" si="91"/>
        <v>2008</v>
      </c>
      <c r="D1983" s="13">
        <v>11500</v>
      </c>
      <c r="E1983" s="13">
        <v>24.396000000000001</v>
      </c>
      <c r="F1983" s="13">
        <f t="shared" si="92"/>
        <v>471.38875225446793</v>
      </c>
    </row>
    <row r="1984" spans="1:6" x14ac:dyDescent="0.25">
      <c r="A1984" s="10">
        <v>39681</v>
      </c>
      <c r="B1984" s="12">
        <f t="shared" si="90"/>
        <v>8</v>
      </c>
      <c r="C1984" s="12">
        <f t="shared" si="91"/>
        <v>2008</v>
      </c>
      <c r="D1984" s="13">
        <v>11500</v>
      </c>
      <c r="E1984" s="13">
        <v>24.277899999999999</v>
      </c>
      <c r="F1984" s="13">
        <f t="shared" si="92"/>
        <v>473.68182585808495</v>
      </c>
    </row>
    <row r="1985" spans="1:6" x14ac:dyDescent="0.25">
      <c r="A1985" s="10">
        <v>39682</v>
      </c>
      <c r="B1985" s="12">
        <f t="shared" si="90"/>
        <v>8</v>
      </c>
      <c r="C1985" s="12">
        <f t="shared" si="91"/>
        <v>2008</v>
      </c>
      <c r="D1985" s="13">
        <v>11500</v>
      </c>
      <c r="E1985" s="13">
        <v>24.380299999999998</v>
      </c>
      <c r="F1985" s="13">
        <f t="shared" si="92"/>
        <v>471.69230895436073</v>
      </c>
    </row>
    <row r="1986" spans="1:6" x14ac:dyDescent="0.25">
      <c r="A1986" s="10">
        <v>39685</v>
      </c>
      <c r="B1986" s="12">
        <f t="shared" si="90"/>
        <v>8</v>
      </c>
      <c r="C1986" s="12">
        <f t="shared" si="91"/>
        <v>2008</v>
      </c>
      <c r="D1986" s="13">
        <v>11000</v>
      </c>
      <c r="E1986" s="13">
        <v>24.438700000000001</v>
      </c>
      <c r="F1986" s="13">
        <f t="shared" si="92"/>
        <v>450.10577485709138</v>
      </c>
    </row>
    <row r="1987" spans="1:6" x14ac:dyDescent="0.25">
      <c r="A1987" s="10">
        <v>39686</v>
      </c>
      <c r="B1987" s="12">
        <f t="shared" ref="B1987:B2050" si="93">MONTH(A1987)</f>
        <v>8</v>
      </c>
      <c r="C1987" s="12">
        <f t="shared" ref="C1987:C2050" si="94">YEAR(A1987)</f>
        <v>2008</v>
      </c>
      <c r="D1987" s="13">
        <v>11000</v>
      </c>
      <c r="E1987" s="13">
        <v>24.67</v>
      </c>
      <c r="F1987" s="13">
        <f t="shared" ref="F1987:F2050" si="95">IF(D1987="","",D1987/E1987)</f>
        <v>445.88569112282119</v>
      </c>
    </row>
    <row r="1988" spans="1:6" x14ac:dyDescent="0.25">
      <c r="A1988" s="10">
        <v>39687</v>
      </c>
      <c r="B1988" s="12">
        <f t="shared" si="93"/>
        <v>8</v>
      </c>
      <c r="C1988" s="12">
        <f t="shared" si="94"/>
        <v>2008</v>
      </c>
      <c r="D1988" s="13">
        <v>11000</v>
      </c>
      <c r="E1988" s="13">
        <v>24.6187</v>
      </c>
      <c r="F1988" s="13">
        <f t="shared" si="95"/>
        <v>446.81481962898124</v>
      </c>
    </row>
    <row r="1989" spans="1:6" x14ac:dyDescent="0.25">
      <c r="A1989" s="10">
        <v>39688</v>
      </c>
      <c r="B1989" s="12">
        <f t="shared" si="93"/>
        <v>8</v>
      </c>
      <c r="C1989" s="12">
        <f t="shared" si="94"/>
        <v>2008</v>
      </c>
      <c r="D1989" s="13">
        <v>11000</v>
      </c>
      <c r="E1989" s="13">
        <v>24.640699999999999</v>
      </c>
      <c r="F1989" s="13">
        <f t="shared" si="95"/>
        <v>446.41588915899308</v>
      </c>
    </row>
    <row r="1990" spans="1:6" x14ac:dyDescent="0.25">
      <c r="A1990" s="10">
        <v>39689</v>
      </c>
      <c r="B1990" s="12">
        <f t="shared" si="93"/>
        <v>8</v>
      </c>
      <c r="C1990" s="12">
        <f t="shared" si="94"/>
        <v>2008</v>
      </c>
      <c r="D1990" s="13">
        <v>11000</v>
      </c>
      <c r="E1990" s="13">
        <v>24.643999999999998</v>
      </c>
      <c r="F1990" s="13">
        <f t="shared" si="95"/>
        <v>446.35611102093822</v>
      </c>
    </row>
    <row r="1991" spans="1:6" x14ac:dyDescent="0.25">
      <c r="A1991" s="10">
        <v>39693</v>
      </c>
      <c r="B1991" s="12">
        <f t="shared" si="93"/>
        <v>9</v>
      </c>
      <c r="C1991" s="12">
        <f t="shared" si="94"/>
        <v>2008</v>
      </c>
      <c r="E1991" s="13">
        <v>24.784600000000001</v>
      </c>
      <c r="F1991" s="13" t="str">
        <f t="shared" si="95"/>
        <v/>
      </c>
    </row>
    <row r="1992" spans="1:6" x14ac:dyDescent="0.25">
      <c r="A1992" s="10">
        <v>39694</v>
      </c>
      <c r="B1992" s="12">
        <f t="shared" si="93"/>
        <v>9</v>
      </c>
      <c r="C1992" s="12">
        <f t="shared" si="94"/>
        <v>2008</v>
      </c>
      <c r="E1992" s="13">
        <v>25.139600000000002</v>
      </c>
      <c r="F1992" s="13" t="str">
        <f t="shared" si="95"/>
        <v/>
      </c>
    </row>
    <row r="1993" spans="1:6" x14ac:dyDescent="0.25">
      <c r="A1993" s="10">
        <v>39695</v>
      </c>
      <c r="B1993" s="12">
        <f t="shared" si="93"/>
        <v>9</v>
      </c>
      <c r="C1993" s="12">
        <f t="shared" si="94"/>
        <v>2008</v>
      </c>
      <c r="E1993" s="13">
        <v>25.4665</v>
      </c>
      <c r="F1993" s="13" t="str">
        <f t="shared" si="95"/>
        <v/>
      </c>
    </row>
    <row r="1994" spans="1:6" x14ac:dyDescent="0.25">
      <c r="A1994" s="10">
        <v>39696</v>
      </c>
      <c r="B1994" s="12">
        <f t="shared" si="93"/>
        <v>9</v>
      </c>
      <c r="C1994" s="12">
        <f t="shared" si="94"/>
        <v>2008</v>
      </c>
      <c r="E1994" s="13">
        <v>25.4785</v>
      </c>
      <c r="F1994" s="13" t="str">
        <f t="shared" si="95"/>
        <v/>
      </c>
    </row>
    <row r="1995" spans="1:6" x14ac:dyDescent="0.25">
      <c r="A1995" s="10">
        <v>39699</v>
      </c>
      <c r="B1995" s="12">
        <f t="shared" si="93"/>
        <v>9</v>
      </c>
      <c r="C1995" s="12">
        <f t="shared" si="94"/>
        <v>2008</v>
      </c>
      <c r="D1995" s="13">
        <v>8850</v>
      </c>
      <c r="E1995" s="13">
        <v>25.551400000000001</v>
      </c>
      <c r="F1995" s="13">
        <f t="shared" si="95"/>
        <v>346.36066908271169</v>
      </c>
    </row>
    <row r="1996" spans="1:6" x14ac:dyDescent="0.25">
      <c r="A1996" s="10">
        <v>39700</v>
      </c>
      <c r="B1996" s="12">
        <f t="shared" si="93"/>
        <v>9</v>
      </c>
      <c r="C1996" s="12">
        <f t="shared" si="94"/>
        <v>2008</v>
      </c>
      <c r="D1996" s="13">
        <v>8850</v>
      </c>
      <c r="E1996" s="13">
        <v>25.584</v>
      </c>
      <c r="F1996" s="13">
        <f t="shared" si="95"/>
        <v>345.91932457786118</v>
      </c>
    </row>
    <row r="1997" spans="1:6" x14ac:dyDescent="0.25">
      <c r="A1997" s="10">
        <v>39701</v>
      </c>
      <c r="B1997" s="12">
        <f t="shared" si="93"/>
        <v>9</v>
      </c>
      <c r="C1997" s="12">
        <f t="shared" si="94"/>
        <v>2008</v>
      </c>
      <c r="D1997" s="13">
        <v>8850</v>
      </c>
      <c r="E1997" s="13">
        <v>25.765999999999998</v>
      </c>
      <c r="F1997" s="13">
        <f t="shared" si="95"/>
        <v>343.47589847085311</v>
      </c>
    </row>
    <row r="1998" spans="1:6" x14ac:dyDescent="0.25">
      <c r="A1998" s="10">
        <v>39702</v>
      </c>
      <c r="B1998" s="12">
        <f t="shared" si="93"/>
        <v>9</v>
      </c>
      <c r="C1998" s="12">
        <f t="shared" si="94"/>
        <v>2008</v>
      </c>
      <c r="D1998" s="13">
        <v>8850</v>
      </c>
      <c r="E1998" s="13">
        <v>25.708500000000001</v>
      </c>
      <c r="F1998" s="13">
        <f t="shared" si="95"/>
        <v>344.24412159402533</v>
      </c>
    </row>
    <row r="1999" spans="1:6" x14ac:dyDescent="0.25">
      <c r="A1999" s="10">
        <v>39703</v>
      </c>
      <c r="B1999" s="12">
        <f t="shared" si="93"/>
        <v>9</v>
      </c>
      <c r="C1999" s="12">
        <f t="shared" si="94"/>
        <v>2008</v>
      </c>
      <c r="D1999" s="13">
        <v>8850</v>
      </c>
      <c r="E1999" s="13">
        <v>25.52</v>
      </c>
      <c r="F1999" s="13">
        <f t="shared" si="95"/>
        <v>346.78683385579939</v>
      </c>
    </row>
    <row r="2000" spans="1:6" x14ac:dyDescent="0.25">
      <c r="A2000" s="10">
        <v>39706</v>
      </c>
      <c r="B2000" s="12">
        <f t="shared" si="93"/>
        <v>9</v>
      </c>
      <c r="C2000" s="12">
        <f t="shared" si="94"/>
        <v>2008</v>
      </c>
      <c r="D2000" s="13">
        <v>8850</v>
      </c>
      <c r="E2000" s="13">
        <v>25.500699999999998</v>
      </c>
      <c r="F2000" s="13">
        <f t="shared" si="95"/>
        <v>347.04929668597333</v>
      </c>
    </row>
    <row r="2001" spans="1:6" x14ac:dyDescent="0.25">
      <c r="A2001" s="10">
        <v>39707</v>
      </c>
      <c r="B2001" s="12">
        <f t="shared" si="93"/>
        <v>9</v>
      </c>
      <c r="C2001" s="12">
        <f t="shared" si="94"/>
        <v>2008</v>
      </c>
      <c r="D2001" s="13">
        <v>8850</v>
      </c>
      <c r="E2001" s="13">
        <v>25.621400000000001</v>
      </c>
      <c r="F2001" s="13">
        <f t="shared" si="95"/>
        <v>345.41438016657946</v>
      </c>
    </row>
    <row r="2002" spans="1:6" x14ac:dyDescent="0.25">
      <c r="A2002" s="10">
        <v>39708</v>
      </c>
      <c r="B2002" s="12">
        <f t="shared" si="93"/>
        <v>9</v>
      </c>
      <c r="C2002" s="12">
        <f t="shared" si="94"/>
        <v>2008</v>
      </c>
      <c r="D2002" s="13">
        <v>8850</v>
      </c>
      <c r="E2002" s="13">
        <v>25.465599999999998</v>
      </c>
      <c r="F2002" s="13">
        <f t="shared" si="95"/>
        <v>347.52764513696911</v>
      </c>
    </row>
    <row r="2003" spans="1:6" x14ac:dyDescent="0.25">
      <c r="A2003" s="10">
        <v>39709</v>
      </c>
      <c r="B2003" s="12">
        <f t="shared" si="93"/>
        <v>9</v>
      </c>
      <c r="C2003" s="12">
        <f t="shared" si="94"/>
        <v>2008</v>
      </c>
      <c r="D2003" s="13">
        <v>8850</v>
      </c>
      <c r="E2003" s="13">
        <v>25.443999999999999</v>
      </c>
      <c r="F2003" s="13">
        <f t="shared" si="95"/>
        <v>347.82266939160513</v>
      </c>
    </row>
    <row r="2004" spans="1:6" x14ac:dyDescent="0.25">
      <c r="A2004" s="10">
        <v>39710</v>
      </c>
      <c r="B2004" s="12">
        <f t="shared" si="93"/>
        <v>9</v>
      </c>
      <c r="C2004" s="12">
        <f t="shared" si="94"/>
        <v>2008</v>
      </c>
      <c r="D2004" s="13">
        <v>8850</v>
      </c>
      <c r="E2004" s="13">
        <v>25.28</v>
      </c>
      <c r="F2004" s="13">
        <f t="shared" si="95"/>
        <v>350.0791139240506</v>
      </c>
    </row>
    <row r="2005" spans="1:6" x14ac:dyDescent="0.25">
      <c r="A2005" s="10">
        <v>39713</v>
      </c>
      <c r="B2005" s="12">
        <f t="shared" si="93"/>
        <v>9</v>
      </c>
      <c r="C2005" s="12">
        <f t="shared" si="94"/>
        <v>2008</v>
      </c>
      <c r="E2005" s="13">
        <v>25.0138</v>
      </c>
      <c r="F2005" s="13" t="str">
        <f t="shared" si="95"/>
        <v/>
      </c>
    </row>
    <row r="2006" spans="1:6" x14ac:dyDescent="0.25">
      <c r="A2006" s="10">
        <v>39714</v>
      </c>
      <c r="B2006" s="12">
        <f t="shared" si="93"/>
        <v>9</v>
      </c>
      <c r="C2006" s="12">
        <f t="shared" si="94"/>
        <v>2008</v>
      </c>
      <c r="E2006" s="13">
        <v>25.097000000000001</v>
      </c>
      <c r="F2006" s="13" t="str">
        <f t="shared" si="95"/>
        <v/>
      </c>
    </row>
    <row r="2007" spans="1:6" x14ac:dyDescent="0.25">
      <c r="A2007" s="10">
        <v>39715</v>
      </c>
      <c r="B2007" s="12">
        <f t="shared" si="93"/>
        <v>9</v>
      </c>
      <c r="C2007" s="12">
        <f t="shared" si="94"/>
        <v>2008</v>
      </c>
      <c r="E2007" s="13">
        <v>25.038699999999999</v>
      </c>
      <c r="F2007" s="13" t="str">
        <f t="shared" si="95"/>
        <v/>
      </c>
    </row>
    <row r="2008" spans="1:6" x14ac:dyDescent="0.25">
      <c r="A2008" s="10">
        <v>39716</v>
      </c>
      <c r="B2008" s="12">
        <f t="shared" si="93"/>
        <v>9</v>
      </c>
      <c r="C2008" s="12">
        <f t="shared" si="94"/>
        <v>2008</v>
      </c>
      <c r="E2008" s="13">
        <v>25.0413</v>
      </c>
      <c r="F2008" s="13" t="str">
        <f t="shared" si="95"/>
        <v/>
      </c>
    </row>
    <row r="2009" spans="1:6" x14ac:dyDescent="0.25">
      <c r="A2009" s="10">
        <v>39717</v>
      </c>
      <c r="B2009" s="12">
        <f t="shared" si="93"/>
        <v>9</v>
      </c>
      <c r="C2009" s="12">
        <f t="shared" si="94"/>
        <v>2008</v>
      </c>
      <c r="E2009" s="13">
        <v>25.037800000000001</v>
      </c>
      <c r="F2009" s="13" t="str">
        <f t="shared" si="95"/>
        <v/>
      </c>
    </row>
    <row r="2010" spans="1:6" x14ac:dyDescent="0.25">
      <c r="A2010" s="10">
        <v>39720</v>
      </c>
      <c r="B2010" s="12">
        <f t="shared" si="93"/>
        <v>9</v>
      </c>
      <c r="C2010" s="12">
        <f t="shared" si="94"/>
        <v>2008</v>
      </c>
      <c r="D2010" s="13">
        <v>9350</v>
      </c>
      <c r="E2010" s="13">
        <v>25.316400000000002</v>
      </c>
      <c r="F2010" s="13">
        <f t="shared" si="95"/>
        <v>369.32581251678749</v>
      </c>
    </row>
    <row r="2011" spans="1:6" x14ac:dyDescent="0.25">
      <c r="A2011" s="10">
        <v>39721</v>
      </c>
      <c r="B2011" s="12">
        <f t="shared" si="93"/>
        <v>9</v>
      </c>
      <c r="C2011" s="12">
        <f t="shared" si="94"/>
        <v>2008</v>
      </c>
      <c r="D2011" s="13">
        <v>9350</v>
      </c>
      <c r="E2011" s="13">
        <v>25.632400000000001</v>
      </c>
      <c r="F2011" s="13">
        <f t="shared" si="95"/>
        <v>364.77270953948909</v>
      </c>
    </row>
    <row r="2012" spans="1:6" x14ac:dyDescent="0.25">
      <c r="A2012" s="10">
        <v>39722</v>
      </c>
      <c r="B2012" s="12">
        <f t="shared" si="93"/>
        <v>10</v>
      </c>
      <c r="C2012" s="12">
        <f t="shared" si="94"/>
        <v>2008</v>
      </c>
      <c r="D2012" s="13">
        <v>9350</v>
      </c>
      <c r="E2012" s="13">
        <v>25.731400000000001</v>
      </c>
      <c r="F2012" s="13">
        <f t="shared" si="95"/>
        <v>363.3692686756259</v>
      </c>
    </row>
    <row r="2013" spans="1:6" x14ac:dyDescent="0.25">
      <c r="A2013" s="10">
        <v>39723</v>
      </c>
      <c r="B2013" s="12">
        <f t="shared" si="93"/>
        <v>10</v>
      </c>
      <c r="C2013" s="12">
        <f t="shared" si="94"/>
        <v>2008</v>
      </c>
      <c r="D2013" s="13">
        <v>9350</v>
      </c>
      <c r="E2013" s="13">
        <v>25.922599999999999</v>
      </c>
      <c r="F2013" s="13">
        <f t="shared" si="95"/>
        <v>360.68912840532971</v>
      </c>
    </row>
    <row r="2014" spans="1:6" x14ac:dyDescent="0.25">
      <c r="A2014" s="10">
        <v>39724</v>
      </c>
      <c r="B2014" s="12">
        <f t="shared" si="93"/>
        <v>10</v>
      </c>
      <c r="C2014" s="12">
        <f t="shared" si="94"/>
        <v>2008</v>
      </c>
      <c r="D2014" s="13">
        <v>9350</v>
      </c>
      <c r="E2014" s="13">
        <v>25.9773</v>
      </c>
      <c r="F2014" s="13">
        <f t="shared" si="95"/>
        <v>359.92963087002886</v>
      </c>
    </row>
    <row r="2015" spans="1:6" x14ac:dyDescent="0.25">
      <c r="A2015" s="10">
        <v>39727</v>
      </c>
      <c r="B2015" s="12">
        <f t="shared" si="93"/>
        <v>10</v>
      </c>
      <c r="C2015" s="12">
        <f t="shared" si="94"/>
        <v>2008</v>
      </c>
      <c r="D2015" s="13">
        <v>9300</v>
      </c>
      <c r="E2015" s="13">
        <v>26.2683</v>
      </c>
      <c r="F2015" s="13">
        <f t="shared" si="95"/>
        <v>354.03889859640708</v>
      </c>
    </row>
    <row r="2016" spans="1:6" x14ac:dyDescent="0.25">
      <c r="A2016" s="10">
        <v>39728</v>
      </c>
      <c r="B2016" s="12">
        <f t="shared" si="93"/>
        <v>10</v>
      </c>
      <c r="C2016" s="12">
        <f t="shared" si="94"/>
        <v>2008</v>
      </c>
      <c r="D2016" s="13">
        <v>9300</v>
      </c>
      <c r="E2016" s="13">
        <v>26.138999999999999</v>
      </c>
      <c r="F2016" s="13">
        <f t="shared" si="95"/>
        <v>355.79019855388503</v>
      </c>
    </row>
    <row r="2017" spans="1:6" x14ac:dyDescent="0.25">
      <c r="A2017" s="10">
        <v>39729</v>
      </c>
      <c r="B2017" s="12">
        <f t="shared" si="93"/>
        <v>10</v>
      </c>
      <c r="C2017" s="12">
        <f t="shared" si="94"/>
        <v>2008</v>
      </c>
      <c r="D2017" s="13">
        <v>9300</v>
      </c>
      <c r="E2017" s="13">
        <v>26.130400000000002</v>
      </c>
      <c r="F2017" s="13">
        <f t="shared" si="95"/>
        <v>355.90729571686614</v>
      </c>
    </row>
    <row r="2018" spans="1:6" x14ac:dyDescent="0.25">
      <c r="A2018" s="10">
        <v>39730</v>
      </c>
      <c r="B2018" s="12">
        <f t="shared" si="93"/>
        <v>10</v>
      </c>
      <c r="C2018" s="12">
        <f t="shared" si="94"/>
        <v>2008</v>
      </c>
      <c r="D2018" s="13">
        <v>9300</v>
      </c>
      <c r="E2018" s="13">
        <v>26.161799999999999</v>
      </c>
      <c r="F2018" s="13">
        <f t="shared" si="95"/>
        <v>355.48012751416189</v>
      </c>
    </row>
    <row r="2019" spans="1:6" x14ac:dyDescent="0.25">
      <c r="A2019" s="10">
        <v>39731</v>
      </c>
      <c r="B2019" s="12">
        <f t="shared" si="93"/>
        <v>10</v>
      </c>
      <c r="C2019" s="12">
        <f t="shared" si="94"/>
        <v>2008</v>
      </c>
      <c r="D2019" s="13">
        <v>9300</v>
      </c>
      <c r="E2019" s="13">
        <v>26.206</v>
      </c>
      <c r="F2019" s="13">
        <f t="shared" si="95"/>
        <v>354.88056170342668</v>
      </c>
    </row>
    <row r="2020" spans="1:6" x14ac:dyDescent="0.25">
      <c r="A2020" s="10">
        <v>39734</v>
      </c>
      <c r="B2020" s="12">
        <f t="shared" si="93"/>
        <v>10</v>
      </c>
      <c r="C2020" s="12">
        <f t="shared" si="94"/>
        <v>2008</v>
      </c>
      <c r="D2020" s="13">
        <v>8000</v>
      </c>
      <c r="E2020" s="13">
        <v>26.173999999999999</v>
      </c>
      <c r="F2020" s="13">
        <f t="shared" si="95"/>
        <v>305.64682509360432</v>
      </c>
    </row>
    <row r="2021" spans="1:6" x14ac:dyDescent="0.25">
      <c r="A2021" s="10">
        <v>39735</v>
      </c>
      <c r="B2021" s="12">
        <f t="shared" si="93"/>
        <v>10</v>
      </c>
      <c r="C2021" s="12">
        <f t="shared" si="94"/>
        <v>2008</v>
      </c>
      <c r="D2021" s="13">
        <v>8000</v>
      </c>
      <c r="E2021" s="13">
        <v>26.129000000000001</v>
      </c>
      <c r="F2021" s="13">
        <f t="shared" si="95"/>
        <v>306.17321749779939</v>
      </c>
    </row>
    <row r="2022" spans="1:6" x14ac:dyDescent="0.25">
      <c r="A2022" s="10">
        <v>39736</v>
      </c>
      <c r="B2022" s="12">
        <f t="shared" si="93"/>
        <v>10</v>
      </c>
      <c r="C2022" s="12">
        <f t="shared" si="94"/>
        <v>2008</v>
      </c>
      <c r="D2022" s="13">
        <v>8000</v>
      </c>
      <c r="E2022" s="13">
        <v>26.293399999999998</v>
      </c>
      <c r="F2022" s="13">
        <f t="shared" si="95"/>
        <v>304.25886344101565</v>
      </c>
    </row>
    <row r="2023" spans="1:6" x14ac:dyDescent="0.25">
      <c r="A2023" s="10">
        <v>39737</v>
      </c>
      <c r="B2023" s="12">
        <f t="shared" si="93"/>
        <v>10</v>
      </c>
      <c r="C2023" s="12">
        <f t="shared" si="94"/>
        <v>2008</v>
      </c>
      <c r="D2023" s="13">
        <v>8000</v>
      </c>
      <c r="E2023" s="13">
        <v>26.2849</v>
      </c>
      <c r="F2023" s="13">
        <f t="shared" si="95"/>
        <v>304.35725454538539</v>
      </c>
    </row>
    <row r="2024" spans="1:6" x14ac:dyDescent="0.25">
      <c r="A2024" s="10">
        <v>39738</v>
      </c>
      <c r="B2024" s="12">
        <f t="shared" si="93"/>
        <v>10</v>
      </c>
      <c r="C2024" s="12">
        <f t="shared" si="94"/>
        <v>2008</v>
      </c>
      <c r="D2024" s="13">
        <v>8000</v>
      </c>
      <c r="E2024" s="13">
        <v>26.354700000000001</v>
      </c>
      <c r="F2024" s="13">
        <f t="shared" si="95"/>
        <v>303.55116924115998</v>
      </c>
    </row>
    <row r="2025" spans="1:6" x14ac:dyDescent="0.25">
      <c r="A2025" s="10">
        <v>39741</v>
      </c>
      <c r="B2025" s="12">
        <f t="shared" si="93"/>
        <v>10</v>
      </c>
      <c r="C2025" s="12">
        <f t="shared" si="94"/>
        <v>2008</v>
      </c>
      <c r="D2025" s="13">
        <v>7450</v>
      </c>
      <c r="E2025" s="13">
        <v>26.364899999999999</v>
      </c>
      <c r="F2025" s="13">
        <f t="shared" si="95"/>
        <v>282.57266289650255</v>
      </c>
    </row>
    <row r="2026" spans="1:6" x14ac:dyDescent="0.25">
      <c r="A2026" s="10">
        <v>39742</v>
      </c>
      <c r="B2026" s="12">
        <f t="shared" si="93"/>
        <v>10</v>
      </c>
      <c r="C2026" s="12">
        <f t="shared" si="94"/>
        <v>2008</v>
      </c>
      <c r="D2026" s="13">
        <v>7450</v>
      </c>
      <c r="E2026" s="13">
        <v>26.713799999999999</v>
      </c>
      <c r="F2026" s="13">
        <f t="shared" si="95"/>
        <v>278.88207593079233</v>
      </c>
    </row>
    <row r="2027" spans="1:6" x14ac:dyDescent="0.25">
      <c r="A2027" s="10">
        <v>39743</v>
      </c>
      <c r="B2027" s="12">
        <f t="shared" si="93"/>
        <v>10</v>
      </c>
      <c r="C2027" s="12">
        <f t="shared" si="94"/>
        <v>2008</v>
      </c>
      <c r="D2027" s="13">
        <v>7450</v>
      </c>
      <c r="E2027" s="13">
        <v>26.949200000000001</v>
      </c>
      <c r="F2027" s="13">
        <f t="shared" si="95"/>
        <v>276.44605405726327</v>
      </c>
    </row>
    <row r="2028" spans="1:6" x14ac:dyDescent="0.25">
      <c r="A2028" s="10">
        <v>39744</v>
      </c>
      <c r="B2028" s="12">
        <f t="shared" si="93"/>
        <v>10</v>
      </c>
      <c r="C2028" s="12">
        <f t="shared" si="94"/>
        <v>2008</v>
      </c>
      <c r="D2028" s="13">
        <v>7450</v>
      </c>
      <c r="E2028" s="13">
        <v>26.813300000000002</v>
      </c>
      <c r="F2028" s="13">
        <f t="shared" si="95"/>
        <v>277.84718777621549</v>
      </c>
    </row>
    <row r="2029" spans="1:6" x14ac:dyDescent="0.25">
      <c r="A2029" s="10">
        <v>39745</v>
      </c>
      <c r="B2029" s="12">
        <f t="shared" si="93"/>
        <v>10</v>
      </c>
      <c r="C2029" s="12">
        <f t="shared" si="94"/>
        <v>2008</v>
      </c>
      <c r="D2029" s="13">
        <v>7450</v>
      </c>
      <c r="E2029" s="13">
        <v>27.193899999999999</v>
      </c>
      <c r="F2029" s="13">
        <f t="shared" si="95"/>
        <v>273.95849804551756</v>
      </c>
    </row>
    <row r="2030" spans="1:6" x14ac:dyDescent="0.25">
      <c r="A2030" s="10">
        <v>39748</v>
      </c>
      <c r="B2030" s="12">
        <f t="shared" si="93"/>
        <v>10</v>
      </c>
      <c r="C2030" s="12">
        <f t="shared" si="94"/>
        <v>2008</v>
      </c>
      <c r="D2030" s="13">
        <v>6500</v>
      </c>
      <c r="E2030" s="13">
        <v>27.3687</v>
      </c>
      <c r="F2030" s="13">
        <f t="shared" si="95"/>
        <v>237.49757935159508</v>
      </c>
    </row>
    <row r="2031" spans="1:6" x14ac:dyDescent="0.25">
      <c r="A2031" s="10">
        <v>39749</v>
      </c>
      <c r="B2031" s="12">
        <f t="shared" si="93"/>
        <v>10</v>
      </c>
      <c r="C2031" s="12">
        <f t="shared" si="94"/>
        <v>2008</v>
      </c>
      <c r="D2031" s="13">
        <v>6500</v>
      </c>
      <c r="E2031" s="13">
        <v>27.097799999999999</v>
      </c>
      <c r="F2031" s="13">
        <f t="shared" si="95"/>
        <v>239.87187151724495</v>
      </c>
    </row>
    <row r="2032" spans="1:6" x14ac:dyDescent="0.25">
      <c r="A2032" s="10">
        <v>39750</v>
      </c>
      <c r="B2032" s="12">
        <f t="shared" si="93"/>
        <v>10</v>
      </c>
      <c r="C2032" s="12">
        <f t="shared" si="94"/>
        <v>2008</v>
      </c>
      <c r="D2032" s="13">
        <v>6500</v>
      </c>
      <c r="E2032" s="13">
        <v>26.8185</v>
      </c>
      <c r="F2032" s="13">
        <f t="shared" si="95"/>
        <v>242.37000577959245</v>
      </c>
    </row>
    <row r="2033" spans="1:6" x14ac:dyDescent="0.25">
      <c r="A2033" s="10">
        <v>39751</v>
      </c>
      <c r="B2033" s="12">
        <f t="shared" si="93"/>
        <v>10</v>
      </c>
      <c r="C2033" s="12">
        <f t="shared" si="94"/>
        <v>2008</v>
      </c>
      <c r="D2033" s="13">
        <v>6500</v>
      </c>
      <c r="E2033" s="13">
        <v>26.829899999999999</v>
      </c>
      <c r="F2033" s="13">
        <f t="shared" si="95"/>
        <v>242.26702298554972</v>
      </c>
    </row>
    <row r="2034" spans="1:6" x14ac:dyDescent="0.25">
      <c r="A2034" s="10">
        <v>39752</v>
      </c>
      <c r="B2034" s="12">
        <f t="shared" si="93"/>
        <v>10</v>
      </c>
      <c r="C2034" s="12">
        <f t="shared" si="94"/>
        <v>2008</v>
      </c>
      <c r="D2034" s="13">
        <v>6500</v>
      </c>
      <c r="E2034" s="13">
        <v>27.0762</v>
      </c>
      <c r="F2034" s="13">
        <f t="shared" si="95"/>
        <v>240.06322896122794</v>
      </c>
    </row>
    <row r="2035" spans="1:6" x14ac:dyDescent="0.25">
      <c r="A2035" s="10">
        <v>39755</v>
      </c>
      <c r="B2035" s="12">
        <f t="shared" si="93"/>
        <v>11</v>
      </c>
      <c r="C2035" s="12">
        <f t="shared" si="94"/>
        <v>2008</v>
      </c>
      <c r="D2035" s="13">
        <v>5750</v>
      </c>
      <c r="E2035" s="13">
        <v>27.148</v>
      </c>
      <c r="F2035" s="13">
        <f t="shared" si="95"/>
        <v>211.80197436275233</v>
      </c>
    </row>
    <row r="2036" spans="1:6" x14ac:dyDescent="0.25">
      <c r="A2036" s="10">
        <v>39756</v>
      </c>
      <c r="B2036" s="12">
        <f t="shared" si="93"/>
        <v>11</v>
      </c>
      <c r="C2036" s="12">
        <f t="shared" si="94"/>
        <v>2008</v>
      </c>
      <c r="D2036" s="13">
        <v>5750</v>
      </c>
      <c r="E2036" s="13">
        <v>26.766100000000002</v>
      </c>
      <c r="F2036" s="13">
        <f t="shared" si="95"/>
        <v>214.82397510283528</v>
      </c>
    </row>
    <row r="2037" spans="1:6" x14ac:dyDescent="0.25">
      <c r="A2037" s="10">
        <v>39757</v>
      </c>
      <c r="B2037" s="12">
        <f t="shared" si="93"/>
        <v>11</v>
      </c>
      <c r="C2037" s="12">
        <f t="shared" si="94"/>
        <v>2008</v>
      </c>
      <c r="D2037" s="13">
        <v>5750</v>
      </c>
      <c r="E2037" s="13">
        <v>26.821999999999999</v>
      </c>
      <c r="F2037" s="13">
        <f t="shared" si="95"/>
        <v>214.37625829542912</v>
      </c>
    </row>
    <row r="2038" spans="1:6" x14ac:dyDescent="0.25">
      <c r="A2038" s="10">
        <v>39758</v>
      </c>
      <c r="B2038" s="12">
        <f t="shared" si="93"/>
        <v>11</v>
      </c>
      <c r="C2038" s="12">
        <f t="shared" si="94"/>
        <v>2008</v>
      </c>
      <c r="D2038" s="13">
        <v>5750</v>
      </c>
      <c r="E2038" s="13">
        <v>27.058900000000001</v>
      </c>
      <c r="F2038" s="13">
        <f t="shared" si="95"/>
        <v>212.4993994582189</v>
      </c>
    </row>
    <row r="2039" spans="1:6" x14ac:dyDescent="0.25">
      <c r="A2039" s="10">
        <v>39759</v>
      </c>
      <c r="B2039" s="12">
        <f t="shared" si="93"/>
        <v>11</v>
      </c>
      <c r="C2039" s="12">
        <f t="shared" si="94"/>
        <v>2008</v>
      </c>
      <c r="D2039" s="13">
        <v>5750</v>
      </c>
      <c r="E2039" s="13">
        <v>27.027699999999999</v>
      </c>
      <c r="F2039" s="13">
        <f t="shared" si="95"/>
        <v>212.74470265690385</v>
      </c>
    </row>
    <row r="2040" spans="1:6" x14ac:dyDescent="0.25">
      <c r="A2040" s="10">
        <v>39762</v>
      </c>
      <c r="B2040" s="12">
        <f t="shared" si="93"/>
        <v>11</v>
      </c>
      <c r="C2040" s="12">
        <f t="shared" si="94"/>
        <v>2008</v>
      </c>
      <c r="D2040" s="13">
        <v>5650</v>
      </c>
      <c r="E2040" s="13">
        <v>27.068899999999999</v>
      </c>
      <c r="F2040" s="13">
        <f t="shared" si="95"/>
        <v>208.7266198478697</v>
      </c>
    </row>
    <row r="2041" spans="1:6" x14ac:dyDescent="0.25">
      <c r="A2041" s="10">
        <v>39763</v>
      </c>
      <c r="B2041" s="12">
        <f t="shared" si="93"/>
        <v>11</v>
      </c>
      <c r="C2041" s="12">
        <f t="shared" si="94"/>
        <v>2008</v>
      </c>
      <c r="D2041" s="13">
        <v>5650</v>
      </c>
      <c r="E2041" s="13">
        <v>27.5763</v>
      </c>
      <c r="F2041" s="13">
        <f t="shared" si="95"/>
        <v>204.88607971337706</v>
      </c>
    </row>
    <row r="2042" spans="1:6" x14ac:dyDescent="0.25">
      <c r="A2042" s="10">
        <v>39764</v>
      </c>
      <c r="B2042" s="12">
        <f t="shared" si="93"/>
        <v>11</v>
      </c>
      <c r="C2042" s="12">
        <f t="shared" si="94"/>
        <v>2008</v>
      </c>
      <c r="D2042" s="13">
        <v>5650</v>
      </c>
      <c r="E2042" s="13">
        <v>27.596699999999998</v>
      </c>
      <c r="F2042" s="13">
        <f t="shared" si="95"/>
        <v>204.73462406737039</v>
      </c>
    </row>
    <row r="2043" spans="1:6" x14ac:dyDescent="0.25">
      <c r="A2043" s="10">
        <v>39765</v>
      </c>
      <c r="B2043" s="12">
        <f t="shared" si="93"/>
        <v>11</v>
      </c>
      <c r="C2043" s="12">
        <f t="shared" si="94"/>
        <v>2008</v>
      </c>
      <c r="D2043" s="13">
        <v>5650</v>
      </c>
      <c r="E2043" s="13">
        <v>27.278500000000001</v>
      </c>
      <c r="F2043" s="13">
        <f t="shared" si="95"/>
        <v>207.1228256685668</v>
      </c>
    </row>
    <row r="2044" spans="1:6" x14ac:dyDescent="0.25">
      <c r="A2044" s="10">
        <v>39766</v>
      </c>
      <c r="B2044" s="12">
        <f t="shared" si="93"/>
        <v>11</v>
      </c>
      <c r="C2044" s="12">
        <f t="shared" si="94"/>
        <v>2008</v>
      </c>
      <c r="D2044" s="13">
        <v>5650</v>
      </c>
      <c r="E2044" s="13">
        <v>27.369900000000001</v>
      </c>
      <c r="F2044" s="13">
        <f t="shared" si="95"/>
        <v>206.43115247041456</v>
      </c>
    </row>
    <row r="2045" spans="1:6" x14ac:dyDescent="0.25">
      <c r="A2045" s="10">
        <v>39769</v>
      </c>
      <c r="B2045" s="12">
        <f t="shared" si="93"/>
        <v>11</v>
      </c>
      <c r="C2045" s="12">
        <f t="shared" si="94"/>
        <v>2008</v>
      </c>
      <c r="D2045" s="13">
        <v>5700</v>
      </c>
      <c r="E2045" s="13">
        <v>27.4328</v>
      </c>
      <c r="F2045" s="13">
        <f t="shared" si="95"/>
        <v>207.78046717797673</v>
      </c>
    </row>
    <row r="2046" spans="1:6" x14ac:dyDescent="0.25">
      <c r="A2046" s="10">
        <v>39770</v>
      </c>
      <c r="B2046" s="12">
        <f t="shared" si="93"/>
        <v>11</v>
      </c>
      <c r="C2046" s="12">
        <f t="shared" si="94"/>
        <v>2008</v>
      </c>
      <c r="D2046" s="13">
        <v>5700</v>
      </c>
      <c r="E2046" s="13">
        <v>27.4587</v>
      </c>
      <c r="F2046" s="13">
        <f t="shared" si="95"/>
        <v>207.58448142118891</v>
      </c>
    </row>
    <row r="2047" spans="1:6" x14ac:dyDescent="0.25">
      <c r="A2047" s="10">
        <v>39771</v>
      </c>
      <c r="B2047" s="12">
        <f t="shared" si="93"/>
        <v>11</v>
      </c>
      <c r="C2047" s="12">
        <f t="shared" si="94"/>
        <v>2008</v>
      </c>
      <c r="D2047" s="13">
        <v>5700</v>
      </c>
      <c r="E2047" s="13">
        <v>27.5825</v>
      </c>
      <c r="F2047" s="13">
        <f t="shared" si="95"/>
        <v>206.65276896582978</v>
      </c>
    </row>
    <row r="2048" spans="1:6" x14ac:dyDescent="0.25">
      <c r="A2048" s="10">
        <v>39772</v>
      </c>
      <c r="B2048" s="12">
        <f t="shared" si="93"/>
        <v>11</v>
      </c>
      <c r="C2048" s="12">
        <f t="shared" si="94"/>
        <v>2008</v>
      </c>
      <c r="D2048" s="13">
        <v>5700</v>
      </c>
      <c r="E2048" s="13">
        <v>27.5991</v>
      </c>
      <c r="F2048" s="13">
        <f t="shared" si="95"/>
        <v>206.52847375457895</v>
      </c>
    </row>
    <row r="2049" spans="1:6" x14ac:dyDescent="0.25">
      <c r="A2049" s="10">
        <v>39773</v>
      </c>
      <c r="B2049" s="12">
        <f t="shared" si="93"/>
        <v>11</v>
      </c>
      <c r="C2049" s="12">
        <f t="shared" si="94"/>
        <v>2008</v>
      </c>
      <c r="D2049" s="13">
        <v>5700</v>
      </c>
      <c r="E2049" s="13">
        <v>27.5063</v>
      </c>
      <c r="F2049" s="13">
        <f t="shared" si="95"/>
        <v>207.22525385093599</v>
      </c>
    </row>
    <row r="2050" spans="1:6" x14ac:dyDescent="0.25">
      <c r="A2050" s="10">
        <v>39776</v>
      </c>
      <c r="B2050" s="12">
        <f t="shared" si="93"/>
        <v>11</v>
      </c>
      <c r="C2050" s="12">
        <f t="shared" si="94"/>
        <v>2008</v>
      </c>
      <c r="D2050" s="13">
        <v>5750</v>
      </c>
      <c r="E2050" s="13">
        <v>27.3414</v>
      </c>
      <c r="F2050" s="13">
        <f t="shared" si="95"/>
        <v>210.30378839415684</v>
      </c>
    </row>
    <row r="2051" spans="1:6" x14ac:dyDescent="0.25">
      <c r="A2051" s="10">
        <v>39777</v>
      </c>
      <c r="B2051" s="12">
        <f t="shared" ref="B2051:B2114" si="96">MONTH(A2051)</f>
        <v>11</v>
      </c>
      <c r="C2051" s="12">
        <f t="shared" ref="C2051:C2114" si="97">YEAR(A2051)</f>
        <v>2008</v>
      </c>
      <c r="D2051" s="13">
        <v>5750</v>
      </c>
      <c r="E2051" s="13">
        <v>27.238299999999999</v>
      </c>
      <c r="F2051" s="13">
        <f t="shared" ref="F2051:F2114" si="98">IF(D2051="","",D2051/E2051)</f>
        <v>211.09981166225501</v>
      </c>
    </row>
    <row r="2052" spans="1:6" x14ac:dyDescent="0.25">
      <c r="A2052" s="10">
        <v>39778</v>
      </c>
      <c r="B2052" s="12">
        <f t="shared" si="96"/>
        <v>11</v>
      </c>
      <c r="C2052" s="12">
        <f t="shared" si="97"/>
        <v>2008</v>
      </c>
      <c r="D2052" s="13">
        <v>5750</v>
      </c>
      <c r="E2052" s="13">
        <v>27.4268</v>
      </c>
      <c r="F2052" s="13">
        <f t="shared" si="98"/>
        <v>209.64895649510697</v>
      </c>
    </row>
    <row r="2053" spans="1:6" x14ac:dyDescent="0.25">
      <c r="A2053" s="10">
        <v>39780</v>
      </c>
      <c r="B2053" s="12">
        <f t="shared" si="96"/>
        <v>11</v>
      </c>
      <c r="C2053" s="12">
        <f t="shared" si="97"/>
        <v>2008</v>
      </c>
      <c r="D2053" s="13">
        <v>5750</v>
      </c>
      <c r="E2053" s="13">
        <v>27.91</v>
      </c>
      <c r="F2053" s="13">
        <f t="shared" si="98"/>
        <v>206.01934790397706</v>
      </c>
    </row>
    <row r="2054" spans="1:6" x14ac:dyDescent="0.25">
      <c r="A2054" s="10">
        <v>39783</v>
      </c>
      <c r="B2054" s="12">
        <f t="shared" si="96"/>
        <v>12</v>
      </c>
      <c r="C2054" s="12">
        <f t="shared" si="97"/>
        <v>2008</v>
      </c>
      <c r="D2054" s="13">
        <v>5950</v>
      </c>
      <c r="E2054" s="13">
        <v>27.9941</v>
      </c>
      <c r="F2054" s="13">
        <f t="shared" si="98"/>
        <v>212.54478622281124</v>
      </c>
    </row>
    <row r="2055" spans="1:6" x14ac:dyDescent="0.25">
      <c r="A2055" s="10">
        <v>39784</v>
      </c>
      <c r="B2055" s="12">
        <f t="shared" si="96"/>
        <v>12</v>
      </c>
      <c r="C2055" s="12">
        <f t="shared" si="97"/>
        <v>2008</v>
      </c>
      <c r="D2055" s="13">
        <v>5950</v>
      </c>
      <c r="E2055" s="13">
        <v>27.9039</v>
      </c>
      <c r="F2055" s="13">
        <f t="shared" si="98"/>
        <v>213.2318421439297</v>
      </c>
    </row>
    <row r="2056" spans="1:6" x14ac:dyDescent="0.25">
      <c r="A2056" s="10">
        <v>39785</v>
      </c>
      <c r="B2056" s="12">
        <f t="shared" si="96"/>
        <v>12</v>
      </c>
      <c r="C2056" s="12">
        <f t="shared" si="97"/>
        <v>2008</v>
      </c>
      <c r="D2056" s="13">
        <v>5950</v>
      </c>
      <c r="E2056" s="13">
        <v>27.902100000000001</v>
      </c>
      <c r="F2056" s="13">
        <f t="shared" si="98"/>
        <v>213.24559800158411</v>
      </c>
    </row>
    <row r="2057" spans="1:6" x14ac:dyDescent="0.25">
      <c r="A2057" s="10">
        <v>39786</v>
      </c>
      <c r="B2057" s="12">
        <f t="shared" si="96"/>
        <v>12</v>
      </c>
      <c r="C2057" s="12">
        <f t="shared" si="97"/>
        <v>2008</v>
      </c>
      <c r="D2057" s="13">
        <v>5950</v>
      </c>
      <c r="E2057" s="13">
        <v>27.943000000000001</v>
      </c>
      <c r="F2057" s="13">
        <f t="shared" si="98"/>
        <v>212.93347171026733</v>
      </c>
    </row>
    <row r="2058" spans="1:6" x14ac:dyDescent="0.25">
      <c r="A2058" s="10">
        <v>39787</v>
      </c>
      <c r="B2058" s="12">
        <f t="shared" si="96"/>
        <v>12</v>
      </c>
      <c r="C2058" s="12">
        <f t="shared" si="97"/>
        <v>2008</v>
      </c>
      <c r="D2058" s="13">
        <v>5950</v>
      </c>
      <c r="E2058" s="13">
        <v>28.170100000000001</v>
      </c>
      <c r="F2058" s="13">
        <f t="shared" si="98"/>
        <v>211.21685759013988</v>
      </c>
    </row>
    <row r="2059" spans="1:6" x14ac:dyDescent="0.25">
      <c r="A2059" s="10">
        <v>39790</v>
      </c>
      <c r="B2059" s="12">
        <f t="shared" si="96"/>
        <v>12</v>
      </c>
      <c r="C2059" s="12">
        <f t="shared" si="97"/>
        <v>2008</v>
      </c>
      <c r="D2059" s="13">
        <v>6050</v>
      </c>
      <c r="E2059" s="13">
        <v>27.904399999999999</v>
      </c>
      <c r="F2059" s="13">
        <f t="shared" si="98"/>
        <v>216.81168561230487</v>
      </c>
    </row>
    <row r="2060" spans="1:6" x14ac:dyDescent="0.25">
      <c r="A2060" s="10">
        <v>39791</v>
      </c>
      <c r="B2060" s="12">
        <f t="shared" si="96"/>
        <v>12</v>
      </c>
      <c r="C2060" s="12">
        <f t="shared" si="97"/>
        <v>2008</v>
      </c>
      <c r="D2060" s="13">
        <v>6050</v>
      </c>
      <c r="E2060" s="13">
        <v>27.9466</v>
      </c>
      <c r="F2060" s="13">
        <f t="shared" si="98"/>
        <v>216.48429504841377</v>
      </c>
    </row>
    <row r="2061" spans="1:6" x14ac:dyDescent="0.25">
      <c r="A2061" s="10">
        <v>39792</v>
      </c>
      <c r="B2061" s="12">
        <f t="shared" si="96"/>
        <v>12</v>
      </c>
      <c r="C2061" s="12">
        <f t="shared" si="97"/>
        <v>2008</v>
      </c>
      <c r="D2061" s="13">
        <v>6050</v>
      </c>
      <c r="E2061" s="13">
        <v>27.813800000000001</v>
      </c>
      <c r="F2061" s="13">
        <f t="shared" si="98"/>
        <v>217.51792275776774</v>
      </c>
    </row>
    <row r="2062" spans="1:6" x14ac:dyDescent="0.25">
      <c r="A2062" s="10">
        <v>39793</v>
      </c>
      <c r="B2062" s="12">
        <f t="shared" si="96"/>
        <v>12</v>
      </c>
      <c r="C2062" s="12">
        <f t="shared" si="97"/>
        <v>2008</v>
      </c>
      <c r="D2062" s="13">
        <v>6050</v>
      </c>
      <c r="E2062" s="13">
        <v>27.68</v>
      </c>
      <c r="F2062" s="13">
        <f t="shared" si="98"/>
        <v>218.56936416184971</v>
      </c>
    </row>
    <row r="2063" spans="1:6" x14ac:dyDescent="0.25">
      <c r="A2063" s="10">
        <v>39794</v>
      </c>
      <c r="B2063" s="12">
        <f t="shared" si="96"/>
        <v>12</v>
      </c>
      <c r="C2063" s="12">
        <f t="shared" si="97"/>
        <v>2008</v>
      </c>
      <c r="D2063" s="13">
        <v>6050</v>
      </c>
      <c r="E2063" s="13">
        <v>27.677</v>
      </c>
      <c r="F2063" s="13">
        <f t="shared" si="98"/>
        <v>218.59305560573762</v>
      </c>
    </row>
    <row r="2064" spans="1:6" x14ac:dyDescent="0.25">
      <c r="A2064" s="10">
        <v>39797</v>
      </c>
      <c r="B2064" s="12">
        <f t="shared" si="96"/>
        <v>12</v>
      </c>
      <c r="C2064" s="12">
        <f t="shared" si="97"/>
        <v>2008</v>
      </c>
      <c r="D2064" s="13">
        <v>6050</v>
      </c>
      <c r="E2064" s="13">
        <v>27.597200000000001</v>
      </c>
      <c r="F2064" s="13">
        <f t="shared" si="98"/>
        <v>219.2251387821953</v>
      </c>
    </row>
    <row r="2065" spans="1:6" x14ac:dyDescent="0.25">
      <c r="A2065" s="10">
        <v>39798</v>
      </c>
      <c r="B2065" s="12">
        <f t="shared" si="96"/>
        <v>12</v>
      </c>
      <c r="C2065" s="12">
        <f t="shared" si="97"/>
        <v>2008</v>
      </c>
      <c r="D2065" s="13">
        <v>6050</v>
      </c>
      <c r="E2065" s="13">
        <v>27.200399999999998</v>
      </c>
      <c r="F2065" s="13">
        <f t="shared" si="98"/>
        <v>222.42319965882857</v>
      </c>
    </row>
    <row r="2066" spans="1:6" x14ac:dyDescent="0.25">
      <c r="A2066" s="10">
        <v>39799</v>
      </c>
      <c r="B2066" s="12">
        <f t="shared" si="96"/>
        <v>12</v>
      </c>
      <c r="C2066" s="12">
        <f t="shared" si="97"/>
        <v>2008</v>
      </c>
      <c r="D2066" s="13">
        <v>6050</v>
      </c>
      <c r="E2066" s="13">
        <v>27.251100000000001</v>
      </c>
      <c r="F2066" s="13">
        <f t="shared" si="98"/>
        <v>222.00938677704752</v>
      </c>
    </row>
    <row r="2067" spans="1:6" x14ac:dyDescent="0.25">
      <c r="A2067" s="10">
        <v>39800</v>
      </c>
      <c r="B2067" s="12">
        <f t="shared" si="96"/>
        <v>12</v>
      </c>
      <c r="C2067" s="12">
        <f t="shared" si="97"/>
        <v>2008</v>
      </c>
      <c r="D2067" s="13">
        <v>6050</v>
      </c>
      <c r="E2067" s="13">
        <v>27.393000000000001</v>
      </c>
      <c r="F2067" s="13">
        <f t="shared" si="98"/>
        <v>220.85934362793415</v>
      </c>
    </row>
    <row r="2068" spans="1:6" x14ac:dyDescent="0.25">
      <c r="A2068" s="10">
        <v>39801</v>
      </c>
      <c r="B2068" s="12">
        <f t="shared" si="96"/>
        <v>12</v>
      </c>
      <c r="C2068" s="12">
        <f t="shared" si="97"/>
        <v>2008</v>
      </c>
      <c r="D2068" s="13">
        <v>6050</v>
      </c>
      <c r="E2068" s="13">
        <v>28.166</v>
      </c>
      <c r="F2068" s="13">
        <f t="shared" si="98"/>
        <v>214.79798338422211</v>
      </c>
    </row>
    <row r="2069" spans="1:6" x14ac:dyDescent="0.25">
      <c r="A2069" s="10">
        <v>39804</v>
      </c>
      <c r="B2069" s="12">
        <f t="shared" si="96"/>
        <v>12</v>
      </c>
      <c r="C2069" s="12">
        <f t="shared" si="97"/>
        <v>2008</v>
      </c>
      <c r="D2069" s="13">
        <v>6450</v>
      </c>
      <c r="E2069" s="13">
        <v>28.3901</v>
      </c>
      <c r="F2069" s="13">
        <f t="shared" si="98"/>
        <v>227.19187322341239</v>
      </c>
    </row>
    <row r="2070" spans="1:6" x14ac:dyDescent="0.25">
      <c r="A2070" s="10">
        <v>39805</v>
      </c>
      <c r="B2070" s="12">
        <f t="shared" si="96"/>
        <v>12</v>
      </c>
      <c r="C2070" s="12">
        <f t="shared" si="97"/>
        <v>2008</v>
      </c>
      <c r="D2070" s="13">
        <v>6450</v>
      </c>
      <c r="E2070" s="13">
        <v>28.384</v>
      </c>
      <c r="F2070" s="13">
        <f t="shared" si="98"/>
        <v>227.24069898534384</v>
      </c>
    </row>
    <row r="2071" spans="1:6" x14ac:dyDescent="0.25">
      <c r="A2071" s="10">
        <v>39806</v>
      </c>
      <c r="B2071" s="12">
        <f t="shared" si="96"/>
        <v>12</v>
      </c>
      <c r="C2071" s="12">
        <f t="shared" si="97"/>
        <v>2008</v>
      </c>
      <c r="D2071" s="13">
        <v>6450</v>
      </c>
      <c r="E2071" s="13">
        <v>28.696000000000002</v>
      </c>
      <c r="F2071" s="13">
        <f t="shared" si="98"/>
        <v>224.77000278784499</v>
      </c>
    </row>
    <row r="2072" spans="1:6" x14ac:dyDescent="0.25">
      <c r="A2072" s="10">
        <v>39808</v>
      </c>
      <c r="B2072" s="12">
        <f t="shared" si="96"/>
        <v>12</v>
      </c>
      <c r="C2072" s="12">
        <f t="shared" si="97"/>
        <v>2008</v>
      </c>
      <c r="D2072" s="13">
        <v>6450</v>
      </c>
      <c r="E2072" s="13">
        <v>28.991</v>
      </c>
      <c r="F2072" s="13">
        <f t="shared" si="98"/>
        <v>222.48283950191438</v>
      </c>
    </row>
    <row r="2073" spans="1:6" x14ac:dyDescent="0.25">
      <c r="A2073" s="10">
        <v>39811</v>
      </c>
      <c r="B2073" s="12">
        <f t="shared" si="96"/>
        <v>12</v>
      </c>
      <c r="C2073" s="12">
        <f t="shared" si="97"/>
        <v>2008</v>
      </c>
      <c r="E2073" s="13">
        <v>29.503</v>
      </c>
      <c r="F2073" s="13" t="str">
        <f t="shared" si="98"/>
        <v/>
      </c>
    </row>
    <row r="2074" spans="1:6" x14ac:dyDescent="0.25">
      <c r="A2074" s="10">
        <v>39812</v>
      </c>
      <c r="B2074" s="12">
        <f t="shared" si="96"/>
        <v>12</v>
      </c>
      <c r="C2074" s="12">
        <f t="shared" si="97"/>
        <v>2008</v>
      </c>
      <c r="E2074" s="13">
        <v>29.393999999999998</v>
      </c>
      <c r="F2074" s="13" t="str">
        <f t="shared" si="98"/>
        <v/>
      </c>
    </row>
    <row r="2075" spans="1:6" x14ac:dyDescent="0.25">
      <c r="A2075" s="10">
        <v>39813</v>
      </c>
      <c r="B2075" s="12">
        <f t="shared" si="96"/>
        <v>12</v>
      </c>
      <c r="C2075" s="12">
        <f t="shared" si="97"/>
        <v>2008</v>
      </c>
      <c r="E2075" s="13">
        <v>30.524999999999999</v>
      </c>
      <c r="F2075" s="13" t="str">
        <f t="shared" si="98"/>
        <v/>
      </c>
    </row>
    <row r="2076" spans="1:6" x14ac:dyDescent="0.25">
      <c r="A2076" s="10">
        <v>39815</v>
      </c>
      <c r="B2076" s="12">
        <f t="shared" si="96"/>
        <v>1</v>
      </c>
      <c r="C2076" s="12">
        <f t="shared" si="97"/>
        <v>2009</v>
      </c>
      <c r="E2076" s="13">
        <v>29.388000000000002</v>
      </c>
      <c r="F2076" s="13" t="str">
        <f t="shared" si="98"/>
        <v/>
      </c>
    </row>
    <row r="2077" spans="1:6" x14ac:dyDescent="0.25">
      <c r="A2077" s="10">
        <v>39818</v>
      </c>
      <c r="B2077" s="12">
        <f t="shared" si="96"/>
        <v>1</v>
      </c>
      <c r="C2077" s="12">
        <f t="shared" si="97"/>
        <v>2009</v>
      </c>
      <c r="E2077" s="13">
        <v>29.141999999999999</v>
      </c>
      <c r="F2077" s="13" t="str">
        <f t="shared" si="98"/>
        <v/>
      </c>
    </row>
    <row r="2078" spans="1:6" x14ac:dyDescent="0.25">
      <c r="A2078" s="10">
        <v>39819</v>
      </c>
      <c r="B2078" s="12">
        <f t="shared" si="96"/>
        <v>1</v>
      </c>
      <c r="C2078" s="12">
        <f t="shared" si="97"/>
        <v>2009</v>
      </c>
      <c r="E2078" s="13">
        <v>29.148</v>
      </c>
      <c r="F2078" s="13" t="str">
        <f t="shared" si="98"/>
        <v/>
      </c>
    </row>
    <row r="2079" spans="1:6" x14ac:dyDescent="0.25">
      <c r="A2079" s="10">
        <v>39820</v>
      </c>
      <c r="B2079" s="12">
        <f t="shared" si="96"/>
        <v>1</v>
      </c>
      <c r="C2079" s="12">
        <f t="shared" si="97"/>
        <v>2009</v>
      </c>
      <c r="E2079" s="13">
        <v>29.145</v>
      </c>
      <c r="F2079" s="13" t="str">
        <f t="shared" si="98"/>
        <v/>
      </c>
    </row>
    <row r="2080" spans="1:6" x14ac:dyDescent="0.25">
      <c r="A2080" s="10">
        <v>39821</v>
      </c>
      <c r="B2080" s="12">
        <f t="shared" si="96"/>
        <v>1</v>
      </c>
      <c r="C2080" s="12">
        <f t="shared" si="97"/>
        <v>2009</v>
      </c>
      <c r="E2080" s="13">
        <v>29.387</v>
      </c>
      <c r="F2080" s="13" t="str">
        <f t="shared" si="98"/>
        <v/>
      </c>
    </row>
    <row r="2081" spans="1:6" x14ac:dyDescent="0.25">
      <c r="A2081" s="10">
        <v>39822</v>
      </c>
      <c r="B2081" s="12">
        <f t="shared" si="96"/>
        <v>1</v>
      </c>
      <c r="C2081" s="12">
        <f t="shared" si="97"/>
        <v>2009</v>
      </c>
      <c r="E2081" s="13">
        <v>29.145</v>
      </c>
      <c r="F2081" s="13" t="str">
        <f t="shared" si="98"/>
        <v/>
      </c>
    </row>
    <row r="2082" spans="1:6" x14ac:dyDescent="0.25">
      <c r="A2082" s="10">
        <v>39825</v>
      </c>
      <c r="B2082" s="12">
        <f t="shared" si="96"/>
        <v>1</v>
      </c>
      <c r="C2082" s="12">
        <f t="shared" si="97"/>
        <v>2009</v>
      </c>
      <c r="D2082" s="13">
        <v>6650</v>
      </c>
      <c r="E2082" s="13">
        <v>31.065000000000001</v>
      </c>
      <c r="F2082" s="13">
        <f t="shared" si="98"/>
        <v>214.06727828746176</v>
      </c>
    </row>
    <row r="2083" spans="1:6" x14ac:dyDescent="0.25">
      <c r="A2083" s="10">
        <v>39826</v>
      </c>
      <c r="B2083" s="12">
        <f t="shared" si="96"/>
        <v>1</v>
      </c>
      <c r="C2083" s="12">
        <f t="shared" si="97"/>
        <v>2009</v>
      </c>
      <c r="D2083" s="13">
        <v>6650</v>
      </c>
      <c r="E2083" s="13">
        <v>31.276</v>
      </c>
      <c r="F2083" s="13">
        <f t="shared" si="98"/>
        <v>212.62309758281111</v>
      </c>
    </row>
    <row r="2084" spans="1:6" x14ac:dyDescent="0.25">
      <c r="A2084" s="10">
        <v>39827</v>
      </c>
      <c r="B2084" s="12">
        <f t="shared" si="96"/>
        <v>1</v>
      </c>
      <c r="C2084" s="12">
        <f t="shared" si="97"/>
        <v>2009</v>
      </c>
      <c r="D2084" s="13">
        <v>6650</v>
      </c>
      <c r="E2084" s="13">
        <v>31.742000000000001</v>
      </c>
      <c r="F2084" s="13">
        <f t="shared" si="98"/>
        <v>209.5016067040514</v>
      </c>
    </row>
    <row r="2085" spans="1:6" x14ac:dyDescent="0.25">
      <c r="A2085" s="10">
        <v>39828</v>
      </c>
      <c r="B2085" s="12">
        <f t="shared" si="96"/>
        <v>1</v>
      </c>
      <c r="C2085" s="12">
        <f t="shared" si="97"/>
        <v>2009</v>
      </c>
      <c r="D2085" s="13">
        <v>6650</v>
      </c>
      <c r="E2085" s="13">
        <v>32.252899999999997</v>
      </c>
      <c r="F2085" s="13">
        <f t="shared" si="98"/>
        <v>206.18300989988498</v>
      </c>
    </row>
    <row r="2086" spans="1:6" x14ac:dyDescent="0.25">
      <c r="A2086" s="10">
        <v>39829</v>
      </c>
      <c r="B2086" s="12">
        <f t="shared" si="96"/>
        <v>1</v>
      </c>
      <c r="C2086" s="12">
        <f t="shared" si="97"/>
        <v>2009</v>
      </c>
      <c r="D2086" s="13">
        <v>6650</v>
      </c>
      <c r="E2086" s="13">
        <v>32.472000000000001</v>
      </c>
      <c r="F2086" s="13">
        <f t="shared" si="98"/>
        <v>204.79182064547916</v>
      </c>
    </row>
    <row r="2087" spans="1:6" x14ac:dyDescent="0.25">
      <c r="A2087" s="10">
        <v>39833</v>
      </c>
      <c r="B2087" s="12">
        <f t="shared" si="96"/>
        <v>1</v>
      </c>
      <c r="C2087" s="12">
        <f t="shared" si="97"/>
        <v>2009</v>
      </c>
      <c r="D2087" s="13">
        <v>7150</v>
      </c>
      <c r="E2087" s="13">
        <v>33.012500000000003</v>
      </c>
      <c r="F2087" s="13">
        <f t="shared" si="98"/>
        <v>216.58462703521391</v>
      </c>
    </row>
    <row r="2088" spans="1:6" x14ac:dyDescent="0.25">
      <c r="A2088" s="10">
        <v>39834</v>
      </c>
      <c r="B2088" s="12">
        <f t="shared" si="96"/>
        <v>1</v>
      </c>
      <c r="C2088" s="12">
        <f t="shared" si="97"/>
        <v>2009</v>
      </c>
      <c r="D2088" s="13">
        <v>7150</v>
      </c>
      <c r="E2088" s="13">
        <v>32.526000000000003</v>
      </c>
      <c r="F2088" s="13">
        <f t="shared" si="98"/>
        <v>219.82414068745001</v>
      </c>
    </row>
    <row r="2089" spans="1:6" x14ac:dyDescent="0.25">
      <c r="A2089" s="10">
        <v>39835</v>
      </c>
      <c r="B2089" s="12">
        <f t="shared" si="96"/>
        <v>1</v>
      </c>
      <c r="C2089" s="12">
        <f t="shared" si="97"/>
        <v>2009</v>
      </c>
      <c r="D2089" s="13">
        <v>7150</v>
      </c>
      <c r="E2089" s="13">
        <v>32.647399999999998</v>
      </c>
      <c r="F2089" s="13">
        <f t="shared" si="98"/>
        <v>219.00672029013032</v>
      </c>
    </row>
    <row r="2090" spans="1:6" x14ac:dyDescent="0.25">
      <c r="A2090" s="10">
        <v>39836</v>
      </c>
      <c r="B2090" s="12">
        <f t="shared" si="96"/>
        <v>1</v>
      </c>
      <c r="C2090" s="12">
        <f t="shared" si="97"/>
        <v>2009</v>
      </c>
      <c r="D2090" s="13">
        <v>7150</v>
      </c>
      <c r="E2090" s="13">
        <v>32.856000000000002</v>
      </c>
      <c r="F2090" s="13">
        <f t="shared" si="98"/>
        <v>217.61626491356219</v>
      </c>
    </row>
    <row r="2091" spans="1:6" x14ac:dyDescent="0.25">
      <c r="A2091" s="10">
        <v>39839</v>
      </c>
      <c r="B2091" s="12">
        <f t="shared" si="96"/>
        <v>1</v>
      </c>
      <c r="C2091" s="12">
        <f t="shared" si="97"/>
        <v>2009</v>
      </c>
      <c r="D2091" s="13">
        <v>8000</v>
      </c>
      <c r="E2091" s="13">
        <v>32.823700000000002</v>
      </c>
      <c r="F2091" s="13">
        <f t="shared" si="98"/>
        <v>243.72633188823929</v>
      </c>
    </row>
    <row r="2092" spans="1:6" x14ac:dyDescent="0.25">
      <c r="A2092" s="10">
        <v>39840</v>
      </c>
      <c r="B2092" s="12">
        <f t="shared" si="96"/>
        <v>1</v>
      </c>
      <c r="C2092" s="12">
        <f t="shared" si="97"/>
        <v>2009</v>
      </c>
      <c r="D2092" s="13">
        <v>8000</v>
      </c>
      <c r="E2092" s="13">
        <v>33.058199999999999</v>
      </c>
      <c r="F2092" s="13">
        <f t="shared" si="98"/>
        <v>241.99744692693491</v>
      </c>
    </row>
    <row r="2093" spans="1:6" x14ac:dyDescent="0.25">
      <c r="A2093" s="10">
        <v>39841</v>
      </c>
      <c r="B2093" s="12">
        <f t="shared" si="96"/>
        <v>1</v>
      </c>
      <c r="C2093" s="12">
        <f t="shared" si="97"/>
        <v>2009</v>
      </c>
      <c r="D2093" s="13">
        <v>8000</v>
      </c>
      <c r="E2093" s="13">
        <v>33.933</v>
      </c>
      <c r="F2093" s="13">
        <f t="shared" si="98"/>
        <v>235.75870096955765</v>
      </c>
    </row>
    <row r="2094" spans="1:6" x14ac:dyDescent="0.25">
      <c r="A2094" s="10">
        <v>39842</v>
      </c>
      <c r="B2094" s="12">
        <f t="shared" si="96"/>
        <v>1</v>
      </c>
      <c r="C2094" s="12">
        <f t="shared" si="97"/>
        <v>2009</v>
      </c>
      <c r="D2094" s="13">
        <v>8000</v>
      </c>
      <c r="E2094" s="13">
        <v>34.983899999999998</v>
      </c>
      <c r="F2094" s="13">
        <f t="shared" si="98"/>
        <v>228.67661981654419</v>
      </c>
    </row>
    <row r="2095" spans="1:6" x14ac:dyDescent="0.25">
      <c r="A2095" s="10">
        <v>39843</v>
      </c>
      <c r="B2095" s="12">
        <f t="shared" si="96"/>
        <v>1</v>
      </c>
      <c r="C2095" s="12">
        <f t="shared" si="97"/>
        <v>2009</v>
      </c>
      <c r="D2095" s="13">
        <v>8000</v>
      </c>
      <c r="E2095" s="13">
        <v>35.746600000000001</v>
      </c>
      <c r="F2095" s="13">
        <f t="shared" si="98"/>
        <v>223.79750801474825</v>
      </c>
    </row>
    <row r="2096" spans="1:6" x14ac:dyDescent="0.25">
      <c r="A2096" s="10">
        <v>39846</v>
      </c>
      <c r="B2096" s="12">
        <f t="shared" si="96"/>
        <v>2</v>
      </c>
      <c r="C2096" s="12">
        <f t="shared" si="97"/>
        <v>2009</v>
      </c>
      <c r="D2096" s="13">
        <v>10250</v>
      </c>
      <c r="E2096" s="13">
        <v>36.081400000000002</v>
      </c>
      <c r="F2096" s="13">
        <f t="shared" si="98"/>
        <v>284.07988603546426</v>
      </c>
    </row>
    <row r="2097" spans="1:6" x14ac:dyDescent="0.25">
      <c r="A2097" s="10">
        <v>39847</v>
      </c>
      <c r="B2097" s="12">
        <f t="shared" si="96"/>
        <v>2</v>
      </c>
      <c r="C2097" s="12">
        <f t="shared" si="97"/>
        <v>2009</v>
      </c>
      <c r="D2097" s="13">
        <v>10250</v>
      </c>
      <c r="E2097" s="13">
        <v>35.953000000000003</v>
      </c>
      <c r="F2097" s="13">
        <f t="shared" si="98"/>
        <v>285.0944288376491</v>
      </c>
    </row>
    <row r="2098" spans="1:6" x14ac:dyDescent="0.25">
      <c r="A2098" s="10">
        <v>39848</v>
      </c>
      <c r="B2098" s="12">
        <f t="shared" si="96"/>
        <v>2</v>
      </c>
      <c r="C2098" s="12">
        <f t="shared" si="97"/>
        <v>2009</v>
      </c>
      <c r="D2098" s="13">
        <v>10250</v>
      </c>
      <c r="E2098" s="13">
        <v>36.238300000000002</v>
      </c>
      <c r="F2098" s="13">
        <f t="shared" si="98"/>
        <v>282.849912937417</v>
      </c>
    </row>
    <row r="2099" spans="1:6" x14ac:dyDescent="0.25">
      <c r="A2099" s="10">
        <v>39849</v>
      </c>
      <c r="B2099" s="12">
        <f t="shared" si="96"/>
        <v>2</v>
      </c>
      <c r="C2099" s="12">
        <f t="shared" si="97"/>
        <v>2009</v>
      </c>
      <c r="D2099" s="13">
        <v>10250</v>
      </c>
      <c r="E2099" s="13">
        <v>36.343800000000002</v>
      </c>
      <c r="F2099" s="13">
        <f t="shared" si="98"/>
        <v>282.02884673589443</v>
      </c>
    </row>
    <row r="2100" spans="1:6" x14ac:dyDescent="0.25">
      <c r="A2100" s="10">
        <v>39850</v>
      </c>
      <c r="B2100" s="12">
        <f t="shared" si="96"/>
        <v>2</v>
      </c>
      <c r="C2100" s="12">
        <f t="shared" si="97"/>
        <v>2009</v>
      </c>
      <c r="D2100" s="13">
        <v>10250</v>
      </c>
      <c r="E2100" s="13">
        <v>36.1539</v>
      </c>
      <c r="F2100" s="13">
        <f t="shared" si="98"/>
        <v>283.51021604861438</v>
      </c>
    </row>
    <row r="2101" spans="1:6" x14ac:dyDescent="0.25">
      <c r="A2101" s="10">
        <v>39853</v>
      </c>
      <c r="B2101" s="12">
        <f t="shared" si="96"/>
        <v>2</v>
      </c>
      <c r="C2101" s="12">
        <f t="shared" si="97"/>
        <v>2009</v>
      </c>
      <c r="D2101" s="13">
        <v>11500</v>
      </c>
      <c r="E2101" s="13">
        <v>35.817300000000003</v>
      </c>
      <c r="F2101" s="13">
        <f t="shared" si="98"/>
        <v>321.07389445882296</v>
      </c>
    </row>
    <row r="2102" spans="1:6" x14ac:dyDescent="0.25">
      <c r="A2102" s="10">
        <v>39854</v>
      </c>
      <c r="B2102" s="12">
        <f t="shared" si="96"/>
        <v>2</v>
      </c>
      <c r="C2102" s="12">
        <f t="shared" si="97"/>
        <v>2009</v>
      </c>
      <c r="D2102" s="13">
        <v>11500</v>
      </c>
      <c r="E2102" s="13">
        <v>35.832700000000003</v>
      </c>
      <c r="F2102" s="13">
        <f t="shared" si="98"/>
        <v>320.9359049136682</v>
      </c>
    </row>
    <row r="2103" spans="1:6" x14ac:dyDescent="0.25">
      <c r="A2103" s="10">
        <v>39855</v>
      </c>
      <c r="B2103" s="12">
        <f t="shared" si="96"/>
        <v>2</v>
      </c>
      <c r="C2103" s="12">
        <f t="shared" si="97"/>
        <v>2009</v>
      </c>
      <c r="D2103" s="13">
        <v>11500</v>
      </c>
      <c r="E2103" s="13">
        <v>35.170999999999999</v>
      </c>
      <c r="F2103" s="13">
        <f t="shared" si="98"/>
        <v>326.9739273833556</v>
      </c>
    </row>
    <row r="2104" spans="1:6" x14ac:dyDescent="0.25">
      <c r="A2104" s="10">
        <v>39856</v>
      </c>
      <c r="B2104" s="12">
        <f t="shared" si="96"/>
        <v>2</v>
      </c>
      <c r="C2104" s="12">
        <f t="shared" si="97"/>
        <v>2009</v>
      </c>
      <c r="D2104" s="13">
        <v>11500</v>
      </c>
      <c r="E2104" s="13">
        <v>34.64</v>
      </c>
      <c r="F2104" s="13">
        <f t="shared" si="98"/>
        <v>331.98614318706694</v>
      </c>
    </row>
    <row r="2105" spans="1:6" x14ac:dyDescent="0.25">
      <c r="A2105" s="10">
        <v>39857</v>
      </c>
      <c r="B2105" s="12">
        <f t="shared" si="96"/>
        <v>2</v>
      </c>
      <c r="C2105" s="12">
        <f t="shared" si="97"/>
        <v>2009</v>
      </c>
      <c r="D2105" s="13">
        <v>11500</v>
      </c>
      <c r="E2105" s="13">
        <v>34.6083</v>
      </c>
      <c r="F2105" s="13">
        <f t="shared" si="98"/>
        <v>332.29023095615793</v>
      </c>
    </row>
    <row r="2106" spans="1:6" x14ac:dyDescent="0.25">
      <c r="A2106" s="10">
        <v>39861</v>
      </c>
      <c r="B2106" s="12">
        <f t="shared" si="96"/>
        <v>2</v>
      </c>
      <c r="C2106" s="12">
        <f t="shared" si="97"/>
        <v>2009</v>
      </c>
      <c r="D2106" s="13">
        <v>10750</v>
      </c>
      <c r="E2106" s="13">
        <v>36.311199999999999</v>
      </c>
      <c r="F2106" s="13">
        <f t="shared" si="98"/>
        <v>296.05190684967727</v>
      </c>
    </row>
    <row r="2107" spans="1:6" x14ac:dyDescent="0.25">
      <c r="A2107" s="10">
        <v>39862</v>
      </c>
      <c r="B2107" s="12">
        <f t="shared" si="96"/>
        <v>2</v>
      </c>
      <c r="C2107" s="12">
        <f t="shared" si="97"/>
        <v>2009</v>
      </c>
      <c r="D2107" s="13">
        <v>10750</v>
      </c>
      <c r="E2107" s="13">
        <v>36.293999999999997</v>
      </c>
      <c r="F2107" s="13">
        <f t="shared" si="98"/>
        <v>296.19220807847029</v>
      </c>
    </row>
    <row r="2108" spans="1:6" x14ac:dyDescent="0.25">
      <c r="A2108" s="10">
        <v>39863</v>
      </c>
      <c r="B2108" s="12">
        <f t="shared" si="96"/>
        <v>2</v>
      </c>
      <c r="C2108" s="12">
        <f t="shared" si="97"/>
        <v>2009</v>
      </c>
      <c r="D2108" s="13">
        <v>10750</v>
      </c>
      <c r="E2108" s="13">
        <v>35.863599999999998</v>
      </c>
      <c r="F2108" s="13">
        <f t="shared" si="98"/>
        <v>299.74681850121016</v>
      </c>
    </row>
    <row r="2109" spans="1:6" x14ac:dyDescent="0.25">
      <c r="A2109" s="10">
        <v>39864</v>
      </c>
      <c r="B2109" s="12">
        <f t="shared" si="96"/>
        <v>2</v>
      </c>
      <c r="C2109" s="12">
        <f t="shared" si="97"/>
        <v>2009</v>
      </c>
      <c r="D2109" s="13">
        <v>10750</v>
      </c>
      <c r="E2109" s="13">
        <v>35.871499999999997</v>
      </c>
      <c r="F2109" s="13">
        <f t="shared" si="98"/>
        <v>299.68080509596757</v>
      </c>
    </row>
    <row r="2110" spans="1:6" x14ac:dyDescent="0.25">
      <c r="A2110" s="10">
        <v>39867</v>
      </c>
      <c r="B2110" s="12">
        <f t="shared" si="96"/>
        <v>2</v>
      </c>
      <c r="C2110" s="12">
        <f t="shared" si="97"/>
        <v>2009</v>
      </c>
      <c r="D2110" s="13">
        <v>10500</v>
      </c>
      <c r="E2110" s="13">
        <v>36.091000000000001</v>
      </c>
      <c r="F2110" s="13">
        <f t="shared" si="98"/>
        <v>290.93125710010804</v>
      </c>
    </row>
    <row r="2111" spans="1:6" x14ac:dyDescent="0.25">
      <c r="A2111" s="10">
        <v>39868</v>
      </c>
      <c r="B2111" s="12">
        <f t="shared" si="96"/>
        <v>2</v>
      </c>
      <c r="C2111" s="12">
        <f t="shared" si="97"/>
        <v>2009</v>
      </c>
      <c r="D2111" s="13">
        <v>10500</v>
      </c>
      <c r="E2111" s="13">
        <v>35.844900000000003</v>
      </c>
      <c r="F2111" s="13">
        <f t="shared" si="98"/>
        <v>292.92870115413905</v>
      </c>
    </row>
    <row r="2112" spans="1:6" x14ac:dyDescent="0.25">
      <c r="A2112" s="10">
        <v>39869</v>
      </c>
      <c r="B2112" s="12">
        <f t="shared" si="96"/>
        <v>2</v>
      </c>
      <c r="C2112" s="12">
        <f t="shared" si="97"/>
        <v>2009</v>
      </c>
      <c r="D2112" s="13">
        <v>10500</v>
      </c>
      <c r="E2112" s="13">
        <v>35.808799999999998</v>
      </c>
      <c r="F2112" s="13">
        <f t="shared" si="98"/>
        <v>293.22401197471015</v>
      </c>
    </row>
    <row r="2113" spans="1:6" x14ac:dyDescent="0.25">
      <c r="A2113" s="10">
        <v>39870</v>
      </c>
      <c r="B2113" s="12">
        <f t="shared" si="96"/>
        <v>2</v>
      </c>
      <c r="C2113" s="12">
        <f t="shared" si="97"/>
        <v>2009</v>
      </c>
      <c r="D2113" s="13">
        <v>10500</v>
      </c>
      <c r="E2113" s="13">
        <v>35.731999999999999</v>
      </c>
      <c r="F2113" s="13">
        <f t="shared" si="98"/>
        <v>293.85424829284676</v>
      </c>
    </row>
    <row r="2114" spans="1:6" x14ac:dyDescent="0.25">
      <c r="A2114" s="10">
        <v>39871</v>
      </c>
      <c r="B2114" s="12">
        <f t="shared" si="96"/>
        <v>2</v>
      </c>
      <c r="C2114" s="12">
        <f t="shared" si="97"/>
        <v>2009</v>
      </c>
      <c r="D2114" s="13">
        <v>10500</v>
      </c>
      <c r="E2114" s="13">
        <v>35.909199999999998</v>
      </c>
      <c r="F2114" s="13">
        <f t="shared" si="98"/>
        <v>292.4041749746583</v>
      </c>
    </row>
    <row r="2115" spans="1:6" x14ac:dyDescent="0.25">
      <c r="A2115" s="10">
        <v>39874</v>
      </c>
      <c r="B2115" s="12">
        <f t="shared" ref="B2115:B2178" si="99">MONTH(A2115)</f>
        <v>3</v>
      </c>
      <c r="C2115" s="12">
        <f t="shared" ref="C2115:C2178" si="100">YEAR(A2115)</f>
        <v>2009</v>
      </c>
      <c r="D2115" s="13">
        <v>10250</v>
      </c>
      <c r="E2115" s="13">
        <v>36.152700000000003</v>
      </c>
      <c r="F2115" s="13">
        <f t="shared" ref="F2115:F2178" si="101">IF(D2115="","",D2115/E2115)</f>
        <v>283.51962647326479</v>
      </c>
    </row>
    <row r="2116" spans="1:6" x14ac:dyDescent="0.25">
      <c r="A2116" s="10">
        <v>39875</v>
      </c>
      <c r="B2116" s="12">
        <f t="shared" si="99"/>
        <v>3</v>
      </c>
      <c r="C2116" s="12">
        <f t="shared" si="100"/>
        <v>2009</v>
      </c>
      <c r="D2116" s="13">
        <v>10250</v>
      </c>
      <c r="E2116" s="13">
        <v>36.218899999999998</v>
      </c>
      <c r="F2116" s="13">
        <f t="shared" si="101"/>
        <v>283.00141638757668</v>
      </c>
    </row>
    <row r="2117" spans="1:6" x14ac:dyDescent="0.25">
      <c r="A2117" s="10">
        <v>39876</v>
      </c>
      <c r="B2117" s="12">
        <f t="shared" si="99"/>
        <v>3</v>
      </c>
      <c r="C2117" s="12">
        <f t="shared" si="100"/>
        <v>2009</v>
      </c>
      <c r="D2117" s="13">
        <v>10250</v>
      </c>
      <c r="E2117" s="13">
        <v>35.973999999999997</v>
      </c>
      <c r="F2117" s="13">
        <f t="shared" si="101"/>
        <v>284.92800355812534</v>
      </c>
    </row>
    <row r="2118" spans="1:6" x14ac:dyDescent="0.25">
      <c r="A2118" s="10">
        <v>39877</v>
      </c>
      <c r="B2118" s="12">
        <f t="shared" si="99"/>
        <v>3</v>
      </c>
      <c r="C2118" s="12">
        <f t="shared" si="100"/>
        <v>2009</v>
      </c>
      <c r="D2118" s="13">
        <v>10250</v>
      </c>
      <c r="E2118" s="13">
        <v>35.860199999999999</v>
      </c>
      <c r="F2118" s="13">
        <f t="shared" si="101"/>
        <v>285.83220394755187</v>
      </c>
    </row>
    <row r="2119" spans="1:6" x14ac:dyDescent="0.25">
      <c r="A2119" s="10">
        <v>39878</v>
      </c>
      <c r="B2119" s="12">
        <f t="shared" si="99"/>
        <v>3</v>
      </c>
      <c r="C2119" s="12">
        <f t="shared" si="100"/>
        <v>2009</v>
      </c>
      <c r="D2119" s="13">
        <v>10250</v>
      </c>
      <c r="E2119" s="13">
        <v>35.766199999999998</v>
      </c>
      <c r="F2119" s="13">
        <f t="shared" si="101"/>
        <v>286.58342233729053</v>
      </c>
    </row>
    <row r="2120" spans="1:6" x14ac:dyDescent="0.25">
      <c r="A2120" s="10">
        <v>39881</v>
      </c>
      <c r="B2120" s="12">
        <f t="shared" si="99"/>
        <v>3</v>
      </c>
      <c r="C2120" s="12">
        <f t="shared" si="100"/>
        <v>2009</v>
      </c>
      <c r="D2120" s="13">
        <v>10250</v>
      </c>
      <c r="E2120" s="13">
        <v>35.655900000000003</v>
      </c>
      <c r="F2120" s="13">
        <f t="shared" si="101"/>
        <v>287.46995588387892</v>
      </c>
    </row>
    <row r="2121" spans="1:6" x14ac:dyDescent="0.25">
      <c r="A2121" s="10">
        <v>39882</v>
      </c>
      <c r="B2121" s="12">
        <f t="shared" si="99"/>
        <v>3</v>
      </c>
      <c r="C2121" s="12">
        <f t="shared" si="100"/>
        <v>2009</v>
      </c>
      <c r="D2121" s="13">
        <v>10250</v>
      </c>
      <c r="E2121" s="13">
        <v>35.068899999999999</v>
      </c>
      <c r="F2121" s="13">
        <f t="shared" si="101"/>
        <v>292.28176532483195</v>
      </c>
    </row>
    <row r="2122" spans="1:6" x14ac:dyDescent="0.25">
      <c r="A2122" s="10">
        <v>39883</v>
      </c>
      <c r="B2122" s="12">
        <f t="shared" si="99"/>
        <v>3</v>
      </c>
      <c r="C2122" s="12">
        <f t="shared" si="100"/>
        <v>2009</v>
      </c>
      <c r="D2122" s="13">
        <v>10250</v>
      </c>
      <c r="E2122" s="13">
        <v>34.994</v>
      </c>
      <c r="F2122" s="13">
        <f t="shared" si="101"/>
        <v>292.90735554666514</v>
      </c>
    </row>
    <row r="2123" spans="1:6" x14ac:dyDescent="0.25">
      <c r="A2123" s="10">
        <v>39884</v>
      </c>
      <c r="B2123" s="12">
        <f t="shared" si="99"/>
        <v>3</v>
      </c>
      <c r="C2123" s="12">
        <f t="shared" si="100"/>
        <v>2009</v>
      </c>
      <c r="D2123" s="13">
        <v>10250</v>
      </c>
      <c r="E2123" s="13">
        <v>34.981400000000001</v>
      </c>
      <c r="F2123" s="13">
        <f t="shared" si="101"/>
        <v>293.01285826181913</v>
      </c>
    </row>
    <row r="2124" spans="1:6" x14ac:dyDescent="0.25">
      <c r="A2124" s="10">
        <v>39885</v>
      </c>
      <c r="B2124" s="12">
        <f t="shared" si="99"/>
        <v>3</v>
      </c>
      <c r="C2124" s="12">
        <f t="shared" si="100"/>
        <v>2009</v>
      </c>
      <c r="D2124" s="13">
        <v>10250</v>
      </c>
      <c r="E2124" s="13">
        <v>34.6785</v>
      </c>
      <c r="F2124" s="13">
        <f t="shared" si="101"/>
        <v>295.57218449471577</v>
      </c>
    </row>
    <row r="2125" spans="1:6" x14ac:dyDescent="0.25">
      <c r="A2125" s="10">
        <v>39888</v>
      </c>
      <c r="B2125" s="12">
        <f t="shared" si="99"/>
        <v>3</v>
      </c>
      <c r="C2125" s="12">
        <f t="shared" si="100"/>
        <v>2009</v>
      </c>
      <c r="D2125" s="13">
        <v>10250</v>
      </c>
      <c r="E2125" s="13">
        <v>34.6325</v>
      </c>
      <c r="F2125" s="13">
        <f t="shared" si="101"/>
        <v>295.96477297336315</v>
      </c>
    </row>
    <row r="2126" spans="1:6" x14ac:dyDescent="0.25">
      <c r="A2126" s="10">
        <v>39889</v>
      </c>
      <c r="B2126" s="12">
        <f t="shared" si="99"/>
        <v>3</v>
      </c>
      <c r="C2126" s="12">
        <f t="shared" si="100"/>
        <v>2009</v>
      </c>
      <c r="D2126" s="13">
        <v>10250</v>
      </c>
      <c r="E2126" s="13">
        <v>34.496099999999998</v>
      </c>
      <c r="F2126" s="13">
        <f t="shared" si="101"/>
        <v>297.13503845362231</v>
      </c>
    </row>
    <row r="2127" spans="1:6" x14ac:dyDescent="0.25">
      <c r="A2127" s="10">
        <v>39890</v>
      </c>
      <c r="B2127" s="12">
        <f t="shared" si="99"/>
        <v>3</v>
      </c>
      <c r="C2127" s="12">
        <f t="shared" si="100"/>
        <v>2009</v>
      </c>
      <c r="D2127" s="13">
        <v>10250</v>
      </c>
      <c r="E2127" s="13">
        <v>33.932400000000001</v>
      </c>
      <c r="F2127" s="13">
        <f t="shared" si="101"/>
        <v>302.07117681036414</v>
      </c>
    </row>
    <row r="2128" spans="1:6" x14ac:dyDescent="0.25">
      <c r="A2128" s="10">
        <v>39891</v>
      </c>
      <c r="B2128" s="12">
        <f t="shared" si="99"/>
        <v>3</v>
      </c>
      <c r="C2128" s="12">
        <f t="shared" si="100"/>
        <v>2009</v>
      </c>
      <c r="D2128" s="13">
        <v>10250</v>
      </c>
      <c r="E2128" s="13">
        <v>33.3416</v>
      </c>
      <c r="F2128" s="13">
        <f t="shared" si="101"/>
        <v>307.4237589077909</v>
      </c>
    </row>
    <row r="2129" spans="1:6" x14ac:dyDescent="0.25">
      <c r="A2129" s="10">
        <v>39892</v>
      </c>
      <c r="B2129" s="12">
        <f t="shared" si="99"/>
        <v>3</v>
      </c>
      <c r="C2129" s="12">
        <f t="shared" si="100"/>
        <v>2009</v>
      </c>
      <c r="D2129" s="13">
        <v>10250</v>
      </c>
      <c r="E2129" s="13">
        <v>33.501800000000003</v>
      </c>
      <c r="F2129" s="13">
        <f t="shared" si="101"/>
        <v>305.9537099499131</v>
      </c>
    </row>
    <row r="2130" spans="1:6" x14ac:dyDescent="0.25">
      <c r="A2130" s="10">
        <v>39895</v>
      </c>
      <c r="B2130" s="12">
        <f t="shared" si="99"/>
        <v>3</v>
      </c>
      <c r="C2130" s="12">
        <f t="shared" si="100"/>
        <v>2009</v>
      </c>
      <c r="D2130" s="13">
        <v>10250</v>
      </c>
      <c r="E2130" s="13">
        <v>33.186</v>
      </c>
      <c r="F2130" s="13">
        <f t="shared" si="101"/>
        <v>308.8651841137829</v>
      </c>
    </row>
    <row r="2131" spans="1:6" x14ac:dyDescent="0.25">
      <c r="A2131" s="10">
        <v>39896</v>
      </c>
      <c r="B2131" s="12">
        <f t="shared" si="99"/>
        <v>3</v>
      </c>
      <c r="C2131" s="12">
        <f t="shared" si="100"/>
        <v>2009</v>
      </c>
      <c r="D2131" s="13">
        <v>10250</v>
      </c>
      <c r="E2131" s="13">
        <v>33.490099999999998</v>
      </c>
      <c r="F2131" s="13">
        <f t="shared" si="101"/>
        <v>306.06059701225138</v>
      </c>
    </row>
    <row r="2132" spans="1:6" x14ac:dyDescent="0.25">
      <c r="A2132" s="10">
        <v>39897</v>
      </c>
      <c r="B2132" s="12">
        <f t="shared" si="99"/>
        <v>3</v>
      </c>
      <c r="C2132" s="12">
        <f t="shared" si="100"/>
        <v>2009</v>
      </c>
      <c r="D2132" s="13">
        <v>10250</v>
      </c>
      <c r="E2132" s="13">
        <v>33.584299999999999</v>
      </c>
      <c r="F2132" s="13">
        <f t="shared" si="101"/>
        <v>305.20213313959204</v>
      </c>
    </row>
    <row r="2133" spans="1:6" x14ac:dyDescent="0.25">
      <c r="A2133" s="10">
        <v>39898</v>
      </c>
      <c r="B2133" s="12">
        <f t="shared" si="99"/>
        <v>3</v>
      </c>
      <c r="C2133" s="12">
        <f t="shared" si="100"/>
        <v>2009</v>
      </c>
      <c r="D2133" s="13">
        <v>10250</v>
      </c>
      <c r="E2133" s="13">
        <v>33.412799999999997</v>
      </c>
      <c r="F2133" s="13">
        <f t="shared" si="101"/>
        <v>306.76866350620122</v>
      </c>
    </row>
    <row r="2134" spans="1:6" x14ac:dyDescent="0.25">
      <c r="A2134" s="10">
        <v>39899</v>
      </c>
      <c r="B2134" s="12">
        <f t="shared" si="99"/>
        <v>3</v>
      </c>
      <c r="C2134" s="12">
        <f t="shared" si="100"/>
        <v>2009</v>
      </c>
      <c r="D2134" s="13">
        <v>10250</v>
      </c>
      <c r="E2134" s="13">
        <v>33.741300000000003</v>
      </c>
      <c r="F2134" s="13">
        <f t="shared" si="101"/>
        <v>303.78201195567448</v>
      </c>
    </row>
    <row r="2135" spans="1:6" x14ac:dyDescent="0.25">
      <c r="A2135" s="10">
        <v>39902</v>
      </c>
      <c r="B2135" s="12">
        <f t="shared" si="99"/>
        <v>3</v>
      </c>
      <c r="C2135" s="12">
        <f t="shared" si="100"/>
        <v>2009</v>
      </c>
      <c r="D2135" s="13">
        <v>10000</v>
      </c>
      <c r="E2135" s="13">
        <v>33.96</v>
      </c>
      <c r="F2135" s="13">
        <f t="shared" si="101"/>
        <v>294.46407538280329</v>
      </c>
    </row>
    <row r="2136" spans="1:6" x14ac:dyDescent="0.25">
      <c r="A2136" s="10">
        <v>39903</v>
      </c>
      <c r="B2136" s="12">
        <f t="shared" si="99"/>
        <v>3</v>
      </c>
      <c r="C2136" s="12">
        <f t="shared" si="100"/>
        <v>2009</v>
      </c>
      <c r="D2136" s="13">
        <v>10000</v>
      </c>
      <c r="E2136" s="13">
        <v>33.954000000000001</v>
      </c>
      <c r="F2136" s="13">
        <f t="shared" si="101"/>
        <v>294.51611003121872</v>
      </c>
    </row>
    <row r="2137" spans="1:6" x14ac:dyDescent="0.25">
      <c r="A2137" s="10">
        <v>39904</v>
      </c>
      <c r="B2137" s="12">
        <f t="shared" si="99"/>
        <v>4</v>
      </c>
      <c r="C2137" s="12">
        <f t="shared" si="100"/>
        <v>2009</v>
      </c>
      <c r="D2137" s="13">
        <v>10000</v>
      </c>
      <c r="E2137" s="13">
        <v>33.880000000000003</v>
      </c>
      <c r="F2137" s="13">
        <f t="shared" si="101"/>
        <v>295.15938606847698</v>
      </c>
    </row>
    <row r="2138" spans="1:6" x14ac:dyDescent="0.25">
      <c r="A2138" s="10">
        <v>39905</v>
      </c>
      <c r="B2138" s="12">
        <f t="shared" si="99"/>
        <v>4</v>
      </c>
      <c r="C2138" s="12">
        <f t="shared" si="100"/>
        <v>2009</v>
      </c>
      <c r="D2138" s="13">
        <v>10000</v>
      </c>
      <c r="E2138" s="13">
        <v>33.381</v>
      </c>
      <c r="F2138" s="13">
        <f t="shared" si="101"/>
        <v>299.57161259399061</v>
      </c>
    </row>
    <row r="2139" spans="1:6" x14ac:dyDescent="0.25">
      <c r="A2139" s="10">
        <v>39906</v>
      </c>
      <c r="B2139" s="12">
        <f t="shared" si="99"/>
        <v>4</v>
      </c>
      <c r="C2139" s="12">
        <f t="shared" si="100"/>
        <v>2009</v>
      </c>
      <c r="D2139" s="13">
        <v>10000</v>
      </c>
      <c r="E2139" s="13">
        <v>33.298000000000002</v>
      </c>
      <c r="F2139" s="13">
        <f t="shared" si="101"/>
        <v>300.31833743768391</v>
      </c>
    </row>
    <row r="2140" spans="1:6" x14ac:dyDescent="0.25">
      <c r="A2140" s="10">
        <v>39909</v>
      </c>
      <c r="B2140" s="12">
        <f t="shared" si="99"/>
        <v>4</v>
      </c>
      <c r="C2140" s="12">
        <f t="shared" si="100"/>
        <v>2009</v>
      </c>
      <c r="D2140" s="13">
        <v>9400</v>
      </c>
      <c r="E2140" s="13">
        <v>33.3857</v>
      </c>
      <c r="F2140" s="13">
        <f t="shared" si="101"/>
        <v>281.55767289588056</v>
      </c>
    </row>
    <row r="2141" spans="1:6" x14ac:dyDescent="0.25">
      <c r="A2141" s="10">
        <v>39910</v>
      </c>
      <c r="B2141" s="12">
        <f t="shared" si="99"/>
        <v>4</v>
      </c>
      <c r="C2141" s="12">
        <f t="shared" si="100"/>
        <v>2009</v>
      </c>
      <c r="D2141" s="13">
        <v>9400</v>
      </c>
      <c r="E2141" s="13">
        <v>33.543999999999997</v>
      </c>
      <c r="F2141" s="13">
        <f t="shared" si="101"/>
        <v>280.22895301693302</v>
      </c>
    </row>
    <row r="2142" spans="1:6" x14ac:dyDescent="0.25">
      <c r="A2142" s="10">
        <v>39911</v>
      </c>
      <c r="B2142" s="12">
        <f t="shared" si="99"/>
        <v>4</v>
      </c>
      <c r="C2142" s="12">
        <f t="shared" si="100"/>
        <v>2009</v>
      </c>
      <c r="D2142" s="13">
        <v>9400</v>
      </c>
      <c r="E2142" s="13">
        <v>33.680999999999997</v>
      </c>
      <c r="F2142" s="13">
        <f t="shared" si="101"/>
        <v>279.0891006799086</v>
      </c>
    </row>
    <row r="2143" spans="1:6" x14ac:dyDescent="0.25">
      <c r="A2143" s="10">
        <v>39912</v>
      </c>
      <c r="B2143" s="12">
        <f t="shared" si="99"/>
        <v>4</v>
      </c>
      <c r="C2143" s="12">
        <f t="shared" si="100"/>
        <v>2009</v>
      </c>
      <c r="D2143" s="13">
        <v>9400</v>
      </c>
      <c r="E2143" s="13">
        <v>33.625999999999998</v>
      </c>
      <c r="F2143" s="13">
        <f t="shared" si="101"/>
        <v>279.54558972223879</v>
      </c>
    </row>
    <row r="2144" spans="1:6" x14ac:dyDescent="0.25">
      <c r="A2144" s="10">
        <v>39916</v>
      </c>
      <c r="B2144" s="12">
        <f t="shared" si="99"/>
        <v>4</v>
      </c>
      <c r="C2144" s="12">
        <f t="shared" si="100"/>
        <v>2009</v>
      </c>
      <c r="D2144" s="13">
        <v>9400</v>
      </c>
      <c r="E2144" s="13">
        <v>33.285800000000002</v>
      </c>
      <c r="F2144" s="13">
        <f t="shared" si="101"/>
        <v>282.40270625912552</v>
      </c>
    </row>
    <row r="2145" spans="1:6" x14ac:dyDescent="0.25">
      <c r="A2145" s="10">
        <v>39917</v>
      </c>
      <c r="B2145" s="12">
        <f t="shared" si="99"/>
        <v>4</v>
      </c>
      <c r="C2145" s="12">
        <f t="shared" si="100"/>
        <v>2009</v>
      </c>
      <c r="D2145" s="13">
        <v>9400</v>
      </c>
      <c r="E2145" s="13">
        <v>33.4</v>
      </c>
      <c r="F2145" s="13">
        <f t="shared" si="101"/>
        <v>281.43712574850298</v>
      </c>
    </row>
    <row r="2146" spans="1:6" x14ac:dyDescent="0.25">
      <c r="A2146" s="10">
        <v>39918</v>
      </c>
      <c r="B2146" s="12">
        <f t="shared" si="99"/>
        <v>4</v>
      </c>
      <c r="C2146" s="12">
        <f t="shared" si="100"/>
        <v>2009</v>
      </c>
      <c r="D2146" s="13">
        <v>9400</v>
      </c>
      <c r="E2146" s="13">
        <v>33.413800000000002</v>
      </c>
      <c r="F2146" s="13">
        <f t="shared" si="101"/>
        <v>281.32089136823708</v>
      </c>
    </row>
    <row r="2147" spans="1:6" x14ac:dyDescent="0.25">
      <c r="A2147" s="10">
        <v>39919</v>
      </c>
      <c r="B2147" s="12">
        <f t="shared" si="99"/>
        <v>4</v>
      </c>
      <c r="C2147" s="12">
        <f t="shared" si="100"/>
        <v>2009</v>
      </c>
      <c r="D2147" s="13">
        <v>9400</v>
      </c>
      <c r="E2147" s="13">
        <v>33.380000000000003</v>
      </c>
      <c r="F2147" s="13">
        <f t="shared" si="101"/>
        <v>281.6057519472738</v>
      </c>
    </row>
    <row r="2148" spans="1:6" x14ac:dyDescent="0.25">
      <c r="A2148" s="10">
        <v>39920</v>
      </c>
      <c r="B2148" s="12">
        <f t="shared" si="99"/>
        <v>4</v>
      </c>
      <c r="C2148" s="12">
        <f t="shared" si="100"/>
        <v>2009</v>
      </c>
      <c r="D2148" s="13">
        <v>9400</v>
      </c>
      <c r="E2148" s="13">
        <v>33.459600000000002</v>
      </c>
      <c r="F2148" s="13">
        <f t="shared" si="101"/>
        <v>280.93581513227889</v>
      </c>
    </row>
    <row r="2149" spans="1:6" x14ac:dyDescent="0.25">
      <c r="A2149" s="10">
        <v>39923</v>
      </c>
      <c r="B2149" s="12">
        <f t="shared" si="99"/>
        <v>4</v>
      </c>
      <c r="C2149" s="12">
        <f t="shared" si="100"/>
        <v>2009</v>
      </c>
      <c r="D2149" s="13">
        <v>9100</v>
      </c>
      <c r="E2149" s="13">
        <v>33.921599999999998</v>
      </c>
      <c r="F2149" s="13">
        <f t="shared" si="101"/>
        <v>268.26564784679971</v>
      </c>
    </row>
    <row r="2150" spans="1:6" x14ac:dyDescent="0.25">
      <c r="A2150" s="10">
        <v>39924</v>
      </c>
      <c r="B2150" s="12">
        <f t="shared" si="99"/>
        <v>4</v>
      </c>
      <c r="C2150" s="12">
        <f t="shared" si="100"/>
        <v>2009</v>
      </c>
      <c r="D2150" s="13">
        <v>9100</v>
      </c>
      <c r="E2150" s="13">
        <v>34.182000000000002</v>
      </c>
      <c r="F2150" s="13">
        <f t="shared" si="101"/>
        <v>266.22198818091391</v>
      </c>
    </row>
    <row r="2151" spans="1:6" x14ac:dyDescent="0.25">
      <c r="A2151" s="10">
        <v>39925</v>
      </c>
      <c r="B2151" s="12">
        <f t="shared" si="99"/>
        <v>4</v>
      </c>
      <c r="C2151" s="12">
        <f t="shared" si="100"/>
        <v>2009</v>
      </c>
      <c r="D2151" s="13">
        <v>9100</v>
      </c>
      <c r="E2151" s="13">
        <v>33.920999999999999</v>
      </c>
      <c r="F2151" s="13">
        <f t="shared" si="101"/>
        <v>268.27039297190532</v>
      </c>
    </row>
    <row r="2152" spans="1:6" x14ac:dyDescent="0.25">
      <c r="A2152" s="10">
        <v>39926</v>
      </c>
      <c r="B2152" s="12">
        <f t="shared" si="99"/>
        <v>4</v>
      </c>
      <c r="C2152" s="12">
        <f t="shared" si="100"/>
        <v>2009</v>
      </c>
      <c r="D2152" s="13">
        <v>9100</v>
      </c>
      <c r="E2152" s="13">
        <v>33.471699999999998</v>
      </c>
      <c r="F2152" s="13">
        <f t="shared" si="101"/>
        <v>271.87146156305181</v>
      </c>
    </row>
    <row r="2153" spans="1:6" x14ac:dyDescent="0.25">
      <c r="A2153" s="10">
        <v>39927</v>
      </c>
      <c r="B2153" s="12">
        <f t="shared" si="99"/>
        <v>4</v>
      </c>
      <c r="C2153" s="12">
        <f t="shared" si="100"/>
        <v>2009</v>
      </c>
      <c r="D2153" s="13">
        <v>9100</v>
      </c>
      <c r="E2153" s="13">
        <v>33.198599999999999</v>
      </c>
      <c r="F2153" s="13">
        <f t="shared" si="101"/>
        <v>274.10794431090471</v>
      </c>
    </row>
    <row r="2154" spans="1:6" x14ac:dyDescent="0.25">
      <c r="A2154" s="10">
        <v>39930</v>
      </c>
      <c r="B2154" s="12">
        <f t="shared" si="99"/>
        <v>4</v>
      </c>
      <c r="C2154" s="12">
        <f t="shared" si="100"/>
        <v>2009</v>
      </c>
      <c r="D2154" s="13">
        <v>9100</v>
      </c>
      <c r="E2154" s="13">
        <v>33.503</v>
      </c>
      <c r="F2154" s="13">
        <f t="shared" si="101"/>
        <v>271.61746709249917</v>
      </c>
    </row>
    <row r="2155" spans="1:6" x14ac:dyDescent="0.25">
      <c r="A2155" s="10">
        <v>39931</v>
      </c>
      <c r="B2155" s="12">
        <f t="shared" si="99"/>
        <v>4</v>
      </c>
      <c r="C2155" s="12">
        <f t="shared" si="100"/>
        <v>2009</v>
      </c>
      <c r="D2155" s="13">
        <v>9100</v>
      </c>
      <c r="E2155" s="13">
        <v>33.363599999999998</v>
      </c>
      <c r="F2155" s="13">
        <f t="shared" si="101"/>
        <v>272.75234087448598</v>
      </c>
    </row>
    <row r="2156" spans="1:6" x14ac:dyDescent="0.25">
      <c r="A2156" s="10">
        <v>39932</v>
      </c>
      <c r="B2156" s="12">
        <f t="shared" si="99"/>
        <v>4</v>
      </c>
      <c r="C2156" s="12">
        <f t="shared" si="100"/>
        <v>2009</v>
      </c>
      <c r="D2156" s="13">
        <v>9100</v>
      </c>
      <c r="E2156" s="13">
        <v>33.158999999999999</v>
      </c>
      <c r="F2156" s="13">
        <f t="shared" si="101"/>
        <v>274.43529660122442</v>
      </c>
    </row>
    <row r="2157" spans="1:6" x14ac:dyDescent="0.25">
      <c r="A2157" s="10">
        <v>39933</v>
      </c>
      <c r="B2157" s="12">
        <f t="shared" si="99"/>
        <v>4</v>
      </c>
      <c r="C2157" s="12">
        <f t="shared" si="100"/>
        <v>2009</v>
      </c>
      <c r="D2157" s="13">
        <v>9100</v>
      </c>
      <c r="E2157" s="13">
        <v>33.116700000000002</v>
      </c>
      <c r="F2157" s="13">
        <f t="shared" si="101"/>
        <v>274.78583312950866</v>
      </c>
    </row>
    <row r="2158" spans="1:6" x14ac:dyDescent="0.25">
      <c r="A2158" s="10">
        <v>39934</v>
      </c>
      <c r="B2158" s="12">
        <f t="shared" si="99"/>
        <v>5</v>
      </c>
      <c r="C2158" s="12">
        <f t="shared" si="100"/>
        <v>2009</v>
      </c>
      <c r="D2158" s="13">
        <v>9100</v>
      </c>
      <c r="E2158" s="13">
        <v>33.060200000000002</v>
      </c>
      <c r="F2158" s="13">
        <f t="shared" si="101"/>
        <v>275.25544310076765</v>
      </c>
    </row>
    <row r="2159" spans="1:6" x14ac:dyDescent="0.25">
      <c r="A2159" s="10">
        <v>39937</v>
      </c>
      <c r="B2159" s="12">
        <f t="shared" si="99"/>
        <v>5</v>
      </c>
      <c r="C2159" s="12">
        <f t="shared" si="100"/>
        <v>2009</v>
      </c>
      <c r="D2159" s="13">
        <v>9100</v>
      </c>
      <c r="E2159" s="13">
        <v>32.78</v>
      </c>
      <c r="F2159" s="13">
        <f t="shared" si="101"/>
        <v>277.60829774252591</v>
      </c>
    </row>
    <row r="2160" spans="1:6" x14ac:dyDescent="0.25">
      <c r="A2160" s="10">
        <v>39938</v>
      </c>
      <c r="B2160" s="12">
        <f t="shared" si="99"/>
        <v>5</v>
      </c>
      <c r="C2160" s="12">
        <f t="shared" si="100"/>
        <v>2009</v>
      </c>
      <c r="D2160" s="13">
        <v>9100</v>
      </c>
      <c r="E2160" s="13">
        <v>32.847999999999999</v>
      </c>
      <c r="F2160" s="13">
        <f t="shared" si="101"/>
        <v>277.03360935216756</v>
      </c>
    </row>
    <row r="2161" spans="1:6" x14ac:dyDescent="0.25">
      <c r="A2161" s="10">
        <v>39939</v>
      </c>
      <c r="B2161" s="12">
        <f t="shared" si="99"/>
        <v>5</v>
      </c>
      <c r="C2161" s="12">
        <f t="shared" si="100"/>
        <v>2009</v>
      </c>
      <c r="D2161" s="13">
        <v>9100</v>
      </c>
      <c r="E2161" s="13">
        <v>32.801000000000002</v>
      </c>
      <c r="F2161" s="13">
        <f t="shared" si="101"/>
        <v>277.43056614127619</v>
      </c>
    </row>
    <row r="2162" spans="1:6" x14ac:dyDescent="0.25">
      <c r="A2162" s="10">
        <v>39940</v>
      </c>
      <c r="B2162" s="12">
        <f t="shared" si="99"/>
        <v>5</v>
      </c>
      <c r="C2162" s="12">
        <f t="shared" si="100"/>
        <v>2009</v>
      </c>
      <c r="D2162" s="13">
        <v>9100</v>
      </c>
      <c r="E2162" s="13">
        <v>32.578600000000002</v>
      </c>
      <c r="F2162" s="13">
        <f t="shared" si="101"/>
        <v>279.32446452579302</v>
      </c>
    </row>
    <row r="2163" spans="1:6" x14ac:dyDescent="0.25">
      <c r="A2163" s="10">
        <v>39941</v>
      </c>
      <c r="B2163" s="12">
        <f t="shared" si="99"/>
        <v>5</v>
      </c>
      <c r="C2163" s="12">
        <f t="shared" si="100"/>
        <v>2009</v>
      </c>
      <c r="D2163" s="13">
        <v>9100</v>
      </c>
      <c r="E2163" s="13">
        <v>32.242800000000003</v>
      </c>
      <c r="F2163" s="13">
        <f t="shared" si="101"/>
        <v>282.23355291724039</v>
      </c>
    </row>
    <row r="2164" spans="1:6" x14ac:dyDescent="0.25">
      <c r="A2164" s="10">
        <v>39944</v>
      </c>
      <c r="B2164" s="12">
        <f t="shared" si="99"/>
        <v>5</v>
      </c>
      <c r="C2164" s="12">
        <f t="shared" si="100"/>
        <v>2009</v>
      </c>
      <c r="D2164" s="13">
        <v>9200</v>
      </c>
      <c r="E2164" s="13">
        <v>32.307000000000002</v>
      </c>
      <c r="F2164" s="13">
        <f t="shared" si="101"/>
        <v>284.7680069334819</v>
      </c>
    </row>
    <row r="2165" spans="1:6" x14ac:dyDescent="0.25">
      <c r="A2165" s="10">
        <v>39945</v>
      </c>
      <c r="B2165" s="12">
        <f t="shared" si="99"/>
        <v>5</v>
      </c>
      <c r="C2165" s="12">
        <f t="shared" si="100"/>
        <v>2009</v>
      </c>
      <c r="D2165" s="13">
        <v>9200</v>
      </c>
      <c r="E2165" s="13">
        <v>32.072000000000003</v>
      </c>
      <c r="F2165" s="13">
        <f t="shared" si="101"/>
        <v>286.85457720129705</v>
      </c>
    </row>
    <row r="2166" spans="1:6" x14ac:dyDescent="0.25">
      <c r="A2166" s="10">
        <v>39946</v>
      </c>
      <c r="B2166" s="12">
        <f t="shared" si="99"/>
        <v>5</v>
      </c>
      <c r="C2166" s="12">
        <f t="shared" si="100"/>
        <v>2009</v>
      </c>
      <c r="D2166" s="13">
        <v>9200</v>
      </c>
      <c r="E2166" s="13">
        <v>32.038499999999999</v>
      </c>
      <c r="F2166" s="13">
        <f t="shared" si="101"/>
        <v>287.15451722146793</v>
      </c>
    </row>
    <row r="2167" spans="1:6" x14ac:dyDescent="0.25">
      <c r="A2167" s="10">
        <v>39947</v>
      </c>
      <c r="B2167" s="12">
        <f t="shared" si="99"/>
        <v>5</v>
      </c>
      <c r="C2167" s="12">
        <f t="shared" si="100"/>
        <v>2009</v>
      </c>
      <c r="D2167" s="13">
        <v>9200</v>
      </c>
      <c r="E2167" s="13">
        <v>32.127499999999998</v>
      </c>
      <c r="F2167" s="13">
        <f t="shared" si="101"/>
        <v>286.35903820714344</v>
      </c>
    </row>
    <row r="2168" spans="1:6" x14ac:dyDescent="0.25">
      <c r="A2168" s="10">
        <v>39948</v>
      </c>
      <c r="B2168" s="12">
        <f t="shared" si="99"/>
        <v>5</v>
      </c>
      <c r="C2168" s="12">
        <f t="shared" si="100"/>
        <v>2009</v>
      </c>
      <c r="D2168" s="13">
        <v>9200</v>
      </c>
      <c r="E2168" s="13">
        <v>32.176000000000002</v>
      </c>
      <c r="F2168" s="13">
        <f t="shared" si="101"/>
        <v>285.92739930382891</v>
      </c>
    </row>
    <row r="2169" spans="1:6" x14ac:dyDescent="0.25">
      <c r="A2169" s="10">
        <v>39951</v>
      </c>
      <c r="B2169" s="12">
        <f t="shared" si="99"/>
        <v>5</v>
      </c>
      <c r="C2169" s="12">
        <f t="shared" si="100"/>
        <v>2009</v>
      </c>
      <c r="D2169" s="13">
        <v>9350</v>
      </c>
      <c r="E2169" s="13">
        <v>32.036999999999999</v>
      </c>
      <c r="F2169" s="13">
        <f t="shared" si="101"/>
        <v>291.85004838155885</v>
      </c>
    </row>
    <row r="2170" spans="1:6" x14ac:dyDescent="0.25">
      <c r="A2170" s="10">
        <v>39952</v>
      </c>
      <c r="B2170" s="12">
        <f t="shared" si="99"/>
        <v>5</v>
      </c>
      <c r="C2170" s="12">
        <f t="shared" si="100"/>
        <v>2009</v>
      </c>
      <c r="D2170" s="13">
        <v>9350</v>
      </c>
      <c r="E2170" s="13">
        <v>31.826699999999999</v>
      </c>
      <c r="F2170" s="13">
        <f t="shared" si="101"/>
        <v>293.77849415742128</v>
      </c>
    </row>
    <row r="2171" spans="1:6" x14ac:dyDescent="0.25">
      <c r="A2171" s="10">
        <v>39953</v>
      </c>
      <c r="B2171" s="12">
        <f t="shared" si="99"/>
        <v>5</v>
      </c>
      <c r="C2171" s="12">
        <f t="shared" si="100"/>
        <v>2009</v>
      </c>
      <c r="D2171" s="13">
        <v>9350</v>
      </c>
      <c r="E2171" s="13">
        <v>31.546199999999999</v>
      </c>
      <c r="F2171" s="13">
        <f t="shared" si="101"/>
        <v>296.39069047936044</v>
      </c>
    </row>
    <row r="2172" spans="1:6" x14ac:dyDescent="0.25">
      <c r="A2172" s="10">
        <v>39954</v>
      </c>
      <c r="B2172" s="12">
        <f t="shared" si="99"/>
        <v>5</v>
      </c>
      <c r="C2172" s="12">
        <f t="shared" si="100"/>
        <v>2009</v>
      </c>
      <c r="D2172" s="13">
        <v>9350</v>
      </c>
      <c r="E2172" s="13">
        <v>31.32</v>
      </c>
      <c r="F2172" s="13">
        <f t="shared" si="101"/>
        <v>298.53128991060026</v>
      </c>
    </row>
    <row r="2173" spans="1:6" x14ac:dyDescent="0.25">
      <c r="A2173" s="10">
        <v>39955</v>
      </c>
      <c r="B2173" s="12">
        <f t="shared" si="99"/>
        <v>5</v>
      </c>
      <c r="C2173" s="12">
        <f t="shared" si="100"/>
        <v>2009</v>
      </c>
      <c r="D2173" s="13">
        <v>9350</v>
      </c>
      <c r="E2173" s="13">
        <v>31.062999999999999</v>
      </c>
      <c r="F2173" s="13">
        <f t="shared" si="101"/>
        <v>301.00119112770824</v>
      </c>
    </row>
    <row r="2174" spans="1:6" x14ac:dyDescent="0.25">
      <c r="A2174" s="10">
        <v>39959</v>
      </c>
      <c r="B2174" s="12">
        <f t="shared" si="99"/>
        <v>5</v>
      </c>
      <c r="C2174" s="12">
        <f t="shared" si="100"/>
        <v>2009</v>
      </c>
      <c r="D2174" s="13">
        <v>9600</v>
      </c>
      <c r="E2174" s="13">
        <v>31.322900000000001</v>
      </c>
      <c r="F2174" s="13">
        <f t="shared" si="101"/>
        <v>306.4850317180082</v>
      </c>
    </row>
    <row r="2175" spans="1:6" x14ac:dyDescent="0.25">
      <c r="A2175" s="10">
        <v>39960</v>
      </c>
      <c r="B2175" s="12">
        <f t="shared" si="99"/>
        <v>5</v>
      </c>
      <c r="C2175" s="12">
        <f t="shared" si="100"/>
        <v>2009</v>
      </c>
      <c r="D2175" s="13">
        <v>9600</v>
      </c>
      <c r="E2175" s="13">
        <v>31.254000000000001</v>
      </c>
      <c r="F2175" s="13">
        <f t="shared" si="101"/>
        <v>307.16068343252061</v>
      </c>
    </row>
    <row r="2176" spans="1:6" x14ac:dyDescent="0.25">
      <c r="A2176" s="10">
        <v>39961</v>
      </c>
      <c r="B2176" s="12">
        <f t="shared" si="99"/>
        <v>5</v>
      </c>
      <c r="C2176" s="12">
        <f t="shared" si="100"/>
        <v>2009</v>
      </c>
      <c r="D2176" s="13">
        <v>9600</v>
      </c>
      <c r="E2176" s="13">
        <v>31.106000000000002</v>
      </c>
      <c r="F2176" s="13">
        <f t="shared" si="101"/>
        <v>308.62213077862788</v>
      </c>
    </row>
    <row r="2177" spans="1:6" x14ac:dyDescent="0.25">
      <c r="A2177" s="10">
        <v>39962</v>
      </c>
      <c r="B2177" s="12">
        <f t="shared" si="99"/>
        <v>5</v>
      </c>
      <c r="C2177" s="12">
        <f t="shared" si="100"/>
        <v>2009</v>
      </c>
      <c r="D2177" s="13">
        <v>9600</v>
      </c>
      <c r="E2177" s="13">
        <v>30.7837</v>
      </c>
      <c r="F2177" s="13">
        <f t="shared" si="101"/>
        <v>311.85335096171025</v>
      </c>
    </row>
    <row r="2178" spans="1:6" x14ac:dyDescent="0.25">
      <c r="A2178" s="10">
        <v>39965</v>
      </c>
      <c r="B2178" s="12">
        <f t="shared" si="99"/>
        <v>6</v>
      </c>
      <c r="C2178" s="12">
        <f t="shared" si="100"/>
        <v>2009</v>
      </c>
      <c r="D2178" s="13">
        <v>9600</v>
      </c>
      <c r="E2178" s="13">
        <v>30.658000000000001</v>
      </c>
      <c r="F2178" s="13">
        <f t="shared" si="101"/>
        <v>313.1319720790658</v>
      </c>
    </row>
    <row r="2179" spans="1:6" x14ac:dyDescent="0.25">
      <c r="A2179" s="10">
        <v>39966</v>
      </c>
      <c r="B2179" s="12">
        <f t="shared" ref="B2179:B2242" si="102">MONTH(A2179)</f>
        <v>6</v>
      </c>
      <c r="C2179" s="12">
        <f t="shared" ref="C2179:C2242" si="103">YEAR(A2179)</f>
        <v>2009</v>
      </c>
      <c r="D2179" s="13">
        <v>9600</v>
      </c>
      <c r="E2179" s="13">
        <v>30.536799999999999</v>
      </c>
      <c r="F2179" s="13">
        <f t="shared" ref="F2179:F2242" si="104">IF(D2179="","",D2179/E2179)</f>
        <v>314.37478714207123</v>
      </c>
    </row>
    <row r="2180" spans="1:6" x14ac:dyDescent="0.25">
      <c r="A2180" s="10">
        <v>39967</v>
      </c>
      <c r="B2180" s="12">
        <f t="shared" si="102"/>
        <v>6</v>
      </c>
      <c r="C2180" s="12">
        <f t="shared" si="103"/>
        <v>2009</v>
      </c>
      <c r="D2180" s="13">
        <v>9600</v>
      </c>
      <c r="E2180" s="13">
        <v>30.890699999999999</v>
      </c>
      <c r="F2180" s="13">
        <f t="shared" si="104"/>
        <v>310.77314531558045</v>
      </c>
    </row>
    <row r="2181" spans="1:6" x14ac:dyDescent="0.25">
      <c r="A2181" s="10">
        <v>39968</v>
      </c>
      <c r="B2181" s="12">
        <f t="shared" si="102"/>
        <v>6</v>
      </c>
      <c r="C2181" s="12">
        <f t="shared" si="103"/>
        <v>2009</v>
      </c>
      <c r="D2181" s="13">
        <v>9600</v>
      </c>
      <c r="E2181" s="13">
        <v>30.826899999999998</v>
      </c>
      <c r="F2181" s="13">
        <f t="shared" si="104"/>
        <v>311.41632794734471</v>
      </c>
    </row>
    <row r="2182" spans="1:6" x14ac:dyDescent="0.25">
      <c r="A2182" s="10">
        <v>39969</v>
      </c>
      <c r="B2182" s="12">
        <f t="shared" si="102"/>
        <v>6</v>
      </c>
      <c r="C2182" s="12">
        <f t="shared" si="103"/>
        <v>2009</v>
      </c>
      <c r="D2182" s="13">
        <v>9600</v>
      </c>
      <c r="E2182" s="13">
        <v>30.936299999999999</v>
      </c>
      <c r="F2182" s="13">
        <f t="shared" si="104"/>
        <v>310.3150667662261</v>
      </c>
    </row>
    <row r="2183" spans="1:6" x14ac:dyDescent="0.25">
      <c r="A2183" s="10">
        <v>39972</v>
      </c>
      <c r="B2183" s="12">
        <f t="shared" si="102"/>
        <v>6</v>
      </c>
      <c r="C2183" s="12">
        <f t="shared" si="103"/>
        <v>2009</v>
      </c>
      <c r="D2183" s="13">
        <v>9600</v>
      </c>
      <c r="E2183" s="13">
        <v>31.400500000000001</v>
      </c>
      <c r="F2183" s="13">
        <f t="shared" si="104"/>
        <v>305.72761580229616</v>
      </c>
    </row>
    <row r="2184" spans="1:6" x14ac:dyDescent="0.25">
      <c r="A2184" s="10">
        <v>39973</v>
      </c>
      <c r="B2184" s="12">
        <f t="shared" si="102"/>
        <v>6</v>
      </c>
      <c r="C2184" s="12">
        <f t="shared" si="103"/>
        <v>2009</v>
      </c>
      <c r="D2184" s="13">
        <v>9600</v>
      </c>
      <c r="E2184" s="13">
        <v>31.08</v>
      </c>
      <c r="F2184" s="13">
        <f t="shared" si="104"/>
        <v>308.88030888030892</v>
      </c>
    </row>
    <row r="2185" spans="1:6" x14ac:dyDescent="0.25">
      <c r="A2185" s="10">
        <v>39974</v>
      </c>
      <c r="B2185" s="12">
        <f t="shared" si="102"/>
        <v>6</v>
      </c>
      <c r="C2185" s="12">
        <f t="shared" si="103"/>
        <v>2009</v>
      </c>
      <c r="D2185" s="13">
        <v>9600</v>
      </c>
      <c r="E2185" s="13">
        <v>30.9755</v>
      </c>
      <c r="F2185" s="13">
        <f t="shared" si="104"/>
        <v>309.92235799260703</v>
      </c>
    </row>
    <row r="2186" spans="1:6" x14ac:dyDescent="0.25">
      <c r="A2186" s="10">
        <v>39975</v>
      </c>
      <c r="B2186" s="12">
        <f t="shared" si="102"/>
        <v>6</v>
      </c>
      <c r="C2186" s="12">
        <f t="shared" si="103"/>
        <v>2009</v>
      </c>
      <c r="D2186" s="13">
        <v>9600</v>
      </c>
      <c r="E2186" s="13">
        <v>30.8551</v>
      </c>
      <c r="F2186" s="13">
        <f t="shared" si="104"/>
        <v>311.13170918259868</v>
      </c>
    </row>
    <row r="2187" spans="1:6" x14ac:dyDescent="0.25">
      <c r="A2187" s="10">
        <v>39976</v>
      </c>
      <c r="B2187" s="12">
        <f t="shared" si="102"/>
        <v>6</v>
      </c>
      <c r="C2187" s="12">
        <f t="shared" si="103"/>
        <v>2009</v>
      </c>
      <c r="D2187" s="13">
        <v>9600</v>
      </c>
      <c r="E2187" s="13">
        <v>30.961500000000001</v>
      </c>
      <c r="F2187" s="13">
        <f t="shared" si="104"/>
        <v>310.06249697204589</v>
      </c>
    </row>
    <row r="2188" spans="1:6" x14ac:dyDescent="0.25">
      <c r="A2188" s="10">
        <v>39979</v>
      </c>
      <c r="B2188" s="12">
        <f t="shared" si="102"/>
        <v>6</v>
      </c>
      <c r="C2188" s="12">
        <f t="shared" si="103"/>
        <v>2009</v>
      </c>
      <c r="D2188" s="13">
        <v>9500</v>
      </c>
      <c r="E2188" s="13">
        <v>31.289899999999999</v>
      </c>
      <c r="F2188" s="13">
        <f t="shared" si="104"/>
        <v>303.6123477543872</v>
      </c>
    </row>
    <row r="2189" spans="1:6" x14ac:dyDescent="0.25">
      <c r="A2189" s="10">
        <v>39980</v>
      </c>
      <c r="B2189" s="12">
        <f t="shared" si="102"/>
        <v>6</v>
      </c>
      <c r="C2189" s="12">
        <f t="shared" si="103"/>
        <v>2009</v>
      </c>
      <c r="D2189" s="13">
        <v>9500</v>
      </c>
      <c r="E2189" s="13">
        <v>31.220199999999998</v>
      </c>
      <c r="F2189" s="13">
        <f t="shared" si="104"/>
        <v>304.29017110716779</v>
      </c>
    </row>
    <row r="2190" spans="1:6" x14ac:dyDescent="0.25">
      <c r="A2190" s="10">
        <v>39981</v>
      </c>
      <c r="B2190" s="12">
        <f t="shared" si="102"/>
        <v>6</v>
      </c>
      <c r="C2190" s="12">
        <f t="shared" si="103"/>
        <v>2009</v>
      </c>
      <c r="D2190" s="13">
        <v>9500</v>
      </c>
      <c r="E2190" s="13">
        <v>31.159500000000001</v>
      </c>
      <c r="F2190" s="13">
        <f t="shared" si="104"/>
        <v>304.88294099712766</v>
      </c>
    </row>
    <row r="2191" spans="1:6" x14ac:dyDescent="0.25">
      <c r="A2191" s="10">
        <v>39982</v>
      </c>
      <c r="B2191" s="12">
        <f t="shared" si="102"/>
        <v>6</v>
      </c>
      <c r="C2191" s="12">
        <f t="shared" si="103"/>
        <v>2009</v>
      </c>
      <c r="D2191" s="13">
        <v>9500</v>
      </c>
      <c r="E2191" s="13">
        <v>31.201499999999999</v>
      </c>
      <c r="F2191" s="13">
        <f t="shared" si="104"/>
        <v>304.47254138422835</v>
      </c>
    </row>
    <row r="2192" spans="1:6" x14ac:dyDescent="0.25">
      <c r="A2192" s="10">
        <v>39983</v>
      </c>
      <c r="B2192" s="12">
        <f t="shared" si="102"/>
        <v>6</v>
      </c>
      <c r="C2192" s="12">
        <f t="shared" si="103"/>
        <v>2009</v>
      </c>
      <c r="D2192" s="13">
        <v>9500</v>
      </c>
      <c r="E2192" s="13">
        <v>31.1081</v>
      </c>
      <c r="F2192" s="13">
        <f t="shared" si="104"/>
        <v>305.38669992702864</v>
      </c>
    </row>
    <row r="2193" spans="1:6" x14ac:dyDescent="0.25">
      <c r="A2193" s="10">
        <v>39986</v>
      </c>
      <c r="B2193" s="12">
        <f t="shared" si="102"/>
        <v>6</v>
      </c>
      <c r="C2193" s="12">
        <f t="shared" si="103"/>
        <v>2009</v>
      </c>
      <c r="D2193" s="13">
        <v>9500</v>
      </c>
      <c r="E2193" s="13">
        <v>31.351900000000001</v>
      </c>
      <c r="F2193" s="13">
        <f t="shared" si="104"/>
        <v>303.01193867038359</v>
      </c>
    </row>
    <row r="2194" spans="1:6" x14ac:dyDescent="0.25">
      <c r="A2194" s="10">
        <v>39987</v>
      </c>
      <c r="B2194" s="12">
        <f t="shared" si="102"/>
        <v>6</v>
      </c>
      <c r="C2194" s="12">
        <f t="shared" si="103"/>
        <v>2009</v>
      </c>
      <c r="D2194" s="13">
        <v>9500</v>
      </c>
      <c r="E2194" s="13">
        <v>31.209499999999998</v>
      </c>
      <c r="F2194" s="13">
        <f t="shared" si="104"/>
        <v>304.39449526586458</v>
      </c>
    </row>
    <row r="2195" spans="1:6" x14ac:dyDescent="0.25">
      <c r="A2195" s="10">
        <v>39988</v>
      </c>
      <c r="B2195" s="12">
        <f t="shared" si="102"/>
        <v>6</v>
      </c>
      <c r="C2195" s="12">
        <f t="shared" si="103"/>
        <v>2009</v>
      </c>
      <c r="D2195" s="13">
        <v>9500</v>
      </c>
      <c r="E2195" s="13">
        <v>31.3017</v>
      </c>
      <c r="F2195" s="13">
        <f t="shared" si="104"/>
        <v>303.49789308567904</v>
      </c>
    </row>
    <row r="2196" spans="1:6" x14ac:dyDescent="0.25">
      <c r="A2196" s="10">
        <v>39989</v>
      </c>
      <c r="B2196" s="12">
        <f t="shared" si="102"/>
        <v>6</v>
      </c>
      <c r="C2196" s="12">
        <f t="shared" si="103"/>
        <v>2009</v>
      </c>
      <c r="D2196" s="13">
        <v>9500</v>
      </c>
      <c r="E2196" s="13">
        <v>31.315999999999999</v>
      </c>
      <c r="F2196" s="13">
        <f t="shared" si="104"/>
        <v>303.3593051475284</v>
      </c>
    </row>
    <row r="2197" spans="1:6" x14ac:dyDescent="0.25">
      <c r="A2197" s="10">
        <v>39990</v>
      </c>
      <c r="B2197" s="12">
        <f t="shared" si="102"/>
        <v>6</v>
      </c>
      <c r="C2197" s="12">
        <f t="shared" si="103"/>
        <v>2009</v>
      </c>
      <c r="D2197" s="13">
        <v>9500</v>
      </c>
      <c r="E2197" s="13">
        <v>31.1586</v>
      </c>
      <c r="F2197" s="13">
        <f t="shared" si="104"/>
        <v>304.89174738274505</v>
      </c>
    </row>
    <row r="2198" spans="1:6" x14ac:dyDescent="0.25">
      <c r="A2198" s="10">
        <v>39993</v>
      </c>
      <c r="B2198" s="12">
        <f t="shared" si="102"/>
        <v>6</v>
      </c>
      <c r="C2198" s="12">
        <f t="shared" si="103"/>
        <v>2009</v>
      </c>
      <c r="D2198" s="13">
        <v>9500</v>
      </c>
      <c r="E2198" s="13">
        <v>31.186599999999999</v>
      </c>
      <c r="F2198" s="13">
        <f t="shared" si="104"/>
        <v>304.61800901669307</v>
      </c>
    </row>
    <row r="2199" spans="1:6" x14ac:dyDescent="0.25">
      <c r="A2199" s="10">
        <v>39994</v>
      </c>
      <c r="B2199" s="12">
        <f t="shared" si="102"/>
        <v>6</v>
      </c>
      <c r="C2199" s="12">
        <f t="shared" si="103"/>
        <v>2009</v>
      </c>
      <c r="D2199" s="13">
        <v>9500</v>
      </c>
      <c r="E2199" s="13">
        <v>31.158300000000001</v>
      </c>
      <c r="F2199" s="13">
        <f t="shared" si="104"/>
        <v>304.89468295767097</v>
      </c>
    </row>
    <row r="2200" spans="1:6" x14ac:dyDescent="0.25">
      <c r="A2200" s="10">
        <v>39995</v>
      </c>
      <c r="B2200" s="12">
        <f t="shared" si="102"/>
        <v>7</v>
      </c>
      <c r="C2200" s="12">
        <f t="shared" si="103"/>
        <v>2009</v>
      </c>
      <c r="D2200" s="13">
        <v>9500</v>
      </c>
      <c r="E2200" s="13">
        <v>30.9315</v>
      </c>
      <c r="F2200" s="13">
        <f t="shared" si="104"/>
        <v>307.1302717294667</v>
      </c>
    </row>
    <row r="2201" spans="1:6" x14ac:dyDescent="0.25">
      <c r="A2201" s="10">
        <v>39996</v>
      </c>
      <c r="B2201" s="12">
        <f t="shared" si="102"/>
        <v>7</v>
      </c>
      <c r="C2201" s="12">
        <f t="shared" si="103"/>
        <v>2009</v>
      </c>
      <c r="D2201" s="13">
        <v>9500</v>
      </c>
      <c r="E2201" s="13">
        <v>31.301100000000002</v>
      </c>
      <c r="F2201" s="13">
        <f t="shared" si="104"/>
        <v>303.50371073221066</v>
      </c>
    </row>
    <row r="2202" spans="1:6" x14ac:dyDescent="0.25">
      <c r="A2202" s="10">
        <v>40000</v>
      </c>
      <c r="B2202" s="12">
        <f t="shared" si="102"/>
        <v>7</v>
      </c>
      <c r="C2202" s="12">
        <f t="shared" si="103"/>
        <v>2009</v>
      </c>
      <c r="D2202" s="13">
        <v>9250</v>
      </c>
      <c r="E2202" s="13">
        <v>31.4026</v>
      </c>
      <c r="F2202" s="13">
        <f t="shared" si="104"/>
        <v>294.56159681045517</v>
      </c>
    </row>
    <row r="2203" spans="1:6" x14ac:dyDescent="0.25">
      <c r="A2203" s="10">
        <v>40001</v>
      </c>
      <c r="B2203" s="12">
        <f t="shared" si="102"/>
        <v>7</v>
      </c>
      <c r="C2203" s="12">
        <f t="shared" si="103"/>
        <v>2009</v>
      </c>
      <c r="D2203" s="13">
        <v>9250</v>
      </c>
      <c r="E2203" s="13">
        <v>31.556000000000001</v>
      </c>
      <c r="F2203" s="13">
        <f t="shared" si="104"/>
        <v>293.12967422994041</v>
      </c>
    </row>
    <row r="2204" spans="1:6" x14ac:dyDescent="0.25">
      <c r="A2204" s="10">
        <v>40002</v>
      </c>
      <c r="B2204" s="12">
        <f t="shared" si="102"/>
        <v>7</v>
      </c>
      <c r="C2204" s="12">
        <f t="shared" si="103"/>
        <v>2009</v>
      </c>
      <c r="D2204" s="13">
        <v>9250</v>
      </c>
      <c r="E2204" s="13">
        <v>31.856000000000002</v>
      </c>
      <c r="F2204" s="13">
        <f t="shared" si="104"/>
        <v>290.3691612255148</v>
      </c>
    </row>
    <row r="2205" spans="1:6" x14ac:dyDescent="0.25">
      <c r="A2205" s="10">
        <v>40003</v>
      </c>
      <c r="B2205" s="12">
        <f t="shared" si="102"/>
        <v>7</v>
      </c>
      <c r="C2205" s="12">
        <f t="shared" si="103"/>
        <v>2009</v>
      </c>
      <c r="D2205" s="13">
        <v>9250</v>
      </c>
      <c r="E2205" s="13">
        <v>31.750599999999999</v>
      </c>
      <c r="F2205" s="13">
        <f t="shared" si="104"/>
        <v>291.33307717019522</v>
      </c>
    </row>
    <row r="2206" spans="1:6" x14ac:dyDescent="0.25">
      <c r="A2206" s="10">
        <v>40004</v>
      </c>
      <c r="B2206" s="12">
        <f t="shared" si="102"/>
        <v>7</v>
      </c>
      <c r="C2206" s="12">
        <f t="shared" si="103"/>
        <v>2009</v>
      </c>
      <c r="D2206" s="13">
        <v>9250</v>
      </c>
      <c r="E2206" s="13">
        <v>32.7149</v>
      </c>
      <c r="F2206" s="13">
        <f t="shared" si="104"/>
        <v>282.74578250277398</v>
      </c>
    </row>
    <row r="2207" spans="1:6" x14ac:dyDescent="0.25">
      <c r="A2207" s="10">
        <v>40007</v>
      </c>
      <c r="B2207" s="12">
        <f t="shared" si="102"/>
        <v>7</v>
      </c>
      <c r="C2207" s="12">
        <f t="shared" si="103"/>
        <v>2009</v>
      </c>
      <c r="D2207" s="13">
        <v>9150</v>
      </c>
      <c r="E2207" s="13">
        <v>32.752899999999997</v>
      </c>
      <c r="F2207" s="13">
        <f t="shared" si="104"/>
        <v>279.36457535057968</v>
      </c>
    </row>
    <row r="2208" spans="1:6" x14ac:dyDescent="0.25">
      <c r="A2208" s="10">
        <v>40008</v>
      </c>
      <c r="B2208" s="12">
        <f t="shared" si="102"/>
        <v>7</v>
      </c>
      <c r="C2208" s="12">
        <f t="shared" si="103"/>
        <v>2009</v>
      </c>
      <c r="D2208" s="13">
        <v>9150</v>
      </c>
      <c r="E2208" s="13">
        <v>32.2331</v>
      </c>
      <c r="F2208" s="13">
        <f t="shared" si="104"/>
        <v>283.86968675057625</v>
      </c>
    </row>
    <row r="2209" spans="1:6" x14ac:dyDescent="0.25">
      <c r="A2209" s="10">
        <v>40009</v>
      </c>
      <c r="B2209" s="12">
        <f t="shared" si="102"/>
        <v>7</v>
      </c>
      <c r="C2209" s="12">
        <f t="shared" si="103"/>
        <v>2009</v>
      </c>
      <c r="D2209" s="13">
        <v>9150</v>
      </c>
      <c r="E2209" s="13">
        <v>31.844000000000001</v>
      </c>
      <c r="F2209" s="13">
        <f t="shared" si="104"/>
        <v>287.33827408617009</v>
      </c>
    </row>
    <row r="2210" spans="1:6" x14ac:dyDescent="0.25">
      <c r="A2210" s="10">
        <v>40010</v>
      </c>
      <c r="B2210" s="12">
        <f t="shared" si="102"/>
        <v>7</v>
      </c>
      <c r="C2210" s="12">
        <f t="shared" si="103"/>
        <v>2009</v>
      </c>
      <c r="D2210" s="13">
        <v>9150</v>
      </c>
      <c r="E2210" s="13">
        <v>31.6175</v>
      </c>
      <c r="F2210" s="13">
        <f t="shared" si="104"/>
        <v>289.39669486834822</v>
      </c>
    </row>
    <row r="2211" spans="1:6" x14ac:dyDescent="0.25">
      <c r="A2211" s="10">
        <v>40011</v>
      </c>
      <c r="B2211" s="12">
        <f t="shared" si="102"/>
        <v>7</v>
      </c>
      <c r="C2211" s="12">
        <f t="shared" si="103"/>
        <v>2009</v>
      </c>
      <c r="D2211" s="13">
        <v>9150</v>
      </c>
      <c r="E2211" s="13">
        <v>31.785</v>
      </c>
      <c r="F2211" s="13">
        <f t="shared" si="104"/>
        <v>287.87163756488911</v>
      </c>
    </row>
    <row r="2212" spans="1:6" x14ac:dyDescent="0.25">
      <c r="A2212" s="10">
        <v>40014</v>
      </c>
      <c r="B2212" s="12">
        <f t="shared" si="102"/>
        <v>7</v>
      </c>
      <c r="C2212" s="12">
        <f t="shared" si="103"/>
        <v>2009</v>
      </c>
      <c r="D2212" s="13">
        <v>8950</v>
      </c>
      <c r="E2212" s="13">
        <v>31.029</v>
      </c>
      <c r="F2212" s="13">
        <f t="shared" si="104"/>
        <v>288.43984659512068</v>
      </c>
    </row>
    <row r="2213" spans="1:6" x14ac:dyDescent="0.25">
      <c r="A2213" s="10">
        <v>40015</v>
      </c>
      <c r="B2213" s="12">
        <f t="shared" si="102"/>
        <v>7</v>
      </c>
      <c r="C2213" s="12">
        <f t="shared" si="103"/>
        <v>2009</v>
      </c>
      <c r="D2213" s="13">
        <v>8950</v>
      </c>
      <c r="E2213" s="13">
        <v>30.989000000000001</v>
      </c>
      <c r="F2213" s="13">
        <f t="shared" si="104"/>
        <v>288.81215915324793</v>
      </c>
    </row>
    <row r="2214" spans="1:6" x14ac:dyDescent="0.25">
      <c r="A2214" s="10">
        <v>40016</v>
      </c>
      <c r="B2214" s="12">
        <f t="shared" si="102"/>
        <v>7</v>
      </c>
      <c r="C2214" s="12">
        <f t="shared" si="103"/>
        <v>2009</v>
      </c>
      <c r="D2214" s="13">
        <v>8950</v>
      </c>
      <c r="E2214" s="13">
        <v>31.189</v>
      </c>
      <c r="F2214" s="13">
        <f t="shared" si="104"/>
        <v>286.9601462053929</v>
      </c>
    </row>
    <row r="2215" spans="1:6" x14ac:dyDescent="0.25">
      <c r="A2215" s="10">
        <v>40017</v>
      </c>
      <c r="B2215" s="12">
        <f t="shared" si="102"/>
        <v>7</v>
      </c>
      <c r="C2215" s="12">
        <f t="shared" si="103"/>
        <v>2009</v>
      </c>
      <c r="D2215" s="13">
        <v>8950</v>
      </c>
      <c r="E2215" s="13">
        <v>31.2485</v>
      </c>
      <c r="F2215" s="13">
        <f t="shared" si="104"/>
        <v>286.41374785989728</v>
      </c>
    </row>
    <row r="2216" spans="1:6" x14ac:dyDescent="0.25">
      <c r="A2216" s="10">
        <v>40018</v>
      </c>
      <c r="B2216" s="12">
        <f t="shared" si="102"/>
        <v>7</v>
      </c>
      <c r="C2216" s="12">
        <f t="shared" si="103"/>
        <v>2009</v>
      </c>
      <c r="D2216" s="13">
        <v>8950</v>
      </c>
      <c r="E2216" s="13">
        <v>30.984500000000001</v>
      </c>
      <c r="F2216" s="13">
        <f t="shared" si="104"/>
        <v>288.85410447159063</v>
      </c>
    </row>
    <row r="2217" spans="1:6" x14ac:dyDescent="0.25">
      <c r="A2217" s="10">
        <v>40021</v>
      </c>
      <c r="B2217" s="12">
        <f t="shared" si="102"/>
        <v>7</v>
      </c>
      <c r="C2217" s="12">
        <f t="shared" si="103"/>
        <v>2009</v>
      </c>
      <c r="D2217" s="13">
        <v>8850</v>
      </c>
      <c r="E2217" s="13">
        <v>30.6934</v>
      </c>
      <c r="F2217" s="13">
        <f t="shared" si="104"/>
        <v>288.33560309382472</v>
      </c>
    </row>
    <row r="2218" spans="1:6" x14ac:dyDescent="0.25">
      <c r="A2218" s="10">
        <v>40022</v>
      </c>
      <c r="B2218" s="12">
        <f t="shared" si="102"/>
        <v>7</v>
      </c>
      <c r="C2218" s="12">
        <f t="shared" si="103"/>
        <v>2009</v>
      </c>
      <c r="D2218" s="13">
        <v>8850</v>
      </c>
      <c r="E2218" s="13">
        <v>31.084</v>
      </c>
      <c r="F2218" s="13">
        <f t="shared" si="104"/>
        <v>284.71239222751257</v>
      </c>
    </row>
    <row r="2219" spans="1:6" x14ac:dyDescent="0.25">
      <c r="A2219" s="10">
        <v>40023</v>
      </c>
      <c r="B2219" s="12">
        <f t="shared" si="102"/>
        <v>7</v>
      </c>
      <c r="C2219" s="12">
        <f t="shared" si="103"/>
        <v>2009</v>
      </c>
      <c r="D2219" s="13">
        <v>8850</v>
      </c>
      <c r="E2219" s="13">
        <v>31.588000000000001</v>
      </c>
      <c r="F2219" s="13">
        <f t="shared" si="104"/>
        <v>280.16968469038875</v>
      </c>
    </row>
    <row r="2220" spans="1:6" x14ac:dyDescent="0.25">
      <c r="A2220" s="10">
        <v>40024</v>
      </c>
      <c r="B2220" s="12">
        <f t="shared" si="102"/>
        <v>7</v>
      </c>
      <c r="C2220" s="12">
        <f t="shared" si="103"/>
        <v>2009</v>
      </c>
      <c r="D2220" s="13">
        <v>8850</v>
      </c>
      <c r="E2220" s="13">
        <v>31.503499999999999</v>
      </c>
      <c r="F2220" s="13">
        <f t="shared" si="104"/>
        <v>280.92116748932659</v>
      </c>
    </row>
    <row r="2221" spans="1:6" x14ac:dyDescent="0.25">
      <c r="A2221" s="10">
        <v>40025</v>
      </c>
      <c r="B2221" s="12">
        <f t="shared" si="102"/>
        <v>7</v>
      </c>
      <c r="C2221" s="12">
        <f t="shared" si="103"/>
        <v>2009</v>
      </c>
      <c r="D2221" s="13">
        <v>8850</v>
      </c>
      <c r="E2221" s="13">
        <v>31.461500000000001</v>
      </c>
      <c r="F2221" s="13">
        <f t="shared" si="104"/>
        <v>281.29618740365208</v>
      </c>
    </row>
    <row r="2222" spans="1:6" x14ac:dyDescent="0.25">
      <c r="A2222" s="10">
        <v>40028</v>
      </c>
      <c r="B2222" s="12">
        <f t="shared" si="102"/>
        <v>8</v>
      </c>
      <c r="C2222" s="12">
        <f t="shared" si="103"/>
        <v>2009</v>
      </c>
      <c r="D2222" s="13">
        <v>8650</v>
      </c>
      <c r="E2222" s="13">
        <v>30.952999999999999</v>
      </c>
      <c r="F2222" s="13">
        <f t="shared" si="104"/>
        <v>279.45594934255161</v>
      </c>
    </row>
    <row r="2223" spans="1:6" x14ac:dyDescent="0.25">
      <c r="A2223" s="10">
        <v>40029</v>
      </c>
      <c r="B2223" s="12">
        <f t="shared" si="102"/>
        <v>8</v>
      </c>
      <c r="C2223" s="12">
        <f t="shared" si="103"/>
        <v>2009</v>
      </c>
      <c r="D2223" s="13">
        <v>8650</v>
      </c>
      <c r="E2223" s="13">
        <v>31.090499999999999</v>
      </c>
      <c r="F2223" s="13">
        <f t="shared" si="104"/>
        <v>278.22003505894082</v>
      </c>
    </row>
    <row r="2224" spans="1:6" x14ac:dyDescent="0.25">
      <c r="A2224" s="10">
        <v>40030</v>
      </c>
      <c r="B2224" s="12">
        <f t="shared" si="102"/>
        <v>8</v>
      </c>
      <c r="C2224" s="12">
        <f t="shared" si="103"/>
        <v>2009</v>
      </c>
      <c r="D2224" s="13">
        <v>8650</v>
      </c>
      <c r="E2224" s="13">
        <v>31.178000000000001</v>
      </c>
      <c r="F2224" s="13">
        <f t="shared" si="104"/>
        <v>277.43921996279425</v>
      </c>
    </row>
    <row r="2225" spans="1:6" x14ac:dyDescent="0.25">
      <c r="A2225" s="10">
        <v>40031</v>
      </c>
      <c r="B2225" s="12">
        <f t="shared" si="102"/>
        <v>8</v>
      </c>
      <c r="C2225" s="12">
        <f t="shared" si="103"/>
        <v>2009</v>
      </c>
      <c r="D2225" s="13">
        <v>8650</v>
      </c>
      <c r="E2225" s="13">
        <v>31.342500000000001</v>
      </c>
      <c r="F2225" s="13">
        <f t="shared" si="104"/>
        <v>275.9830900534418</v>
      </c>
    </row>
    <row r="2226" spans="1:6" x14ac:dyDescent="0.25">
      <c r="A2226" s="10">
        <v>40032</v>
      </c>
      <c r="B2226" s="12">
        <f t="shared" si="102"/>
        <v>8</v>
      </c>
      <c r="C2226" s="12">
        <f t="shared" si="103"/>
        <v>2009</v>
      </c>
      <c r="D2226" s="13">
        <v>8650</v>
      </c>
      <c r="E2226" s="13">
        <v>31.6555</v>
      </c>
      <c r="F2226" s="13">
        <f t="shared" si="104"/>
        <v>273.25425281546649</v>
      </c>
    </row>
    <row r="2227" spans="1:6" x14ac:dyDescent="0.25">
      <c r="A2227" s="10">
        <v>40035</v>
      </c>
      <c r="B2227" s="12">
        <f t="shared" si="102"/>
        <v>8</v>
      </c>
      <c r="C2227" s="12">
        <f t="shared" si="103"/>
        <v>2009</v>
      </c>
      <c r="D2227" s="13">
        <v>8450</v>
      </c>
      <c r="E2227" s="13">
        <v>31.8507</v>
      </c>
      <c r="F2227" s="13">
        <f t="shared" si="104"/>
        <v>265.30029167333845</v>
      </c>
    </row>
    <row r="2228" spans="1:6" x14ac:dyDescent="0.25">
      <c r="A2228" s="10">
        <v>40036</v>
      </c>
      <c r="B2228" s="12">
        <f t="shared" si="102"/>
        <v>8</v>
      </c>
      <c r="C2228" s="12">
        <f t="shared" si="103"/>
        <v>2009</v>
      </c>
      <c r="D2228" s="13">
        <v>8450</v>
      </c>
      <c r="E2228" s="13">
        <v>32.238500000000002</v>
      </c>
      <c r="F2228" s="13">
        <f t="shared" si="104"/>
        <v>262.10896908975292</v>
      </c>
    </row>
    <row r="2229" spans="1:6" x14ac:dyDescent="0.25">
      <c r="A2229" s="10">
        <v>40037</v>
      </c>
      <c r="B2229" s="12">
        <f t="shared" si="102"/>
        <v>8</v>
      </c>
      <c r="C2229" s="12">
        <f t="shared" si="103"/>
        <v>2009</v>
      </c>
      <c r="D2229" s="13">
        <v>8450</v>
      </c>
      <c r="E2229" s="13">
        <v>32.397399999999998</v>
      </c>
      <c r="F2229" s="13">
        <f t="shared" si="104"/>
        <v>260.82339940859453</v>
      </c>
    </row>
    <row r="2230" spans="1:6" x14ac:dyDescent="0.25">
      <c r="A2230" s="10">
        <v>40038</v>
      </c>
      <c r="B2230" s="12">
        <f t="shared" si="102"/>
        <v>8</v>
      </c>
      <c r="C2230" s="12">
        <f t="shared" si="103"/>
        <v>2009</v>
      </c>
      <c r="D2230" s="13">
        <v>8450</v>
      </c>
      <c r="E2230" s="13">
        <v>31.769200000000001</v>
      </c>
      <c r="F2230" s="13">
        <f t="shared" si="104"/>
        <v>265.98088714855896</v>
      </c>
    </row>
    <row r="2231" spans="1:6" x14ac:dyDescent="0.25">
      <c r="A2231" s="10">
        <v>40039</v>
      </c>
      <c r="B2231" s="12">
        <f t="shared" si="102"/>
        <v>8</v>
      </c>
      <c r="C2231" s="12">
        <f t="shared" si="103"/>
        <v>2009</v>
      </c>
      <c r="D2231" s="13">
        <v>8450</v>
      </c>
      <c r="E2231" s="13">
        <v>31.69</v>
      </c>
      <c r="F2231" s="13">
        <f t="shared" si="104"/>
        <v>266.64562953613125</v>
      </c>
    </row>
    <row r="2232" spans="1:6" x14ac:dyDescent="0.25">
      <c r="A2232" s="10">
        <v>40042</v>
      </c>
      <c r="B2232" s="12">
        <f t="shared" si="102"/>
        <v>8</v>
      </c>
      <c r="C2232" s="12">
        <f t="shared" si="103"/>
        <v>2009</v>
      </c>
      <c r="D2232" s="13">
        <v>8450</v>
      </c>
      <c r="E2232" s="13">
        <v>32.247999999999998</v>
      </c>
      <c r="F2232" s="13">
        <f t="shared" si="104"/>
        <v>262.03175390721907</v>
      </c>
    </row>
    <row r="2233" spans="1:6" x14ac:dyDescent="0.25">
      <c r="A2233" s="10">
        <v>40043</v>
      </c>
      <c r="B2233" s="12">
        <f t="shared" si="102"/>
        <v>8</v>
      </c>
      <c r="C2233" s="12">
        <f t="shared" si="103"/>
        <v>2009</v>
      </c>
      <c r="D2233" s="13">
        <v>8450</v>
      </c>
      <c r="E2233" s="13">
        <v>31.9392</v>
      </c>
      <c r="F2233" s="13">
        <f t="shared" si="104"/>
        <v>264.56517383027756</v>
      </c>
    </row>
    <row r="2234" spans="1:6" x14ac:dyDescent="0.25">
      <c r="A2234" s="10">
        <v>40044</v>
      </c>
      <c r="B2234" s="12">
        <f t="shared" si="102"/>
        <v>8</v>
      </c>
      <c r="C2234" s="12">
        <f t="shared" si="103"/>
        <v>2009</v>
      </c>
      <c r="D2234" s="13">
        <v>8450</v>
      </c>
      <c r="E2234" s="13">
        <v>31.8535</v>
      </c>
      <c r="F2234" s="13">
        <f t="shared" si="104"/>
        <v>265.2769711334704</v>
      </c>
    </row>
    <row r="2235" spans="1:6" x14ac:dyDescent="0.25">
      <c r="A2235" s="10">
        <v>40045</v>
      </c>
      <c r="B2235" s="12">
        <f t="shared" si="102"/>
        <v>8</v>
      </c>
      <c r="C2235" s="12">
        <f t="shared" si="103"/>
        <v>2009</v>
      </c>
      <c r="D2235" s="13">
        <v>8450</v>
      </c>
      <c r="E2235" s="13">
        <v>31.803000000000001</v>
      </c>
      <c r="F2235" s="13">
        <f t="shared" si="104"/>
        <v>265.6982045718957</v>
      </c>
    </row>
    <row r="2236" spans="1:6" x14ac:dyDescent="0.25">
      <c r="A2236" s="10">
        <v>40046</v>
      </c>
      <c r="B2236" s="12">
        <f t="shared" si="102"/>
        <v>8</v>
      </c>
      <c r="C2236" s="12">
        <f t="shared" si="103"/>
        <v>2009</v>
      </c>
      <c r="D2236" s="13">
        <v>8450</v>
      </c>
      <c r="E2236" s="13">
        <v>31.652000000000001</v>
      </c>
      <c r="F2236" s="13">
        <f t="shared" si="104"/>
        <v>266.96575255907999</v>
      </c>
    </row>
    <row r="2237" spans="1:6" x14ac:dyDescent="0.25">
      <c r="A2237" s="10">
        <v>40049</v>
      </c>
      <c r="B2237" s="12">
        <f t="shared" si="102"/>
        <v>8</v>
      </c>
      <c r="C2237" s="12">
        <f t="shared" si="103"/>
        <v>2009</v>
      </c>
      <c r="D2237" s="13">
        <v>8600</v>
      </c>
      <c r="E2237" s="13">
        <v>31.414000000000001</v>
      </c>
      <c r="F2237" s="13">
        <f t="shared" si="104"/>
        <v>273.76329025275356</v>
      </c>
    </row>
    <row r="2238" spans="1:6" x14ac:dyDescent="0.25">
      <c r="A2238" s="10">
        <v>40050</v>
      </c>
      <c r="B2238" s="12">
        <f t="shared" si="102"/>
        <v>8</v>
      </c>
      <c r="C2238" s="12">
        <f t="shared" si="103"/>
        <v>2009</v>
      </c>
      <c r="D2238" s="13">
        <v>8600</v>
      </c>
      <c r="E2238" s="13">
        <v>31.322500000000002</v>
      </c>
      <c r="F2238" s="13">
        <f t="shared" si="104"/>
        <v>274.56301380796549</v>
      </c>
    </row>
    <row r="2239" spans="1:6" x14ac:dyDescent="0.25">
      <c r="A2239" s="10">
        <v>40051</v>
      </c>
      <c r="B2239" s="12">
        <f t="shared" si="102"/>
        <v>8</v>
      </c>
      <c r="C2239" s="12">
        <f t="shared" si="103"/>
        <v>2009</v>
      </c>
      <c r="D2239" s="13">
        <v>8600</v>
      </c>
      <c r="E2239" s="13">
        <v>31.574999999999999</v>
      </c>
      <c r="F2239" s="13">
        <f t="shared" si="104"/>
        <v>272.36737925574033</v>
      </c>
    </row>
    <row r="2240" spans="1:6" x14ac:dyDescent="0.25">
      <c r="A2240" s="10">
        <v>40052</v>
      </c>
      <c r="B2240" s="12">
        <f t="shared" si="102"/>
        <v>8</v>
      </c>
      <c r="C2240" s="12">
        <f t="shared" si="103"/>
        <v>2009</v>
      </c>
      <c r="D2240" s="13">
        <v>8600</v>
      </c>
      <c r="E2240" s="13">
        <v>31.597000000000001</v>
      </c>
      <c r="F2240" s="13">
        <f t="shared" si="104"/>
        <v>272.17773839288537</v>
      </c>
    </row>
    <row r="2241" spans="1:6" x14ac:dyDescent="0.25">
      <c r="A2241" s="10">
        <v>40053</v>
      </c>
      <c r="B2241" s="12">
        <f t="shared" si="102"/>
        <v>8</v>
      </c>
      <c r="C2241" s="12">
        <f t="shared" si="103"/>
        <v>2009</v>
      </c>
      <c r="D2241" s="13">
        <v>8600</v>
      </c>
      <c r="E2241" s="13">
        <v>31.63</v>
      </c>
      <c r="F2241" s="13">
        <f t="shared" si="104"/>
        <v>271.89377173569397</v>
      </c>
    </row>
    <row r="2242" spans="1:6" x14ac:dyDescent="0.25">
      <c r="A2242" s="10">
        <v>40056</v>
      </c>
      <c r="B2242" s="12">
        <f t="shared" si="102"/>
        <v>8</v>
      </c>
      <c r="C2242" s="12">
        <f t="shared" si="103"/>
        <v>2009</v>
      </c>
      <c r="D2242" s="13">
        <v>9000</v>
      </c>
      <c r="E2242" s="13">
        <v>31.797999999999998</v>
      </c>
      <c r="F2242" s="13">
        <f t="shared" si="104"/>
        <v>283.03666897289139</v>
      </c>
    </row>
    <row r="2243" spans="1:6" x14ac:dyDescent="0.25">
      <c r="A2243" s="10">
        <v>40057</v>
      </c>
      <c r="B2243" s="12">
        <f t="shared" ref="B2243:B2306" si="105">MONTH(A2243)</f>
        <v>9</v>
      </c>
      <c r="C2243" s="12">
        <f t="shared" ref="C2243:C2306" si="106">YEAR(A2243)</f>
        <v>2009</v>
      </c>
      <c r="D2243" s="13">
        <v>9000</v>
      </c>
      <c r="E2243" s="13">
        <v>31.920999999999999</v>
      </c>
      <c r="F2243" s="13">
        <f t="shared" ref="F2243:F2306" si="107">IF(D2243="","",D2243/E2243)</f>
        <v>281.94605432160648</v>
      </c>
    </row>
    <row r="2244" spans="1:6" x14ac:dyDescent="0.25">
      <c r="A2244" s="10">
        <v>40058</v>
      </c>
      <c r="B2244" s="12">
        <f t="shared" si="105"/>
        <v>9</v>
      </c>
      <c r="C2244" s="12">
        <f t="shared" si="106"/>
        <v>2009</v>
      </c>
      <c r="D2244" s="13">
        <v>9000</v>
      </c>
      <c r="E2244" s="13">
        <v>31.968</v>
      </c>
      <c r="F2244" s="13">
        <f t="shared" si="107"/>
        <v>281.53153153153153</v>
      </c>
    </row>
    <row r="2245" spans="1:6" x14ac:dyDescent="0.25">
      <c r="A2245" s="10">
        <v>40059</v>
      </c>
      <c r="B2245" s="12">
        <f t="shared" si="105"/>
        <v>9</v>
      </c>
      <c r="C2245" s="12">
        <f t="shared" si="106"/>
        <v>2009</v>
      </c>
      <c r="D2245" s="13">
        <v>9000</v>
      </c>
      <c r="E2245" s="13">
        <v>31.76</v>
      </c>
      <c r="F2245" s="13">
        <f t="shared" si="107"/>
        <v>283.37531486146094</v>
      </c>
    </row>
    <row r="2246" spans="1:6" x14ac:dyDescent="0.25">
      <c r="A2246" s="10">
        <v>40060</v>
      </c>
      <c r="B2246" s="12">
        <f t="shared" si="105"/>
        <v>9</v>
      </c>
      <c r="C2246" s="12">
        <f t="shared" si="106"/>
        <v>2009</v>
      </c>
      <c r="D2246" s="13">
        <v>9000</v>
      </c>
      <c r="E2246" s="13">
        <v>31.588799999999999</v>
      </c>
      <c r="F2246" s="13">
        <f t="shared" si="107"/>
        <v>284.91110773438686</v>
      </c>
    </row>
    <row r="2247" spans="1:6" x14ac:dyDescent="0.25">
      <c r="A2247" s="10">
        <v>40064</v>
      </c>
      <c r="B2247" s="12">
        <f t="shared" si="105"/>
        <v>9</v>
      </c>
      <c r="C2247" s="12">
        <f t="shared" si="106"/>
        <v>2009</v>
      </c>
      <c r="D2247" s="13">
        <v>10000</v>
      </c>
      <c r="E2247" s="13">
        <v>31.251899999999999</v>
      </c>
      <c r="F2247" s="13">
        <f t="shared" si="107"/>
        <v>319.98054518285289</v>
      </c>
    </row>
    <row r="2248" spans="1:6" x14ac:dyDescent="0.25">
      <c r="A2248" s="10">
        <v>40065</v>
      </c>
      <c r="B2248" s="12">
        <f t="shared" si="105"/>
        <v>9</v>
      </c>
      <c r="C2248" s="12">
        <f t="shared" si="106"/>
        <v>2009</v>
      </c>
      <c r="D2248" s="13">
        <v>10000</v>
      </c>
      <c r="E2248" s="13">
        <v>31.0261</v>
      </c>
      <c r="F2248" s="13">
        <f t="shared" si="107"/>
        <v>322.30928154038054</v>
      </c>
    </row>
    <row r="2249" spans="1:6" x14ac:dyDescent="0.25">
      <c r="A2249" s="10">
        <v>40066</v>
      </c>
      <c r="B2249" s="12">
        <f t="shared" si="105"/>
        <v>9</v>
      </c>
      <c r="C2249" s="12">
        <f t="shared" si="106"/>
        <v>2009</v>
      </c>
      <c r="D2249" s="13">
        <v>10000</v>
      </c>
      <c r="E2249" s="13">
        <v>30.89</v>
      </c>
      <c r="F2249" s="13">
        <f t="shared" si="107"/>
        <v>323.72936225315635</v>
      </c>
    </row>
    <row r="2250" spans="1:6" x14ac:dyDescent="0.25">
      <c r="A2250" s="10">
        <v>40067</v>
      </c>
      <c r="B2250" s="12">
        <f t="shared" si="105"/>
        <v>9</v>
      </c>
      <c r="C2250" s="12">
        <f t="shared" si="106"/>
        <v>2009</v>
      </c>
      <c r="D2250" s="13">
        <v>10000</v>
      </c>
      <c r="E2250" s="13">
        <v>30.661000000000001</v>
      </c>
      <c r="F2250" s="13">
        <f t="shared" si="107"/>
        <v>326.14722285639738</v>
      </c>
    </row>
    <row r="2251" spans="1:6" x14ac:dyDescent="0.25">
      <c r="A2251" s="10">
        <v>40070</v>
      </c>
      <c r="B2251" s="12">
        <f t="shared" si="105"/>
        <v>9</v>
      </c>
      <c r="C2251" s="12">
        <f t="shared" si="106"/>
        <v>2009</v>
      </c>
      <c r="D2251" s="13">
        <v>10250</v>
      </c>
      <c r="E2251" s="13">
        <v>30.8005</v>
      </c>
      <c r="F2251" s="13">
        <f t="shared" si="107"/>
        <v>332.78680540900308</v>
      </c>
    </row>
    <row r="2252" spans="1:6" x14ac:dyDescent="0.25">
      <c r="A2252" s="10">
        <v>40071</v>
      </c>
      <c r="B2252" s="12">
        <f t="shared" si="105"/>
        <v>9</v>
      </c>
      <c r="C2252" s="12">
        <f t="shared" si="106"/>
        <v>2009</v>
      </c>
      <c r="D2252" s="13">
        <v>10250</v>
      </c>
      <c r="E2252" s="13">
        <v>30.771000000000001</v>
      </c>
      <c r="F2252" s="13">
        <f t="shared" si="107"/>
        <v>333.10584641383122</v>
      </c>
    </row>
    <row r="2253" spans="1:6" x14ac:dyDescent="0.25">
      <c r="A2253" s="10">
        <v>40072</v>
      </c>
      <c r="B2253" s="12">
        <f t="shared" si="105"/>
        <v>9</v>
      </c>
      <c r="C2253" s="12">
        <f t="shared" si="106"/>
        <v>2009</v>
      </c>
      <c r="D2253" s="13">
        <v>10250</v>
      </c>
      <c r="E2253" s="13">
        <v>30.562999999999999</v>
      </c>
      <c r="F2253" s="13">
        <f t="shared" si="107"/>
        <v>335.37283643621373</v>
      </c>
    </row>
    <row r="2254" spans="1:6" x14ac:dyDescent="0.25">
      <c r="A2254" s="10">
        <v>40073</v>
      </c>
      <c r="B2254" s="12">
        <f t="shared" si="105"/>
        <v>9</v>
      </c>
      <c r="C2254" s="12">
        <f t="shared" si="106"/>
        <v>2009</v>
      </c>
      <c r="D2254" s="13">
        <v>10250</v>
      </c>
      <c r="E2254" s="13">
        <v>30.317799999999998</v>
      </c>
      <c r="F2254" s="13">
        <f t="shared" si="107"/>
        <v>338.08521726510503</v>
      </c>
    </row>
    <row r="2255" spans="1:6" x14ac:dyDescent="0.25">
      <c r="A2255" s="10">
        <v>40074</v>
      </c>
      <c r="B2255" s="12">
        <f t="shared" si="105"/>
        <v>9</v>
      </c>
      <c r="C2255" s="12">
        <f t="shared" si="106"/>
        <v>2009</v>
      </c>
      <c r="D2255" s="13">
        <v>10250</v>
      </c>
      <c r="E2255" s="13">
        <v>30.272600000000001</v>
      </c>
      <c r="F2255" s="13">
        <f t="shared" si="107"/>
        <v>338.59001209014093</v>
      </c>
    </row>
    <row r="2256" spans="1:6" x14ac:dyDescent="0.25">
      <c r="A2256" s="10">
        <v>40077</v>
      </c>
      <c r="B2256" s="12">
        <f t="shared" si="105"/>
        <v>9</v>
      </c>
      <c r="C2256" s="12">
        <f t="shared" si="106"/>
        <v>2009</v>
      </c>
      <c r="D2256" s="13">
        <v>10350</v>
      </c>
      <c r="E2256" s="13">
        <v>30.3645</v>
      </c>
      <c r="F2256" s="13">
        <f t="shared" si="107"/>
        <v>340.85856839401276</v>
      </c>
    </row>
    <row r="2257" spans="1:6" x14ac:dyDescent="0.25">
      <c r="A2257" s="10">
        <v>40078</v>
      </c>
      <c r="B2257" s="12">
        <f t="shared" si="105"/>
        <v>9</v>
      </c>
      <c r="C2257" s="12">
        <f t="shared" si="106"/>
        <v>2009</v>
      </c>
      <c r="D2257" s="13">
        <v>10350</v>
      </c>
      <c r="E2257" s="13">
        <v>30.125</v>
      </c>
      <c r="F2257" s="13">
        <f t="shared" si="107"/>
        <v>343.56846473029043</v>
      </c>
    </row>
    <row r="2258" spans="1:6" x14ac:dyDescent="0.25">
      <c r="A2258" s="10">
        <v>40079</v>
      </c>
      <c r="B2258" s="12">
        <f t="shared" si="105"/>
        <v>9</v>
      </c>
      <c r="C2258" s="12">
        <f t="shared" si="106"/>
        <v>2009</v>
      </c>
      <c r="D2258" s="13">
        <v>10350</v>
      </c>
      <c r="E2258" s="13">
        <v>30.026900000000001</v>
      </c>
      <c r="F2258" s="13">
        <f t="shared" si="107"/>
        <v>344.6909271353353</v>
      </c>
    </row>
    <row r="2259" spans="1:6" x14ac:dyDescent="0.25">
      <c r="A2259" s="10">
        <v>40080</v>
      </c>
      <c r="B2259" s="12">
        <f t="shared" si="105"/>
        <v>9</v>
      </c>
      <c r="C2259" s="12">
        <f t="shared" si="106"/>
        <v>2009</v>
      </c>
      <c r="D2259" s="13">
        <v>10350</v>
      </c>
      <c r="E2259" s="13">
        <v>30.089099999999998</v>
      </c>
      <c r="F2259" s="13">
        <f t="shared" si="107"/>
        <v>343.97838419892918</v>
      </c>
    </row>
    <row r="2260" spans="1:6" x14ac:dyDescent="0.25">
      <c r="A2260" s="10">
        <v>40081</v>
      </c>
      <c r="B2260" s="12">
        <f t="shared" si="105"/>
        <v>9</v>
      </c>
      <c r="C2260" s="12">
        <f t="shared" si="106"/>
        <v>2009</v>
      </c>
      <c r="D2260" s="13">
        <v>10350</v>
      </c>
      <c r="E2260" s="13">
        <v>30.121500000000001</v>
      </c>
      <c r="F2260" s="13">
        <f t="shared" si="107"/>
        <v>343.60838603655196</v>
      </c>
    </row>
    <row r="2261" spans="1:6" x14ac:dyDescent="0.25">
      <c r="A2261" s="10">
        <v>40084</v>
      </c>
      <c r="B2261" s="12">
        <f t="shared" si="105"/>
        <v>9</v>
      </c>
      <c r="C2261" s="12">
        <f t="shared" si="106"/>
        <v>2009</v>
      </c>
      <c r="D2261" s="13">
        <v>10250</v>
      </c>
      <c r="E2261" s="13">
        <v>30.128</v>
      </c>
      <c r="F2261" s="13">
        <f t="shared" si="107"/>
        <v>340.21508231545408</v>
      </c>
    </row>
    <row r="2262" spans="1:6" x14ac:dyDescent="0.25">
      <c r="A2262" s="10">
        <v>40085</v>
      </c>
      <c r="B2262" s="12">
        <f t="shared" si="105"/>
        <v>9</v>
      </c>
      <c r="C2262" s="12">
        <f t="shared" si="106"/>
        <v>2009</v>
      </c>
      <c r="D2262" s="13">
        <v>10250</v>
      </c>
      <c r="E2262" s="13">
        <v>30.1145</v>
      </c>
      <c r="F2262" s="13">
        <f t="shared" si="107"/>
        <v>340.36759700476517</v>
      </c>
    </row>
    <row r="2263" spans="1:6" x14ac:dyDescent="0.25">
      <c r="A2263" s="10">
        <v>40086</v>
      </c>
      <c r="B2263" s="12">
        <f t="shared" si="105"/>
        <v>9</v>
      </c>
      <c r="C2263" s="12">
        <f t="shared" si="106"/>
        <v>2009</v>
      </c>
      <c r="D2263" s="13">
        <v>10250</v>
      </c>
      <c r="E2263" s="13">
        <v>30.023599999999998</v>
      </c>
      <c r="F2263" s="13">
        <f t="shared" si="107"/>
        <v>341.39810016120651</v>
      </c>
    </row>
    <row r="2264" spans="1:6" x14ac:dyDescent="0.25">
      <c r="A2264" s="10">
        <v>40087</v>
      </c>
      <c r="B2264" s="12">
        <f t="shared" si="105"/>
        <v>10</v>
      </c>
      <c r="C2264" s="12">
        <f t="shared" si="106"/>
        <v>2009</v>
      </c>
      <c r="D2264" s="13">
        <v>10250</v>
      </c>
      <c r="E2264" s="13">
        <v>30.0945</v>
      </c>
      <c r="F2264" s="13">
        <f t="shared" si="107"/>
        <v>340.59379620860955</v>
      </c>
    </row>
    <row r="2265" spans="1:6" x14ac:dyDescent="0.25">
      <c r="A2265" s="10">
        <v>40088</v>
      </c>
      <c r="B2265" s="12">
        <f t="shared" si="105"/>
        <v>10</v>
      </c>
      <c r="C2265" s="12">
        <f t="shared" si="106"/>
        <v>2009</v>
      </c>
      <c r="D2265" s="13">
        <v>10250</v>
      </c>
      <c r="E2265" s="13">
        <v>30.178999999999998</v>
      </c>
      <c r="F2265" s="13">
        <f t="shared" si="107"/>
        <v>339.64014712217107</v>
      </c>
    </row>
    <row r="2266" spans="1:6" x14ac:dyDescent="0.25">
      <c r="A2266" s="10">
        <v>40091</v>
      </c>
      <c r="B2266" s="12">
        <f t="shared" si="105"/>
        <v>10</v>
      </c>
      <c r="C2266" s="12">
        <f t="shared" si="106"/>
        <v>2009</v>
      </c>
      <c r="D2266" s="13">
        <v>9550</v>
      </c>
      <c r="E2266" s="13">
        <v>29.998999999999999</v>
      </c>
      <c r="F2266" s="13">
        <f t="shared" si="107"/>
        <v>318.34394479815995</v>
      </c>
    </row>
    <row r="2267" spans="1:6" x14ac:dyDescent="0.25">
      <c r="A2267" s="10">
        <v>40092</v>
      </c>
      <c r="B2267" s="12">
        <f t="shared" si="105"/>
        <v>10</v>
      </c>
      <c r="C2267" s="12">
        <f t="shared" si="106"/>
        <v>2009</v>
      </c>
      <c r="D2267" s="13">
        <v>9550</v>
      </c>
      <c r="E2267" s="13">
        <v>29.833500000000001</v>
      </c>
      <c r="F2267" s="13">
        <f t="shared" si="107"/>
        <v>320.10994351986858</v>
      </c>
    </row>
    <row r="2268" spans="1:6" x14ac:dyDescent="0.25">
      <c r="A2268" s="10">
        <v>40093</v>
      </c>
      <c r="B2268" s="12">
        <f t="shared" si="105"/>
        <v>10</v>
      </c>
      <c r="C2268" s="12">
        <f t="shared" si="106"/>
        <v>2009</v>
      </c>
      <c r="D2268" s="13">
        <v>9550</v>
      </c>
      <c r="E2268" s="13">
        <v>29.744</v>
      </c>
      <c r="F2268" s="13">
        <f t="shared" si="107"/>
        <v>321.07315761161914</v>
      </c>
    </row>
    <row r="2269" spans="1:6" x14ac:dyDescent="0.25">
      <c r="A2269" s="10">
        <v>40094</v>
      </c>
      <c r="B2269" s="12">
        <f t="shared" si="105"/>
        <v>10</v>
      </c>
      <c r="C2269" s="12">
        <f t="shared" si="106"/>
        <v>2009</v>
      </c>
      <c r="D2269" s="13">
        <v>9550</v>
      </c>
      <c r="E2269" s="13">
        <v>29.560500000000001</v>
      </c>
      <c r="F2269" s="13">
        <f t="shared" si="107"/>
        <v>323.06625395375585</v>
      </c>
    </row>
    <row r="2270" spans="1:6" x14ac:dyDescent="0.25">
      <c r="A2270" s="10">
        <v>40095</v>
      </c>
      <c r="B2270" s="12">
        <f t="shared" si="105"/>
        <v>10</v>
      </c>
      <c r="C2270" s="12">
        <f t="shared" si="106"/>
        <v>2009</v>
      </c>
      <c r="D2270" s="13">
        <v>9550</v>
      </c>
      <c r="E2270" s="13">
        <v>29.616499999999998</v>
      </c>
      <c r="F2270" s="13">
        <f t="shared" si="107"/>
        <v>322.45538804382693</v>
      </c>
    </row>
    <row r="2271" spans="1:6" x14ac:dyDescent="0.25">
      <c r="A2271" s="10">
        <v>40098</v>
      </c>
      <c r="B2271" s="12">
        <f t="shared" si="105"/>
        <v>10</v>
      </c>
      <c r="C2271" s="12">
        <f t="shared" si="106"/>
        <v>2009</v>
      </c>
      <c r="D2271" s="13">
        <v>9250</v>
      </c>
      <c r="E2271" s="13">
        <v>29.524000000000001</v>
      </c>
      <c r="F2271" s="13">
        <f t="shared" si="107"/>
        <v>313.30443029399811</v>
      </c>
    </row>
    <row r="2272" spans="1:6" x14ac:dyDescent="0.25">
      <c r="A2272" s="10">
        <v>40099</v>
      </c>
      <c r="B2272" s="12">
        <f t="shared" si="105"/>
        <v>10</v>
      </c>
      <c r="C2272" s="12">
        <f t="shared" si="106"/>
        <v>2009</v>
      </c>
      <c r="D2272" s="13">
        <v>9250</v>
      </c>
      <c r="E2272" s="13">
        <v>29.521999999999998</v>
      </c>
      <c r="F2272" s="13">
        <f t="shared" si="107"/>
        <v>313.32565544339815</v>
      </c>
    </row>
    <row r="2273" spans="1:6" x14ac:dyDescent="0.25">
      <c r="A2273" s="10">
        <v>40100</v>
      </c>
      <c r="B2273" s="12">
        <f t="shared" si="105"/>
        <v>10</v>
      </c>
      <c r="C2273" s="12">
        <f t="shared" si="106"/>
        <v>2009</v>
      </c>
      <c r="D2273" s="13">
        <v>9250</v>
      </c>
      <c r="E2273" s="13">
        <v>29.371500000000001</v>
      </c>
      <c r="F2273" s="13">
        <f t="shared" si="107"/>
        <v>314.93114073166163</v>
      </c>
    </row>
    <row r="2274" spans="1:6" x14ac:dyDescent="0.25">
      <c r="A2274" s="10">
        <v>40101</v>
      </c>
      <c r="B2274" s="12">
        <f t="shared" si="105"/>
        <v>10</v>
      </c>
      <c r="C2274" s="12">
        <f t="shared" si="106"/>
        <v>2009</v>
      </c>
      <c r="D2274" s="13">
        <v>9250</v>
      </c>
      <c r="E2274" s="13">
        <v>29.354800000000001</v>
      </c>
      <c r="F2274" s="13">
        <f t="shared" si="107"/>
        <v>315.11030563996349</v>
      </c>
    </row>
    <row r="2275" spans="1:6" x14ac:dyDescent="0.25">
      <c r="A2275" s="10">
        <v>40102</v>
      </c>
      <c r="B2275" s="12">
        <f t="shared" si="105"/>
        <v>10</v>
      </c>
      <c r="C2275" s="12">
        <f t="shared" si="106"/>
        <v>2009</v>
      </c>
      <c r="D2275" s="13">
        <v>9250</v>
      </c>
      <c r="E2275" s="13">
        <v>29.408799999999999</v>
      </c>
      <c r="F2275" s="13">
        <f t="shared" si="107"/>
        <v>314.53170479584344</v>
      </c>
    </row>
    <row r="2276" spans="1:6" x14ac:dyDescent="0.25">
      <c r="A2276" s="10">
        <v>40105</v>
      </c>
      <c r="B2276" s="12">
        <f t="shared" si="105"/>
        <v>10</v>
      </c>
      <c r="C2276" s="12">
        <f t="shared" si="106"/>
        <v>2009</v>
      </c>
      <c r="D2276" s="13">
        <v>9000</v>
      </c>
      <c r="E2276" s="13">
        <v>29.267399999999999</v>
      </c>
      <c r="F2276" s="13">
        <f t="shared" si="107"/>
        <v>307.50937903606064</v>
      </c>
    </row>
    <row r="2277" spans="1:6" x14ac:dyDescent="0.25">
      <c r="A2277" s="10">
        <v>40106</v>
      </c>
      <c r="B2277" s="12">
        <f t="shared" si="105"/>
        <v>10</v>
      </c>
      <c r="C2277" s="12">
        <f t="shared" si="106"/>
        <v>2009</v>
      </c>
      <c r="D2277" s="13">
        <v>9000</v>
      </c>
      <c r="E2277" s="13">
        <v>29.183800000000002</v>
      </c>
      <c r="F2277" s="13">
        <f t="shared" si="107"/>
        <v>308.39027131490758</v>
      </c>
    </row>
    <row r="2278" spans="1:6" x14ac:dyDescent="0.25">
      <c r="A2278" s="10">
        <v>40107</v>
      </c>
      <c r="B2278" s="12">
        <f t="shared" si="105"/>
        <v>10</v>
      </c>
      <c r="C2278" s="12">
        <f t="shared" si="106"/>
        <v>2009</v>
      </c>
      <c r="D2278" s="13">
        <v>9000</v>
      </c>
      <c r="E2278" s="13">
        <v>29.097000000000001</v>
      </c>
      <c r="F2278" s="13">
        <f t="shared" si="107"/>
        <v>309.31023816888336</v>
      </c>
    </row>
    <row r="2279" spans="1:6" x14ac:dyDescent="0.25">
      <c r="A2279" s="10">
        <v>40108</v>
      </c>
      <c r="B2279" s="12">
        <f t="shared" si="105"/>
        <v>10</v>
      </c>
      <c r="C2279" s="12">
        <f t="shared" si="106"/>
        <v>2009</v>
      </c>
      <c r="D2279" s="13">
        <v>9000</v>
      </c>
      <c r="E2279" s="13">
        <v>29.0459</v>
      </c>
      <c r="F2279" s="13">
        <f t="shared" si="107"/>
        <v>309.85440285892332</v>
      </c>
    </row>
    <row r="2280" spans="1:6" x14ac:dyDescent="0.25">
      <c r="A2280" s="10">
        <v>40109</v>
      </c>
      <c r="B2280" s="12">
        <f t="shared" si="105"/>
        <v>10</v>
      </c>
      <c r="C2280" s="12">
        <f t="shared" si="106"/>
        <v>2009</v>
      </c>
      <c r="D2280" s="13">
        <v>9000</v>
      </c>
      <c r="E2280" s="13">
        <v>28.977499999999999</v>
      </c>
      <c r="F2280" s="13">
        <f t="shared" si="107"/>
        <v>310.58579932706414</v>
      </c>
    </row>
    <row r="2281" spans="1:6" x14ac:dyDescent="0.25">
      <c r="A2281" s="10">
        <v>40112</v>
      </c>
      <c r="B2281" s="12">
        <f t="shared" si="105"/>
        <v>10</v>
      </c>
      <c r="C2281" s="12">
        <f t="shared" si="106"/>
        <v>2009</v>
      </c>
      <c r="D2281" s="13">
        <v>9250</v>
      </c>
      <c r="E2281" s="13">
        <v>29.042000000000002</v>
      </c>
      <c r="F2281" s="13">
        <f t="shared" si="107"/>
        <v>318.50423524550649</v>
      </c>
    </row>
    <row r="2282" spans="1:6" x14ac:dyDescent="0.25">
      <c r="A2282" s="10">
        <v>40113</v>
      </c>
      <c r="B2282" s="12">
        <f t="shared" si="105"/>
        <v>10</v>
      </c>
      <c r="C2282" s="12">
        <f t="shared" si="106"/>
        <v>2009</v>
      </c>
      <c r="D2282" s="13">
        <v>9250</v>
      </c>
      <c r="E2282" s="13">
        <v>29.274000000000001</v>
      </c>
      <c r="F2282" s="13">
        <f t="shared" si="107"/>
        <v>315.98005055680807</v>
      </c>
    </row>
    <row r="2283" spans="1:6" x14ac:dyDescent="0.25">
      <c r="A2283" s="10">
        <v>40114</v>
      </c>
      <c r="B2283" s="12">
        <f t="shared" si="105"/>
        <v>10</v>
      </c>
      <c r="C2283" s="12">
        <f t="shared" si="106"/>
        <v>2009</v>
      </c>
      <c r="D2283" s="13">
        <v>9250</v>
      </c>
      <c r="E2283" s="13">
        <v>29.34</v>
      </c>
      <c r="F2283" s="13">
        <f t="shared" si="107"/>
        <v>315.26925698704838</v>
      </c>
    </row>
    <row r="2284" spans="1:6" x14ac:dyDescent="0.25">
      <c r="A2284" s="10">
        <v>40115</v>
      </c>
      <c r="B2284" s="12">
        <f t="shared" si="105"/>
        <v>10</v>
      </c>
      <c r="C2284" s="12">
        <f t="shared" si="106"/>
        <v>2009</v>
      </c>
      <c r="D2284" s="13">
        <v>9250</v>
      </c>
      <c r="E2284" s="13">
        <v>29.167000000000002</v>
      </c>
      <c r="F2284" s="13">
        <f t="shared" si="107"/>
        <v>317.1392326944835</v>
      </c>
    </row>
    <row r="2285" spans="1:6" x14ac:dyDescent="0.25">
      <c r="A2285" s="10">
        <v>40116</v>
      </c>
      <c r="B2285" s="12">
        <f t="shared" si="105"/>
        <v>10</v>
      </c>
      <c r="C2285" s="12">
        <f t="shared" si="106"/>
        <v>2009</v>
      </c>
      <c r="D2285" s="13">
        <v>9250</v>
      </c>
      <c r="E2285" s="13">
        <v>29.157599999999999</v>
      </c>
      <c r="F2285" s="13">
        <f t="shared" si="107"/>
        <v>317.24147392103606</v>
      </c>
    </row>
    <row r="2286" spans="1:6" x14ac:dyDescent="0.25">
      <c r="A2286" s="10">
        <v>40119</v>
      </c>
      <c r="B2286" s="12">
        <f t="shared" si="105"/>
        <v>11</v>
      </c>
      <c r="C2286" s="12">
        <f t="shared" si="106"/>
        <v>2009</v>
      </c>
      <c r="D2286" s="13">
        <v>9350</v>
      </c>
      <c r="E2286" s="13">
        <v>29.241</v>
      </c>
      <c r="F2286" s="13">
        <f t="shared" si="107"/>
        <v>319.75650627543519</v>
      </c>
    </row>
    <row r="2287" spans="1:6" x14ac:dyDescent="0.25">
      <c r="A2287" s="10">
        <v>40120</v>
      </c>
      <c r="B2287" s="12">
        <f t="shared" si="105"/>
        <v>11</v>
      </c>
      <c r="C2287" s="12">
        <f t="shared" si="106"/>
        <v>2009</v>
      </c>
      <c r="D2287" s="13">
        <v>9350</v>
      </c>
      <c r="E2287" s="13">
        <v>29.312999999999999</v>
      </c>
      <c r="F2287" s="13">
        <f t="shared" si="107"/>
        <v>318.9711049704909</v>
      </c>
    </row>
    <row r="2288" spans="1:6" x14ac:dyDescent="0.25">
      <c r="A2288" s="10">
        <v>40121</v>
      </c>
      <c r="B2288" s="12">
        <f t="shared" si="105"/>
        <v>11</v>
      </c>
      <c r="C2288" s="12">
        <f t="shared" si="106"/>
        <v>2009</v>
      </c>
      <c r="D2288" s="13">
        <v>9350</v>
      </c>
      <c r="E2288" s="13">
        <v>29.140499999999999</v>
      </c>
      <c r="F2288" s="13">
        <f t="shared" si="107"/>
        <v>320.8592851872823</v>
      </c>
    </row>
    <row r="2289" spans="1:6" x14ac:dyDescent="0.25">
      <c r="A2289" s="10">
        <v>40122</v>
      </c>
      <c r="B2289" s="12">
        <f t="shared" si="105"/>
        <v>11</v>
      </c>
      <c r="C2289" s="12">
        <f t="shared" si="106"/>
        <v>2009</v>
      </c>
      <c r="D2289" s="13">
        <v>9350</v>
      </c>
      <c r="E2289" s="13">
        <v>29.016999999999999</v>
      </c>
      <c r="F2289" s="13">
        <f t="shared" si="107"/>
        <v>322.22490264327809</v>
      </c>
    </row>
    <row r="2290" spans="1:6" x14ac:dyDescent="0.25">
      <c r="A2290" s="10">
        <v>40123</v>
      </c>
      <c r="B2290" s="12">
        <f t="shared" si="105"/>
        <v>11</v>
      </c>
      <c r="C2290" s="12">
        <f t="shared" si="106"/>
        <v>2009</v>
      </c>
      <c r="D2290" s="13">
        <v>9350</v>
      </c>
      <c r="E2290" s="13">
        <v>29.035</v>
      </c>
      <c r="F2290" s="13">
        <f t="shared" si="107"/>
        <v>322.0251420699156</v>
      </c>
    </row>
    <row r="2291" spans="1:6" x14ac:dyDescent="0.25">
      <c r="A2291" s="10">
        <v>40126</v>
      </c>
      <c r="B2291" s="12">
        <f t="shared" si="105"/>
        <v>11</v>
      </c>
      <c r="C2291" s="12">
        <f t="shared" si="106"/>
        <v>2009</v>
      </c>
      <c r="D2291" s="13">
        <v>9350</v>
      </c>
      <c r="E2291" s="13">
        <v>28.751999999999999</v>
      </c>
      <c r="F2291" s="13">
        <f t="shared" si="107"/>
        <v>325.19476905954372</v>
      </c>
    </row>
    <row r="2292" spans="1:6" x14ac:dyDescent="0.25">
      <c r="A2292" s="10">
        <v>40127</v>
      </c>
      <c r="B2292" s="12">
        <f t="shared" si="105"/>
        <v>11</v>
      </c>
      <c r="C2292" s="12">
        <f t="shared" si="106"/>
        <v>2009</v>
      </c>
      <c r="D2292" s="13">
        <v>9350</v>
      </c>
      <c r="E2292" s="13">
        <v>28.7149</v>
      </c>
      <c r="F2292" s="13">
        <f t="shared" si="107"/>
        <v>325.6149246558407</v>
      </c>
    </row>
    <row r="2293" spans="1:6" x14ac:dyDescent="0.25">
      <c r="A2293" s="10">
        <v>40128</v>
      </c>
      <c r="B2293" s="12">
        <f t="shared" si="105"/>
        <v>11</v>
      </c>
      <c r="C2293" s="12">
        <f t="shared" si="106"/>
        <v>2009</v>
      </c>
      <c r="D2293" s="13">
        <v>9350</v>
      </c>
      <c r="E2293" s="13">
        <v>28.667999999999999</v>
      </c>
      <c r="F2293" s="13">
        <f t="shared" si="107"/>
        <v>326.1476210408818</v>
      </c>
    </row>
    <row r="2294" spans="1:6" x14ac:dyDescent="0.25">
      <c r="A2294" s="10">
        <v>40129</v>
      </c>
      <c r="B2294" s="12">
        <f t="shared" si="105"/>
        <v>11</v>
      </c>
      <c r="C2294" s="12">
        <f t="shared" si="106"/>
        <v>2009</v>
      </c>
      <c r="D2294" s="13">
        <v>9350</v>
      </c>
      <c r="E2294" s="13">
        <v>28.917000000000002</v>
      </c>
      <c r="F2294" s="13">
        <f t="shared" si="107"/>
        <v>323.33921222810108</v>
      </c>
    </row>
    <row r="2295" spans="1:6" x14ac:dyDescent="0.25">
      <c r="A2295" s="10">
        <v>40130</v>
      </c>
      <c r="B2295" s="12">
        <f t="shared" si="105"/>
        <v>11</v>
      </c>
      <c r="C2295" s="12">
        <f t="shared" si="106"/>
        <v>2009</v>
      </c>
      <c r="D2295" s="13">
        <v>9350</v>
      </c>
      <c r="E2295" s="13">
        <v>28.864799999999999</v>
      </c>
      <c r="F2295" s="13">
        <f t="shared" si="107"/>
        <v>323.92394889276903</v>
      </c>
    </row>
    <row r="2296" spans="1:6" x14ac:dyDescent="0.25">
      <c r="A2296" s="10">
        <v>40133</v>
      </c>
      <c r="B2296" s="12">
        <f t="shared" si="105"/>
        <v>11</v>
      </c>
      <c r="C2296" s="12">
        <f t="shared" si="106"/>
        <v>2009</v>
      </c>
      <c r="D2296" s="13">
        <v>9850</v>
      </c>
      <c r="E2296" s="13">
        <v>28.6585</v>
      </c>
      <c r="F2296" s="13">
        <f t="shared" si="107"/>
        <v>343.70256642880821</v>
      </c>
    </row>
    <row r="2297" spans="1:6" x14ac:dyDescent="0.25">
      <c r="A2297" s="10">
        <v>40134</v>
      </c>
      <c r="B2297" s="12">
        <f t="shared" si="105"/>
        <v>11</v>
      </c>
      <c r="C2297" s="12">
        <f t="shared" si="106"/>
        <v>2009</v>
      </c>
      <c r="D2297" s="13">
        <v>9850</v>
      </c>
      <c r="E2297" s="13">
        <v>28.7849</v>
      </c>
      <c r="F2297" s="13">
        <f t="shared" si="107"/>
        <v>342.19330273858861</v>
      </c>
    </row>
    <row r="2298" spans="1:6" x14ac:dyDescent="0.25">
      <c r="A2298" s="10">
        <v>40135</v>
      </c>
      <c r="B2298" s="12">
        <f t="shared" si="105"/>
        <v>11</v>
      </c>
      <c r="C2298" s="12">
        <f t="shared" si="106"/>
        <v>2009</v>
      </c>
      <c r="D2298" s="13">
        <v>9850</v>
      </c>
      <c r="E2298" s="13">
        <v>28.704699999999999</v>
      </c>
      <c r="F2298" s="13">
        <f t="shared" si="107"/>
        <v>343.14937971830398</v>
      </c>
    </row>
    <row r="2299" spans="1:6" x14ac:dyDescent="0.25">
      <c r="A2299" s="10">
        <v>40136</v>
      </c>
      <c r="B2299" s="12">
        <f t="shared" si="105"/>
        <v>11</v>
      </c>
      <c r="C2299" s="12">
        <f t="shared" si="106"/>
        <v>2009</v>
      </c>
      <c r="D2299" s="13">
        <v>9850</v>
      </c>
      <c r="E2299" s="13">
        <v>28.7866</v>
      </c>
      <c r="F2299" s="13">
        <f t="shared" si="107"/>
        <v>342.17309442587873</v>
      </c>
    </row>
    <row r="2300" spans="1:6" x14ac:dyDescent="0.25">
      <c r="A2300" s="10">
        <v>40137</v>
      </c>
      <c r="B2300" s="12">
        <f t="shared" si="105"/>
        <v>11</v>
      </c>
      <c r="C2300" s="12">
        <f t="shared" si="106"/>
        <v>2009</v>
      </c>
      <c r="D2300" s="13">
        <v>9850</v>
      </c>
      <c r="E2300" s="13">
        <v>28.990600000000001</v>
      </c>
      <c r="F2300" s="13">
        <f t="shared" si="107"/>
        <v>339.76530323622137</v>
      </c>
    </row>
    <row r="2301" spans="1:6" x14ac:dyDescent="0.25">
      <c r="A2301" s="10">
        <v>40140</v>
      </c>
      <c r="B2301" s="12">
        <f t="shared" si="105"/>
        <v>11</v>
      </c>
      <c r="C2301" s="12">
        <f t="shared" si="106"/>
        <v>2009</v>
      </c>
      <c r="D2301" s="13">
        <v>10250</v>
      </c>
      <c r="E2301" s="13">
        <v>28.802499999999998</v>
      </c>
      <c r="F2301" s="13">
        <f t="shared" si="107"/>
        <v>355.87188612099646</v>
      </c>
    </row>
    <row r="2302" spans="1:6" x14ac:dyDescent="0.25">
      <c r="A2302" s="10">
        <v>40141</v>
      </c>
      <c r="B2302" s="12">
        <f t="shared" si="105"/>
        <v>11</v>
      </c>
      <c r="C2302" s="12">
        <f t="shared" si="106"/>
        <v>2009</v>
      </c>
      <c r="D2302" s="13">
        <v>10250</v>
      </c>
      <c r="E2302" s="13">
        <v>28.797000000000001</v>
      </c>
      <c r="F2302" s="13">
        <f t="shared" si="107"/>
        <v>355.93985484599091</v>
      </c>
    </row>
    <row r="2303" spans="1:6" x14ac:dyDescent="0.25">
      <c r="A2303" s="10">
        <v>40142</v>
      </c>
      <c r="B2303" s="12">
        <f t="shared" si="105"/>
        <v>11</v>
      </c>
      <c r="C2303" s="12">
        <f t="shared" si="106"/>
        <v>2009</v>
      </c>
      <c r="D2303" s="13">
        <v>10250</v>
      </c>
      <c r="E2303" s="13">
        <v>28.759</v>
      </c>
      <c r="F2303" s="13">
        <f t="shared" si="107"/>
        <v>356.41016725199069</v>
      </c>
    </row>
    <row r="2304" spans="1:6" x14ac:dyDescent="0.25">
      <c r="A2304" s="10">
        <v>40144</v>
      </c>
      <c r="B2304" s="12">
        <f t="shared" si="105"/>
        <v>11</v>
      </c>
      <c r="C2304" s="12">
        <f t="shared" si="106"/>
        <v>2009</v>
      </c>
      <c r="D2304" s="13">
        <v>10250</v>
      </c>
      <c r="E2304" s="13">
        <v>29.302499999999998</v>
      </c>
      <c r="F2304" s="13">
        <f t="shared" si="107"/>
        <v>349.79950516167565</v>
      </c>
    </row>
    <row r="2305" spans="1:6" x14ac:dyDescent="0.25">
      <c r="A2305" s="10">
        <v>40147</v>
      </c>
      <c r="B2305" s="12">
        <f t="shared" si="105"/>
        <v>11</v>
      </c>
      <c r="C2305" s="12">
        <f t="shared" si="106"/>
        <v>2009</v>
      </c>
      <c r="D2305" s="13">
        <v>11100</v>
      </c>
      <c r="E2305" s="13">
        <v>29.227</v>
      </c>
      <c r="F2305" s="13">
        <f t="shared" si="107"/>
        <v>379.78581448660486</v>
      </c>
    </row>
    <row r="2306" spans="1:6" x14ac:dyDescent="0.25">
      <c r="A2306" s="10">
        <v>40148</v>
      </c>
      <c r="B2306" s="12">
        <f t="shared" si="105"/>
        <v>12</v>
      </c>
      <c r="C2306" s="12">
        <f t="shared" si="106"/>
        <v>2009</v>
      </c>
      <c r="D2306" s="13">
        <v>11100</v>
      </c>
      <c r="E2306" s="13">
        <v>29.058</v>
      </c>
      <c r="F2306" s="13">
        <f t="shared" si="107"/>
        <v>381.99463142680156</v>
      </c>
    </row>
    <row r="2307" spans="1:6" x14ac:dyDescent="0.25">
      <c r="A2307" s="10">
        <v>40149</v>
      </c>
      <c r="B2307" s="12">
        <f t="shared" ref="B2307:B2370" si="108">MONTH(A2307)</f>
        <v>12</v>
      </c>
      <c r="C2307" s="12">
        <f t="shared" ref="C2307:C2370" si="109">YEAR(A2307)</f>
        <v>2009</v>
      </c>
      <c r="D2307" s="13">
        <v>11100</v>
      </c>
      <c r="E2307" s="13">
        <v>29.351500000000001</v>
      </c>
      <c r="F2307" s="13">
        <f t="shared" ref="F2307:F2370" si="110">IF(D2307="","",D2307/E2307)</f>
        <v>378.17488032979571</v>
      </c>
    </row>
    <row r="2308" spans="1:6" x14ac:dyDescent="0.25">
      <c r="A2308" s="10">
        <v>40150</v>
      </c>
      <c r="B2308" s="12">
        <f t="shared" si="108"/>
        <v>12</v>
      </c>
      <c r="C2308" s="12">
        <f t="shared" si="109"/>
        <v>2009</v>
      </c>
      <c r="D2308" s="13">
        <v>11100</v>
      </c>
      <c r="E2308" s="13">
        <v>29.175799999999999</v>
      </c>
      <c r="F2308" s="13">
        <f t="shared" si="110"/>
        <v>380.45229265350054</v>
      </c>
    </row>
    <row r="2309" spans="1:6" x14ac:dyDescent="0.25">
      <c r="A2309" s="10">
        <v>40151</v>
      </c>
      <c r="B2309" s="12">
        <f t="shared" si="108"/>
        <v>12</v>
      </c>
      <c r="C2309" s="12">
        <f t="shared" si="109"/>
        <v>2009</v>
      </c>
      <c r="D2309" s="13">
        <v>11100</v>
      </c>
      <c r="E2309" s="13">
        <v>29.536200000000001</v>
      </c>
      <c r="F2309" s="13">
        <f t="shared" si="110"/>
        <v>375.81002295488247</v>
      </c>
    </row>
    <row r="2310" spans="1:6" x14ac:dyDescent="0.25">
      <c r="A2310" s="10">
        <v>40154</v>
      </c>
      <c r="B2310" s="12">
        <f t="shared" si="108"/>
        <v>12</v>
      </c>
      <c r="C2310" s="12">
        <f t="shared" si="109"/>
        <v>2009</v>
      </c>
      <c r="D2310" s="13">
        <v>11700</v>
      </c>
      <c r="E2310" s="13">
        <v>29.922999999999998</v>
      </c>
      <c r="F2310" s="13">
        <f t="shared" si="110"/>
        <v>391.00357584466798</v>
      </c>
    </row>
    <row r="2311" spans="1:6" x14ac:dyDescent="0.25">
      <c r="A2311" s="10">
        <v>40155</v>
      </c>
      <c r="B2311" s="12">
        <f t="shared" si="108"/>
        <v>12</v>
      </c>
      <c r="C2311" s="12">
        <f t="shared" si="109"/>
        <v>2009</v>
      </c>
      <c r="D2311" s="13">
        <v>11700</v>
      </c>
      <c r="E2311" s="13">
        <v>30.613299999999999</v>
      </c>
      <c r="F2311" s="13">
        <f t="shared" si="110"/>
        <v>382.18682729401928</v>
      </c>
    </row>
    <row r="2312" spans="1:6" x14ac:dyDescent="0.25">
      <c r="A2312" s="10">
        <v>40156</v>
      </c>
      <c r="B2312" s="12">
        <f t="shared" si="108"/>
        <v>12</v>
      </c>
      <c r="C2312" s="12">
        <f t="shared" si="109"/>
        <v>2009</v>
      </c>
      <c r="D2312" s="13">
        <v>11700</v>
      </c>
      <c r="E2312" s="13">
        <v>30.421900000000001</v>
      </c>
      <c r="F2312" s="13">
        <f t="shared" si="110"/>
        <v>384.59136345856109</v>
      </c>
    </row>
    <row r="2313" spans="1:6" x14ac:dyDescent="0.25">
      <c r="A2313" s="10">
        <v>40157</v>
      </c>
      <c r="B2313" s="12">
        <f t="shared" si="108"/>
        <v>12</v>
      </c>
      <c r="C2313" s="12">
        <f t="shared" si="109"/>
        <v>2009</v>
      </c>
      <c r="D2313" s="13">
        <v>11700</v>
      </c>
      <c r="E2313" s="13">
        <v>30.385000000000002</v>
      </c>
      <c r="F2313" s="13">
        <f t="shared" si="110"/>
        <v>385.05841698206348</v>
      </c>
    </row>
    <row r="2314" spans="1:6" x14ac:dyDescent="0.25">
      <c r="A2314" s="10">
        <v>40158</v>
      </c>
      <c r="B2314" s="12">
        <f t="shared" si="108"/>
        <v>12</v>
      </c>
      <c r="C2314" s="12">
        <f t="shared" si="109"/>
        <v>2009</v>
      </c>
      <c r="D2314" s="13">
        <v>11700</v>
      </c>
      <c r="E2314" s="13">
        <v>30.075500000000002</v>
      </c>
      <c r="F2314" s="13">
        <f t="shared" si="110"/>
        <v>389.02096390749944</v>
      </c>
    </row>
    <row r="2315" spans="1:6" x14ac:dyDescent="0.25">
      <c r="A2315" s="10">
        <v>40161</v>
      </c>
      <c r="B2315" s="12">
        <f t="shared" si="108"/>
        <v>12</v>
      </c>
      <c r="C2315" s="12">
        <f t="shared" si="109"/>
        <v>2009</v>
      </c>
      <c r="D2315" s="13">
        <v>12600</v>
      </c>
      <c r="E2315" s="13">
        <v>30.066500000000001</v>
      </c>
      <c r="F2315" s="13">
        <f t="shared" si="110"/>
        <v>419.07105915221257</v>
      </c>
    </row>
    <row r="2316" spans="1:6" x14ac:dyDescent="0.25">
      <c r="A2316" s="10">
        <v>40162</v>
      </c>
      <c r="B2316" s="12">
        <f t="shared" si="108"/>
        <v>12</v>
      </c>
      <c r="C2316" s="12">
        <f t="shared" si="109"/>
        <v>2009</v>
      </c>
      <c r="D2316" s="13">
        <v>12600</v>
      </c>
      <c r="E2316" s="13">
        <v>30.166499999999999</v>
      </c>
      <c r="F2316" s="13">
        <f t="shared" si="110"/>
        <v>417.68186564566656</v>
      </c>
    </row>
    <row r="2317" spans="1:6" x14ac:dyDescent="0.25">
      <c r="A2317" s="10">
        <v>40163</v>
      </c>
      <c r="B2317" s="12">
        <f t="shared" si="108"/>
        <v>12</v>
      </c>
      <c r="C2317" s="12">
        <f t="shared" si="109"/>
        <v>2009</v>
      </c>
      <c r="D2317" s="13">
        <v>12600</v>
      </c>
      <c r="E2317" s="13">
        <v>30.2315</v>
      </c>
      <c r="F2317" s="13">
        <f t="shared" si="110"/>
        <v>416.78381820286785</v>
      </c>
    </row>
    <row r="2318" spans="1:6" x14ac:dyDescent="0.25">
      <c r="A2318" s="10">
        <v>40164</v>
      </c>
      <c r="B2318" s="12">
        <f t="shared" si="108"/>
        <v>12</v>
      </c>
      <c r="C2318" s="12">
        <f t="shared" si="109"/>
        <v>2009</v>
      </c>
      <c r="D2318" s="13">
        <v>12600</v>
      </c>
      <c r="E2318" s="13">
        <v>30.805700000000002</v>
      </c>
      <c r="F2318" s="13">
        <f t="shared" si="110"/>
        <v>409.01521471675693</v>
      </c>
    </row>
    <row r="2319" spans="1:6" x14ac:dyDescent="0.25">
      <c r="A2319" s="10">
        <v>40165</v>
      </c>
      <c r="B2319" s="12">
        <f t="shared" si="108"/>
        <v>12</v>
      </c>
      <c r="C2319" s="12">
        <f t="shared" si="109"/>
        <v>2009</v>
      </c>
      <c r="D2319" s="13">
        <v>12600</v>
      </c>
      <c r="E2319" s="13">
        <v>30.610900000000001</v>
      </c>
      <c r="F2319" s="13">
        <f t="shared" si="110"/>
        <v>411.61808375447958</v>
      </c>
    </row>
    <row r="2320" spans="1:6" x14ac:dyDescent="0.25">
      <c r="A2320" s="10">
        <v>40168</v>
      </c>
      <c r="B2320" s="12">
        <f t="shared" si="108"/>
        <v>12</v>
      </c>
      <c r="C2320" s="12">
        <f t="shared" si="109"/>
        <v>2009</v>
      </c>
      <c r="D2320" s="13">
        <v>13000</v>
      </c>
      <c r="E2320" s="13">
        <v>30.5444</v>
      </c>
      <c r="F2320" s="13">
        <f t="shared" si="110"/>
        <v>425.609931771454</v>
      </c>
    </row>
    <row r="2321" spans="1:6" x14ac:dyDescent="0.25">
      <c r="A2321" s="10">
        <v>40169</v>
      </c>
      <c r="B2321" s="12">
        <f t="shared" si="108"/>
        <v>12</v>
      </c>
      <c r="C2321" s="12">
        <f t="shared" si="109"/>
        <v>2009</v>
      </c>
      <c r="D2321" s="13">
        <v>13000</v>
      </c>
      <c r="E2321" s="13">
        <v>30.574999999999999</v>
      </c>
      <c r="F2321" s="13">
        <f t="shared" si="110"/>
        <v>425.18397383483239</v>
      </c>
    </row>
    <row r="2322" spans="1:6" x14ac:dyDescent="0.25">
      <c r="A2322" s="10">
        <v>40170</v>
      </c>
      <c r="B2322" s="12">
        <f t="shared" si="108"/>
        <v>12</v>
      </c>
      <c r="C2322" s="12">
        <f t="shared" si="109"/>
        <v>2009</v>
      </c>
      <c r="D2322" s="13">
        <v>13000</v>
      </c>
      <c r="E2322" s="13">
        <v>30.2</v>
      </c>
      <c r="F2322" s="13">
        <f t="shared" si="110"/>
        <v>430.46357615894038</v>
      </c>
    </row>
    <row r="2323" spans="1:6" x14ac:dyDescent="0.25">
      <c r="A2323" s="10">
        <v>40171</v>
      </c>
      <c r="B2323" s="12">
        <f t="shared" si="108"/>
        <v>12</v>
      </c>
      <c r="C2323" s="12">
        <f t="shared" si="109"/>
        <v>2009</v>
      </c>
      <c r="D2323" s="13">
        <v>13000</v>
      </c>
      <c r="E2323" s="13">
        <v>29.587499999999999</v>
      </c>
      <c r="F2323" s="13">
        <f t="shared" si="110"/>
        <v>439.37473595268273</v>
      </c>
    </row>
    <row r="2324" spans="1:6" x14ac:dyDescent="0.25">
      <c r="A2324" s="10">
        <v>40175</v>
      </c>
      <c r="B2324" s="12">
        <f t="shared" si="108"/>
        <v>12</v>
      </c>
      <c r="C2324" s="12">
        <f t="shared" si="109"/>
        <v>2009</v>
      </c>
      <c r="E2324" s="13">
        <v>29.718</v>
      </c>
      <c r="F2324" s="13" t="str">
        <f t="shared" si="110"/>
        <v/>
      </c>
    </row>
    <row r="2325" spans="1:6" x14ac:dyDescent="0.25">
      <c r="A2325" s="10">
        <v>40176</v>
      </c>
      <c r="B2325" s="12">
        <f t="shared" si="108"/>
        <v>12</v>
      </c>
      <c r="C2325" s="12">
        <f t="shared" si="109"/>
        <v>2009</v>
      </c>
      <c r="E2325" s="13">
        <v>30.145</v>
      </c>
      <c r="F2325" s="13" t="str">
        <f t="shared" si="110"/>
        <v/>
      </c>
    </row>
    <row r="2326" spans="1:6" x14ac:dyDescent="0.25">
      <c r="A2326" s="10">
        <v>40177</v>
      </c>
      <c r="B2326" s="12">
        <f t="shared" si="108"/>
        <v>12</v>
      </c>
      <c r="C2326" s="12">
        <f t="shared" si="109"/>
        <v>2009</v>
      </c>
      <c r="E2326" s="13">
        <v>30.311</v>
      </c>
      <c r="F2326" s="13" t="str">
        <f t="shared" si="110"/>
        <v/>
      </c>
    </row>
    <row r="2327" spans="1:6" x14ac:dyDescent="0.25">
      <c r="A2327" s="10">
        <v>40178</v>
      </c>
      <c r="B2327" s="12">
        <f t="shared" si="108"/>
        <v>12</v>
      </c>
      <c r="C2327" s="12">
        <f t="shared" si="109"/>
        <v>2009</v>
      </c>
      <c r="E2327" s="13">
        <v>30.311</v>
      </c>
      <c r="F2327" s="13" t="str">
        <f t="shared" si="110"/>
        <v/>
      </c>
    </row>
    <row r="2328" spans="1:6" x14ac:dyDescent="0.25">
      <c r="A2328" s="10">
        <v>40182</v>
      </c>
      <c r="B2328" s="12">
        <f t="shared" si="108"/>
        <v>1</v>
      </c>
      <c r="C2328" s="12">
        <f t="shared" si="109"/>
        <v>2010</v>
      </c>
      <c r="D2328" s="13">
        <v>13000</v>
      </c>
      <c r="E2328" s="13">
        <v>30.31</v>
      </c>
      <c r="F2328" s="13">
        <f t="shared" si="110"/>
        <v>428.90135268888156</v>
      </c>
    </row>
    <row r="2329" spans="1:6" x14ac:dyDescent="0.25">
      <c r="A2329" s="10">
        <v>40183</v>
      </c>
      <c r="B2329" s="12">
        <f t="shared" si="108"/>
        <v>1</v>
      </c>
      <c r="C2329" s="12">
        <f t="shared" si="109"/>
        <v>2010</v>
      </c>
      <c r="D2329" s="13">
        <v>13000</v>
      </c>
      <c r="E2329" s="13">
        <v>29.923500000000001</v>
      </c>
      <c r="F2329" s="13">
        <f t="shared" si="110"/>
        <v>434.44115828696511</v>
      </c>
    </row>
    <row r="2330" spans="1:6" x14ac:dyDescent="0.25">
      <c r="A2330" s="10">
        <v>40184</v>
      </c>
      <c r="B2330" s="12">
        <f t="shared" si="108"/>
        <v>1</v>
      </c>
      <c r="C2330" s="12">
        <f t="shared" si="109"/>
        <v>2010</v>
      </c>
      <c r="D2330" s="13">
        <v>13000</v>
      </c>
      <c r="E2330" s="13">
        <v>29.863499999999998</v>
      </c>
      <c r="F2330" s="13">
        <f t="shared" si="110"/>
        <v>435.31401208833529</v>
      </c>
    </row>
    <row r="2331" spans="1:6" x14ac:dyDescent="0.25">
      <c r="A2331" s="10">
        <v>40185</v>
      </c>
      <c r="B2331" s="12">
        <f t="shared" si="108"/>
        <v>1</v>
      </c>
      <c r="C2331" s="12">
        <f t="shared" si="109"/>
        <v>2010</v>
      </c>
      <c r="D2331" s="13">
        <v>13000</v>
      </c>
      <c r="E2331" s="13">
        <v>29.864000000000001</v>
      </c>
      <c r="F2331" s="13">
        <f t="shared" si="110"/>
        <v>435.30672381462631</v>
      </c>
    </row>
    <row r="2332" spans="1:6" x14ac:dyDescent="0.25">
      <c r="A2332" s="10">
        <v>40186</v>
      </c>
      <c r="B2332" s="12">
        <f t="shared" si="108"/>
        <v>1</v>
      </c>
      <c r="C2332" s="12">
        <f t="shared" si="109"/>
        <v>2010</v>
      </c>
      <c r="D2332" s="13">
        <v>13000</v>
      </c>
      <c r="E2332" s="13">
        <v>29.864000000000001</v>
      </c>
      <c r="F2332" s="13">
        <f t="shared" si="110"/>
        <v>435.30672381462631</v>
      </c>
    </row>
    <row r="2333" spans="1:6" x14ac:dyDescent="0.25">
      <c r="A2333" s="10">
        <v>40189</v>
      </c>
      <c r="B2333" s="12">
        <f t="shared" si="108"/>
        <v>1</v>
      </c>
      <c r="C2333" s="12">
        <f t="shared" si="109"/>
        <v>2010</v>
      </c>
      <c r="D2333" s="13">
        <v>13150</v>
      </c>
      <c r="E2333" s="13">
        <v>29.321000000000002</v>
      </c>
      <c r="F2333" s="13">
        <f t="shared" si="110"/>
        <v>448.48402169093822</v>
      </c>
    </row>
    <row r="2334" spans="1:6" x14ac:dyDescent="0.25">
      <c r="A2334" s="10">
        <v>40190</v>
      </c>
      <c r="B2334" s="12">
        <f t="shared" si="108"/>
        <v>1</v>
      </c>
      <c r="C2334" s="12">
        <f t="shared" si="109"/>
        <v>2010</v>
      </c>
      <c r="D2334" s="13">
        <v>13150</v>
      </c>
      <c r="E2334" s="13">
        <v>29.515999999999998</v>
      </c>
      <c r="F2334" s="13">
        <f t="shared" si="110"/>
        <v>445.52107331616753</v>
      </c>
    </row>
    <row r="2335" spans="1:6" x14ac:dyDescent="0.25">
      <c r="A2335" s="10">
        <v>40191</v>
      </c>
      <c r="B2335" s="12">
        <f t="shared" si="108"/>
        <v>1</v>
      </c>
      <c r="C2335" s="12">
        <f t="shared" si="109"/>
        <v>2010</v>
      </c>
      <c r="D2335" s="13">
        <v>13150</v>
      </c>
      <c r="E2335" s="13">
        <v>29.55</v>
      </c>
      <c r="F2335" s="13">
        <f t="shared" si="110"/>
        <v>445.00846023688661</v>
      </c>
    </row>
    <row r="2336" spans="1:6" x14ac:dyDescent="0.25">
      <c r="A2336" s="10">
        <v>40192</v>
      </c>
      <c r="B2336" s="12">
        <f t="shared" si="108"/>
        <v>1</v>
      </c>
      <c r="C2336" s="12">
        <f t="shared" si="109"/>
        <v>2010</v>
      </c>
      <c r="D2336" s="13">
        <v>13150</v>
      </c>
      <c r="E2336" s="13">
        <v>29.44</v>
      </c>
      <c r="F2336" s="13">
        <f t="shared" si="110"/>
        <v>446.67119565217388</v>
      </c>
    </row>
    <row r="2337" spans="1:6" x14ac:dyDescent="0.25">
      <c r="A2337" s="10">
        <v>40193</v>
      </c>
      <c r="B2337" s="12">
        <f t="shared" si="108"/>
        <v>1</v>
      </c>
      <c r="C2337" s="12">
        <f t="shared" si="109"/>
        <v>2010</v>
      </c>
      <c r="D2337" s="13">
        <v>13150</v>
      </c>
      <c r="E2337" s="13">
        <v>29.55</v>
      </c>
      <c r="F2337" s="13">
        <f t="shared" si="110"/>
        <v>445.00846023688661</v>
      </c>
    </row>
    <row r="2338" spans="1:6" x14ac:dyDescent="0.25">
      <c r="A2338" s="10">
        <v>40197</v>
      </c>
      <c r="B2338" s="12">
        <f t="shared" si="108"/>
        <v>1</v>
      </c>
      <c r="C2338" s="12">
        <f t="shared" si="109"/>
        <v>2010</v>
      </c>
      <c r="D2338" s="13">
        <v>12950</v>
      </c>
      <c r="E2338" s="13">
        <v>29.593</v>
      </c>
      <c r="F2338" s="13">
        <f t="shared" si="110"/>
        <v>437.60348731118847</v>
      </c>
    </row>
    <row r="2339" spans="1:6" x14ac:dyDescent="0.25">
      <c r="A2339" s="10">
        <v>40198</v>
      </c>
      <c r="B2339" s="12">
        <f t="shared" si="108"/>
        <v>1</v>
      </c>
      <c r="C2339" s="12">
        <f t="shared" si="109"/>
        <v>2010</v>
      </c>
      <c r="D2339" s="13">
        <v>12950</v>
      </c>
      <c r="E2339" s="13">
        <v>29.762699999999999</v>
      </c>
      <c r="F2339" s="13">
        <f t="shared" si="110"/>
        <v>435.10837390424928</v>
      </c>
    </row>
    <row r="2340" spans="1:6" x14ac:dyDescent="0.25">
      <c r="A2340" s="10">
        <v>40199</v>
      </c>
      <c r="B2340" s="12">
        <f t="shared" si="108"/>
        <v>1</v>
      </c>
      <c r="C2340" s="12">
        <f t="shared" si="109"/>
        <v>2010</v>
      </c>
      <c r="D2340" s="13">
        <v>12950</v>
      </c>
      <c r="E2340" s="13">
        <v>29.7575</v>
      </c>
      <c r="F2340" s="13">
        <f t="shared" si="110"/>
        <v>435.18440729227927</v>
      </c>
    </row>
    <row r="2341" spans="1:6" x14ac:dyDescent="0.25">
      <c r="A2341" s="10">
        <v>40200</v>
      </c>
      <c r="B2341" s="12">
        <f t="shared" si="108"/>
        <v>1</v>
      </c>
      <c r="C2341" s="12">
        <f t="shared" si="109"/>
        <v>2010</v>
      </c>
      <c r="D2341" s="13">
        <v>12950</v>
      </c>
      <c r="E2341" s="13">
        <v>29.861499999999999</v>
      </c>
      <c r="F2341" s="13">
        <f t="shared" si="110"/>
        <v>433.66877082531016</v>
      </c>
    </row>
    <row r="2342" spans="1:6" x14ac:dyDescent="0.25">
      <c r="A2342" s="10">
        <v>40203</v>
      </c>
      <c r="B2342" s="12">
        <f t="shared" si="108"/>
        <v>1</v>
      </c>
      <c r="C2342" s="12">
        <f t="shared" si="109"/>
        <v>2010</v>
      </c>
      <c r="D2342" s="13">
        <v>12750</v>
      </c>
      <c r="E2342" s="13">
        <v>30.1111</v>
      </c>
      <c r="F2342" s="13">
        <f t="shared" si="110"/>
        <v>423.43189056527325</v>
      </c>
    </row>
    <row r="2343" spans="1:6" x14ac:dyDescent="0.25">
      <c r="A2343" s="10">
        <v>40204</v>
      </c>
      <c r="B2343" s="12">
        <f t="shared" si="108"/>
        <v>1</v>
      </c>
      <c r="C2343" s="12">
        <f t="shared" si="109"/>
        <v>2010</v>
      </c>
      <c r="D2343" s="13">
        <v>12750</v>
      </c>
      <c r="E2343" s="13">
        <v>30.347200000000001</v>
      </c>
      <c r="F2343" s="13">
        <f t="shared" si="110"/>
        <v>420.13760742341964</v>
      </c>
    </row>
    <row r="2344" spans="1:6" x14ac:dyDescent="0.25">
      <c r="A2344" s="10">
        <v>40205</v>
      </c>
      <c r="B2344" s="12">
        <f t="shared" si="108"/>
        <v>1</v>
      </c>
      <c r="C2344" s="12">
        <f t="shared" si="109"/>
        <v>2010</v>
      </c>
      <c r="D2344" s="13">
        <v>12750</v>
      </c>
      <c r="E2344" s="13">
        <v>30.326499999999999</v>
      </c>
      <c r="F2344" s="13">
        <f t="shared" si="110"/>
        <v>420.42438131667024</v>
      </c>
    </row>
    <row r="2345" spans="1:6" x14ac:dyDescent="0.25">
      <c r="A2345" s="10">
        <v>40206</v>
      </c>
      <c r="B2345" s="12">
        <f t="shared" si="108"/>
        <v>1</v>
      </c>
      <c r="C2345" s="12">
        <f t="shared" si="109"/>
        <v>2010</v>
      </c>
      <c r="D2345" s="13">
        <v>12750</v>
      </c>
      <c r="E2345" s="13">
        <v>30.365500000000001</v>
      </c>
      <c r="F2345" s="13">
        <f t="shared" si="110"/>
        <v>419.88440829230541</v>
      </c>
    </row>
    <row r="2346" spans="1:6" x14ac:dyDescent="0.25">
      <c r="A2346" s="10">
        <v>40207</v>
      </c>
      <c r="B2346" s="12">
        <f t="shared" si="108"/>
        <v>1</v>
      </c>
      <c r="C2346" s="12">
        <f t="shared" si="109"/>
        <v>2010</v>
      </c>
      <c r="D2346" s="13">
        <v>12750</v>
      </c>
      <c r="E2346" s="13">
        <v>30.367799999999999</v>
      </c>
      <c r="F2346" s="13">
        <f t="shared" si="110"/>
        <v>419.85260703771758</v>
      </c>
    </row>
    <row r="2347" spans="1:6" x14ac:dyDescent="0.25">
      <c r="A2347" s="10">
        <v>40210</v>
      </c>
      <c r="B2347" s="12">
        <f t="shared" si="108"/>
        <v>2</v>
      </c>
      <c r="C2347" s="12">
        <f t="shared" si="109"/>
        <v>2010</v>
      </c>
      <c r="D2347" s="13">
        <v>12600</v>
      </c>
      <c r="E2347" s="13">
        <v>30.2925</v>
      </c>
      <c r="F2347" s="13">
        <f t="shared" si="110"/>
        <v>415.94454072790296</v>
      </c>
    </row>
    <row r="2348" spans="1:6" x14ac:dyDescent="0.25">
      <c r="A2348" s="10">
        <v>40211</v>
      </c>
      <c r="B2348" s="12">
        <f t="shared" si="108"/>
        <v>2</v>
      </c>
      <c r="C2348" s="12">
        <f t="shared" si="109"/>
        <v>2010</v>
      </c>
      <c r="D2348" s="13">
        <v>12600</v>
      </c>
      <c r="E2348" s="13">
        <v>30.07</v>
      </c>
      <c r="F2348" s="13">
        <f t="shared" si="110"/>
        <v>419.02228134353174</v>
      </c>
    </row>
    <row r="2349" spans="1:6" x14ac:dyDescent="0.25">
      <c r="A2349" s="10">
        <v>40212</v>
      </c>
      <c r="B2349" s="12">
        <f t="shared" si="108"/>
        <v>2</v>
      </c>
      <c r="C2349" s="12">
        <f t="shared" si="109"/>
        <v>2010</v>
      </c>
      <c r="D2349" s="13">
        <v>12600</v>
      </c>
      <c r="E2349" s="13">
        <v>29.991499999999998</v>
      </c>
      <c r="F2349" s="13">
        <f t="shared" si="110"/>
        <v>420.11903372622243</v>
      </c>
    </row>
    <row r="2350" spans="1:6" x14ac:dyDescent="0.25">
      <c r="A2350" s="10">
        <v>40213</v>
      </c>
      <c r="B2350" s="12">
        <f t="shared" si="108"/>
        <v>2</v>
      </c>
      <c r="C2350" s="12">
        <f t="shared" si="109"/>
        <v>2010</v>
      </c>
      <c r="D2350" s="13">
        <v>12600</v>
      </c>
      <c r="E2350" s="13">
        <v>30.172499999999999</v>
      </c>
      <c r="F2350" s="13">
        <f t="shared" si="110"/>
        <v>417.59880686055186</v>
      </c>
    </row>
    <row r="2351" spans="1:6" x14ac:dyDescent="0.25">
      <c r="A2351" s="10">
        <v>40214</v>
      </c>
      <c r="B2351" s="12">
        <f t="shared" si="108"/>
        <v>2</v>
      </c>
      <c r="C2351" s="12">
        <f t="shared" si="109"/>
        <v>2010</v>
      </c>
      <c r="D2351" s="13">
        <v>12600</v>
      </c>
      <c r="E2351" s="13">
        <v>30.357500000000002</v>
      </c>
      <c r="F2351" s="13">
        <f t="shared" si="110"/>
        <v>415.05394054187593</v>
      </c>
    </row>
    <row r="2352" spans="1:6" x14ac:dyDescent="0.25">
      <c r="A2352" s="10">
        <v>40217</v>
      </c>
      <c r="B2352" s="12">
        <f t="shared" si="108"/>
        <v>2</v>
      </c>
      <c r="C2352" s="12">
        <f t="shared" si="109"/>
        <v>2010</v>
      </c>
      <c r="D2352" s="13">
        <v>12500</v>
      </c>
      <c r="E2352" s="13">
        <v>30.529499999999999</v>
      </c>
      <c r="F2352" s="13">
        <f t="shared" si="110"/>
        <v>409.44004978791008</v>
      </c>
    </row>
    <row r="2353" spans="1:6" x14ac:dyDescent="0.25">
      <c r="A2353" s="10">
        <v>40218</v>
      </c>
      <c r="B2353" s="12">
        <f t="shared" si="108"/>
        <v>2</v>
      </c>
      <c r="C2353" s="12">
        <f t="shared" si="109"/>
        <v>2010</v>
      </c>
      <c r="D2353" s="13">
        <v>12500</v>
      </c>
      <c r="E2353" s="13">
        <v>30.39</v>
      </c>
      <c r="F2353" s="13">
        <f t="shared" si="110"/>
        <v>411.31951299769662</v>
      </c>
    </row>
    <row r="2354" spans="1:6" x14ac:dyDescent="0.25">
      <c r="A2354" s="10">
        <v>40219</v>
      </c>
      <c r="B2354" s="12">
        <f t="shared" si="108"/>
        <v>2</v>
      </c>
      <c r="C2354" s="12">
        <f t="shared" si="109"/>
        <v>2010</v>
      </c>
      <c r="D2354" s="13">
        <v>12500</v>
      </c>
      <c r="E2354" s="13">
        <v>30.260999999999999</v>
      </c>
      <c r="F2354" s="13">
        <f t="shared" si="110"/>
        <v>413.07293215690163</v>
      </c>
    </row>
    <row r="2355" spans="1:6" x14ac:dyDescent="0.25">
      <c r="A2355" s="10">
        <v>40220</v>
      </c>
      <c r="B2355" s="12">
        <f t="shared" si="108"/>
        <v>2</v>
      </c>
      <c r="C2355" s="12">
        <f t="shared" si="109"/>
        <v>2010</v>
      </c>
      <c r="D2355" s="13">
        <v>12500</v>
      </c>
      <c r="E2355" s="13">
        <v>30.172999999999998</v>
      </c>
      <c r="F2355" s="13">
        <f t="shared" si="110"/>
        <v>414.27766546249961</v>
      </c>
    </row>
    <row r="2356" spans="1:6" x14ac:dyDescent="0.25">
      <c r="A2356" s="10">
        <v>40221</v>
      </c>
      <c r="B2356" s="12">
        <f t="shared" si="108"/>
        <v>2</v>
      </c>
      <c r="C2356" s="12">
        <f t="shared" si="109"/>
        <v>2010</v>
      </c>
      <c r="D2356" s="13">
        <v>12500</v>
      </c>
      <c r="E2356" s="13">
        <v>30.205500000000001</v>
      </c>
      <c r="F2356" s="13">
        <f t="shared" si="110"/>
        <v>413.83191802817367</v>
      </c>
    </row>
    <row r="2357" spans="1:6" x14ac:dyDescent="0.25">
      <c r="A2357" s="10">
        <v>40225</v>
      </c>
      <c r="B2357" s="12">
        <f t="shared" si="108"/>
        <v>2</v>
      </c>
      <c r="C2357" s="12">
        <f t="shared" si="109"/>
        <v>2010</v>
      </c>
      <c r="D2357" s="13">
        <v>12500</v>
      </c>
      <c r="E2357" s="13">
        <v>30.004300000000001</v>
      </c>
      <c r="F2357" s="13">
        <f t="shared" si="110"/>
        <v>416.60695300340285</v>
      </c>
    </row>
    <row r="2358" spans="1:6" x14ac:dyDescent="0.25">
      <c r="A2358" s="10">
        <v>40226</v>
      </c>
      <c r="B2358" s="12">
        <f t="shared" si="108"/>
        <v>2</v>
      </c>
      <c r="C2358" s="12">
        <f t="shared" si="109"/>
        <v>2010</v>
      </c>
      <c r="D2358" s="13">
        <v>12500</v>
      </c>
      <c r="E2358" s="13">
        <v>30.121400000000001</v>
      </c>
      <c r="F2358" s="13">
        <f t="shared" si="110"/>
        <v>414.98735118553583</v>
      </c>
    </row>
    <row r="2359" spans="1:6" x14ac:dyDescent="0.25">
      <c r="A2359" s="10">
        <v>40227</v>
      </c>
      <c r="B2359" s="12">
        <f t="shared" si="108"/>
        <v>2</v>
      </c>
      <c r="C2359" s="12">
        <f t="shared" si="109"/>
        <v>2010</v>
      </c>
      <c r="D2359" s="13">
        <v>12500</v>
      </c>
      <c r="E2359" s="13">
        <v>29.996099999999998</v>
      </c>
      <c r="F2359" s="13">
        <f t="shared" si="110"/>
        <v>416.72084037591554</v>
      </c>
    </row>
    <row r="2360" spans="1:6" x14ac:dyDescent="0.25">
      <c r="A2360" s="10">
        <v>40228</v>
      </c>
      <c r="B2360" s="12">
        <f t="shared" si="108"/>
        <v>2</v>
      </c>
      <c r="C2360" s="12">
        <f t="shared" si="109"/>
        <v>2010</v>
      </c>
      <c r="D2360" s="13">
        <v>12500</v>
      </c>
      <c r="E2360" s="13">
        <v>29.970400000000001</v>
      </c>
      <c r="F2360" s="13">
        <f t="shared" si="110"/>
        <v>417.07818380802388</v>
      </c>
    </row>
    <row r="2361" spans="1:6" x14ac:dyDescent="0.25">
      <c r="A2361" s="10">
        <v>40231</v>
      </c>
      <c r="B2361" s="12">
        <f t="shared" si="108"/>
        <v>2</v>
      </c>
      <c r="C2361" s="12">
        <f t="shared" si="109"/>
        <v>2010</v>
      </c>
      <c r="D2361" s="13">
        <v>12500</v>
      </c>
      <c r="E2361" s="13">
        <v>29.9815</v>
      </c>
      <c r="F2361" s="13">
        <f t="shared" si="110"/>
        <v>416.92376965795575</v>
      </c>
    </row>
    <row r="2362" spans="1:6" x14ac:dyDescent="0.25">
      <c r="A2362" s="10">
        <v>40232</v>
      </c>
      <c r="B2362" s="12">
        <f t="shared" si="108"/>
        <v>2</v>
      </c>
      <c r="C2362" s="12">
        <f t="shared" si="109"/>
        <v>2010</v>
      </c>
      <c r="D2362" s="13">
        <v>12500</v>
      </c>
      <c r="E2362" s="13">
        <v>29.986499999999999</v>
      </c>
      <c r="F2362" s="13">
        <f t="shared" si="110"/>
        <v>416.8542510796525</v>
      </c>
    </row>
    <row r="2363" spans="1:6" x14ac:dyDescent="0.25">
      <c r="A2363" s="10">
        <v>40233</v>
      </c>
      <c r="B2363" s="12">
        <f t="shared" si="108"/>
        <v>2</v>
      </c>
      <c r="C2363" s="12">
        <f t="shared" si="109"/>
        <v>2010</v>
      </c>
      <c r="D2363" s="13">
        <v>12500</v>
      </c>
      <c r="E2363" s="13">
        <v>30.0381</v>
      </c>
      <c r="F2363" s="13">
        <f t="shared" si="110"/>
        <v>416.1381711892563</v>
      </c>
    </row>
    <row r="2364" spans="1:6" x14ac:dyDescent="0.25">
      <c r="A2364" s="10">
        <v>40234</v>
      </c>
      <c r="B2364" s="12">
        <f t="shared" si="108"/>
        <v>2</v>
      </c>
      <c r="C2364" s="12">
        <f t="shared" si="109"/>
        <v>2010</v>
      </c>
      <c r="D2364" s="13">
        <v>12500</v>
      </c>
      <c r="E2364" s="13">
        <v>30.001799999999999</v>
      </c>
      <c r="F2364" s="13">
        <f t="shared" si="110"/>
        <v>416.64166816657666</v>
      </c>
    </row>
    <row r="2365" spans="1:6" x14ac:dyDescent="0.25">
      <c r="A2365" s="10">
        <v>40235</v>
      </c>
      <c r="B2365" s="12">
        <f t="shared" si="108"/>
        <v>2</v>
      </c>
      <c r="C2365" s="12">
        <f t="shared" si="109"/>
        <v>2010</v>
      </c>
      <c r="D2365" s="13">
        <v>12500</v>
      </c>
      <c r="E2365" s="13">
        <v>29.93</v>
      </c>
      <c r="F2365" s="13">
        <f t="shared" si="110"/>
        <v>417.64116271299702</v>
      </c>
    </row>
    <row r="2366" spans="1:6" x14ac:dyDescent="0.25">
      <c r="A2366" s="10">
        <v>40238</v>
      </c>
      <c r="B2366" s="12">
        <f t="shared" si="108"/>
        <v>3</v>
      </c>
      <c r="C2366" s="12">
        <f t="shared" si="109"/>
        <v>2010</v>
      </c>
      <c r="D2366" s="13">
        <v>12500</v>
      </c>
      <c r="E2366" s="13">
        <v>29.920999999999999</v>
      </c>
      <c r="F2366" s="13">
        <f t="shared" si="110"/>
        <v>417.76678586945627</v>
      </c>
    </row>
    <row r="2367" spans="1:6" x14ac:dyDescent="0.25">
      <c r="A2367" s="10">
        <v>40239</v>
      </c>
      <c r="B2367" s="12">
        <f t="shared" si="108"/>
        <v>3</v>
      </c>
      <c r="C2367" s="12">
        <f t="shared" si="109"/>
        <v>2010</v>
      </c>
      <c r="D2367" s="13">
        <v>12500</v>
      </c>
      <c r="E2367" s="13">
        <v>29.827000000000002</v>
      </c>
      <c r="F2367" s="13">
        <f t="shared" si="110"/>
        <v>419.08338082944982</v>
      </c>
    </row>
    <row r="2368" spans="1:6" x14ac:dyDescent="0.25">
      <c r="A2368" s="10">
        <v>40240</v>
      </c>
      <c r="B2368" s="12">
        <f t="shared" si="108"/>
        <v>3</v>
      </c>
      <c r="C2368" s="12">
        <f t="shared" si="109"/>
        <v>2010</v>
      </c>
      <c r="D2368" s="13">
        <v>12500</v>
      </c>
      <c r="E2368" s="13">
        <v>29.776499999999999</v>
      </c>
      <c r="F2368" s="13">
        <f t="shared" si="110"/>
        <v>419.7941329571978</v>
      </c>
    </row>
    <row r="2369" spans="1:6" x14ac:dyDescent="0.25">
      <c r="A2369" s="10">
        <v>40241</v>
      </c>
      <c r="B2369" s="12">
        <f t="shared" si="108"/>
        <v>3</v>
      </c>
      <c r="C2369" s="12">
        <f t="shared" si="109"/>
        <v>2010</v>
      </c>
      <c r="D2369" s="13">
        <v>12500</v>
      </c>
      <c r="E2369" s="13">
        <v>29.854500000000002</v>
      </c>
      <c r="F2369" s="13">
        <f t="shared" si="110"/>
        <v>418.69734880838735</v>
      </c>
    </row>
    <row r="2370" spans="1:6" x14ac:dyDescent="0.25">
      <c r="A2370" s="10">
        <v>40242</v>
      </c>
      <c r="B2370" s="12">
        <f t="shared" si="108"/>
        <v>3</v>
      </c>
      <c r="C2370" s="12">
        <f t="shared" si="109"/>
        <v>2010</v>
      </c>
      <c r="D2370" s="13">
        <v>12500</v>
      </c>
      <c r="E2370" s="13">
        <v>29.759</v>
      </c>
      <c r="F2370" s="13">
        <f t="shared" si="110"/>
        <v>420.04099600120969</v>
      </c>
    </row>
    <row r="2371" spans="1:6" x14ac:dyDescent="0.25">
      <c r="A2371" s="10">
        <v>40245</v>
      </c>
      <c r="B2371" s="12">
        <f t="shared" ref="B2371:B2434" si="111">MONTH(A2371)</f>
        <v>3</v>
      </c>
      <c r="C2371" s="12">
        <f t="shared" ref="C2371:C2434" si="112">YEAR(A2371)</f>
        <v>2010</v>
      </c>
      <c r="D2371" s="13">
        <v>12600</v>
      </c>
      <c r="E2371" s="13">
        <v>29.7547</v>
      </c>
      <c r="F2371" s="13">
        <f t="shared" ref="F2371:F2434" si="113">IF(D2371="","",D2371/E2371)</f>
        <v>423.46251180485774</v>
      </c>
    </row>
    <row r="2372" spans="1:6" x14ac:dyDescent="0.25">
      <c r="A2372" s="10">
        <v>40246</v>
      </c>
      <c r="B2372" s="12">
        <f t="shared" si="111"/>
        <v>3</v>
      </c>
      <c r="C2372" s="12">
        <f t="shared" si="112"/>
        <v>2010</v>
      </c>
      <c r="D2372" s="13">
        <v>12600</v>
      </c>
      <c r="E2372" s="13">
        <v>29.733000000000001</v>
      </c>
      <c r="F2372" s="13">
        <f t="shared" si="113"/>
        <v>423.77156694581777</v>
      </c>
    </row>
    <row r="2373" spans="1:6" x14ac:dyDescent="0.25">
      <c r="A2373" s="10">
        <v>40247</v>
      </c>
      <c r="B2373" s="12">
        <f t="shared" si="111"/>
        <v>3</v>
      </c>
      <c r="C2373" s="12">
        <f t="shared" si="112"/>
        <v>2010</v>
      </c>
      <c r="D2373" s="13">
        <v>12600</v>
      </c>
      <c r="E2373" s="13">
        <v>29.553799999999999</v>
      </c>
      <c r="F2373" s="13">
        <f t="shared" si="113"/>
        <v>426.34111349471135</v>
      </c>
    </row>
    <row r="2374" spans="1:6" x14ac:dyDescent="0.25">
      <c r="A2374" s="10">
        <v>40248</v>
      </c>
      <c r="B2374" s="12">
        <f t="shared" si="111"/>
        <v>3</v>
      </c>
      <c r="C2374" s="12">
        <f t="shared" si="112"/>
        <v>2010</v>
      </c>
      <c r="D2374" s="13">
        <v>12600</v>
      </c>
      <c r="E2374" s="13">
        <v>29.452999999999999</v>
      </c>
      <c r="F2374" s="13">
        <f t="shared" si="113"/>
        <v>427.8002240858317</v>
      </c>
    </row>
    <row r="2375" spans="1:6" x14ac:dyDescent="0.25">
      <c r="A2375" s="10">
        <v>40249</v>
      </c>
      <c r="B2375" s="12">
        <f t="shared" si="111"/>
        <v>3</v>
      </c>
      <c r="C2375" s="12">
        <f t="shared" si="112"/>
        <v>2010</v>
      </c>
      <c r="D2375" s="13">
        <v>12600</v>
      </c>
      <c r="E2375" s="13">
        <v>29.2881</v>
      </c>
      <c r="F2375" s="13">
        <f t="shared" si="113"/>
        <v>430.20885615659603</v>
      </c>
    </row>
    <row r="2376" spans="1:6" x14ac:dyDescent="0.25">
      <c r="A2376" s="10">
        <v>40252</v>
      </c>
      <c r="B2376" s="12">
        <f t="shared" si="111"/>
        <v>3</v>
      </c>
      <c r="C2376" s="12">
        <f t="shared" si="112"/>
        <v>2010</v>
      </c>
      <c r="D2376" s="13">
        <v>12700</v>
      </c>
      <c r="E2376" s="13">
        <v>29.421299999999999</v>
      </c>
      <c r="F2376" s="13">
        <f t="shared" si="113"/>
        <v>431.66005580990645</v>
      </c>
    </row>
    <row r="2377" spans="1:6" x14ac:dyDescent="0.25">
      <c r="A2377" s="10">
        <v>40253</v>
      </c>
      <c r="B2377" s="12">
        <f t="shared" si="111"/>
        <v>3</v>
      </c>
      <c r="C2377" s="12">
        <f t="shared" si="112"/>
        <v>2010</v>
      </c>
      <c r="D2377" s="13">
        <v>12700</v>
      </c>
      <c r="E2377" s="13">
        <v>29.2805</v>
      </c>
      <c r="F2377" s="13">
        <f t="shared" si="113"/>
        <v>433.73576270897013</v>
      </c>
    </row>
    <row r="2378" spans="1:6" x14ac:dyDescent="0.25">
      <c r="A2378" s="10">
        <v>40254</v>
      </c>
      <c r="B2378" s="12">
        <f t="shared" si="111"/>
        <v>3</v>
      </c>
      <c r="C2378" s="12">
        <f t="shared" si="112"/>
        <v>2010</v>
      </c>
      <c r="D2378" s="13">
        <v>12700</v>
      </c>
      <c r="E2378" s="13">
        <v>29.171500000000002</v>
      </c>
      <c r="F2378" s="13">
        <f t="shared" si="113"/>
        <v>435.3564266492981</v>
      </c>
    </row>
    <row r="2379" spans="1:6" x14ac:dyDescent="0.25">
      <c r="A2379" s="10">
        <v>40255</v>
      </c>
      <c r="B2379" s="12">
        <f t="shared" si="111"/>
        <v>3</v>
      </c>
      <c r="C2379" s="12">
        <f t="shared" si="112"/>
        <v>2010</v>
      </c>
      <c r="D2379" s="13">
        <v>12700</v>
      </c>
      <c r="E2379" s="13">
        <v>29.3035</v>
      </c>
      <c r="F2379" s="13">
        <f t="shared" si="113"/>
        <v>433.3953282031157</v>
      </c>
    </row>
    <row r="2380" spans="1:6" x14ac:dyDescent="0.25">
      <c r="A2380" s="10">
        <v>40256</v>
      </c>
      <c r="B2380" s="12">
        <f t="shared" si="111"/>
        <v>3</v>
      </c>
      <c r="C2380" s="12">
        <f t="shared" si="112"/>
        <v>2010</v>
      </c>
      <c r="D2380" s="13">
        <v>12700</v>
      </c>
      <c r="E2380" s="13">
        <v>29.337</v>
      </c>
      <c r="F2380" s="13">
        <f t="shared" si="113"/>
        <v>432.90043290043292</v>
      </c>
    </row>
    <row r="2381" spans="1:6" x14ac:dyDescent="0.25">
      <c r="A2381" s="10">
        <v>40259</v>
      </c>
      <c r="B2381" s="12">
        <f t="shared" si="111"/>
        <v>3</v>
      </c>
      <c r="C2381" s="12">
        <f t="shared" si="112"/>
        <v>2010</v>
      </c>
      <c r="D2381" s="13">
        <v>12550</v>
      </c>
      <c r="E2381" s="13">
        <v>29.527000000000001</v>
      </c>
      <c r="F2381" s="13">
        <f t="shared" si="113"/>
        <v>425.03471399058486</v>
      </c>
    </row>
    <row r="2382" spans="1:6" x14ac:dyDescent="0.25">
      <c r="A2382" s="10">
        <v>40260</v>
      </c>
      <c r="B2382" s="12">
        <f t="shared" si="111"/>
        <v>3</v>
      </c>
      <c r="C2382" s="12">
        <f t="shared" si="112"/>
        <v>2010</v>
      </c>
      <c r="D2382" s="13">
        <v>12550</v>
      </c>
      <c r="E2382" s="13">
        <v>29.538</v>
      </c>
      <c r="F2382" s="13">
        <f t="shared" si="113"/>
        <v>424.87643036089105</v>
      </c>
    </row>
    <row r="2383" spans="1:6" x14ac:dyDescent="0.25">
      <c r="A2383" s="10">
        <v>40261</v>
      </c>
      <c r="B2383" s="12">
        <f t="shared" si="111"/>
        <v>3</v>
      </c>
      <c r="C2383" s="12">
        <f t="shared" si="112"/>
        <v>2010</v>
      </c>
      <c r="D2383" s="13">
        <v>12550</v>
      </c>
      <c r="E2383" s="13">
        <v>29.698499999999999</v>
      </c>
      <c r="F2383" s="13">
        <f t="shared" si="113"/>
        <v>422.58026499654864</v>
      </c>
    </row>
    <row r="2384" spans="1:6" x14ac:dyDescent="0.25">
      <c r="A2384" s="10">
        <v>40262</v>
      </c>
      <c r="B2384" s="12">
        <f t="shared" si="111"/>
        <v>3</v>
      </c>
      <c r="C2384" s="12">
        <f t="shared" si="112"/>
        <v>2010</v>
      </c>
      <c r="D2384" s="13">
        <v>12550</v>
      </c>
      <c r="E2384" s="13">
        <v>29.603999999999999</v>
      </c>
      <c r="F2384" s="13">
        <f t="shared" si="113"/>
        <v>423.92919875692473</v>
      </c>
    </row>
    <row r="2385" spans="1:6" x14ac:dyDescent="0.25">
      <c r="A2385" s="10">
        <v>40263</v>
      </c>
      <c r="B2385" s="12">
        <f t="shared" si="111"/>
        <v>3</v>
      </c>
      <c r="C2385" s="12">
        <f t="shared" si="112"/>
        <v>2010</v>
      </c>
      <c r="D2385" s="13">
        <v>12550</v>
      </c>
      <c r="E2385" s="13">
        <v>29.593499999999999</v>
      </c>
      <c r="F2385" s="13">
        <f t="shared" si="113"/>
        <v>424.07961207697639</v>
      </c>
    </row>
    <row r="2386" spans="1:6" x14ac:dyDescent="0.25">
      <c r="A2386" s="10">
        <v>40266</v>
      </c>
      <c r="B2386" s="12">
        <f t="shared" si="111"/>
        <v>3</v>
      </c>
      <c r="C2386" s="12">
        <f t="shared" si="112"/>
        <v>2010</v>
      </c>
      <c r="D2386" s="13">
        <v>12300</v>
      </c>
      <c r="E2386" s="13">
        <v>29.483000000000001</v>
      </c>
      <c r="F2386" s="13">
        <f t="shared" si="113"/>
        <v>417.18956686904318</v>
      </c>
    </row>
    <row r="2387" spans="1:6" x14ac:dyDescent="0.25">
      <c r="A2387" s="10">
        <v>40267</v>
      </c>
      <c r="B2387" s="12">
        <f t="shared" si="111"/>
        <v>3</v>
      </c>
      <c r="C2387" s="12">
        <f t="shared" si="112"/>
        <v>2010</v>
      </c>
      <c r="D2387" s="13">
        <v>12300</v>
      </c>
      <c r="E2387" s="13">
        <v>29.507000000000001</v>
      </c>
      <c r="F2387" s="13">
        <f t="shared" si="113"/>
        <v>416.85023892635644</v>
      </c>
    </row>
    <row r="2388" spans="1:6" x14ac:dyDescent="0.25">
      <c r="A2388" s="10">
        <v>40268</v>
      </c>
      <c r="B2388" s="12">
        <f t="shared" si="111"/>
        <v>3</v>
      </c>
      <c r="C2388" s="12">
        <f t="shared" si="112"/>
        <v>2010</v>
      </c>
      <c r="D2388" s="13">
        <v>12300</v>
      </c>
      <c r="E2388" s="13">
        <v>29.431999999999999</v>
      </c>
      <c r="F2388" s="13">
        <f t="shared" si="113"/>
        <v>417.91247621636319</v>
      </c>
    </row>
    <row r="2389" spans="1:6" x14ac:dyDescent="0.25">
      <c r="A2389" s="10">
        <v>40269</v>
      </c>
      <c r="B2389" s="12">
        <f t="shared" si="111"/>
        <v>4</v>
      </c>
      <c r="C2389" s="12">
        <f t="shared" si="112"/>
        <v>2010</v>
      </c>
      <c r="D2389" s="13">
        <v>12300</v>
      </c>
      <c r="E2389" s="13">
        <v>29.25</v>
      </c>
      <c r="F2389" s="13">
        <f t="shared" si="113"/>
        <v>420.5128205128205</v>
      </c>
    </row>
    <row r="2390" spans="1:6" x14ac:dyDescent="0.25">
      <c r="A2390" s="10">
        <v>40273</v>
      </c>
      <c r="B2390" s="12">
        <f t="shared" si="111"/>
        <v>4</v>
      </c>
      <c r="C2390" s="12">
        <f t="shared" si="112"/>
        <v>2010</v>
      </c>
      <c r="D2390" s="13">
        <v>12000</v>
      </c>
      <c r="E2390" s="13">
        <v>29.196999999999999</v>
      </c>
      <c r="F2390" s="13">
        <f t="shared" si="113"/>
        <v>411.00113025310822</v>
      </c>
    </row>
    <row r="2391" spans="1:6" x14ac:dyDescent="0.25">
      <c r="A2391" s="10">
        <v>40274</v>
      </c>
      <c r="B2391" s="12">
        <f t="shared" si="111"/>
        <v>4</v>
      </c>
      <c r="C2391" s="12">
        <f t="shared" si="112"/>
        <v>2010</v>
      </c>
      <c r="D2391" s="13">
        <v>12000</v>
      </c>
      <c r="E2391" s="13">
        <v>29.32</v>
      </c>
      <c r="F2391" s="13">
        <f t="shared" si="113"/>
        <v>409.27694406548432</v>
      </c>
    </row>
    <row r="2392" spans="1:6" x14ac:dyDescent="0.25">
      <c r="A2392" s="10">
        <v>40275</v>
      </c>
      <c r="B2392" s="12">
        <f t="shared" si="111"/>
        <v>4</v>
      </c>
      <c r="C2392" s="12">
        <f t="shared" si="112"/>
        <v>2010</v>
      </c>
      <c r="D2392" s="13">
        <v>12000</v>
      </c>
      <c r="E2392" s="13">
        <v>29.318999999999999</v>
      </c>
      <c r="F2392" s="13">
        <f t="shared" si="113"/>
        <v>409.29090350966953</v>
      </c>
    </row>
    <row r="2393" spans="1:6" x14ac:dyDescent="0.25">
      <c r="A2393" s="10">
        <v>40276</v>
      </c>
      <c r="B2393" s="12">
        <f t="shared" si="111"/>
        <v>4</v>
      </c>
      <c r="C2393" s="12">
        <f t="shared" si="112"/>
        <v>2010</v>
      </c>
      <c r="D2393" s="13">
        <v>12000</v>
      </c>
      <c r="E2393" s="13">
        <v>29.414999999999999</v>
      </c>
      <c r="F2393" s="13">
        <f t="shared" si="113"/>
        <v>407.95512493625705</v>
      </c>
    </row>
    <row r="2394" spans="1:6" x14ac:dyDescent="0.25">
      <c r="A2394" s="10">
        <v>40277</v>
      </c>
      <c r="B2394" s="12">
        <f t="shared" si="111"/>
        <v>4</v>
      </c>
      <c r="C2394" s="12">
        <f t="shared" si="112"/>
        <v>2010</v>
      </c>
      <c r="D2394" s="13">
        <v>12000</v>
      </c>
      <c r="E2394" s="13">
        <v>29.13</v>
      </c>
      <c r="F2394" s="13">
        <f t="shared" si="113"/>
        <v>411.94644696189499</v>
      </c>
    </row>
    <row r="2395" spans="1:6" x14ac:dyDescent="0.25">
      <c r="A2395" s="10">
        <v>40280</v>
      </c>
      <c r="B2395" s="12">
        <f t="shared" si="111"/>
        <v>4</v>
      </c>
      <c r="C2395" s="12">
        <f t="shared" si="112"/>
        <v>2010</v>
      </c>
      <c r="D2395" s="13">
        <v>11400</v>
      </c>
      <c r="E2395" s="13">
        <v>29.013000000000002</v>
      </c>
      <c r="F2395" s="13">
        <f t="shared" si="113"/>
        <v>392.92730844793709</v>
      </c>
    </row>
    <row r="2396" spans="1:6" x14ac:dyDescent="0.25">
      <c r="A2396" s="10">
        <v>40281</v>
      </c>
      <c r="B2396" s="12">
        <f t="shared" si="111"/>
        <v>4</v>
      </c>
      <c r="C2396" s="12">
        <f t="shared" si="112"/>
        <v>2010</v>
      </c>
      <c r="D2396" s="13">
        <v>11400</v>
      </c>
      <c r="E2396" s="13">
        <v>29.042000000000002</v>
      </c>
      <c r="F2396" s="13">
        <f t="shared" si="113"/>
        <v>392.53494938365122</v>
      </c>
    </row>
    <row r="2397" spans="1:6" x14ac:dyDescent="0.25">
      <c r="A2397" s="10">
        <v>40282</v>
      </c>
      <c r="B2397" s="12">
        <f t="shared" si="111"/>
        <v>4</v>
      </c>
      <c r="C2397" s="12">
        <f t="shared" si="112"/>
        <v>2010</v>
      </c>
      <c r="D2397" s="13">
        <v>11400</v>
      </c>
      <c r="E2397" s="13">
        <v>28.943999999999999</v>
      </c>
      <c r="F2397" s="13">
        <f t="shared" si="113"/>
        <v>393.86401326699837</v>
      </c>
    </row>
    <row r="2398" spans="1:6" x14ac:dyDescent="0.25">
      <c r="A2398" s="10">
        <v>40283</v>
      </c>
      <c r="B2398" s="12">
        <f t="shared" si="111"/>
        <v>4</v>
      </c>
      <c r="C2398" s="12">
        <f t="shared" si="112"/>
        <v>2010</v>
      </c>
      <c r="D2398" s="13">
        <v>11400</v>
      </c>
      <c r="E2398" s="13">
        <v>28.996500000000001</v>
      </c>
      <c r="F2398" s="13">
        <f t="shared" si="113"/>
        <v>393.15089752211475</v>
      </c>
    </row>
    <row r="2399" spans="1:6" x14ac:dyDescent="0.25">
      <c r="A2399" s="10">
        <v>40284</v>
      </c>
      <c r="B2399" s="12">
        <f t="shared" si="111"/>
        <v>4</v>
      </c>
      <c r="C2399" s="12">
        <f t="shared" si="112"/>
        <v>2010</v>
      </c>
      <c r="D2399" s="13">
        <v>11400</v>
      </c>
      <c r="E2399" s="13">
        <v>29.067499999999999</v>
      </c>
      <c r="F2399" s="13">
        <f t="shared" si="113"/>
        <v>392.19059086608758</v>
      </c>
    </row>
    <row r="2400" spans="1:6" x14ac:dyDescent="0.25">
      <c r="A2400" s="10">
        <v>40287</v>
      </c>
      <c r="B2400" s="12">
        <f t="shared" si="111"/>
        <v>4</v>
      </c>
      <c r="C2400" s="12">
        <f t="shared" si="112"/>
        <v>2010</v>
      </c>
      <c r="D2400" s="13">
        <v>11300</v>
      </c>
      <c r="E2400" s="13">
        <v>29.135000000000002</v>
      </c>
      <c r="F2400" s="13">
        <f t="shared" si="113"/>
        <v>387.84966535095242</v>
      </c>
    </row>
    <row r="2401" spans="1:6" x14ac:dyDescent="0.25">
      <c r="A2401" s="10">
        <v>40288</v>
      </c>
      <c r="B2401" s="12">
        <f t="shared" si="111"/>
        <v>4</v>
      </c>
      <c r="C2401" s="12">
        <f t="shared" si="112"/>
        <v>2010</v>
      </c>
      <c r="D2401" s="13">
        <v>11300</v>
      </c>
      <c r="E2401" s="13">
        <v>29.141999999999999</v>
      </c>
      <c r="F2401" s="13">
        <f t="shared" si="113"/>
        <v>387.75650264223458</v>
      </c>
    </row>
    <row r="2402" spans="1:6" x14ac:dyDescent="0.25">
      <c r="A2402" s="10">
        <v>40289</v>
      </c>
      <c r="B2402" s="12">
        <f t="shared" si="111"/>
        <v>4</v>
      </c>
      <c r="C2402" s="12">
        <f t="shared" si="112"/>
        <v>2010</v>
      </c>
      <c r="D2402" s="13">
        <v>11300</v>
      </c>
      <c r="E2402" s="13">
        <v>29.131900000000002</v>
      </c>
      <c r="F2402" s="13">
        <f t="shared" si="113"/>
        <v>387.89093742598317</v>
      </c>
    </row>
    <row r="2403" spans="1:6" x14ac:dyDescent="0.25">
      <c r="A2403" s="10">
        <v>40290</v>
      </c>
      <c r="B2403" s="12">
        <f t="shared" si="111"/>
        <v>4</v>
      </c>
      <c r="C2403" s="12">
        <f t="shared" si="112"/>
        <v>2010</v>
      </c>
      <c r="D2403" s="13">
        <v>11300</v>
      </c>
      <c r="E2403" s="13">
        <v>29.220099999999999</v>
      </c>
      <c r="F2403" s="13">
        <f t="shared" si="113"/>
        <v>386.7201002049959</v>
      </c>
    </row>
    <row r="2404" spans="1:6" x14ac:dyDescent="0.25">
      <c r="A2404" s="10">
        <v>40291</v>
      </c>
      <c r="B2404" s="12">
        <f t="shared" si="111"/>
        <v>4</v>
      </c>
      <c r="C2404" s="12">
        <f t="shared" si="112"/>
        <v>2010</v>
      </c>
      <c r="D2404" s="13">
        <v>11300</v>
      </c>
      <c r="E2404" s="13">
        <v>29.103000000000002</v>
      </c>
      <c r="F2404" s="13">
        <f t="shared" si="113"/>
        <v>388.27612273648765</v>
      </c>
    </row>
    <row r="2405" spans="1:6" x14ac:dyDescent="0.25">
      <c r="A2405" s="10">
        <v>40294</v>
      </c>
      <c r="B2405" s="12">
        <f t="shared" si="111"/>
        <v>4</v>
      </c>
      <c r="C2405" s="12">
        <f t="shared" si="112"/>
        <v>2010</v>
      </c>
      <c r="D2405" s="13">
        <v>11250</v>
      </c>
      <c r="E2405" s="13">
        <v>29.024999999999999</v>
      </c>
      <c r="F2405" s="13">
        <f t="shared" si="113"/>
        <v>387.59689922480624</v>
      </c>
    </row>
    <row r="2406" spans="1:6" x14ac:dyDescent="0.25">
      <c r="A2406" s="10">
        <v>40295</v>
      </c>
      <c r="B2406" s="12">
        <f t="shared" si="111"/>
        <v>4</v>
      </c>
      <c r="C2406" s="12">
        <f t="shared" si="112"/>
        <v>2010</v>
      </c>
      <c r="D2406" s="13">
        <v>11250</v>
      </c>
      <c r="E2406" s="13">
        <v>29.364999999999998</v>
      </c>
      <c r="F2406" s="13">
        <f t="shared" si="113"/>
        <v>383.10914353822579</v>
      </c>
    </row>
    <row r="2407" spans="1:6" x14ac:dyDescent="0.25">
      <c r="A2407" s="10">
        <v>40296</v>
      </c>
      <c r="B2407" s="12">
        <f t="shared" si="111"/>
        <v>4</v>
      </c>
      <c r="C2407" s="12">
        <f t="shared" si="112"/>
        <v>2010</v>
      </c>
      <c r="D2407" s="13">
        <v>11250</v>
      </c>
      <c r="E2407" s="13">
        <v>29.337599999999998</v>
      </c>
      <c r="F2407" s="13">
        <f t="shared" si="113"/>
        <v>383.46695026178014</v>
      </c>
    </row>
    <row r="2408" spans="1:6" x14ac:dyDescent="0.25">
      <c r="A2408" s="10">
        <v>40297</v>
      </c>
      <c r="B2408" s="12">
        <f t="shared" si="111"/>
        <v>4</v>
      </c>
      <c r="C2408" s="12">
        <f t="shared" si="112"/>
        <v>2010</v>
      </c>
      <c r="D2408" s="13">
        <v>11250</v>
      </c>
      <c r="E2408" s="13">
        <v>29.253499999999999</v>
      </c>
      <c r="F2408" s="13">
        <f t="shared" si="113"/>
        <v>384.56936776795942</v>
      </c>
    </row>
    <row r="2409" spans="1:6" x14ac:dyDescent="0.25">
      <c r="A2409" s="10">
        <v>40298</v>
      </c>
      <c r="B2409" s="12">
        <f t="shared" si="111"/>
        <v>4</v>
      </c>
      <c r="C2409" s="12">
        <f t="shared" si="112"/>
        <v>2010</v>
      </c>
      <c r="D2409" s="13">
        <v>11250</v>
      </c>
      <c r="E2409" s="13">
        <v>29.225999999999999</v>
      </c>
      <c r="F2409" s="13">
        <f t="shared" si="113"/>
        <v>384.93122562102241</v>
      </c>
    </row>
    <row r="2410" spans="1:6" x14ac:dyDescent="0.25">
      <c r="A2410" s="10">
        <v>40301</v>
      </c>
      <c r="B2410" s="12">
        <f t="shared" si="111"/>
        <v>5</v>
      </c>
      <c r="C2410" s="12">
        <f t="shared" si="112"/>
        <v>2010</v>
      </c>
      <c r="D2410" s="13">
        <v>11250</v>
      </c>
      <c r="E2410" s="13">
        <v>29.298500000000001</v>
      </c>
      <c r="F2410" s="13">
        <f t="shared" si="113"/>
        <v>383.97870198133012</v>
      </c>
    </row>
    <row r="2411" spans="1:6" x14ac:dyDescent="0.25">
      <c r="A2411" s="10">
        <v>40302</v>
      </c>
      <c r="B2411" s="12">
        <f t="shared" si="111"/>
        <v>5</v>
      </c>
      <c r="C2411" s="12">
        <f t="shared" si="112"/>
        <v>2010</v>
      </c>
      <c r="D2411" s="13">
        <v>11250</v>
      </c>
      <c r="E2411" s="13">
        <v>29.602799999999998</v>
      </c>
      <c r="F2411" s="13">
        <f t="shared" si="113"/>
        <v>380.0316186306701</v>
      </c>
    </row>
    <row r="2412" spans="1:6" x14ac:dyDescent="0.25">
      <c r="A2412" s="10">
        <v>40303</v>
      </c>
      <c r="B2412" s="12">
        <f t="shared" si="111"/>
        <v>5</v>
      </c>
      <c r="C2412" s="12">
        <f t="shared" si="112"/>
        <v>2010</v>
      </c>
      <c r="D2412" s="13">
        <v>11250</v>
      </c>
      <c r="E2412" s="13">
        <v>30.053999999999998</v>
      </c>
      <c r="F2412" s="13">
        <f t="shared" si="113"/>
        <v>374.32621281692957</v>
      </c>
    </row>
    <row r="2413" spans="1:6" x14ac:dyDescent="0.25">
      <c r="A2413" s="10">
        <v>40304</v>
      </c>
      <c r="B2413" s="12">
        <f t="shared" si="111"/>
        <v>5</v>
      </c>
      <c r="C2413" s="12">
        <f t="shared" si="112"/>
        <v>2010</v>
      </c>
      <c r="D2413" s="13">
        <v>11250</v>
      </c>
      <c r="E2413" s="13">
        <v>30.655999999999999</v>
      </c>
      <c r="F2413" s="13">
        <f t="shared" si="113"/>
        <v>366.97546972860124</v>
      </c>
    </row>
    <row r="2414" spans="1:6" x14ac:dyDescent="0.25">
      <c r="A2414" s="10">
        <v>40305</v>
      </c>
      <c r="B2414" s="12">
        <f t="shared" si="111"/>
        <v>5</v>
      </c>
      <c r="C2414" s="12">
        <f t="shared" si="112"/>
        <v>2010</v>
      </c>
      <c r="D2414" s="13">
        <v>11250</v>
      </c>
      <c r="E2414" s="13">
        <v>30.4694</v>
      </c>
      <c r="F2414" s="13">
        <f t="shared" si="113"/>
        <v>369.22289247572974</v>
      </c>
    </row>
    <row r="2415" spans="1:6" x14ac:dyDescent="0.25">
      <c r="A2415" s="10">
        <v>40308</v>
      </c>
      <c r="B2415" s="12">
        <f t="shared" si="111"/>
        <v>5</v>
      </c>
      <c r="C2415" s="12">
        <f t="shared" si="112"/>
        <v>2010</v>
      </c>
      <c r="D2415" s="13">
        <v>11250</v>
      </c>
      <c r="E2415" s="13">
        <v>30.439599999999999</v>
      </c>
      <c r="F2415" s="13">
        <f t="shared" si="113"/>
        <v>369.58435721888594</v>
      </c>
    </row>
    <row r="2416" spans="1:6" x14ac:dyDescent="0.25">
      <c r="A2416" s="10">
        <v>40309</v>
      </c>
      <c r="B2416" s="12">
        <f t="shared" si="111"/>
        <v>5</v>
      </c>
      <c r="C2416" s="12">
        <f t="shared" si="112"/>
        <v>2010</v>
      </c>
      <c r="D2416" s="13">
        <v>11250</v>
      </c>
      <c r="E2416" s="13">
        <v>30.227</v>
      </c>
      <c r="F2416" s="13">
        <f t="shared" si="113"/>
        <v>372.18380917722567</v>
      </c>
    </row>
    <row r="2417" spans="1:6" x14ac:dyDescent="0.25">
      <c r="A2417" s="10">
        <v>40310</v>
      </c>
      <c r="B2417" s="12">
        <f t="shared" si="111"/>
        <v>5</v>
      </c>
      <c r="C2417" s="12">
        <f t="shared" si="112"/>
        <v>2010</v>
      </c>
      <c r="D2417" s="13">
        <v>11250</v>
      </c>
      <c r="E2417" s="13">
        <v>30.016500000000001</v>
      </c>
      <c r="F2417" s="13">
        <f t="shared" si="113"/>
        <v>374.79386337514364</v>
      </c>
    </row>
    <row r="2418" spans="1:6" x14ac:dyDescent="0.25">
      <c r="A2418" s="10">
        <v>40311</v>
      </c>
      <c r="B2418" s="12">
        <f t="shared" si="111"/>
        <v>5</v>
      </c>
      <c r="C2418" s="12">
        <f t="shared" si="112"/>
        <v>2010</v>
      </c>
      <c r="D2418" s="13">
        <v>11250</v>
      </c>
      <c r="E2418" s="13">
        <v>30.045999999999999</v>
      </c>
      <c r="F2418" s="13">
        <f t="shared" si="113"/>
        <v>374.4258803168475</v>
      </c>
    </row>
    <row r="2419" spans="1:6" x14ac:dyDescent="0.25">
      <c r="A2419" s="10">
        <v>40312</v>
      </c>
      <c r="B2419" s="12">
        <f t="shared" si="111"/>
        <v>5</v>
      </c>
      <c r="C2419" s="12">
        <f t="shared" si="112"/>
        <v>2010</v>
      </c>
      <c r="D2419" s="13">
        <v>11250</v>
      </c>
      <c r="E2419" s="13">
        <v>30.342500000000001</v>
      </c>
      <c r="F2419" s="13">
        <f t="shared" si="113"/>
        <v>370.76707588366151</v>
      </c>
    </row>
    <row r="2420" spans="1:6" x14ac:dyDescent="0.25">
      <c r="A2420" s="10">
        <v>40315</v>
      </c>
      <c r="B2420" s="12">
        <f t="shared" si="111"/>
        <v>5</v>
      </c>
      <c r="C2420" s="12">
        <f t="shared" si="112"/>
        <v>2010</v>
      </c>
      <c r="D2420" s="13">
        <v>11150</v>
      </c>
      <c r="E2420" s="13">
        <v>30.5305</v>
      </c>
      <c r="F2420" s="13">
        <f t="shared" si="113"/>
        <v>365.20856192987338</v>
      </c>
    </row>
    <row r="2421" spans="1:6" x14ac:dyDescent="0.25">
      <c r="A2421" s="10">
        <v>40316</v>
      </c>
      <c r="B2421" s="12">
        <f t="shared" si="111"/>
        <v>5</v>
      </c>
      <c r="C2421" s="12">
        <f t="shared" si="112"/>
        <v>2010</v>
      </c>
      <c r="D2421" s="13">
        <v>11150</v>
      </c>
      <c r="E2421" s="13">
        <v>30.539000000000001</v>
      </c>
      <c r="F2421" s="13">
        <f t="shared" si="113"/>
        <v>365.10691247257603</v>
      </c>
    </row>
    <row r="2422" spans="1:6" x14ac:dyDescent="0.25">
      <c r="A2422" s="10">
        <v>40317</v>
      </c>
      <c r="B2422" s="12">
        <f t="shared" si="111"/>
        <v>5</v>
      </c>
      <c r="C2422" s="12">
        <f t="shared" si="112"/>
        <v>2010</v>
      </c>
      <c r="D2422" s="13">
        <v>11150</v>
      </c>
      <c r="E2422" s="13">
        <v>30.623000000000001</v>
      </c>
      <c r="F2422" s="13">
        <f t="shared" si="113"/>
        <v>364.10541096561406</v>
      </c>
    </row>
    <row r="2423" spans="1:6" x14ac:dyDescent="0.25">
      <c r="A2423" s="10">
        <v>40318</v>
      </c>
      <c r="B2423" s="12">
        <f t="shared" si="111"/>
        <v>5</v>
      </c>
      <c r="C2423" s="12">
        <f t="shared" si="112"/>
        <v>2010</v>
      </c>
      <c r="D2423" s="13">
        <v>11150</v>
      </c>
      <c r="E2423" s="13">
        <v>31.456499999999998</v>
      </c>
      <c r="F2423" s="13">
        <f t="shared" si="113"/>
        <v>354.4577432327182</v>
      </c>
    </row>
    <row r="2424" spans="1:6" x14ac:dyDescent="0.25">
      <c r="A2424" s="10">
        <v>40319</v>
      </c>
      <c r="B2424" s="12">
        <f t="shared" si="111"/>
        <v>5</v>
      </c>
      <c r="C2424" s="12">
        <f t="shared" si="112"/>
        <v>2010</v>
      </c>
      <c r="D2424" s="13">
        <v>11150</v>
      </c>
      <c r="E2424" s="13">
        <v>31.087499999999999</v>
      </c>
      <c r="F2424" s="13">
        <f t="shared" si="113"/>
        <v>358.66505830317652</v>
      </c>
    </row>
    <row r="2425" spans="1:6" x14ac:dyDescent="0.25">
      <c r="A2425" s="10">
        <v>40322</v>
      </c>
      <c r="B2425" s="12">
        <f t="shared" si="111"/>
        <v>5</v>
      </c>
      <c r="C2425" s="12">
        <f t="shared" si="112"/>
        <v>2010</v>
      </c>
      <c r="D2425" s="13">
        <v>11150</v>
      </c>
      <c r="E2425" s="13">
        <v>31.061499999999999</v>
      </c>
      <c r="F2425" s="13">
        <f t="shared" si="113"/>
        <v>358.96527856027558</v>
      </c>
    </row>
    <row r="2426" spans="1:6" x14ac:dyDescent="0.25">
      <c r="A2426" s="10">
        <v>40323</v>
      </c>
      <c r="B2426" s="12">
        <f t="shared" si="111"/>
        <v>5</v>
      </c>
      <c r="C2426" s="12">
        <f t="shared" si="112"/>
        <v>2010</v>
      </c>
      <c r="D2426" s="13">
        <v>11150</v>
      </c>
      <c r="E2426" s="13">
        <v>31.42</v>
      </c>
      <c r="F2426" s="13">
        <f t="shared" si="113"/>
        <v>354.86950986632718</v>
      </c>
    </row>
    <row r="2427" spans="1:6" x14ac:dyDescent="0.25">
      <c r="A2427" s="10">
        <v>40324</v>
      </c>
      <c r="B2427" s="12">
        <f t="shared" si="111"/>
        <v>5</v>
      </c>
      <c r="C2427" s="12">
        <f t="shared" si="112"/>
        <v>2010</v>
      </c>
      <c r="D2427" s="13">
        <v>11150</v>
      </c>
      <c r="E2427" s="13">
        <v>31.19</v>
      </c>
      <c r="F2427" s="13">
        <f t="shared" si="113"/>
        <v>357.4863738377685</v>
      </c>
    </row>
    <row r="2428" spans="1:6" x14ac:dyDescent="0.25">
      <c r="A2428" s="10">
        <v>40325</v>
      </c>
      <c r="B2428" s="12">
        <f t="shared" si="111"/>
        <v>5</v>
      </c>
      <c r="C2428" s="12">
        <f t="shared" si="112"/>
        <v>2010</v>
      </c>
      <c r="D2428" s="13">
        <v>11150</v>
      </c>
      <c r="E2428" s="13">
        <v>30.648499999999999</v>
      </c>
      <c r="F2428" s="13">
        <f t="shared" si="113"/>
        <v>363.80246994143272</v>
      </c>
    </row>
    <row r="2429" spans="1:6" x14ac:dyDescent="0.25">
      <c r="A2429" s="10">
        <v>40326</v>
      </c>
      <c r="B2429" s="12">
        <f t="shared" si="111"/>
        <v>5</v>
      </c>
      <c r="C2429" s="12">
        <f t="shared" si="112"/>
        <v>2010</v>
      </c>
      <c r="D2429" s="13">
        <v>11150</v>
      </c>
      <c r="E2429" s="13">
        <v>30.669</v>
      </c>
      <c r="F2429" s="13">
        <f t="shared" si="113"/>
        <v>363.55929440151294</v>
      </c>
    </row>
    <row r="2430" spans="1:6" x14ac:dyDescent="0.25">
      <c r="A2430" s="10">
        <v>40330</v>
      </c>
      <c r="B2430" s="12">
        <f t="shared" si="111"/>
        <v>6</v>
      </c>
      <c r="C2430" s="12">
        <f t="shared" si="112"/>
        <v>2010</v>
      </c>
      <c r="D2430" s="13">
        <v>11150</v>
      </c>
      <c r="E2430" s="13">
        <v>31.1174</v>
      </c>
      <c r="F2430" s="13">
        <f t="shared" si="113"/>
        <v>358.32042522832887</v>
      </c>
    </row>
    <row r="2431" spans="1:6" x14ac:dyDescent="0.25">
      <c r="A2431" s="10">
        <v>40331</v>
      </c>
      <c r="B2431" s="12">
        <f t="shared" si="111"/>
        <v>6</v>
      </c>
      <c r="C2431" s="12">
        <f t="shared" si="112"/>
        <v>2010</v>
      </c>
      <c r="D2431" s="13">
        <v>11150</v>
      </c>
      <c r="E2431" s="13">
        <v>31.153500000000001</v>
      </c>
      <c r="F2431" s="13">
        <f t="shared" si="113"/>
        <v>357.90521129247117</v>
      </c>
    </row>
    <row r="2432" spans="1:6" x14ac:dyDescent="0.25">
      <c r="A2432" s="10">
        <v>40332</v>
      </c>
      <c r="B2432" s="12">
        <f t="shared" si="111"/>
        <v>6</v>
      </c>
      <c r="C2432" s="12">
        <f t="shared" si="112"/>
        <v>2010</v>
      </c>
      <c r="D2432" s="13">
        <v>11150</v>
      </c>
      <c r="E2432" s="13">
        <v>31.155000000000001</v>
      </c>
      <c r="F2432" s="13">
        <f t="shared" si="113"/>
        <v>357.88797945755095</v>
      </c>
    </row>
    <row r="2433" spans="1:6" x14ac:dyDescent="0.25">
      <c r="A2433" s="10">
        <v>40333</v>
      </c>
      <c r="B2433" s="12">
        <f t="shared" si="111"/>
        <v>6</v>
      </c>
      <c r="C2433" s="12">
        <f t="shared" si="112"/>
        <v>2010</v>
      </c>
      <c r="D2433" s="13">
        <v>11150</v>
      </c>
      <c r="E2433" s="13">
        <v>31.532499999999999</v>
      </c>
      <c r="F2433" s="13">
        <f t="shared" si="113"/>
        <v>353.60342503765958</v>
      </c>
    </row>
    <row r="2434" spans="1:6" x14ac:dyDescent="0.25">
      <c r="A2434" s="10">
        <v>40336</v>
      </c>
      <c r="B2434" s="12">
        <f t="shared" si="111"/>
        <v>6</v>
      </c>
      <c r="C2434" s="12">
        <f t="shared" si="112"/>
        <v>2010</v>
      </c>
      <c r="D2434" s="13">
        <v>11050</v>
      </c>
      <c r="E2434" s="13">
        <v>31.856000000000002</v>
      </c>
      <c r="F2434" s="13">
        <f t="shared" si="113"/>
        <v>346.87343043696632</v>
      </c>
    </row>
    <row r="2435" spans="1:6" x14ac:dyDescent="0.25">
      <c r="A2435" s="10">
        <v>40337</v>
      </c>
      <c r="B2435" s="12">
        <f t="shared" ref="B2435:B2498" si="114">MONTH(A2435)</f>
        <v>6</v>
      </c>
      <c r="C2435" s="12">
        <f t="shared" ref="C2435:C2498" si="115">YEAR(A2435)</f>
        <v>2010</v>
      </c>
      <c r="D2435" s="13">
        <v>11050</v>
      </c>
      <c r="E2435" s="13">
        <v>31.791499999999999</v>
      </c>
      <c r="F2435" s="13">
        <f t="shared" ref="F2435:F2498" si="116">IF(D2435="","",D2435/E2435)</f>
        <v>347.57718258024943</v>
      </c>
    </row>
    <row r="2436" spans="1:6" x14ac:dyDescent="0.25">
      <c r="A2436" s="10">
        <v>40338</v>
      </c>
      <c r="B2436" s="12">
        <f t="shared" si="114"/>
        <v>6</v>
      </c>
      <c r="C2436" s="12">
        <f t="shared" si="115"/>
        <v>2010</v>
      </c>
      <c r="D2436" s="13">
        <v>11050</v>
      </c>
      <c r="E2436" s="13">
        <v>31.684000000000001</v>
      </c>
      <c r="F2436" s="13">
        <f t="shared" si="116"/>
        <v>348.75647014265877</v>
      </c>
    </row>
    <row r="2437" spans="1:6" x14ac:dyDescent="0.25">
      <c r="A2437" s="10">
        <v>40339</v>
      </c>
      <c r="B2437" s="12">
        <f t="shared" si="114"/>
        <v>6</v>
      </c>
      <c r="C2437" s="12">
        <f t="shared" si="115"/>
        <v>2010</v>
      </c>
      <c r="D2437" s="13">
        <v>11050</v>
      </c>
      <c r="E2437" s="13">
        <v>31.5625</v>
      </c>
      <c r="F2437" s="13">
        <f t="shared" si="116"/>
        <v>350.0990099009901</v>
      </c>
    </row>
    <row r="2438" spans="1:6" x14ac:dyDescent="0.25">
      <c r="A2438" s="10">
        <v>40340</v>
      </c>
      <c r="B2438" s="12">
        <f t="shared" si="114"/>
        <v>6</v>
      </c>
      <c r="C2438" s="12">
        <f t="shared" si="115"/>
        <v>2010</v>
      </c>
      <c r="D2438" s="13">
        <v>11050</v>
      </c>
      <c r="E2438" s="13">
        <v>31.602499999999999</v>
      </c>
      <c r="F2438" s="13">
        <f t="shared" si="116"/>
        <v>349.65588165493239</v>
      </c>
    </row>
    <row r="2439" spans="1:6" x14ac:dyDescent="0.25">
      <c r="A2439" s="10">
        <v>40343</v>
      </c>
      <c r="B2439" s="12">
        <f t="shared" si="114"/>
        <v>6</v>
      </c>
      <c r="C2439" s="12">
        <f t="shared" si="115"/>
        <v>2010</v>
      </c>
      <c r="D2439" s="13">
        <v>11050</v>
      </c>
      <c r="E2439" s="13">
        <v>31.6585</v>
      </c>
      <c r="F2439" s="13">
        <f t="shared" si="116"/>
        <v>349.03738332517332</v>
      </c>
    </row>
    <row r="2440" spans="1:6" x14ac:dyDescent="0.25">
      <c r="A2440" s="10">
        <v>40344</v>
      </c>
      <c r="B2440" s="12">
        <f t="shared" si="114"/>
        <v>6</v>
      </c>
      <c r="C2440" s="12">
        <f t="shared" si="115"/>
        <v>2010</v>
      </c>
      <c r="D2440" s="13">
        <v>11050</v>
      </c>
      <c r="E2440" s="13">
        <v>31.279299999999999</v>
      </c>
      <c r="F2440" s="13">
        <f t="shared" si="116"/>
        <v>353.26877519637588</v>
      </c>
    </row>
    <row r="2441" spans="1:6" x14ac:dyDescent="0.25">
      <c r="A2441" s="10">
        <v>40345</v>
      </c>
      <c r="B2441" s="12">
        <f t="shared" si="114"/>
        <v>6</v>
      </c>
      <c r="C2441" s="12">
        <f t="shared" si="115"/>
        <v>2010</v>
      </c>
      <c r="D2441" s="13">
        <v>11050</v>
      </c>
      <c r="E2441" s="13">
        <v>31.208300000000001</v>
      </c>
      <c r="F2441" s="13">
        <f t="shared" si="116"/>
        <v>354.07247430971887</v>
      </c>
    </row>
    <row r="2442" spans="1:6" x14ac:dyDescent="0.25">
      <c r="A2442" s="10">
        <v>40346</v>
      </c>
      <c r="B2442" s="12">
        <f t="shared" si="114"/>
        <v>6</v>
      </c>
      <c r="C2442" s="12">
        <f t="shared" si="115"/>
        <v>2010</v>
      </c>
      <c r="D2442" s="13">
        <v>11050</v>
      </c>
      <c r="E2442" s="13">
        <v>30.94</v>
      </c>
      <c r="F2442" s="13">
        <f t="shared" si="116"/>
        <v>357.14285714285711</v>
      </c>
    </row>
    <row r="2443" spans="1:6" x14ac:dyDescent="0.25">
      <c r="A2443" s="10">
        <v>40347</v>
      </c>
      <c r="B2443" s="12">
        <f t="shared" si="114"/>
        <v>6</v>
      </c>
      <c r="C2443" s="12">
        <f t="shared" si="115"/>
        <v>2010</v>
      </c>
      <c r="D2443" s="13">
        <v>11050</v>
      </c>
      <c r="E2443" s="13">
        <v>30.974499999999999</v>
      </c>
      <c r="F2443" s="13">
        <f t="shared" si="116"/>
        <v>356.74506448853089</v>
      </c>
    </row>
    <row r="2444" spans="1:6" x14ac:dyDescent="0.25">
      <c r="A2444" s="10">
        <v>40350</v>
      </c>
      <c r="B2444" s="12">
        <f t="shared" si="114"/>
        <v>6</v>
      </c>
      <c r="C2444" s="12">
        <f t="shared" si="115"/>
        <v>2010</v>
      </c>
      <c r="D2444" s="13">
        <v>11150</v>
      </c>
      <c r="E2444" s="13">
        <v>30.851199999999999</v>
      </c>
      <c r="F2444" s="13">
        <f t="shared" si="116"/>
        <v>361.41219790478169</v>
      </c>
    </row>
    <row r="2445" spans="1:6" x14ac:dyDescent="0.25">
      <c r="A2445" s="10">
        <v>40351</v>
      </c>
      <c r="B2445" s="12">
        <f t="shared" si="114"/>
        <v>6</v>
      </c>
      <c r="C2445" s="12">
        <f t="shared" si="115"/>
        <v>2010</v>
      </c>
      <c r="D2445" s="13">
        <v>11150</v>
      </c>
      <c r="E2445" s="13">
        <v>30.9116</v>
      </c>
      <c r="F2445" s="13">
        <f t="shared" si="116"/>
        <v>360.70601327656931</v>
      </c>
    </row>
    <row r="2446" spans="1:6" x14ac:dyDescent="0.25">
      <c r="A2446" s="10">
        <v>40352</v>
      </c>
      <c r="B2446" s="12">
        <f t="shared" si="114"/>
        <v>6</v>
      </c>
      <c r="C2446" s="12">
        <f t="shared" si="115"/>
        <v>2010</v>
      </c>
      <c r="D2446" s="13">
        <v>11150</v>
      </c>
      <c r="E2446" s="13">
        <v>30.990100000000002</v>
      </c>
      <c r="F2446" s="13">
        <f t="shared" si="116"/>
        <v>359.79232077340828</v>
      </c>
    </row>
    <row r="2447" spans="1:6" x14ac:dyDescent="0.25">
      <c r="A2447" s="10">
        <v>40353</v>
      </c>
      <c r="B2447" s="12">
        <f t="shared" si="114"/>
        <v>6</v>
      </c>
      <c r="C2447" s="12">
        <f t="shared" si="115"/>
        <v>2010</v>
      </c>
      <c r="D2447" s="13">
        <v>11150</v>
      </c>
      <c r="E2447" s="13">
        <v>31.04</v>
      </c>
      <c r="F2447" s="13">
        <f t="shared" si="116"/>
        <v>359.21391752577318</v>
      </c>
    </row>
    <row r="2448" spans="1:6" x14ac:dyDescent="0.25">
      <c r="A2448" s="10">
        <v>40354</v>
      </c>
      <c r="B2448" s="12">
        <f t="shared" si="114"/>
        <v>6</v>
      </c>
      <c r="C2448" s="12">
        <f t="shared" si="115"/>
        <v>2010</v>
      </c>
      <c r="D2448" s="13">
        <v>11150</v>
      </c>
      <c r="E2448" s="13">
        <v>30.99</v>
      </c>
      <c r="F2448" s="13">
        <f t="shared" si="116"/>
        <v>359.7934817683124</v>
      </c>
    </row>
    <row r="2449" spans="1:6" x14ac:dyDescent="0.25">
      <c r="A2449" s="10">
        <v>40357</v>
      </c>
      <c r="B2449" s="12">
        <f t="shared" si="114"/>
        <v>6</v>
      </c>
      <c r="C2449" s="12">
        <f t="shared" si="115"/>
        <v>2010</v>
      </c>
      <c r="D2449" s="13">
        <v>11150</v>
      </c>
      <c r="E2449" s="13">
        <v>31.059000000000001</v>
      </c>
      <c r="F2449" s="13">
        <f t="shared" si="116"/>
        <v>358.99417238159629</v>
      </c>
    </row>
    <row r="2450" spans="1:6" x14ac:dyDescent="0.25">
      <c r="A2450" s="10">
        <v>40358</v>
      </c>
      <c r="B2450" s="12">
        <f t="shared" si="114"/>
        <v>6</v>
      </c>
      <c r="C2450" s="12">
        <f t="shared" si="115"/>
        <v>2010</v>
      </c>
      <c r="D2450" s="13">
        <v>11150</v>
      </c>
      <c r="E2450" s="13">
        <v>31.337499999999999</v>
      </c>
      <c r="F2450" s="13">
        <f t="shared" si="116"/>
        <v>355.80374950139611</v>
      </c>
    </row>
    <row r="2451" spans="1:6" x14ac:dyDescent="0.25">
      <c r="A2451" s="10">
        <v>40359</v>
      </c>
      <c r="B2451" s="12">
        <f t="shared" si="114"/>
        <v>6</v>
      </c>
      <c r="C2451" s="12">
        <f t="shared" si="115"/>
        <v>2010</v>
      </c>
      <c r="D2451" s="13">
        <v>11150</v>
      </c>
      <c r="E2451" s="13">
        <v>31.259</v>
      </c>
      <c r="F2451" s="13">
        <f t="shared" si="116"/>
        <v>356.69727118589844</v>
      </c>
    </row>
    <row r="2452" spans="1:6" x14ac:dyDescent="0.25">
      <c r="A2452" s="10">
        <v>40360</v>
      </c>
      <c r="B2452" s="12">
        <f t="shared" si="114"/>
        <v>7</v>
      </c>
      <c r="C2452" s="12">
        <f t="shared" si="115"/>
        <v>2010</v>
      </c>
      <c r="D2452" s="13">
        <v>11150</v>
      </c>
      <c r="E2452" s="13">
        <v>31.03</v>
      </c>
      <c r="F2452" s="13">
        <f t="shared" si="116"/>
        <v>359.32968095391556</v>
      </c>
    </row>
    <row r="2453" spans="1:6" x14ac:dyDescent="0.25">
      <c r="A2453" s="10">
        <v>40361</v>
      </c>
      <c r="B2453" s="12">
        <f t="shared" si="114"/>
        <v>7</v>
      </c>
      <c r="C2453" s="12">
        <f t="shared" si="115"/>
        <v>2010</v>
      </c>
      <c r="D2453" s="13">
        <v>11150</v>
      </c>
      <c r="E2453" s="13">
        <v>31.085999999999999</v>
      </c>
      <c r="F2453" s="13">
        <f t="shared" si="116"/>
        <v>358.68236505179181</v>
      </c>
    </row>
    <row r="2454" spans="1:6" x14ac:dyDescent="0.25">
      <c r="A2454" s="10">
        <v>40365</v>
      </c>
      <c r="B2454" s="12">
        <f t="shared" si="114"/>
        <v>7</v>
      </c>
      <c r="C2454" s="12">
        <f t="shared" si="115"/>
        <v>2010</v>
      </c>
      <c r="D2454" s="13">
        <v>11150</v>
      </c>
      <c r="E2454" s="13">
        <v>30.993500000000001</v>
      </c>
      <c r="F2454" s="13">
        <f t="shared" si="116"/>
        <v>359.75285140432669</v>
      </c>
    </row>
    <row r="2455" spans="1:6" x14ac:dyDescent="0.25">
      <c r="A2455" s="10">
        <v>40366</v>
      </c>
      <c r="B2455" s="12">
        <f t="shared" si="114"/>
        <v>7</v>
      </c>
      <c r="C2455" s="12">
        <f t="shared" si="115"/>
        <v>2010</v>
      </c>
      <c r="D2455" s="13">
        <v>11150</v>
      </c>
      <c r="E2455" s="13">
        <v>31.020499999999998</v>
      </c>
      <c r="F2455" s="13">
        <f t="shared" si="116"/>
        <v>359.43972534291839</v>
      </c>
    </row>
    <row r="2456" spans="1:6" x14ac:dyDescent="0.25">
      <c r="A2456" s="10">
        <v>40367</v>
      </c>
      <c r="B2456" s="12">
        <f t="shared" si="114"/>
        <v>7</v>
      </c>
      <c r="C2456" s="12">
        <f t="shared" si="115"/>
        <v>2010</v>
      </c>
      <c r="D2456" s="13">
        <v>11150</v>
      </c>
      <c r="E2456" s="13">
        <v>30.843</v>
      </c>
      <c r="F2456" s="13">
        <f t="shared" si="116"/>
        <v>361.50828388937521</v>
      </c>
    </row>
    <row r="2457" spans="1:6" x14ac:dyDescent="0.25">
      <c r="A2457" s="10">
        <v>40368</v>
      </c>
      <c r="B2457" s="12">
        <f t="shared" si="114"/>
        <v>7</v>
      </c>
      <c r="C2457" s="12">
        <f t="shared" si="115"/>
        <v>2010</v>
      </c>
      <c r="D2457" s="13">
        <v>11150</v>
      </c>
      <c r="E2457" s="13">
        <v>30.87</v>
      </c>
      <c r="F2457" s="13">
        <f t="shared" si="116"/>
        <v>361.1920958859734</v>
      </c>
    </row>
    <row r="2458" spans="1:6" x14ac:dyDescent="0.25">
      <c r="A2458" s="10">
        <v>40371</v>
      </c>
      <c r="B2458" s="12">
        <f t="shared" si="114"/>
        <v>7</v>
      </c>
      <c r="C2458" s="12">
        <f t="shared" si="115"/>
        <v>2010</v>
      </c>
      <c r="D2458" s="13">
        <v>11250</v>
      </c>
      <c r="E2458" s="13">
        <v>30.777000000000001</v>
      </c>
      <c r="F2458" s="13">
        <f t="shared" si="116"/>
        <v>365.53270299249436</v>
      </c>
    </row>
    <row r="2459" spans="1:6" x14ac:dyDescent="0.25">
      <c r="A2459" s="10">
        <v>40372</v>
      </c>
      <c r="B2459" s="12">
        <f t="shared" si="114"/>
        <v>7</v>
      </c>
      <c r="C2459" s="12">
        <f t="shared" si="115"/>
        <v>2010</v>
      </c>
      <c r="D2459" s="13">
        <v>11250</v>
      </c>
      <c r="E2459" s="13">
        <v>30.5745</v>
      </c>
      <c r="F2459" s="13">
        <f t="shared" si="116"/>
        <v>367.95368689594267</v>
      </c>
    </row>
    <row r="2460" spans="1:6" x14ac:dyDescent="0.25">
      <c r="A2460" s="10">
        <v>40373</v>
      </c>
      <c r="B2460" s="12">
        <f t="shared" si="114"/>
        <v>7</v>
      </c>
      <c r="C2460" s="12">
        <f t="shared" si="115"/>
        <v>2010</v>
      </c>
      <c r="D2460" s="13">
        <v>11250</v>
      </c>
      <c r="E2460" s="13">
        <v>30.545500000000001</v>
      </c>
      <c r="F2460" s="13">
        <f t="shared" si="116"/>
        <v>368.30302335859619</v>
      </c>
    </row>
    <row r="2461" spans="1:6" x14ac:dyDescent="0.25">
      <c r="A2461" s="10">
        <v>40374</v>
      </c>
      <c r="B2461" s="12">
        <f t="shared" si="114"/>
        <v>7</v>
      </c>
      <c r="C2461" s="12">
        <f t="shared" si="115"/>
        <v>2010</v>
      </c>
      <c r="D2461" s="13">
        <v>11250</v>
      </c>
      <c r="E2461" s="13">
        <v>30.372</v>
      </c>
      <c r="F2461" s="13">
        <f t="shared" si="116"/>
        <v>370.40695377321219</v>
      </c>
    </row>
    <row r="2462" spans="1:6" x14ac:dyDescent="0.25">
      <c r="A2462" s="10">
        <v>40375</v>
      </c>
      <c r="B2462" s="12">
        <f t="shared" si="114"/>
        <v>7</v>
      </c>
      <c r="C2462" s="12">
        <f t="shared" si="115"/>
        <v>2010</v>
      </c>
      <c r="D2462" s="13">
        <v>11250</v>
      </c>
      <c r="E2462" s="13">
        <v>30.500499999999999</v>
      </c>
      <c r="F2462" s="13">
        <f t="shared" si="116"/>
        <v>368.84641235389586</v>
      </c>
    </row>
    <row r="2463" spans="1:6" x14ac:dyDescent="0.25">
      <c r="A2463" s="10">
        <v>40378</v>
      </c>
      <c r="B2463" s="12">
        <f t="shared" si="114"/>
        <v>7</v>
      </c>
      <c r="C2463" s="12">
        <f t="shared" si="115"/>
        <v>2010</v>
      </c>
      <c r="D2463" s="13">
        <v>11750</v>
      </c>
      <c r="E2463" s="13">
        <v>30.509</v>
      </c>
      <c r="F2463" s="13">
        <f t="shared" si="116"/>
        <v>385.13225605559018</v>
      </c>
    </row>
    <row r="2464" spans="1:6" x14ac:dyDescent="0.25">
      <c r="A2464" s="10">
        <v>40379</v>
      </c>
      <c r="B2464" s="12">
        <f t="shared" si="114"/>
        <v>7</v>
      </c>
      <c r="C2464" s="12">
        <f t="shared" si="115"/>
        <v>2010</v>
      </c>
      <c r="D2464" s="13">
        <v>11750</v>
      </c>
      <c r="E2464" s="13">
        <v>30.488</v>
      </c>
      <c r="F2464" s="13">
        <f t="shared" si="116"/>
        <v>385.39753345578589</v>
      </c>
    </row>
    <row r="2465" spans="1:6" x14ac:dyDescent="0.25">
      <c r="A2465" s="10">
        <v>40380</v>
      </c>
      <c r="B2465" s="12">
        <f t="shared" si="114"/>
        <v>7</v>
      </c>
      <c r="C2465" s="12">
        <f t="shared" si="115"/>
        <v>2010</v>
      </c>
      <c r="D2465" s="13">
        <v>11750</v>
      </c>
      <c r="E2465" s="13">
        <v>30.497</v>
      </c>
      <c r="F2465" s="13">
        <f t="shared" si="116"/>
        <v>385.28379840640065</v>
      </c>
    </row>
    <row r="2466" spans="1:6" x14ac:dyDescent="0.25">
      <c r="A2466" s="10">
        <v>40381</v>
      </c>
      <c r="B2466" s="12">
        <f t="shared" si="114"/>
        <v>7</v>
      </c>
      <c r="C2466" s="12">
        <f t="shared" si="115"/>
        <v>2010</v>
      </c>
      <c r="D2466" s="13">
        <v>11750</v>
      </c>
      <c r="E2466" s="13">
        <v>30.347000000000001</v>
      </c>
      <c r="F2466" s="13">
        <f t="shared" si="116"/>
        <v>387.18818993640224</v>
      </c>
    </row>
    <row r="2467" spans="1:6" x14ac:dyDescent="0.25">
      <c r="A2467" s="10">
        <v>40382</v>
      </c>
      <c r="B2467" s="12">
        <f t="shared" si="114"/>
        <v>7</v>
      </c>
      <c r="C2467" s="12">
        <f t="shared" si="115"/>
        <v>2010</v>
      </c>
      <c r="D2467" s="13">
        <v>11750</v>
      </c>
      <c r="E2467" s="13">
        <v>30.33</v>
      </c>
      <c r="F2467" s="13">
        <f t="shared" si="116"/>
        <v>387.40520936366636</v>
      </c>
    </row>
    <row r="2468" spans="1:6" x14ac:dyDescent="0.25">
      <c r="A2468" s="10">
        <v>40385</v>
      </c>
      <c r="B2468" s="12">
        <f t="shared" si="114"/>
        <v>7</v>
      </c>
      <c r="C2468" s="12">
        <f t="shared" si="115"/>
        <v>2010</v>
      </c>
      <c r="D2468" s="13">
        <v>11750</v>
      </c>
      <c r="E2468" s="13">
        <v>30.22</v>
      </c>
      <c r="F2468" s="13">
        <f t="shared" si="116"/>
        <v>388.81535407015224</v>
      </c>
    </row>
    <row r="2469" spans="1:6" x14ac:dyDescent="0.25">
      <c r="A2469" s="10">
        <v>40386</v>
      </c>
      <c r="B2469" s="12">
        <f t="shared" si="114"/>
        <v>7</v>
      </c>
      <c r="C2469" s="12">
        <f t="shared" si="115"/>
        <v>2010</v>
      </c>
      <c r="D2469" s="13">
        <v>11750</v>
      </c>
      <c r="E2469" s="13">
        <v>30.2135</v>
      </c>
      <c r="F2469" s="13">
        <f t="shared" si="116"/>
        <v>388.89900210170953</v>
      </c>
    </row>
    <row r="2470" spans="1:6" x14ac:dyDescent="0.25">
      <c r="A2470" s="10">
        <v>40387</v>
      </c>
      <c r="B2470" s="12">
        <f t="shared" si="114"/>
        <v>7</v>
      </c>
      <c r="C2470" s="12">
        <f t="shared" si="115"/>
        <v>2010</v>
      </c>
      <c r="D2470" s="13">
        <v>11750</v>
      </c>
      <c r="E2470" s="13">
        <v>30.234000000000002</v>
      </c>
      <c r="F2470" s="13">
        <f t="shared" si="116"/>
        <v>388.63531123900242</v>
      </c>
    </row>
    <row r="2471" spans="1:6" x14ac:dyDescent="0.25">
      <c r="A2471" s="10">
        <v>40388</v>
      </c>
      <c r="B2471" s="12">
        <f t="shared" si="114"/>
        <v>7</v>
      </c>
      <c r="C2471" s="12">
        <f t="shared" si="115"/>
        <v>2010</v>
      </c>
      <c r="D2471" s="13">
        <v>11750</v>
      </c>
      <c r="E2471" s="13">
        <v>30.160499999999999</v>
      </c>
      <c r="F2471" s="13">
        <f t="shared" si="116"/>
        <v>389.58240082226757</v>
      </c>
    </row>
    <row r="2472" spans="1:6" x14ac:dyDescent="0.25">
      <c r="A2472" s="10">
        <v>40389</v>
      </c>
      <c r="B2472" s="12">
        <f t="shared" si="114"/>
        <v>7</v>
      </c>
      <c r="C2472" s="12">
        <f t="shared" si="115"/>
        <v>2010</v>
      </c>
      <c r="D2472" s="13">
        <v>11750</v>
      </c>
      <c r="E2472" s="13">
        <v>30.26</v>
      </c>
      <c r="F2472" s="13">
        <f t="shared" si="116"/>
        <v>388.30138797091871</v>
      </c>
    </row>
    <row r="2473" spans="1:6" x14ac:dyDescent="0.25">
      <c r="A2473" s="10">
        <v>40392</v>
      </c>
      <c r="B2473" s="12">
        <f t="shared" si="114"/>
        <v>8</v>
      </c>
      <c r="C2473" s="12">
        <f t="shared" si="115"/>
        <v>2010</v>
      </c>
      <c r="D2473" s="13">
        <v>11750</v>
      </c>
      <c r="E2473" s="13">
        <v>29.957999999999998</v>
      </c>
      <c r="F2473" s="13">
        <f t="shared" si="116"/>
        <v>392.21576874290673</v>
      </c>
    </row>
    <row r="2474" spans="1:6" x14ac:dyDescent="0.25">
      <c r="A2474" s="10">
        <v>40393</v>
      </c>
      <c r="B2474" s="12">
        <f t="shared" si="114"/>
        <v>8</v>
      </c>
      <c r="C2474" s="12">
        <f t="shared" si="115"/>
        <v>2010</v>
      </c>
      <c r="D2474" s="13">
        <v>11750</v>
      </c>
      <c r="E2474" s="13">
        <v>29.742000000000001</v>
      </c>
      <c r="F2474" s="13">
        <f t="shared" si="116"/>
        <v>395.06421894963353</v>
      </c>
    </row>
    <row r="2475" spans="1:6" x14ac:dyDescent="0.25">
      <c r="A2475" s="10">
        <v>40394</v>
      </c>
      <c r="B2475" s="12">
        <f t="shared" si="114"/>
        <v>8</v>
      </c>
      <c r="C2475" s="12">
        <f t="shared" si="115"/>
        <v>2010</v>
      </c>
      <c r="D2475" s="13">
        <v>11750</v>
      </c>
      <c r="E2475" s="13">
        <v>29.8155</v>
      </c>
      <c r="F2475" s="13">
        <f t="shared" si="116"/>
        <v>394.09032214787612</v>
      </c>
    </row>
    <row r="2476" spans="1:6" x14ac:dyDescent="0.25">
      <c r="A2476" s="10">
        <v>40395</v>
      </c>
      <c r="B2476" s="12">
        <f t="shared" si="114"/>
        <v>8</v>
      </c>
      <c r="C2476" s="12">
        <f t="shared" si="115"/>
        <v>2010</v>
      </c>
      <c r="D2476" s="13">
        <v>11750</v>
      </c>
      <c r="E2476" s="13">
        <v>29.836200000000002</v>
      </c>
      <c r="F2476" s="13">
        <f t="shared" si="116"/>
        <v>393.81690697877076</v>
      </c>
    </row>
    <row r="2477" spans="1:6" x14ac:dyDescent="0.25">
      <c r="A2477" s="10">
        <v>40396</v>
      </c>
      <c r="B2477" s="12">
        <f t="shared" si="114"/>
        <v>8</v>
      </c>
      <c r="C2477" s="12">
        <f t="shared" si="115"/>
        <v>2010</v>
      </c>
      <c r="D2477" s="13">
        <v>11750</v>
      </c>
      <c r="E2477" s="13">
        <v>29.772500000000001</v>
      </c>
      <c r="F2477" s="13">
        <f t="shared" si="116"/>
        <v>394.65950121756651</v>
      </c>
    </row>
    <row r="2478" spans="1:6" x14ac:dyDescent="0.25">
      <c r="A2478" s="10">
        <v>40399</v>
      </c>
      <c r="B2478" s="12">
        <f t="shared" si="114"/>
        <v>8</v>
      </c>
      <c r="C2478" s="12">
        <f t="shared" si="115"/>
        <v>2010</v>
      </c>
      <c r="D2478" s="13">
        <v>11750</v>
      </c>
      <c r="E2478" s="13">
        <v>29.9175</v>
      </c>
      <c r="F2478" s="13">
        <f t="shared" si="116"/>
        <v>392.74672014707113</v>
      </c>
    </row>
    <row r="2479" spans="1:6" x14ac:dyDescent="0.25">
      <c r="A2479" s="10">
        <v>40400</v>
      </c>
      <c r="B2479" s="12">
        <f t="shared" si="114"/>
        <v>8</v>
      </c>
      <c r="C2479" s="12">
        <f t="shared" si="115"/>
        <v>2010</v>
      </c>
      <c r="D2479" s="13">
        <v>11750</v>
      </c>
      <c r="E2479" s="13">
        <v>30.016500000000001</v>
      </c>
      <c r="F2479" s="13">
        <f t="shared" si="116"/>
        <v>391.45136841403894</v>
      </c>
    </row>
    <row r="2480" spans="1:6" x14ac:dyDescent="0.25">
      <c r="A2480" s="10">
        <v>40401</v>
      </c>
      <c r="B2480" s="12">
        <f t="shared" si="114"/>
        <v>8</v>
      </c>
      <c r="C2480" s="12">
        <f t="shared" si="115"/>
        <v>2010</v>
      </c>
      <c r="D2480" s="13">
        <v>11750</v>
      </c>
      <c r="E2480" s="13">
        <v>30.469200000000001</v>
      </c>
      <c r="F2480" s="13">
        <f t="shared" si="116"/>
        <v>385.63533010384253</v>
      </c>
    </row>
    <row r="2481" spans="1:6" x14ac:dyDescent="0.25">
      <c r="A2481" s="10">
        <v>40402</v>
      </c>
      <c r="B2481" s="12">
        <f t="shared" si="114"/>
        <v>8</v>
      </c>
      <c r="C2481" s="12">
        <f t="shared" si="115"/>
        <v>2010</v>
      </c>
      <c r="D2481" s="13">
        <v>11750</v>
      </c>
      <c r="E2481" s="13">
        <v>30.601800000000001</v>
      </c>
      <c r="F2481" s="13">
        <f t="shared" si="116"/>
        <v>383.96434196681241</v>
      </c>
    </row>
    <row r="2482" spans="1:6" x14ac:dyDescent="0.25">
      <c r="A2482" s="10">
        <v>40403</v>
      </c>
      <c r="B2482" s="12">
        <f t="shared" si="114"/>
        <v>8</v>
      </c>
      <c r="C2482" s="12">
        <f t="shared" si="115"/>
        <v>2010</v>
      </c>
      <c r="D2482" s="13">
        <v>11750</v>
      </c>
      <c r="E2482" s="13">
        <v>30.545000000000002</v>
      </c>
      <c r="F2482" s="13">
        <f t="shared" si="116"/>
        <v>384.67834342772954</v>
      </c>
    </row>
    <row r="2483" spans="1:6" x14ac:dyDescent="0.25">
      <c r="A2483" s="10">
        <v>40406</v>
      </c>
      <c r="B2483" s="12">
        <f t="shared" si="114"/>
        <v>8</v>
      </c>
      <c r="C2483" s="12">
        <f t="shared" si="115"/>
        <v>2010</v>
      </c>
      <c r="D2483" s="13">
        <v>11750</v>
      </c>
      <c r="E2483" s="13">
        <v>30.501999999999999</v>
      </c>
      <c r="F2483" s="13">
        <f t="shared" si="116"/>
        <v>385.22064126942496</v>
      </c>
    </row>
    <row r="2484" spans="1:6" x14ac:dyDescent="0.25">
      <c r="A2484" s="10">
        <v>40407</v>
      </c>
      <c r="B2484" s="12">
        <f t="shared" si="114"/>
        <v>8</v>
      </c>
      <c r="C2484" s="12">
        <f t="shared" si="115"/>
        <v>2010</v>
      </c>
      <c r="D2484" s="13">
        <v>11750</v>
      </c>
      <c r="E2484" s="13">
        <v>30.41</v>
      </c>
      <c r="F2484" s="13">
        <f t="shared" si="116"/>
        <v>386.38605721802037</v>
      </c>
    </row>
    <row r="2485" spans="1:6" x14ac:dyDescent="0.25">
      <c r="A2485" s="10">
        <v>40408</v>
      </c>
      <c r="B2485" s="12">
        <f t="shared" si="114"/>
        <v>8</v>
      </c>
      <c r="C2485" s="12">
        <f t="shared" si="115"/>
        <v>2010</v>
      </c>
      <c r="D2485" s="13">
        <v>11750</v>
      </c>
      <c r="E2485" s="13">
        <v>30.419799999999999</v>
      </c>
      <c r="F2485" s="13">
        <f t="shared" si="116"/>
        <v>386.26157962905739</v>
      </c>
    </row>
    <row r="2486" spans="1:6" x14ac:dyDescent="0.25">
      <c r="A2486" s="10">
        <v>40409</v>
      </c>
      <c r="B2486" s="12">
        <f t="shared" si="114"/>
        <v>8</v>
      </c>
      <c r="C2486" s="12">
        <f t="shared" si="115"/>
        <v>2010</v>
      </c>
      <c r="D2486" s="13">
        <v>11750</v>
      </c>
      <c r="E2486" s="13">
        <v>30.488600000000002</v>
      </c>
      <c r="F2486" s="13">
        <f t="shared" si="116"/>
        <v>385.38994903012929</v>
      </c>
    </row>
    <row r="2487" spans="1:6" x14ac:dyDescent="0.25">
      <c r="A2487" s="10">
        <v>40410</v>
      </c>
      <c r="B2487" s="12">
        <f t="shared" si="114"/>
        <v>8</v>
      </c>
      <c r="C2487" s="12">
        <f t="shared" si="115"/>
        <v>2010</v>
      </c>
      <c r="D2487" s="13">
        <v>11750</v>
      </c>
      <c r="E2487" s="13">
        <v>30.630299999999998</v>
      </c>
      <c r="F2487" s="13">
        <f t="shared" si="116"/>
        <v>383.60708187644263</v>
      </c>
    </row>
    <row r="2488" spans="1:6" x14ac:dyDescent="0.25">
      <c r="A2488" s="10">
        <v>40413</v>
      </c>
      <c r="B2488" s="12">
        <f t="shared" si="114"/>
        <v>8</v>
      </c>
      <c r="C2488" s="12">
        <f t="shared" si="115"/>
        <v>2010</v>
      </c>
      <c r="D2488" s="13">
        <v>15250</v>
      </c>
      <c r="E2488" s="13">
        <v>30.6906</v>
      </c>
      <c r="F2488" s="13">
        <f t="shared" si="116"/>
        <v>496.89481469896322</v>
      </c>
    </row>
    <row r="2489" spans="1:6" x14ac:dyDescent="0.25">
      <c r="A2489" s="10">
        <v>40414</v>
      </c>
      <c r="B2489" s="12">
        <f t="shared" si="114"/>
        <v>8</v>
      </c>
      <c r="C2489" s="12">
        <f t="shared" si="115"/>
        <v>2010</v>
      </c>
      <c r="D2489" s="13">
        <v>15250</v>
      </c>
      <c r="E2489" s="13">
        <v>30.872</v>
      </c>
      <c r="F2489" s="13">
        <f t="shared" si="116"/>
        <v>493.97512308888315</v>
      </c>
    </row>
    <row r="2490" spans="1:6" x14ac:dyDescent="0.25">
      <c r="A2490" s="10">
        <v>40415</v>
      </c>
      <c r="B2490" s="12">
        <f t="shared" si="114"/>
        <v>8</v>
      </c>
      <c r="C2490" s="12">
        <f t="shared" si="115"/>
        <v>2010</v>
      </c>
      <c r="D2490" s="13">
        <v>15250</v>
      </c>
      <c r="E2490" s="13">
        <v>30.9255</v>
      </c>
      <c r="F2490" s="13">
        <f t="shared" si="116"/>
        <v>493.12056393591052</v>
      </c>
    </row>
    <row r="2491" spans="1:6" x14ac:dyDescent="0.25">
      <c r="A2491" s="10">
        <v>40416</v>
      </c>
      <c r="B2491" s="12">
        <f t="shared" si="114"/>
        <v>8</v>
      </c>
      <c r="C2491" s="12">
        <f t="shared" si="115"/>
        <v>2010</v>
      </c>
      <c r="D2491" s="13">
        <v>15250</v>
      </c>
      <c r="E2491" s="13">
        <v>30.702000000000002</v>
      </c>
      <c r="F2491" s="13">
        <f t="shared" si="116"/>
        <v>496.71031203178944</v>
      </c>
    </row>
    <row r="2492" spans="1:6" x14ac:dyDescent="0.25">
      <c r="A2492" s="10">
        <v>40417</v>
      </c>
      <c r="B2492" s="12">
        <f t="shared" si="114"/>
        <v>8</v>
      </c>
      <c r="C2492" s="12">
        <f t="shared" si="115"/>
        <v>2010</v>
      </c>
      <c r="D2492" s="13">
        <v>15250</v>
      </c>
      <c r="E2492" s="13">
        <v>30.633500000000002</v>
      </c>
      <c r="F2492" s="13">
        <f t="shared" si="116"/>
        <v>497.82101294334632</v>
      </c>
    </row>
    <row r="2493" spans="1:6" x14ac:dyDescent="0.25">
      <c r="A2493" s="10">
        <v>40420</v>
      </c>
      <c r="B2493" s="12">
        <f t="shared" si="114"/>
        <v>8</v>
      </c>
      <c r="C2493" s="12">
        <f t="shared" si="115"/>
        <v>2010</v>
      </c>
      <c r="D2493" s="13">
        <v>15600</v>
      </c>
      <c r="E2493" s="13">
        <v>30.676500000000001</v>
      </c>
      <c r="F2493" s="13">
        <f t="shared" si="116"/>
        <v>508.53259009339394</v>
      </c>
    </row>
    <row r="2494" spans="1:6" x14ac:dyDescent="0.25">
      <c r="A2494" s="10">
        <v>40421</v>
      </c>
      <c r="B2494" s="12">
        <f t="shared" si="114"/>
        <v>8</v>
      </c>
      <c r="C2494" s="12">
        <f t="shared" si="115"/>
        <v>2010</v>
      </c>
      <c r="D2494" s="13">
        <v>15600</v>
      </c>
      <c r="E2494" s="13">
        <v>30.824999999999999</v>
      </c>
      <c r="F2494" s="13">
        <f t="shared" si="116"/>
        <v>506.08272506082727</v>
      </c>
    </row>
    <row r="2495" spans="1:6" x14ac:dyDescent="0.25">
      <c r="A2495" s="10">
        <v>40422</v>
      </c>
      <c r="B2495" s="12">
        <f t="shared" si="114"/>
        <v>9</v>
      </c>
      <c r="C2495" s="12">
        <f t="shared" si="115"/>
        <v>2010</v>
      </c>
      <c r="D2495" s="13">
        <v>15600</v>
      </c>
      <c r="E2495" s="13">
        <v>30.709</v>
      </c>
      <c r="F2495" s="13">
        <f t="shared" si="116"/>
        <v>507.99439903611318</v>
      </c>
    </row>
    <row r="2496" spans="1:6" x14ac:dyDescent="0.25">
      <c r="A2496" s="10">
        <v>40423</v>
      </c>
      <c r="B2496" s="12">
        <f t="shared" si="114"/>
        <v>9</v>
      </c>
      <c r="C2496" s="12">
        <f t="shared" si="115"/>
        <v>2010</v>
      </c>
      <c r="D2496" s="13">
        <v>15600</v>
      </c>
      <c r="E2496" s="13">
        <v>30.696999999999999</v>
      </c>
      <c r="F2496" s="13">
        <f t="shared" si="116"/>
        <v>508.19298302765742</v>
      </c>
    </row>
    <row r="2497" spans="1:6" x14ac:dyDescent="0.25">
      <c r="A2497" s="10">
        <v>40424</v>
      </c>
      <c r="B2497" s="12">
        <f t="shared" si="114"/>
        <v>9</v>
      </c>
      <c r="C2497" s="12">
        <f t="shared" si="115"/>
        <v>2010</v>
      </c>
      <c r="D2497" s="13">
        <v>15600</v>
      </c>
      <c r="E2497" s="13">
        <v>30.581800000000001</v>
      </c>
      <c r="F2497" s="13">
        <f t="shared" si="116"/>
        <v>510.10731873205629</v>
      </c>
    </row>
    <row r="2498" spans="1:6" x14ac:dyDescent="0.25">
      <c r="A2498" s="10">
        <v>40428</v>
      </c>
      <c r="B2498" s="12">
        <f t="shared" si="114"/>
        <v>9</v>
      </c>
      <c r="C2498" s="12">
        <f t="shared" si="115"/>
        <v>2010</v>
      </c>
      <c r="E2498" s="13">
        <v>30.907499999999999</v>
      </c>
      <c r="F2498" s="13" t="str">
        <f t="shared" si="116"/>
        <v/>
      </c>
    </row>
    <row r="2499" spans="1:6" x14ac:dyDescent="0.25">
      <c r="A2499" s="10">
        <v>40429</v>
      </c>
      <c r="B2499" s="12">
        <f t="shared" ref="B2499:B2562" si="117">MONTH(A2499)</f>
        <v>9</v>
      </c>
      <c r="C2499" s="12">
        <f t="shared" ref="C2499:C2562" si="118">YEAR(A2499)</f>
        <v>2010</v>
      </c>
      <c r="E2499" s="13">
        <v>30.849499999999999</v>
      </c>
      <c r="F2499" s="13" t="str">
        <f t="shared" ref="F2499:F2562" si="119">IF(D2499="","",D2499/E2499)</f>
        <v/>
      </c>
    </row>
    <row r="2500" spans="1:6" x14ac:dyDescent="0.25">
      <c r="A2500" s="10">
        <v>40430</v>
      </c>
      <c r="B2500" s="12">
        <f t="shared" si="117"/>
        <v>9</v>
      </c>
      <c r="C2500" s="12">
        <f t="shared" si="118"/>
        <v>2010</v>
      </c>
      <c r="E2500" s="13">
        <v>30.873000000000001</v>
      </c>
      <c r="F2500" s="13" t="str">
        <f t="shared" si="119"/>
        <v/>
      </c>
    </row>
    <row r="2501" spans="1:6" x14ac:dyDescent="0.25">
      <c r="A2501" s="10">
        <v>40431</v>
      </c>
      <c r="B2501" s="12">
        <f t="shared" si="117"/>
        <v>9</v>
      </c>
      <c r="C2501" s="12">
        <f t="shared" si="118"/>
        <v>2010</v>
      </c>
      <c r="E2501" s="13">
        <v>30.9345</v>
      </c>
      <c r="F2501" s="13" t="str">
        <f t="shared" si="119"/>
        <v/>
      </c>
    </row>
    <row r="2502" spans="1:6" x14ac:dyDescent="0.25">
      <c r="A2502" s="10">
        <v>40434</v>
      </c>
      <c r="B2502" s="12">
        <f t="shared" si="117"/>
        <v>9</v>
      </c>
      <c r="C2502" s="12">
        <f t="shared" si="118"/>
        <v>2010</v>
      </c>
      <c r="D2502" s="13">
        <v>15500</v>
      </c>
      <c r="E2502" s="13">
        <v>30.6585</v>
      </c>
      <c r="F2502" s="13">
        <f t="shared" si="119"/>
        <v>505.5694179428217</v>
      </c>
    </row>
    <row r="2503" spans="1:6" x14ac:dyDescent="0.25">
      <c r="A2503" s="10">
        <v>40435</v>
      </c>
      <c r="B2503" s="12">
        <f t="shared" si="117"/>
        <v>9</v>
      </c>
      <c r="C2503" s="12">
        <f t="shared" si="118"/>
        <v>2010</v>
      </c>
      <c r="D2503" s="13">
        <v>15500</v>
      </c>
      <c r="E2503" s="13">
        <v>30.584499999999998</v>
      </c>
      <c r="F2503" s="13">
        <f t="shared" si="119"/>
        <v>506.79265641092712</v>
      </c>
    </row>
    <row r="2504" spans="1:6" x14ac:dyDescent="0.25">
      <c r="A2504" s="10">
        <v>40436</v>
      </c>
      <c r="B2504" s="12">
        <f t="shared" si="117"/>
        <v>9</v>
      </c>
      <c r="C2504" s="12">
        <f t="shared" si="118"/>
        <v>2010</v>
      </c>
      <c r="D2504" s="13">
        <v>15500</v>
      </c>
      <c r="E2504" s="13">
        <v>30.95</v>
      </c>
      <c r="F2504" s="13">
        <f t="shared" si="119"/>
        <v>500.80775444264947</v>
      </c>
    </row>
    <row r="2505" spans="1:6" x14ac:dyDescent="0.25">
      <c r="A2505" s="10">
        <v>40437</v>
      </c>
      <c r="B2505" s="12">
        <f t="shared" si="117"/>
        <v>9</v>
      </c>
      <c r="C2505" s="12">
        <f t="shared" si="118"/>
        <v>2010</v>
      </c>
      <c r="D2505" s="13">
        <v>15500</v>
      </c>
      <c r="E2505" s="13">
        <v>31.216999999999999</v>
      </c>
      <c r="F2505" s="13">
        <f t="shared" si="119"/>
        <v>496.52432969215494</v>
      </c>
    </row>
    <row r="2506" spans="1:6" x14ac:dyDescent="0.25">
      <c r="A2506" s="10">
        <v>40438</v>
      </c>
      <c r="B2506" s="12">
        <f t="shared" si="117"/>
        <v>9</v>
      </c>
      <c r="C2506" s="12">
        <f t="shared" si="118"/>
        <v>2010</v>
      </c>
      <c r="D2506" s="13">
        <v>15500</v>
      </c>
      <c r="E2506" s="13">
        <v>30.965</v>
      </c>
      <c r="F2506" s="13">
        <f t="shared" si="119"/>
        <v>500.56515420636202</v>
      </c>
    </row>
    <row r="2507" spans="1:6" x14ac:dyDescent="0.25">
      <c r="A2507" s="10">
        <v>40441</v>
      </c>
      <c r="B2507" s="12">
        <f t="shared" si="117"/>
        <v>9</v>
      </c>
      <c r="C2507" s="12">
        <f t="shared" si="118"/>
        <v>2010</v>
      </c>
      <c r="E2507" s="13">
        <v>31.081700000000001</v>
      </c>
      <c r="F2507" s="13" t="str">
        <f t="shared" si="119"/>
        <v/>
      </c>
    </row>
    <row r="2508" spans="1:6" x14ac:dyDescent="0.25">
      <c r="A2508" s="10">
        <v>40442</v>
      </c>
      <c r="B2508" s="12">
        <f t="shared" si="117"/>
        <v>9</v>
      </c>
      <c r="C2508" s="12">
        <f t="shared" si="118"/>
        <v>2010</v>
      </c>
      <c r="E2508" s="13">
        <v>30.8949</v>
      </c>
      <c r="F2508" s="13" t="str">
        <f t="shared" si="119"/>
        <v/>
      </c>
    </row>
    <row r="2509" spans="1:6" x14ac:dyDescent="0.25">
      <c r="A2509" s="10">
        <v>40443</v>
      </c>
      <c r="B2509" s="12">
        <f t="shared" si="117"/>
        <v>9</v>
      </c>
      <c r="C2509" s="12">
        <f t="shared" si="118"/>
        <v>2010</v>
      </c>
      <c r="E2509" s="13">
        <v>30.984000000000002</v>
      </c>
      <c r="F2509" s="13" t="str">
        <f t="shared" si="119"/>
        <v/>
      </c>
    </row>
    <row r="2510" spans="1:6" x14ac:dyDescent="0.25">
      <c r="A2510" s="10">
        <v>40444</v>
      </c>
      <c r="B2510" s="12">
        <f t="shared" si="117"/>
        <v>9</v>
      </c>
      <c r="C2510" s="12">
        <f t="shared" si="118"/>
        <v>2010</v>
      </c>
      <c r="E2510" s="13">
        <v>31.021000000000001</v>
      </c>
      <c r="F2510" s="13" t="str">
        <f t="shared" si="119"/>
        <v/>
      </c>
    </row>
    <row r="2511" spans="1:6" x14ac:dyDescent="0.25">
      <c r="A2511" s="10">
        <v>40445</v>
      </c>
      <c r="B2511" s="12">
        <f t="shared" si="117"/>
        <v>9</v>
      </c>
      <c r="C2511" s="12">
        <f t="shared" si="118"/>
        <v>2010</v>
      </c>
      <c r="E2511" s="13">
        <v>30.742000000000001</v>
      </c>
      <c r="F2511" s="13" t="str">
        <f t="shared" si="119"/>
        <v/>
      </c>
    </row>
    <row r="2512" spans="1:6" x14ac:dyDescent="0.25">
      <c r="A2512" s="10">
        <v>40448</v>
      </c>
      <c r="B2512" s="12">
        <f t="shared" si="117"/>
        <v>9</v>
      </c>
      <c r="C2512" s="12">
        <f t="shared" si="118"/>
        <v>2010</v>
      </c>
      <c r="D2512" s="13">
        <v>16600</v>
      </c>
      <c r="E2512" s="13">
        <v>30.555499999999999</v>
      </c>
      <c r="F2512" s="13">
        <f t="shared" si="119"/>
        <v>543.27371504311827</v>
      </c>
    </row>
    <row r="2513" spans="1:6" x14ac:dyDescent="0.25">
      <c r="A2513" s="10">
        <v>40449</v>
      </c>
      <c r="B2513" s="12">
        <f t="shared" si="117"/>
        <v>9</v>
      </c>
      <c r="C2513" s="12">
        <f t="shared" si="118"/>
        <v>2010</v>
      </c>
      <c r="D2513" s="13">
        <v>16600</v>
      </c>
      <c r="E2513" s="13">
        <v>30.4</v>
      </c>
      <c r="F2513" s="13">
        <f t="shared" si="119"/>
        <v>546.0526315789474</v>
      </c>
    </row>
    <row r="2514" spans="1:6" x14ac:dyDescent="0.25">
      <c r="A2514" s="10">
        <v>40450</v>
      </c>
      <c r="B2514" s="12">
        <f t="shared" si="117"/>
        <v>9</v>
      </c>
      <c r="C2514" s="12">
        <f t="shared" si="118"/>
        <v>2010</v>
      </c>
      <c r="D2514" s="13">
        <v>16600</v>
      </c>
      <c r="E2514" s="13">
        <v>30.402000000000001</v>
      </c>
      <c r="F2514" s="13">
        <f t="shared" si="119"/>
        <v>546.01670942701139</v>
      </c>
    </row>
    <row r="2515" spans="1:6" x14ac:dyDescent="0.25">
      <c r="A2515" s="10">
        <v>40451</v>
      </c>
      <c r="B2515" s="12">
        <f t="shared" si="117"/>
        <v>9</v>
      </c>
      <c r="C2515" s="12">
        <f t="shared" si="118"/>
        <v>2010</v>
      </c>
      <c r="D2515" s="13">
        <v>16600</v>
      </c>
      <c r="E2515" s="13">
        <v>30.581399999999999</v>
      </c>
      <c r="F2515" s="13">
        <f t="shared" si="119"/>
        <v>542.81360565572538</v>
      </c>
    </row>
    <row r="2516" spans="1:6" x14ac:dyDescent="0.25">
      <c r="A2516" s="10">
        <v>40452</v>
      </c>
      <c r="B2516" s="12">
        <f t="shared" si="117"/>
        <v>10</v>
      </c>
      <c r="C2516" s="12">
        <f t="shared" si="118"/>
        <v>2010</v>
      </c>
      <c r="D2516" s="13">
        <v>16600</v>
      </c>
      <c r="E2516" s="13">
        <v>30.484999999999999</v>
      </c>
      <c r="F2516" s="13">
        <f t="shared" si="119"/>
        <v>544.53009676890269</v>
      </c>
    </row>
    <row r="2517" spans="1:6" x14ac:dyDescent="0.25">
      <c r="A2517" s="10">
        <v>40455</v>
      </c>
      <c r="B2517" s="12">
        <f t="shared" si="117"/>
        <v>10</v>
      </c>
      <c r="C2517" s="12">
        <f t="shared" si="118"/>
        <v>2010</v>
      </c>
      <c r="D2517" s="13">
        <v>17000</v>
      </c>
      <c r="E2517" s="13">
        <v>30.468399999999999</v>
      </c>
      <c r="F2517" s="13">
        <f t="shared" si="119"/>
        <v>557.95512727941082</v>
      </c>
    </row>
    <row r="2518" spans="1:6" x14ac:dyDescent="0.25">
      <c r="A2518" s="10">
        <v>40456</v>
      </c>
      <c r="B2518" s="12">
        <f t="shared" si="117"/>
        <v>10</v>
      </c>
      <c r="C2518" s="12">
        <f t="shared" si="118"/>
        <v>2010</v>
      </c>
      <c r="D2518" s="13">
        <v>17000</v>
      </c>
      <c r="E2518" s="13">
        <v>30.02</v>
      </c>
      <c r="F2518" s="13">
        <f t="shared" si="119"/>
        <v>566.2891405729514</v>
      </c>
    </row>
    <row r="2519" spans="1:6" x14ac:dyDescent="0.25">
      <c r="A2519" s="10">
        <v>40457</v>
      </c>
      <c r="B2519" s="12">
        <f t="shared" si="117"/>
        <v>10</v>
      </c>
      <c r="C2519" s="12">
        <f t="shared" si="118"/>
        <v>2010</v>
      </c>
      <c r="D2519" s="13">
        <v>17000</v>
      </c>
      <c r="E2519" s="13">
        <v>29.785</v>
      </c>
      <c r="F2519" s="13">
        <f t="shared" si="119"/>
        <v>570.75709249622298</v>
      </c>
    </row>
    <row r="2520" spans="1:6" x14ac:dyDescent="0.25">
      <c r="A2520" s="10">
        <v>40458</v>
      </c>
      <c r="B2520" s="12">
        <f t="shared" si="117"/>
        <v>10</v>
      </c>
      <c r="C2520" s="12">
        <f t="shared" si="118"/>
        <v>2010</v>
      </c>
      <c r="D2520" s="13">
        <v>17000</v>
      </c>
      <c r="E2520" s="13">
        <v>29.8369</v>
      </c>
      <c r="F2520" s="13">
        <f t="shared" si="119"/>
        <v>569.76428516367321</v>
      </c>
    </row>
    <row r="2521" spans="1:6" x14ac:dyDescent="0.25">
      <c r="A2521" s="10">
        <v>40459</v>
      </c>
      <c r="B2521" s="12">
        <f t="shared" si="117"/>
        <v>10</v>
      </c>
      <c r="C2521" s="12">
        <f t="shared" si="118"/>
        <v>2010</v>
      </c>
      <c r="D2521" s="13">
        <v>17000</v>
      </c>
      <c r="E2521" s="13">
        <v>29.853000000000002</v>
      </c>
      <c r="F2521" s="13">
        <f t="shared" si="119"/>
        <v>569.45700599604731</v>
      </c>
    </row>
    <row r="2522" spans="1:6" x14ac:dyDescent="0.25">
      <c r="A2522" s="10">
        <v>40462</v>
      </c>
      <c r="B2522" s="12">
        <f t="shared" si="117"/>
        <v>10</v>
      </c>
      <c r="C2522" s="12">
        <f t="shared" si="118"/>
        <v>2010</v>
      </c>
      <c r="D2522" s="13">
        <v>17900</v>
      </c>
      <c r="E2522" s="13">
        <v>29.9284</v>
      </c>
      <c r="F2522" s="13">
        <f t="shared" si="119"/>
        <v>598.09411796153483</v>
      </c>
    </row>
    <row r="2523" spans="1:6" x14ac:dyDescent="0.25">
      <c r="A2523" s="10">
        <v>40463</v>
      </c>
      <c r="B2523" s="12">
        <f t="shared" si="117"/>
        <v>10</v>
      </c>
      <c r="C2523" s="12">
        <f t="shared" si="118"/>
        <v>2010</v>
      </c>
      <c r="D2523" s="13">
        <v>17900</v>
      </c>
      <c r="E2523" s="13">
        <v>29.991700000000002</v>
      </c>
      <c r="F2523" s="13">
        <f t="shared" si="119"/>
        <v>596.83179012860217</v>
      </c>
    </row>
    <row r="2524" spans="1:6" x14ac:dyDescent="0.25">
      <c r="A2524" s="10">
        <v>40464</v>
      </c>
      <c r="B2524" s="12">
        <f t="shared" si="117"/>
        <v>10</v>
      </c>
      <c r="C2524" s="12">
        <f t="shared" si="118"/>
        <v>2010</v>
      </c>
      <c r="D2524" s="13">
        <v>17900</v>
      </c>
      <c r="E2524" s="13">
        <v>30.094999999999999</v>
      </c>
      <c r="F2524" s="13">
        <f t="shared" si="119"/>
        <v>594.78318657584316</v>
      </c>
    </row>
    <row r="2525" spans="1:6" x14ac:dyDescent="0.25">
      <c r="A2525" s="10">
        <v>40465</v>
      </c>
      <c r="B2525" s="12">
        <f t="shared" si="117"/>
        <v>10</v>
      </c>
      <c r="C2525" s="12">
        <f t="shared" si="118"/>
        <v>2010</v>
      </c>
      <c r="D2525" s="13">
        <v>17900</v>
      </c>
      <c r="E2525" s="13">
        <v>30.049900000000001</v>
      </c>
      <c r="F2525" s="13">
        <f t="shared" si="119"/>
        <v>595.67585915427333</v>
      </c>
    </row>
    <row r="2526" spans="1:6" x14ac:dyDescent="0.25">
      <c r="A2526" s="10">
        <v>40466</v>
      </c>
      <c r="B2526" s="12">
        <f t="shared" si="117"/>
        <v>10</v>
      </c>
      <c r="C2526" s="12">
        <f t="shared" si="118"/>
        <v>2010</v>
      </c>
      <c r="D2526" s="13">
        <v>17900</v>
      </c>
      <c r="E2526" s="13">
        <v>30.285499999999999</v>
      </c>
      <c r="F2526" s="13">
        <f t="shared" si="119"/>
        <v>591.04191774941808</v>
      </c>
    </row>
    <row r="2527" spans="1:6" x14ac:dyDescent="0.25">
      <c r="A2527" s="10">
        <v>40469</v>
      </c>
      <c r="B2527" s="12">
        <f t="shared" si="117"/>
        <v>10</v>
      </c>
      <c r="C2527" s="12">
        <f t="shared" si="118"/>
        <v>2010</v>
      </c>
      <c r="D2527" s="13">
        <v>19250</v>
      </c>
      <c r="E2527" s="13">
        <v>30.411000000000001</v>
      </c>
      <c r="F2527" s="13">
        <f t="shared" si="119"/>
        <v>632.99464009733322</v>
      </c>
    </row>
    <row r="2528" spans="1:6" x14ac:dyDescent="0.25">
      <c r="A2528" s="10">
        <v>40470</v>
      </c>
      <c r="B2528" s="12">
        <f t="shared" si="117"/>
        <v>10</v>
      </c>
      <c r="C2528" s="12">
        <f t="shared" si="118"/>
        <v>2010</v>
      </c>
      <c r="D2528" s="13">
        <v>19250</v>
      </c>
      <c r="E2528" s="13">
        <v>30.7195</v>
      </c>
      <c r="F2528" s="13">
        <f t="shared" si="119"/>
        <v>626.63780334966384</v>
      </c>
    </row>
    <row r="2529" spans="1:6" x14ac:dyDescent="0.25">
      <c r="A2529" s="10">
        <v>40471</v>
      </c>
      <c r="B2529" s="12">
        <f t="shared" si="117"/>
        <v>10</v>
      </c>
      <c r="C2529" s="12">
        <f t="shared" si="118"/>
        <v>2010</v>
      </c>
      <c r="D2529" s="13">
        <v>19250</v>
      </c>
      <c r="E2529" s="13">
        <v>30.662500000000001</v>
      </c>
      <c r="F2529" s="13">
        <f t="shared" si="119"/>
        <v>627.8026905829596</v>
      </c>
    </row>
    <row r="2530" spans="1:6" x14ac:dyDescent="0.25">
      <c r="A2530" s="10">
        <v>40472</v>
      </c>
      <c r="B2530" s="12">
        <f t="shared" si="117"/>
        <v>10</v>
      </c>
      <c r="C2530" s="12">
        <f t="shared" si="118"/>
        <v>2010</v>
      </c>
      <c r="D2530" s="13">
        <v>19250</v>
      </c>
      <c r="E2530" s="13">
        <v>30.655000000000001</v>
      </c>
      <c r="F2530" s="13">
        <f t="shared" si="119"/>
        <v>627.95628771815359</v>
      </c>
    </row>
    <row r="2531" spans="1:6" x14ac:dyDescent="0.25">
      <c r="A2531" s="10">
        <v>40473</v>
      </c>
      <c r="B2531" s="12">
        <f t="shared" si="117"/>
        <v>10</v>
      </c>
      <c r="C2531" s="12">
        <f t="shared" si="118"/>
        <v>2010</v>
      </c>
      <c r="D2531" s="13">
        <v>19250</v>
      </c>
      <c r="E2531" s="13">
        <v>30.331</v>
      </c>
      <c r="F2531" s="13">
        <f t="shared" si="119"/>
        <v>634.66420493884141</v>
      </c>
    </row>
    <row r="2532" spans="1:6" x14ac:dyDescent="0.25">
      <c r="A2532" s="10">
        <v>40476</v>
      </c>
      <c r="B2532" s="12">
        <f t="shared" si="117"/>
        <v>10</v>
      </c>
      <c r="C2532" s="12">
        <f t="shared" si="118"/>
        <v>2010</v>
      </c>
      <c r="D2532" s="13">
        <v>20750</v>
      </c>
      <c r="E2532" s="13">
        <v>30.283999999999999</v>
      </c>
      <c r="F2532" s="13">
        <f t="shared" si="119"/>
        <v>685.18029322414475</v>
      </c>
    </row>
    <row r="2533" spans="1:6" x14ac:dyDescent="0.25">
      <c r="A2533" s="10">
        <v>40477</v>
      </c>
      <c r="B2533" s="12">
        <f t="shared" si="117"/>
        <v>10</v>
      </c>
      <c r="C2533" s="12">
        <f t="shared" si="118"/>
        <v>2010</v>
      </c>
      <c r="D2533" s="13">
        <v>20750</v>
      </c>
      <c r="E2533" s="13">
        <v>30.450500000000002</v>
      </c>
      <c r="F2533" s="13">
        <f t="shared" si="119"/>
        <v>681.43380240061731</v>
      </c>
    </row>
    <row r="2534" spans="1:6" x14ac:dyDescent="0.25">
      <c r="A2534" s="10">
        <v>40478</v>
      </c>
      <c r="B2534" s="12">
        <f t="shared" si="117"/>
        <v>10</v>
      </c>
      <c r="C2534" s="12">
        <f t="shared" si="118"/>
        <v>2010</v>
      </c>
      <c r="D2534" s="13">
        <v>20750</v>
      </c>
      <c r="E2534" s="13">
        <v>30.695499999999999</v>
      </c>
      <c r="F2534" s="13">
        <f t="shared" si="119"/>
        <v>675.99485266570025</v>
      </c>
    </row>
    <row r="2535" spans="1:6" x14ac:dyDescent="0.25">
      <c r="A2535" s="10">
        <v>40479</v>
      </c>
      <c r="B2535" s="12">
        <f t="shared" si="117"/>
        <v>10</v>
      </c>
      <c r="C2535" s="12">
        <f t="shared" si="118"/>
        <v>2010</v>
      </c>
      <c r="D2535" s="13">
        <v>20750</v>
      </c>
      <c r="E2535" s="13">
        <v>30.593800000000002</v>
      </c>
      <c r="F2535" s="13">
        <f t="shared" si="119"/>
        <v>678.24199674443832</v>
      </c>
    </row>
    <row r="2536" spans="1:6" x14ac:dyDescent="0.25">
      <c r="A2536" s="10">
        <v>40480</v>
      </c>
      <c r="B2536" s="12">
        <f t="shared" si="117"/>
        <v>10</v>
      </c>
      <c r="C2536" s="12">
        <f t="shared" si="118"/>
        <v>2010</v>
      </c>
      <c r="D2536" s="13">
        <v>20750</v>
      </c>
      <c r="E2536" s="13">
        <v>30.843</v>
      </c>
      <c r="F2536" s="13">
        <f t="shared" si="119"/>
        <v>672.76205297798526</v>
      </c>
    </row>
    <row r="2537" spans="1:6" x14ac:dyDescent="0.25">
      <c r="A2537" s="10">
        <v>40483</v>
      </c>
      <c r="B2537" s="12">
        <f t="shared" si="117"/>
        <v>11</v>
      </c>
      <c r="C2537" s="12">
        <f t="shared" si="118"/>
        <v>2010</v>
      </c>
      <c r="E2537" s="13">
        <v>30.789000000000001</v>
      </c>
      <c r="F2537" s="13" t="str">
        <f t="shared" si="119"/>
        <v/>
      </c>
    </row>
    <row r="2538" spans="1:6" x14ac:dyDescent="0.25">
      <c r="A2538" s="10">
        <v>40484</v>
      </c>
      <c r="B2538" s="12">
        <f t="shared" si="117"/>
        <v>11</v>
      </c>
      <c r="C2538" s="12">
        <f t="shared" si="118"/>
        <v>2010</v>
      </c>
      <c r="E2538" s="13">
        <v>30.7575</v>
      </c>
      <c r="F2538" s="13" t="str">
        <f t="shared" si="119"/>
        <v/>
      </c>
    </row>
    <row r="2539" spans="1:6" x14ac:dyDescent="0.25">
      <c r="A2539" s="10">
        <v>40485</v>
      </c>
      <c r="B2539" s="12">
        <f t="shared" si="117"/>
        <v>11</v>
      </c>
      <c r="C2539" s="12">
        <f t="shared" si="118"/>
        <v>2010</v>
      </c>
      <c r="E2539" s="13">
        <v>30.792000000000002</v>
      </c>
      <c r="F2539" s="13" t="str">
        <f t="shared" si="119"/>
        <v/>
      </c>
    </row>
    <row r="2540" spans="1:6" x14ac:dyDescent="0.25">
      <c r="A2540" s="10">
        <v>40486</v>
      </c>
      <c r="B2540" s="12">
        <f t="shared" si="117"/>
        <v>11</v>
      </c>
      <c r="C2540" s="12">
        <f t="shared" si="118"/>
        <v>2010</v>
      </c>
      <c r="E2540" s="13">
        <v>30.745999999999999</v>
      </c>
      <c r="F2540" s="13" t="str">
        <f t="shared" si="119"/>
        <v/>
      </c>
    </row>
    <row r="2541" spans="1:6" x14ac:dyDescent="0.25">
      <c r="A2541" s="10">
        <v>40487</v>
      </c>
      <c r="B2541" s="12">
        <f t="shared" si="117"/>
        <v>11</v>
      </c>
      <c r="C2541" s="12">
        <f t="shared" si="118"/>
        <v>2010</v>
      </c>
      <c r="E2541" s="13">
        <v>30.748999999999999</v>
      </c>
      <c r="F2541" s="13" t="str">
        <f t="shared" si="119"/>
        <v/>
      </c>
    </row>
    <row r="2542" spans="1:6" x14ac:dyDescent="0.25">
      <c r="A2542" s="10">
        <v>40490</v>
      </c>
      <c r="B2542" s="12">
        <f t="shared" si="117"/>
        <v>11</v>
      </c>
      <c r="C2542" s="12">
        <f t="shared" si="118"/>
        <v>2010</v>
      </c>
      <c r="D2542" s="13">
        <v>20750</v>
      </c>
      <c r="E2542" s="13">
        <v>30.8065</v>
      </c>
      <c r="F2542" s="13">
        <f t="shared" si="119"/>
        <v>673.5591514777725</v>
      </c>
    </row>
    <row r="2543" spans="1:6" x14ac:dyDescent="0.25">
      <c r="A2543" s="10">
        <v>40491</v>
      </c>
      <c r="B2543" s="12">
        <f t="shared" si="117"/>
        <v>11</v>
      </c>
      <c r="C2543" s="12">
        <f t="shared" si="118"/>
        <v>2010</v>
      </c>
      <c r="D2543" s="13">
        <v>20750</v>
      </c>
      <c r="E2543" s="13">
        <v>30.793500000000002</v>
      </c>
      <c r="F2543" s="13">
        <f t="shared" si="119"/>
        <v>673.84350593469401</v>
      </c>
    </row>
    <row r="2544" spans="1:6" x14ac:dyDescent="0.25">
      <c r="A2544" s="10">
        <v>40492</v>
      </c>
      <c r="B2544" s="12">
        <f t="shared" si="117"/>
        <v>11</v>
      </c>
      <c r="C2544" s="12">
        <f t="shared" si="118"/>
        <v>2010</v>
      </c>
      <c r="D2544" s="13">
        <v>20750</v>
      </c>
      <c r="E2544" s="13">
        <v>30.6403</v>
      </c>
      <c r="F2544" s="13">
        <f t="shared" si="119"/>
        <v>677.21269047626822</v>
      </c>
    </row>
    <row r="2545" spans="1:6" x14ac:dyDescent="0.25">
      <c r="A2545" s="10">
        <v>40493</v>
      </c>
      <c r="B2545" s="12">
        <f t="shared" si="117"/>
        <v>11</v>
      </c>
      <c r="C2545" s="12">
        <f t="shared" si="118"/>
        <v>2010</v>
      </c>
      <c r="D2545" s="13">
        <v>20750</v>
      </c>
      <c r="E2545" s="13">
        <v>30.630700000000001</v>
      </c>
      <c r="F2545" s="13">
        <f t="shared" si="119"/>
        <v>677.42493641999692</v>
      </c>
    </row>
    <row r="2546" spans="1:6" x14ac:dyDescent="0.25">
      <c r="A2546" s="10">
        <v>40494</v>
      </c>
      <c r="B2546" s="12">
        <f t="shared" si="117"/>
        <v>11</v>
      </c>
      <c r="C2546" s="12">
        <f t="shared" si="118"/>
        <v>2010</v>
      </c>
      <c r="D2546" s="13">
        <v>20750</v>
      </c>
      <c r="E2546" s="13">
        <v>30.800999999999998</v>
      </c>
      <c r="F2546" s="13">
        <f t="shared" si="119"/>
        <v>673.67942599266257</v>
      </c>
    </row>
    <row r="2547" spans="1:6" x14ac:dyDescent="0.25">
      <c r="A2547" s="10">
        <v>40497</v>
      </c>
      <c r="B2547" s="12">
        <f t="shared" si="117"/>
        <v>11</v>
      </c>
      <c r="C2547" s="12">
        <f t="shared" si="118"/>
        <v>2010</v>
      </c>
      <c r="D2547" s="13">
        <v>20750</v>
      </c>
      <c r="E2547" s="13">
        <v>30.981000000000002</v>
      </c>
      <c r="F2547" s="13">
        <f t="shared" si="119"/>
        <v>669.76534004712562</v>
      </c>
    </row>
    <row r="2548" spans="1:6" x14ac:dyDescent="0.25">
      <c r="A2548" s="10">
        <v>40498</v>
      </c>
      <c r="B2548" s="12">
        <f t="shared" si="117"/>
        <v>11</v>
      </c>
      <c r="C2548" s="12">
        <f t="shared" si="118"/>
        <v>2010</v>
      </c>
      <c r="D2548" s="13">
        <v>20750</v>
      </c>
      <c r="E2548" s="13">
        <v>31.227499999999999</v>
      </c>
      <c r="F2548" s="13">
        <f t="shared" si="119"/>
        <v>664.47842446561526</v>
      </c>
    </row>
    <row r="2549" spans="1:6" x14ac:dyDescent="0.25">
      <c r="A2549" s="10">
        <v>40499</v>
      </c>
      <c r="B2549" s="12">
        <f t="shared" si="117"/>
        <v>11</v>
      </c>
      <c r="C2549" s="12">
        <f t="shared" si="118"/>
        <v>2010</v>
      </c>
      <c r="D2549" s="13">
        <v>20750</v>
      </c>
      <c r="E2549" s="13">
        <v>31.324999999999999</v>
      </c>
      <c r="F2549" s="13">
        <f t="shared" si="119"/>
        <v>662.41021548284118</v>
      </c>
    </row>
    <row r="2550" spans="1:6" x14ac:dyDescent="0.25">
      <c r="A2550" s="10">
        <v>40500</v>
      </c>
      <c r="B2550" s="12">
        <f t="shared" si="117"/>
        <v>11</v>
      </c>
      <c r="C2550" s="12">
        <f t="shared" si="118"/>
        <v>2010</v>
      </c>
      <c r="D2550" s="13">
        <v>20750</v>
      </c>
      <c r="E2550" s="13">
        <v>31.03</v>
      </c>
      <c r="F2550" s="13">
        <f t="shared" si="119"/>
        <v>668.70770222365445</v>
      </c>
    </row>
    <row r="2551" spans="1:6" x14ac:dyDescent="0.25">
      <c r="A2551" s="10">
        <v>40501</v>
      </c>
      <c r="B2551" s="12">
        <f t="shared" si="117"/>
        <v>11</v>
      </c>
      <c r="C2551" s="12">
        <f t="shared" si="118"/>
        <v>2010</v>
      </c>
      <c r="D2551" s="13">
        <v>20750</v>
      </c>
      <c r="E2551" s="13">
        <v>31.088999999999999</v>
      </c>
      <c r="F2551" s="13">
        <f t="shared" si="119"/>
        <v>667.43864389333851</v>
      </c>
    </row>
    <row r="2552" spans="1:6" x14ac:dyDescent="0.25">
      <c r="A2552" s="10">
        <v>40504</v>
      </c>
      <c r="B2552" s="12">
        <f t="shared" si="117"/>
        <v>11</v>
      </c>
      <c r="C2552" s="12">
        <f t="shared" si="118"/>
        <v>2010</v>
      </c>
      <c r="D2552" s="13">
        <v>21500</v>
      </c>
      <c r="E2552" s="13">
        <v>31.117999999999999</v>
      </c>
      <c r="F2552" s="13">
        <f t="shared" si="119"/>
        <v>690.91843948839903</v>
      </c>
    </row>
    <row r="2553" spans="1:6" x14ac:dyDescent="0.25">
      <c r="A2553" s="10">
        <v>40505</v>
      </c>
      <c r="B2553" s="12">
        <f t="shared" si="117"/>
        <v>11</v>
      </c>
      <c r="C2553" s="12">
        <f t="shared" si="118"/>
        <v>2010</v>
      </c>
      <c r="D2553" s="13">
        <v>21500</v>
      </c>
      <c r="E2553" s="13">
        <v>31.42</v>
      </c>
      <c r="F2553" s="13">
        <f t="shared" si="119"/>
        <v>684.27753023551873</v>
      </c>
    </row>
    <row r="2554" spans="1:6" x14ac:dyDescent="0.25">
      <c r="A2554" s="10">
        <v>40506</v>
      </c>
      <c r="B2554" s="12">
        <f t="shared" si="117"/>
        <v>11</v>
      </c>
      <c r="C2554" s="12">
        <f t="shared" si="118"/>
        <v>2010</v>
      </c>
      <c r="D2554" s="13">
        <v>21500</v>
      </c>
      <c r="E2554" s="13">
        <v>31.318999999999999</v>
      </c>
      <c r="F2554" s="13">
        <f t="shared" si="119"/>
        <v>686.48424279191545</v>
      </c>
    </row>
    <row r="2555" spans="1:6" x14ac:dyDescent="0.25">
      <c r="A2555" s="10">
        <v>40508</v>
      </c>
      <c r="B2555" s="12">
        <f t="shared" si="117"/>
        <v>11</v>
      </c>
      <c r="C2555" s="12">
        <f t="shared" si="118"/>
        <v>2010</v>
      </c>
      <c r="D2555" s="13">
        <v>21500</v>
      </c>
      <c r="E2555" s="13">
        <v>31.385300000000001</v>
      </c>
      <c r="F2555" s="13">
        <f t="shared" si="119"/>
        <v>685.03407646254777</v>
      </c>
    </row>
    <row r="2556" spans="1:6" x14ac:dyDescent="0.25">
      <c r="A2556" s="10">
        <v>40511</v>
      </c>
      <c r="B2556" s="12">
        <f t="shared" si="117"/>
        <v>11</v>
      </c>
      <c r="C2556" s="12">
        <f t="shared" si="118"/>
        <v>2010</v>
      </c>
      <c r="D2556" s="13">
        <v>22000</v>
      </c>
      <c r="E2556" s="13">
        <v>31.390999999999998</v>
      </c>
      <c r="F2556" s="13">
        <f t="shared" si="119"/>
        <v>700.83781975725526</v>
      </c>
    </row>
    <row r="2557" spans="1:6" x14ac:dyDescent="0.25">
      <c r="A2557" s="10">
        <v>40512</v>
      </c>
      <c r="B2557" s="12">
        <f t="shared" si="117"/>
        <v>11</v>
      </c>
      <c r="C2557" s="12">
        <f t="shared" si="118"/>
        <v>2010</v>
      </c>
      <c r="D2557" s="13">
        <v>22000</v>
      </c>
      <c r="E2557" s="13">
        <v>31.531600000000001</v>
      </c>
      <c r="F2557" s="13">
        <f t="shared" si="119"/>
        <v>697.71277068084078</v>
      </c>
    </row>
    <row r="2558" spans="1:6" x14ac:dyDescent="0.25">
      <c r="A2558" s="10">
        <v>40513</v>
      </c>
      <c r="B2558" s="12">
        <f t="shared" si="117"/>
        <v>12</v>
      </c>
      <c r="C2558" s="12">
        <f t="shared" si="118"/>
        <v>2010</v>
      </c>
      <c r="D2558" s="13">
        <v>22000</v>
      </c>
      <c r="E2558" s="13">
        <v>31.349</v>
      </c>
      <c r="F2558" s="13">
        <f t="shared" si="119"/>
        <v>701.77677118887368</v>
      </c>
    </row>
    <row r="2559" spans="1:6" x14ac:dyDescent="0.25">
      <c r="A2559" s="10">
        <v>40514</v>
      </c>
      <c r="B2559" s="12">
        <f t="shared" si="117"/>
        <v>12</v>
      </c>
      <c r="C2559" s="12">
        <f t="shared" si="118"/>
        <v>2010</v>
      </c>
      <c r="D2559" s="13">
        <v>22000</v>
      </c>
      <c r="E2559" s="13">
        <v>31.201000000000001</v>
      </c>
      <c r="F2559" s="13">
        <f t="shared" si="119"/>
        <v>705.10560558956445</v>
      </c>
    </row>
    <row r="2560" spans="1:6" x14ac:dyDescent="0.25">
      <c r="A2560" s="10">
        <v>40515</v>
      </c>
      <c r="B2560" s="12">
        <f t="shared" si="117"/>
        <v>12</v>
      </c>
      <c r="C2560" s="12">
        <f t="shared" si="118"/>
        <v>2010</v>
      </c>
      <c r="D2560" s="13">
        <v>22000</v>
      </c>
      <c r="E2560" s="13">
        <v>31.231999999999999</v>
      </c>
      <c r="F2560" s="13">
        <f t="shared" si="119"/>
        <v>704.40573770491801</v>
      </c>
    </row>
    <row r="2561" spans="1:6" x14ac:dyDescent="0.25">
      <c r="A2561" s="10">
        <v>40518</v>
      </c>
      <c r="B2561" s="12">
        <f t="shared" si="117"/>
        <v>12</v>
      </c>
      <c r="C2561" s="12">
        <f t="shared" si="118"/>
        <v>2010</v>
      </c>
      <c r="D2561" s="13">
        <v>21750</v>
      </c>
      <c r="E2561" s="13">
        <v>31.213999999999999</v>
      </c>
      <c r="F2561" s="13">
        <f t="shared" si="119"/>
        <v>696.80271672967262</v>
      </c>
    </row>
    <row r="2562" spans="1:6" x14ac:dyDescent="0.25">
      <c r="A2562" s="10">
        <v>40519</v>
      </c>
      <c r="B2562" s="12">
        <f t="shared" si="117"/>
        <v>12</v>
      </c>
      <c r="C2562" s="12">
        <f t="shared" si="118"/>
        <v>2010</v>
      </c>
      <c r="D2562" s="13">
        <v>21750</v>
      </c>
      <c r="E2562" s="13">
        <v>31.119</v>
      </c>
      <c r="F2562" s="13">
        <f t="shared" si="119"/>
        <v>698.92991420032774</v>
      </c>
    </row>
    <row r="2563" spans="1:6" x14ac:dyDescent="0.25">
      <c r="A2563" s="10">
        <v>40520</v>
      </c>
      <c r="B2563" s="12">
        <f t="shared" ref="B2563:B2626" si="120">MONTH(A2563)</f>
        <v>12</v>
      </c>
      <c r="C2563" s="12">
        <f t="shared" ref="C2563:C2626" si="121">YEAR(A2563)</f>
        <v>2010</v>
      </c>
      <c r="D2563" s="13">
        <v>21750</v>
      </c>
      <c r="E2563" s="13">
        <v>31.033999999999999</v>
      </c>
      <c r="F2563" s="13">
        <f t="shared" ref="F2563:F2626" si="122">IF(D2563="","",D2563/E2563)</f>
        <v>700.8442353547722</v>
      </c>
    </row>
    <row r="2564" spans="1:6" x14ac:dyDescent="0.25">
      <c r="A2564" s="10">
        <v>40521</v>
      </c>
      <c r="B2564" s="12">
        <f t="shared" si="120"/>
        <v>12</v>
      </c>
      <c r="C2564" s="12">
        <f t="shared" si="121"/>
        <v>2010</v>
      </c>
      <c r="D2564" s="13">
        <v>21750</v>
      </c>
      <c r="E2564" s="13">
        <v>30.926500000000001</v>
      </c>
      <c r="F2564" s="13">
        <f t="shared" si="122"/>
        <v>703.28035826879864</v>
      </c>
    </row>
    <row r="2565" spans="1:6" x14ac:dyDescent="0.25">
      <c r="A2565" s="10">
        <v>40522</v>
      </c>
      <c r="B2565" s="12">
        <f t="shared" si="120"/>
        <v>12</v>
      </c>
      <c r="C2565" s="12">
        <f t="shared" si="121"/>
        <v>2010</v>
      </c>
      <c r="D2565" s="13">
        <v>21750</v>
      </c>
      <c r="E2565" s="13">
        <v>30.924499999999998</v>
      </c>
      <c r="F2565" s="13">
        <f t="shared" si="122"/>
        <v>703.32584196995913</v>
      </c>
    </row>
    <row r="2566" spans="1:6" x14ac:dyDescent="0.25">
      <c r="A2566" s="10">
        <v>40525</v>
      </c>
      <c r="B2566" s="12">
        <f t="shared" si="120"/>
        <v>12</v>
      </c>
      <c r="C2566" s="12">
        <f t="shared" si="121"/>
        <v>2010</v>
      </c>
      <c r="D2566" s="13">
        <v>21250</v>
      </c>
      <c r="E2566" s="13">
        <v>30.712</v>
      </c>
      <c r="F2566" s="13">
        <f t="shared" si="122"/>
        <v>691.91195623860381</v>
      </c>
    </row>
    <row r="2567" spans="1:6" x14ac:dyDescent="0.25">
      <c r="A2567" s="10">
        <v>40526</v>
      </c>
      <c r="B2567" s="12">
        <f t="shared" si="120"/>
        <v>12</v>
      </c>
      <c r="C2567" s="12">
        <f t="shared" si="121"/>
        <v>2010</v>
      </c>
      <c r="D2567" s="13">
        <v>21250</v>
      </c>
      <c r="E2567" s="13">
        <v>30.715</v>
      </c>
      <c r="F2567" s="13">
        <f t="shared" si="122"/>
        <v>691.84437571219269</v>
      </c>
    </row>
    <row r="2568" spans="1:6" x14ac:dyDescent="0.25">
      <c r="A2568" s="10">
        <v>40527</v>
      </c>
      <c r="B2568" s="12">
        <f t="shared" si="120"/>
        <v>12</v>
      </c>
      <c r="C2568" s="12">
        <f t="shared" si="121"/>
        <v>2010</v>
      </c>
      <c r="D2568" s="13">
        <v>21250</v>
      </c>
      <c r="E2568" s="13">
        <v>30.815000000000001</v>
      </c>
      <c r="F2568" s="13">
        <f t="shared" si="122"/>
        <v>689.59922115852669</v>
      </c>
    </row>
    <row r="2569" spans="1:6" x14ac:dyDescent="0.25">
      <c r="A2569" s="10">
        <v>40528</v>
      </c>
      <c r="B2569" s="12">
        <f t="shared" si="120"/>
        <v>12</v>
      </c>
      <c r="C2569" s="12">
        <f t="shared" si="121"/>
        <v>2010</v>
      </c>
      <c r="D2569" s="13">
        <v>21250</v>
      </c>
      <c r="E2569" s="13">
        <v>30.712299999999999</v>
      </c>
      <c r="F2569" s="13">
        <f t="shared" si="122"/>
        <v>691.90519759184428</v>
      </c>
    </row>
    <row r="2570" spans="1:6" x14ac:dyDescent="0.25">
      <c r="A2570" s="10">
        <v>40529</v>
      </c>
      <c r="B2570" s="12">
        <f t="shared" si="120"/>
        <v>12</v>
      </c>
      <c r="C2570" s="12">
        <f t="shared" si="121"/>
        <v>2010</v>
      </c>
      <c r="D2570" s="13">
        <v>21250</v>
      </c>
      <c r="E2570" s="13">
        <v>30.79</v>
      </c>
      <c r="F2570" s="13">
        <f t="shared" si="122"/>
        <v>690.15914257875932</v>
      </c>
    </row>
    <row r="2571" spans="1:6" x14ac:dyDescent="0.25">
      <c r="A2571" s="10">
        <v>40532</v>
      </c>
      <c r="B2571" s="12">
        <f t="shared" si="120"/>
        <v>12</v>
      </c>
      <c r="C2571" s="12">
        <f t="shared" si="121"/>
        <v>2010</v>
      </c>
      <c r="D2571" s="13">
        <v>21000</v>
      </c>
      <c r="E2571" s="13">
        <v>30.842099999999999</v>
      </c>
      <c r="F2571" s="13">
        <f t="shared" si="122"/>
        <v>680.88748820605599</v>
      </c>
    </row>
    <row r="2572" spans="1:6" x14ac:dyDescent="0.25">
      <c r="A2572" s="10">
        <v>40533</v>
      </c>
      <c r="B2572" s="12">
        <f t="shared" si="120"/>
        <v>12</v>
      </c>
      <c r="C2572" s="12">
        <f t="shared" si="121"/>
        <v>2010</v>
      </c>
      <c r="D2572" s="13">
        <v>21000</v>
      </c>
      <c r="E2572" s="13">
        <v>30.725999999999999</v>
      </c>
      <c r="F2572" s="13">
        <f t="shared" si="122"/>
        <v>683.46026166764307</v>
      </c>
    </row>
    <row r="2573" spans="1:6" x14ac:dyDescent="0.25">
      <c r="A2573" s="10">
        <v>40534</v>
      </c>
      <c r="B2573" s="12">
        <f t="shared" si="120"/>
        <v>12</v>
      </c>
      <c r="C2573" s="12">
        <f t="shared" si="121"/>
        <v>2010</v>
      </c>
      <c r="D2573" s="13">
        <v>21000</v>
      </c>
      <c r="E2573" s="13">
        <v>30.638500000000001</v>
      </c>
      <c r="F2573" s="13">
        <f t="shared" si="122"/>
        <v>685.41214485043326</v>
      </c>
    </row>
    <row r="2574" spans="1:6" x14ac:dyDescent="0.25">
      <c r="A2574" s="10">
        <v>40535</v>
      </c>
      <c r="B2574" s="12">
        <f t="shared" si="120"/>
        <v>12</v>
      </c>
      <c r="C2574" s="12">
        <f t="shared" si="121"/>
        <v>2010</v>
      </c>
      <c r="D2574" s="13">
        <v>21000</v>
      </c>
      <c r="E2574" s="13">
        <v>30.556000000000001</v>
      </c>
      <c r="F2574" s="13">
        <f t="shared" si="122"/>
        <v>687.26273072391677</v>
      </c>
    </row>
    <row r="2575" spans="1:6" x14ac:dyDescent="0.25">
      <c r="A2575" s="10">
        <v>40540</v>
      </c>
      <c r="B2575" s="12">
        <f t="shared" si="120"/>
        <v>12</v>
      </c>
      <c r="C2575" s="12">
        <f t="shared" si="121"/>
        <v>2010</v>
      </c>
      <c r="E2575" s="13">
        <v>30.342300000000002</v>
      </c>
      <c r="F2575" s="13" t="str">
        <f t="shared" si="122"/>
        <v/>
      </c>
    </row>
    <row r="2576" spans="1:6" x14ac:dyDescent="0.25">
      <c r="A2576" s="10">
        <v>40541</v>
      </c>
      <c r="B2576" s="12">
        <f t="shared" si="120"/>
        <v>12</v>
      </c>
      <c r="C2576" s="12">
        <f t="shared" si="121"/>
        <v>2010</v>
      </c>
      <c r="E2576" s="13">
        <v>30.451000000000001</v>
      </c>
      <c r="F2576" s="13" t="str">
        <f t="shared" si="122"/>
        <v/>
      </c>
    </row>
    <row r="2577" spans="1:6" x14ac:dyDescent="0.25">
      <c r="A2577" s="10">
        <v>40542</v>
      </c>
      <c r="B2577" s="12">
        <f t="shared" si="120"/>
        <v>12</v>
      </c>
      <c r="C2577" s="12">
        <f t="shared" si="121"/>
        <v>2010</v>
      </c>
      <c r="E2577" s="13">
        <v>30.5593</v>
      </c>
      <c r="F2577" s="13" t="str">
        <f t="shared" si="122"/>
        <v/>
      </c>
    </row>
    <row r="2578" spans="1:6" x14ac:dyDescent="0.25">
      <c r="A2578" s="10">
        <v>40543</v>
      </c>
      <c r="B2578" s="12">
        <f t="shared" si="120"/>
        <v>12</v>
      </c>
      <c r="C2578" s="12">
        <f t="shared" si="121"/>
        <v>2010</v>
      </c>
      <c r="E2578" s="13">
        <v>30.571999999999999</v>
      </c>
      <c r="F2578" s="13" t="str">
        <f t="shared" si="122"/>
        <v/>
      </c>
    </row>
    <row r="2579" spans="1:6" x14ac:dyDescent="0.25">
      <c r="A2579" s="10">
        <v>40547</v>
      </c>
      <c r="B2579" s="12">
        <f t="shared" si="120"/>
        <v>1</v>
      </c>
      <c r="C2579" s="12">
        <f t="shared" si="121"/>
        <v>2011</v>
      </c>
      <c r="E2579" s="13">
        <v>30.577999999999999</v>
      </c>
      <c r="F2579" s="13" t="str">
        <f t="shared" si="122"/>
        <v/>
      </c>
    </row>
    <row r="2580" spans="1:6" x14ac:dyDescent="0.25">
      <c r="A2580" s="10">
        <v>40548</v>
      </c>
      <c r="B2580" s="12">
        <f t="shared" si="120"/>
        <v>1</v>
      </c>
      <c r="C2580" s="12">
        <f t="shared" si="121"/>
        <v>2011</v>
      </c>
      <c r="E2580" s="13">
        <v>30.628</v>
      </c>
      <c r="F2580" s="13" t="str">
        <f t="shared" si="122"/>
        <v/>
      </c>
    </row>
    <row r="2581" spans="1:6" x14ac:dyDescent="0.25">
      <c r="A2581" s="10">
        <v>40549</v>
      </c>
      <c r="B2581" s="12">
        <f t="shared" si="120"/>
        <v>1</v>
      </c>
      <c r="C2581" s="12">
        <f t="shared" si="121"/>
        <v>2011</v>
      </c>
      <c r="E2581" s="13">
        <v>30.69</v>
      </c>
      <c r="F2581" s="13" t="str">
        <f t="shared" si="122"/>
        <v/>
      </c>
    </row>
    <row r="2582" spans="1:6" x14ac:dyDescent="0.25">
      <c r="A2582" s="10">
        <v>40550</v>
      </c>
      <c r="B2582" s="12">
        <f t="shared" si="120"/>
        <v>1</v>
      </c>
      <c r="C2582" s="12">
        <f t="shared" si="121"/>
        <v>2011</v>
      </c>
      <c r="E2582" s="13">
        <v>30.751999999999999</v>
      </c>
      <c r="F2582" s="13" t="str">
        <f t="shared" si="122"/>
        <v/>
      </c>
    </row>
    <row r="2583" spans="1:6" x14ac:dyDescent="0.25">
      <c r="A2583" s="10">
        <v>40553</v>
      </c>
      <c r="B2583" s="12">
        <f t="shared" si="120"/>
        <v>1</v>
      </c>
      <c r="C2583" s="12">
        <f t="shared" si="121"/>
        <v>2011</v>
      </c>
      <c r="D2583" s="13">
        <v>20500</v>
      </c>
      <c r="E2583" s="13">
        <v>30.75</v>
      </c>
      <c r="F2583" s="13">
        <f t="shared" si="122"/>
        <v>666.66666666666663</v>
      </c>
    </row>
    <row r="2584" spans="1:6" x14ac:dyDescent="0.25">
      <c r="A2584" s="10">
        <v>40554</v>
      </c>
      <c r="B2584" s="12">
        <f t="shared" si="120"/>
        <v>1</v>
      </c>
      <c r="C2584" s="12">
        <f t="shared" si="121"/>
        <v>2011</v>
      </c>
      <c r="D2584" s="13">
        <v>20500</v>
      </c>
      <c r="E2584" s="13">
        <v>30.5229</v>
      </c>
      <c r="F2584" s="13">
        <f t="shared" si="122"/>
        <v>671.62687686949801</v>
      </c>
    </row>
    <row r="2585" spans="1:6" x14ac:dyDescent="0.25">
      <c r="A2585" s="10">
        <v>40555</v>
      </c>
      <c r="B2585" s="12">
        <f t="shared" si="120"/>
        <v>1</v>
      </c>
      <c r="C2585" s="12">
        <f t="shared" si="121"/>
        <v>2011</v>
      </c>
      <c r="D2585" s="13">
        <v>20500</v>
      </c>
      <c r="E2585" s="13">
        <v>30.0855</v>
      </c>
      <c r="F2585" s="13">
        <f t="shared" si="122"/>
        <v>681.39136793471937</v>
      </c>
    </row>
    <row r="2586" spans="1:6" x14ac:dyDescent="0.25">
      <c r="A2586" s="10">
        <v>40556</v>
      </c>
      <c r="B2586" s="12">
        <f t="shared" si="120"/>
        <v>1</v>
      </c>
      <c r="C2586" s="12">
        <f t="shared" si="121"/>
        <v>2011</v>
      </c>
      <c r="D2586" s="13">
        <v>20500</v>
      </c>
      <c r="E2586" s="13">
        <v>29.927</v>
      </c>
      <c r="F2586" s="13">
        <f t="shared" si="122"/>
        <v>685.00016707321151</v>
      </c>
    </row>
    <row r="2587" spans="1:6" x14ac:dyDescent="0.25">
      <c r="A2587" s="10">
        <v>40557</v>
      </c>
      <c r="B2587" s="12">
        <f t="shared" si="120"/>
        <v>1</v>
      </c>
      <c r="C2587" s="12">
        <f t="shared" si="121"/>
        <v>2011</v>
      </c>
      <c r="D2587" s="13">
        <v>20500</v>
      </c>
      <c r="E2587" s="13">
        <v>29.990100000000002</v>
      </c>
      <c r="F2587" s="13">
        <f t="shared" si="122"/>
        <v>683.55890777289835</v>
      </c>
    </row>
    <row r="2588" spans="1:6" x14ac:dyDescent="0.25">
      <c r="A2588" s="10">
        <v>40561</v>
      </c>
      <c r="B2588" s="12">
        <f t="shared" si="120"/>
        <v>1</v>
      </c>
      <c r="C2588" s="12">
        <f t="shared" si="121"/>
        <v>2011</v>
      </c>
      <c r="D2588" s="13">
        <v>20400</v>
      </c>
      <c r="E2588" s="13">
        <v>29.892199999999999</v>
      </c>
      <c r="F2588" s="13">
        <f t="shared" si="122"/>
        <v>682.45227852081814</v>
      </c>
    </row>
    <row r="2589" spans="1:6" x14ac:dyDescent="0.25">
      <c r="A2589" s="10">
        <v>40562</v>
      </c>
      <c r="B2589" s="12">
        <f t="shared" si="120"/>
        <v>1</v>
      </c>
      <c r="C2589" s="12">
        <f t="shared" si="121"/>
        <v>2011</v>
      </c>
      <c r="D2589" s="13">
        <v>20400</v>
      </c>
      <c r="E2589" s="13">
        <v>29.834700000000002</v>
      </c>
      <c r="F2589" s="13">
        <f t="shared" si="122"/>
        <v>683.76755925147563</v>
      </c>
    </row>
    <row r="2590" spans="1:6" x14ac:dyDescent="0.25">
      <c r="A2590" s="10">
        <v>40563</v>
      </c>
      <c r="B2590" s="12">
        <f t="shared" si="120"/>
        <v>1</v>
      </c>
      <c r="C2590" s="12">
        <f t="shared" si="121"/>
        <v>2011</v>
      </c>
      <c r="D2590" s="13">
        <v>20400</v>
      </c>
      <c r="E2590" s="13">
        <v>30.0045</v>
      </c>
      <c r="F2590" s="13">
        <f t="shared" si="122"/>
        <v>679.89801529770534</v>
      </c>
    </row>
    <row r="2591" spans="1:6" x14ac:dyDescent="0.25">
      <c r="A2591" s="10">
        <v>40564</v>
      </c>
      <c r="B2591" s="12">
        <f t="shared" si="120"/>
        <v>1</v>
      </c>
      <c r="C2591" s="12">
        <f t="shared" si="121"/>
        <v>2011</v>
      </c>
      <c r="D2591" s="13">
        <v>20400</v>
      </c>
      <c r="E2591" s="13">
        <v>29.871700000000001</v>
      </c>
      <c r="F2591" s="13">
        <f t="shared" si="122"/>
        <v>682.92062386807584</v>
      </c>
    </row>
    <row r="2592" spans="1:6" x14ac:dyDescent="0.25">
      <c r="A2592" s="10">
        <v>40567</v>
      </c>
      <c r="B2592" s="12">
        <f t="shared" si="120"/>
        <v>1</v>
      </c>
      <c r="C2592" s="12">
        <f t="shared" si="121"/>
        <v>2011</v>
      </c>
      <c r="D2592" s="13">
        <v>20500</v>
      </c>
      <c r="E2592" s="13">
        <v>29.8325</v>
      </c>
      <c r="F2592" s="13">
        <f t="shared" si="122"/>
        <v>687.1700326824772</v>
      </c>
    </row>
    <row r="2593" spans="1:6" x14ac:dyDescent="0.25">
      <c r="A2593" s="10">
        <v>40568</v>
      </c>
      <c r="B2593" s="12">
        <f t="shared" si="120"/>
        <v>1</v>
      </c>
      <c r="C2593" s="12">
        <f t="shared" si="121"/>
        <v>2011</v>
      </c>
      <c r="D2593" s="13">
        <v>20500</v>
      </c>
      <c r="E2593" s="13">
        <v>29.706499999999998</v>
      </c>
      <c r="F2593" s="13">
        <f t="shared" si="122"/>
        <v>690.08466160604587</v>
      </c>
    </row>
    <row r="2594" spans="1:6" x14ac:dyDescent="0.25">
      <c r="A2594" s="10">
        <v>40569</v>
      </c>
      <c r="B2594" s="12">
        <f t="shared" si="120"/>
        <v>1</v>
      </c>
      <c r="C2594" s="12">
        <f t="shared" si="121"/>
        <v>2011</v>
      </c>
      <c r="D2594" s="13">
        <v>20500</v>
      </c>
      <c r="E2594" s="13">
        <v>29.702999999999999</v>
      </c>
      <c r="F2594" s="13">
        <f t="shared" si="122"/>
        <v>690.16597650069014</v>
      </c>
    </row>
    <row r="2595" spans="1:6" x14ac:dyDescent="0.25">
      <c r="A2595" s="10">
        <v>40570</v>
      </c>
      <c r="B2595" s="12">
        <f t="shared" si="120"/>
        <v>1</v>
      </c>
      <c r="C2595" s="12">
        <f t="shared" si="121"/>
        <v>2011</v>
      </c>
      <c r="D2595" s="13">
        <v>20500</v>
      </c>
      <c r="E2595" s="13">
        <v>29.58</v>
      </c>
      <c r="F2595" s="13">
        <f t="shared" si="122"/>
        <v>693.03583502366473</v>
      </c>
    </row>
    <row r="2596" spans="1:6" x14ac:dyDescent="0.25">
      <c r="A2596" s="10">
        <v>40571</v>
      </c>
      <c r="B2596" s="12">
        <f t="shared" si="120"/>
        <v>1</v>
      </c>
      <c r="C2596" s="12">
        <f t="shared" si="121"/>
        <v>2011</v>
      </c>
      <c r="D2596" s="13">
        <v>20500</v>
      </c>
      <c r="E2596" s="13">
        <v>29.811800000000002</v>
      </c>
      <c r="F2596" s="13">
        <f t="shared" si="122"/>
        <v>687.64717326696132</v>
      </c>
    </row>
    <row r="2597" spans="1:6" x14ac:dyDescent="0.25">
      <c r="A2597" s="10">
        <v>40574</v>
      </c>
      <c r="B2597" s="12">
        <f t="shared" si="120"/>
        <v>1</v>
      </c>
      <c r="C2597" s="12">
        <f t="shared" si="121"/>
        <v>2011</v>
      </c>
      <c r="D2597" s="13">
        <v>20500</v>
      </c>
      <c r="E2597" s="13">
        <v>29.785</v>
      </c>
      <c r="F2597" s="13">
        <f t="shared" si="122"/>
        <v>688.26590565721006</v>
      </c>
    </row>
    <row r="2598" spans="1:6" x14ac:dyDescent="0.25">
      <c r="A2598" s="10">
        <v>40575</v>
      </c>
      <c r="B2598" s="12">
        <f t="shared" si="120"/>
        <v>2</v>
      </c>
      <c r="C2598" s="12">
        <f t="shared" si="121"/>
        <v>2011</v>
      </c>
      <c r="D2598" s="13">
        <v>20500</v>
      </c>
      <c r="E2598" s="13">
        <v>29.521699999999999</v>
      </c>
      <c r="F2598" s="13">
        <f t="shared" si="122"/>
        <v>694.40445502799639</v>
      </c>
    </row>
    <row r="2599" spans="1:6" x14ac:dyDescent="0.25">
      <c r="A2599" s="10">
        <v>40576</v>
      </c>
      <c r="B2599" s="12">
        <f t="shared" si="120"/>
        <v>2</v>
      </c>
      <c r="C2599" s="12">
        <f t="shared" si="121"/>
        <v>2011</v>
      </c>
      <c r="D2599" s="13">
        <v>20500</v>
      </c>
      <c r="E2599" s="13">
        <v>29.43</v>
      </c>
      <c r="F2599" s="13">
        <f t="shared" si="122"/>
        <v>696.56812776078834</v>
      </c>
    </row>
    <row r="2600" spans="1:6" x14ac:dyDescent="0.25">
      <c r="A2600" s="10">
        <v>40577</v>
      </c>
      <c r="B2600" s="12">
        <f t="shared" si="120"/>
        <v>2</v>
      </c>
      <c r="C2600" s="12">
        <f t="shared" si="121"/>
        <v>2011</v>
      </c>
      <c r="D2600" s="13">
        <v>20500</v>
      </c>
      <c r="E2600" s="13">
        <v>29.426500000000001</v>
      </c>
      <c r="F2600" s="13">
        <f t="shared" si="122"/>
        <v>696.6509778600921</v>
      </c>
    </row>
    <row r="2601" spans="1:6" x14ac:dyDescent="0.25">
      <c r="A2601" s="10">
        <v>40578</v>
      </c>
      <c r="B2601" s="12">
        <f t="shared" si="120"/>
        <v>2</v>
      </c>
      <c r="C2601" s="12">
        <f t="shared" si="121"/>
        <v>2011</v>
      </c>
      <c r="D2601" s="13">
        <v>20500</v>
      </c>
      <c r="E2601" s="13">
        <v>29.397600000000001</v>
      </c>
      <c r="F2601" s="13">
        <f t="shared" si="122"/>
        <v>697.33583693906985</v>
      </c>
    </row>
    <row r="2602" spans="1:6" x14ac:dyDescent="0.25">
      <c r="A2602" s="10">
        <v>40581</v>
      </c>
      <c r="B2602" s="12">
        <f t="shared" si="120"/>
        <v>2</v>
      </c>
      <c r="C2602" s="12">
        <f t="shared" si="121"/>
        <v>2011</v>
      </c>
      <c r="D2602" s="13">
        <v>20500</v>
      </c>
      <c r="E2602" s="13">
        <v>29.263999999999999</v>
      </c>
      <c r="F2602" s="13">
        <f t="shared" si="122"/>
        <v>700.51940951339532</v>
      </c>
    </row>
    <row r="2603" spans="1:6" x14ac:dyDescent="0.25">
      <c r="A2603" s="10">
        <v>40582</v>
      </c>
      <c r="B2603" s="12">
        <f t="shared" si="120"/>
        <v>2</v>
      </c>
      <c r="C2603" s="12">
        <f t="shared" si="121"/>
        <v>2011</v>
      </c>
      <c r="D2603" s="13">
        <v>20500</v>
      </c>
      <c r="E2603" s="13">
        <v>29.26</v>
      </c>
      <c r="F2603" s="13">
        <f t="shared" si="122"/>
        <v>700.61517429938476</v>
      </c>
    </row>
    <row r="2604" spans="1:6" x14ac:dyDescent="0.25">
      <c r="A2604" s="10">
        <v>40583</v>
      </c>
      <c r="B2604" s="12">
        <f t="shared" si="120"/>
        <v>2</v>
      </c>
      <c r="C2604" s="12">
        <f t="shared" si="121"/>
        <v>2011</v>
      </c>
      <c r="D2604" s="13">
        <v>20500</v>
      </c>
      <c r="E2604" s="13">
        <v>29.236999999999998</v>
      </c>
      <c r="F2604" s="13">
        <f t="shared" si="122"/>
        <v>701.1663303348497</v>
      </c>
    </row>
    <row r="2605" spans="1:6" x14ac:dyDescent="0.25">
      <c r="A2605" s="10">
        <v>40584</v>
      </c>
      <c r="B2605" s="12">
        <f t="shared" si="120"/>
        <v>2</v>
      </c>
      <c r="C2605" s="12">
        <f t="shared" si="121"/>
        <v>2011</v>
      </c>
      <c r="D2605" s="13">
        <v>20500</v>
      </c>
      <c r="E2605" s="13">
        <v>29.334</v>
      </c>
      <c r="F2605" s="13">
        <f t="shared" si="122"/>
        <v>698.84775346014862</v>
      </c>
    </row>
    <row r="2606" spans="1:6" x14ac:dyDescent="0.25">
      <c r="A2606" s="10">
        <v>40585</v>
      </c>
      <c r="B2606" s="12">
        <f t="shared" si="120"/>
        <v>2</v>
      </c>
      <c r="C2606" s="12">
        <f t="shared" si="121"/>
        <v>2011</v>
      </c>
      <c r="D2606" s="13">
        <v>20500</v>
      </c>
      <c r="E2606" s="13">
        <v>29.302</v>
      </c>
      <c r="F2606" s="13">
        <f t="shared" si="122"/>
        <v>699.61094805815299</v>
      </c>
    </row>
    <row r="2607" spans="1:6" x14ac:dyDescent="0.25">
      <c r="A2607" s="10">
        <v>40588</v>
      </c>
      <c r="B2607" s="12">
        <f t="shared" si="120"/>
        <v>2</v>
      </c>
      <c r="C2607" s="12">
        <f t="shared" si="121"/>
        <v>2011</v>
      </c>
      <c r="D2607" s="13">
        <v>20500</v>
      </c>
      <c r="E2607" s="13">
        <v>29.273</v>
      </c>
      <c r="F2607" s="13">
        <f t="shared" si="122"/>
        <v>700.30403443446176</v>
      </c>
    </row>
    <row r="2608" spans="1:6" x14ac:dyDescent="0.25">
      <c r="A2608" s="10">
        <v>40589</v>
      </c>
      <c r="B2608" s="12">
        <f t="shared" si="120"/>
        <v>2</v>
      </c>
      <c r="C2608" s="12">
        <f t="shared" si="121"/>
        <v>2011</v>
      </c>
      <c r="D2608" s="13">
        <v>20500</v>
      </c>
      <c r="E2608" s="13">
        <v>29.3155</v>
      </c>
      <c r="F2608" s="13">
        <f t="shared" si="122"/>
        <v>699.28877215125101</v>
      </c>
    </row>
    <row r="2609" spans="1:6" x14ac:dyDescent="0.25">
      <c r="A2609" s="10">
        <v>40590</v>
      </c>
      <c r="B2609" s="12">
        <f t="shared" si="120"/>
        <v>2</v>
      </c>
      <c r="C2609" s="12">
        <f t="shared" si="121"/>
        <v>2011</v>
      </c>
      <c r="D2609" s="13">
        <v>20500</v>
      </c>
      <c r="E2609" s="13">
        <v>29.198499999999999</v>
      </c>
      <c r="F2609" s="13">
        <f t="shared" si="122"/>
        <v>702.09086083189209</v>
      </c>
    </row>
    <row r="2610" spans="1:6" x14ac:dyDescent="0.25">
      <c r="A2610" s="10">
        <v>40591</v>
      </c>
      <c r="B2610" s="12">
        <f t="shared" si="120"/>
        <v>2</v>
      </c>
      <c r="C2610" s="12">
        <f t="shared" si="121"/>
        <v>2011</v>
      </c>
      <c r="D2610" s="13">
        <v>20500</v>
      </c>
      <c r="E2610" s="13">
        <v>29.228999999999999</v>
      </c>
      <c r="F2610" s="13">
        <f t="shared" si="122"/>
        <v>701.35824010400631</v>
      </c>
    </row>
    <row r="2611" spans="1:6" x14ac:dyDescent="0.25">
      <c r="A2611" s="10">
        <v>40592</v>
      </c>
      <c r="B2611" s="12">
        <f t="shared" si="120"/>
        <v>2</v>
      </c>
      <c r="C2611" s="12">
        <f t="shared" si="121"/>
        <v>2011</v>
      </c>
      <c r="D2611" s="13">
        <v>20500</v>
      </c>
      <c r="E2611" s="13">
        <v>29.103999999999999</v>
      </c>
      <c r="F2611" s="13">
        <f t="shared" si="122"/>
        <v>704.37053326003297</v>
      </c>
    </row>
    <row r="2612" spans="1:6" x14ac:dyDescent="0.25">
      <c r="A2612" s="10">
        <v>40596</v>
      </c>
      <c r="B2612" s="12">
        <f t="shared" si="120"/>
        <v>2</v>
      </c>
      <c r="C2612" s="12">
        <f t="shared" si="121"/>
        <v>2011</v>
      </c>
      <c r="D2612" s="13">
        <v>20400</v>
      </c>
      <c r="E2612" s="13">
        <v>29.279900000000001</v>
      </c>
      <c r="F2612" s="13">
        <f t="shared" si="122"/>
        <v>696.72369099621244</v>
      </c>
    </row>
    <row r="2613" spans="1:6" x14ac:dyDescent="0.25">
      <c r="A2613" s="10">
        <v>40597</v>
      </c>
      <c r="B2613" s="12">
        <f t="shared" si="120"/>
        <v>2</v>
      </c>
      <c r="C2613" s="12">
        <f t="shared" si="121"/>
        <v>2011</v>
      </c>
      <c r="D2613" s="13">
        <v>20400</v>
      </c>
      <c r="E2613" s="13">
        <v>29.178899999999999</v>
      </c>
      <c r="F2613" s="13">
        <f t="shared" si="122"/>
        <v>699.13533409415709</v>
      </c>
    </row>
    <row r="2614" spans="1:6" x14ac:dyDescent="0.25">
      <c r="A2614" s="10">
        <v>40598</v>
      </c>
      <c r="B2614" s="12">
        <f t="shared" si="120"/>
        <v>2</v>
      </c>
      <c r="C2614" s="12">
        <f t="shared" si="121"/>
        <v>2011</v>
      </c>
      <c r="D2614" s="13">
        <v>20400</v>
      </c>
      <c r="E2614" s="13">
        <v>28.962</v>
      </c>
      <c r="F2614" s="13">
        <f t="shared" si="122"/>
        <v>704.37124507975966</v>
      </c>
    </row>
    <row r="2615" spans="1:6" x14ac:dyDescent="0.25">
      <c r="A2615" s="10">
        <v>40599</v>
      </c>
      <c r="B2615" s="12">
        <f t="shared" si="120"/>
        <v>2</v>
      </c>
      <c r="C2615" s="12">
        <f t="shared" si="121"/>
        <v>2011</v>
      </c>
      <c r="D2615" s="13">
        <v>20400</v>
      </c>
      <c r="E2615" s="13">
        <v>28.9419</v>
      </c>
      <c r="F2615" s="13">
        <f t="shared" si="122"/>
        <v>704.860427269806</v>
      </c>
    </row>
    <row r="2616" spans="1:6" x14ac:dyDescent="0.25">
      <c r="A2616" s="10">
        <v>40602</v>
      </c>
      <c r="B2616" s="12">
        <f t="shared" si="120"/>
        <v>2</v>
      </c>
      <c r="C2616" s="12">
        <f t="shared" si="121"/>
        <v>2011</v>
      </c>
      <c r="D2616" s="13">
        <v>20000</v>
      </c>
      <c r="E2616" s="13">
        <v>28.873000000000001</v>
      </c>
      <c r="F2616" s="13">
        <f t="shared" si="122"/>
        <v>692.68867107678454</v>
      </c>
    </row>
    <row r="2617" spans="1:6" x14ac:dyDescent="0.25">
      <c r="A2617" s="10">
        <v>40603</v>
      </c>
      <c r="B2617" s="12">
        <f t="shared" si="120"/>
        <v>3</v>
      </c>
      <c r="C2617" s="12">
        <f t="shared" si="121"/>
        <v>2011</v>
      </c>
      <c r="D2617" s="13">
        <v>20000</v>
      </c>
      <c r="E2617" s="13">
        <v>28.744199999999999</v>
      </c>
      <c r="F2617" s="13">
        <f t="shared" si="122"/>
        <v>695.79254249552957</v>
      </c>
    </row>
    <row r="2618" spans="1:6" x14ac:dyDescent="0.25">
      <c r="A2618" s="10">
        <v>40604</v>
      </c>
      <c r="B2618" s="12">
        <f t="shared" si="120"/>
        <v>3</v>
      </c>
      <c r="C2618" s="12">
        <f t="shared" si="121"/>
        <v>2011</v>
      </c>
      <c r="D2618" s="13">
        <v>20000</v>
      </c>
      <c r="E2618" s="13">
        <v>28.376000000000001</v>
      </c>
      <c r="F2618" s="13">
        <f t="shared" si="122"/>
        <v>704.82097547222997</v>
      </c>
    </row>
    <row r="2619" spans="1:6" x14ac:dyDescent="0.25">
      <c r="A2619" s="10">
        <v>40605</v>
      </c>
      <c r="B2619" s="12">
        <f t="shared" si="120"/>
        <v>3</v>
      </c>
      <c r="C2619" s="12">
        <f t="shared" si="121"/>
        <v>2011</v>
      </c>
      <c r="D2619" s="13">
        <v>20000</v>
      </c>
      <c r="E2619" s="13">
        <v>28.1675</v>
      </c>
      <c r="F2619" s="13">
        <f t="shared" si="122"/>
        <v>710.03816455134461</v>
      </c>
    </row>
    <row r="2620" spans="1:6" x14ac:dyDescent="0.25">
      <c r="A2620" s="10">
        <v>40606</v>
      </c>
      <c r="B2620" s="12">
        <f t="shared" si="120"/>
        <v>3</v>
      </c>
      <c r="C2620" s="12">
        <f t="shared" si="121"/>
        <v>2011</v>
      </c>
      <c r="D2620" s="13">
        <v>20000</v>
      </c>
      <c r="E2620" s="13">
        <v>28.170999999999999</v>
      </c>
      <c r="F2620" s="13">
        <f t="shared" si="122"/>
        <v>709.94994852862874</v>
      </c>
    </row>
    <row r="2621" spans="1:6" x14ac:dyDescent="0.25">
      <c r="A2621" s="10">
        <v>40609</v>
      </c>
      <c r="B2621" s="12">
        <f t="shared" si="120"/>
        <v>3</v>
      </c>
      <c r="C2621" s="12">
        <f t="shared" si="121"/>
        <v>2011</v>
      </c>
      <c r="E2621" s="13">
        <v>28.161000000000001</v>
      </c>
      <c r="F2621" s="13" t="str">
        <f t="shared" si="122"/>
        <v/>
      </c>
    </row>
    <row r="2622" spans="1:6" x14ac:dyDescent="0.25">
      <c r="A2622" s="10">
        <v>40610</v>
      </c>
      <c r="B2622" s="12">
        <f t="shared" si="120"/>
        <v>3</v>
      </c>
      <c r="C2622" s="12">
        <f t="shared" si="121"/>
        <v>2011</v>
      </c>
      <c r="E2622" s="13">
        <v>28.161000000000001</v>
      </c>
      <c r="F2622" s="13" t="str">
        <f t="shared" si="122"/>
        <v/>
      </c>
    </row>
    <row r="2623" spans="1:6" x14ac:dyDescent="0.25">
      <c r="A2623" s="10">
        <v>40611</v>
      </c>
      <c r="B2623" s="12">
        <f t="shared" si="120"/>
        <v>3</v>
      </c>
      <c r="C2623" s="12">
        <f t="shared" si="121"/>
        <v>2011</v>
      </c>
      <c r="E2623" s="13">
        <v>28.3611</v>
      </c>
      <c r="F2623" s="13" t="str">
        <f t="shared" si="122"/>
        <v/>
      </c>
    </row>
    <row r="2624" spans="1:6" x14ac:dyDescent="0.25">
      <c r="A2624" s="10">
        <v>40612</v>
      </c>
      <c r="B2624" s="12">
        <f t="shared" si="120"/>
        <v>3</v>
      </c>
      <c r="C2624" s="12">
        <f t="shared" si="121"/>
        <v>2011</v>
      </c>
      <c r="E2624" s="13">
        <v>28.6065</v>
      </c>
      <c r="F2624" s="13" t="str">
        <f t="shared" si="122"/>
        <v/>
      </c>
    </row>
    <row r="2625" spans="1:6" x14ac:dyDescent="0.25">
      <c r="A2625" s="10">
        <v>40613</v>
      </c>
      <c r="B2625" s="12">
        <f t="shared" si="120"/>
        <v>3</v>
      </c>
      <c r="C2625" s="12">
        <f t="shared" si="121"/>
        <v>2011</v>
      </c>
      <c r="E2625" s="13">
        <v>28.661000000000001</v>
      </c>
      <c r="F2625" s="13" t="str">
        <f t="shared" si="122"/>
        <v/>
      </c>
    </row>
    <row r="2626" spans="1:6" x14ac:dyDescent="0.25">
      <c r="A2626" s="10">
        <v>40616</v>
      </c>
      <c r="B2626" s="12">
        <f t="shared" si="120"/>
        <v>3</v>
      </c>
      <c r="C2626" s="12">
        <f t="shared" si="121"/>
        <v>2011</v>
      </c>
      <c r="D2626" s="13">
        <v>19850</v>
      </c>
      <c r="E2626" s="13">
        <v>28.506499999999999</v>
      </c>
      <c r="F2626" s="13">
        <f t="shared" si="122"/>
        <v>696.33241541402845</v>
      </c>
    </row>
    <row r="2627" spans="1:6" x14ac:dyDescent="0.25">
      <c r="A2627" s="10">
        <v>40617</v>
      </c>
      <c r="B2627" s="12">
        <f t="shared" ref="B2627:B2690" si="123">MONTH(A2627)</f>
        <v>3</v>
      </c>
      <c r="C2627" s="12">
        <f t="shared" ref="C2627:C2690" si="124">YEAR(A2627)</f>
        <v>2011</v>
      </c>
      <c r="D2627" s="13">
        <v>19850</v>
      </c>
      <c r="E2627" s="13">
        <v>28.707999999999998</v>
      </c>
      <c r="F2627" s="13">
        <f t="shared" ref="F2627:F2690" si="125">IF(D2627="","",D2627/E2627)</f>
        <v>691.44489340950258</v>
      </c>
    </row>
    <row r="2628" spans="1:6" x14ac:dyDescent="0.25">
      <c r="A2628" s="10">
        <v>40618</v>
      </c>
      <c r="B2628" s="12">
        <f t="shared" si="123"/>
        <v>3</v>
      </c>
      <c r="C2628" s="12">
        <f t="shared" si="124"/>
        <v>2011</v>
      </c>
      <c r="D2628" s="13">
        <v>19850</v>
      </c>
      <c r="E2628" s="13">
        <v>28.672000000000001</v>
      </c>
      <c r="F2628" s="13">
        <f t="shared" si="125"/>
        <v>692.31305803571422</v>
      </c>
    </row>
    <row r="2629" spans="1:6" x14ac:dyDescent="0.25">
      <c r="A2629" s="10">
        <v>40619</v>
      </c>
      <c r="B2629" s="12">
        <f t="shared" si="123"/>
        <v>3</v>
      </c>
      <c r="C2629" s="12">
        <f t="shared" si="124"/>
        <v>2011</v>
      </c>
      <c r="D2629" s="13">
        <v>19850</v>
      </c>
      <c r="E2629" s="13">
        <v>28.627500000000001</v>
      </c>
      <c r="F2629" s="13">
        <f t="shared" si="125"/>
        <v>693.38922364858956</v>
      </c>
    </row>
    <row r="2630" spans="1:6" x14ac:dyDescent="0.25">
      <c r="A2630" s="10">
        <v>40620</v>
      </c>
      <c r="B2630" s="12">
        <f t="shared" si="123"/>
        <v>3</v>
      </c>
      <c r="C2630" s="12">
        <f t="shared" si="124"/>
        <v>2011</v>
      </c>
      <c r="D2630" s="13">
        <v>19850</v>
      </c>
      <c r="E2630" s="13">
        <v>28.431899999999999</v>
      </c>
      <c r="F2630" s="13">
        <f t="shared" si="125"/>
        <v>698.15946173136513</v>
      </c>
    </row>
    <row r="2631" spans="1:6" x14ac:dyDescent="0.25">
      <c r="A2631" s="10">
        <v>40623</v>
      </c>
      <c r="B2631" s="12">
        <f t="shared" si="123"/>
        <v>3</v>
      </c>
      <c r="C2631" s="12">
        <f t="shared" si="124"/>
        <v>2011</v>
      </c>
      <c r="D2631" s="13">
        <v>19750</v>
      </c>
      <c r="E2631" s="13">
        <v>28.236000000000001</v>
      </c>
      <c r="F2631" s="13">
        <f t="shared" si="125"/>
        <v>699.46168012466353</v>
      </c>
    </row>
    <row r="2632" spans="1:6" x14ac:dyDescent="0.25">
      <c r="A2632" s="10">
        <v>40624</v>
      </c>
      <c r="B2632" s="12">
        <f t="shared" si="123"/>
        <v>3</v>
      </c>
      <c r="C2632" s="12">
        <f t="shared" si="124"/>
        <v>2011</v>
      </c>
      <c r="D2632" s="13">
        <v>19750</v>
      </c>
      <c r="E2632" s="13">
        <v>28.207999999999998</v>
      </c>
      <c r="F2632" s="13">
        <f t="shared" si="125"/>
        <v>700.15598411798078</v>
      </c>
    </row>
    <row r="2633" spans="1:6" x14ac:dyDescent="0.25">
      <c r="A2633" s="10">
        <v>40625</v>
      </c>
      <c r="B2633" s="12">
        <f t="shared" si="123"/>
        <v>3</v>
      </c>
      <c r="C2633" s="12">
        <f t="shared" si="124"/>
        <v>2011</v>
      </c>
      <c r="D2633" s="13">
        <v>19750</v>
      </c>
      <c r="E2633" s="13">
        <v>28.385000000000002</v>
      </c>
      <c r="F2633" s="13">
        <f t="shared" si="125"/>
        <v>695.79002994539371</v>
      </c>
    </row>
    <row r="2634" spans="1:6" x14ac:dyDescent="0.25">
      <c r="A2634" s="10">
        <v>40626</v>
      </c>
      <c r="B2634" s="12">
        <f t="shared" si="123"/>
        <v>3</v>
      </c>
      <c r="C2634" s="12">
        <f t="shared" si="124"/>
        <v>2011</v>
      </c>
      <c r="D2634" s="13">
        <v>19750</v>
      </c>
      <c r="E2634" s="13">
        <v>28.276</v>
      </c>
      <c r="F2634" s="13">
        <f t="shared" si="125"/>
        <v>698.47220257462163</v>
      </c>
    </row>
    <row r="2635" spans="1:6" x14ac:dyDescent="0.25">
      <c r="A2635" s="10">
        <v>40627</v>
      </c>
      <c r="B2635" s="12">
        <f t="shared" si="123"/>
        <v>3</v>
      </c>
      <c r="C2635" s="12">
        <f t="shared" si="124"/>
        <v>2011</v>
      </c>
      <c r="D2635" s="13">
        <v>19750</v>
      </c>
      <c r="E2635" s="13">
        <v>28.276</v>
      </c>
      <c r="F2635" s="13">
        <f t="shared" si="125"/>
        <v>698.47220257462163</v>
      </c>
    </row>
    <row r="2636" spans="1:6" x14ac:dyDescent="0.25">
      <c r="A2636" s="10">
        <v>40630</v>
      </c>
      <c r="B2636" s="12">
        <f t="shared" si="123"/>
        <v>3</v>
      </c>
      <c r="C2636" s="12">
        <f t="shared" si="124"/>
        <v>2011</v>
      </c>
      <c r="D2636" s="13">
        <v>19250</v>
      </c>
      <c r="E2636" s="13">
        <v>28.335999999999999</v>
      </c>
      <c r="F2636" s="13">
        <f t="shared" si="125"/>
        <v>679.3478260869565</v>
      </c>
    </row>
    <row r="2637" spans="1:6" x14ac:dyDescent="0.25">
      <c r="A2637" s="10">
        <v>40631</v>
      </c>
      <c r="B2637" s="12">
        <f t="shared" si="123"/>
        <v>3</v>
      </c>
      <c r="C2637" s="12">
        <f t="shared" si="124"/>
        <v>2011</v>
      </c>
      <c r="D2637" s="13">
        <v>19250</v>
      </c>
      <c r="E2637" s="13">
        <v>28.346</v>
      </c>
      <c r="F2637" s="13">
        <f t="shared" si="125"/>
        <v>679.10816340929932</v>
      </c>
    </row>
    <row r="2638" spans="1:6" x14ac:dyDescent="0.25">
      <c r="A2638" s="10">
        <v>40632</v>
      </c>
      <c r="B2638" s="12">
        <f t="shared" si="123"/>
        <v>3</v>
      </c>
      <c r="C2638" s="12">
        <f t="shared" si="124"/>
        <v>2011</v>
      </c>
      <c r="D2638" s="13">
        <v>19250</v>
      </c>
      <c r="E2638" s="13">
        <v>28.521999999999998</v>
      </c>
      <c r="F2638" s="13">
        <f t="shared" si="125"/>
        <v>674.91760746090745</v>
      </c>
    </row>
    <row r="2639" spans="1:6" x14ac:dyDescent="0.25">
      <c r="A2639" s="10">
        <v>40633</v>
      </c>
      <c r="B2639" s="12">
        <f t="shared" si="123"/>
        <v>3</v>
      </c>
      <c r="C2639" s="12">
        <f t="shared" si="124"/>
        <v>2011</v>
      </c>
      <c r="D2639" s="13">
        <v>19250</v>
      </c>
      <c r="E2639" s="13">
        <v>28.43</v>
      </c>
      <c r="F2639" s="13">
        <f t="shared" si="125"/>
        <v>677.1016531832571</v>
      </c>
    </row>
    <row r="2640" spans="1:6" x14ac:dyDescent="0.25">
      <c r="A2640" s="10">
        <v>40634</v>
      </c>
      <c r="B2640" s="12">
        <f t="shared" si="123"/>
        <v>4</v>
      </c>
      <c r="C2640" s="12">
        <f t="shared" si="124"/>
        <v>2011</v>
      </c>
      <c r="D2640" s="13">
        <v>19250</v>
      </c>
      <c r="E2640" s="13">
        <v>28.261800000000001</v>
      </c>
      <c r="F2640" s="13">
        <f t="shared" si="125"/>
        <v>681.13142121167084</v>
      </c>
    </row>
    <row r="2641" spans="1:6" x14ac:dyDescent="0.25">
      <c r="A2641" s="10">
        <v>40637</v>
      </c>
      <c r="B2641" s="12">
        <f t="shared" si="123"/>
        <v>4</v>
      </c>
      <c r="C2641" s="12">
        <f t="shared" si="124"/>
        <v>2011</v>
      </c>
      <c r="D2641" s="13">
        <v>18750</v>
      </c>
      <c r="E2641" s="13">
        <v>28.289000000000001</v>
      </c>
      <c r="F2641" s="13">
        <f t="shared" si="125"/>
        <v>662.80179575099862</v>
      </c>
    </row>
    <row r="2642" spans="1:6" x14ac:dyDescent="0.25">
      <c r="A2642" s="10">
        <v>40638</v>
      </c>
      <c r="B2642" s="12">
        <f t="shared" si="123"/>
        <v>4</v>
      </c>
      <c r="C2642" s="12">
        <f t="shared" si="124"/>
        <v>2011</v>
      </c>
      <c r="D2642" s="13">
        <v>18750</v>
      </c>
      <c r="E2642" s="13">
        <v>28.274000000000001</v>
      </c>
      <c r="F2642" s="13">
        <f t="shared" si="125"/>
        <v>663.15342717691158</v>
      </c>
    </row>
    <row r="2643" spans="1:6" x14ac:dyDescent="0.25">
      <c r="A2643" s="10">
        <v>40639</v>
      </c>
      <c r="B2643" s="12">
        <f t="shared" si="123"/>
        <v>4</v>
      </c>
      <c r="C2643" s="12">
        <f t="shared" si="124"/>
        <v>2011</v>
      </c>
      <c r="D2643" s="13">
        <v>18750</v>
      </c>
      <c r="E2643" s="13">
        <v>28.146000000000001</v>
      </c>
      <c r="F2643" s="13">
        <f t="shared" si="125"/>
        <v>666.16926028565331</v>
      </c>
    </row>
    <row r="2644" spans="1:6" x14ac:dyDescent="0.25">
      <c r="A2644" s="10">
        <v>40640</v>
      </c>
      <c r="B2644" s="12">
        <f t="shared" si="123"/>
        <v>4</v>
      </c>
      <c r="C2644" s="12">
        <f t="shared" si="124"/>
        <v>2011</v>
      </c>
      <c r="D2644" s="13">
        <v>18750</v>
      </c>
      <c r="E2644" s="13">
        <v>28.209</v>
      </c>
      <c r="F2644" s="13">
        <f t="shared" si="125"/>
        <v>664.68148463256409</v>
      </c>
    </row>
    <row r="2645" spans="1:6" x14ac:dyDescent="0.25">
      <c r="A2645" s="10">
        <v>40641</v>
      </c>
      <c r="B2645" s="12">
        <f t="shared" si="123"/>
        <v>4</v>
      </c>
      <c r="C2645" s="12">
        <f t="shared" si="124"/>
        <v>2011</v>
      </c>
      <c r="D2645" s="13">
        <v>18750</v>
      </c>
      <c r="E2645" s="13">
        <v>27.9619</v>
      </c>
      <c r="F2645" s="13">
        <f t="shared" si="125"/>
        <v>670.55529130709999</v>
      </c>
    </row>
    <row r="2646" spans="1:6" x14ac:dyDescent="0.25">
      <c r="A2646" s="10">
        <v>40644</v>
      </c>
      <c r="B2646" s="12">
        <f t="shared" si="123"/>
        <v>4</v>
      </c>
      <c r="C2646" s="12">
        <f t="shared" si="124"/>
        <v>2011</v>
      </c>
      <c r="D2646" s="13">
        <v>18750</v>
      </c>
      <c r="E2646" s="13">
        <v>28.033000000000001</v>
      </c>
      <c r="F2646" s="13">
        <f t="shared" si="125"/>
        <v>668.85456426354654</v>
      </c>
    </row>
    <row r="2647" spans="1:6" x14ac:dyDescent="0.25">
      <c r="A2647" s="10">
        <v>40645</v>
      </c>
      <c r="B2647" s="12">
        <f t="shared" si="123"/>
        <v>4</v>
      </c>
      <c r="C2647" s="12">
        <f t="shared" si="124"/>
        <v>2011</v>
      </c>
      <c r="D2647" s="13">
        <v>18750</v>
      </c>
      <c r="E2647" s="13">
        <v>28.132999999999999</v>
      </c>
      <c r="F2647" s="13">
        <f t="shared" si="125"/>
        <v>666.47709096079336</v>
      </c>
    </row>
    <row r="2648" spans="1:6" x14ac:dyDescent="0.25">
      <c r="A2648" s="10">
        <v>40646</v>
      </c>
      <c r="B2648" s="12">
        <f t="shared" si="123"/>
        <v>4</v>
      </c>
      <c r="C2648" s="12">
        <f t="shared" si="124"/>
        <v>2011</v>
      </c>
      <c r="D2648" s="13">
        <v>18750</v>
      </c>
      <c r="E2648" s="13">
        <v>28.196000000000002</v>
      </c>
      <c r="F2648" s="13">
        <f t="shared" si="125"/>
        <v>664.98794155199312</v>
      </c>
    </row>
    <row r="2649" spans="1:6" x14ac:dyDescent="0.25">
      <c r="A2649" s="10">
        <v>40647</v>
      </c>
      <c r="B2649" s="12">
        <f t="shared" si="123"/>
        <v>4</v>
      </c>
      <c r="C2649" s="12">
        <f t="shared" si="124"/>
        <v>2011</v>
      </c>
      <c r="D2649" s="13">
        <v>18750</v>
      </c>
      <c r="E2649" s="13">
        <v>28.189</v>
      </c>
      <c r="F2649" s="13">
        <f t="shared" si="125"/>
        <v>665.15307389407212</v>
      </c>
    </row>
    <row r="2650" spans="1:6" x14ac:dyDescent="0.25">
      <c r="A2650" s="10">
        <v>40648</v>
      </c>
      <c r="B2650" s="12">
        <f t="shared" si="123"/>
        <v>4</v>
      </c>
      <c r="C2650" s="12">
        <f t="shared" si="124"/>
        <v>2011</v>
      </c>
      <c r="D2650" s="13">
        <v>18750</v>
      </c>
      <c r="E2650" s="13">
        <v>28.1312</v>
      </c>
      <c r="F2650" s="13">
        <f t="shared" si="125"/>
        <v>666.51973609373226</v>
      </c>
    </row>
    <row r="2651" spans="1:6" x14ac:dyDescent="0.25">
      <c r="A2651" s="10">
        <v>40651</v>
      </c>
      <c r="B2651" s="12">
        <f t="shared" si="123"/>
        <v>4</v>
      </c>
      <c r="C2651" s="12">
        <f t="shared" si="124"/>
        <v>2011</v>
      </c>
      <c r="D2651" s="13">
        <v>18500</v>
      </c>
      <c r="E2651" s="13">
        <v>28.332000000000001</v>
      </c>
      <c r="F2651" s="13">
        <f t="shared" si="125"/>
        <v>652.97190456021463</v>
      </c>
    </row>
    <row r="2652" spans="1:6" x14ac:dyDescent="0.25">
      <c r="A2652" s="10">
        <v>40652</v>
      </c>
      <c r="B2652" s="12">
        <f t="shared" si="123"/>
        <v>4</v>
      </c>
      <c r="C2652" s="12">
        <f t="shared" si="124"/>
        <v>2011</v>
      </c>
      <c r="D2652" s="13">
        <v>18500</v>
      </c>
      <c r="E2652" s="13">
        <v>28.292000000000002</v>
      </c>
      <c r="F2652" s="13">
        <f t="shared" si="125"/>
        <v>653.89509401951079</v>
      </c>
    </row>
    <row r="2653" spans="1:6" x14ac:dyDescent="0.25">
      <c r="A2653" s="10">
        <v>40653</v>
      </c>
      <c r="B2653" s="12">
        <f t="shared" si="123"/>
        <v>4</v>
      </c>
      <c r="C2653" s="12">
        <f t="shared" si="124"/>
        <v>2011</v>
      </c>
      <c r="D2653" s="13">
        <v>18500</v>
      </c>
      <c r="E2653" s="13">
        <v>28.06</v>
      </c>
      <c r="F2653" s="13">
        <f t="shared" si="125"/>
        <v>659.30149679258739</v>
      </c>
    </row>
    <row r="2654" spans="1:6" x14ac:dyDescent="0.25">
      <c r="A2654" s="10">
        <v>40654</v>
      </c>
      <c r="B2654" s="12">
        <f t="shared" si="123"/>
        <v>4</v>
      </c>
      <c r="C2654" s="12">
        <f t="shared" si="124"/>
        <v>2011</v>
      </c>
      <c r="D2654" s="13">
        <v>18500</v>
      </c>
      <c r="E2654" s="13">
        <v>27.988499999999998</v>
      </c>
      <c r="F2654" s="13">
        <f t="shared" si="125"/>
        <v>660.98576200939681</v>
      </c>
    </row>
    <row r="2655" spans="1:6" x14ac:dyDescent="0.25">
      <c r="A2655" s="10">
        <v>40658</v>
      </c>
      <c r="B2655" s="12">
        <f t="shared" si="123"/>
        <v>4</v>
      </c>
      <c r="C2655" s="12">
        <f t="shared" si="124"/>
        <v>2011</v>
      </c>
      <c r="D2655" s="13">
        <v>18250</v>
      </c>
      <c r="E2655" s="13">
        <v>27.857500000000002</v>
      </c>
      <c r="F2655" s="13">
        <f t="shared" si="125"/>
        <v>655.11980615633126</v>
      </c>
    </row>
    <row r="2656" spans="1:6" x14ac:dyDescent="0.25">
      <c r="A2656" s="10">
        <v>40659</v>
      </c>
      <c r="B2656" s="12">
        <f t="shared" si="123"/>
        <v>4</v>
      </c>
      <c r="C2656" s="12">
        <f t="shared" si="124"/>
        <v>2011</v>
      </c>
      <c r="D2656" s="13">
        <v>18250</v>
      </c>
      <c r="E2656" s="13">
        <v>27.7605</v>
      </c>
      <c r="F2656" s="13">
        <f t="shared" si="125"/>
        <v>657.40890834098809</v>
      </c>
    </row>
    <row r="2657" spans="1:6" x14ac:dyDescent="0.25">
      <c r="A2657" s="10">
        <v>40660</v>
      </c>
      <c r="B2657" s="12">
        <f t="shared" si="123"/>
        <v>4</v>
      </c>
      <c r="C2657" s="12">
        <f t="shared" si="124"/>
        <v>2011</v>
      </c>
      <c r="D2657" s="13">
        <v>18250</v>
      </c>
      <c r="E2657" s="13">
        <v>27.587</v>
      </c>
      <c r="F2657" s="13">
        <f t="shared" si="125"/>
        <v>661.54348062493204</v>
      </c>
    </row>
    <row r="2658" spans="1:6" x14ac:dyDescent="0.25">
      <c r="A2658" s="10">
        <v>40661</v>
      </c>
      <c r="B2658" s="12">
        <f t="shared" si="123"/>
        <v>4</v>
      </c>
      <c r="C2658" s="12">
        <f t="shared" si="124"/>
        <v>2011</v>
      </c>
      <c r="D2658" s="13">
        <v>18250</v>
      </c>
      <c r="E2658" s="13">
        <v>27.498999999999999</v>
      </c>
      <c r="F2658" s="13">
        <f t="shared" si="125"/>
        <v>663.66049674533622</v>
      </c>
    </row>
    <row r="2659" spans="1:6" x14ac:dyDescent="0.25">
      <c r="A2659" s="10">
        <v>40662</v>
      </c>
      <c r="B2659" s="12">
        <f t="shared" si="123"/>
        <v>4</v>
      </c>
      <c r="C2659" s="12">
        <f t="shared" si="124"/>
        <v>2011</v>
      </c>
      <c r="D2659" s="13">
        <v>18250</v>
      </c>
      <c r="E2659" s="13">
        <v>27.391999999999999</v>
      </c>
      <c r="F2659" s="13">
        <f t="shared" si="125"/>
        <v>666.25292056074773</v>
      </c>
    </row>
    <row r="2660" spans="1:6" x14ac:dyDescent="0.25">
      <c r="A2660" s="10">
        <v>40665</v>
      </c>
      <c r="B2660" s="12">
        <f t="shared" si="123"/>
        <v>5</v>
      </c>
      <c r="C2660" s="12">
        <f t="shared" si="124"/>
        <v>2011</v>
      </c>
      <c r="D2660" s="13">
        <v>17950</v>
      </c>
      <c r="E2660" s="13">
        <v>27.4055</v>
      </c>
      <c r="F2660" s="13">
        <f t="shared" si="125"/>
        <v>654.9780153618799</v>
      </c>
    </row>
    <row r="2661" spans="1:6" x14ac:dyDescent="0.25">
      <c r="A2661" s="10">
        <v>40666</v>
      </c>
      <c r="B2661" s="12">
        <f t="shared" si="123"/>
        <v>5</v>
      </c>
      <c r="C2661" s="12">
        <f t="shared" si="124"/>
        <v>2011</v>
      </c>
      <c r="D2661" s="13">
        <v>17950</v>
      </c>
      <c r="E2661" s="13">
        <v>27.33</v>
      </c>
      <c r="F2661" s="13">
        <f t="shared" si="125"/>
        <v>656.78741309915847</v>
      </c>
    </row>
    <row r="2662" spans="1:6" x14ac:dyDescent="0.25">
      <c r="A2662" s="10">
        <v>40667</v>
      </c>
      <c r="B2662" s="12">
        <f t="shared" si="123"/>
        <v>5</v>
      </c>
      <c r="C2662" s="12">
        <f t="shared" si="124"/>
        <v>2011</v>
      </c>
      <c r="D2662" s="13">
        <v>17950</v>
      </c>
      <c r="E2662" s="13">
        <v>27.344999999999999</v>
      </c>
      <c r="F2662" s="13">
        <f t="shared" si="125"/>
        <v>656.42713475955384</v>
      </c>
    </row>
    <row r="2663" spans="1:6" x14ac:dyDescent="0.25">
      <c r="A2663" s="10">
        <v>40668</v>
      </c>
      <c r="B2663" s="12">
        <f t="shared" si="123"/>
        <v>5</v>
      </c>
      <c r="C2663" s="12">
        <f t="shared" si="124"/>
        <v>2011</v>
      </c>
      <c r="D2663" s="13">
        <v>17950</v>
      </c>
      <c r="E2663" s="13">
        <v>27.536000000000001</v>
      </c>
      <c r="F2663" s="13">
        <f t="shared" si="125"/>
        <v>651.87391051714121</v>
      </c>
    </row>
    <row r="2664" spans="1:6" x14ac:dyDescent="0.25">
      <c r="A2664" s="10">
        <v>40669</v>
      </c>
      <c r="B2664" s="12">
        <f t="shared" si="123"/>
        <v>5</v>
      </c>
      <c r="C2664" s="12">
        <f t="shared" si="124"/>
        <v>2011</v>
      </c>
      <c r="D2664" s="13">
        <v>17950</v>
      </c>
      <c r="E2664" s="13">
        <v>27.9023</v>
      </c>
      <c r="F2664" s="13">
        <f t="shared" si="125"/>
        <v>643.31614239686337</v>
      </c>
    </row>
    <row r="2665" spans="1:6" x14ac:dyDescent="0.25">
      <c r="A2665" s="10">
        <v>40672</v>
      </c>
      <c r="B2665" s="12">
        <f t="shared" si="123"/>
        <v>5</v>
      </c>
      <c r="C2665" s="12">
        <f t="shared" si="124"/>
        <v>2011</v>
      </c>
      <c r="D2665" s="13">
        <v>17750</v>
      </c>
      <c r="E2665" s="13">
        <v>27.882300000000001</v>
      </c>
      <c r="F2665" s="13">
        <f t="shared" si="125"/>
        <v>636.60458427030767</v>
      </c>
    </row>
    <row r="2666" spans="1:6" x14ac:dyDescent="0.25">
      <c r="A2666" s="10">
        <v>40673</v>
      </c>
      <c r="B2666" s="12">
        <f t="shared" si="123"/>
        <v>5</v>
      </c>
      <c r="C2666" s="12">
        <f t="shared" si="124"/>
        <v>2011</v>
      </c>
      <c r="D2666" s="13">
        <v>17750</v>
      </c>
      <c r="E2666" s="13">
        <v>27.704999999999998</v>
      </c>
      <c r="F2666" s="13">
        <f t="shared" si="125"/>
        <v>640.67857787403</v>
      </c>
    </row>
    <row r="2667" spans="1:6" x14ac:dyDescent="0.25">
      <c r="A2667" s="10">
        <v>40674</v>
      </c>
      <c r="B2667" s="12">
        <f t="shared" si="123"/>
        <v>5</v>
      </c>
      <c r="C2667" s="12">
        <f t="shared" si="124"/>
        <v>2011</v>
      </c>
      <c r="D2667" s="13">
        <v>17750</v>
      </c>
      <c r="E2667" s="13">
        <v>27.866</v>
      </c>
      <c r="F2667" s="13">
        <f t="shared" si="125"/>
        <v>636.97696117131989</v>
      </c>
    </row>
    <row r="2668" spans="1:6" x14ac:dyDescent="0.25">
      <c r="A2668" s="10">
        <v>40675</v>
      </c>
      <c r="B2668" s="12">
        <f t="shared" si="123"/>
        <v>5</v>
      </c>
      <c r="C2668" s="12">
        <f t="shared" si="124"/>
        <v>2011</v>
      </c>
      <c r="D2668" s="13">
        <v>17750</v>
      </c>
      <c r="E2668" s="13">
        <v>27.92</v>
      </c>
      <c r="F2668" s="13">
        <f t="shared" si="125"/>
        <v>635.7449856733524</v>
      </c>
    </row>
    <row r="2669" spans="1:6" x14ac:dyDescent="0.25">
      <c r="A2669" s="10">
        <v>40676</v>
      </c>
      <c r="B2669" s="12">
        <f t="shared" si="123"/>
        <v>5</v>
      </c>
      <c r="C2669" s="12">
        <f t="shared" si="124"/>
        <v>2011</v>
      </c>
      <c r="D2669" s="13">
        <v>17750</v>
      </c>
      <c r="E2669" s="13">
        <v>28.112300000000001</v>
      </c>
      <c r="F2669" s="13">
        <f t="shared" si="125"/>
        <v>631.39622158272357</v>
      </c>
    </row>
    <row r="2670" spans="1:6" x14ac:dyDescent="0.25">
      <c r="A2670" s="10">
        <v>40679</v>
      </c>
      <c r="B2670" s="12">
        <f t="shared" si="123"/>
        <v>5</v>
      </c>
      <c r="C2670" s="12">
        <f t="shared" si="124"/>
        <v>2011</v>
      </c>
      <c r="D2670" s="13">
        <v>17250</v>
      </c>
      <c r="E2670" s="13">
        <v>28.149100000000001</v>
      </c>
      <c r="F2670" s="13">
        <f t="shared" si="125"/>
        <v>612.80822477450431</v>
      </c>
    </row>
    <row r="2671" spans="1:6" x14ac:dyDescent="0.25">
      <c r="A2671" s="10">
        <v>40680</v>
      </c>
      <c r="B2671" s="12">
        <f t="shared" si="123"/>
        <v>5</v>
      </c>
      <c r="C2671" s="12">
        <f t="shared" si="124"/>
        <v>2011</v>
      </c>
      <c r="D2671" s="13">
        <v>17250</v>
      </c>
      <c r="E2671" s="13">
        <v>28.132300000000001</v>
      </c>
      <c r="F2671" s="13">
        <f t="shared" si="125"/>
        <v>613.17418056824363</v>
      </c>
    </row>
    <row r="2672" spans="1:6" x14ac:dyDescent="0.25">
      <c r="A2672" s="10">
        <v>40681</v>
      </c>
      <c r="B2672" s="12">
        <f t="shared" si="123"/>
        <v>5</v>
      </c>
      <c r="C2672" s="12">
        <f t="shared" si="124"/>
        <v>2011</v>
      </c>
      <c r="D2672" s="13">
        <v>17250</v>
      </c>
      <c r="E2672" s="13">
        <v>28.052299999999999</v>
      </c>
      <c r="F2672" s="13">
        <f t="shared" si="125"/>
        <v>614.92284055139862</v>
      </c>
    </row>
    <row r="2673" spans="1:6" x14ac:dyDescent="0.25">
      <c r="A2673" s="10">
        <v>40682</v>
      </c>
      <c r="B2673" s="12">
        <f t="shared" si="123"/>
        <v>5</v>
      </c>
      <c r="C2673" s="12">
        <f t="shared" si="124"/>
        <v>2011</v>
      </c>
      <c r="D2673" s="13">
        <v>17250</v>
      </c>
      <c r="E2673" s="13">
        <v>27.952000000000002</v>
      </c>
      <c r="F2673" s="13">
        <f t="shared" si="125"/>
        <v>617.1293646250715</v>
      </c>
    </row>
    <row r="2674" spans="1:6" x14ac:dyDescent="0.25">
      <c r="A2674" s="10">
        <v>40683</v>
      </c>
      <c r="B2674" s="12">
        <f t="shared" si="123"/>
        <v>5</v>
      </c>
      <c r="C2674" s="12">
        <f t="shared" si="124"/>
        <v>2011</v>
      </c>
      <c r="D2674" s="13">
        <v>17250</v>
      </c>
      <c r="E2674" s="13">
        <v>28.122299999999999</v>
      </c>
      <c r="F2674" s="13">
        <f t="shared" si="125"/>
        <v>613.39221898635606</v>
      </c>
    </row>
    <row r="2675" spans="1:6" x14ac:dyDescent="0.25">
      <c r="A2675" s="10">
        <v>40686</v>
      </c>
      <c r="B2675" s="12">
        <f t="shared" si="123"/>
        <v>5</v>
      </c>
      <c r="C2675" s="12">
        <f t="shared" si="124"/>
        <v>2011</v>
      </c>
      <c r="D2675" s="13">
        <v>17250</v>
      </c>
      <c r="E2675" s="13">
        <v>28.481999999999999</v>
      </c>
      <c r="F2675" s="13">
        <f t="shared" si="125"/>
        <v>605.64567095007374</v>
      </c>
    </row>
    <row r="2676" spans="1:6" x14ac:dyDescent="0.25">
      <c r="A2676" s="10">
        <v>40687</v>
      </c>
      <c r="B2676" s="12">
        <f t="shared" si="123"/>
        <v>5</v>
      </c>
      <c r="C2676" s="12">
        <f t="shared" si="124"/>
        <v>2011</v>
      </c>
      <c r="D2676" s="13">
        <v>17250</v>
      </c>
      <c r="E2676" s="13">
        <v>28.338000000000001</v>
      </c>
      <c r="F2676" s="13">
        <f t="shared" si="125"/>
        <v>608.72326910861739</v>
      </c>
    </row>
    <row r="2677" spans="1:6" x14ac:dyDescent="0.25">
      <c r="A2677" s="10">
        <v>40688</v>
      </c>
      <c r="B2677" s="12">
        <f t="shared" si="123"/>
        <v>5</v>
      </c>
      <c r="C2677" s="12">
        <f t="shared" si="124"/>
        <v>2011</v>
      </c>
      <c r="D2677" s="13">
        <v>17250</v>
      </c>
      <c r="E2677" s="13">
        <v>28.412500000000001</v>
      </c>
      <c r="F2677" s="13">
        <f t="shared" si="125"/>
        <v>607.12714474263089</v>
      </c>
    </row>
    <row r="2678" spans="1:6" x14ac:dyDescent="0.25">
      <c r="A2678" s="10">
        <v>40689</v>
      </c>
      <c r="B2678" s="12">
        <f t="shared" si="123"/>
        <v>5</v>
      </c>
      <c r="C2678" s="12">
        <f t="shared" si="124"/>
        <v>2011</v>
      </c>
      <c r="D2678" s="13">
        <v>17250</v>
      </c>
      <c r="E2678" s="13">
        <v>28.184000000000001</v>
      </c>
      <c r="F2678" s="13">
        <f t="shared" si="125"/>
        <v>612.04938972466641</v>
      </c>
    </row>
    <row r="2679" spans="1:6" x14ac:dyDescent="0.25">
      <c r="A2679" s="10">
        <v>40690</v>
      </c>
      <c r="B2679" s="12">
        <f t="shared" si="123"/>
        <v>5</v>
      </c>
      <c r="C2679" s="12">
        <f t="shared" si="124"/>
        <v>2011</v>
      </c>
      <c r="D2679" s="13">
        <v>17250</v>
      </c>
      <c r="E2679" s="13">
        <v>28.202500000000001</v>
      </c>
      <c r="F2679" s="13">
        <f t="shared" si="125"/>
        <v>611.64790355464936</v>
      </c>
    </row>
    <row r="2680" spans="1:6" x14ac:dyDescent="0.25">
      <c r="A2680" s="10">
        <v>40694</v>
      </c>
      <c r="B2680" s="12">
        <f t="shared" si="123"/>
        <v>5</v>
      </c>
      <c r="C2680" s="12">
        <f t="shared" si="124"/>
        <v>2011</v>
      </c>
      <c r="D2680" s="13">
        <v>17000</v>
      </c>
      <c r="E2680" s="13">
        <v>27.9663</v>
      </c>
      <c r="F2680" s="13">
        <f t="shared" si="125"/>
        <v>607.87447749612932</v>
      </c>
    </row>
    <row r="2681" spans="1:6" x14ac:dyDescent="0.25">
      <c r="A2681" s="10">
        <v>40695</v>
      </c>
      <c r="B2681" s="12">
        <f t="shared" si="123"/>
        <v>6</v>
      </c>
      <c r="C2681" s="12">
        <f t="shared" si="124"/>
        <v>2011</v>
      </c>
      <c r="D2681" s="13">
        <v>17000</v>
      </c>
      <c r="E2681" s="13">
        <v>28.016500000000001</v>
      </c>
      <c r="F2681" s="13">
        <f t="shared" si="125"/>
        <v>606.78528724144701</v>
      </c>
    </row>
    <row r="2682" spans="1:6" x14ac:dyDescent="0.25">
      <c r="A2682" s="10">
        <v>40696</v>
      </c>
      <c r="B2682" s="12">
        <f t="shared" si="123"/>
        <v>6</v>
      </c>
      <c r="C2682" s="12">
        <f t="shared" si="124"/>
        <v>2011</v>
      </c>
      <c r="D2682" s="13">
        <v>17000</v>
      </c>
      <c r="E2682" s="13">
        <v>27.882999999999999</v>
      </c>
      <c r="F2682" s="13">
        <f t="shared" si="125"/>
        <v>609.69049241473306</v>
      </c>
    </row>
    <row r="2683" spans="1:6" x14ac:dyDescent="0.25">
      <c r="A2683" s="10">
        <v>40697</v>
      </c>
      <c r="B2683" s="12">
        <f t="shared" si="123"/>
        <v>6</v>
      </c>
      <c r="C2683" s="12">
        <f t="shared" si="124"/>
        <v>2011</v>
      </c>
      <c r="D2683" s="13">
        <v>17000</v>
      </c>
      <c r="E2683" s="13">
        <v>27.767900000000001</v>
      </c>
      <c r="F2683" s="13">
        <f t="shared" si="125"/>
        <v>612.21770461576136</v>
      </c>
    </row>
    <row r="2684" spans="1:6" x14ac:dyDescent="0.25">
      <c r="A2684" s="10">
        <v>40700</v>
      </c>
      <c r="B2684" s="12">
        <f t="shared" si="123"/>
        <v>6</v>
      </c>
      <c r="C2684" s="12">
        <f t="shared" si="124"/>
        <v>2011</v>
      </c>
      <c r="D2684" s="13">
        <v>16900</v>
      </c>
      <c r="E2684" s="13">
        <v>27.843499999999999</v>
      </c>
      <c r="F2684" s="13">
        <f t="shared" si="125"/>
        <v>606.96392335733651</v>
      </c>
    </row>
    <row r="2685" spans="1:6" x14ac:dyDescent="0.25">
      <c r="A2685" s="10">
        <v>40701</v>
      </c>
      <c r="B2685" s="12">
        <f t="shared" si="123"/>
        <v>6</v>
      </c>
      <c r="C2685" s="12">
        <f t="shared" si="124"/>
        <v>2011</v>
      </c>
      <c r="D2685" s="13">
        <v>16900</v>
      </c>
      <c r="E2685" s="13">
        <v>27.693000000000001</v>
      </c>
      <c r="F2685" s="13">
        <f t="shared" si="125"/>
        <v>610.26252121474738</v>
      </c>
    </row>
    <row r="2686" spans="1:6" x14ac:dyDescent="0.25">
      <c r="A2686" s="10">
        <v>40702</v>
      </c>
      <c r="B2686" s="12">
        <f t="shared" si="123"/>
        <v>6</v>
      </c>
      <c r="C2686" s="12">
        <f t="shared" si="124"/>
        <v>2011</v>
      </c>
      <c r="D2686" s="13">
        <v>16900</v>
      </c>
      <c r="E2686" s="13">
        <v>27.736499999999999</v>
      </c>
      <c r="F2686" s="13">
        <f t="shared" si="125"/>
        <v>609.30542786580861</v>
      </c>
    </row>
    <row r="2687" spans="1:6" x14ac:dyDescent="0.25">
      <c r="A2687" s="10">
        <v>40703</v>
      </c>
      <c r="B2687" s="12">
        <f t="shared" si="123"/>
        <v>6</v>
      </c>
      <c r="C2687" s="12">
        <f t="shared" si="124"/>
        <v>2011</v>
      </c>
      <c r="D2687" s="13">
        <v>16900</v>
      </c>
      <c r="E2687" s="13">
        <v>27.781300000000002</v>
      </c>
      <c r="F2687" s="13">
        <f t="shared" si="125"/>
        <v>608.32286466076096</v>
      </c>
    </row>
    <row r="2688" spans="1:6" x14ac:dyDescent="0.25">
      <c r="A2688" s="10">
        <v>40704</v>
      </c>
      <c r="B2688" s="12">
        <f t="shared" si="123"/>
        <v>6</v>
      </c>
      <c r="C2688" s="12">
        <f t="shared" si="124"/>
        <v>2011</v>
      </c>
      <c r="D2688" s="13">
        <v>16900</v>
      </c>
      <c r="E2688" s="13">
        <v>27.989000000000001</v>
      </c>
      <c r="F2688" s="13">
        <f t="shared" si="125"/>
        <v>603.80863910822109</v>
      </c>
    </row>
    <row r="2689" spans="1:6" x14ac:dyDescent="0.25">
      <c r="A2689" s="10">
        <v>40707</v>
      </c>
      <c r="B2689" s="12">
        <f t="shared" si="123"/>
        <v>6</v>
      </c>
      <c r="C2689" s="12">
        <f t="shared" si="124"/>
        <v>2011</v>
      </c>
      <c r="D2689" s="13">
        <v>16650</v>
      </c>
      <c r="E2689" s="13">
        <v>27.9175</v>
      </c>
      <c r="F2689" s="13">
        <f t="shared" si="125"/>
        <v>596.40010745947882</v>
      </c>
    </row>
    <row r="2690" spans="1:6" x14ac:dyDescent="0.25">
      <c r="A2690" s="10">
        <v>40708</v>
      </c>
      <c r="B2690" s="12">
        <f t="shared" si="123"/>
        <v>6</v>
      </c>
      <c r="C2690" s="12">
        <f t="shared" si="124"/>
        <v>2011</v>
      </c>
      <c r="D2690" s="13">
        <v>16650</v>
      </c>
      <c r="E2690" s="13">
        <v>27.863499999999998</v>
      </c>
      <c r="F2690" s="13">
        <f t="shared" si="125"/>
        <v>597.5559423618713</v>
      </c>
    </row>
    <row r="2691" spans="1:6" x14ac:dyDescent="0.25">
      <c r="A2691" s="10">
        <v>40709</v>
      </c>
      <c r="B2691" s="12">
        <f t="shared" ref="B2691:B2754" si="126">MONTH(A2691)</f>
        <v>6</v>
      </c>
      <c r="C2691" s="12">
        <f t="shared" ref="C2691:C2754" si="127">YEAR(A2691)</f>
        <v>2011</v>
      </c>
      <c r="D2691" s="13">
        <v>16650</v>
      </c>
      <c r="E2691" s="13">
        <v>28.0915</v>
      </c>
      <c r="F2691" s="13">
        <f t="shared" ref="F2691:F2754" si="128">IF(D2691="","",D2691/E2691)</f>
        <v>592.70597867682397</v>
      </c>
    </row>
    <row r="2692" spans="1:6" x14ac:dyDescent="0.25">
      <c r="A2692" s="10">
        <v>40710</v>
      </c>
      <c r="B2692" s="12">
        <f t="shared" si="126"/>
        <v>6</v>
      </c>
      <c r="C2692" s="12">
        <f t="shared" si="127"/>
        <v>2011</v>
      </c>
      <c r="D2692" s="13">
        <v>16650</v>
      </c>
      <c r="E2692" s="13">
        <v>28.099</v>
      </c>
      <c r="F2692" s="13">
        <f t="shared" si="128"/>
        <v>592.54777750097867</v>
      </c>
    </row>
    <row r="2693" spans="1:6" x14ac:dyDescent="0.25">
      <c r="A2693" s="10">
        <v>40711</v>
      </c>
      <c r="B2693" s="12">
        <f t="shared" si="126"/>
        <v>6</v>
      </c>
      <c r="C2693" s="12">
        <f t="shared" si="127"/>
        <v>2011</v>
      </c>
      <c r="D2693" s="13">
        <v>16650</v>
      </c>
      <c r="E2693" s="13">
        <v>28.021799999999999</v>
      </c>
      <c r="F2693" s="13">
        <f t="shared" si="128"/>
        <v>594.18024538038242</v>
      </c>
    </row>
    <row r="2694" spans="1:6" x14ac:dyDescent="0.25">
      <c r="A2694" s="10">
        <v>40714</v>
      </c>
      <c r="B2694" s="12">
        <f t="shared" si="126"/>
        <v>6</v>
      </c>
      <c r="C2694" s="12">
        <f t="shared" si="127"/>
        <v>2011</v>
      </c>
      <c r="D2694" s="13">
        <v>16650</v>
      </c>
      <c r="E2694" s="13">
        <v>28.0854</v>
      </c>
      <c r="F2694" s="13">
        <f t="shared" si="128"/>
        <v>592.83471127347309</v>
      </c>
    </row>
    <row r="2695" spans="1:6" x14ac:dyDescent="0.25">
      <c r="A2695" s="10">
        <v>40715</v>
      </c>
      <c r="B2695" s="12">
        <f t="shared" si="126"/>
        <v>6</v>
      </c>
      <c r="C2695" s="12">
        <f t="shared" si="127"/>
        <v>2011</v>
      </c>
      <c r="D2695" s="13">
        <v>16650</v>
      </c>
      <c r="E2695" s="13">
        <v>27.919</v>
      </c>
      <c r="F2695" s="13">
        <f t="shared" si="128"/>
        <v>596.36806475876642</v>
      </c>
    </row>
    <row r="2696" spans="1:6" x14ac:dyDescent="0.25">
      <c r="A2696" s="10">
        <v>40716</v>
      </c>
      <c r="B2696" s="12">
        <f t="shared" si="126"/>
        <v>6</v>
      </c>
      <c r="C2696" s="12">
        <f t="shared" si="127"/>
        <v>2011</v>
      </c>
      <c r="D2696" s="13">
        <v>16650</v>
      </c>
      <c r="E2696" s="13">
        <v>27.994499999999999</v>
      </c>
      <c r="F2696" s="13">
        <f t="shared" si="128"/>
        <v>594.75968493811285</v>
      </c>
    </row>
    <row r="2697" spans="1:6" x14ac:dyDescent="0.25">
      <c r="A2697" s="10">
        <v>40717</v>
      </c>
      <c r="B2697" s="12">
        <f t="shared" si="126"/>
        <v>6</v>
      </c>
      <c r="C2697" s="12">
        <f t="shared" si="127"/>
        <v>2011</v>
      </c>
      <c r="D2697" s="13">
        <v>16650</v>
      </c>
      <c r="E2697" s="13">
        <v>28.1357</v>
      </c>
      <c r="F2697" s="13">
        <f t="shared" si="128"/>
        <v>591.77486254118435</v>
      </c>
    </row>
    <row r="2698" spans="1:6" x14ac:dyDescent="0.25">
      <c r="A2698" s="10">
        <v>40718</v>
      </c>
      <c r="B2698" s="12">
        <f t="shared" si="126"/>
        <v>6</v>
      </c>
      <c r="C2698" s="12">
        <f t="shared" si="127"/>
        <v>2011</v>
      </c>
      <c r="D2698" s="13">
        <v>16650</v>
      </c>
      <c r="E2698" s="13">
        <v>28.1965</v>
      </c>
      <c r="F2698" s="13">
        <f t="shared" si="128"/>
        <v>590.49882077562813</v>
      </c>
    </row>
    <row r="2699" spans="1:6" x14ac:dyDescent="0.25">
      <c r="A2699" s="10">
        <v>40721</v>
      </c>
      <c r="B2699" s="12">
        <f t="shared" si="126"/>
        <v>6</v>
      </c>
      <c r="C2699" s="12">
        <f t="shared" si="127"/>
        <v>2011</v>
      </c>
      <c r="D2699" s="13">
        <v>16250</v>
      </c>
      <c r="E2699" s="13">
        <v>28.2195</v>
      </c>
      <c r="F2699" s="13">
        <f t="shared" si="128"/>
        <v>575.8429454809617</v>
      </c>
    </row>
    <row r="2700" spans="1:6" x14ac:dyDescent="0.25">
      <c r="A2700" s="10">
        <v>40722</v>
      </c>
      <c r="B2700" s="12">
        <f t="shared" si="126"/>
        <v>6</v>
      </c>
      <c r="C2700" s="12">
        <f t="shared" si="127"/>
        <v>2011</v>
      </c>
      <c r="D2700" s="13">
        <v>16250</v>
      </c>
      <c r="E2700" s="13">
        <v>28.106999999999999</v>
      </c>
      <c r="F2700" s="13">
        <f t="shared" si="128"/>
        <v>578.1477923648913</v>
      </c>
    </row>
    <row r="2701" spans="1:6" x14ac:dyDescent="0.25">
      <c r="A2701" s="10">
        <v>40723</v>
      </c>
      <c r="B2701" s="12">
        <f t="shared" si="126"/>
        <v>6</v>
      </c>
      <c r="C2701" s="12">
        <f t="shared" si="127"/>
        <v>2011</v>
      </c>
      <c r="D2701" s="13">
        <v>16250</v>
      </c>
      <c r="E2701" s="13">
        <v>28.023</v>
      </c>
      <c r="F2701" s="13">
        <f t="shared" si="128"/>
        <v>579.88081218998684</v>
      </c>
    </row>
    <row r="2702" spans="1:6" x14ac:dyDescent="0.25">
      <c r="A2702" s="10">
        <v>40724</v>
      </c>
      <c r="B2702" s="12">
        <f t="shared" si="126"/>
        <v>6</v>
      </c>
      <c r="C2702" s="12">
        <f t="shared" si="127"/>
        <v>2011</v>
      </c>
      <c r="D2702" s="13">
        <v>16250</v>
      </c>
      <c r="E2702" s="13">
        <v>27.920999999999999</v>
      </c>
      <c r="F2702" s="13">
        <f t="shared" si="128"/>
        <v>581.99921206260524</v>
      </c>
    </row>
    <row r="2703" spans="1:6" x14ac:dyDescent="0.25">
      <c r="A2703" s="10">
        <v>40725</v>
      </c>
      <c r="B2703" s="12">
        <f t="shared" si="126"/>
        <v>7</v>
      </c>
      <c r="C2703" s="12">
        <f t="shared" si="127"/>
        <v>2011</v>
      </c>
      <c r="D2703" s="13">
        <v>16250</v>
      </c>
      <c r="E2703" s="13">
        <v>27.810199999999998</v>
      </c>
      <c r="F2703" s="13">
        <f t="shared" si="128"/>
        <v>584.31798404901804</v>
      </c>
    </row>
    <row r="2704" spans="1:6" x14ac:dyDescent="0.25">
      <c r="A2704" s="10">
        <v>40729</v>
      </c>
      <c r="B2704" s="12">
        <f t="shared" si="126"/>
        <v>7</v>
      </c>
      <c r="C2704" s="12">
        <f t="shared" si="127"/>
        <v>2011</v>
      </c>
      <c r="D2704" s="13">
        <v>15500</v>
      </c>
      <c r="E2704" s="13">
        <v>27.8965</v>
      </c>
      <c r="F2704" s="13">
        <f t="shared" si="128"/>
        <v>555.625257648809</v>
      </c>
    </row>
    <row r="2705" spans="1:6" x14ac:dyDescent="0.25">
      <c r="A2705" s="10">
        <v>40730</v>
      </c>
      <c r="B2705" s="12">
        <f t="shared" si="126"/>
        <v>7</v>
      </c>
      <c r="C2705" s="12">
        <f t="shared" si="127"/>
        <v>2011</v>
      </c>
      <c r="D2705" s="13">
        <v>15500</v>
      </c>
      <c r="E2705" s="13">
        <v>27.992999999999999</v>
      </c>
      <c r="F2705" s="13">
        <f t="shared" si="128"/>
        <v>553.7098560354375</v>
      </c>
    </row>
    <row r="2706" spans="1:6" x14ac:dyDescent="0.25">
      <c r="A2706" s="10">
        <v>40731</v>
      </c>
      <c r="B2706" s="12">
        <f t="shared" si="126"/>
        <v>7</v>
      </c>
      <c r="C2706" s="12">
        <f t="shared" si="127"/>
        <v>2011</v>
      </c>
      <c r="D2706" s="13">
        <v>15500</v>
      </c>
      <c r="E2706" s="13">
        <v>27.907</v>
      </c>
      <c r="F2706" s="13">
        <f t="shared" si="128"/>
        <v>555.41620381983012</v>
      </c>
    </row>
    <row r="2707" spans="1:6" x14ac:dyDescent="0.25">
      <c r="A2707" s="10">
        <v>40732</v>
      </c>
      <c r="B2707" s="12">
        <f t="shared" si="126"/>
        <v>7</v>
      </c>
      <c r="C2707" s="12">
        <f t="shared" si="127"/>
        <v>2011</v>
      </c>
      <c r="D2707" s="13">
        <v>15500</v>
      </c>
      <c r="E2707" s="13">
        <v>28.192</v>
      </c>
      <c r="F2707" s="13">
        <f t="shared" si="128"/>
        <v>549.80136208853571</v>
      </c>
    </row>
    <row r="2708" spans="1:6" x14ac:dyDescent="0.25">
      <c r="A2708" s="10">
        <v>40735</v>
      </c>
      <c r="B2708" s="12">
        <f t="shared" si="126"/>
        <v>7</v>
      </c>
      <c r="C2708" s="12">
        <f t="shared" si="127"/>
        <v>2011</v>
      </c>
      <c r="D2708" s="13">
        <v>15250</v>
      </c>
      <c r="E2708" s="13">
        <v>28.213000000000001</v>
      </c>
      <c r="F2708" s="13">
        <f t="shared" si="128"/>
        <v>540.53096090454756</v>
      </c>
    </row>
    <row r="2709" spans="1:6" x14ac:dyDescent="0.25">
      <c r="A2709" s="10">
        <v>40736</v>
      </c>
      <c r="B2709" s="12">
        <f t="shared" si="126"/>
        <v>7</v>
      </c>
      <c r="C2709" s="12">
        <f t="shared" si="127"/>
        <v>2011</v>
      </c>
      <c r="D2709" s="13">
        <v>15250</v>
      </c>
      <c r="E2709" s="13">
        <v>28.3325</v>
      </c>
      <c r="F2709" s="13">
        <f t="shared" si="128"/>
        <v>538.25112503308924</v>
      </c>
    </row>
    <row r="2710" spans="1:6" x14ac:dyDescent="0.25">
      <c r="A2710" s="10">
        <v>40737</v>
      </c>
      <c r="B2710" s="12">
        <f t="shared" si="126"/>
        <v>7</v>
      </c>
      <c r="C2710" s="12">
        <f t="shared" si="127"/>
        <v>2011</v>
      </c>
      <c r="D2710" s="13">
        <v>15250</v>
      </c>
      <c r="E2710" s="13">
        <v>28.027999999999999</v>
      </c>
      <c r="F2710" s="13">
        <f t="shared" si="128"/>
        <v>544.09875838447272</v>
      </c>
    </row>
    <row r="2711" spans="1:6" x14ac:dyDescent="0.25">
      <c r="A2711" s="10">
        <v>40738</v>
      </c>
      <c r="B2711" s="12">
        <f t="shared" si="126"/>
        <v>7</v>
      </c>
      <c r="C2711" s="12">
        <f t="shared" si="127"/>
        <v>2011</v>
      </c>
      <c r="D2711" s="13">
        <v>15250</v>
      </c>
      <c r="E2711" s="13">
        <v>28.127199999999998</v>
      </c>
      <c r="F2711" s="13">
        <f t="shared" si="128"/>
        <v>542.17981171250608</v>
      </c>
    </row>
    <row r="2712" spans="1:6" x14ac:dyDescent="0.25">
      <c r="A2712" s="10">
        <v>40739</v>
      </c>
      <c r="B2712" s="12">
        <f t="shared" si="126"/>
        <v>7</v>
      </c>
      <c r="C2712" s="12">
        <f t="shared" si="127"/>
        <v>2011</v>
      </c>
      <c r="D2712" s="13">
        <v>15250</v>
      </c>
      <c r="E2712" s="13">
        <v>28.072199999999999</v>
      </c>
      <c r="F2712" s="13">
        <f t="shared" si="128"/>
        <v>543.24206866579755</v>
      </c>
    </row>
    <row r="2713" spans="1:6" x14ac:dyDescent="0.25">
      <c r="A2713" s="10">
        <v>40742</v>
      </c>
      <c r="B2713" s="12">
        <f t="shared" si="126"/>
        <v>7</v>
      </c>
      <c r="C2713" s="12">
        <f t="shared" si="127"/>
        <v>2011</v>
      </c>
      <c r="D2713" s="13">
        <v>15000</v>
      </c>
      <c r="E2713" s="13">
        <v>28.252600000000001</v>
      </c>
      <c r="F2713" s="13">
        <f t="shared" si="128"/>
        <v>530.92458747159549</v>
      </c>
    </row>
    <row r="2714" spans="1:6" x14ac:dyDescent="0.25">
      <c r="A2714" s="10">
        <v>40743</v>
      </c>
      <c r="B2714" s="12">
        <f t="shared" si="126"/>
        <v>7</v>
      </c>
      <c r="C2714" s="12">
        <f t="shared" si="127"/>
        <v>2011</v>
      </c>
      <c r="D2714" s="13">
        <v>15000</v>
      </c>
      <c r="E2714" s="13">
        <v>28.195</v>
      </c>
      <c r="F2714" s="13">
        <f t="shared" si="128"/>
        <v>532.0092214931725</v>
      </c>
    </row>
    <row r="2715" spans="1:6" x14ac:dyDescent="0.25">
      <c r="A2715" s="10">
        <v>40744</v>
      </c>
      <c r="B2715" s="12">
        <f t="shared" si="126"/>
        <v>7</v>
      </c>
      <c r="C2715" s="12">
        <f t="shared" si="127"/>
        <v>2011</v>
      </c>
      <c r="D2715" s="13">
        <v>15000</v>
      </c>
      <c r="E2715" s="13">
        <v>28.127500000000001</v>
      </c>
      <c r="F2715" s="13">
        <f t="shared" si="128"/>
        <v>533.2859301395431</v>
      </c>
    </row>
    <row r="2716" spans="1:6" x14ac:dyDescent="0.25">
      <c r="A2716" s="10">
        <v>40745</v>
      </c>
      <c r="B2716" s="12">
        <f t="shared" si="126"/>
        <v>7</v>
      </c>
      <c r="C2716" s="12">
        <f t="shared" si="127"/>
        <v>2011</v>
      </c>
      <c r="D2716" s="13">
        <v>15000</v>
      </c>
      <c r="E2716" s="13">
        <v>27.74</v>
      </c>
      <c r="F2716" s="13">
        <f t="shared" si="128"/>
        <v>540.73540014419609</v>
      </c>
    </row>
    <row r="2717" spans="1:6" x14ac:dyDescent="0.25">
      <c r="A2717" s="10">
        <v>40746</v>
      </c>
      <c r="B2717" s="12">
        <f t="shared" si="126"/>
        <v>7</v>
      </c>
      <c r="C2717" s="12">
        <f t="shared" si="127"/>
        <v>2011</v>
      </c>
      <c r="D2717" s="13">
        <v>15000</v>
      </c>
      <c r="E2717" s="13">
        <v>27.768000000000001</v>
      </c>
      <c r="F2717" s="13">
        <f t="shared" si="128"/>
        <v>540.19014693171994</v>
      </c>
    </row>
    <row r="2718" spans="1:6" x14ac:dyDescent="0.25">
      <c r="A2718" s="10">
        <v>40749</v>
      </c>
      <c r="B2718" s="12">
        <f t="shared" si="126"/>
        <v>7</v>
      </c>
      <c r="C2718" s="12">
        <f t="shared" si="127"/>
        <v>2011</v>
      </c>
      <c r="E2718" s="13">
        <v>27.728999999999999</v>
      </c>
      <c r="F2718" s="13" t="str">
        <f t="shared" si="128"/>
        <v/>
      </c>
    </row>
    <row r="2719" spans="1:6" x14ac:dyDescent="0.25">
      <c r="A2719" s="10">
        <v>40750</v>
      </c>
      <c r="B2719" s="12">
        <f t="shared" si="126"/>
        <v>7</v>
      </c>
      <c r="C2719" s="12">
        <f t="shared" si="127"/>
        <v>2011</v>
      </c>
      <c r="E2719" s="13">
        <v>27.504999999999999</v>
      </c>
      <c r="F2719" s="13" t="str">
        <f t="shared" si="128"/>
        <v/>
      </c>
    </row>
    <row r="2720" spans="1:6" x14ac:dyDescent="0.25">
      <c r="A2720" s="10">
        <v>40751</v>
      </c>
      <c r="B2720" s="12">
        <f t="shared" si="126"/>
        <v>7</v>
      </c>
      <c r="C2720" s="12">
        <f t="shared" si="127"/>
        <v>2011</v>
      </c>
      <c r="E2720" s="13">
        <v>27.524999999999999</v>
      </c>
      <c r="F2720" s="13" t="str">
        <f t="shared" si="128"/>
        <v/>
      </c>
    </row>
    <row r="2721" spans="1:6" x14ac:dyDescent="0.25">
      <c r="A2721" s="10">
        <v>40752</v>
      </c>
      <c r="B2721" s="12">
        <f t="shared" si="126"/>
        <v>7</v>
      </c>
      <c r="C2721" s="12">
        <f t="shared" si="127"/>
        <v>2011</v>
      </c>
      <c r="E2721" s="13">
        <v>27.594000000000001</v>
      </c>
      <c r="F2721" s="13" t="str">
        <f t="shared" si="128"/>
        <v/>
      </c>
    </row>
    <row r="2722" spans="1:6" x14ac:dyDescent="0.25">
      <c r="A2722" s="10">
        <v>40753</v>
      </c>
      <c r="B2722" s="12">
        <f t="shared" si="126"/>
        <v>7</v>
      </c>
      <c r="C2722" s="12">
        <f t="shared" si="127"/>
        <v>2011</v>
      </c>
      <c r="E2722" s="13">
        <v>27.632999999999999</v>
      </c>
      <c r="F2722" s="13" t="str">
        <f t="shared" si="128"/>
        <v/>
      </c>
    </row>
    <row r="2723" spans="1:6" x14ac:dyDescent="0.25">
      <c r="A2723" s="10">
        <v>40756</v>
      </c>
      <c r="B2723" s="12">
        <f t="shared" si="126"/>
        <v>8</v>
      </c>
      <c r="C2723" s="12">
        <f t="shared" si="127"/>
        <v>2011</v>
      </c>
      <c r="E2723" s="13">
        <v>27.7605</v>
      </c>
      <c r="F2723" s="13" t="str">
        <f t="shared" si="128"/>
        <v/>
      </c>
    </row>
    <row r="2724" spans="1:6" x14ac:dyDescent="0.25">
      <c r="A2724" s="10">
        <v>40757</v>
      </c>
      <c r="B2724" s="12">
        <f t="shared" si="126"/>
        <v>8</v>
      </c>
      <c r="C2724" s="12">
        <f t="shared" si="127"/>
        <v>2011</v>
      </c>
      <c r="E2724" s="13">
        <v>27.832599999999999</v>
      </c>
      <c r="F2724" s="13" t="str">
        <f t="shared" si="128"/>
        <v/>
      </c>
    </row>
    <row r="2725" spans="1:6" x14ac:dyDescent="0.25">
      <c r="A2725" s="10">
        <v>40758</v>
      </c>
      <c r="B2725" s="12">
        <f t="shared" si="126"/>
        <v>8</v>
      </c>
      <c r="C2725" s="12">
        <f t="shared" si="127"/>
        <v>2011</v>
      </c>
      <c r="E2725" s="13">
        <v>27.833500000000001</v>
      </c>
      <c r="F2725" s="13" t="str">
        <f t="shared" si="128"/>
        <v/>
      </c>
    </row>
    <row r="2726" spans="1:6" x14ac:dyDescent="0.25">
      <c r="A2726" s="10">
        <v>40759</v>
      </c>
      <c r="B2726" s="12">
        <f t="shared" si="126"/>
        <v>8</v>
      </c>
      <c r="C2726" s="12">
        <f t="shared" si="127"/>
        <v>2011</v>
      </c>
      <c r="E2726" s="13">
        <v>28.171500000000002</v>
      </c>
      <c r="F2726" s="13" t="str">
        <f t="shared" si="128"/>
        <v/>
      </c>
    </row>
    <row r="2727" spans="1:6" x14ac:dyDescent="0.25">
      <c r="A2727" s="10">
        <v>40760</v>
      </c>
      <c r="B2727" s="12">
        <f t="shared" si="126"/>
        <v>8</v>
      </c>
      <c r="C2727" s="12">
        <f t="shared" si="127"/>
        <v>2011</v>
      </c>
      <c r="E2727" s="13">
        <v>28.065000000000001</v>
      </c>
      <c r="F2727" s="13" t="str">
        <f t="shared" si="128"/>
        <v/>
      </c>
    </row>
    <row r="2728" spans="1:6" x14ac:dyDescent="0.25">
      <c r="A2728" s="10">
        <v>40763</v>
      </c>
      <c r="B2728" s="12">
        <f t="shared" si="126"/>
        <v>8</v>
      </c>
      <c r="C2728" s="12">
        <f t="shared" si="127"/>
        <v>2011</v>
      </c>
      <c r="E2728" s="13">
        <v>28.992599999999999</v>
      </c>
      <c r="F2728" s="13" t="str">
        <f t="shared" si="128"/>
        <v/>
      </c>
    </row>
    <row r="2729" spans="1:6" x14ac:dyDescent="0.25">
      <c r="A2729" s="10">
        <v>40764</v>
      </c>
      <c r="B2729" s="12">
        <f t="shared" si="126"/>
        <v>8</v>
      </c>
      <c r="C2729" s="12">
        <f t="shared" si="127"/>
        <v>2011</v>
      </c>
      <c r="E2729" s="13">
        <v>29.5456</v>
      </c>
      <c r="F2729" s="13" t="str">
        <f t="shared" si="128"/>
        <v/>
      </c>
    </row>
    <row r="2730" spans="1:6" x14ac:dyDescent="0.25">
      <c r="A2730" s="10">
        <v>40765</v>
      </c>
      <c r="B2730" s="12">
        <f t="shared" si="126"/>
        <v>8</v>
      </c>
      <c r="C2730" s="12">
        <f t="shared" si="127"/>
        <v>2011</v>
      </c>
      <c r="E2730" s="13">
        <v>29.922599999999999</v>
      </c>
      <c r="F2730" s="13" t="str">
        <f t="shared" si="128"/>
        <v/>
      </c>
    </row>
    <row r="2731" spans="1:6" x14ac:dyDescent="0.25">
      <c r="A2731" s="10">
        <v>40766</v>
      </c>
      <c r="B2731" s="12">
        <f t="shared" si="126"/>
        <v>8</v>
      </c>
      <c r="C2731" s="12">
        <f t="shared" si="127"/>
        <v>2011</v>
      </c>
      <c r="E2731" s="13">
        <v>29.8825</v>
      </c>
      <c r="F2731" s="13" t="str">
        <f t="shared" si="128"/>
        <v/>
      </c>
    </row>
    <row r="2732" spans="1:6" x14ac:dyDescent="0.25">
      <c r="A2732" s="10">
        <v>40767</v>
      </c>
      <c r="B2732" s="12">
        <f t="shared" si="126"/>
        <v>8</v>
      </c>
      <c r="C2732" s="12">
        <f t="shared" si="127"/>
        <v>2011</v>
      </c>
      <c r="E2732" s="13">
        <v>29.196100000000001</v>
      </c>
      <c r="F2732" s="13" t="str">
        <f t="shared" si="128"/>
        <v/>
      </c>
    </row>
    <row r="2733" spans="1:6" x14ac:dyDescent="0.25">
      <c r="A2733" s="10">
        <v>40770</v>
      </c>
      <c r="B2733" s="12">
        <f t="shared" si="126"/>
        <v>8</v>
      </c>
      <c r="C2733" s="12">
        <f t="shared" si="127"/>
        <v>2011</v>
      </c>
      <c r="E2733" s="13">
        <v>28.634</v>
      </c>
      <c r="F2733" s="13" t="str">
        <f t="shared" si="128"/>
        <v/>
      </c>
    </row>
    <row r="2734" spans="1:6" x14ac:dyDescent="0.25">
      <c r="A2734" s="10">
        <v>40771</v>
      </c>
      <c r="B2734" s="12">
        <f t="shared" si="126"/>
        <v>8</v>
      </c>
      <c r="C2734" s="12">
        <f t="shared" si="127"/>
        <v>2011</v>
      </c>
      <c r="E2734" s="13">
        <v>28.674499999999998</v>
      </c>
      <c r="F2734" s="13" t="str">
        <f t="shared" si="128"/>
        <v/>
      </c>
    </row>
    <row r="2735" spans="1:6" x14ac:dyDescent="0.25">
      <c r="A2735" s="10">
        <v>40772</v>
      </c>
      <c r="B2735" s="12">
        <f t="shared" si="126"/>
        <v>8</v>
      </c>
      <c r="C2735" s="12">
        <f t="shared" si="127"/>
        <v>2011</v>
      </c>
      <c r="E2735" s="13">
        <v>28.75</v>
      </c>
      <c r="F2735" s="13" t="str">
        <f t="shared" si="128"/>
        <v/>
      </c>
    </row>
    <row r="2736" spans="1:6" x14ac:dyDescent="0.25">
      <c r="A2736" s="10">
        <v>40773</v>
      </c>
      <c r="B2736" s="12">
        <f t="shared" si="126"/>
        <v>8</v>
      </c>
      <c r="C2736" s="12">
        <f t="shared" si="127"/>
        <v>2011</v>
      </c>
      <c r="E2736" s="13">
        <v>29.106000000000002</v>
      </c>
      <c r="F2736" s="13" t="str">
        <f t="shared" si="128"/>
        <v/>
      </c>
    </row>
    <row r="2737" spans="1:6" x14ac:dyDescent="0.25">
      <c r="A2737" s="10">
        <v>40774</v>
      </c>
      <c r="B2737" s="12">
        <f t="shared" si="126"/>
        <v>8</v>
      </c>
      <c r="C2737" s="12">
        <f t="shared" si="127"/>
        <v>2011</v>
      </c>
      <c r="E2737" s="13">
        <v>29.2026</v>
      </c>
      <c r="F2737" s="13" t="str">
        <f t="shared" si="128"/>
        <v/>
      </c>
    </row>
    <row r="2738" spans="1:6" x14ac:dyDescent="0.25">
      <c r="A2738" s="10">
        <v>40777</v>
      </c>
      <c r="B2738" s="12">
        <f t="shared" si="126"/>
        <v>8</v>
      </c>
      <c r="C2738" s="12">
        <f t="shared" si="127"/>
        <v>2011</v>
      </c>
      <c r="E2738" s="13">
        <v>29.058</v>
      </c>
      <c r="F2738" s="13" t="str">
        <f t="shared" si="128"/>
        <v/>
      </c>
    </row>
    <row r="2739" spans="1:6" x14ac:dyDescent="0.25">
      <c r="A2739" s="10">
        <v>40778</v>
      </c>
      <c r="B2739" s="12">
        <f t="shared" si="126"/>
        <v>8</v>
      </c>
      <c r="C2739" s="12">
        <f t="shared" si="127"/>
        <v>2011</v>
      </c>
      <c r="E2739" s="13">
        <v>28.962700000000002</v>
      </c>
      <c r="F2739" s="13" t="str">
        <f t="shared" si="128"/>
        <v/>
      </c>
    </row>
    <row r="2740" spans="1:6" x14ac:dyDescent="0.25">
      <c r="A2740" s="10">
        <v>40779</v>
      </c>
      <c r="B2740" s="12">
        <f t="shared" si="126"/>
        <v>8</v>
      </c>
      <c r="C2740" s="12">
        <f t="shared" si="127"/>
        <v>2011</v>
      </c>
      <c r="E2740" s="13">
        <v>28.922999999999998</v>
      </c>
      <c r="F2740" s="13" t="str">
        <f t="shared" si="128"/>
        <v/>
      </c>
    </row>
    <row r="2741" spans="1:6" x14ac:dyDescent="0.25">
      <c r="A2741" s="10">
        <v>40780</v>
      </c>
      <c r="B2741" s="12">
        <f t="shared" si="126"/>
        <v>8</v>
      </c>
      <c r="C2741" s="12">
        <f t="shared" si="127"/>
        <v>2011</v>
      </c>
      <c r="E2741" s="13">
        <v>29.079000000000001</v>
      </c>
      <c r="F2741" s="13" t="str">
        <f t="shared" si="128"/>
        <v/>
      </c>
    </row>
    <row r="2742" spans="1:6" x14ac:dyDescent="0.25">
      <c r="A2742" s="10">
        <v>40781</v>
      </c>
      <c r="B2742" s="12">
        <f t="shared" si="126"/>
        <v>8</v>
      </c>
      <c r="C2742" s="12">
        <f t="shared" si="127"/>
        <v>2011</v>
      </c>
      <c r="E2742" s="13">
        <v>28.7988</v>
      </c>
      <c r="F2742" s="13" t="str">
        <f t="shared" si="128"/>
        <v/>
      </c>
    </row>
    <row r="2743" spans="1:6" x14ac:dyDescent="0.25">
      <c r="A2743" s="10">
        <v>40784</v>
      </c>
      <c r="B2743" s="12">
        <f t="shared" si="126"/>
        <v>8</v>
      </c>
      <c r="C2743" s="12">
        <f t="shared" si="127"/>
        <v>2011</v>
      </c>
      <c r="E2743" s="13">
        <v>28.779</v>
      </c>
      <c r="F2743" s="13" t="str">
        <f t="shared" si="128"/>
        <v/>
      </c>
    </row>
    <row r="2744" spans="1:6" x14ac:dyDescent="0.25">
      <c r="A2744" s="10">
        <v>40785</v>
      </c>
      <c r="B2744" s="12">
        <f t="shared" si="126"/>
        <v>8</v>
      </c>
      <c r="C2744" s="12">
        <f t="shared" si="127"/>
        <v>2011</v>
      </c>
      <c r="E2744" s="13">
        <v>28.887</v>
      </c>
      <c r="F2744" s="13" t="str">
        <f t="shared" si="128"/>
        <v/>
      </c>
    </row>
    <row r="2745" spans="1:6" x14ac:dyDescent="0.25">
      <c r="A2745" s="10">
        <v>40786</v>
      </c>
      <c r="B2745" s="12">
        <f t="shared" si="126"/>
        <v>8</v>
      </c>
      <c r="C2745" s="12">
        <f t="shared" si="127"/>
        <v>2011</v>
      </c>
      <c r="E2745" s="13">
        <v>28.827999999999999</v>
      </c>
      <c r="F2745" s="13" t="str">
        <f t="shared" si="128"/>
        <v/>
      </c>
    </row>
    <row r="2746" spans="1:6" x14ac:dyDescent="0.25">
      <c r="A2746" s="10">
        <v>40787</v>
      </c>
      <c r="B2746" s="12">
        <f t="shared" si="126"/>
        <v>9</v>
      </c>
      <c r="C2746" s="12">
        <f t="shared" si="127"/>
        <v>2011</v>
      </c>
      <c r="E2746" s="13">
        <v>28.980599999999999</v>
      </c>
      <c r="F2746" s="13" t="str">
        <f t="shared" si="128"/>
        <v/>
      </c>
    </row>
    <row r="2747" spans="1:6" x14ac:dyDescent="0.25">
      <c r="A2747" s="10">
        <v>40788</v>
      </c>
      <c r="B2747" s="12">
        <f t="shared" si="126"/>
        <v>9</v>
      </c>
      <c r="C2747" s="12">
        <f t="shared" si="127"/>
        <v>2011</v>
      </c>
      <c r="E2747" s="13">
        <v>29.172799999999999</v>
      </c>
      <c r="F2747" s="13" t="str">
        <f t="shared" si="128"/>
        <v/>
      </c>
    </row>
    <row r="2748" spans="1:6" x14ac:dyDescent="0.25">
      <c r="A2748" s="10">
        <v>40792</v>
      </c>
      <c r="B2748" s="12">
        <f t="shared" si="126"/>
        <v>9</v>
      </c>
      <c r="C2748" s="12">
        <f t="shared" si="127"/>
        <v>2011</v>
      </c>
      <c r="D2748" s="13">
        <v>12000</v>
      </c>
      <c r="E2748" s="13">
        <v>29.632999999999999</v>
      </c>
      <c r="F2748" s="13">
        <f t="shared" si="128"/>
        <v>404.9539364897243</v>
      </c>
    </row>
    <row r="2749" spans="1:6" x14ac:dyDescent="0.25">
      <c r="A2749" s="10">
        <v>40793</v>
      </c>
      <c r="B2749" s="12">
        <f t="shared" si="126"/>
        <v>9</v>
      </c>
      <c r="C2749" s="12">
        <f t="shared" si="127"/>
        <v>2011</v>
      </c>
      <c r="D2749" s="13">
        <v>12000</v>
      </c>
      <c r="E2749" s="13">
        <v>29.462499999999999</v>
      </c>
      <c r="F2749" s="13">
        <f t="shared" si="128"/>
        <v>407.29741196436152</v>
      </c>
    </row>
    <row r="2750" spans="1:6" x14ac:dyDescent="0.25">
      <c r="A2750" s="10">
        <v>40794</v>
      </c>
      <c r="B2750" s="12">
        <f t="shared" si="126"/>
        <v>9</v>
      </c>
      <c r="C2750" s="12">
        <f t="shared" si="127"/>
        <v>2011</v>
      </c>
      <c r="D2750" s="13">
        <v>12000</v>
      </c>
      <c r="E2750" s="13">
        <v>29.694500000000001</v>
      </c>
      <c r="F2750" s="13">
        <f t="shared" si="128"/>
        <v>404.11524019599585</v>
      </c>
    </row>
    <row r="2751" spans="1:6" x14ac:dyDescent="0.25">
      <c r="A2751" s="10">
        <v>40795</v>
      </c>
      <c r="B2751" s="12">
        <f t="shared" si="126"/>
        <v>9</v>
      </c>
      <c r="C2751" s="12">
        <f t="shared" si="127"/>
        <v>2011</v>
      </c>
      <c r="D2751" s="13">
        <v>12000</v>
      </c>
      <c r="E2751" s="13">
        <v>30.162500000000001</v>
      </c>
      <c r="F2751" s="13">
        <f t="shared" si="128"/>
        <v>397.84500621632822</v>
      </c>
    </row>
    <row r="2752" spans="1:6" x14ac:dyDescent="0.25">
      <c r="A2752" s="10">
        <v>40798</v>
      </c>
      <c r="B2752" s="12">
        <f t="shared" si="126"/>
        <v>9</v>
      </c>
      <c r="C2752" s="12">
        <f t="shared" si="127"/>
        <v>2011</v>
      </c>
      <c r="D2752" s="13">
        <v>12000</v>
      </c>
      <c r="E2752" s="13">
        <v>30.2425</v>
      </c>
      <c r="F2752" s="13">
        <f t="shared" si="128"/>
        <v>396.79259320492685</v>
      </c>
    </row>
    <row r="2753" spans="1:6" x14ac:dyDescent="0.25">
      <c r="A2753" s="10">
        <v>40799</v>
      </c>
      <c r="B2753" s="12">
        <f t="shared" si="126"/>
        <v>9</v>
      </c>
      <c r="C2753" s="12">
        <f t="shared" si="127"/>
        <v>2011</v>
      </c>
      <c r="D2753" s="13">
        <v>12000</v>
      </c>
      <c r="E2753" s="13">
        <v>30.184999999999999</v>
      </c>
      <c r="F2753" s="13">
        <f t="shared" si="128"/>
        <v>397.54845121749213</v>
      </c>
    </row>
    <row r="2754" spans="1:6" x14ac:dyDescent="0.25">
      <c r="A2754" s="10">
        <v>40800</v>
      </c>
      <c r="B2754" s="12">
        <f t="shared" si="126"/>
        <v>9</v>
      </c>
      <c r="C2754" s="12">
        <f t="shared" si="127"/>
        <v>2011</v>
      </c>
      <c r="D2754" s="13">
        <v>12000</v>
      </c>
      <c r="E2754" s="13">
        <v>30.431999999999999</v>
      </c>
      <c r="F2754" s="13">
        <f t="shared" si="128"/>
        <v>394.32176656151421</v>
      </c>
    </row>
    <row r="2755" spans="1:6" x14ac:dyDescent="0.25">
      <c r="A2755" s="10">
        <v>40801</v>
      </c>
      <c r="B2755" s="12">
        <f t="shared" ref="B2755:B2818" si="129">MONTH(A2755)</f>
        <v>9</v>
      </c>
      <c r="C2755" s="12">
        <f t="shared" ref="C2755:C2818" si="130">YEAR(A2755)</f>
        <v>2011</v>
      </c>
      <c r="D2755" s="13">
        <v>12000</v>
      </c>
      <c r="E2755" s="13">
        <v>30.404</v>
      </c>
      <c r="F2755" s="13">
        <f t="shared" ref="F2755:F2818" si="131">IF(D2755="","",D2755/E2755)</f>
        <v>394.68490988027889</v>
      </c>
    </row>
    <row r="2756" spans="1:6" x14ac:dyDescent="0.25">
      <c r="A2756" s="10">
        <v>40802</v>
      </c>
      <c r="B2756" s="12">
        <f t="shared" si="129"/>
        <v>9</v>
      </c>
      <c r="C2756" s="12">
        <f t="shared" si="130"/>
        <v>2011</v>
      </c>
      <c r="D2756" s="13">
        <v>12000</v>
      </c>
      <c r="E2756" s="13">
        <v>30.547999999999998</v>
      </c>
      <c r="F2756" s="13">
        <f t="shared" si="131"/>
        <v>392.82440748985204</v>
      </c>
    </row>
    <row r="2757" spans="1:6" x14ac:dyDescent="0.25">
      <c r="A2757" s="10">
        <v>40805</v>
      </c>
      <c r="B2757" s="12">
        <f t="shared" si="129"/>
        <v>9</v>
      </c>
      <c r="C2757" s="12">
        <f t="shared" si="130"/>
        <v>2011</v>
      </c>
      <c r="D2757" s="13">
        <v>12500</v>
      </c>
      <c r="E2757" s="13">
        <v>31.277000000000001</v>
      </c>
      <c r="F2757" s="13">
        <f t="shared" si="131"/>
        <v>399.65469834063367</v>
      </c>
    </row>
    <row r="2758" spans="1:6" x14ac:dyDescent="0.25">
      <c r="A2758" s="10">
        <v>40806</v>
      </c>
      <c r="B2758" s="12">
        <f t="shared" si="129"/>
        <v>9</v>
      </c>
      <c r="C2758" s="12">
        <f t="shared" si="130"/>
        <v>2011</v>
      </c>
      <c r="D2758" s="13">
        <v>12500</v>
      </c>
      <c r="E2758" s="13">
        <v>31.396999999999998</v>
      </c>
      <c r="F2758" s="13">
        <f t="shared" si="131"/>
        <v>398.12720960601331</v>
      </c>
    </row>
    <row r="2759" spans="1:6" x14ac:dyDescent="0.25">
      <c r="A2759" s="10">
        <v>40807</v>
      </c>
      <c r="B2759" s="12">
        <f t="shared" si="129"/>
        <v>9</v>
      </c>
      <c r="C2759" s="12">
        <f t="shared" si="130"/>
        <v>2011</v>
      </c>
      <c r="D2759" s="13">
        <v>12500</v>
      </c>
      <c r="E2759" s="13">
        <v>31.440999999999999</v>
      </c>
      <c r="F2759" s="13">
        <f t="shared" si="131"/>
        <v>397.57005184313476</v>
      </c>
    </row>
    <row r="2760" spans="1:6" x14ac:dyDescent="0.25">
      <c r="A2760" s="10">
        <v>40808</v>
      </c>
      <c r="B2760" s="12">
        <f t="shared" si="129"/>
        <v>9</v>
      </c>
      <c r="C2760" s="12">
        <f t="shared" si="130"/>
        <v>2011</v>
      </c>
      <c r="D2760" s="13">
        <v>12500</v>
      </c>
      <c r="E2760" s="13">
        <v>32.139000000000003</v>
      </c>
      <c r="F2760" s="13">
        <f t="shared" si="131"/>
        <v>388.93556115622761</v>
      </c>
    </row>
    <row r="2761" spans="1:6" x14ac:dyDescent="0.25">
      <c r="A2761" s="10">
        <v>40809</v>
      </c>
      <c r="B2761" s="12">
        <f t="shared" si="129"/>
        <v>9</v>
      </c>
      <c r="C2761" s="12">
        <f t="shared" si="130"/>
        <v>2011</v>
      </c>
      <c r="D2761" s="13">
        <v>12500</v>
      </c>
      <c r="E2761" s="13">
        <v>32.101500000000001</v>
      </c>
      <c r="F2761" s="13">
        <f t="shared" si="131"/>
        <v>389.38990389857167</v>
      </c>
    </row>
    <row r="2762" spans="1:6" x14ac:dyDescent="0.25">
      <c r="A2762" s="10">
        <v>40812</v>
      </c>
      <c r="B2762" s="12">
        <f t="shared" si="129"/>
        <v>9</v>
      </c>
      <c r="C2762" s="12">
        <f t="shared" si="130"/>
        <v>2011</v>
      </c>
      <c r="D2762" s="13">
        <v>12250</v>
      </c>
      <c r="E2762" s="13">
        <v>32.326999999999998</v>
      </c>
      <c r="F2762" s="13">
        <f t="shared" si="131"/>
        <v>378.94020478238008</v>
      </c>
    </row>
    <row r="2763" spans="1:6" x14ac:dyDescent="0.25">
      <c r="A2763" s="10">
        <v>40813</v>
      </c>
      <c r="B2763" s="12">
        <f t="shared" si="129"/>
        <v>9</v>
      </c>
      <c r="C2763" s="12">
        <f t="shared" si="130"/>
        <v>2011</v>
      </c>
      <c r="D2763" s="13">
        <v>12250</v>
      </c>
      <c r="E2763" s="13">
        <v>31.733499999999999</v>
      </c>
      <c r="F2763" s="13">
        <f t="shared" si="131"/>
        <v>386.02738430995635</v>
      </c>
    </row>
    <row r="2764" spans="1:6" x14ac:dyDescent="0.25">
      <c r="A2764" s="10">
        <v>40814</v>
      </c>
      <c r="B2764" s="12">
        <f t="shared" si="129"/>
        <v>9</v>
      </c>
      <c r="C2764" s="12">
        <f t="shared" si="130"/>
        <v>2011</v>
      </c>
      <c r="D2764" s="13">
        <v>12250</v>
      </c>
      <c r="E2764" s="13">
        <v>31.781500000000001</v>
      </c>
      <c r="F2764" s="13">
        <f t="shared" si="131"/>
        <v>385.44436228623567</v>
      </c>
    </row>
    <row r="2765" spans="1:6" x14ac:dyDescent="0.25">
      <c r="A2765" s="10">
        <v>40815</v>
      </c>
      <c r="B2765" s="12">
        <f t="shared" si="129"/>
        <v>9</v>
      </c>
      <c r="C2765" s="12">
        <f t="shared" si="130"/>
        <v>2011</v>
      </c>
      <c r="D2765" s="13">
        <v>12250</v>
      </c>
      <c r="E2765" s="13">
        <v>31.908999999999999</v>
      </c>
      <c r="F2765" s="13">
        <f t="shared" si="131"/>
        <v>383.90422764737224</v>
      </c>
    </row>
    <row r="2766" spans="1:6" x14ac:dyDescent="0.25">
      <c r="A2766" s="10">
        <v>40816</v>
      </c>
      <c r="B2766" s="12">
        <f t="shared" si="129"/>
        <v>9</v>
      </c>
      <c r="C2766" s="12">
        <f t="shared" si="130"/>
        <v>2011</v>
      </c>
      <c r="D2766" s="13">
        <v>12250</v>
      </c>
      <c r="E2766" s="13">
        <v>32.179000000000002</v>
      </c>
      <c r="F2766" s="13">
        <f t="shared" si="131"/>
        <v>380.68305416576027</v>
      </c>
    </row>
    <row r="2767" spans="1:6" x14ac:dyDescent="0.25">
      <c r="A2767" s="10">
        <v>40819</v>
      </c>
      <c r="B2767" s="12">
        <f t="shared" si="129"/>
        <v>10</v>
      </c>
      <c r="C2767" s="12">
        <f t="shared" si="130"/>
        <v>2011</v>
      </c>
      <c r="D2767" s="13">
        <v>12000</v>
      </c>
      <c r="E2767" s="13">
        <v>32.677</v>
      </c>
      <c r="F2767" s="13">
        <f t="shared" si="131"/>
        <v>367.23077393885609</v>
      </c>
    </row>
    <row r="2768" spans="1:6" x14ac:dyDescent="0.25">
      <c r="A2768" s="10">
        <v>40820</v>
      </c>
      <c r="B2768" s="12">
        <f t="shared" si="129"/>
        <v>10</v>
      </c>
      <c r="C2768" s="12">
        <f t="shared" si="130"/>
        <v>2011</v>
      </c>
      <c r="D2768" s="13">
        <v>12000</v>
      </c>
      <c r="E2768" s="13">
        <v>32.627000000000002</v>
      </c>
      <c r="F2768" s="13">
        <f t="shared" si="131"/>
        <v>367.79354522328128</v>
      </c>
    </row>
    <row r="2769" spans="1:6" x14ac:dyDescent="0.25">
      <c r="A2769" s="10">
        <v>40821</v>
      </c>
      <c r="B2769" s="12">
        <f t="shared" si="129"/>
        <v>10</v>
      </c>
      <c r="C2769" s="12">
        <f t="shared" si="130"/>
        <v>2011</v>
      </c>
      <c r="D2769" s="13">
        <v>12000</v>
      </c>
      <c r="E2769" s="13">
        <v>32.493000000000002</v>
      </c>
      <c r="F2769" s="13">
        <f t="shared" si="131"/>
        <v>369.31031299049022</v>
      </c>
    </row>
    <row r="2770" spans="1:6" x14ac:dyDescent="0.25">
      <c r="A2770" s="10">
        <v>40822</v>
      </c>
      <c r="B2770" s="12">
        <f t="shared" si="129"/>
        <v>10</v>
      </c>
      <c r="C2770" s="12">
        <f t="shared" si="130"/>
        <v>2011</v>
      </c>
      <c r="D2770" s="13">
        <v>12000</v>
      </c>
      <c r="E2770" s="13">
        <v>32.306100000000001</v>
      </c>
      <c r="F2770" s="13">
        <f t="shared" si="131"/>
        <v>371.4468784532952</v>
      </c>
    </row>
    <row r="2771" spans="1:6" x14ac:dyDescent="0.25">
      <c r="A2771" s="10">
        <v>40823</v>
      </c>
      <c r="B2771" s="12">
        <f t="shared" si="129"/>
        <v>10</v>
      </c>
      <c r="C2771" s="12">
        <f t="shared" si="130"/>
        <v>2011</v>
      </c>
      <c r="D2771" s="13">
        <v>12000</v>
      </c>
      <c r="E2771" s="13">
        <v>32.128500000000003</v>
      </c>
      <c r="F2771" s="13">
        <f t="shared" si="131"/>
        <v>373.50016340632146</v>
      </c>
    </row>
    <row r="2772" spans="1:6" x14ac:dyDescent="0.25">
      <c r="A2772" s="10">
        <v>40826</v>
      </c>
      <c r="B2772" s="12">
        <f t="shared" si="129"/>
        <v>10</v>
      </c>
      <c r="C2772" s="12">
        <f t="shared" si="130"/>
        <v>2011</v>
      </c>
      <c r="D2772" s="13">
        <v>11500</v>
      </c>
      <c r="E2772" s="13">
        <v>31.518999999999998</v>
      </c>
      <c r="F2772" s="13">
        <f t="shared" si="131"/>
        <v>364.85929122116818</v>
      </c>
    </row>
    <row r="2773" spans="1:6" x14ac:dyDescent="0.25">
      <c r="A2773" s="10">
        <v>40827</v>
      </c>
      <c r="B2773" s="12">
        <f t="shared" si="129"/>
        <v>10</v>
      </c>
      <c r="C2773" s="12">
        <f t="shared" si="130"/>
        <v>2011</v>
      </c>
      <c r="D2773" s="13">
        <v>11500</v>
      </c>
      <c r="E2773" s="13">
        <v>31.526</v>
      </c>
      <c r="F2773" s="13">
        <f t="shared" si="131"/>
        <v>364.77827824652667</v>
      </c>
    </row>
    <row r="2774" spans="1:6" x14ac:dyDescent="0.25">
      <c r="A2774" s="10">
        <v>40828</v>
      </c>
      <c r="B2774" s="12">
        <f t="shared" si="129"/>
        <v>10</v>
      </c>
      <c r="C2774" s="12">
        <f t="shared" si="130"/>
        <v>2011</v>
      </c>
      <c r="D2774" s="13">
        <v>11500</v>
      </c>
      <c r="E2774" s="13">
        <v>31.089500000000001</v>
      </c>
      <c r="F2774" s="13">
        <f t="shared" si="131"/>
        <v>369.89980540053716</v>
      </c>
    </row>
    <row r="2775" spans="1:6" x14ac:dyDescent="0.25">
      <c r="A2775" s="10">
        <v>40829</v>
      </c>
      <c r="B2775" s="12">
        <f t="shared" si="129"/>
        <v>10</v>
      </c>
      <c r="C2775" s="12">
        <f t="shared" si="130"/>
        <v>2011</v>
      </c>
      <c r="D2775" s="13">
        <v>11500</v>
      </c>
      <c r="E2775" s="13">
        <v>31.157499999999999</v>
      </c>
      <c r="F2775" s="13">
        <f t="shared" si="131"/>
        <v>369.09251384096927</v>
      </c>
    </row>
    <row r="2776" spans="1:6" x14ac:dyDescent="0.25">
      <c r="A2776" s="10">
        <v>40830</v>
      </c>
      <c r="B2776" s="12">
        <f t="shared" si="129"/>
        <v>10</v>
      </c>
      <c r="C2776" s="12">
        <f t="shared" si="130"/>
        <v>2011</v>
      </c>
      <c r="D2776" s="13">
        <v>11500</v>
      </c>
      <c r="E2776" s="13">
        <v>30.864000000000001</v>
      </c>
      <c r="F2776" s="13">
        <f t="shared" si="131"/>
        <v>372.6023846552618</v>
      </c>
    </row>
    <row r="2777" spans="1:6" x14ac:dyDescent="0.25">
      <c r="A2777" s="10">
        <v>40833</v>
      </c>
      <c r="B2777" s="12">
        <f t="shared" si="129"/>
        <v>10</v>
      </c>
      <c r="C2777" s="12">
        <f t="shared" si="130"/>
        <v>2011</v>
      </c>
      <c r="D2777" s="13">
        <v>10500</v>
      </c>
      <c r="E2777" s="13">
        <v>30.928999999999998</v>
      </c>
      <c r="F2777" s="13">
        <f t="shared" si="131"/>
        <v>339.48721264832358</v>
      </c>
    </row>
    <row r="2778" spans="1:6" x14ac:dyDescent="0.25">
      <c r="A2778" s="10">
        <v>40834</v>
      </c>
      <c r="B2778" s="12">
        <f t="shared" si="129"/>
        <v>10</v>
      </c>
      <c r="C2778" s="12">
        <f t="shared" si="130"/>
        <v>2011</v>
      </c>
      <c r="D2778" s="13">
        <v>10500</v>
      </c>
      <c r="E2778" s="13">
        <v>31.1435</v>
      </c>
      <c r="F2778" s="13">
        <f t="shared" si="131"/>
        <v>337.14900380496732</v>
      </c>
    </row>
    <row r="2779" spans="1:6" x14ac:dyDescent="0.25">
      <c r="A2779" s="10">
        <v>40835</v>
      </c>
      <c r="B2779" s="12">
        <f t="shared" si="129"/>
        <v>10</v>
      </c>
      <c r="C2779" s="12">
        <f t="shared" si="130"/>
        <v>2011</v>
      </c>
      <c r="D2779" s="13">
        <v>10500</v>
      </c>
      <c r="E2779" s="13">
        <v>31.042000000000002</v>
      </c>
      <c r="F2779" s="13">
        <f t="shared" si="131"/>
        <v>338.25140132723408</v>
      </c>
    </row>
    <row r="2780" spans="1:6" x14ac:dyDescent="0.25">
      <c r="A2780" s="10">
        <v>40836</v>
      </c>
      <c r="B2780" s="12">
        <f t="shared" si="129"/>
        <v>10</v>
      </c>
      <c r="C2780" s="12">
        <f t="shared" si="130"/>
        <v>2011</v>
      </c>
      <c r="D2780" s="13">
        <v>10500</v>
      </c>
      <c r="E2780" s="13">
        <v>31.432500000000001</v>
      </c>
      <c r="F2780" s="13">
        <f t="shared" si="131"/>
        <v>334.04915294679074</v>
      </c>
    </row>
    <row r="2781" spans="1:6" x14ac:dyDescent="0.25">
      <c r="A2781" s="10">
        <v>40837</v>
      </c>
      <c r="B2781" s="12">
        <f t="shared" si="129"/>
        <v>10</v>
      </c>
      <c r="C2781" s="12">
        <f t="shared" si="130"/>
        <v>2011</v>
      </c>
      <c r="D2781" s="13">
        <v>10500</v>
      </c>
      <c r="E2781" s="13">
        <v>31.094999999999999</v>
      </c>
      <c r="F2781" s="13">
        <f t="shared" si="131"/>
        <v>337.6748673420164</v>
      </c>
    </row>
    <row r="2782" spans="1:6" x14ac:dyDescent="0.25">
      <c r="A2782" s="10">
        <v>40840</v>
      </c>
      <c r="B2782" s="12">
        <f t="shared" si="129"/>
        <v>10</v>
      </c>
      <c r="C2782" s="12">
        <f t="shared" si="130"/>
        <v>2011</v>
      </c>
      <c r="D2782" s="13">
        <v>10500</v>
      </c>
      <c r="E2782" s="13">
        <v>30.545000000000002</v>
      </c>
      <c r="F2782" s="13">
        <f t="shared" si="131"/>
        <v>343.755115403503</v>
      </c>
    </row>
    <row r="2783" spans="1:6" x14ac:dyDescent="0.25">
      <c r="A2783" s="10">
        <v>40841</v>
      </c>
      <c r="B2783" s="12">
        <f t="shared" si="129"/>
        <v>10</v>
      </c>
      <c r="C2783" s="12">
        <f t="shared" si="130"/>
        <v>2011</v>
      </c>
      <c r="D2783" s="13">
        <v>10500</v>
      </c>
      <c r="E2783" s="13">
        <v>30.529</v>
      </c>
      <c r="F2783" s="13">
        <f t="shared" si="131"/>
        <v>343.93527465688362</v>
      </c>
    </row>
    <row r="2784" spans="1:6" x14ac:dyDescent="0.25">
      <c r="A2784" s="10">
        <v>40842</v>
      </c>
      <c r="B2784" s="12">
        <f t="shared" si="129"/>
        <v>10</v>
      </c>
      <c r="C2784" s="12">
        <f t="shared" si="130"/>
        <v>2011</v>
      </c>
      <c r="D2784" s="13">
        <v>10500</v>
      </c>
      <c r="E2784" s="13">
        <v>30.6035</v>
      </c>
      <c r="F2784" s="13">
        <f t="shared" si="131"/>
        <v>343.09801166533236</v>
      </c>
    </row>
    <row r="2785" spans="1:6" x14ac:dyDescent="0.25">
      <c r="A2785" s="10">
        <v>40843</v>
      </c>
      <c r="B2785" s="12">
        <f t="shared" si="129"/>
        <v>10</v>
      </c>
      <c r="C2785" s="12">
        <f t="shared" si="130"/>
        <v>2011</v>
      </c>
      <c r="D2785" s="13">
        <v>10500</v>
      </c>
      <c r="E2785" s="13">
        <v>29.918500000000002</v>
      </c>
      <c r="F2785" s="13">
        <f t="shared" si="131"/>
        <v>350.95342346708554</v>
      </c>
    </row>
    <row r="2786" spans="1:6" x14ac:dyDescent="0.25">
      <c r="A2786" s="10">
        <v>40844</v>
      </c>
      <c r="B2786" s="12">
        <f t="shared" si="129"/>
        <v>10</v>
      </c>
      <c r="C2786" s="12">
        <f t="shared" si="130"/>
        <v>2011</v>
      </c>
      <c r="D2786" s="13">
        <v>10500</v>
      </c>
      <c r="E2786" s="13">
        <v>29.72</v>
      </c>
      <c r="F2786" s="13">
        <f t="shared" si="131"/>
        <v>353.29744279946163</v>
      </c>
    </row>
    <row r="2787" spans="1:6" x14ac:dyDescent="0.25">
      <c r="A2787" s="10">
        <v>40847</v>
      </c>
      <c r="B2787" s="12">
        <f t="shared" si="129"/>
        <v>10</v>
      </c>
      <c r="C2787" s="12">
        <f t="shared" si="130"/>
        <v>2011</v>
      </c>
      <c r="E2787" s="13">
        <v>30.226500000000001</v>
      </c>
      <c r="F2787" s="13" t="str">
        <f t="shared" si="131"/>
        <v/>
      </c>
    </row>
    <row r="2788" spans="1:6" x14ac:dyDescent="0.25">
      <c r="A2788" s="10">
        <v>40848</v>
      </c>
      <c r="B2788" s="12">
        <f t="shared" si="129"/>
        <v>11</v>
      </c>
      <c r="C2788" s="12">
        <f t="shared" si="130"/>
        <v>2011</v>
      </c>
      <c r="E2788" s="13">
        <v>30.7745</v>
      </c>
      <c r="F2788" s="13" t="str">
        <f t="shared" si="131"/>
        <v/>
      </c>
    </row>
    <row r="2789" spans="1:6" x14ac:dyDescent="0.25">
      <c r="A2789" s="10">
        <v>40849</v>
      </c>
      <c r="B2789" s="12">
        <f t="shared" si="129"/>
        <v>11</v>
      </c>
      <c r="C2789" s="12">
        <f t="shared" si="130"/>
        <v>2011</v>
      </c>
      <c r="E2789" s="13">
        <v>30.613</v>
      </c>
      <c r="F2789" s="13" t="str">
        <f t="shared" si="131"/>
        <v/>
      </c>
    </row>
    <row r="2790" spans="1:6" x14ac:dyDescent="0.25">
      <c r="A2790" s="10">
        <v>40850</v>
      </c>
      <c r="B2790" s="12">
        <f t="shared" si="129"/>
        <v>11</v>
      </c>
      <c r="C2790" s="12">
        <f t="shared" si="130"/>
        <v>2011</v>
      </c>
      <c r="E2790" s="13">
        <v>30.476900000000001</v>
      </c>
      <c r="F2790" s="13" t="str">
        <f t="shared" si="131"/>
        <v/>
      </c>
    </row>
    <row r="2791" spans="1:6" x14ac:dyDescent="0.25">
      <c r="A2791" s="10">
        <v>40851</v>
      </c>
      <c r="B2791" s="12">
        <f t="shared" si="129"/>
        <v>11</v>
      </c>
      <c r="C2791" s="12">
        <f t="shared" si="130"/>
        <v>2011</v>
      </c>
      <c r="E2791" s="13">
        <v>30.5032</v>
      </c>
      <c r="F2791" s="13" t="str">
        <f t="shared" si="131"/>
        <v/>
      </c>
    </row>
    <row r="2792" spans="1:6" x14ac:dyDescent="0.25">
      <c r="A2792" s="10">
        <v>40854</v>
      </c>
      <c r="B2792" s="12">
        <f t="shared" si="129"/>
        <v>11</v>
      </c>
      <c r="C2792" s="12">
        <f t="shared" si="130"/>
        <v>2011</v>
      </c>
      <c r="D2792" s="13">
        <v>10400</v>
      </c>
      <c r="E2792" s="13">
        <v>30.4834</v>
      </c>
      <c r="F2792" s="13">
        <f t="shared" si="131"/>
        <v>341.16929213932832</v>
      </c>
    </row>
    <row r="2793" spans="1:6" x14ac:dyDescent="0.25">
      <c r="A2793" s="10">
        <v>40855</v>
      </c>
      <c r="B2793" s="12">
        <f t="shared" si="129"/>
        <v>11</v>
      </c>
      <c r="C2793" s="12">
        <f t="shared" si="130"/>
        <v>2011</v>
      </c>
      <c r="D2793" s="13">
        <v>10400</v>
      </c>
      <c r="E2793" s="13">
        <v>30.210599999999999</v>
      </c>
      <c r="F2793" s="13">
        <f t="shared" si="131"/>
        <v>344.25003144591636</v>
      </c>
    </row>
    <row r="2794" spans="1:6" x14ac:dyDescent="0.25">
      <c r="A2794" s="10">
        <v>40856</v>
      </c>
      <c r="B2794" s="12">
        <f t="shared" si="129"/>
        <v>11</v>
      </c>
      <c r="C2794" s="12">
        <f t="shared" si="130"/>
        <v>2011</v>
      </c>
      <c r="D2794" s="13">
        <v>10400</v>
      </c>
      <c r="E2794" s="13">
        <v>30.612400000000001</v>
      </c>
      <c r="F2794" s="13">
        <f t="shared" si="131"/>
        <v>339.73161202649908</v>
      </c>
    </row>
    <row r="2795" spans="1:6" x14ac:dyDescent="0.25">
      <c r="A2795" s="10">
        <v>40857</v>
      </c>
      <c r="B2795" s="12">
        <f t="shared" si="129"/>
        <v>11</v>
      </c>
      <c r="C2795" s="12">
        <f t="shared" si="130"/>
        <v>2011</v>
      </c>
      <c r="D2795" s="13">
        <v>10400</v>
      </c>
      <c r="E2795" s="13">
        <v>30.533999999999999</v>
      </c>
      <c r="F2795" s="13">
        <f t="shared" si="131"/>
        <v>340.60391694504489</v>
      </c>
    </row>
    <row r="2796" spans="1:6" x14ac:dyDescent="0.25">
      <c r="A2796" s="10">
        <v>40858</v>
      </c>
      <c r="B2796" s="12">
        <f t="shared" si="129"/>
        <v>11</v>
      </c>
      <c r="C2796" s="12">
        <f t="shared" si="130"/>
        <v>2011</v>
      </c>
      <c r="D2796" s="13">
        <v>10400</v>
      </c>
      <c r="E2796" s="13">
        <v>30.364000000000001</v>
      </c>
      <c r="F2796" s="13">
        <f t="shared" si="131"/>
        <v>342.51086813331574</v>
      </c>
    </row>
    <row r="2797" spans="1:6" x14ac:dyDescent="0.25">
      <c r="A2797" s="10">
        <v>40861</v>
      </c>
      <c r="B2797" s="12">
        <f t="shared" si="129"/>
        <v>11</v>
      </c>
      <c r="C2797" s="12">
        <f t="shared" si="130"/>
        <v>2011</v>
      </c>
      <c r="D2797" s="13">
        <v>10400</v>
      </c>
      <c r="E2797" s="13">
        <v>30.5488</v>
      </c>
      <c r="F2797" s="13">
        <f t="shared" si="131"/>
        <v>340.43890431048027</v>
      </c>
    </row>
    <row r="2798" spans="1:6" x14ac:dyDescent="0.25">
      <c r="A2798" s="10">
        <v>40862</v>
      </c>
      <c r="B2798" s="12">
        <f t="shared" si="129"/>
        <v>11</v>
      </c>
      <c r="C2798" s="12">
        <f t="shared" si="130"/>
        <v>2011</v>
      </c>
      <c r="D2798" s="13">
        <v>10400</v>
      </c>
      <c r="E2798" s="13">
        <v>30.6541</v>
      </c>
      <c r="F2798" s="13">
        <f t="shared" si="131"/>
        <v>339.26946150759608</v>
      </c>
    </row>
    <row r="2799" spans="1:6" x14ac:dyDescent="0.25">
      <c r="A2799" s="10">
        <v>40863</v>
      </c>
      <c r="B2799" s="12">
        <f t="shared" si="129"/>
        <v>11</v>
      </c>
      <c r="C2799" s="12">
        <f t="shared" si="130"/>
        <v>2011</v>
      </c>
      <c r="D2799" s="13">
        <v>10400</v>
      </c>
      <c r="E2799" s="13">
        <v>30.706</v>
      </c>
      <c r="F2799" s="13">
        <f t="shared" si="131"/>
        <v>338.69602032176124</v>
      </c>
    </row>
    <row r="2800" spans="1:6" x14ac:dyDescent="0.25">
      <c r="A2800" s="10">
        <v>40864</v>
      </c>
      <c r="B2800" s="12">
        <f t="shared" si="129"/>
        <v>11</v>
      </c>
      <c r="C2800" s="12">
        <f t="shared" si="130"/>
        <v>2011</v>
      </c>
      <c r="D2800" s="13">
        <v>10400</v>
      </c>
      <c r="E2800" s="13">
        <v>30.904</v>
      </c>
      <c r="F2800" s="13">
        <f t="shared" si="131"/>
        <v>336.52601604970232</v>
      </c>
    </row>
    <row r="2801" spans="1:6" x14ac:dyDescent="0.25">
      <c r="A2801" s="10">
        <v>40865</v>
      </c>
      <c r="B2801" s="12">
        <f t="shared" si="129"/>
        <v>11</v>
      </c>
      <c r="C2801" s="12">
        <f t="shared" si="130"/>
        <v>2011</v>
      </c>
      <c r="D2801" s="13">
        <v>10400</v>
      </c>
      <c r="E2801" s="13">
        <v>30.864100000000001</v>
      </c>
      <c r="F2801" s="13">
        <f t="shared" si="131"/>
        <v>336.96106479696476</v>
      </c>
    </row>
    <row r="2802" spans="1:6" x14ac:dyDescent="0.25">
      <c r="A2802" s="10">
        <v>40868</v>
      </c>
      <c r="B2802" s="12">
        <f t="shared" si="129"/>
        <v>11</v>
      </c>
      <c r="C2802" s="12">
        <f t="shared" si="130"/>
        <v>2011</v>
      </c>
      <c r="D2802" s="13">
        <v>10600</v>
      </c>
      <c r="E2802" s="13">
        <v>31.158100000000001</v>
      </c>
      <c r="F2802" s="13">
        <f t="shared" si="131"/>
        <v>340.20046151722988</v>
      </c>
    </row>
    <row r="2803" spans="1:6" x14ac:dyDescent="0.25">
      <c r="A2803" s="10">
        <v>40869</v>
      </c>
      <c r="B2803" s="12">
        <f t="shared" si="129"/>
        <v>11</v>
      </c>
      <c r="C2803" s="12">
        <f t="shared" si="130"/>
        <v>2011</v>
      </c>
      <c r="D2803" s="13">
        <v>10600</v>
      </c>
      <c r="E2803" s="13">
        <v>31.029</v>
      </c>
      <c r="F2803" s="13">
        <f t="shared" si="131"/>
        <v>341.61590769924908</v>
      </c>
    </row>
    <row r="2804" spans="1:6" x14ac:dyDescent="0.25">
      <c r="A2804" s="10">
        <v>40870</v>
      </c>
      <c r="B2804" s="12">
        <f t="shared" si="129"/>
        <v>11</v>
      </c>
      <c r="C2804" s="12">
        <f t="shared" si="130"/>
        <v>2011</v>
      </c>
      <c r="D2804" s="13">
        <v>10600</v>
      </c>
      <c r="E2804" s="13">
        <v>31.503399999999999</v>
      </c>
      <c r="F2804" s="13">
        <f t="shared" si="131"/>
        <v>336.47161893636877</v>
      </c>
    </row>
    <row r="2805" spans="1:6" x14ac:dyDescent="0.25">
      <c r="A2805" s="10">
        <v>40872</v>
      </c>
      <c r="B2805" s="12">
        <f t="shared" si="129"/>
        <v>11</v>
      </c>
      <c r="C2805" s="12">
        <f t="shared" si="130"/>
        <v>2011</v>
      </c>
      <c r="D2805" s="13">
        <v>10600</v>
      </c>
      <c r="E2805" s="13">
        <v>31.524000000000001</v>
      </c>
      <c r="F2805" s="13">
        <f t="shared" si="131"/>
        <v>336.25174470244895</v>
      </c>
    </row>
    <row r="2806" spans="1:6" x14ac:dyDescent="0.25">
      <c r="A2806" s="10">
        <v>40875</v>
      </c>
      <c r="B2806" s="12">
        <f t="shared" si="129"/>
        <v>11</v>
      </c>
      <c r="C2806" s="12">
        <f t="shared" si="130"/>
        <v>2011</v>
      </c>
      <c r="D2806" s="13">
        <v>11000</v>
      </c>
      <c r="E2806" s="13">
        <v>31.372699999999998</v>
      </c>
      <c r="F2806" s="13">
        <f t="shared" si="131"/>
        <v>350.62331262530802</v>
      </c>
    </row>
    <row r="2807" spans="1:6" x14ac:dyDescent="0.25">
      <c r="A2807" s="10">
        <v>40876</v>
      </c>
      <c r="B2807" s="12">
        <f t="shared" si="129"/>
        <v>11</v>
      </c>
      <c r="C2807" s="12">
        <f t="shared" si="130"/>
        <v>2011</v>
      </c>
      <c r="D2807" s="13">
        <v>11000</v>
      </c>
      <c r="E2807" s="13">
        <v>31.287500000000001</v>
      </c>
      <c r="F2807" s="13">
        <f t="shared" si="131"/>
        <v>351.57810627247301</v>
      </c>
    </row>
    <row r="2808" spans="1:6" x14ac:dyDescent="0.25">
      <c r="A2808" s="10">
        <v>40877</v>
      </c>
      <c r="B2808" s="12">
        <f t="shared" si="129"/>
        <v>11</v>
      </c>
      <c r="C2808" s="12">
        <f t="shared" si="130"/>
        <v>2011</v>
      </c>
      <c r="D2808" s="13">
        <v>11000</v>
      </c>
      <c r="E2808" s="13">
        <v>30.722000000000001</v>
      </c>
      <c r="F2808" s="13">
        <f t="shared" si="131"/>
        <v>358.04960614543324</v>
      </c>
    </row>
    <row r="2809" spans="1:6" x14ac:dyDescent="0.25">
      <c r="A2809" s="10">
        <v>40878</v>
      </c>
      <c r="B2809" s="12">
        <f t="shared" si="129"/>
        <v>12</v>
      </c>
      <c r="C2809" s="12">
        <f t="shared" si="130"/>
        <v>2011</v>
      </c>
      <c r="D2809" s="13">
        <v>11000</v>
      </c>
      <c r="E2809" s="13">
        <v>30.748699999999999</v>
      </c>
      <c r="F2809" s="13">
        <f t="shared" si="131"/>
        <v>357.73870114834125</v>
      </c>
    </row>
    <row r="2810" spans="1:6" x14ac:dyDescent="0.25">
      <c r="A2810" s="10">
        <v>40879</v>
      </c>
      <c r="B2810" s="12">
        <f t="shared" si="129"/>
        <v>12</v>
      </c>
      <c r="C2810" s="12">
        <f t="shared" si="130"/>
        <v>2011</v>
      </c>
      <c r="D2810" s="13">
        <v>11000</v>
      </c>
      <c r="E2810" s="13">
        <v>30.944199999999999</v>
      </c>
      <c r="F2810" s="13">
        <f t="shared" si="131"/>
        <v>355.47857110540912</v>
      </c>
    </row>
    <row r="2811" spans="1:6" x14ac:dyDescent="0.25">
      <c r="A2811" s="10">
        <v>40882</v>
      </c>
      <c r="B2811" s="12">
        <f t="shared" si="129"/>
        <v>12</v>
      </c>
      <c r="C2811" s="12">
        <f t="shared" si="130"/>
        <v>2011</v>
      </c>
      <c r="D2811" s="13">
        <v>11250</v>
      </c>
      <c r="E2811" s="13">
        <v>30.89</v>
      </c>
      <c r="F2811" s="13">
        <f t="shared" si="131"/>
        <v>364.19553253480092</v>
      </c>
    </row>
    <row r="2812" spans="1:6" x14ac:dyDescent="0.25">
      <c r="A2812" s="10">
        <v>40883</v>
      </c>
      <c r="B2812" s="12">
        <f t="shared" si="129"/>
        <v>12</v>
      </c>
      <c r="C2812" s="12">
        <f t="shared" si="130"/>
        <v>2011</v>
      </c>
      <c r="D2812" s="13">
        <v>11250</v>
      </c>
      <c r="E2812" s="13">
        <v>31.324999999999999</v>
      </c>
      <c r="F2812" s="13">
        <f t="shared" si="131"/>
        <v>359.13806863527537</v>
      </c>
    </row>
    <row r="2813" spans="1:6" x14ac:dyDescent="0.25">
      <c r="A2813" s="10">
        <v>40884</v>
      </c>
      <c r="B2813" s="12">
        <f t="shared" si="129"/>
        <v>12</v>
      </c>
      <c r="C2813" s="12">
        <f t="shared" si="130"/>
        <v>2011</v>
      </c>
      <c r="D2813" s="13">
        <v>11250</v>
      </c>
      <c r="E2813" s="13">
        <v>31.237200000000001</v>
      </c>
      <c r="F2813" s="13">
        <f t="shared" si="131"/>
        <v>360.14751642272671</v>
      </c>
    </row>
    <row r="2814" spans="1:6" x14ac:dyDescent="0.25">
      <c r="A2814" s="10">
        <v>40885</v>
      </c>
      <c r="B2814" s="12">
        <f t="shared" si="129"/>
        <v>12</v>
      </c>
      <c r="C2814" s="12">
        <f t="shared" si="130"/>
        <v>2011</v>
      </c>
      <c r="D2814" s="13">
        <v>11250</v>
      </c>
      <c r="E2814" s="13">
        <v>31.445</v>
      </c>
      <c r="F2814" s="13">
        <f t="shared" si="131"/>
        <v>357.76753060899983</v>
      </c>
    </row>
    <row r="2815" spans="1:6" x14ac:dyDescent="0.25">
      <c r="A2815" s="10">
        <v>40886</v>
      </c>
      <c r="B2815" s="12">
        <f t="shared" si="129"/>
        <v>12</v>
      </c>
      <c r="C2815" s="12">
        <f t="shared" si="130"/>
        <v>2011</v>
      </c>
      <c r="D2815" s="13">
        <v>11250</v>
      </c>
      <c r="E2815" s="13">
        <v>31.463200000000001</v>
      </c>
      <c r="F2815" s="13">
        <f t="shared" si="131"/>
        <v>357.56057870782377</v>
      </c>
    </row>
    <row r="2816" spans="1:6" x14ac:dyDescent="0.25">
      <c r="A2816" s="10">
        <v>40889</v>
      </c>
      <c r="B2816" s="12">
        <f t="shared" si="129"/>
        <v>12</v>
      </c>
      <c r="C2816" s="12">
        <f t="shared" si="130"/>
        <v>2011</v>
      </c>
      <c r="D2816" s="13">
        <v>11750</v>
      </c>
      <c r="E2816" s="13">
        <v>31.648</v>
      </c>
      <c r="F2816" s="13">
        <f t="shared" si="131"/>
        <v>371.27148634984832</v>
      </c>
    </row>
    <row r="2817" spans="1:6" x14ac:dyDescent="0.25">
      <c r="A2817" s="10">
        <v>40890</v>
      </c>
      <c r="B2817" s="12">
        <f t="shared" si="129"/>
        <v>12</v>
      </c>
      <c r="C2817" s="12">
        <f t="shared" si="130"/>
        <v>2011</v>
      </c>
      <c r="D2817" s="13">
        <v>11750</v>
      </c>
      <c r="E2817" s="13">
        <v>31.768999999999998</v>
      </c>
      <c r="F2817" s="13">
        <f t="shared" si="131"/>
        <v>369.85740816519251</v>
      </c>
    </row>
    <row r="2818" spans="1:6" x14ac:dyDescent="0.25">
      <c r="A2818" s="10">
        <v>40891</v>
      </c>
      <c r="B2818" s="12">
        <f t="shared" si="129"/>
        <v>12</v>
      </c>
      <c r="C2818" s="12">
        <f t="shared" si="130"/>
        <v>2011</v>
      </c>
      <c r="D2818" s="13">
        <v>11750</v>
      </c>
      <c r="E2818" s="13">
        <v>31.8857</v>
      </c>
      <c r="F2818" s="13">
        <f t="shared" si="131"/>
        <v>368.50374932963678</v>
      </c>
    </row>
    <row r="2819" spans="1:6" x14ac:dyDescent="0.25">
      <c r="A2819" s="10">
        <v>40892</v>
      </c>
      <c r="B2819" s="12">
        <f t="shared" ref="B2819:B2882" si="132">MONTH(A2819)</f>
        <v>12</v>
      </c>
      <c r="C2819" s="12">
        <f t="shared" ref="C2819:C2882" si="133">YEAR(A2819)</f>
        <v>2011</v>
      </c>
      <c r="D2819" s="13">
        <v>11750</v>
      </c>
      <c r="E2819" s="13">
        <v>31.802499999999998</v>
      </c>
      <c r="F2819" s="13">
        <f t="shared" ref="F2819:F2882" si="134">IF(D2819="","",D2819/E2819)</f>
        <v>369.46780913450203</v>
      </c>
    </row>
    <row r="2820" spans="1:6" x14ac:dyDescent="0.25">
      <c r="A2820" s="10">
        <v>40893</v>
      </c>
      <c r="B2820" s="12">
        <f t="shared" si="132"/>
        <v>12</v>
      </c>
      <c r="C2820" s="12">
        <f t="shared" si="133"/>
        <v>2011</v>
      </c>
      <c r="D2820" s="13">
        <v>11750</v>
      </c>
      <c r="E2820" s="13">
        <v>32.004399999999997</v>
      </c>
      <c r="F2820" s="13">
        <f t="shared" si="134"/>
        <v>367.13701865993431</v>
      </c>
    </row>
    <row r="2821" spans="1:6" x14ac:dyDescent="0.25">
      <c r="A2821" s="10">
        <v>40896</v>
      </c>
      <c r="B2821" s="12">
        <f t="shared" si="132"/>
        <v>12</v>
      </c>
      <c r="C2821" s="12">
        <f t="shared" si="133"/>
        <v>2011</v>
      </c>
      <c r="D2821" s="13">
        <v>12000</v>
      </c>
      <c r="E2821" s="13">
        <v>32.110900000000001</v>
      </c>
      <c r="F2821" s="13">
        <f t="shared" si="134"/>
        <v>373.70487902861646</v>
      </c>
    </row>
    <row r="2822" spans="1:6" x14ac:dyDescent="0.25">
      <c r="A2822" s="10">
        <v>40897</v>
      </c>
      <c r="B2822" s="12">
        <f t="shared" si="132"/>
        <v>12</v>
      </c>
      <c r="C2822" s="12">
        <f t="shared" si="133"/>
        <v>2011</v>
      </c>
      <c r="D2822" s="13">
        <v>12000</v>
      </c>
      <c r="E2822" s="13">
        <v>31.956499999999998</v>
      </c>
      <c r="F2822" s="13">
        <f t="shared" si="134"/>
        <v>375.51045953092489</v>
      </c>
    </row>
    <row r="2823" spans="1:6" x14ac:dyDescent="0.25">
      <c r="A2823" s="10">
        <v>40898</v>
      </c>
      <c r="B2823" s="12">
        <f t="shared" si="132"/>
        <v>12</v>
      </c>
      <c r="C2823" s="12">
        <f t="shared" si="133"/>
        <v>2011</v>
      </c>
      <c r="D2823" s="13">
        <v>12000</v>
      </c>
      <c r="E2823" s="13">
        <v>31.723099999999999</v>
      </c>
      <c r="F2823" s="13">
        <f t="shared" si="134"/>
        <v>378.27324567901627</v>
      </c>
    </row>
    <row r="2824" spans="1:6" x14ac:dyDescent="0.25">
      <c r="A2824" s="10">
        <v>40899</v>
      </c>
      <c r="B2824" s="12">
        <f t="shared" si="132"/>
        <v>12</v>
      </c>
      <c r="C2824" s="12">
        <f t="shared" si="133"/>
        <v>2011</v>
      </c>
      <c r="D2824" s="13">
        <v>12000</v>
      </c>
      <c r="E2824" s="13">
        <v>31.39</v>
      </c>
      <c r="F2824" s="13">
        <f t="shared" si="134"/>
        <v>382.28735266008283</v>
      </c>
    </row>
    <row r="2825" spans="1:6" x14ac:dyDescent="0.25">
      <c r="A2825" s="10">
        <v>40900</v>
      </c>
      <c r="B2825" s="12">
        <f t="shared" si="132"/>
        <v>12</v>
      </c>
      <c r="C2825" s="12">
        <f t="shared" si="133"/>
        <v>2011</v>
      </c>
      <c r="D2825" s="13">
        <v>12000</v>
      </c>
      <c r="E2825" s="13">
        <v>31.189</v>
      </c>
      <c r="F2825" s="13">
        <f t="shared" si="134"/>
        <v>384.75103401840391</v>
      </c>
    </row>
    <row r="2826" spans="1:6" x14ac:dyDescent="0.25">
      <c r="A2826" s="10">
        <v>40904</v>
      </c>
      <c r="B2826" s="12">
        <f t="shared" si="132"/>
        <v>12</v>
      </c>
      <c r="C2826" s="12">
        <f t="shared" si="133"/>
        <v>2011</v>
      </c>
      <c r="E2826" s="13">
        <v>31.364000000000001</v>
      </c>
      <c r="F2826" s="13" t="str">
        <f t="shared" si="134"/>
        <v/>
      </c>
    </row>
    <row r="2827" spans="1:6" x14ac:dyDescent="0.25">
      <c r="A2827" s="10">
        <v>40905</v>
      </c>
      <c r="B2827" s="12">
        <f t="shared" si="132"/>
        <v>12</v>
      </c>
      <c r="C2827" s="12">
        <f t="shared" si="133"/>
        <v>2011</v>
      </c>
      <c r="E2827" s="13">
        <v>31.81</v>
      </c>
      <c r="F2827" s="13" t="str">
        <f t="shared" si="134"/>
        <v/>
      </c>
    </row>
    <row r="2828" spans="1:6" x14ac:dyDescent="0.25">
      <c r="A2828" s="10">
        <v>40906</v>
      </c>
      <c r="B2828" s="12">
        <f t="shared" si="132"/>
        <v>12</v>
      </c>
      <c r="C2828" s="12">
        <f t="shared" si="133"/>
        <v>2011</v>
      </c>
      <c r="E2828" s="13">
        <v>32.103999999999999</v>
      </c>
      <c r="F2828" s="13" t="str">
        <f t="shared" si="134"/>
        <v/>
      </c>
    </row>
    <row r="2829" spans="1:6" x14ac:dyDescent="0.25">
      <c r="A2829" s="10">
        <v>40907</v>
      </c>
      <c r="B2829" s="12">
        <f t="shared" si="132"/>
        <v>12</v>
      </c>
      <c r="C2829" s="12">
        <f t="shared" si="133"/>
        <v>2011</v>
      </c>
      <c r="E2829" s="13">
        <v>32.194000000000003</v>
      </c>
      <c r="F2829" s="13" t="str">
        <f t="shared" si="134"/>
        <v/>
      </c>
    </row>
    <row r="2830" spans="1:6" x14ac:dyDescent="0.25">
      <c r="A2830" s="10">
        <v>40911</v>
      </c>
      <c r="B2830" s="12">
        <f t="shared" si="132"/>
        <v>1</v>
      </c>
      <c r="C2830" s="12">
        <f t="shared" si="133"/>
        <v>2012</v>
      </c>
      <c r="E2830" s="13">
        <v>31.694900000000001</v>
      </c>
      <c r="F2830" s="13" t="str">
        <f t="shared" si="134"/>
        <v/>
      </c>
    </row>
    <row r="2831" spans="1:6" x14ac:dyDescent="0.25">
      <c r="A2831" s="10">
        <v>40912</v>
      </c>
      <c r="B2831" s="12">
        <f t="shared" si="132"/>
        <v>1</v>
      </c>
      <c r="C2831" s="12">
        <f t="shared" si="133"/>
        <v>2012</v>
      </c>
      <c r="E2831" s="13">
        <v>31.8125</v>
      </c>
      <c r="F2831" s="13" t="str">
        <f t="shared" si="134"/>
        <v/>
      </c>
    </row>
    <row r="2832" spans="1:6" x14ac:dyDescent="0.25">
      <c r="A2832" s="10">
        <v>40913</v>
      </c>
      <c r="B2832" s="12">
        <f t="shared" si="132"/>
        <v>1</v>
      </c>
      <c r="C2832" s="12">
        <f t="shared" si="133"/>
        <v>2012</v>
      </c>
      <c r="E2832" s="13">
        <v>32.0366</v>
      </c>
      <c r="F2832" s="13" t="str">
        <f t="shared" si="134"/>
        <v/>
      </c>
    </row>
    <row r="2833" spans="1:6" x14ac:dyDescent="0.25">
      <c r="A2833" s="10">
        <v>40914</v>
      </c>
      <c r="B2833" s="12">
        <f t="shared" si="132"/>
        <v>1</v>
      </c>
      <c r="C2833" s="12">
        <f t="shared" si="133"/>
        <v>2012</v>
      </c>
      <c r="E2833" s="13">
        <v>32.094900000000003</v>
      </c>
      <c r="F2833" s="13" t="str">
        <f t="shared" si="134"/>
        <v/>
      </c>
    </row>
    <row r="2834" spans="1:6" x14ac:dyDescent="0.25">
      <c r="A2834" s="10">
        <v>40917</v>
      </c>
      <c r="B2834" s="12">
        <f t="shared" si="132"/>
        <v>1</v>
      </c>
      <c r="C2834" s="12">
        <f t="shared" si="133"/>
        <v>2012</v>
      </c>
      <c r="D2834" s="13">
        <v>12150</v>
      </c>
      <c r="E2834" s="13">
        <v>31.9</v>
      </c>
      <c r="F2834" s="13">
        <f t="shared" si="134"/>
        <v>380.87774294670851</v>
      </c>
    </row>
    <row r="2835" spans="1:6" x14ac:dyDescent="0.25">
      <c r="A2835" s="10">
        <v>40918</v>
      </c>
      <c r="B2835" s="12">
        <f t="shared" si="132"/>
        <v>1</v>
      </c>
      <c r="C2835" s="12">
        <f t="shared" si="133"/>
        <v>2012</v>
      </c>
      <c r="D2835" s="13">
        <v>12150</v>
      </c>
      <c r="E2835" s="13">
        <v>31.566199999999998</v>
      </c>
      <c r="F2835" s="13">
        <f t="shared" si="134"/>
        <v>384.90537346909036</v>
      </c>
    </row>
    <row r="2836" spans="1:6" x14ac:dyDescent="0.25">
      <c r="A2836" s="10">
        <v>40919</v>
      </c>
      <c r="B2836" s="12">
        <f t="shared" si="132"/>
        <v>1</v>
      </c>
      <c r="C2836" s="12">
        <f t="shared" si="133"/>
        <v>2012</v>
      </c>
      <c r="D2836" s="13">
        <v>12150</v>
      </c>
      <c r="E2836" s="13">
        <v>31.7026</v>
      </c>
      <c r="F2836" s="13">
        <f t="shared" si="134"/>
        <v>383.24932339934264</v>
      </c>
    </row>
    <row r="2837" spans="1:6" x14ac:dyDescent="0.25">
      <c r="A2837" s="10">
        <v>40920</v>
      </c>
      <c r="B2837" s="12">
        <f t="shared" si="132"/>
        <v>1</v>
      </c>
      <c r="C2837" s="12">
        <f t="shared" si="133"/>
        <v>2012</v>
      </c>
      <c r="D2837" s="13">
        <v>12150</v>
      </c>
      <c r="E2837" s="13">
        <v>31.554500000000001</v>
      </c>
      <c r="F2837" s="13">
        <f t="shared" si="134"/>
        <v>385.04809139742349</v>
      </c>
    </row>
    <row r="2838" spans="1:6" x14ac:dyDescent="0.25">
      <c r="A2838" s="10">
        <v>40925</v>
      </c>
      <c r="B2838" s="12">
        <f t="shared" si="132"/>
        <v>1</v>
      </c>
      <c r="C2838" s="12">
        <f t="shared" si="133"/>
        <v>2012</v>
      </c>
      <c r="D2838" s="13">
        <v>12350</v>
      </c>
      <c r="E2838" s="13">
        <v>31.612400000000001</v>
      </c>
      <c r="F2838" s="13">
        <f t="shared" si="134"/>
        <v>390.66948412648202</v>
      </c>
    </row>
    <row r="2839" spans="1:6" x14ac:dyDescent="0.25">
      <c r="A2839" s="10">
        <v>40926</v>
      </c>
      <c r="B2839" s="12">
        <f t="shared" si="132"/>
        <v>1</v>
      </c>
      <c r="C2839" s="12">
        <f t="shared" si="133"/>
        <v>2012</v>
      </c>
      <c r="D2839" s="13">
        <v>12350</v>
      </c>
      <c r="E2839" s="13">
        <v>31.425000000000001</v>
      </c>
      <c r="F2839" s="13">
        <f t="shared" si="134"/>
        <v>392.99920445505171</v>
      </c>
    </row>
    <row r="2840" spans="1:6" x14ac:dyDescent="0.25">
      <c r="A2840" s="10">
        <v>40927</v>
      </c>
      <c r="B2840" s="12">
        <f t="shared" si="132"/>
        <v>1</v>
      </c>
      <c r="C2840" s="12">
        <f t="shared" si="133"/>
        <v>2012</v>
      </c>
      <c r="D2840" s="13">
        <v>12350</v>
      </c>
      <c r="E2840" s="13">
        <v>31.327500000000001</v>
      </c>
      <c r="F2840" s="13">
        <f t="shared" si="134"/>
        <v>394.22232862500999</v>
      </c>
    </row>
    <row r="2841" spans="1:6" x14ac:dyDescent="0.25">
      <c r="A2841" s="10">
        <v>40928</v>
      </c>
      <c r="B2841" s="12">
        <f t="shared" si="132"/>
        <v>1</v>
      </c>
      <c r="C2841" s="12">
        <f t="shared" si="133"/>
        <v>2012</v>
      </c>
      <c r="D2841" s="13">
        <v>12350</v>
      </c>
      <c r="E2841" s="13">
        <v>31.362500000000001</v>
      </c>
      <c r="F2841" s="13">
        <f t="shared" si="134"/>
        <v>393.7823834196891</v>
      </c>
    </row>
    <row r="2842" spans="1:6" x14ac:dyDescent="0.25">
      <c r="A2842" s="10">
        <v>40931</v>
      </c>
      <c r="B2842" s="12">
        <f t="shared" si="132"/>
        <v>1</v>
      </c>
      <c r="C2842" s="12">
        <f t="shared" si="133"/>
        <v>2012</v>
      </c>
      <c r="D2842" s="13">
        <v>12350</v>
      </c>
      <c r="E2842" s="13">
        <v>30.877099999999999</v>
      </c>
      <c r="F2842" s="13">
        <f t="shared" si="134"/>
        <v>399.97279537262244</v>
      </c>
    </row>
    <row r="2843" spans="1:6" x14ac:dyDescent="0.25">
      <c r="A2843" s="10">
        <v>40932</v>
      </c>
      <c r="B2843" s="12">
        <f t="shared" si="132"/>
        <v>1</v>
      </c>
      <c r="C2843" s="12">
        <f t="shared" si="133"/>
        <v>2012</v>
      </c>
      <c r="D2843" s="13">
        <v>12350</v>
      </c>
      <c r="E2843" s="13">
        <v>30.776900000000001</v>
      </c>
      <c r="F2843" s="13">
        <f t="shared" si="134"/>
        <v>401.27498221068396</v>
      </c>
    </row>
    <row r="2844" spans="1:6" x14ac:dyDescent="0.25">
      <c r="A2844" s="10">
        <v>40933</v>
      </c>
      <c r="B2844" s="12">
        <f t="shared" si="132"/>
        <v>1</v>
      </c>
      <c r="C2844" s="12">
        <f t="shared" si="133"/>
        <v>2012</v>
      </c>
      <c r="D2844" s="13">
        <v>12350</v>
      </c>
      <c r="E2844" s="13">
        <v>30.5183</v>
      </c>
      <c r="F2844" s="13">
        <f t="shared" si="134"/>
        <v>404.67522765029508</v>
      </c>
    </row>
    <row r="2845" spans="1:6" x14ac:dyDescent="0.25">
      <c r="A2845" s="10">
        <v>40934</v>
      </c>
      <c r="B2845" s="12">
        <f t="shared" si="132"/>
        <v>1</v>
      </c>
      <c r="C2845" s="12">
        <f t="shared" si="133"/>
        <v>2012</v>
      </c>
      <c r="D2845" s="13">
        <v>12350</v>
      </c>
      <c r="E2845" s="13">
        <v>30.309100000000001</v>
      </c>
      <c r="F2845" s="13">
        <f t="shared" si="134"/>
        <v>407.46838408266825</v>
      </c>
    </row>
    <row r="2846" spans="1:6" x14ac:dyDescent="0.25">
      <c r="A2846" s="10">
        <v>40935</v>
      </c>
      <c r="B2846" s="12">
        <f t="shared" si="132"/>
        <v>1</v>
      </c>
      <c r="C2846" s="12">
        <f t="shared" si="133"/>
        <v>2012</v>
      </c>
      <c r="D2846" s="13">
        <v>12350</v>
      </c>
      <c r="E2846" s="13">
        <v>30.110499999999998</v>
      </c>
      <c r="F2846" s="13">
        <f t="shared" si="134"/>
        <v>410.15592567376831</v>
      </c>
    </row>
    <row r="2847" spans="1:6" x14ac:dyDescent="0.25">
      <c r="A2847" s="10">
        <v>40938</v>
      </c>
      <c r="B2847" s="12">
        <f t="shared" si="132"/>
        <v>1</v>
      </c>
      <c r="C2847" s="12">
        <f t="shared" si="133"/>
        <v>2012</v>
      </c>
      <c r="D2847" s="13">
        <v>12250</v>
      </c>
      <c r="E2847" s="13">
        <v>30.391300000000001</v>
      </c>
      <c r="F2847" s="13">
        <f t="shared" si="134"/>
        <v>403.07588026836623</v>
      </c>
    </row>
    <row r="2848" spans="1:6" x14ac:dyDescent="0.25">
      <c r="A2848" s="10">
        <v>40939</v>
      </c>
      <c r="B2848" s="12">
        <f t="shared" si="132"/>
        <v>1</v>
      </c>
      <c r="C2848" s="12">
        <f t="shared" si="133"/>
        <v>2012</v>
      </c>
      <c r="D2848" s="13">
        <v>12250</v>
      </c>
      <c r="E2848" s="13">
        <v>30.299700000000001</v>
      </c>
      <c r="F2848" s="13">
        <f t="shared" si="134"/>
        <v>404.29443195807215</v>
      </c>
    </row>
    <row r="2849" spans="1:6" x14ac:dyDescent="0.25">
      <c r="A2849" s="10">
        <v>40940</v>
      </c>
      <c r="B2849" s="12">
        <f t="shared" si="132"/>
        <v>2</v>
      </c>
      <c r="C2849" s="12">
        <f t="shared" si="133"/>
        <v>2012</v>
      </c>
      <c r="D2849" s="13">
        <v>12250</v>
      </c>
      <c r="E2849" s="13">
        <v>30.1709</v>
      </c>
      <c r="F2849" s="13">
        <f t="shared" si="134"/>
        <v>406.02037062202322</v>
      </c>
    </row>
    <row r="2850" spans="1:6" x14ac:dyDescent="0.25">
      <c r="A2850" s="10">
        <v>40941</v>
      </c>
      <c r="B2850" s="12">
        <f t="shared" si="132"/>
        <v>2</v>
      </c>
      <c r="C2850" s="12">
        <f t="shared" si="133"/>
        <v>2012</v>
      </c>
      <c r="D2850" s="13">
        <v>12250</v>
      </c>
      <c r="E2850" s="13">
        <v>30.184699999999999</v>
      </c>
      <c r="F2850" s="13">
        <f t="shared" si="134"/>
        <v>405.83474409220565</v>
      </c>
    </row>
    <row r="2851" spans="1:6" x14ac:dyDescent="0.25">
      <c r="A2851" s="10">
        <v>40942</v>
      </c>
      <c r="B2851" s="12">
        <f t="shared" si="132"/>
        <v>2</v>
      </c>
      <c r="C2851" s="12">
        <f t="shared" si="133"/>
        <v>2012</v>
      </c>
      <c r="D2851" s="13">
        <v>12250</v>
      </c>
      <c r="E2851" s="13">
        <v>30.140899999999998</v>
      </c>
      <c r="F2851" s="13">
        <f t="shared" si="134"/>
        <v>406.42449296470909</v>
      </c>
    </row>
    <row r="2852" spans="1:6" x14ac:dyDescent="0.25">
      <c r="A2852" s="10">
        <v>40945</v>
      </c>
      <c r="B2852" s="12">
        <f t="shared" si="132"/>
        <v>2</v>
      </c>
      <c r="C2852" s="12">
        <f t="shared" si="133"/>
        <v>2012</v>
      </c>
      <c r="D2852" s="13">
        <v>12250</v>
      </c>
      <c r="E2852" s="13">
        <v>30.052299999999999</v>
      </c>
      <c r="F2852" s="13">
        <f t="shared" si="134"/>
        <v>407.62271107369486</v>
      </c>
    </row>
    <row r="2853" spans="1:6" x14ac:dyDescent="0.25">
      <c r="A2853" s="10">
        <v>40946</v>
      </c>
      <c r="B2853" s="12">
        <f t="shared" si="132"/>
        <v>2</v>
      </c>
      <c r="C2853" s="12">
        <f t="shared" si="133"/>
        <v>2012</v>
      </c>
      <c r="D2853" s="13">
        <v>12250</v>
      </c>
      <c r="E2853" s="13">
        <v>29.738499999999998</v>
      </c>
      <c r="F2853" s="13">
        <f t="shared" si="134"/>
        <v>411.9239369840443</v>
      </c>
    </row>
    <row r="2854" spans="1:6" x14ac:dyDescent="0.25">
      <c r="A2854" s="10">
        <v>40947</v>
      </c>
      <c r="B2854" s="12">
        <f t="shared" si="132"/>
        <v>2</v>
      </c>
      <c r="C2854" s="12">
        <f t="shared" si="133"/>
        <v>2012</v>
      </c>
      <c r="D2854" s="13">
        <v>12250</v>
      </c>
      <c r="E2854" s="13">
        <v>29.735199999999999</v>
      </c>
      <c r="F2854" s="13">
        <f t="shared" si="134"/>
        <v>411.96965212946276</v>
      </c>
    </row>
    <row r="2855" spans="1:6" x14ac:dyDescent="0.25">
      <c r="A2855" s="10">
        <v>40948</v>
      </c>
      <c r="B2855" s="12">
        <f t="shared" si="132"/>
        <v>2</v>
      </c>
      <c r="C2855" s="12">
        <f t="shared" si="133"/>
        <v>2012</v>
      </c>
      <c r="D2855" s="13">
        <v>12250</v>
      </c>
      <c r="E2855" s="13">
        <v>29.707100000000001</v>
      </c>
      <c r="F2855" s="13">
        <f t="shared" si="134"/>
        <v>412.35933497379415</v>
      </c>
    </row>
    <row r="2856" spans="1:6" x14ac:dyDescent="0.25">
      <c r="A2856" s="10">
        <v>40949</v>
      </c>
      <c r="B2856" s="12">
        <f t="shared" si="132"/>
        <v>2</v>
      </c>
      <c r="C2856" s="12">
        <f t="shared" si="133"/>
        <v>2012</v>
      </c>
      <c r="D2856" s="13">
        <v>12250</v>
      </c>
      <c r="E2856" s="13">
        <v>30.044699999999999</v>
      </c>
      <c r="F2856" s="13">
        <f t="shared" si="134"/>
        <v>407.72582185876377</v>
      </c>
    </row>
    <row r="2857" spans="1:6" x14ac:dyDescent="0.25">
      <c r="A2857" s="10">
        <v>40952</v>
      </c>
      <c r="B2857" s="12">
        <f t="shared" si="132"/>
        <v>2</v>
      </c>
      <c r="C2857" s="12">
        <f t="shared" si="133"/>
        <v>2012</v>
      </c>
      <c r="D2857" s="13">
        <v>12000</v>
      </c>
      <c r="E2857" s="13">
        <v>29.925999999999998</v>
      </c>
      <c r="F2857" s="13">
        <f t="shared" si="134"/>
        <v>400.98910646260777</v>
      </c>
    </row>
    <row r="2858" spans="1:6" x14ac:dyDescent="0.25">
      <c r="A2858" s="10">
        <v>40953</v>
      </c>
      <c r="B2858" s="12">
        <f t="shared" si="132"/>
        <v>2</v>
      </c>
      <c r="C2858" s="12">
        <f t="shared" si="133"/>
        <v>2012</v>
      </c>
      <c r="D2858" s="13">
        <v>12000</v>
      </c>
      <c r="E2858" s="13">
        <v>30.077100000000002</v>
      </c>
      <c r="F2858" s="13">
        <f t="shared" si="134"/>
        <v>398.97463518756791</v>
      </c>
    </row>
    <row r="2859" spans="1:6" x14ac:dyDescent="0.25">
      <c r="A2859" s="10">
        <v>40954</v>
      </c>
      <c r="B2859" s="12">
        <f t="shared" si="132"/>
        <v>2</v>
      </c>
      <c r="C2859" s="12">
        <f t="shared" si="133"/>
        <v>2012</v>
      </c>
      <c r="D2859" s="13">
        <v>12000</v>
      </c>
      <c r="E2859" s="13">
        <v>30.037700000000001</v>
      </c>
      <c r="F2859" s="13">
        <f t="shared" si="134"/>
        <v>399.49796422495729</v>
      </c>
    </row>
    <row r="2860" spans="1:6" x14ac:dyDescent="0.25">
      <c r="A2860" s="10">
        <v>40955</v>
      </c>
      <c r="B2860" s="12">
        <f t="shared" si="132"/>
        <v>2</v>
      </c>
      <c r="C2860" s="12">
        <f t="shared" si="133"/>
        <v>2012</v>
      </c>
      <c r="D2860" s="13">
        <v>12000</v>
      </c>
      <c r="E2860" s="13">
        <v>30.0335</v>
      </c>
      <c r="F2860" s="13">
        <f t="shared" si="134"/>
        <v>399.55383155476386</v>
      </c>
    </row>
    <row r="2861" spans="1:6" x14ac:dyDescent="0.25">
      <c r="A2861" s="10">
        <v>40956</v>
      </c>
      <c r="B2861" s="12">
        <f t="shared" si="132"/>
        <v>2</v>
      </c>
      <c r="C2861" s="12">
        <f t="shared" si="133"/>
        <v>2012</v>
      </c>
      <c r="D2861" s="13">
        <v>12000</v>
      </c>
      <c r="E2861" s="13">
        <v>29.956499999999998</v>
      </c>
      <c r="F2861" s="13">
        <f t="shared" si="134"/>
        <v>400.58084222122079</v>
      </c>
    </row>
    <row r="2862" spans="1:6" x14ac:dyDescent="0.25">
      <c r="A2862" s="10">
        <v>40960</v>
      </c>
      <c r="B2862" s="12">
        <f t="shared" si="132"/>
        <v>2</v>
      </c>
      <c r="C2862" s="12">
        <f t="shared" si="133"/>
        <v>2012</v>
      </c>
      <c r="D2862" s="13">
        <v>11900</v>
      </c>
      <c r="E2862" s="13">
        <v>29.758400000000002</v>
      </c>
      <c r="F2862" s="13">
        <f t="shared" si="134"/>
        <v>399.88709070380128</v>
      </c>
    </row>
    <row r="2863" spans="1:6" x14ac:dyDescent="0.25">
      <c r="A2863" s="10">
        <v>40961</v>
      </c>
      <c r="B2863" s="12">
        <f t="shared" si="132"/>
        <v>2</v>
      </c>
      <c r="C2863" s="12">
        <f t="shared" si="133"/>
        <v>2012</v>
      </c>
      <c r="D2863" s="13">
        <v>11900</v>
      </c>
      <c r="E2863" s="13">
        <v>29.689</v>
      </c>
      <c r="F2863" s="13">
        <f t="shared" si="134"/>
        <v>400.82185321162723</v>
      </c>
    </row>
    <row r="2864" spans="1:6" x14ac:dyDescent="0.25">
      <c r="A2864" s="10">
        <v>40962</v>
      </c>
      <c r="B2864" s="12">
        <f t="shared" si="132"/>
        <v>2</v>
      </c>
      <c r="C2864" s="12">
        <f t="shared" si="133"/>
        <v>2012</v>
      </c>
      <c r="D2864" s="13">
        <v>11900</v>
      </c>
      <c r="E2864" s="13">
        <v>29.619</v>
      </c>
      <c r="F2864" s="13">
        <f t="shared" si="134"/>
        <v>401.76913467706538</v>
      </c>
    </row>
    <row r="2865" spans="1:6" x14ac:dyDescent="0.25">
      <c r="A2865" s="10">
        <v>40963</v>
      </c>
      <c r="B2865" s="12">
        <f t="shared" si="132"/>
        <v>2</v>
      </c>
      <c r="C2865" s="12">
        <f t="shared" si="133"/>
        <v>2012</v>
      </c>
      <c r="D2865" s="13">
        <v>11900</v>
      </c>
      <c r="E2865" s="13">
        <v>29.1614</v>
      </c>
      <c r="F2865" s="13">
        <f t="shared" si="134"/>
        <v>408.07368644852443</v>
      </c>
    </row>
    <row r="2866" spans="1:6" x14ac:dyDescent="0.25">
      <c r="A2866" s="10">
        <v>40966</v>
      </c>
      <c r="B2866" s="12">
        <f t="shared" si="132"/>
        <v>2</v>
      </c>
      <c r="C2866" s="12">
        <f t="shared" si="133"/>
        <v>2012</v>
      </c>
      <c r="D2866" s="13">
        <v>12100</v>
      </c>
      <c r="E2866" s="13">
        <v>29.019200000000001</v>
      </c>
      <c r="F2866" s="13">
        <f t="shared" si="134"/>
        <v>416.96531951259851</v>
      </c>
    </row>
    <row r="2867" spans="1:6" x14ac:dyDescent="0.25">
      <c r="A2867" s="10">
        <v>40967</v>
      </c>
      <c r="B2867" s="12">
        <f t="shared" si="132"/>
        <v>2</v>
      </c>
      <c r="C2867" s="12">
        <f t="shared" si="133"/>
        <v>2012</v>
      </c>
      <c r="D2867" s="13">
        <v>12100</v>
      </c>
      <c r="E2867" s="13">
        <v>28.961300000000001</v>
      </c>
      <c r="F2867" s="13">
        <f t="shared" si="134"/>
        <v>417.79892477202333</v>
      </c>
    </row>
    <row r="2868" spans="1:6" x14ac:dyDescent="0.25">
      <c r="A2868" s="10">
        <v>40968</v>
      </c>
      <c r="B2868" s="12">
        <f t="shared" si="132"/>
        <v>2</v>
      </c>
      <c r="C2868" s="12">
        <f t="shared" si="133"/>
        <v>2012</v>
      </c>
      <c r="D2868" s="13">
        <v>12100</v>
      </c>
      <c r="E2868" s="13">
        <v>29.081499999999998</v>
      </c>
      <c r="F2868" s="13">
        <f t="shared" si="134"/>
        <v>416.07207331121162</v>
      </c>
    </row>
    <row r="2869" spans="1:6" x14ac:dyDescent="0.25">
      <c r="A2869" s="10">
        <v>40969</v>
      </c>
      <c r="B2869" s="12">
        <f t="shared" si="132"/>
        <v>3</v>
      </c>
      <c r="C2869" s="12">
        <f t="shared" si="133"/>
        <v>2012</v>
      </c>
      <c r="D2869" s="13">
        <v>12100</v>
      </c>
      <c r="E2869" s="13">
        <v>29.219799999999999</v>
      </c>
      <c r="F2869" s="13">
        <f t="shared" si="134"/>
        <v>414.10276593268946</v>
      </c>
    </row>
    <row r="2870" spans="1:6" x14ac:dyDescent="0.25">
      <c r="A2870" s="10">
        <v>40970</v>
      </c>
      <c r="B2870" s="12">
        <f t="shared" si="132"/>
        <v>3</v>
      </c>
      <c r="C2870" s="12">
        <f t="shared" si="133"/>
        <v>2012</v>
      </c>
      <c r="D2870" s="13">
        <v>12100</v>
      </c>
      <c r="E2870" s="13">
        <v>29.323399999999999</v>
      </c>
      <c r="F2870" s="13">
        <f t="shared" si="134"/>
        <v>412.63973481929111</v>
      </c>
    </row>
    <row r="2871" spans="1:6" x14ac:dyDescent="0.25">
      <c r="A2871" s="10">
        <v>40973</v>
      </c>
      <c r="B2871" s="12">
        <f t="shared" si="132"/>
        <v>3</v>
      </c>
      <c r="C2871" s="12">
        <f t="shared" si="133"/>
        <v>2012</v>
      </c>
      <c r="E2871" s="13">
        <v>29.345800000000001</v>
      </c>
      <c r="F2871" s="13" t="str">
        <f t="shared" si="134"/>
        <v/>
      </c>
    </row>
    <row r="2872" spans="1:6" x14ac:dyDescent="0.25">
      <c r="A2872" s="10">
        <v>40974</v>
      </c>
      <c r="B2872" s="12">
        <f t="shared" si="132"/>
        <v>3</v>
      </c>
      <c r="C2872" s="12">
        <f t="shared" si="133"/>
        <v>2012</v>
      </c>
      <c r="E2872" s="13">
        <v>29.6188</v>
      </c>
      <c r="F2872" s="13" t="str">
        <f t="shared" si="134"/>
        <v/>
      </c>
    </row>
    <row r="2873" spans="1:6" x14ac:dyDescent="0.25">
      <c r="A2873" s="10">
        <v>40975</v>
      </c>
      <c r="B2873" s="12">
        <f t="shared" si="132"/>
        <v>3</v>
      </c>
      <c r="C2873" s="12">
        <f t="shared" si="133"/>
        <v>2012</v>
      </c>
      <c r="E2873" s="13">
        <v>29.637499999999999</v>
      </c>
      <c r="F2873" s="13" t="str">
        <f t="shared" si="134"/>
        <v/>
      </c>
    </row>
    <row r="2874" spans="1:6" x14ac:dyDescent="0.25">
      <c r="A2874" s="10">
        <v>40976</v>
      </c>
      <c r="B2874" s="12">
        <f t="shared" si="132"/>
        <v>3</v>
      </c>
      <c r="C2874" s="12">
        <f t="shared" si="133"/>
        <v>2012</v>
      </c>
      <c r="E2874" s="13">
        <v>29.349699999999999</v>
      </c>
      <c r="F2874" s="13" t="str">
        <f t="shared" si="134"/>
        <v/>
      </c>
    </row>
    <row r="2875" spans="1:6" x14ac:dyDescent="0.25">
      <c r="A2875" s="10">
        <v>40977</v>
      </c>
      <c r="B2875" s="12">
        <f t="shared" si="132"/>
        <v>3</v>
      </c>
      <c r="C2875" s="12">
        <f t="shared" si="133"/>
        <v>2012</v>
      </c>
      <c r="E2875" s="13">
        <v>29.413599999999999</v>
      </c>
      <c r="F2875" s="13" t="str">
        <f t="shared" si="134"/>
        <v/>
      </c>
    </row>
    <row r="2876" spans="1:6" x14ac:dyDescent="0.25">
      <c r="A2876" s="10">
        <v>40980</v>
      </c>
      <c r="B2876" s="12">
        <f t="shared" si="132"/>
        <v>3</v>
      </c>
      <c r="C2876" s="12">
        <f t="shared" si="133"/>
        <v>2012</v>
      </c>
      <c r="D2876" s="13">
        <v>12100</v>
      </c>
      <c r="E2876" s="13">
        <v>29.562100000000001</v>
      </c>
      <c r="F2876" s="13">
        <f t="shared" si="134"/>
        <v>409.30786378504911</v>
      </c>
    </row>
    <row r="2877" spans="1:6" x14ac:dyDescent="0.25">
      <c r="A2877" s="10">
        <v>40981</v>
      </c>
      <c r="B2877" s="12">
        <f t="shared" si="132"/>
        <v>3</v>
      </c>
      <c r="C2877" s="12">
        <f t="shared" si="133"/>
        <v>2012</v>
      </c>
      <c r="D2877" s="13">
        <v>12100</v>
      </c>
      <c r="E2877" s="13">
        <v>29.4514</v>
      </c>
      <c r="F2877" s="13">
        <f t="shared" si="134"/>
        <v>410.84634346754314</v>
      </c>
    </row>
    <row r="2878" spans="1:6" x14ac:dyDescent="0.25">
      <c r="A2878" s="10">
        <v>40982</v>
      </c>
      <c r="B2878" s="12">
        <f t="shared" si="132"/>
        <v>3</v>
      </c>
      <c r="C2878" s="12">
        <f t="shared" si="133"/>
        <v>2012</v>
      </c>
      <c r="D2878" s="13">
        <v>12100</v>
      </c>
      <c r="E2878" s="13">
        <v>29.534199999999998</v>
      </c>
      <c r="F2878" s="13">
        <f t="shared" si="134"/>
        <v>409.6945236370039</v>
      </c>
    </row>
    <row r="2879" spans="1:6" x14ac:dyDescent="0.25">
      <c r="A2879" s="10">
        <v>40983</v>
      </c>
      <c r="B2879" s="12">
        <f t="shared" si="132"/>
        <v>3</v>
      </c>
      <c r="C2879" s="12">
        <f t="shared" si="133"/>
        <v>2012</v>
      </c>
      <c r="D2879" s="13">
        <v>12100</v>
      </c>
      <c r="E2879" s="13">
        <v>29.347100000000001</v>
      </c>
      <c r="F2879" s="13">
        <f t="shared" si="134"/>
        <v>412.30649706444586</v>
      </c>
    </row>
    <row r="2880" spans="1:6" x14ac:dyDescent="0.25">
      <c r="A2880" s="10">
        <v>40984</v>
      </c>
      <c r="B2880" s="12">
        <f t="shared" si="132"/>
        <v>3</v>
      </c>
      <c r="C2880" s="12">
        <f t="shared" si="133"/>
        <v>2012</v>
      </c>
      <c r="D2880" s="13">
        <v>12100</v>
      </c>
      <c r="E2880" s="13">
        <v>29.230899999999998</v>
      </c>
      <c r="F2880" s="13">
        <f t="shared" si="134"/>
        <v>413.9455165595312</v>
      </c>
    </row>
    <row r="2881" spans="1:6" x14ac:dyDescent="0.25">
      <c r="A2881" s="10">
        <v>40987</v>
      </c>
      <c r="B2881" s="12">
        <f t="shared" si="132"/>
        <v>3</v>
      </c>
      <c r="C2881" s="12">
        <f t="shared" si="133"/>
        <v>2012</v>
      </c>
      <c r="D2881" s="13">
        <v>12250</v>
      </c>
      <c r="E2881" s="13">
        <v>29.1173</v>
      </c>
      <c r="F2881" s="13">
        <f t="shared" si="134"/>
        <v>420.7120852551576</v>
      </c>
    </row>
    <row r="2882" spans="1:6" x14ac:dyDescent="0.25">
      <c r="A2882" s="10">
        <v>40988</v>
      </c>
      <c r="B2882" s="12">
        <f t="shared" si="132"/>
        <v>3</v>
      </c>
      <c r="C2882" s="12">
        <f t="shared" si="133"/>
        <v>2012</v>
      </c>
      <c r="D2882" s="13">
        <v>12250</v>
      </c>
      <c r="E2882" s="13">
        <v>29.2439</v>
      </c>
      <c r="F2882" s="13">
        <f t="shared" si="134"/>
        <v>418.89077722191638</v>
      </c>
    </row>
    <row r="2883" spans="1:6" x14ac:dyDescent="0.25">
      <c r="A2883" s="10">
        <v>40989</v>
      </c>
      <c r="B2883" s="12">
        <f t="shared" ref="B2883:B2946" si="135">MONTH(A2883)</f>
        <v>3</v>
      </c>
      <c r="C2883" s="12">
        <f t="shared" ref="C2883:C2946" si="136">YEAR(A2883)</f>
        <v>2012</v>
      </c>
      <c r="D2883" s="13">
        <v>12250</v>
      </c>
      <c r="E2883" s="13">
        <v>29.25</v>
      </c>
      <c r="F2883" s="13">
        <f t="shared" ref="F2883:F2946" si="137">IF(D2883="","",D2883/E2883)</f>
        <v>418.80341880341882</v>
      </c>
    </row>
    <row r="2884" spans="1:6" x14ac:dyDescent="0.25">
      <c r="A2884" s="10">
        <v>40990</v>
      </c>
      <c r="B2884" s="12">
        <f t="shared" si="135"/>
        <v>3</v>
      </c>
      <c r="C2884" s="12">
        <f t="shared" si="136"/>
        <v>2012</v>
      </c>
      <c r="D2884" s="13">
        <v>12250</v>
      </c>
      <c r="E2884" s="13">
        <v>29.415400000000002</v>
      </c>
      <c r="F2884" s="13">
        <f t="shared" si="137"/>
        <v>416.44852696206749</v>
      </c>
    </row>
    <row r="2885" spans="1:6" x14ac:dyDescent="0.25">
      <c r="A2885" s="10">
        <v>40991</v>
      </c>
      <c r="B2885" s="12">
        <f t="shared" si="135"/>
        <v>3</v>
      </c>
      <c r="C2885" s="12">
        <f t="shared" si="136"/>
        <v>2012</v>
      </c>
      <c r="D2885" s="13">
        <v>12250</v>
      </c>
      <c r="E2885" s="13">
        <v>29.291499999999999</v>
      </c>
      <c r="F2885" s="13">
        <f t="shared" si="137"/>
        <v>418.21006093918032</v>
      </c>
    </row>
    <row r="2886" spans="1:6" x14ac:dyDescent="0.25">
      <c r="A2886" s="10">
        <v>40994</v>
      </c>
      <c r="B2886" s="12">
        <f t="shared" si="135"/>
        <v>3</v>
      </c>
      <c r="C2886" s="12">
        <f t="shared" si="136"/>
        <v>2012</v>
      </c>
      <c r="D2886" s="13">
        <v>12250</v>
      </c>
      <c r="E2886" s="13">
        <v>28.936499999999999</v>
      </c>
      <c r="F2886" s="13">
        <f t="shared" si="137"/>
        <v>423.34076339571129</v>
      </c>
    </row>
    <row r="2887" spans="1:6" x14ac:dyDescent="0.25">
      <c r="A2887" s="10">
        <v>40995</v>
      </c>
      <c r="B2887" s="12">
        <f t="shared" si="135"/>
        <v>3</v>
      </c>
      <c r="C2887" s="12">
        <f t="shared" si="136"/>
        <v>2012</v>
      </c>
      <c r="D2887" s="13">
        <v>12250</v>
      </c>
      <c r="E2887" s="13">
        <v>29.0486</v>
      </c>
      <c r="F2887" s="13">
        <f t="shared" si="137"/>
        <v>421.70707022025158</v>
      </c>
    </row>
    <row r="2888" spans="1:6" x14ac:dyDescent="0.25">
      <c r="A2888" s="10">
        <v>40996</v>
      </c>
      <c r="B2888" s="12">
        <f t="shared" si="135"/>
        <v>3</v>
      </c>
      <c r="C2888" s="12">
        <f t="shared" si="136"/>
        <v>2012</v>
      </c>
      <c r="D2888" s="13">
        <v>12250</v>
      </c>
      <c r="E2888" s="13">
        <v>29.369199999999999</v>
      </c>
      <c r="F2888" s="13">
        <f t="shared" si="137"/>
        <v>417.10363237677569</v>
      </c>
    </row>
    <row r="2889" spans="1:6" x14ac:dyDescent="0.25">
      <c r="A2889" s="10">
        <v>40997</v>
      </c>
      <c r="B2889" s="12">
        <f t="shared" si="135"/>
        <v>3</v>
      </c>
      <c r="C2889" s="12">
        <f t="shared" si="136"/>
        <v>2012</v>
      </c>
      <c r="D2889" s="13">
        <v>12250</v>
      </c>
      <c r="E2889" s="13">
        <v>29.4664</v>
      </c>
      <c r="F2889" s="13">
        <f t="shared" si="137"/>
        <v>415.7277441424809</v>
      </c>
    </row>
    <row r="2890" spans="1:6" x14ac:dyDescent="0.25">
      <c r="A2890" s="10">
        <v>40998</v>
      </c>
      <c r="B2890" s="12">
        <f t="shared" si="135"/>
        <v>3</v>
      </c>
      <c r="C2890" s="12">
        <f t="shared" si="136"/>
        <v>2012</v>
      </c>
      <c r="D2890" s="13">
        <v>12250</v>
      </c>
      <c r="E2890" s="13">
        <v>29.315999999999999</v>
      </c>
      <c r="F2890" s="13">
        <f t="shared" si="137"/>
        <v>417.86055396370585</v>
      </c>
    </row>
    <row r="2891" spans="1:6" x14ac:dyDescent="0.25">
      <c r="A2891" s="10">
        <v>41001</v>
      </c>
      <c r="B2891" s="12">
        <f t="shared" si="135"/>
        <v>4</v>
      </c>
      <c r="C2891" s="12">
        <f t="shared" si="136"/>
        <v>2012</v>
      </c>
      <c r="D2891" s="13">
        <v>12250</v>
      </c>
      <c r="E2891" s="13">
        <v>29.2807</v>
      </c>
      <c r="F2891" s="13">
        <f t="shared" si="137"/>
        <v>418.36431506077383</v>
      </c>
    </row>
    <row r="2892" spans="1:6" x14ac:dyDescent="0.25">
      <c r="A2892" s="10">
        <v>41002</v>
      </c>
      <c r="B2892" s="12">
        <f t="shared" si="135"/>
        <v>4</v>
      </c>
      <c r="C2892" s="12">
        <f t="shared" si="136"/>
        <v>2012</v>
      </c>
      <c r="D2892" s="13">
        <v>12250</v>
      </c>
      <c r="E2892" s="13">
        <v>29.2255</v>
      </c>
      <c r="F2892" s="13">
        <f t="shared" si="137"/>
        <v>419.15450548322525</v>
      </c>
    </row>
    <row r="2893" spans="1:6" x14ac:dyDescent="0.25">
      <c r="A2893" s="10">
        <v>41003</v>
      </c>
      <c r="B2893" s="12">
        <f t="shared" si="135"/>
        <v>4</v>
      </c>
      <c r="C2893" s="12">
        <f t="shared" si="136"/>
        <v>2012</v>
      </c>
      <c r="D2893" s="13">
        <v>12250</v>
      </c>
      <c r="E2893" s="13">
        <v>29.452400000000001</v>
      </c>
      <c r="F2893" s="13">
        <f t="shared" si="137"/>
        <v>415.92535752604203</v>
      </c>
    </row>
    <row r="2894" spans="1:6" x14ac:dyDescent="0.25">
      <c r="A2894" s="10">
        <v>41004</v>
      </c>
      <c r="B2894" s="12">
        <f t="shared" si="135"/>
        <v>4</v>
      </c>
      <c r="C2894" s="12">
        <f t="shared" si="136"/>
        <v>2012</v>
      </c>
      <c r="D2894" s="13">
        <v>12250</v>
      </c>
      <c r="E2894" s="13">
        <v>29.464200000000002</v>
      </c>
      <c r="F2894" s="13">
        <f t="shared" si="137"/>
        <v>415.75878523767824</v>
      </c>
    </row>
    <row r="2895" spans="1:6" x14ac:dyDescent="0.25">
      <c r="A2895" s="10">
        <v>41008</v>
      </c>
      <c r="B2895" s="12">
        <f t="shared" si="135"/>
        <v>4</v>
      </c>
      <c r="C2895" s="12">
        <f t="shared" si="136"/>
        <v>2012</v>
      </c>
      <c r="E2895" s="13">
        <v>29.5871</v>
      </c>
      <c r="F2895" s="13" t="str">
        <f t="shared" si="137"/>
        <v/>
      </c>
    </row>
    <row r="2896" spans="1:6" x14ac:dyDescent="0.25">
      <c r="A2896" s="10">
        <v>41009</v>
      </c>
      <c r="B2896" s="12">
        <f t="shared" si="135"/>
        <v>4</v>
      </c>
      <c r="C2896" s="12">
        <f t="shared" si="136"/>
        <v>2012</v>
      </c>
      <c r="E2896" s="13">
        <v>29.807600000000001</v>
      </c>
      <c r="F2896" s="13" t="str">
        <f t="shared" si="137"/>
        <v/>
      </c>
    </row>
    <row r="2897" spans="1:6" x14ac:dyDescent="0.25">
      <c r="A2897" s="10">
        <v>41010</v>
      </c>
      <c r="B2897" s="12">
        <f t="shared" si="135"/>
        <v>4</v>
      </c>
      <c r="C2897" s="12">
        <f t="shared" si="136"/>
        <v>2012</v>
      </c>
      <c r="E2897" s="13">
        <v>29.6404</v>
      </c>
      <c r="F2897" s="13" t="str">
        <f t="shared" si="137"/>
        <v/>
      </c>
    </row>
    <row r="2898" spans="1:6" x14ac:dyDescent="0.25">
      <c r="A2898" s="10">
        <v>41011</v>
      </c>
      <c r="B2898" s="12">
        <f t="shared" si="135"/>
        <v>4</v>
      </c>
      <c r="C2898" s="12">
        <f t="shared" si="136"/>
        <v>2012</v>
      </c>
      <c r="E2898" s="13">
        <v>29.403099999999998</v>
      </c>
      <c r="F2898" s="13" t="str">
        <f t="shared" si="137"/>
        <v/>
      </c>
    </row>
    <row r="2899" spans="1:6" x14ac:dyDescent="0.25">
      <c r="A2899" s="10">
        <v>41012</v>
      </c>
      <c r="B2899" s="12">
        <f t="shared" si="135"/>
        <v>4</v>
      </c>
      <c r="C2899" s="12">
        <f t="shared" si="136"/>
        <v>2012</v>
      </c>
      <c r="E2899" s="13">
        <v>29.588999999999999</v>
      </c>
      <c r="F2899" s="13" t="str">
        <f t="shared" si="137"/>
        <v/>
      </c>
    </row>
    <row r="2900" spans="1:6" x14ac:dyDescent="0.25">
      <c r="A2900" s="10">
        <v>41015</v>
      </c>
      <c r="B2900" s="12">
        <f t="shared" si="135"/>
        <v>4</v>
      </c>
      <c r="C2900" s="12">
        <f t="shared" si="136"/>
        <v>2012</v>
      </c>
      <c r="D2900" s="13">
        <v>12350</v>
      </c>
      <c r="E2900" s="13">
        <v>29.606999999999999</v>
      </c>
      <c r="F2900" s="13">
        <f t="shared" si="137"/>
        <v>417.13108386530212</v>
      </c>
    </row>
    <row r="2901" spans="1:6" x14ac:dyDescent="0.25">
      <c r="A2901" s="10">
        <v>41016</v>
      </c>
      <c r="B2901" s="12">
        <f t="shared" si="135"/>
        <v>4</v>
      </c>
      <c r="C2901" s="12">
        <f t="shared" si="136"/>
        <v>2012</v>
      </c>
      <c r="D2901" s="13">
        <v>12350</v>
      </c>
      <c r="E2901" s="13">
        <v>29.489599999999999</v>
      </c>
      <c r="F2901" s="13">
        <f t="shared" si="137"/>
        <v>418.79170961966253</v>
      </c>
    </row>
    <row r="2902" spans="1:6" x14ac:dyDescent="0.25">
      <c r="A2902" s="10">
        <v>41017</v>
      </c>
      <c r="B2902" s="12">
        <f t="shared" si="135"/>
        <v>4</v>
      </c>
      <c r="C2902" s="12">
        <f t="shared" si="136"/>
        <v>2012</v>
      </c>
      <c r="D2902" s="13">
        <v>12350</v>
      </c>
      <c r="E2902" s="13">
        <v>29.513000000000002</v>
      </c>
      <c r="F2902" s="13">
        <f t="shared" si="137"/>
        <v>418.45966184393313</v>
      </c>
    </row>
    <row r="2903" spans="1:6" x14ac:dyDescent="0.25">
      <c r="A2903" s="10">
        <v>41018</v>
      </c>
      <c r="B2903" s="12">
        <f t="shared" si="135"/>
        <v>4</v>
      </c>
      <c r="C2903" s="12">
        <f t="shared" si="136"/>
        <v>2012</v>
      </c>
      <c r="D2903" s="13">
        <v>12350</v>
      </c>
      <c r="E2903" s="13">
        <v>29.5108</v>
      </c>
      <c r="F2903" s="13">
        <f t="shared" si="137"/>
        <v>418.490857584342</v>
      </c>
    </row>
    <row r="2904" spans="1:6" x14ac:dyDescent="0.25">
      <c r="A2904" s="10">
        <v>41019</v>
      </c>
      <c r="B2904" s="12">
        <f t="shared" si="135"/>
        <v>4</v>
      </c>
      <c r="C2904" s="12">
        <f t="shared" si="136"/>
        <v>2012</v>
      </c>
      <c r="D2904" s="13">
        <v>12350</v>
      </c>
      <c r="E2904" s="13">
        <v>29.4284</v>
      </c>
      <c r="F2904" s="13">
        <f t="shared" si="137"/>
        <v>419.66263881148825</v>
      </c>
    </row>
    <row r="2905" spans="1:6" x14ac:dyDescent="0.25">
      <c r="A2905" s="10">
        <v>41022</v>
      </c>
      <c r="B2905" s="12">
        <f t="shared" si="135"/>
        <v>4</v>
      </c>
      <c r="C2905" s="12">
        <f t="shared" si="136"/>
        <v>2012</v>
      </c>
      <c r="D2905" s="13">
        <v>13750</v>
      </c>
      <c r="E2905" s="13">
        <v>29.5108</v>
      </c>
      <c r="F2905" s="13">
        <f t="shared" si="137"/>
        <v>465.93111674370061</v>
      </c>
    </row>
    <row r="2906" spans="1:6" x14ac:dyDescent="0.25">
      <c r="A2906" s="10">
        <v>41023</v>
      </c>
      <c r="B2906" s="12">
        <f t="shared" si="135"/>
        <v>4</v>
      </c>
      <c r="C2906" s="12">
        <f t="shared" si="136"/>
        <v>2012</v>
      </c>
      <c r="D2906" s="13">
        <v>13750</v>
      </c>
      <c r="E2906" s="13">
        <v>29.345500000000001</v>
      </c>
      <c r="F2906" s="13">
        <f t="shared" si="137"/>
        <v>468.55565589272629</v>
      </c>
    </row>
    <row r="2907" spans="1:6" x14ac:dyDescent="0.25">
      <c r="A2907" s="10">
        <v>41024</v>
      </c>
      <c r="B2907" s="12">
        <f t="shared" si="135"/>
        <v>4</v>
      </c>
      <c r="C2907" s="12">
        <f t="shared" si="136"/>
        <v>2012</v>
      </c>
      <c r="D2907" s="13">
        <v>13750</v>
      </c>
      <c r="E2907" s="13">
        <v>29.315000000000001</v>
      </c>
      <c r="F2907" s="13">
        <f t="shared" si="137"/>
        <v>469.04315196998124</v>
      </c>
    </row>
    <row r="2908" spans="1:6" x14ac:dyDescent="0.25">
      <c r="A2908" s="10">
        <v>41025</v>
      </c>
      <c r="B2908" s="12">
        <f t="shared" si="135"/>
        <v>4</v>
      </c>
      <c r="C2908" s="12">
        <f t="shared" si="136"/>
        <v>2012</v>
      </c>
      <c r="D2908" s="13">
        <v>13750</v>
      </c>
      <c r="E2908" s="13">
        <v>29.332799999999999</v>
      </c>
      <c r="F2908" s="13">
        <f t="shared" si="137"/>
        <v>468.75852288223422</v>
      </c>
    </row>
    <row r="2909" spans="1:6" x14ac:dyDescent="0.25">
      <c r="A2909" s="10">
        <v>41026</v>
      </c>
      <c r="B2909" s="12">
        <f t="shared" si="135"/>
        <v>4</v>
      </c>
      <c r="C2909" s="12">
        <f t="shared" si="136"/>
        <v>2012</v>
      </c>
      <c r="D2909" s="13">
        <v>13750</v>
      </c>
      <c r="E2909" s="13">
        <v>29.302</v>
      </c>
      <c r="F2909" s="13">
        <f t="shared" si="137"/>
        <v>469.2512456487612</v>
      </c>
    </row>
    <row r="2910" spans="1:6" x14ac:dyDescent="0.25">
      <c r="A2910" s="10">
        <v>41029</v>
      </c>
      <c r="B2910" s="12">
        <f t="shared" si="135"/>
        <v>4</v>
      </c>
      <c r="C2910" s="12">
        <f t="shared" si="136"/>
        <v>2012</v>
      </c>
      <c r="D2910" s="13">
        <v>13900</v>
      </c>
      <c r="E2910" s="13">
        <v>29.3581</v>
      </c>
      <c r="F2910" s="13">
        <f t="shared" si="137"/>
        <v>473.46388219946112</v>
      </c>
    </row>
    <row r="2911" spans="1:6" x14ac:dyDescent="0.25">
      <c r="A2911" s="10">
        <v>41030</v>
      </c>
      <c r="B2911" s="12">
        <f t="shared" si="135"/>
        <v>5</v>
      </c>
      <c r="C2911" s="12">
        <f t="shared" si="136"/>
        <v>2012</v>
      </c>
      <c r="D2911" s="13">
        <v>13900</v>
      </c>
      <c r="E2911" s="13">
        <v>29.3249</v>
      </c>
      <c r="F2911" s="13">
        <f t="shared" si="137"/>
        <v>473.99991133814609</v>
      </c>
    </row>
    <row r="2912" spans="1:6" x14ac:dyDescent="0.25">
      <c r="A2912" s="10">
        <v>41031</v>
      </c>
      <c r="B2912" s="12">
        <f t="shared" si="135"/>
        <v>5</v>
      </c>
      <c r="C2912" s="12">
        <f t="shared" si="136"/>
        <v>2012</v>
      </c>
      <c r="D2912" s="13">
        <v>13900</v>
      </c>
      <c r="E2912" s="13">
        <v>29.402999999999999</v>
      </c>
      <c r="F2912" s="13">
        <f t="shared" si="137"/>
        <v>472.74087678128086</v>
      </c>
    </row>
    <row r="2913" spans="1:6" x14ac:dyDescent="0.25">
      <c r="A2913" s="10">
        <v>41032</v>
      </c>
      <c r="B2913" s="12">
        <f t="shared" si="135"/>
        <v>5</v>
      </c>
      <c r="C2913" s="12">
        <f t="shared" si="136"/>
        <v>2012</v>
      </c>
      <c r="D2913" s="13">
        <v>13900</v>
      </c>
      <c r="E2913" s="13">
        <v>29.504300000000001</v>
      </c>
      <c r="F2913" s="13">
        <f t="shared" si="137"/>
        <v>471.11776927430918</v>
      </c>
    </row>
    <row r="2914" spans="1:6" x14ac:dyDescent="0.25">
      <c r="A2914" s="10">
        <v>41033</v>
      </c>
      <c r="B2914" s="12">
        <f t="shared" si="135"/>
        <v>5</v>
      </c>
      <c r="C2914" s="12">
        <f t="shared" si="136"/>
        <v>2012</v>
      </c>
      <c r="D2914" s="13">
        <v>13900</v>
      </c>
      <c r="E2914" s="13">
        <v>29.7715</v>
      </c>
      <c r="F2914" s="13">
        <f t="shared" si="137"/>
        <v>466.88947483331373</v>
      </c>
    </row>
    <row r="2915" spans="1:6" x14ac:dyDescent="0.25">
      <c r="A2915" s="10">
        <v>41036</v>
      </c>
      <c r="B2915" s="12">
        <f t="shared" si="135"/>
        <v>5</v>
      </c>
      <c r="C2915" s="12">
        <f t="shared" si="136"/>
        <v>2012</v>
      </c>
      <c r="D2915" s="13">
        <v>14200</v>
      </c>
      <c r="E2915" s="13">
        <v>30.066500000000001</v>
      </c>
      <c r="F2915" s="13">
        <f t="shared" si="137"/>
        <v>472.28643174296974</v>
      </c>
    </row>
    <row r="2916" spans="1:6" x14ac:dyDescent="0.25">
      <c r="A2916" s="10">
        <v>41037</v>
      </c>
      <c r="B2916" s="12">
        <f t="shared" si="135"/>
        <v>5</v>
      </c>
      <c r="C2916" s="12">
        <f t="shared" si="136"/>
        <v>2012</v>
      </c>
      <c r="D2916" s="13">
        <v>14200</v>
      </c>
      <c r="E2916" s="13">
        <v>30.156500000000001</v>
      </c>
      <c r="F2916" s="13">
        <f t="shared" si="137"/>
        <v>470.87692537263939</v>
      </c>
    </row>
    <row r="2917" spans="1:6" x14ac:dyDescent="0.25">
      <c r="A2917" s="10">
        <v>41038</v>
      </c>
      <c r="B2917" s="12">
        <f t="shared" si="135"/>
        <v>5</v>
      </c>
      <c r="C2917" s="12">
        <f t="shared" si="136"/>
        <v>2012</v>
      </c>
      <c r="D2917" s="13">
        <v>14200</v>
      </c>
      <c r="E2917" s="13">
        <v>30.356400000000001</v>
      </c>
      <c r="F2917" s="13">
        <f t="shared" si="137"/>
        <v>467.77615263997046</v>
      </c>
    </row>
    <row r="2918" spans="1:6" x14ac:dyDescent="0.25">
      <c r="A2918" s="10">
        <v>41039</v>
      </c>
      <c r="B2918" s="12">
        <f t="shared" si="135"/>
        <v>5</v>
      </c>
      <c r="C2918" s="12">
        <f t="shared" si="136"/>
        <v>2012</v>
      </c>
      <c r="D2918" s="13">
        <v>14200</v>
      </c>
      <c r="E2918" s="13">
        <v>30.146999999999998</v>
      </c>
      <c r="F2918" s="13">
        <f t="shared" si="137"/>
        <v>471.02530931767672</v>
      </c>
    </row>
    <row r="2919" spans="1:6" x14ac:dyDescent="0.25">
      <c r="A2919" s="10">
        <v>41040</v>
      </c>
      <c r="B2919" s="12">
        <f t="shared" si="135"/>
        <v>5</v>
      </c>
      <c r="C2919" s="12">
        <f t="shared" si="136"/>
        <v>2012</v>
      </c>
      <c r="D2919" s="13">
        <v>14200</v>
      </c>
      <c r="E2919" s="13">
        <v>30.154699999999998</v>
      </c>
      <c r="F2919" s="13">
        <f t="shared" si="137"/>
        <v>470.90503304625815</v>
      </c>
    </row>
    <row r="2920" spans="1:6" x14ac:dyDescent="0.25">
      <c r="A2920" s="10">
        <v>41043</v>
      </c>
      <c r="B2920" s="12">
        <f t="shared" si="135"/>
        <v>5</v>
      </c>
      <c r="C2920" s="12">
        <f t="shared" si="136"/>
        <v>2012</v>
      </c>
      <c r="D2920" s="13">
        <v>14500</v>
      </c>
      <c r="E2920" s="13">
        <v>30.411300000000001</v>
      </c>
      <c r="F2920" s="13">
        <f t="shared" si="137"/>
        <v>476.79645394968315</v>
      </c>
    </row>
    <row r="2921" spans="1:6" x14ac:dyDescent="0.25">
      <c r="A2921" s="10">
        <v>41044</v>
      </c>
      <c r="B2921" s="12">
        <f t="shared" si="135"/>
        <v>5</v>
      </c>
      <c r="C2921" s="12">
        <f t="shared" si="136"/>
        <v>2012</v>
      </c>
      <c r="D2921" s="13">
        <v>14500</v>
      </c>
      <c r="E2921" s="13">
        <v>30.692</v>
      </c>
      <c r="F2921" s="13">
        <f t="shared" si="137"/>
        <v>472.43581389287112</v>
      </c>
    </row>
    <row r="2922" spans="1:6" x14ac:dyDescent="0.25">
      <c r="A2922" s="10">
        <v>41045</v>
      </c>
      <c r="B2922" s="12">
        <f t="shared" si="135"/>
        <v>5</v>
      </c>
      <c r="C2922" s="12">
        <f t="shared" si="136"/>
        <v>2012</v>
      </c>
      <c r="D2922" s="13">
        <v>14500</v>
      </c>
      <c r="E2922" s="13">
        <v>31.011500000000002</v>
      </c>
      <c r="F2922" s="13">
        <f t="shared" si="137"/>
        <v>467.56848265965851</v>
      </c>
    </row>
    <row r="2923" spans="1:6" x14ac:dyDescent="0.25">
      <c r="A2923" s="10">
        <v>41046</v>
      </c>
      <c r="B2923" s="12">
        <f t="shared" si="135"/>
        <v>5</v>
      </c>
      <c r="C2923" s="12">
        <f t="shared" si="136"/>
        <v>2012</v>
      </c>
      <c r="D2923" s="13">
        <v>14500</v>
      </c>
      <c r="E2923" s="13">
        <v>31.067499999999999</v>
      </c>
      <c r="F2923" s="13">
        <f t="shared" si="137"/>
        <v>466.72567795928222</v>
      </c>
    </row>
    <row r="2924" spans="1:6" x14ac:dyDescent="0.25">
      <c r="A2924" s="10">
        <v>41047</v>
      </c>
      <c r="B2924" s="12">
        <f t="shared" si="135"/>
        <v>5</v>
      </c>
      <c r="C2924" s="12">
        <f t="shared" si="136"/>
        <v>2012</v>
      </c>
      <c r="D2924" s="13">
        <v>14500</v>
      </c>
      <c r="E2924" s="13">
        <v>31.2075</v>
      </c>
      <c r="F2924" s="13">
        <f t="shared" si="137"/>
        <v>464.63189938316111</v>
      </c>
    </row>
    <row r="2925" spans="1:6" x14ac:dyDescent="0.25">
      <c r="A2925" s="10">
        <v>41050</v>
      </c>
      <c r="B2925" s="12">
        <f t="shared" si="135"/>
        <v>5</v>
      </c>
      <c r="C2925" s="12">
        <f t="shared" si="136"/>
        <v>2012</v>
      </c>
      <c r="E2925" s="13">
        <v>31.1065</v>
      </c>
      <c r="F2925" s="13" t="str">
        <f t="shared" si="137"/>
        <v/>
      </c>
    </row>
    <row r="2926" spans="1:6" x14ac:dyDescent="0.25">
      <c r="A2926" s="10">
        <v>41051</v>
      </c>
      <c r="B2926" s="12">
        <f t="shared" si="135"/>
        <v>5</v>
      </c>
      <c r="C2926" s="12">
        <f t="shared" si="136"/>
        <v>2012</v>
      </c>
      <c r="E2926" s="13">
        <v>31.213799999999999</v>
      </c>
      <c r="F2926" s="13" t="str">
        <f t="shared" si="137"/>
        <v/>
      </c>
    </row>
    <row r="2927" spans="1:6" x14ac:dyDescent="0.25">
      <c r="A2927" s="10">
        <v>41052</v>
      </c>
      <c r="B2927" s="12">
        <f t="shared" si="135"/>
        <v>5</v>
      </c>
      <c r="C2927" s="12">
        <f t="shared" si="136"/>
        <v>2012</v>
      </c>
      <c r="E2927" s="13">
        <v>31.734000000000002</v>
      </c>
      <c r="F2927" s="13" t="str">
        <f t="shared" si="137"/>
        <v/>
      </c>
    </row>
    <row r="2928" spans="1:6" x14ac:dyDescent="0.25">
      <c r="A2928" s="10">
        <v>41053</v>
      </c>
      <c r="B2928" s="12">
        <f t="shared" si="135"/>
        <v>5</v>
      </c>
      <c r="C2928" s="12">
        <f t="shared" si="136"/>
        <v>2012</v>
      </c>
      <c r="E2928" s="13">
        <v>31.780799999999999</v>
      </c>
      <c r="F2928" s="13" t="str">
        <f t="shared" si="137"/>
        <v/>
      </c>
    </row>
    <row r="2929" spans="1:6" x14ac:dyDescent="0.25">
      <c r="A2929" s="10">
        <v>41054</v>
      </c>
      <c r="B2929" s="12">
        <f t="shared" si="135"/>
        <v>5</v>
      </c>
      <c r="C2929" s="12">
        <f t="shared" si="136"/>
        <v>2012</v>
      </c>
      <c r="E2929" s="13">
        <v>32.088999999999999</v>
      </c>
      <c r="F2929" s="13" t="str">
        <f t="shared" si="137"/>
        <v/>
      </c>
    </row>
    <row r="2930" spans="1:6" x14ac:dyDescent="0.25">
      <c r="A2930" s="10">
        <v>41058</v>
      </c>
      <c r="B2930" s="12">
        <f t="shared" si="135"/>
        <v>5</v>
      </c>
      <c r="C2930" s="12">
        <f t="shared" si="136"/>
        <v>2012</v>
      </c>
      <c r="D2930" s="13">
        <v>15000</v>
      </c>
      <c r="E2930" s="13">
        <v>32.285499999999999</v>
      </c>
      <c r="F2930" s="13">
        <f t="shared" si="137"/>
        <v>464.60485357203697</v>
      </c>
    </row>
    <row r="2931" spans="1:6" x14ac:dyDescent="0.25">
      <c r="A2931" s="10">
        <v>41059</v>
      </c>
      <c r="B2931" s="12">
        <f t="shared" si="135"/>
        <v>5</v>
      </c>
      <c r="C2931" s="12">
        <f t="shared" si="136"/>
        <v>2012</v>
      </c>
      <c r="D2931" s="13">
        <v>15000</v>
      </c>
      <c r="E2931" s="13">
        <v>32.814500000000002</v>
      </c>
      <c r="F2931" s="13">
        <f t="shared" si="137"/>
        <v>457.11499489554922</v>
      </c>
    </row>
    <row r="2932" spans="1:6" x14ac:dyDescent="0.25">
      <c r="A2932" s="10">
        <v>41060</v>
      </c>
      <c r="B2932" s="12">
        <f t="shared" si="135"/>
        <v>5</v>
      </c>
      <c r="C2932" s="12">
        <f t="shared" si="136"/>
        <v>2012</v>
      </c>
      <c r="D2932" s="13">
        <v>15000</v>
      </c>
      <c r="E2932" s="13">
        <v>33.386299999999999</v>
      </c>
      <c r="F2932" s="13">
        <f t="shared" si="137"/>
        <v>449.28608441186958</v>
      </c>
    </row>
    <row r="2933" spans="1:6" x14ac:dyDescent="0.25">
      <c r="A2933" s="10">
        <v>41061</v>
      </c>
      <c r="B2933" s="12">
        <f t="shared" si="135"/>
        <v>6</v>
      </c>
      <c r="C2933" s="12">
        <f t="shared" si="136"/>
        <v>2012</v>
      </c>
      <c r="D2933" s="13">
        <v>15000</v>
      </c>
      <c r="E2933" s="13">
        <v>33.6389</v>
      </c>
      <c r="F2933" s="13">
        <f t="shared" si="137"/>
        <v>445.91232174654937</v>
      </c>
    </row>
    <row r="2934" spans="1:6" x14ac:dyDescent="0.25">
      <c r="A2934" s="10">
        <v>41064</v>
      </c>
      <c r="B2934" s="12">
        <f t="shared" si="135"/>
        <v>6</v>
      </c>
      <c r="C2934" s="12">
        <f t="shared" si="136"/>
        <v>2012</v>
      </c>
      <c r="E2934" s="13">
        <v>33.471499999999999</v>
      </c>
      <c r="F2934" s="13" t="str">
        <f t="shared" si="137"/>
        <v/>
      </c>
    </row>
    <row r="2935" spans="1:6" x14ac:dyDescent="0.25">
      <c r="A2935" s="10">
        <v>41065</v>
      </c>
      <c r="B2935" s="12">
        <f t="shared" si="135"/>
        <v>6</v>
      </c>
      <c r="C2935" s="12">
        <f t="shared" si="136"/>
        <v>2012</v>
      </c>
      <c r="E2935" s="13">
        <v>33.061500000000002</v>
      </c>
      <c r="F2935" s="13" t="str">
        <f t="shared" si="137"/>
        <v/>
      </c>
    </row>
    <row r="2936" spans="1:6" x14ac:dyDescent="0.25">
      <c r="A2936" s="10">
        <v>41066</v>
      </c>
      <c r="B2936" s="12">
        <f t="shared" si="135"/>
        <v>6</v>
      </c>
      <c r="C2936" s="12">
        <f t="shared" si="136"/>
        <v>2012</v>
      </c>
      <c r="E2936" s="13">
        <v>32.344700000000003</v>
      </c>
      <c r="F2936" s="13" t="str">
        <f t="shared" si="137"/>
        <v/>
      </c>
    </row>
    <row r="2937" spans="1:6" x14ac:dyDescent="0.25">
      <c r="A2937" s="10">
        <v>41067</v>
      </c>
      <c r="B2937" s="12">
        <f t="shared" si="135"/>
        <v>6</v>
      </c>
      <c r="C2937" s="12">
        <f t="shared" si="136"/>
        <v>2012</v>
      </c>
      <c r="E2937" s="13">
        <v>32.293999999999997</v>
      </c>
      <c r="F2937" s="13" t="str">
        <f t="shared" si="137"/>
        <v/>
      </c>
    </row>
    <row r="2938" spans="1:6" x14ac:dyDescent="0.25">
      <c r="A2938" s="10">
        <v>41068</v>
      </c>
      <c r="B2938" s="12">
        <f t="shared" si="135"/>
        <v>6</v>
      </c>
      <c r="C2938" s="12">
        <f t="shared" si="136"/>
        <v>2012</v>
      </c>
      <c r="E2938" s="13">
        <v>32.524000000000001</v>
      </c>
      <c r="F2938" s="13" t="str">
        <f t="shared" si="137"/>
        <v/>
      </c>
    </row>
    <row r="2939" spans="1:6" x14ac:dyDescent="0.25">
      <c r="A2939" s="10">
        <v>41071</v>
      </c>
      <c r="B2939" s="12">
        <f t="shared" si="135"/>
        <v>6</v>
      </c>
      <c r="C2939" s="12">
        <f t="shared" si="136"/>
        <v>2012</v>
      </c>
      <c r="D2939" s="13">
        <v>15500</v>
      </c>
      <c r="E2939" s="13">
        <v>32.746499999999997</v>
      </c>
      <c r="F2939" s="13">
        <f t="shared" si="137"/>
        <v>473.33302795718629</v>
      </c>
    </row>
    <row r="2940" spans="1:6" x14ac:dyDescent="0.25">
      <c r="A2940" s="10">
        <v>41072</v>
      </c>
      <c r="B2940" s="12">
        <f t="shared" si="135"/>
        <v>6</v>
      </c>
      <c r="C2940" s="12">
        <f t="shared" si="136"/>
        <v>2012</v>
      </c>
      <c r="D2940" s="13">
        <v>15500</v>
      </c>
      <c r="E2940" s="13">
        <v>33.020000000000003</v>
      </c>
      <c r="F2940" s="13">
        <f t="shared" si="137"/>
        <v>469.41247728649302</v>
      </c>
    </row>
    <row r="2941" spans="1:6" x14ac:dyDescent="0.25">
      <c r="A2941" s="10">
        <v>41073</v>
      </c>
      <c r="B2941" s="12">
        <f t="shared" si="135"/>
        <v>6</v>
      </c>
      <c r="C2941" s="12">
        <f t="shared" si="136"/>
        <v>2012</v>
      </c>
      <c r="D2941" s="13">
        <v>15500</v>
      </c>
      <c r="E2941" s="13">
        <v>32.467500000000001</v>
      </c>
      <c r="F2941" s="13">
        <f t="shared" si="137"/>
        <v>477.40047740047737</v>
      </c>
    </row>
    <row r="2942" spans="1:6" x14ac:dyDescent="0.25">
      <c r="A2942" s="10">
        <v>41074</v>
      </c>
      <c r="B2942" s="12">
        <f t="shared" si="135"/>
        <v>6</v>
      </c>
      <c r="C2942" s="12">
        <f t="shared" si="136"/>
        <v>2012</v>
      </c>
      <c r="D2942" s="13">
        <v>15500</v>
      </c>
      <c r="E2942" s="13">
        <v>32.494999999999997</v>
      </c>
      <c r="F2942" s="13">
        <f t="shared" si="137"/>
        <v>476.99646099399911</v>
      </c>
    </row>
    <row r="2943" spans="1:6" x14ac:dyDescent="0.25">
      <c r="A2943" s="10">
        <v>41075</v>
      </c>
      <c r="B2943" s="12">
        <f t="shared" si="135"/>
        <v>6</v>
      </c>
      <c r="C2943" s="12">
        <f t="shared" si="136"/>
        <v>2012</v>
      </c>
      <c r="D2943" s="13">
        <v>15500</v>
      </c>
      <c r="E2943" s="13">
        <v>32.369999999999997</v>
      </c>
      <c r="F2943" s="13">
        <f t="shared" si="137"/>
        <v>478.83843064565957</v>
      </c>
    </row>
    <row r="2944" spans="1:6" x14ac:dyDescent="0.25">
      <c r="A2944" s="10">
        <v>41078</v>
      </c>
      <c r="B2944" s="12">
        <f t="shared" si="135"/>
        <v>6</v>
      </c>
      <c r="C2944" s="12">
        <f t="shared" si="136"/>
        <v>2012</v>
      </c>
      <c r="D2944" s="13">
        <v>15600</v>
      </c>
      <c r="E2944" s="13">
        <v>32.405000000000001</v>
      </c>
      <c r="F2944" s="13">
        <f t="shared" si="137"/>
        <v>481.40719024841843</v>
      </c>
    </row>
    <row r="2945" spans="1:6" x14ac:dyDescent="0.25">
      <c r="A2945" s="10">
        <v>41079</v>
      </c>
      <c r="B2945" s="12">
        <f t="shared" si="135"/>
        <v>6</v>
      </c>
      <c r="C2945" s="12">
        <f t="shared" si="136"/>
        <v>2012</v>
      </c>
      <c r="D2945" s="13">
        <v>15600</v>
      </c>
      <c r="E2945" s="13">
        <v>32.380000000000003</v>
      </c>
      <c r="F2945" s="13">
        <f t="shared" si="137"/>
        <v>481.77887584928965</v>
      </c>
    </row>
    <row r="2946" spans="1:6" x14ac:dyDescent="0.25">
      <c r="A2946" s="10">
        <v>41080</v>
      </c>
      <c r="B2946" s="12">
        <f t="shared" si="135"/>
        <v>6</v>
      </c>
      <c r="C2946" s="12">
        <f t="shared" si="136"/>
        <v>2012</v>
      </c>
      <c r="D2946" s="13">
        <v>15600</v>
      </c>
      <c r="E2946" s="13">
        <v>32.57</v>
      </c>
      <c r="F2946" s="13">
        <f t="shared" si="137"/>
        <v>478.96837580595638</v>
      </c>
    </row>
    <row r="2947" spans="1:6" x14ac:dyDescent="0.25">
      <c r="A2947" s="10">
        <v>41081</v>
      </c>
      <c r="B2947" s="12">
        <f t="shared" ref="B2947:B3010" si="138">MONTH(A2947)</f>
        <v>6</v>
      </c>
      <c r="C2947" s="12">
        <f t="shared" ref="C2947:C3010" si="139">YEAR(A2947)</f>
        <v>2012</v>
      </c>
      <c r="D2947" s="13">
        <v>15600</v>
      </c>
      <c r="E2947" s="13">
        <v>33.177500000000002</v>
      </c>
      <c r="F2947" s="13">
        <f t="shared" ref="F2947:F3010" si="140">IF(D2947="","",D2947/E2947)</f>
        <v>470.19817647502072</v>
      </c>
    </row>
    <row r="2948" spans="1:6" x14ac:dyDescent="0.25">
      <c r="A2948" s="10">
        <v>41082</v>
      </c>
      <c r="B2948" s="12">
        <f t="shared" si="138"/>
        <v>6</v>
      </c>
      <c r="C2948" s="12">
        <f t="shared" si="139"/>
        <v>2012</v>
      </c>
      <c r="D2948" s="13">
        <v>15600</v>
      </c>
      <c r="E2948" s="13">
        <v>33.204999999999998</v>
      </c>
      <c r="F2948" s="13">
        <f t="shared" si="140"/>
        <v>469.80876374040059</v>
      </c>
    </row>
    <row r="2949" spans="1:6" x14ac:dyDescent="0.25">
      <c r="A2949" s="10">
        <v>41085</v>
      </c>
      <c r="B2949" s="12">
        <f t="shared" si="138"/>
        <v>6</v>
      </c>
      <c r="C2949" s="12">
        <f t="shared" si="139"/>
        <v>2012</v>
      </c>
      <c r="D2949" s="13">
        <v>15250</v>
      </c>
      <c r="E2949" s="13">
        <v>33.229999999999997</v>
      </c>
      <c r="F2949" s="13">
        <f t="shared" si="140"/>
        <v>458.92266024676502</v>
      </c>
    </row>
    <row r="2950" spans="1:6" x14ac:dyDescent="0.25">
      <c r="A2950" s="10">
        <v>41086</v>
      </c>
      <c r="B2950" s="12">
        <f t="shared" si="138"/>
        <v>6</v>
      </c>
      <c r="C2950" s="12">
        <f t="shared" si="139"/>
        <v>2012</v>
      </c>
      <c r="D2950" s="13">
        <v>15250</v>
      </c>
      <c r="E2950" s="13">
        <v>32.898000000000003</v>
      </c>
      <c r="F2950" s="13">
        <f t="shared" si="140"/>
        <v>463.55401544166813</v>
      </c>
    </row>
    <row r="2951" spans="1:6" x14ac:dyDescent="0.25">
      <c r="A2951" s="10">
        <v>41087</v>
      </c>
      <c r="B2951" s="12">
        <f t="shared" si="138"/>
        <v>6</v>
      </c>
      <c r="C2951" s="12">
        <f t="shared" si="139"/>
        <v>2012</v>
      </c>
      <c r="D2951" s="13">
        <v>15250</v>
      </c>
      <c r="E2951" s="13">
        <v>32.951000000000001</v>
      </c>
      <c r="F2951" s="13">
        <f t="shared" si="140"/>
        <v>462.80841249127491</v>
      </c>
    </row>
    <row r="2952" spans="1:6" x14ac:dyDescent="0.25">
      <c r="A2952" s="10">
        <v>41088</v>
      </c>
      <c r="B2952" s="12">
        <f t="shared" si="138"/>
        <v>6</v>
      </c>
      <c r="C2952" s="12">
        <f t="shared" si="139"/>
        <v>2012</v>
      </c>
      <c r="D2952" s="13">
        <v>15250</v>
      </c>
      <c r="E2952" s="13">
        <v>33.127499999999998</v>
      </c>
      <c r="F2952" s="13">
        <f t="shared" si="140"/>
        <v>460.34261565164894</v>
      </c>
    </row>
    <row r="2953" spans="1:6" x14ac:dyDescent="0.25">
      <c r="A2953" s="10">
        <v>41089</v>
      </c>
      <c r="B2953" s="12">
        <f t="shared" si="138"/>
        <v>6</v>
      </c>
      <c r="C2953" s="12">
        <f t="shared" si="139"/>
        <v>2012</v>
      </c>
      <c r="D2953" s="13">
        <v>15250</v>
      </c>
      <c r="E2953" s="13">
        <v>32.39</v>
      </c>
      <c r="F2953" s="13">
        <f t="shared" si="140"/>
        <v>470.82432849644954</v>
      </c>
    </row>
    <row r="2954" spans="1:6" x14ac:dyDescent="0.25">
      <c r="A2954" s="10">
        <v>41092</v>
      </c>
      <c r="B2954" s="12">
        <f t="shared" si="138"/>
        <v>7</v>
      </c>
      <c r="C2954" s="12">
        <f t="shared" si="139"/>
        <v>2012</v>
      </c>
      <c r="D2954" s="13">
        <v>14500</v>
      </c>
      <c r="E2954" s="13">
        <v>32.561</v>
      </c>
      <c r="F2954" s="13">
        <f t="shared" si="140"/>
        <v>445.31801848837569</v>
      </c>
    </row>
    <row r="2955" spans="1:6" x14ac:dyDescent="0.25">
      <c r="A2955" s="10">
        <v>41093</v>
      </c>
      <c r="B2955" s="12">
        <f t="shared" si="138"/>
        <v>7</v>
      </c>
      <c r="C2955" s="12">
        <f t="shared" si="139"/>
        <v>2012</v>
      </c>
      <c r="D2955" s="13">
        <v>14500</v>
      </c>
      <c r="E2955" s="13">
        <v>32.223999999999997</v>
      </c>
      <c r="F2955" s="13">
        <f t="shared" si="140"/>
        <v>449.97517378351546</v>
      </c>
    </row>
    <row r="2956" spans="1:6" x14ac:dyDescent="0.25">
      <c r="A2956" s="10">
        <v>41095</v>
      </c>
      <c r="B2956" s="12">
        <f t="shared" si="138"/>
        <v>7</v>
      </c>
      <c r="C2956" s="12">
        <f t="shared" si="139"/>
        <v>2012</v>
      </c>
      <c r="D2956" s="13">
        <v>14500</v>
      </c>
      <c r="E2956" s="13">
        <v>32.512999999999998</v>
      </c>
      <c r="F2956" s="13">
        <f t="shared" si="140"/>
        <v>445.97545597145762</v>
      </c>
    </row>
    <row r="2957" spans="1:6" x14ac:dyDescent="0.25">
      <c r="A2957" s="10">
        <v>41096</v>
      </c>
      <c r="B2957" s="12">
        <f t="shared" si="138"/>
        <v>7</v>
      </c>
      <c r="C2957" s="12">
        <f t="shared" si="139"/>
        <v>2012</v>
      </c>
      <c r="D2957" s="13">
        <v>14500</v>
      </c>
      <c r="E2957" s="13">
        <v>32.86</v>
      </c>
      <c r="F2957" s="13">
        <f t="shared" si="140"/>
        <v>441.26597687157641</v>
      </c>
    </row>
    <row r="2958" spans="1:6" x14ac:dyDescent="0.25">
      <c r="A2958" s="10">
        <v>41099</v>
      </c>
      <c r="B2958" s="12">
        <f t="shared" si="138"/>
        <v>7</v>
      </c>
      <c r="C2958" s="12">
        <f t="shared" si="139"/>
        <v>2012</v>
      </c>
      <c r="D2958" s="13">
        <v>14000</v>
      </c>
      <c r="E2958" s="13">
        <v>32.97</v>
      </c>
      <c r="F2958" s="13">
        <f t="shared" si="140"/>
        <v>424.62845010615712</v>
      </c>
    </row>
    <row r="2959" spans="1:6" x14ac:dyDescent="0.25">
      <c r="A2959" s="10">
        <v>41100</v>
      </c>
      <c r="B2959" s="12">
        <f t="shared" si="138"/>
        <v>7</v>
      </c>
      <c r="C2959" s="12">
        <f t="shared" si="139"/>
        <v>2012</v>
      </c>
      <c r="D2959" s="13">
        <v>14000</v>
      </c>
      <c r="E2959" s="13">
        <v>32.887</v>
      </c>
      <c r="F2959" s="13">
        <f t="shared" si="140"/>
        <v>425.70012466932224</v>
      </c>
    </row>
    <row r="2960" spans="1:6" x14ac:dyDescent="0.25">
      <c r="A2960" s="10">
        <v>41101</v>
      </c>
      <c r="B2960" s="12">
        <f t="shared" si="138"/>
        <v>7</v>
      </c>
      <c r="C2960" s="12">
        <f t="shared" si="139"/>
        <v>2012</v>
      </c>
      <c r="D2960" s="13">
        <v>14000</v>
      </c>
      <c r="E2960" s="13">
        <v>32.701999999999998</v>
      </c>
      <c r="F2960" s="13">
        <f t="shared" si="140"/>
        <v>428.10837257660086</v>
      </c>
    </row>
    <row r="2961" spans="1:6" x14ac:dyDescent="0.25">
      <c r="A2961" s="10">
        <v>41102</v>
      </c>
      <c r="B2961" s="12">
        <f t="shared" si="138"/>
        <v>7</v>
      </c>
      <c r="C2961" s="12">
        <f t="shared" si="139"/>
        <v>2012</v>
      </c>
      <c r="D2961" s="13">
        <v>14000</v>
      </c>
      <c r="E2961" s="13">
        <v>32.737499999999997</v>
      </c>
      <c r="F2961" s="13">
        <f t="shared" si="140"/>
        <v>427.6441389843452</v>
      </c>
    </row>
    <row r="2962" spans="1:6" x14ac:dyDescent="0.25">
      <c r="A2962" s="10">
        <v>41103</v>
      </c>
      <c r="B2962" s="12">
        <f t="shared" si="138"/>
        <v>7</v>
      </c>
      <c r="C2962" s="12">
        <f t="shared" si="139"/>
        <v>2012</v>
      </c>
      <c r="D2962" s="13">
        <v>14000</v>
      </c>
      <c r="E2962" s="13">
        <v>32.557499999999997</v>
      </c>
      <c r="F2962" s="13">
        <f t="shared" si="140"/>
        <v>430.00844659448671</v>
      </c>
    </row>
    <row r="2963" spans="1:6" x14ac:dyDescent="0.25">
      <c r="A2963" s="10">
        <v>41106</v>
      </c>
      <c r="B2963" s="12">
        <f t="shared" si="138"/>
        <v>7</v>
      </c>
      <c r="C2963" s="12">
        <f t="shared" si="139"/>
        <v>2012</v>
      </c>
      <c r="D2963" s="13">
        <v>14000</v>
      </c>
      <c r="E2963" s="13">
        <v>32.527500000000003</v>
      </c>
      <c r="F2963" s="13">
        <f t="shared" si="140"/>
        <v>430.4050418876335</v>
      </c>
    </row>
    <row r="2964" spans="1:6" x14ac:dyDescent="0.25">
      <c r="A2964" s="10">
        <v>41107</v>
      </c>
      <c r="B2964" s="12">
        <f t="shared" si="138"/>
        <v>7</v>
      </c>
      <c r="C2964" s="12">
        <f t="shared" si="139"/>
        <v>2012</v>
      </c>
      <c r="D2964" s="13">
        <v>14000</v>
      </c>
      <c r="E2964" s="13">
        <v>32.337299999999999</v>
      </c>
      <c r="F2964" s="13">
        <f t="shared" si="140"/>
        <v>432.93657788374418</v>
      </c>
    </row>
    <row r="2965" spans="1:6" x14ac:dyDescent="0.25">
      <c r="A2965" s="10">
        <v>41108</v>
      </c>
      <c r="B2965" s="12">
        <f t="shared" si="138"/>
        <v>7</v>
      </c>
      <c r="C2965" s="12">
        <f t="shared" si="139"/>
        <v>2012</v>
      </c>
      <c r="D2965" s="13">
        <v>14000</v>
      </c>
      <c r="E2965" s="13">
        <v>32.216500000000003</v>
      </c>
      <c r="F2965" s="13">
        <f t="shared" si="140"/>
        <v>434.55993047041108</v>
      </c>
    </row>
    <row r="2966" spans="1:6" x14ac:dyDescent="0.25">
      <c r="A2966" s="10">
        <v>41109</v>
      </c>
      <c r="B2966" s="12">
        <f t="shared" si="138"/>
        <v>7</v>
      </c>
      <c r="C2966" s="12">
        <f t="shared" si="139"/>
        <v>2012</v>
      </c>
      <c r="D2966" s="13">
        <v>14000</v>
      </c>
      <c r="E2966" s="13">
        <v>31.811699999999998</v>
      </c>
      <c r="F2966" s="13">
        <f t="shared" si="140"/>
        <v>440.08965254921935</v>
      </c>
    </row>
    <row r="2967" spans="1:6" x14ac:dyDescent="0.25">
      <c r="A2967" s="10">
        <v>41110</v>
      </c>
      <c r="B2967" s="12">
        <f t="shared" si="138"/>
        <v>7</v>
      </c>
      <c r="C2967" s="12">
        <f t="shared" si="139"/>
        <v>2012</v>
      </c>
      <c r="D2967" s="13">
        <v>14000</v>
      </c>
      <c r="E2967" s="13">
        <v>32.048400000000001</v>
      </c>
      <c r="F2967" s="13">
        <f t="shared" si="140"/>
        <v>436.83928058811046</v>
      </c>
    </row>
    <row r="2968" spans="1:6" x14ac:dyDescent="0.25">
      <c r="A2968" s="10">
        <v>41113</v>
      </c>
      <c r="B2968" s="12">
        <f t="shared" si="138"/>
        <v>7</v>
      </c>
      <c r="C2968" s="12">
        <f t="shared" si="139"/>
        <v>2012</v>
      </c>
      <c r="E2968" s="13">
        <v>32.657400000000003</v>
      </c>
      <c r="F2968" s="13" t="str">
        <f t="shared" si="140"/>
        <v/>
      </c>
    </row>
    <row r="2969" spans="1:6" x14ac:dyDescent="0.25">
      <c r="A2969" s="10">
        <v>41114</v>
      </c>
      <c r="B2969" s="12">
        <f t="shared" si="138"/>
        <v>7</v>
      </c>
      <c r="C2969" s="12">
        <f t="shared" si="139"/>
        <v>2012</v>
      </c>
      <c r="E2969" s="13">
        <v>32.930700000000002</v>
      </c>
      <c r="F2969" s="13" t="str">
        <f t="shared" si="140"/>
        <v/>
      </c>
    </row>
    <row r="2970" spans="1:6" x14ac:dyDescent="0.25">
      <c r="A2970" s="10">
        <v>41115</v>
      </c>
      <c r="B2970" s="12">
        <f t="shared" si="138"/>
        <v>7</v>
      </c>
      <c r="C2970" s="12">
        <f t="shared" si="139"/>
        <v>2012</v>
      </c>
      <c r="E2970" s="13">
        <v>32.638300000000001</v>
      </c>
      <c r="F2970" s="13" t="str">
        <f t="shared" si="140"/>
        <v/>
      </c>
    </row>
    <row r="2971" spans="1:6" x14ac:dyDescent="0.25">
      <c r="A2971" s="10">
        <v>41116</v>
      </c>
      <c r="B2971" s="12">
        <f t="shared" si="138"/>
        <v>7</v>
      </c>
      <c r="C2971" s="12">
        <f t="shared" si="139"/>
        <v>2012</v>
      </c>
      <c r="E2971" s="13">
        <v>32.344700000000003</v>
      </c>
      <c r="F2971" s="13" t="str">
        <f t="shared" si="140"/>
        <v/>
      </c>
    </row>
    <row r="2972" spans="1:6" x14ac:dyDescent="0.25">
      <c r="A2972" s="10">
        <v>41117</v>
      </c>
      <c r="B2972" s="12">
        <f t="shared" si="138"/>
        <v>7</v>
      </c>
      <c r="C2972" s="12">
        <f t="shared" si="139"/>
        <v>2012</v>
      </c>
      <c r="E2972" s="13">
        <v>32.03</v>
      </c>
      <c r="F2972" s="13" t="str">
        <f t="shared" si="140"/>
        <v/>
      </c>
    </row>
    <row r="2973" spans="1:6" x14ac:dyDescent="0.25">
      <c r="A2973" s="10">
        <v>41120</v>
      </c>
      <c r="B2973" s="12">
        <f t="shared" si="138"/>
        <v>7</v>
      </c>
      <c r="C2973" s="12">
        <f t="shared" si="139"/>
        <v>2012</v>
      </c>
      <c r="E2973" s="13">
        <v>32.164400000000001</v>
      </c>
      <c r="F2973" s="13" t="str">
        <f t="shared" si="140"/>
        <v/>
      </c>
    </row>
    <row r="2974" spans="1:6" x14ac:dyDescent="0.25">
      <c r="A2974" s="10">
        <v>41121</v>
      </c>
      <c r="B2974" s="12">
        <f t="shared" si="138"/>
        <v>7</v>
      </c>
      <c r="C2974" s="12">
        <f t="shared" si="139"/>
        <v>2012</v>
      </c>
      <c r="E2974" s="13">
        <v>32.198599999999999</v>
      </c>
      <c r="F2974" s="13" t="str">
        <f t="shared" si="140"/>
        <v/>
      </c>
    </row>
    <row r="2975" spans="1:6" x14ac:dyDescent="0.25">
      <c r="A2975" s="10">
        <v>41122</v>
      </c>
      <c r="B2975" s="12">
        <f t="shared" si="138"/>
        <v>8</v>
      </c>
      <c r="C2975" s="12">
        <f t="shared" si="139"/>
        <v>2012</v>
      </c>
      <c r="E2975" s="13">
        <v>32.389499999999998</v>
      </c>
      <c r="F2975" s="13" t="str">
        <f t="shared" si="140"/>
        <v/>
      </c>
    </row>
    <row r="2976" spans="1:6" x14ac:dyDescent="0.25">
      <c r="A2976" s="10">
        <v>41123</v>
      </c>
      <c r="B2976" s="12">
        <f t="shared" si="138"/>
        <v>8</v>
      </c>
      <c r="C2976" s="12">
        <f t="shared" si="139"/>
        <v>2012</v>
      </c>
      <c r="E2976" s="13">
        <v>32.655000000000001</v>
      </c>
      <c r="F2976" s="13" t="str">
        <f t="shared" si="140"/>
        <v/>
      </c>
    </row>
    <row r="2977" spans="1:6" x14ac:dyDescent="0.25">
      <c r="A2977" s="10">
        <v>41124</v>
      </c>
      <c r="B2977" s="12">
        <f t="shared" si="138"/>
        <v>8</v>
      </c>
      <c r="C2977" s="12">
        <f t="shared" si="139"/>
        <v>2012</v>
      </c>
      <c r="E2977" s="13">
        <v>31.984999999999999</v>
      </c>
      <c r="F2977" s="13" t="str">
        <f t="shared" si="140"/>
        <v/>
      </c>
    </row>
    <row r="2978" spans="1:6" x14ac:dyDescent="0.25">
      <c r="A2978" s="10">
        <v>41127</v>
      </c>
      <c r="B2978" s="12">
        <f t="shared" si="138"/>
        <v>8</v>
      </c>
      <c r="C2978" s="12">
        <f t="shared" si="139"/>
        <v>2012</v>
      </c>
      <c r="E2978" s="13">
        <v>31.5625</v>
      </c>
      <c r="F2978" s="13" t="str">
        <f t="shared" si="140"/>
        <v/>
      </c>
    </row>
    <row r="2979" spans="1:6" x14ac:dyDescent="0.25">
      <c r="A2979" s="10">
        <v>41128</v>
      </c>
      <c r="B2979" s="12">
        <f t="shared" si="138"/>
        <v>8</v>
      </c>
      <c r="C2979" s="12">
        <f t="shared" si="139"/>
        <v>2012</v>
      </c>
      <c r="E2979" s="13">
        <v>31.5321</v>
      </c>
      <c r="F2979" s="13" t="str">
        <f t="shared" si="140"/>
        <v/>
      </c>
    </row>
    <row r="2980" spans="1:6" x14ac:dyDescent="0.25">
      <c r="A2980" s="10">
        <v>41129</v>
      </c>
      <c r="B2980" s="12">
        <f t="shared" si="138"/>
        <v>8</v>
      </c>
      <c r="C2980" s="12">
        <f t="shared" si="139"/>
        <v>2012</v>
      </c>
      <c r="E2980" s="13">
        <v>31.520199999999999</v>
      </c>
      <c r="F2980" s="13" t="str">
        <f t="shared" si="140"/>
        <v/>
      </c>
    </row>
    <row r="2981" spans="1:6" x14ac:dyDescent="0.25">
      <c r="A2981" s="10">
        <v>41130</v>
      </c>
      <c r="B2981" s="12">
        <f t="shared" si="138"/>
        <v>8</v>
      </c>
      <c r="C2981" s="12">
        <f t="shared" si="139"/>
        <v>2012</v>
      </c>
      <c r="E2981" s="13">
        <v>31.704999999999998</v>
      </c>
      <c r="F2981" s="13" t="str">
        <f t="shared" si="140"/>
        <v/>
      </c>
    </row>
    <row r="2982" spans="1:6" x14ac:dyDescent="0.25">
      <c r="A2982" s="10">
        <v>41131</v>
      </c>
      <c r="B2982" s="12">
        <f t="shared" si="138"/>
        <v>8</v>
      </c>
      <c r="C2982" s="12">
        <f t="shared" si="139"/>
        <v>2012</v>
      </c>
      <c r="E2982" s="13">
        <v>31.824999999999999</v>
      </c>
      <c r="F2982" s="13" t="str">
        <f t="shared" si="140"/>
        <v/>
      </c>
    </row>
    <row r="2983" spans="1:6" x14ac:dyDescent="0.25">
      <c r="A2983" s="10">
        <v>41134</v>
      </c>
      <c r="B2983" s="12">
        <f t="shared" si="138"/>
        <v>8</v>
      </c>
      <c r="C2983" s="12">
        <f t="shared" si="139"/>
        <v>2012</v>
      </c>
      <c r="E2983" s="13">
        <v>31.861799999999999</v>
      </c>
      <c r="F2983" s="13" t="str">
        <f t="shared" si="140"/>
        <v/>
      </c>
    </row>
    <row r="2984" spans="1:6" x14ac:dyDescent="0.25">
      <c r="A2984" s="10">
        <v>41135</v>
      </c>
      <c r="B2984" s="12">
        <f t="shared" si="138"/>
        <v>8</v>
      </c>
      <c r="C2984" s="12">
        <f t="shared" si="139"/>
        <v>2012</v>
      </c>
      <c r="E2984" s="13">
        <v>31.831499999999998</v>
      </c>
      <c r="F2984" s="13" t="str">
        <f t="shared" si="140"/>
        <v/>
      </c>
    </row>
    <row r="2985" spans="1:6" x14ac:dyDescent="0.25">
      <c r="A2985" s="10">
        <v>41136</v>
      </c>
      <c r="B2985" s="12">
        <f t="shared" si="138"/>
        <v>8</v>
      </c>
      <c r="C2985" s="12">
        <f t="shared" si="139"/>
        <v>2012</v>
      </c>
      <c r="E2985" s="13">
        <v>31.856000000000002</v>
      </c>
      <c r="F2985" s="13" t="str">
        <f t="shared" si="140"/>
        <v/>
      </c>
    </row>
    <row r="2986" spans="1:6" x14ac:dyDescent="0.25">
      <c r="A2986" s="10">
        <v>41137</v>
      </c>
      <c r="B2986" s="12">
        <f t="shared" si="138"/>
        <v>8</v>
      </c>
      <c r="C2986" s="12">
        <f t="shared" si="139"/>
        <v>2012</v>
      </c>
      <c r="E2986" s="13">
        <v>31.846900000000002</v>
      </c>
      <c r="F2986" s="13" t="str">
        <f t="shared" si="140"/>
        <v/>
      </c>
    </row>
    <row r="2987" spans="1:6" x14ac:dyDescent="0.25">
      <c r="A2987" s="10">
        <v>41138</v>
      </c>
      <c r="B2987" s="12">
        <f t="shared" si="138"/>
        <v>8</v>
      </c>
      <c r="C2987" s="12">
        <f t="shared" si="139"/>
        <v>2012</v>
      </c>
      <c r="E2987" s="13">
        <v>32.032499999999999</v>
      </c>
      <c r="F2987" s="13" t="str">
        <f t="shared" si="140"/>
        <v/>
      </c>
    </row>
    <row r="2988" spans="1:6" x14ac:dyDescent="0.25">
      <c r="A2988" s="10">
        <v>41141</v>
      </c>
      <c r="B2988" s="12">
        <f t="shared" si="138"/>
        <v>8</v>
      </c>
      <c r="C2988" s="12">
        <f t="shared" si="139"/>
        <v>2012</v>
      </c>
      <c r="E2988" s="13">
        <v>32.045999999999999</v>
      </c>
      <c r="F2988" s="13" t="str">
        <f t="shared" si="140"/>
        <v/>
      </c>
    </row>
    <row r="2989" spans="1:6" x14ac:dyDescent="0.25">
      <c r="A2989" s="10">
        <v>41142</v>
      </c>
      <c r="B2989" s="12">
        <f t="shared" si="138"/>
        <v>8</v>
      </c>
      <c r="C2989" s="12">
        <f t="shared" si="139"/>
        <v>2012</v>
      </c>
      <c r="E2989" s="13">
        <v>31.752500000000001</v>
      </c>
      <c r="F2989" s="13" t="str">
        <f t="shared" si="140"/>
        <v/>
      </c>
    </row>
    <row r="2990" spans="1:6" x14ac:dyDescent="0.25">
      <c r="A2990" s="10">
        <v>41143</v>
      </c>
      <c r="B2990" s="12">
        <f t="shared" si="138"/>
        <v>8</v>
      </c>
      <c r="C2990" s="12">
        <f t="shared" si="139"/>
        <v>2012</v>
      </c>
      <c r="E2990" s="13">
        <v>31.771100000000001</v>
      </c>
      <c r="F2990" s="13" t="str">
        <f t="shared" si="140"/>
        <v/>
      </c>
    </row>
    <row r="2991" spans="1:6" x14ac:dyDescent="0.25">
      <c r="A2991" s="10">
        <v>41144</v>
      </c>
      <c r="B2991" s="12">
        <f t="shared" si="138"/>
        <v>8</v>
      </c>
      <c r="C2991" s="12">
        <f t="shared" si="139"/>
        <v>2012</v>
      </c>
      <c r="E2991" s="13">
        <v>31.682700000000001</v>
      </c>
      <c r="F2991" s="13" t="str">
        <f t="shared" si="140"/>
        <v/>
      </c>
    </row>
    <row r="2992" spans="1:6" x14ac:dyDescent="0.25">
      <c r="A2992" s="10">
        <v>41145</v>
      </c>
      <c r="B2992" s="12">
        <f t="shared" si="138"/>
        <v>8</v>
      </c>
      <c r="C2992" s="12">
        <f t="shared" si="139"/>
        <v>2012</v>
      </c>
      <c r="E2992" s="13">
        <v>31.81</v>
      </c>
      <c r="F2992" s="13" t="str">
        <f t="shared" si="140"/>
        <v/>
      </c>
    </row>
    <row r="2993" spans="1:6" x14ac:dyDescent="0.25">
      <c r="A2993" s="10">
        <v>41148</v>
      </c>
      <c r="B2993" s="12">
        <f t="shared" si="138"/>
        <v>8</v>
      </c>
      <c r="C2993" s="12">
        <f t="shared" si="139"/>
        <v>2012</v>
      </c>
      <c r="D2993" s="13">
        <v>16000</v>
      </c>
      <c r="E2993" s="13">
        <v>31.895</v>
      </c>
      <c r="F2993" s="13">
        <f t="shared" si="140"/>
        <v>501.64602602288761</v>
      </c>
    </row>
    <row r="2994" spans="1:6" x14ac:dyDescent="0.25">
      <c r="A2994" s="10">
        <v>41149</v>
      </c>
      <c r="B2994" s="12">
        <f t="shared" si="138"/>
        <v>8</v>
      </c>
      <c r="C2994" s="12">
        <f t="shared" si="139"/>
        <v>2012</v>
      </c>
      <c r="D2994" s="13">
        <v>16000</v>
      </c>
      <c r="E2994" s="13">
        <v>31.980399999999999</v>
      </c>
      <c r="F2994" s="13">
        <f t="shared" si="140"/>
        <v>500.30643769308705</v>
      </c>
    </row>
    <row r="2995" spans="1:6" x14ac:dyDescent="0.25">
      <c r="A2995" s="10">
        <v>41150</v>
      </c>
      <c r="B2995" s="12">
        <f t="shared" si="138"/>
        <v>8</v>
      </c>
      <c r="C2995" s="12">
        <f t="shared" si="139"/>
        <v>2012</v>
      </c>
      <c r="D2995" s="13">
        <v>16000</v>
      </c>
      <c r="E2995" s="13">
        <v>32.200699999999998</v>
      </c>
      <c r="F2995" s="13">
        <f t="shared" si="140"/>
        <v>496.88360812032039</v>
      </c>
    </row>
    <row r="2996" spans="1:6" x14ac:dyDescent="0.25">
      <c r="A2996" s="10">
        <v>41151</v>
      </c>
      <c r="B2996" s="12">
        <f t="shared" si="138"/>
        <v>8</v>
      </c>
      <c r="C2996" s="12">
        <f t="shared" si="139"/>
        <v>2012</v>
      </c>
      <c r="D2996" s="13">
        <v>16000</v>
      </c>
      <c r="E2996" s="13">
        <v>32.546500000000002</v>
      </c>
      <c r="F2996" s="13">
        <f t="shared" si="140"/>
        <v>491.60431997296172</v>
      </c>
    </row>
    <row r="2997" spans="1:6" x14ac:dyDescent="0.25">
      <c r="A2997" s="10">
        <v>41152</v>
      </c>
      <c r="B2997" s="12">
        <f t="shared" si="138"/>
        <v>8</v>
      </c>
      <c r="C2997" s="12">
        <f t="shared" si="139"/>
        <v>2012</v>
      </c>
      <c r="D2997" s="13">
        <v>16000</v>
      </c>
      <c r="E2997" s="13">
        <v>32.244999999999997</v>
      </c>
      <c r="F2997" s="13">
        <f t="shared" si="140"/>
        <v>496.2009613893627</v>
      </c>
    </row>
    <row r="2998" spans="1:6" x14ac:dyDescent="0.25">
      <c r="A2998" s="10">
        <v>41156</v>
      </c>
      <c r="B2998" s="12">
        <f t="shared" si="138"/>
        <v>9</v>
      </c>
      <c r="C2998" s="12">
        <f t="shared" si="139"/>
        <v>2012</v>
      </c>
      <c r="D2998" s="13">
        <v>16000</v>
      </c>
      <c r="E2998" s="13">
        <v>32.283999999999999</v>
      </c>
      <c r="F2998" s="13">
        <f t="shared" si="140"/>
        <v>495.60153636476275</v>
      </c>
    </row>
    <row r="2999" spans="1:6" x14ac:dyDescent="0.25">
      <c r="A2999" s="10">
        <v>41157</v>
      </c>
      <c r="B2999" s="12">
        <f t="shared" si="138"/>
        <v>9</v>
      </c>
      <c r="C2999" s="12">
        <f t="shared" si="139"/>
        <v>2012</v>
      </c>
      <c r="D2999" s="13">
        <v>16000</v>
      </c>
      <c r="E2999" s="13">
        <v>32.283799999999999</v>
      </c>
      <c r="F2999" s="13">
        <f t="shared" si="140"/>
        <v>495.60460664481877</v>
      </c>
    </row>
    <row r="3000" spans="1:6" x14ac:dyDescent="0.25">
      <c r="A3000" s="10">
        <v>41158</v>
      </c>
      <c r="B3000" s="12">
        <f t="shared" si="138"/>
        <v>9</v>
      </c>
      <c r="C3000" s="12">
        <f t="shared" si="139"/>
        <v>2012</v>
      </c>
      <c r="D3000" s="13">
        <v>16000</v>
      </c>
      <c r="E3000" s="13">
        <v>31.944600000000001</v>
      </c>
      <c r="F3000" s="13">
        <f t="shared" si="140"/>
        <v>500.86712621225496</v>
      </c>
    </row>
    <row r="3001" spans="1:6" x14ac:dyDescent="0.25">
      <c r="A3001" s="10">
        <v>41159</v>
      </c>
      <c r="B3001" s="12">
        <f t="shared" si="138"/>
        <v>9</v>
      </c>
      <c r="C3001" s="12">
        <f t="shared" si="139"/>
        <v>2012</v>
      </c>
      <c r="D3001" s="13">
        <v>16000</v>
      </c>
      <c r="E3001" s="13">
        <v>31.66</v>
      </c>
      <c r="F3001" s="13">
        <f t="shared" si="140"/>
        <v>505.36955148452307</v>
      </c>
    </row>
    <row r="3002" spans="1:6" x14ac:dyDescent="0.25">
      <c r="A3002" s="10">
        <v>41162</v>
      </c>
      <c r="B3002" s="12">
        <f t="shared" si="138"/>
        <v>9</v>
      </c>
      <c r="C3002" s="12">
        <f t="shared" si="139"/>
        <v>2012</v>
      </c>
      <c r="D3002" s="13">
        <v>18000</v>
      </c>
      <c r="E3002" s="13">
        <v>31.6646</v>
      </c>
      <c r="F3002" s="13">
        <f t="shared" si="140"/>
        <v>568.45815200570985</v>
      </c>
    </row>
    <row r="3003" spans="1:6" x14ac:dyDescent="0.25">
      <c r="A3003" s="10">
        <v>41163</v>
      </c>
      <c r="B3003" s="12">
        <f t="shared" si="138"/>
        <v>9</v>
      </c>
      <c r="C3003" s="12">
        <f t="shared" si="139"/>
        <v>2012</v>
      </c>
      <c r="D3003" s="13">
        <v>18000</v>
      </c>
      <c r="E3003" s="13">
        <v>31.499500000000001</v>
      </c>
      <c r="F3003" s="13">
        <f t="shared" si="140"/>
        <v>571.43764186733119</v>
      </c>
    </row>
    <row r="3004" spans="1:6" x14ac:dyDescent="0.25">
      <c r="A3004" s="10">
        <v>41164</v>
      </c>
      <c r="B3004" s="12">
        <f t="shared" si="138"/>
        <v>9</v>
      </c>
      <c r="C3004" s="12">
        <f t="shared" si="139"/>
        <v>2012</v>
      </c>
      <c r="D3004" s="13">
        <v>18000</v>
      </c>
      <c r="E3004" s="13">
        <v>31.443200000000001</v>
      </c>
      <c r="F3004" s="13">
        <f t="shared" si="140"/>
        <v>572.46081823732948</v>
      </c>
    </row>
    <row r="3005" spans="1:6" x14ac:dyDescent="0.25">
      <c r="A3005" s="10">
        <v>41165</v>
      </c>
      <c r="B3005" s="12">
        <f t="shared" si="138"/>
        <v>9</v>
      </c>
      <c r="C3005" s="12">
        <f t="shared" si="139"/>
        <v>2012</v>
      </c>
      <c r="D3005" s="13">
        <v>18000</v>
      </c>
      <c r="E3005" s="13">
        <v>31.061399999999999</v>
      </c>
      <c r="F3005" s="13">
        <f t="shared" si="140"/>
        <v>579.49738260348863</v>
      </c>
    </row>
    <row r="3006" spans="1:6" x14ac:dyDescent="0.25">
      <c r="A3006" s="10">
        <v>41166</v>
      </c>
      <c r="B3006" s="12">
        <f t="shared" si="138"/>
        <v>9</v>
      </c>
      <c r="C3006" s="12">
        <f t="shared" si="139"/>
        <v>2012</v>
      </c>
      <c r="D3006" s="13">
        <v>18000</v>
      </c>
      <c r="E3006" s="13">
        <v>30.489000000000001</v>
      </c>
      <c r="F3006" s="13">
        <f t="shared" si="140"/>
        <v>590.37685722719664</v>
      </c>
    </row>
    <row r="3007" spans="1:6" x14ac:dyDescent="0.25">
      <c r="A3007" s="10">
        <v>41169</v>
      </c>
      <c r="B3007" s="12">
        <f t="shared" si="138"/>
        <v>9</v>
      </c>
      <c r="C3007" s="12">
        <f t="shared" si="139"/>
        <v>2012</v>
      </c>
      <c r="D3007" s="13">
        <v>19250</v>
      </c>
      <c r="E3007" s="13">
        <v>30.6219</v>
      </c>
      <c r="F3007" s="13">
        <f t="shared" si="140"/>
        <v>628.63506183483059</v>
      </c>
    </row>
    <row r="3008" spans="1:6" x14ac:dyDescent="0.25">
      <c r="A3008" s="10">
        <v>41170</v>
      </c>
      <c r="B3008" s="12">
        <f t="shared" si="138"/>
        <v>9</v>
      </c>
      <c r="C3008" s="12">
        <f t="shared" si="139"/>
        <v>2012</v>
      </c>
      <c r="D3008" s="13">
        <v>19250</v>
      </c>
      <c r="E3008" s="13">
        <v>30.898</v>
      </c>
      <c r="F3008" s="13">
        <f t="shared" si="140"/>
        <v>623.01767104666965</v>
      </c>
    </row>
    <row r="3009" spans="1:6" x14ac:dyDescent="0.25">
      <c r="A3009" s="10">
        <v>41171</v>
      </c>
      <c r="B3009" s="12">
        <f t="shared" si="138"/>
        <v>9</v>
      </c>
      <c r="C3009" s="12">
        <f t="shared" si="139"/>
        <v>2012</v>
      </c>
      <c r="D3009" s="13">
        <v>19250</v>
      </c>
      <c r="E3009" s="13">
        <v>31.196000000000002</v>
      </c>
      <c r="F3009" s="13">
        <f t="shared" si="140"/>
        <v>617.06629055007045</v>
      </c>
    </row>
    <row r="3010" spans="1:6" x14ac:dyDescent="0.25">
      <c r="A3010" s="10">
        <v>41172</v>
      </c>
      <c r="B3010" s="12">
        <f t="shared" si="138"/>
        <v>9</v>
      </c>
      <c r="C3010" s="12">
        <f t="shared" si="139"/>
        <v>2012</v>
      </c>
      <c r="D3010" s="13">
        <v>19250</v>
      </c>
      <c r="E3010" s="13">
        <v>31.224699999999999</v>
      </c>
      <c r="F3010" s="13">
        <f t="shared" si="140"/>
        <v>616.49911768567836</v>
      </c>
    </row>
    <row r="3011" spans="1:6" x14ac:dyDescent="0.25">
      <c r="A3011" s="10">
        <v>41173</v>
      </c>
      <c r="B3011" s="12">
        <f t="shared" ref="B3011:B3074" si="141">MONTH(A3011)</f>
        <v>9</v>
      </c>
      <c r="C3011" s="12">
        <f t="shared" ref="C3011:C3074" si="142">YEAR(A3011)</f>
        <v>2012</v>
      </c>
      <c r="D3011" s="13">
        <v>19250</v>
      </c>
      <c r="E3011" s="13">
        <v>31.027999999999999</v>
      </c>
      <c r="F3011" s="13">
        <f t="shared" ref="F3011:F3074" si="143">IF(D3011="","",D3011/E3011)</f>
        <v>620.40737398478791</v>
      </c>
    </row>
    <row r="3012" spans="1:6" x14ac:dyDescent="0.25">
      <c r="A3012" s="10">
        <v>41176</v>
      </c>
      <c r="B3012" s="12">
        <f t="shared" si="141"/>
        <v>9</v>
      </c>
      <c r="C3012" s="12">
        <f t="shared" si="142"/>
        <v>2012</v>
      </c>
      <c r="D3012" s="13">
        <v>19250</v>
      </c>
      <c r="E3012" s="13">
        <v>31.130500000000001</v>
      </c>
      <c r="F3012" s="13">
        <f t="shared" si="143"/>
        <v>618.36462633109011</v>
      </c>
    </row>
    <row r="3013" spans="1:6" x14ac:dyDescent="0.25">
      <c r="A3013" s="10">
        <v>41177</v>
      </c>
      <c r="B3013" s="12">
        <f t="shared" si="141"/>
        <v>9</v>
      </c>
      <c r="C3013" s="12">
        <f t="shared" si="142"/>
        <v>2012</v>
      </c>
      <c r="D3013" s="13">
        <v>19250</v>
      </c>
      <c r="E3013" s="13">
        <v>31.195</v>
      </c>
      <c r="F3013" s="13">
        <f t="shared" si="143"/>
        <v>617.08607148581507</v>
      </c>
    </row>
    <row r="3014" spans="1:6" x14ac:dyDescent="0.25">
      <c r="A3014" s="10">
        <v>41178</v>
      </c>
      <c r="B3014" s="12">
        <f t="shared" si="141"/>
        <v>9</v>
      </c>
      <c r="C3014" s="12">
        <f t="shared" si="142"/>
        <v>2012</v>
      </c>
      <c r="D3014" s="13">
        <v>19250</v>
      </c>
      <c r="E3014" s="13">
        <v>31.295500000000001</v>
      </c>
      <c r="F3014" s="13">
        <f t="shared" si="143"/>
        <v>615.10440798197828</v>
      </c>
    </row>
    <row r="3015" spans="1:6" x14ac:dyDescent="0.25">
      <c r="A3015" s="10">
        <v>41179</v>
      </c>
      <c r="B3015" s="12">
        <f t="shared" si="141"/>
        <v>9</v>
      </c>
      <c r="C3015" s="12">
        <f t="shared" si="142"/>
        <v>2012</v>
      </c>
      <c r="D3015" s="13">
        <v>19250</v>
      </c>
      <c r="E3015" s="13">
        <v>30.975999999999999</v>
      </c>
      <c r="F3015" s="13">
        <f t="shared" si="143"/>
        <v>621.44886363636363</v>
      </c>
    </row>
    <row r="3016" spans="1:6" x14ac:dyDescent="0.25">
      <c r="A3016" s="10">
        <v>41180</v>
      </c>
      <c r="B3016" s="12">
        <f t="shared" si="141"/>
        <v>9</v>
      </c>
      <c r="C3016" s="12">
        <f t="shared" si="142"/>
        <v>2012</v>
      </c>
      <c r="D3016" s="13">
        <v>19250</v>
      </c>
      <c r="E3016" s="13">
        <v>31.18</v>
      </c>
      <c r="F3016" s="13">
        <f t="shared" si="143"/>
        <v>617.38293778062859</v>
      </c>
    </row>
    <row r="3017" spans="1:6" x14ac:dyDescent="0.25">
      <c r="A3017" s="10">
        <v>41183</v>
      </c>
      <c r="B3017" s="12">
        <f t="shared" si="141"/>
        <v>10</v>
      </c>
      <c r="C3017" s="12">
        <f t="shared" si="142"/>
        <v>2012</v>
      </c>
      <c r="D3017" s="13">
        <v>19000</v>
      </c>
      <c r="E3017" s="13">
        <v>31.195</v>
      </c>
      <c r="F3017" s="13">
        <f t="shared" si="143"/>
        <v>609.07196666132393</v>
      </c>
    </row>
    <row r="3018" spans="1:6" x14ac:dyDescent="0.25">
      <c r="A3018" s="10">
        <v>41184</v>
      </c>
      <c r="B3018" s="12">
        <f t="shared" si="141"/>
        <v>10</v>
      </c>
      <c r="C3018" s="12">
        <f t="shared" si="142"/>
        <v>2012</v>
      </c>
      <c r="D3018" s="13">
        <v>19000</v>
      </c>
      <c r="E3018" s="13">
        <v>31.13</v>
      </c>
      <c r="F3018" s="13">
        <f t="shared" si="143"/>
        <v>610.34371988435589</v>
      </c>
    </row>
    <row r="3019" spans="1:6" x14ac:dyDescent="0.25">
      <c r="A3019" s="10">
        <v>41185</v>
      </c>
      <c r="B3019" s="12">
        <f t="shared" si="141"/>
        <v>10</v>
      </c>
      <c r="C3019" s="12">
        <f t="shared" si="142"/>
        <v>2012</v>
      </c>
      <c r="D3019" s="13">
        <v>19000</v>
      </c>
      <c r="E3019" s="13">
        <v>31.148299999999999</v>
      </c>
      <c r="F3019" s="13">
        <f t="shared" si="143"/>
        <v>609.98513562537926</v>
      </c>
    </row>
    <row r="3020" spans="1:6" x14ac:dyDescent="0.25">
      <c r="A3020" s="10">
        <v>41186</v>
      </c>
      <c r="B3020" s="12">
        <f t="shared" si="141"/>
        <v>10</v>
      </c>
      <c r="C3020" s="12">
        <f t="shared" si="142"/>
        <v>2012</v>
      </c>
      <c r="D3020" s="13">
        <v>19000</v>
      </c>
      <c r="E3020" s="13">
        <v>30.98</v>
      </c>
      <c r="F3020" s="13">
        <f t="shared" si="143"/>
        <v>613.29890251775339</v>
      </c>
    </row>
    <row r="3021" spans="1:6" x14ac:dyDescent="0.25">
      <c r="A3021" s="10">
        <v>41187</v>
      </c>
      <c r="B3021" s="12">
        <f t="shared" si="141"/>
        <v>10</v>
      </c>
      <c r="C3021" s="12">
        <f t="shared" si="142"/>
        <v>2012</v>
      </c>
      <c r="D3021" s="13">
        <v>19000</v>
      </c>
      <c r="E3021" s="13">
        <v>30.9953</v>
      </c>
      <c r="F3021" s="13">
        <f t="shared" si="143"/>
        <v>612.99616393453198</v>
      </c>
    </row>
    <row r="3022" spans="1:6" x14ac:dyDescent="0.25">
      <c r="A3022" s="10">
        <v>41190</v>
      </c>
      <c r="B3022" s="12">
        <f t="shared" si="141"/>
        <v>10</v>
      </c>
      <c r="C3022" s="12">
        <f t="shared" si="142"/>
        <v>2012</v>
      </c>
      <c r="D3022" s="13">
        <v>17500</v>
      </c>
      <c r="E3022" s="13">
        <v>31.171800000000001</v>
      </c>
      <c r="F3022" s="13">
        <f t="shared" si="143"/>
        <v>561.40485952046402</v>
      </c>
    </row>
    <row r="3023" spans="1:6" x14ac:dyDescent="0.25">
      <c r="A3023" s="10">
        <v>41191</v>
      </c>
      <c r="B3023" s="12">
        <f t="shared" si="141"/>
        <v>10</v>
      </c>
      <c r="C3023" s="12">
        <f t="shared" si="142"/>
        <v>2012</v>
      </c>
      <c r="D3023" s="13">
        <v>17500</v>
      </c>
      <c r="E3023" s="13">
        <v>31.14</v>
      </c>
      <c r="F3023" s="13">
        <f t="shared" si="143"/>
        <v>561.97816313423243</v>
      </c>
    </row>
    <row r="3024" spans="1:6" x14ac:dyDescent="0.25">
      <c r="A3024" s="10">
        <v>41192</v>
      </c>
      <c r="B3024" s="12">
        <f t="shared" si="141"/>
        <v>10</v>
      </c>
      <c r="C3024" s="12">
        <f t="shared" si="142"/>
        <v>2012</v>
      </c>
      <c r="D3024" s="13">
        <v>17500</v>
      </c>
      <c r="E3024" s="13">
        <v>31.112500000000001</v>
      </c>
      <c r="F3024" s="13">
        <f t="shared" si="143"/>
        <v>562.47488951386094</v>
      </c>
    </row>
    <row r="3025" spans="1:6" x14ac:dyDescent="0.25">
      <c r="A3025" s="10">
        <v>41193</v>
      </c>
      <c r="B3025" s="12">
        <f t="shared" si="141"/>
        <v>10</v>
      </c>
      <c r="C3025" s="12">
        <f t="shared" si="142"/>
        <v>2012</v>
      </c>
      <c r="D3025" s="13">
        <v>17500</v>
      </c>
      <c r="E3025" s="13">
        <v>31.028199999999998</v>
      </c>
      <c r="F3025" s="13">
        <f t="shared" si="143"/>
        <v>564.00306817669093</v>
      </c>
    </row>
    <row r="3026" spans="1:6" x14ac:dyDescent="0.25">
      <c r="A3026" s="10">
        <v>41194</v>
      </c>
      <c r="B3026" s="12">
        <f t="shared" si="141"/>
        <v>10</v>
      </c>
      <c r="C3026" s="12">
        <f t="shared" si="142"/>
        <v>2012</v>
      </c>
      <c r="D3026" s="13">
        <v>17500</v>
      </c>
      <c r="E3026" s="13">
        <v>31.094999999999999</v>
      </c>
      <c r="F3026" s="13">
        <f t="shared" si="143"/>
        <v>562.79144557002735</v>
      </c>
    </row>
    <row r="3027" spans="1:6" x14ac:dyDescent="0.25">
      <c r="A3027" s="10">
        <v>41197</v>
      </c>
      <c r="B3027" s="12">
        <f t="shared" si="141"/>
        <v>10</v>
      </c>
      <c r="C3027" s="12">
        <f t="shared" si="142"/>
        <v>2012</v>
      </c>
      <c r="D3027" s="13">
        <v>17100</v>
      </c>
      <c r="E3027" s="13">
        <v>30.993500000000001</v>
      </c>
      <c r="F3027" s="13">
        <f t="shared" si="143"/>
        <v>551.72858825237552</v>
      </c>
    </row>
    <row r="3028" spans="1:6" x14ac:dyDescent="0.25">
      <c r="A3028" s="10">
        <v>41198</v>
      </c>
      <c r="B3028" s="12">
        <f t="shared" si="141"/>
        <v>10</v>
      </c>
      <c r="C3028" s="12">
        <f t="shared" si="142"/>
        <v>2012</v>
      </c>
      <c r="D3028" s="13">
        <v>17100</v>
      </c>
      <c r="E3028" s="13">
        <v>30.846499999999999</v>
      </c>
      <c r="F3028" s="13">
        <f t="shared" si="143"/>
        <v>554.35786880197111</v>
      </c>
    </row>
    <row r="3029" spans="1:6" x14ac:dyDescent="0.25">
      <c r="A3029" s="10">
        <v>41199</v>
      </c>
      <c r="B3029" s="12">
        <f t="shared" si="141"/>
        <v>10</v>
      </c>
      <c r="C3029" s="12">
        <f t="shared" si="142"/>
        <v>2012</v>
      </c>
      <c r="D3029" s="13">
        <v>17100</v>
      </c>
      <c r="E3029" s="13">
        <v>30.741</v>
      </c>
      <c r="F3029" s="13">
        <f t="shared" si="143"/>
        <v>556.26036888845522</v>
      </c>
    </row>
    <row r="3030" spans="1:6" x14ac:dyDescent="0.25">
      <c r="A3030" s="10">
        <v>41200</v>
      </c>
      <c r="B3030" s="12">
        <f t="shared" si="141"/>
        <v>10</v>
      </c>
      <c r="C3030" s="12">
        <f t="shared" si="142"/>
        <v>2012</v>
      </c>
      <c r="D3030" s="13">
        <v>17100</v>
      </c>
      <c r="E3030" s="13">
        <v>30.787400000000002</v>
      </c>
      <c r="F3030" s="13">
        <f t="shared" si="143"/>
        <v>555.42202329524412</v>
      </c>
    </row>
    <row r="3031" spans="1:6" x14ac:dyDescent="0.25">
      <c r="A3031" s="10">
        <v>41201</v>
      </c>
      <c r="B3031" s="12">
        <f t="shared" si="141"/>
        <v>10</v>
      </c>
      <c r="C3031" s="12">
        <f t="shared" si="142"/>
        <v>2012</v>
      </c>
      <c r="D3031" s="13">
        <v>17100</v>
      </c>
      <c r="E3031" s="13">
        <v>30.887</v>
      </c>
      <c r="F3031" s="13">
        <f t="shared" si="143"/>
        <v>553.63097743387186</v>
      </c>
    </row>
    <row r="3032" spans="1:6" x14ac:dyDescent="0.25">
      <c r="A3032" s="10">
        <v>41204</v>
      </c>
      <c r="B3032" s="12">
        <f t="shared" si="141"/>
        <v>10</v>
      </c>
      <c r="C3032" s="12">
        <f t="shared" si="142"/>
        <v>2012</v>
      </c>
      <c r="D3032" s="13">
        <v>17150</v>
      </c>
      <c r="E3032" s="13">
        <v>31.094000000000001</v>
      </c>
      <c r="F3032" s="13">
        <f t="shared" si="143"/>
        <v>551.55335434488961</v>
      </c>
    </row>
    <row r="3033" spans="1:6" x14ac:dyDescent="0.25">
      <c r="A3033" s="10">
        <v>41205</v>
      </c>
      <c r="B3033" s="12">
        <f t="shared" si="141"/>
        <v>10</v>
      </c>
      <c r="C3033" s="12">
        <f t="shared" si="142"/>
        <v>2012</v>
      </c>
      <c r="D3033" s="13">
        <v>17150</v>
      </c>
      <c r="E3033" s="13">
        <v>31.369900000000001</v>
      </c>
      <c r="F3033" s="13">
        <f t="shared" si="143"/>
        <v>546.70241218492879</v>
      </c>
    </row>
    <row r="3034" spans="1:6" x14ac:dyDescent="0.25">
      <c r="A3034" s="10">
        <v>41206</v>
      </c>
      <c r="B3034" s="12">
        <f t="shared" si="141"/>
        <v>10</v>
      </c>
      <c r="C3034" s="12">
        <f t="shared" si="142"/>
        <v>2012</v>
      </c>
      <c r="D3034" s="13">
        <v>17150</v>
      </c>
      <c r="E3034" s="13">
        <v>31.43</v>
      </c>
      <c r="F3034" s="13">
        <f t="shared" si="143"/>
        <v>545.65701559020044</v>
      </c>
    </row>
    <row r="3035" spans="1:6" x14ac:dyDescent="0.25">
      <c r="A3035" s="10">
        <v>41207</v>
      </c>
      <c r="B3035" s="12">
        <f t="shared" si="141"/>
        <v>10</v>
      </c>
      <c r="C3035" s="12">
        <f t="shared" si="142"/>
        <v>2012</v>
      </c>
      <c r="D3035" s="13">
        <v>17150</v>
      </c>
      <c r="E3035" s="13">
        <v>31.375</v>
      </c>
      <c r="F3035" s="13">
        <f t="shared" si="143"/>
        <v>546.61354581673311</v>
      </c>
    </row>
    <row r="3036" spans="1:6" x14ac:dyDescent="0.25">
      <c r="A3036" s="10">
        <v>41208</v>
      </c>
      <c r="B3036" s="12">
        <f t="shared" si="141"/>
        <v>10</v>
      </c>
      <c r="C3036" s="12">
        <f t="shared" si="142"/>
        <v>2012</v>
      </c>
      <c r="D3036" s="13">
        <v>17150</v>
      </c>
      <c r="E3036" s="13">
        <v>31.385100000000001</v>
      </c>
      <c r="F3036" s="13">
        <f t="shared" si="143"/>
        <v>546.43764079133086</v>
      </c>
    </row>
    <row r="3037" spans="1:6" x14ac:dyDescent="0.25">
      <c r="A3037" s="10">
        <v>41211</v>
      </c>
      <c r="B3037" s="12">
        <f t="shared" si="141"/>
        <v>10</v>
      </c>
      <c r="C3037" s="12">
        <f t="shared" si="142"/>
        <v>2012</v>
      </c>
      <c r="D3037" s="13">
        <v>17150</v>
      </c>
      <c r="E3037" s="13">
        <v>31.48</v>
      </c>
      <c r="F3037" s="13">
        <f t="shared" si="143"/>
        <v>544.79034307496818</v>
      </c>
    </row>
    <row r="3038" spans="1:6" x14ac:dyDescent="0.25">
      <c r="A3038" s="10">
        <v>41212</v>
      </c>
      <c r="B3038" s="12">
        <f t="shared" si="141"/>
        <v>10</v>
      </c>
      <c r="C3038" s="12">
        <f t="shared" si="142"/>
        <v>2012</v>
      </c>
      <c r="D3038" s="13">
        <v>17150</v>
      </c>
      <c r="E3038" s="13">
        <v>31.367000000000001</v>
      </c>
      <c r="F3038" s="13">
        <f t="shared" si="143"/>
        <v>546.75295692925681</v>
      </c>
    </row>
    <row r="3039" spans="1:6" x14ac:dyDescent="0.25">
      <c r="A3039" s="10">
        <v>41213</v>
      </c>
      <c r="B3039" s="12">
        <f t="shared" si="141"/>
        <v>10</v>
      </c>
      <c r="C3039" s="12">
        <f t="shared" si="142"/>
        <v>2012</v>
      </c>
      <c r="D3039" s="13">
        <v>17150</v>
      </c>
      <c r="E3039" s="13">
        <v>31.337499999999999</v>
      </c>
      <c r="F3039" s="13">
        <f t="shared" si="143"/>
        <v>547.26765057838054</v>
      </c>
    </row>
    <row r="3040" spans="1:6" x14ac:dyDescent="0.25">
      <c r="A3040" s="10">
        <v>41214</v>
      </c>
      <c r="B3040" s="12">
        <f t="shared" si="141"/>
        <v>11</v>
      </c>
      <c r="C3040" s="12">
        <f t="shared" si="142"/>
        <v>2012</v>
      </c>
      <c r="D3040" s="13">
        <v>17150</v>
      </c>
      <c r="E3040" s="13">
        <v>31.2746</v>
      </c>
      <c r="F3040" s="13">
        <f t="shared" si="143"/>
        <v>548.36832445498908</v>
      </c>
    </row>
    <row r="3041" spans="1:6" x14ac:dyDescent="0.25">
      <c r="A3041" s="10">
        <v>41215</v>
      </c>
      <c r="B3041" s="12">
        <f t="shared" si="141"/>
        <v>11</v>
      </c>
      <c r="C3041" s="12">
        <f t="shared" si="142"/>
        <v>2012</v>
      </c>
      <c r="D3041" s="13">
        <v>17150</v>
      </c>
      <c r="E3041" s="13">
        <v>31.467199999999998</v>
      </c>
      <c r="F3041" s="13">
        <f t="shared" si="143"/>
        <v>545.01194895001788</v>
      </c>
    </row>
    <row r="3042" spans="1:6" x14ac:dyDescent="0.25">
      <c r="A3042" s="10">
        <v>41218</v>
      </c>
      <c r="B3042" s="12">
        <f t="shared" si="141"/>
        <v>11</v>
      </c>
      <c r="C3042" s="12">
        <f t="shared" si="142"/>
        <v>2012</v>
      </c>
      <c r="D3042" s="13">
        <v>17250</v>
      </c>
      <c r="E3042" s="13">
        <v>31.602499999999999</v>
      </c>
      <c r="F3042" s="13">
        <f t="shared" si="143"/>
        <v>545.84289217625189</v>
      </c>
    </row>
    <row r="3043" spans="1:6" x14ac:dyDescent="0.25">
      <c r="A3043" s="10">
        <v>41219</v>
      </c>
      <c r="B3043" s="12">
        <f t="shared" si="141"/>
        <v>11</v>
      </c>
      <c r="C3043" s="12">
        <f t="shared" si="142"/>
        <v>2012</v>
      </c>
      <c r="D3043" s="13">
        <v>17250</v>
      </c>
      <c r="E3043" s="13">
        <v>31.359000000000002</v>
      </c>
      <c r="F3043" s="13">
        <f t="shared" si="143"/>
        <v>550.08131636850658</v>
      </c>
    </row>
    <row r="3044" spans="1:6" x14ac:dyDescent="0.25">
      <c r="A3044" s="10">
        <v>41220</v>
      </c>
      <c r="B3044" s="12">
        <f t="shared" si="141"/>
        <v>11</v>
      </c>
      <c r="C3044" s="12">
        <f t="shared" si="142"/>
        <v>2012</v>
      </c>
      <c r="D3044" s="13">
        <v>17250</v>
      </c>
      <c r="E3044" s="13">
        <v>31.574999999999999</v>
      </c>
      <c r="F3044" s="13">
        <f t="shared" si="143"/>
        <v>546.31828978622332</v>
      </c>
    </row>
    <row r="3045" spans="1:6" x14ac:dyDescent="0.25">
      <c r="A3045" s="10">
        <v>41221</v>
      </c>
      <c r="B3045" s="12">
        <f t="shared" si="141"/>
        <v>11</v>
      </c>
      <c r="C3045" s="12">
        <f t="shared" si="142"/>
        <v>2012</v>
      </c>
      <c r="D3045" s="13">
        <v>17250</v>
      </c>
      <c r="E3045" s="13">
        <v>31.504999999999999</v>
      </c>
      <c r="F3045" s="13">
        <f t="shared" si="143"/>
        <v>547.53213775591178</v>
      </c>
    </row>
    <row r="3046" spans="1:6" x14ac:dyDescent="0.25">
      <c r="A3046" s="10">
        <v>41222</v>
      </c>
      <c r="B3046" s="12">
        <f t="shared" si="141"/>
        <v>11</v>
      </c>
      <c r="C3046" s="12">
        <f t="shared" si="142"/>
        <v>2012</v>
      </c>
      <c r="D3046" s="13">
        <v>17250</v>
      </c>
      <c r="E3046" s="13">
        <v>31.57</v>
      </c>
      <c r="F3046" s="13">
        <f t="shared" si="143"/>
        <v>546.40481469749761</v>
      </c>
    </row>
    <row r="3047" spans="1:6" x14ac:dyDescent="0.25">
      <c r="A3047" s="10">
        <v>41225</v>
      </c>
      <c r="B3047" s="12">
        <f t="shared" si="141"/>
        <v>11</v>
      </c>
      <c r="C3047" s="12">
        <f t="shared" si="142"/>
        <v>2012</v>
      </c>
      <c r="D3047" s="13">
        <v>17100</v>
      </c>
      <c r="E3047" s="13">
        <v>31.605</v>
      </c>
      <c r="F3047" s="13">
        <f t="shared" si="143"/>
        <v>541.05363075462742</v>
      </c>
    </row>
    <row r="3048" spans="1:6" x14ac:dyDescent="0.25">
      <c r="A3048" s="10">
        <v>41226</v>
      </c>
      <c r="B3048" s="12">
        <f t="shared" si="141"/>
        <v>11</v>
      </c>
      <c r="C3048" s="12">
        <f t="shared" si="142"/>
        <v>2012</v>
      </c>
      <c r="D3048" s="13">
        <v>17100</v>
      </c>
      <c r="E3048" s="13">
        <v>31.7469</v>
      </c>
      <c r="F3048" s="13">
        <f t="shared" si="143"/>
        <v>538.63526832541129</v>
      </c>
    </row>
    <row r="3049" spans="1:6" x14ac:dyDescent="0.25">
      <c r="A3049" s="10">
        <v>41227</v>
      </c>
      <c r="B3049" s="12">
        <f t="shared" si="141"/>
        <v>11</v>
      </c>
      <c r="C3049" s="12">
        <f t="shared" si="142"/>
        <v>2012</v>
      </c>
      <c r="D3049" s="13">
        <v>17100</v>
      </c>
      <c r="E3049" s="13">
        <v>31.702999999999999</v>
      </c>
      <c r="F3049" s="13">
        <f t="shared" si="143"/>
        <v>539.38113112323754</v>
      </c>
    </row>
    <row r="3050" spans="1:6" x14ac:dyDescent="0.25">
      <c r="A3050" s="10">
        <v>41228</v>
      </c>
      <c r="B3050" s="12">
        <f t="shared" si="141"/>
        <v>11</v>
      </c>
      <c r="C3050" s="12">
        <f t="shared" si="142"/>
        <v>2012</v>
      </c>
      <c r="D3050" s="13">
        <v>17100</v>
      </c>
      <c r="E3050" s="13">
        <v>31.661000000000001</v>
      </c>
      <c r="F3050" s="13">
        <f t="shared" si="143"/>
        <v>540.09664887400902</v>
      </c>
    </row>
    <row r="3051" spans="1:6" x14ac:dyDescent="0.25">
      <c r="A3051" s="10">
        <v>41229</v>
      </c>
      <c r="B3051" s="12">
        <f t="shared" si="141"/>
        <v>11</v>
      </c>
      <c r="C3051" s="12">
        <f t="shared" si="142"/>
        <v>2012</v>
      </c>
      <c r="D3051" s="13">
        <v>17100</v>
      </c>
      <c r="E3051" s="13">
        <v>31.705300000000001</v>
      </c>
      <c r="F3051" s="13">
        <f t="shared" si="143"/>
        <v>539.34200275663693</v>
      </c>
    </row>
    <row r="3052" spans="1:6" x14ac:dyDescent="0.25">
      <c r="A3052" s="10">
        <v>41232</v>
      </c>
      <c r="B3052" s="12">
        <f t="shared" si="141"/>
        <v>11</v>
      </c>
      <c r="C3052" s="12">
        <f t="shared" si="142"/>
        <v>2012</v>
      </c>
      <c r="D3052" s="13">
        <v>17000</v>
      </c>
      <c r="E3052" s="13">
        <v>31.41</v>
      </c>
      <c r="F3052" s="13">
        <f t="shared" si="143"/>
        <v>541.22890799108563</v>
      </c>
    </row>
    <row r="3053" spans="1:6" x14ac:dyDescent="0.25">
      <c r="A3053" s="10">
        <v>41233</v>
      </c>
      <c r="B3053" s="12">
        <f t="shared" si="141"/>
        <v>11</v>
      </c>
      <c r="C3053" s="12">
        <f t="shared" si="142"/>
        <v>2012</v>
      </c>
      <c r="D3053" s="13">
        <v>17000</v>
      </c>
      <c r="E3053" s="13">
        <v>31.294</v>
      </c>
      <c r="F3053" s="13">
        <f t="shared" si="143"/>
        <v>543.23512494407873</v>
      </c>
    </row>
    <row r="3054" spans="1:6" x14ac:dyDescent="0.25">
      <c r="A3054" s="10">
        <v>41234</v>
      </c>
      <c r="B3054" s="12">
        <f t="shared" si="141"/>
        <v>11</v>
      </c>
      <c r="C3054" s="12">
        <f t="shared" si="142"/>
        <v>2012</v>
      </c>
      <c r="D3054" s="13">
        <v>17000</v>
      </c>
      <c r="E3054" s="13">
        <v>31.177</v>
      </c>
      <c r="F3054" s="13">
        <f t="shared" si="143"/>
        <v>545.27375950219709</v>
      </c>
    </row>
    <row r="3055" spans="1:6" x14ac:dyDescent="0.25">
      <c r="A3055" s="10">
        <v>41236</v>
      </c>
      <c r="B3055" s="12">
        <f t="shared" si="141"/>
        <v>11</v>
      </c>
      <c r="C3055" s="12">
        <f t="shared" si="142"/>
        <v>2012</v>
      </c>
      <c r="D3055" s="13">
        <v>17000</v>
      </c>
      <c r="E3055" s="13">
        <v>31.045000000000002</v>
      </c>
      <c r="F3055" s="13">
        <f t="shared" si="143"/>
        <v>547.59220486390723</v>
      </c>
    </row>
    <row r="3056" spans="1:6" x14ac:dyDescent="0.25">
      <c r="A3056" s="10">
        <v>41239</v>
      </c>
      <c r="B3056" s="12">
        <f t="shared" si="141"/>
        <v>11</v>
      </c>
      <c r="C3056" s="12">
        <f t="shared" si="142"/>
        <v>2012</v>
      </c>
      <c r="E3056" s="13">
        <v>31.0047</v>
      </c>
      <c r="F3056" s="13" t="str">
        <f t="shared" si="143"/>
        <v/>
      </c>
    </row>
    <row r="3057" spans="1:6" x14ac:dyDescent="0.25">
      <c r="A3057" s="10">
        <v>41240</v>
      </c>
      <c r="B3057" s="12">
        <f t="shared" si="141"/>
        <v>11</v>
      </c>
      <c r="C3057" s="12">
        <f t="shared" si="142"/>
        <v>2012</v>
      </c>
      <c r="E3057" s="13">
        <v>31.041699999999999</v>
      </c>
      <c r="F3057" s="13" t="str">
        <f t="shared" si="143"/>
        <v/>
      </c>
    </row>
    <row r="3058" spans="1:6" x14ac:dyDescent="0.25">
      <c r="A3058" s="10">
        <v>41241</v>
      </c>
      <c r="B3058" s="12">
        <f t="shared" si="141"/>
        <v>11</v>
      </c>
      <c r="C3058" s="12">
        <f t="shared" si="142"/>
        <v>2012</v>
      </c>
      <c r="E3058" s="13">
        <v>31.065000000000001</v>
      </c>
      <c r="F3058" s="13" t="str">
        <f t="shared" si="143"/>
        <v/>
      </c>
    </row>
    <row r="3059" spans="1:6" x14ac:dyDescent="0.25">
      <c r="A3059" s="10">
        <v>41242</v>
      </c>
      <c r="B3059" s="12">
        <f t="shared" si="141"/>
        <v>11</v>
      </c>
      <c r="C3059" s="12">
        <f t="shared" si="142"/>
        <v>2012</v>
      </c>
      <c r="E3059" s="13">
        <v>30.858000000000001</v>
      </c>
      <c r="F3059" s="13" t="str">
        <f t="shared" si="143"/>
        <v/>
      </c>
    </row>
    <row r="3060" spans="1:6" x14ac:dyDescent="0.25">
      <c r="A3060" s="10">
        <v>41243</v>
      </c>
      <c r="B3060" s="12">
        <f t="shared" si="141"/>
        <v>11</v>
      </c>
      <c r="C3060" s="12">
        <f t="shared" si="142"/>
        <v>2012</v>
      </c>
      <c r="E3060" s="13">
        <v>30.861699999999999</v>
      </c>
      <c r="F3060" s="13" t="str">
        <f t="shared" si="143"/>
        <v/>
      </c>
    </row>
    <row r="3061" spans="1:6" x14ac:dyDescent="0.25">
      <c r="A3061" s="10">
        <v>41246</v>
      </c>
      <c r="B3061" s="12">
        <f t="shared" si="141"/>
        <v>12</v>
      </c>
      <c r="C3061" s="12">
        <f t="shared" si="142"/>
        <v>2012</v>
      </c>
      <c r="D3061" s="13">
        <v>16950</v>
      </c>
      <c r="E3061" s="13">
        <v>30.8782</v>
      </c>
      <c r="F3061" s="13">
        <f t="shared" si="143"/>
        <v>548.93096100161279</v>
      </c>
    </row>
    <row r="3062" spans="1:6" x14ac:dyDescent="0.25">
      <c r="A3062" s="10">
        <v>41247</v>
      </c>
      <c r="B3062" s="12">
        <f t="shared" si="141"/>
        <v>12</v>
      </c>
      <c r="C3062" s="12">
        <f t="shared" si="142"/>
        <v>2012</v>
      </c>
      <c r="D3062" s="13">
        <v>16950</v>
      </c>
      <c r="E3062" s="13">
        <v>30.835799999999999</v>
      </c>
      <c r="F3062" s="13">
        <f t="shared" si="143"/>
        <v>549.68575486934014</v>
      </c>
    </row>
    <row r="3063" spans="1:6" x14ac:dyDescent="0.25">
      <c r="A3063" s="10">
        <v>41248</v>
      </c>
      <c r="B3063" s="12">
        <f t="shared" si="141"/>
        <v>12</v>
      </c>
      <c r="C3063" s="12">
        <f t="shared" si="142"/>
        <v>2012</v>
      </c>
      <c r="D3063" s="13">
        <v>16950</v>
      </c>
      <c r="E3063" s="13">
        <v>30.789000000000001</v>
      </c>
      <c r="F3063" s="13">
        <f t="shared" si="143"/>
        <v>550.52129007112933</v>
      </c>
    </row>
    <row r="3064" spans="1:6" x14ac:dyDescent="0.25">
      <c r="A3064" s="10">
        <v>41249</v>
      </c>
      <c r="B3064" s="12">
        <f t="shared" si="141"/>
        <v>12</v>
      </c>
      <c r="C3064" s="12">
        <f t="shared" si="142"/>
        <v>2012</v>
      </c>
      <c r="D3064" s="13">
        <v>16950</v>
      </c>
      <c r="E3064" s="13">
        <v>30.946999999999999</v>
      </c>
      <c r="F3064" s="13">
        <f t="shared" si="143"/>
        <v>547.71060199696251</v>
      </c>
    </row>
    <row r="3065" spans="1:6" x14ac:dyDescent="0.25">
      <c r="A3065" s="10">
        <v>41250</v>
      </c>
      <c r="B3065" s="12">
        <f t="shared" si="141"/>
        <v>12</v>
      </c>
      <c r="C3065" s="12">
        <f t="shared" si="142"/>
        <v>2012</v>
      </c>
      <c r="D3065" s="13">
        <v>16950</v>
      </c>
      <c r="E3065" s="13">
        <v>30.818000000000001</v>
      </c>
      <c r="F3065" s="13">
        <f t="shared" si="143"/>
        <v>550.0032448569018</v>
      </c>
    </row>
    <row r="3066" spans="1:6" x14ac:dyDescent="0.25">
      <c r="A3066" s="10">
        <v>41253</v>
      </c>
      <c r="B3066" s="12">
        <f t="shared" si="141"/>
        <v>12</v>
      </c>
      <c r="C3066" s="12">
        <f t="shared" si="142"/>
        <v>2012</v>
      </c>
      <c r="D3066" s="13">
        <v>17150</v>
      </c>
      <c r="E3066" s="13">
        <v>30.783000000000001</v>
      </c>
      <c r="F3066" s="13">
        <f t="shared" si="143"/>
        <v>557.12568625540064</v>
      </c>
    </row>
    <row r="3067" spans="1:6" x14ac:dyDescent="0.25">
      <c r="A3067" s="10">
        <v>41254</v>
      </c>
      <c r="B3067" s="12">
        <f t="shared" si="141"/>
        <v>12</v>
      </c>
      <c r="C3067" s="12">
        <f t="shared" si="142"/>
        <v>2012</v>
      </c>
      <c r="D3067" s="13">
        <v>17150</v>
      </c>
      <c r="E3067" s="13">
        <v>30.702500000000001</v>
      </c>
      <c r="F3067" s="13">
        <f t="shared" si="143"/>
        <v>558.586434329452</v>
      </c>
    </row>
    <row r="3068" spans="1:6" x14ac:dyDescent="0.25">
      <c r="A3068" s="10">
        <v>41255</v>
      </c>
      <c r="B3068" s="12">
        <f t="shared" si="141"/>
        <v>12</v>
      </c>
      <c r="C3068" s="12">
        <f t="shared" si="142"/>
        <v>2012</v>
      </c>
      <c r="D3068" s="13">
        <v>17150</v>
      </c>
      <c r="E3068" s="13">
        <v>30.541499999999999</v>
      </c>
      <c r="F3068" s="13">
        <f t="shared" si="143"/>
        <v>561.53103154723897</v>
      </c>
    </row>
    <row r="3069" spans="1:6" x14ac:dyDescent="0.25">
      <c r="A3069" s="10">
        <v>41256</v>
      </c>
      <c r="B3069" s="12">
        <f t="shared" si="141"/>
        <v>12</v>
      </c>
      <c r="C3069" s="12">
        <f t="shared" si="142"/>
        <v>2012</v>
      </c>
      <c r="D3069" s="13">
        <v>17150</v>
      </c>
      <c r="E3069" s="13">
        <v>30.728999999999999</v>
      </c>
      <c r="F3069" s="13">
        <f t="shared" si="143"/>
        <v>558.10472192391558</v>
      </c>
    </row>
    <row r="3070" spans="1:6" x14ac:dyDescent="0.25">
      <c r="A3070" s="10">
        <v>41257</v>
      </c>
      <c r="B3070" s="12">
        <f t="shared" si="141"/>
        <v>12</v>
      </c>
      <c r="C3070" s="12">
        <f t="shared" si="142"/>
        <v>2012</v>
      </c>
      <c r="D3070" s="13">
        <v>17150</v>
      </c>
      <c r="E3070" s="13">
        <v>30.702500000000001</v>
      </c>
      <c r="F3070" s="13">
        <f t="shared" si="143"/>
        <v>558.586434329452</v>
      </c>
    </row>
    <row r="3071" spans="1:6" x14ac:dyDescent="0.25">
      <c r="A3071" s="10">
        <v>41260</v>
      </c>
      <c r="B3071" s="12">
        <f t="shared" si="141"/>
        <v>12</v>
      </c>
      <c r="C3071" s="12">
        <f t="shared" si="142"/>
        <v>2012</v>
      </c>
      <c r="D3071" s="13">
        <v>17500</v>
      </c>
      <c r="E3071" s="13">
        <v>30.971499999999999</v>
      </c>
      <c r="F3071" s="13">
        <f t="shared" si="143"/>
        <v>565.0355972426263</v>
      </c>
    </row>
    <row r="3072" spans="1:6" x14ac:dyDescent="0.25">
      <c r="A3072" s="10">
        <v>41261</v>
      </c>
      <c r="B3072" s="12">
        <f t="shared" si="141"/>
        <v>12</v>
      </c>
      <c r="C3072" s="12">
        <f t="shared" si="142"/>
        <v>2012</v>
      </c>
      <c r="D3072" s="13">
        <v>17500</v>
      </c>
      <c r="E3072" s="13">
        <v>30.734999999999999</v>
      </c>
      <c r="F3072" s="13">
        <f t="shared" si="143"/>
        <v>569.38343907597198</v>
      </c>
    </row>
    <row r="3073" spans="1:6" x14ac:dyDescent="0.25">
      <c r="A3073" s="10">
        <v>41262</v>
      </c>
      <c r="B3073" s="12">
        <f t="shared" si="141"/>
        <v>12</v>
      </c>
      <c r="C3073" s="12">
        <f t="shared" si="142"/>
        <v>2012</v>
      </c>
      <c r="D3073" s="13">
        <v>17500</v>
      </c>
      <c r="E3073" s="13">
        <v>30.76</v>
      </c>
      <c r="F3073" s="13">
        <f t="shared" si="143"/>
        <v>568.92067620286082</v>
      </c>
    </row>
    <row r="3074" spans="1:6" x14ac:dyDescent="0.25">
      <c r="A3074" s="10">
        <v>41263</v>
      </c>
      <c r="B3074" s="12">
        <f t="shared" si="141"/>
        <v>12</v>
      </c>
      <c r="C3074" s="12">
        <f t="shared" si="142"/>
        <v>2012</v>
      </c>
      <c r="D3074" s="13">
        <v>17500</v>
      </c>
      <c r="E3074" s="13">
        <v>30.697500000000002</v>
      </c>
      <c r="F3074" s="13">
        <f t="shared" si="143"/>
        <v>570.0789966609658</v>
      </c>
    </row>
    <row r="3075" spans="1:6" x14ac:dyDescent="0.25">
      <c r="A3075" s="10">
        <v>41264</v>
      </c>
      <c r="B3075" s="12">
        <f t="shared" ref="B3075:B3138" si="144">MONTH(A3075)</f>
        <v>12</v>
      </c>
      <c r="C3075" s="12">
        <f t="shared" ref="C3075:C3138" si="145">YEAR(A3075)</f>
        <v>2012</v>
      </c>
      <c r="D3075" s="13">
        <v>17500</v>
      </c>
      <c r="E3075" s="13">
        <v>30.823899999999998</v>
      </c>
      <c r="F3075" s="13">
        <f t="shared" ref="F3075:F3138" si="146">IF(D3075="","",D3075/E3075)</f>
        <v>567.74126570615658</v>
      </c>
    </row>
    <row r="3076" spans="1:6" x14ac:dyDescent="0.25">
      <c r="A3076" s="10">
        <v>41267</v>
      </c>
      <c r="B3076" s="12">
        <f t="shared" si="144"/>
        <v>12</v>
      </c>
      <c r="C3076" s="12">
        <f t="shared" si="145"/>
        <v>2012</v>
      </c>
      <c r="E3076" s="13">
        <v>30.629300000000001</v>
      </c>
      <c r="F3076" s="13" t="str">
        <f t="shared" si="146"/>
        <v/>
      </c>
    </row>
    <row r="3077" spans="1:6" x14ac:dyDescent="0.25">
      <c r="A3077" s="10">
        <v>41269</v>
      </c>
      <c r="B3077" s="12">
        <f t="shared" si="144"/>
        <v>12</v>
      </c>
      <c r="C3077" s="12">
        <f t="shared" si="145"/>
        <v>2012</v>
      </c>
      <c r="E3077" s="13">
        <v>30.579799999999999</v>
      </c>
      <c r="F3077" s="13" t="str">
        <f t="shared" si="146"/>
        <v/>
      </c>
    </row>
    <row r="3078" spans="1:6" x14ac:dyDescent="0.25">
      <c r="A3078" s="10">
        <v>41270</v>
      </c>
      <c r="B3078" s="12">
        <f t="shared" si="144"/>
        <v>12</v>
      </c>
      <c r="C3078" s="12">
        <f t="shared" si="145"/>
        <v>2012</v>
      </c>
      <c r="E3078" s="13">
        <v>30.36</v>
      </c>
      <c r="F3078" s="13" t="str">
        <f t="shared" si="146"/>
        <v/>
      </c>
    </row>
    <row r="3079" spans="1:6" x14ac:dyDescent="0.25">
      <c r="A3079" s="10">
        <v>41271</v>
      </c>
      <c r="B3079" s="12">
        <f t="shared" si="144"/>
        <v>12</v>
      </c>
      <c r="C3079" s="12">
        <f t="shared" si="145"/>
        <v>2012</v>
      </c>
      <c r="E3079" s="13">
        <v>30.3536</v>
      </c>
      <c r="F3079" s="13" t="str">
        <f t="shared" si="146"/>
        <v/>
      </c>
    </row>
    <row r="3080" spans="1:6" x14ac:dyDescent="0.25">
      <c r="A3080" s="10">
        <v>41274</v>
      </c>
      <c r="B3080" s="12">
        <f t="shared" si="144"/>
        <v>12</v>
      </c>
      <c r="C3080" s="12">
        <f t="shared" si="145"/>
        <v>2012</v>
      </c>
      <c r="E3080" s="13">
        <v>30.552499999999998</v>
      </c>
      <c r="F3080" s="13" t="str">
        <f t="shared" si="146"/>
        <v/>
      </c>
    </row>
    <row r="3081" spans="1:6" x14ac:dyDescent="0.25">
      <c r="A3081" s="10">
        <v>41276</v>
      </c>
      <c r="B3081" s="12">
        <f t="shared" si="144"/>
        <v>1</v>
      </c>
      <c r="C3081" s="12">
        <f t="shared" si="145"/>
        <v>2013</v>
      </c>
      <c r="E3081" s="13">
        <v>30.159800000000001</v>
      </c>
      <c r="F3081" s="13" t="str">
        <f t="shared" si="146"/>
        <v/>
      </c>
    </row>
    <row r="3082" spans="1:6" x14ac:dyDescent="0.25">
      <c r="A3082" s="10">
        <v>41277</v>
      </c>
      <c r="B3082" s="12">
        <f t="shared" si="144"/>
        <v>1</v>
      </c>
      <c r="C3082" s="12">
        <f t="shared" si="145"/>
        <v>2013</v>
      </c>
      <c r="E3082" s="13">
        <v>30.2349</v>
      </c>
      <c r="F3082" s="13" t="str">
        <f t="shared" si="146"/>
        <v/>
      </c>
    </row>
    <row r="3083" spans="1:6" x14ac:dyDescent="0.25">
      <c r="A3083" s="10">
        <v>41278</v>
      </c>
      <c r="B3083" s="12">
        <f t="shared" si="144"/>
        <v>1</v>
      </c>
      <c r="C3083" s="12">
        <f t="shared" si="145"/>
        <v>2013</v>
      </c>
      <c r="E3083" s="13">
        <v>30.322500000000002</v>
      </c>
      <c r="F3083" s="13" t="str">
        <f t="shared" si="146"/>
        <v/>
      </c>
    </row>
    <row r="3084" spans="1:6" x14ac:dyDescent="0.25">
      <c r="A3084" s="10">
        <v>41281</v>
      </c>
      <c r="B3084" s="12">
        <f t="shared" si="144"/>
        <v>1</v>
      </c>
      <c r="C3084" s="12">
        <f t="shared" si="145"/>
        <v>2013</v>
      </c>
      <c r="E3084" s="13">
        <v>30.334</v>
      </c>
      <c r="F3084" s="13" t="str">
        <f t="shared" si="146"/>
        <v/>
      </c>
    </row>
    <row r="3085" spans="1:6" x14ac:dyDescent="0.25">
      <c r="A3085" s="10">
        <v>41282</v>
      </c>
      <c r="B3085" s="12">
        <f t="shared" si="144"/>
        <v>1</v>
      </c>
      <c r="C3085" s="12">
        <f t="shared" si="145"/>
        <v>2013</v>
      </c>
      <c r="E3085" s="13">
        <v>30.297499999999999</v>
      </c>
      <c r="F3085" s="13" t="str">
        <f t="shared" si="146"/>
        <v/>
      </c>
    </row>
    <row r="3086" spans="1:6" x14ac:dyDescent="0.25">
      <c r="A3086" s="10">
        <v>41283</v>
      </c>
      <c r="B3086" s="12">
        <f t="shared" si="144"/>
        <v>1</v>
      </c>
      <c r="C3086" s="12">
        <f t="shared" si="145"/>
        <v>2013</v>
      </c>
      <c r="E3086" s="13">
        <v>30.348199999999999</v>
      </c>
      <c r="F3086" s="13" t="str">
        <f t="shared" si="146"/>
        <v/>
      </c>
    </row>
    <row r="3087" spans="1:6" x14ac:dyDescent="0.25">
      <c r="A3087" s="10">
        <v>41284</v>
      </c>
      <c r="B3087" s="12">
        <f t="shared" si="144"/>
        <v>1</v>
      </c>
      <c r="C3087" s="12">
        <f t="shared" si="145"/>
        <v>2013</v>
      </c>
      <c r="E3087" s="13">
        <v>30.128</v>
      </c>
      <c r="F3087" s="13" t="str">
        <f t="shared" si="146"/>
        <v/>
      </c>
    </row>
    <row r="3088" spans="1:6" x14ac:dyDescent="0.25">
      <c r="A3088" s="10">
        <v>41285</v>
      </c>
      <c r="B3088" s="12">
        <f t="shared" si="144"/>
        <v>1</v>
      </c>
      <c r="C3088" s="12">
        <f t="shared" si="145"/>
        <v>2013</v>
      </c>
      <c r="E3088" s="13">
        <v>30.322500000000002</v>
      </c>
      <c r="F3088" s="13" t="str">
        <f t="shared" si="146"/>
        <v/>
      </c>
    </row>
    <row r="3089" spans="1:6" x14ac:dyDescent="0.25">
      <c r="A3089" s="10">
        <v>41288</v>
      </c>
      <c r="B3089" s="12">
        <f t="shared" si="144"/>
        <v>1</v>
      </c>
      <c r="C3089" s="12">
        <f t="shared" si="145"/>
        <v>2013</v>
      </c>
      <c r="D3089" s="13">
        <v>17500</v>
      </c>
      <c r="E3089" s="13">
        <v>30.218699999999998</v>
      </c>
      <c r="F3089" s="13">
        <f t="shared" si="146"/>
        <v>579.11160969863033</v>
      </c>
    </row>
    <row r="3090" spans="1:6" x14ac:dyDescent="0.25">
      <c r="A3090" s="10">
        <v>41289</v>
      </c>
      <c r="B3090" s="12">
        <f t="shared" si="144"/>
        <v>1</v>
      </c>
      <c r="C3090" s="12">
        <f t="shared" si="145"/>
        <v>2013</v>
      </c>
      <c r="D3090" s="13">
        <v>17500</v>
      </c>
      <c r="E3090" s="13">
        <v>30.294699999999999</v>
      </c>
      <c r="F3090" s="13">
        <f t="shared" si="146"/>
        <v>577.6587984036812</v>
      </c>
    </row>
    <row r="3091" spans="1:6" x14ac:dyDescent="0.25">
      <c r="A3091" s="10">
        <v>41290</v>
      </c>
      <c r="B3091" s="12">
        <f t="shared" si="144"/>
        <v>1</v>
      </c>
      <c r="C3091" s="12">
        <f t="shared" si="145"/>
        <v>2013</v>
      </c>
      <c r="D3091" s="13">
        <v>17500</v>
      </c>
      <c r="E3091" s="13">
        <v>30.338799999999999</v>
      </c>
      <c r="F3091" s="13">
        <f t="shared" si="146"/>
        <v>576.81912270755606</v>
      </c>
    </row>
    <row r="3092" spans="1:6" x14ac:dyDescent="0.25">
      <c r="A3092" s="10">
        <v>41291</v>
      </c>
      <c r="B3092" s="12">
        <f t="shared" si="144"/>
        <v>1</v>
      </c>
      <c r="C3092" s="12">
        <f t="shared" si="145"/>
        <v>2013</v>
      </c>
      <c r="D3092" s="13">
        <v>17500</v>
      </c>
      <c r="E3092" s="13">
        <v>30.1693</v>
      </c>
      <c r="F3092" s="13">
        <f t="shared" si="146"/>
        <v>580.05986217777672</v>
      </c>
    </row>
    <row r="3093" spans="1:6" x14ac:dyDescent="0.25">
      <c r="A3093" s="10">
        <v>41292</v>
      </c>
      <c r="B3093" s="12">
        <f t="shared" si="144"/>
        <v>1</v>
      </c>
      <c r="C3093" s="12">
        <f t="shared" si="145"/>
        <v>2013</v>
      </c>
      <c r="D3093" s="13">
        <v>17500</v>
      </c>
      <c r="E3093" s="13">
        <v>30.251799999999999</v>
      </c>
      <c r="F3093" s="13">
        <f t="shared" si="146"/>
        <v>578.47797486430557</v>
      </c>
    </row>
    <row r="3094" spans="1:6" x14ac:dyDescent="0.25">
      <c r="A3094" s="10">
        <v>41296</v>
      </c>
      <c r="B3094" s="12">
        <f t="shared" si="144"/>
        <v>1</v>
      </c>
      <c r="C3094" s="12">
        <f t="shared" si="145"/>
        <v>2013</v>
      </c>
      <c r="D3094" s="13">
        <v>17250</v>
      </c>
      <c r="E3094" s="13">
        <v>30.237500000000001</v>
      </c>
      <c r="F3094" s="13">
        <f t="shared" si="146"/>
        <v>570.48367093840432</v>
      </c>
    </row>
    <row r="3095" spans="1:6" x14ac:dyDescent="0.25">
      <c r="A3095" s="10">
        <v>41297</v>
      </c>
      <c r="B3095" s="12">
        <f t="shared" si="144"/>
        <v>1</v>
      </c>
      <c r="C3095" s="12">
        <f t="shared" si="145"/>
        <v>2013</v>
      </c>
      <c r="D3095" s="13">
        <v>17250</v>
      </c>
      <c r="E3095" s="13">
        <v>30.15</v>
      </c>
      <c r="F3095" s="13">
        <f t="shared" si="146"/>
        <v>572.13930348258714</v>
      </c>
    </row>
    <row r="3096" spans="1:6" x14ac:dyDescent="0.25">
      <c r="A3096" s="10">
        <v>41298</v>
      </c>
      <c r="B3096" s="12">
        <f t="shared" si="144"/>
        <v>1</v>
      </c>
      <c r="C3096" s="12">
        <f t="shared" si="145"/>
        <v>2013</v>
      </c>
      <c r="D3096" s="13">
        <v>17250</v>
      </c>
      <c r="E3096" s="13">
        <v>30.073799999999999</v>
      </c>
      <c r="F3096" s="13">
        <f t="shared" si="146"/>
        <v>573.58897113101773</v>
      </c>
    </row>
    <row r="3097" spans="1:6" x14ac:dyDescent="0.25">
      <c r="A3097" s="10">
        <v>41299</v>
      </c>
      <c r="B3097" s="12">
        <f t="shared" si="144"/>
        <v>1</v>
      </c>
      <c r="C3097" s="12">
        <f t="shared" si="145"/>
        <v>2013</v>
      </c>
      <c r="D3097" s="13">
        <v>17250</v>
      </c>
      <c r="E3097" s="13">
        <v>30.037700000000001</v>
      </c>
      <c r="F3097" s="13">
        <f t="shared" si="146"/>
        <v>574.27832357337616</v>
      </c>
    </row>
    <row r="3098" spans="1:6" x14ac:dyDescent="0.25">
      <c r="A3098" s="10">
        <v>41302</v>
      </c>
      <c r="B3098" s="12">
        <f t="shared" si="144"/>
        <v>1</v>
      </c>
      <c r="C3098" s="12">
        <f t="shared" si="145"/>
        <v>2013</v>
      </c>
      <c r="D3098" s="13">
        <v>17000</v>
      </c>
      <c r="E3098" s="13">
        <v>30.175000000000001</v>
      </c>
      <c r="F3098" s="13">
        <f t="shared" si="146"/>
        <v>563.38028169014081</v>
      </c>
    </row>
    <row r="3099" spans="1:6" x14ac:dyDescent="0.25">
      <c r="A3099" s="10">
        <v>41303</v>
      </c>
      <c r="B3099" s="12">
        <f t="shared" si="144"/>
        <v>1</v>
      </c>
      <c r="C3099" s="12">
        <f t="shared" si="145"/>
        <v>2013</v>
      </c>
      <c r="D3099" s="13">
        <v>17000</v>
      </c>
      <c r="E3099" s="13">
        <v>30.035</v>
      </c>
      <c r="F3099" s="13">
        <f t="shared" si="146"/>
        <v>566.00632595305478</v>
      </c>
    </row>
    <row r="3100" spans="1:6" x14ac:dyDescent="0.25">
      <c r="A3100" s="10">
        <v>41304</v>
      </c>
      <c r="B3100" s="12">
        <f t="shared" si="144"/>
        <v>1</v>
      </c>
      <c r="C3100" s="12">
        <f t="shared" si="145"/>
        <v>2013</v>
      </c>
      <c r="D3100" s="13">
        <v>17000</v>
      </c>
      <c r="E3100" s="13">
        <v>30.037500000000001</v>
      </c>
      <c r="F3100" s="13">
        <f t="shared" si="146"/>
        <v>565.95921764461093</v>
      </c>
    </row>
    <row r="3101" spans="1:6" x14ac:dyDescent="0.25">
      <c r="A3101" s="10">
        <v>41305</v>
      </c>
      <c r="B3101" s="12">
        <f t="shared" si="144"/>
        <v>1</v>
      </c>
      <c r="C3101" s="12">
        <f t="shared" si="145"/>
        <v>2013</v>
      </c>
      <c r="D3101" s="13">
        <v>17000</v>
      </c>
      <c r="E3101" s="13">
        <v>30.024999999999999</v>
      </c>
      <c r="F3101" s="13">
        <f t="shared" si="146"/>
        <v>566.19483763530388</v>
      </c>
    </row>
    <row r="3102" spans="1:6" x14ac:dyDescent="0.25">
      <c r="A3102" s="10">
        <v>41306</v>
      </c>
      <c r="B3102" s="12">
        <f t="shared" si="144"/>
        <v>2</v>
      </c>
      <c r="C3102" s="12">
        <f t="shared" si="145"/>
        <v>2013</v>
      </c>
      <c r="D3102" s="13">
        <v>17000</v>
      </c>
      <c r="E3102" s="13">
        <v>29.857500000000002</v>
      </c>
      <c r="F3102" s="13">
        <f t="shared" si="146"/>
        <v>569.37117977057687</v>
      </c>
    </row>
    <row r="3103" spans="1:6" x14ac:dyDescent="0.25">
      <c r="A3103" s="10">
        <v>41309</v>
      </c>
      <c r="B3103" s="12">
        <f t="shared" si="144"/>
        <v>2</v>
      </c>
      <c r="C3103" s="12">
        <f t="shared" si="145"/>
        <v>2013</v>
      </c>
      <c r="D3103" s="13">
        <v>17000</v>
      </c>
      <c r="E3103" s="13">
        <v>30.07</v>
      </c>
      <c r="F3103" s="13">
        <f t="shared" si="146"/>
        <v>565.34752244762217</v>
      </c>
    </row>
    <row r="3104" spans="1:6" x14ac:dyDescent="0.25">
      <c r="A3104" s="10">
        <v>41310</v>
      </c>
      <c r="B3104" s="12">
        <f t="shared" si="144"/>
        <v>2</v>
      </c>
      <c r="C3104" s="12">
        <f t="shared" si="145"/>
        <v>2013</v>
      </c>
      <c r="D3104" s="13">
        <v>17000</v>
      </c>
      <c r="E3104" s="13">
        <v>29.962499999999999</v>
      </c>
      <c r="F3104" s="13">
        <f t="shared" si="146"/>
        <v>567.3758865248227</v>
      </c>
    </row>
    <row r="3105" spans="1:6" x14ac:dyDescent="0.25">
      <c r="A3105" s="10">
        <v>41311</v>
      </c>
      <c r="B3105" s="12">
        <f t="shared" si="144"/>
        <v>2</v>
      </c>
      <c r="C3105" s="12">
        <f t="shared" si="145"/>
        <v>2013</v>
      </c>
      <c r="D3105" s="13">
        <v>17000</v>
      </c>
      <c r="E3105" s="13">
        <v>30.0717</v>
      </c>
      <c r="F3105" s="13">
        <f t="shared" si="146"/>
        <v>565.31556247235778</v>
      </c>
    </row>
    <row r="3106" spans="1:6" x14ac:dyDescent="0.25">
      <c r="A3106" s="10">
        <v>41312</v>
      </c>
      <c r="B3106" s="12">
        <f t="shared" si="144"/>
        <v>2</v>
      </c>
      <c r="C3106" s="12">
        <f t="shared" si="145"/>
        <v>2013</v>
      </c>
      <c r="D3106" s="13">
        <v>17000</v>
      </c>
      <c r="E3106" s="13">
        <v>30.245000000000001</v>
      </c>
      <c r="F3106" s="13">
        <f t="shared" si="146"/>
        <v>562.07637626053895</v>
      </c>
    </row>
    <row r="3107" spans="1:6" x14ac:dyDescent="0.25">
      <c r="A3107" s="10">
        <v>41313</v>
      </c>
      <c r="B3107" s="12">
        <f t="shared" si="144"/>
        <v>2</v>
      </c>
      <c r="C3107" s="12">
        <f t="shared" si="145"/>
        <v>2013</v>
      </c>
      <c r="D3107" s="13">
        <v>17000</v>
      </c>
      <c r="E3107" s="13">
        <v>30.164999999999999</v>
      </c>
      <c r="F3107" s="13">
        <f t="shared" si="146"/>
        <v>563.56704790319907</v>
      </c>
    </row>
    <row r="3108" spans="1:6" x14ac:dyDescent="0.25">
      <c r="A3108" s="10">
        <v>41316</v>
      </c>
      <c r="B3108" s="12">
        <f t="shared" si="144"/>
        <v>2</v>
      </c>
      <c r="C3108" s="12">
        <f t="shared" si="145"/>
        <v>2013</v>
      </c>
      <c r="E3108" s="13">
        <v>30.156500000000001</v>
      </c>
      <c r="F3108" s="13" t="str">
        <f t="shared" si="146"/>
        <v/>
      </c>
    </row>
    <row r="3109" spans="1:6" x14ac:dyDescent="0.25">
      <c r="A3109" s="10">
        <v>41317</v>
      </c>
      <c r="B3109" s="12">
        <f t="shared" si="144"/>
        <v>2</v>
      </c>
      <c r="C3109" s="12">
        <f t="shared" si="145"/>
        <v>2013</v>
      </c>
      <c r="E3109" s="13">
        <v>30.03</v>
      </c>
      <c r="F3109" s="13" t="str">
        <f t="shared" si="146"/>
        <v/>
      </c>
    </row>
    <row r="3110" spans="1:6" x14ac:dyDescent="0.25">
      <c r="A3110" s="10">
        <v>41318</v>
      </c>
      <c r="B3110" s="12">
        <f t="shared" si="144"/>
        <v>2</v>
      </c>
      <c r="C3110" s="12">
        <f t="shared" si="145"/>
        <v>2013</v>
      </c>
      <c r="E3110" s="13">
        <v>30.047499999999999</v>
      </c>
      <c r="F3110" s="13" t="str">
        <f t="shared" si="146"/>
        <v/>
      </c>
    </row>
    <row r="3111" spans="1:6" x14ac:dyDescent="0.25">
      <c r="A3111" s="10">
        <v>41319</v>
      </c>
      <c r="B3111" s="12">
        <f t="shared" si="144"/>
        <v>2</v>
      </c>
      <c r="C3111" s="12">
        <f t="shared" si="145"/>
        <v>2013</v>
      </c>
      <c r="E3111" s="13">
        <v>30.1175</v>
      </c>
      <c r="F3111" s="13" t="str">
        <f t="shared" si="146"/>
        <v/>
      </c>
    </row>
    <row r="3112" spans="1:6" x14ac:dyDescent="0.25">
      <c r="A3112" s="10">
        <v>41320</v>
      </c>
      <c r="B3112" s="12">
        <f t="shared" si="144"/>
        <v>2</v>
      </c>
      <c r="C3112" s="12">
        <f t="shared" si="145"/>
        <v>2013</v>
      </c>
      <c r="E3112" s="13">
        <v>30.098400000000002</v>
      </c>
      <c r="F3112" s="13" t="str">
        <f t="shared" si="146"/>
        <v/>
      </c>
    </row>
    <row r="3113" spans="1:6" x14ac:dyDescent="0.25">
      <c r="A3113" s="10">
        <v>41324</v>
      </c>
      <c r="B3113" s="12">
        <f t="shared" si="144"/>
        <v>2</v>
      </c>
      <c r="C3113" s="12">
        <f t="shared" si="145"/>
        <v>2013</v>
      </c>
      <c r="D3113" s="13">
        <v>16900</v>
      </c>
      <c r="E3113" s="13">
        <v>30.085000000000001</v>
      </c>
      <c r="F3113" s="13">
        <f t="shared" si="146"/>
        <v>561.74173176001329</v>
      </c>
    </row>
    <row r="3114" spans="1:6" x14ac:dyDescent="0.25">
      <c r="A3114" s="10">
        <v>41325</v>
      </c>
      <c r="B3114" s="12">
        <f t="shared" si="144"/>
        <v>2</v>
      </c>
      <c r="C3114" s="12">
        <f t="shared" si="145"/>
        <v>2013</v>
      </c>
      <c r="D3114" s="13">
        <v>16900</v>
      </c>
      <c r="E3114" s="13">
        <v>30.225000000000001</v>
      </c>
      <c r="F3114" s="13">
        <f t="shared" si="146"/>
        <v>559.13978494623655</v>
      </c>
    </row>
    <row r="3115" spans="1:6" x14ac:dyDescent="0.25">
      <c r="A3115" s="10">
        <v>41326</v>
      </c>
      <c r="B3115" s="12">
        <f t="shared" si="144"/>
        <v>2</v>
      </c>
      <c r="C3115" s="12">
        <f t="shared" si="145"/>
        <v>2013</v>
      </c>
      <c r="D3115" s="13">
        <v>16900</v>
      </c>
      <c r="E3115" s="13">
        <v>30.454999999999998</v>
      </c>
      <c r="F3115" s="13">
        <f t="shared" si="146"/>
        <v>554.91709078968972</v>
      </c>
    </row>
    <row r="3116" spans="1:6" x14ac:dyDescent="0.25">
      <c r="A3116" s="10">
        <v>41327</v>
      </c>
      <c r="B3116" s="12">
        <f t="shared" si="144"/>
        <v>2</v>
      </c>
      <c r="C3116" s="12">
        <f t="shared" si="145"/>
        <v>2013</v>
      </c>
      <c r="D3116" s="13">
        <v>16900</v>
      </c>
      <c r="E3116" s="13">
        <v>30.375</v>
      </c>
      <c r="F3116" s="13">
        <f t="shared" si="146"/>
        <v>556.3786008230453</v>
      </c>
    </row>
    <row r="3117" spans="1:6" x14ac:dyDescent="0.25">
      <c r="A3117" s="10">
        <v>41330</v>
      </c>
      <c r="B3117" s="12">
        <f t="shared" si="144"/>
        <v>2</v>
      </c>
      <c r="C3117" s="12">
        <f t="shared" si="145"/>
        <v>2013</v>
      </c>
      <c r="D3117" s="13">
        <v>16700</v>
      </c>
      <c r="E3117" s="13">
        <v>30.47</v>
      </c>
      <c r="F3117" s="13">
        <f t="shared" si="146"/>
        <v>548.08007876599936</v>
      </c>
    </row>
    <row r="3118" spans="1:6" x14ac:dyDescent="0.25">
      <c r="A3118" s="10">
        <v>41331</v>
      </c>
      <c r="B3118" s="12">
        <f t="shared" si="144"/>
        <v>2</v>
      </c>
      <c r="C3118" s="12">
        <f t="shared" si="145"/>
        <v>2013</v>
      </c>
      <c r="D3118" s="13">
        <v>16700</v>
      </c>
      <c r="E3118" s="13">
        <v>30.6</v>
      </c>
      <c r="F3118" s="13">
        <f t="shared" si="146"/>
        <v>545.75163398692803</v>
      </c>
    </row>
    <row r="3119" spans="1:6" x14ac:dyDescent="0.25">
      <c r="A3119" s="10">
        <v>41332</v>
      </c>
      <c r="B3119" s="12">
        <f t="shared" si="144"/>
        <v>2</v>
      </c>
      <c r="C3119" s="12">
        <f t="shared" si="145"/>
        <v>2013</v>
      </c>
      <c r="D3119" s="13">
        <v>16700</v>
      </c>
      <c r="E3119" s="13">
        <v>30.48</v>
      </c>
      <c r="F3119" s="13">
        <f t="shared" si="146"/>
        <v>547.90026246719162</v>
      </c>
    </row>
    <row r="3120" spans="1:6" x14ac:dyDescent="0.25">
      <c r="A3120" s="10">
        <v>41333</v>
      </c>
      <c r="B3120" s="12">
        <f t="shared" si="144"/>
        <v>2</v>
      </c>
      <c r="C3120" s="12">
        <f t="shared" si="145"/>
        <v>2013</v>
      </c>
      <c r="D3120" s="13">
        <v>16700</v>
      </c>
      <c r="E3120" s="13">
        <v>30.645</v>
      </c>
      <c r="F3120" s="13">
        <f t="shared" si="146"/>
        <v>544.9502365801925</v>
      </c>
    </row>
    <row r="3121" spans="1:6" x14ac:dyDescent="0.25">
      <c r="A3121" s="10">
        <v>41334</v>
      </c>
      <c r="B3121" s="12">
        <f t="shared" si="144"/>
        <v>3</v>
      </c>
      <c r="C3121" s="12">
        <f t="shared" si="145"/>
        <v>2013</v>
      </c>
      <c r="D3121" s="13">
        <v>16700</v>
      </c>
      <c r="E3121" s="13">
        <v>30.6922</v>
      </c>
      <c r="F3121" s="13">
        <f t="shared" si="146"/>
        <v>544.112184854784</v>
      </c>
    </row>
    <row r="3122" spans="1:6" x14ac:dyDescent="0.25">
      <c r="A3122" s="10">
        <v>41337</v>
      </c>
      <c r="B3122" s="12">
        <f t="shared" si="144"/>
        <v>3</v>
      </c>
      <c r="C3122" s="12">
        <f t="shared" si="145"/>
        <v>2013</v>
      </c>
      <c r="D3122" s="13">
        <v>16650</v>
      </c>
      <c r="E3122" s="13">
        <v>30.764299999999999</v>
      </c>
      <c r="F3122" s="13">
        <f t="shared" si="146"/>
        <v>541.21172917960109</v>
      </c>
    </row>
    <row r="3123" spans="1:6" x14ac:dyDescent="0.25">
      <c r="A3123" s="10">
        <v>41338</v>
      </c>
      <c r="B3123" s="12">
        <f t="shared" si="144"/>
        <v>3</v>
      </c>
      <c r="C3123" s="12">
        <f t="shared" si="145"/>
        <v>2013</v>
      </c>
      <c r="D3123" s="13">
        <v>16650</v>
      </c>
      <c r="E3123" s="13">
        <v>30.6143</v>
      </c>
      <c r="F3123" s="13">
        <f t="shared" si="146"/>
        <v>543.86348863112994</v>
      </c>
    </row>
    <row r="3124" spans="1:6" x14ac:dyDescent="0.25">
      <c r="A3124" s="10">
        <v>41339</v>
      </c>
      <c r="B3124" s="12">
        <f t="shared" si="144"/>
        <v>3</v>
      </c>
      <c r="C3124" s="12">
        <f t="shared" si="145"/>
        <v>2013</v>
      </c>
      <c r="D3124" s="13">
        <v>16650</v>
      </c>
      <c r="E3124" s="13">
        <v>30.7775</v>
      </c>
      <c r="F3124" s="13">
        <f t="shared" si="146"/>
        <v>540.97961172934777</v>
      </c>
    </row>
    <row r="3125" spans="1:6" x14ac:dyDescent="0.25">
      <c r="A3125" s="10">
        <v>41340</v>
      </c>
      <c r="B3125" s="12">
        <f t="shared" si="144"/>
        <v>3</v>
      </c>
      <c r="C3125" s="12">
        <f t="shared" si="145"/>
        <v>2013</v>
      </c>
      <c r="D3125" s="13">
        <v>16650</v>
      </c>
      <c r="E3125" s="13">
        <v>30.7075</v>
      </c>
      <c r="F3125" s="13">
        <f t="shared" si="146"/>
        <v>542.21281445900843</v>
      </c>
    </row>
    <row r="3126" spans="1:6" x14ac:dyDescent="0.25">
      <c r="A3126" s="10">
        <v>41341</v>
      </c>
      <c r="B3126" s="12">
        <f t="shared" si="144"/>
        <v>3</v>
      </c>
      <c r="C3126" s="12">
        <f t="shared" si="145"/>
        <v>2013</v>
      </c>
      <c r="D3126" s="13">
        <v>16650</v>
      </c>
      <c r="E3126" s="13">
        <v>30.7775</v>
      </c>
      <c r="F3126" s="13">
        <f t="shared" si="146"/>
        <v>540.97961172934777</v>
      </c>
    </row>
    <row r="3127" spans="1:6" x14ac:dyDescent="0.25">
      <c r="A3127" s="10">
        <v>41344</v>
      </c>
      <c r="B3127" s="12">
        <f t="shared" si="144"/>
        <v>3</v>
      </c>
      <c r="C3127" s="12">
        <f t="shared" si="145"/>
        <v>2013</v>
      </c>
      <c r="D3127" s="13">
        <v>16650</v>
      </c>
      <c r="E3127" s="13">
        <v>30.691299999999998</v>
      </c>
      <c r="F3127" s="13">
        <f t="shared" si="146"/>
        <v>542.49901437866765</v>
      </c>
    </row>
    <row r="3128" spans="1:6" x14ac:dyDescent="0.25">
      <c r="A3128" s="10">
        <v>41345</v>
      </c>
      <c r="B3128" s="12">
        <f t="shared" si="144"/>
        <v>3</v>
      </c>
      <c r="C3128" s="12">
        <f t="shared" si="145"/>
        <v>2013</v>
      </c>
      <c r="D3128" s="13">
        <v>16650</v>
      </c>
      <c r="E3128" s="13">
        <v>30.672499999999999</v>
      </c>
      <c r="F3128" s="13">
        <f t="shared" si="146"/>
        <v>542.83152661178576</v>
      </c>
    </row>
    <row r="3129" spans="1:6" x14ac:dyDescent="0.25">
      <c r="A3129" s="10">
        <v>41346</v>
      </c>
      <c r="B3129" s="12">
        <f t="shared" si="144"/>
        <v>3</v>
      </c>
      <c r="C3129" s="12">
        <f t="shared" si="145"/>
        <v>2013</v>
      </c>
      <c r="D3129" s="13">
        <v>16650</v>
      </c>
      <c r="E3129" s="13">
        <v>30.794699999999999</v>
      </c>
      <c r="F3129" s="13">
        <f t="shared" si="146"/>
        <v>540.67745423725512</v>
      </c>
    </row>
    <row r="3130" spans="1:6" x14ac:dyDescent="0.25">
      <c r="A3130" s="10">
        <v>41347</v>
      </c>
      <c r="B3130" s="12">
        <f t="shared" si="144"/>
        <v>3</v>
      </c>
      <c r="C3130" s="12">
        <f t="shared" si="145"/>
        <v>2013</v>
      </c>
      <c r="D3130" s="13">
        <v>16650</v>
      </c>
      <c r="E3130" s="13">
        <v>30.715</v>
      </c>
      <c r="F3130" s="13">
        <f t="shared" si="146"/>
        <v>542.08041673449452</v>
      </c>
    </row>
    <row r="3131" spans="1:6" x14ac:dyDescent="0.25">
      <c r="A3131" s="10">
        <v>41348</v>
      </c>
      <c r="B3131" s="12">
        <f t="shared" si="144"/>
        <v>3</v>
      </c>
      <c r="C3131" s="12">
        <f t="shared" si="145"/>
        <v>2013</v>
      </c>
      <c r="D3131" s="13">
        <v>16650</v>
      </c>
      <c r="E3131" s="13">
        <v>30.6218</v>
      </c>
      <c r="F3131" s="13">
        <f t="shared" si="146"/>
        <v>543.7302836541287</v>
      </c>
    </row>
    <row r="3132" spans="1:6" x14ac:dyDescent="0.25">
      <c r="A3132" s="10">
        <v>41351</v>
      </c>
      <c r="B3132" s="12">
        <f t="shared" si="144"/>
        <v>3</v>
      </c>
      <c r="C3132" s="12">
        <f t="shared" si="145"/>
        <v>2013</v>
      </c>
      <c r="D3132" s="13">
        <v>16650</v>
      </c>
      <c r="E3132" s="13">
        <v>30.802499999999998</v>
      </c>
      <c r="F3132" s="13">
        <f t="shared" si="146"/>
        <v>540.54054054054052</v>
      </c>
    </row>
    <row r="3133" spans="1:6" x14ac:dyDescent="0.25">
      <c r="A3133" s="10">
        <v>41352</v>
      </c>
      <c r="B3133" s="12">
        <f t="shared" si="144"/>
        <v>3</v>
      </c>
      <c r="C3133" s="12">
        <f t="shared" si="145"/>
        <v>2013</v>
      </c>
      <c r="D3133" s="13">
        <v>16650</v>
      </c>
      <c r="E3133" s="13">
        <v>30.9925</v>
      </c>
      <c r="F3133" s="13">
        <f t="shared" si="146"/>
        <v>537.22674840687262</v>
      </c>
    </row>
    <row r="3134" spans="1:6" x14ac:dyDescent="0.25">
      <c r="A3134" s="10">
        <v>41353</v>
      </c>
      <c r="B3134" s="12">
        <f t="shared" si="144"/>
        <v>3</v>
      </c>
      <c r="C3134" s="12">
        <f t="shared" si="145"/>
        <v>2013</v>
      </c>
      <c r="D3134" s="13">
        <v>16650</v>
      </c>
      <c r="E3134" s="13">
        <v>30.87</v>
      </c>
      <c r="F3134" s="13">
        <f t="shared" si="146"/>
        <v>539.35860058309038</v>
      </c>
    </row>
    <row r="3135" spans="1:6" x14ac:dyDescent="0.25">
      <c r="A3135" s="10">
        <v>41354</v>
      </c>
      <c r="B3135" s="12">
        <f t="shared" si="144"/>
        <v>3</v>
      </c>
      <c r="C3135" s="12">
        <f t="shared" si="145"/>
        <v>2013</v>
      </c>
      <c r="D3135" s="13">
        <v>16650</v>
      </c>
      <c r="E3135" s="13">
        <v>30.945</v>
      </c>
      <c r="F3135" s="13">
        <f t="shared" si="146"/>
        <v>538.05138148327683</v>
      </c>
    </row>
    <row r="3136" spans="1:6" x14ac:dyDescent="0.25">
      <c r="A3136" s="10">
        <v>41355</v>
      </c>
      <c r="B3136" s="12">
        <f t="shared" si="144"/>
        <v>3</v>
      </c>
      <c r="C3136" s="12">
        <f t="shared" si="145"/>
        <v>2013</v>
      </c>
      <c r="D3136" s="13">
        <v>16650</v>
      </c>
      <c r="E3136" s="13">
        <v>30.844999999999999</v>
      </c>
      <c r="F3136" s="13">
        <f t="shared" si="146"/>
        <v>539.79575295834013</v>
      </c>
    </row>
    <row r="3137" spans="1:6" x14ac:dyDescent="0.25">
      <c r="A3137" s="10">
        <v>41358</v>
      </c>
      <c r="B3137" s="12">
        <f t="shared" si="144"/>
        <v>3</v>
      </c>
      <c r="C3137" s="12">
        <f t="shared" si="145"/>
        <v>2013</v>
      </c>
      <c r="D3137" s="13">
        <v>16500</v>
      </c>
      <c r="E3137" s="13">
        <v>30.934999999999999</v>
      </c>
      <c r="F3137" s="13">
        <f t="shared" si="146"/>
        <v>533.37643445935032</v>
      </c>
    </row>
    <row r="3138" spans="1:6" x14ac:dyDescent="0.25">
      <c r="A3138" s="10">
        <v>41359</v>
      </c>
      <c r="B3138" s="12">
        <f t="shared" si="144"/>
        <v>3</v>
      </c>
      <c r="C3138" s="12">
        <f t="shared" si="145"/>
        <v>2013</v>
      </c>
      <c r="D3138" s="13">
        <v>16500</v>
      </c>
      <c r="E3138" s="13">
        <v>30.875</v>
      </c>
      <c r="F3138" s="13">
        <f t="shared" si="146"/>
        <v>534.41295546558706</v>
      </c>
    </row>
    <row r="3139" spans="1:6" x14ac:dyDescent="0.25">
      <c r="A3139" s="10">
        <v>41360</v>
      </c>
      <c r="B3139" s="12">
        <f t="shared" ref="B3139:B3202" si="147">MONTH(A3139)</f>
        <v>3</v>
      </c>
      <c r="C3139" s="12">
        <f t="shared" ref="C3139:C3202" si="148">YEAR(A3139)</f>
        <v>2013</v>
      </c>
      <c r="D3139" s="13">
        <v>16500</v>
      </c>
      <c r="E3139" s="13">
        <v>31.03</v>
      </c>
      <c r="F3139" s="13">
        <f t="shared" ref="F3139:F3202" si="149">IF(D3139="","",D3139/E3139)</f>
        <v>531.74347405736387</v>
      </c>
    </row>
    <row r="3140" spans="1:6" x14ac:dyDescent="0.25">
      <c r="A3140" s="10">
        <v>41361</v>
      </c>
      <c r="B3140" s="12">
        <f t="shared" si="147"/>
        <v>3</v>
      </c>
      <c r="C3140" s="12">
        <f t="shared" si="148"/>
        <v>2013</v>
      </c>
      <c r="D3140" s="13">
        <v>16500</v>
      </c>
      <c r="E3140" s="13">
        <v>31.112500000000001</v>
      </c>
      <c r="F3140" s="13">
        <f t="shared" si="149"/>
        <v>530.33346725592605</v>
      </c>
    </row>
    <row r="3141" spans="1:6" x14ac:dyDescent="0.25">
      <c r="A3141" s="10">
        <v>41365</v>
      </c>
      <c r="B3141" s="12">
        <f t="shared" si="147"/>
        <v>4</v>
      </c>
      <c r="C3141" s="12">
        <f t="shared" si="148"/>
        <v>2013</v>
      </c>
      <c r="D3141" s="13">
        <v>16350</v>
      </c>
      <c r="E3141" s="13">
        <v>31.0825</v>
      </c>
      <c r="F3141" s="13">
        <f t="shared" si="149"/>
        <v>526.01946432880243</v>
      </c>
    </row>
    <row r="3142" spans="1:6" x14ac:dyDescent="0.25">
      <c r="A3142" s="10">
        <v>41366</v>
      </c>
      <c r="B3142" s="12">
        <f t="shared" si="147"/>
        <v>4</v>
      </c>
      <c r="C3142" s="12">
        <f t="shared" si="148"/>
        <v>2013</v>
      </c>
      <c r="D3142" s="13">
        <v>16350</v>
      </c>
      <c r="E3142" s="13">
        <v>31.318000000000001</v>
      </c>
      <c r="F3142" s="13">
        <f t="shared" si="149"/>
        <v>522.06398876045728</v>
      </c>
    </row>
    <row r="3143" spans="1:6" x14ac:dyDescent="0.25">
      <c r="A3143" s="10">
        <v>41367</v>
      </c>
      <c r="B3143" s="12">
        <f t="shared" si="147"/>
        <v>4</v>
      </c>
      <c r="C3143" s="12">
        <f t="shared" si="148"/>
        <v>2013</v>
      </c>
      <c r="D3143" s="13">
        <v>16350</v>
      </c>
      <c r="E3143" s="13">
        <v>31.647500000000001</v>
      </c>
      <c r="F3143" s="13">
        <f t="shared" si="149"/>
        <v>516.6284856623746</v>
      </c>
    </row>
    <row r="3144" spans="1:6" x14ac:dyDescent="0.25">
      <c r="A3144" s="10">
        <v>41368</v>
      </c>
      <c r="B3144" s="12">
        <f t="shared" si="147"/>
        <v>4</v>
      </c>
      <c r="C3144" s="12">
        <f t="shared" si="148"/>
        <v>2013</v>
      </c>
      <c r="D3144" s="13">
        <v>16350</v>
      </c>
      <c r="E3144" s="13">
        <v>31.597999999999999</v>
      </c>
      <c r="F3144" s="13">
        <f t="shared" si="149"/>
        <v>517.43781251977975</v>
      </c>
    </row>
    <row r="3145" spans="1:6" x14ac:dyDescent="0.25">
      <c r="A3145" s="10">
        <v>41369</v>
      </c>
      <c r="B3145" s="12">
        <f t="shared" si="147"/>
        <v>4</v>
      </c>
      <c r="C3145" s="12">
        <f t="shared" si="148"/>
        <v>2013</v>
      </c>
      <c r="D3145" s="13">
        <v>16350</v>
      </c>
      <c r="E3145" s="13">
        <v>31.500499999999999</v>
      </c>
      <c r="F3145" s="13">
        <f t="shared" si="149"/>
        <v>519.03938032729639</v>
      </c>
    </row>
    <row r="3146" spans="1:6" x14ac:dyDescent="0.25">
      <c r="A3146" s="10">
        <v>41372</v>
      </c>
      <c r="B3146" s="12">
        <f t="shared" si="147"/>
        <v>4</v>
      </c>
      <c r="C3146" s="12">
        <f t="shared" si="148"/>
        <v>2013</v>
      </c>
      <c r="D3146" s="13">
        <v>16250</v>
      </c>
      <c r="E3146" s="13">
        <v>31.217500000000001</v>
      </c>
      <c r="F3146" s="13">
        <f t="shared" si="149"/>
        <v>520.54136301753817</v>
      </c>
    </row>
    <row r="3147" spans="1:6" x14ac:dyDescent="0.25">
      <c r="A3147" s="10">
        <v>41373</v>
      </c>
      <c r="B3147" s="12">
        <f t="shared" si="147"/>
        <v>4</v>
      </c>
      <c r="C3147" s="12">
        <f t="shared" si="148"/>
        <v>2013</v>
      </c>
      <c r="D3147" s="13">
        <v>16250</v>
      </c>
      <c r="E3147" s="13">
        <v>31.02</v>
      </c>
      <c r="F3147" s="13">
        <f t="shared" si="149"/>
        <v>523.85557704706639</v>
      </c>
    </row>
    <row r="3148" spans="1:6" x14ac:dyDescent="0.25">
      <c r="A3148" s="10">
        <v>41374</v>
      </c>
      <c r="B3148" s="12">
        <f t="shared" si="147"/>
        <v>4</v>
      </c>
      <c r="C3148" s="12">
        <f t="shared" si="148"/>
        <v>2013</v>
      </c>
      <c r="D3148" s="13">
        <v>16250</v>
      </c>
      <c r="E3148" s="13">
        <v>30.888000000000002</v>
      </c>
      <c r="F3148" s="13">
        <f t="shared" si="149"/>
        <v>526.0942760942761</v>
      </c>
    </row>
    <row r="3149" spans="1:6" x14ac:dyDescent="0.25">
      <c r="A3149" s="10">
        <v>41375</v>
      </c>
      <c r="B3149" s="12">
        <f t="shared" si="147"/>
        <v>4</v>
      </c>
      <c r="C3149" s="12">
        <f t="shared" si="148"/>
        <v>2013</v>
      </c>
      <c r="D3149" s="13">
        <v>16250</v>
      </c>
      <c r="E3149" s="13">
        <v>30.860499999999998</v>
      </c>
      <c r="F3149" s="13">
        <f t="shared" si="149"/>
        <v>526.56308225725445</v>
      </c>
    </row>
    <row r="3150" spans="1:6" x14ac:dyDescent="0.25">
      <c r="A3150" s="10">
        <v>41376</v>
      </c>
      <c r="B3150" s="12">
        <f t="shared" si="147"/>
        <v>4</v>
      </c>
      <c r="C3150" s="12">
        <f t="shared" si="148"/>
        <v>2013</v>
      </c>
      <c r="D3150" s="13">
        <v>16250</v>
      </c>
      <c r="E3150" s="13">
        <v>31.06</v>
      </c>
      <c r="F3150" s="13">
        <f t="shared" si="149"/>
        <v>523.18094011590472</v>
      </c>
    </row>
    <row r="3151" spans="1:6" x14ac:dyDescent="0.25">
      <c r="A3151" s="10">
        <v>41379</v>
      </c>
      <c r="B3151" s="12">
        <f t="shared" si="147"/>
        <v>4</v>
      </c>
      <c r="C3151" s="12">
        <f t="shared" si="148"/>
        <v>2013</v>
      </c>
      <c r="D3151" s="13">
        <v>16250</v>
      </c>
      <c r="E3151" s="13">
        <v>31.498699999999999</v>
      </c>
      <c r="F3151" s="13">
        <f t="shared" si="149"/>
        <v>515.89430674916741</v>
      </c>
    </row>
    <row r="3152" spans="1:6" x14ac:dyDescent="0.25">
      <c r="A3152" s="10">
        <v>41380</v>
      </c>
      <c r="B3152" s="12">
        <f t="shared" si="147"/>
        <v>4</v>
      </c>
      <c r="C3152" s="12">
        <f t="shared" si="148"/>
        <v>2013</v>
      </c>
      <c r="D3152" s="13">
        <v>16250</v>
      </c>
      <c r="E3152" s="13">
        <v>31.2438</v>
      </c>
      <c r="F3152" s="13">
        <f t="shared" si="149"/>
        <v>520.10318847259293</v>
      </c>
    </row>
    <row r="3153" spans="1:6" x14ac:dyDescent="0.25">
      <c r="A3153" s="10">
        <v>41381</v>
      </c>
      <c r="B3153" s="12">
        <f t="shared" si="147"/>
        <v>4</v>
      </c>
      <c r="C3153" s="12">
        <f t="shared" si="148"/>
        <v>2013</v>
      </c>
      <c r="D3153" s="13">
        <v>16250</v>
      </c>
      <c r="E3153" s="13">
        <v>31.8825</v>
      </c>
      <c r="F3153" s="13">
        <f t="shared" si="149"/>
        <v>509.68399592252803</v>
      </c>
    </row>
    <row r="3154" spans="1:6" x14ac:dyDescent="0.25">
      <c r="A3154" s="10">
        <v>41382</v>
      </c>
      <c r="B3154" s="12">
        <f t="shared" si="147"/>
        <v>4</v>
      </c>
      <c r="C3154" s="12">
        <f t="shared" si="148"/>
        <v>2013</v>
      </c>
      <c r="D3154" s="13">
        <v>16250</v>
      </c>
      <c r="E3154" s="13">
        <v>31.58</v>
      </c>
      <c r="F3154" s="13">
        <f t="shared" si="149"/>
        <v>514.56618112729575</v>
      </c>
    </row>
    <row r="3155" spans="1:6" x14ac:dyDescent="0.25">
      <c r="A3155" s="10">
        <v>41383</v>
      </c>
      <c r="B3155" s="12">
        <f t="shared" si="147"/>
        <v>4</v>
      </c>
      <c r="C3155" s="12">
        <f t="shared" si="148"/>
        <v>2013</v>
      </c>
      <c r="D3155" s="13">
        <v>16250</v>
      </c>
      <c r="E3155" s="13">
        <v>31.660499999999999</v>
      </c>
      <c r="F3155" s="13">
        <f t="shared" si="149"/>
        <v>513.25784494875325</v>
      </c>
    </row>
    <row r="3156" spans="1:6" x14ac:dyDescent="0.25">
      <c r="A3156" s="10">
        <v>41386</v>
      </c>
      <c r="B3156" s="12">
        <f t="shared" si="147"/>
        <v>4</v>
      </c>
      <c r="C3156" s="12">
        <f t="shared" si="148"/>
        <v>2013</v>
      </c>
      <c r="E3156" s="13">
        <v>31.56</v>
      </c>
      <c r="F3156" s="13" t="str">
        <f t="shared" si="149"/>
        <v/>
      </c>
    </row>
    <row r="3157" spans="1:6" x14ac:dyDescent="0.25">
      <c r="A3157" s="10">
        <v>41387</v>
      </c>
      <c r="B3157" s="12">
        <f t="shared" si="147"/>
        <v>4</v>
      </c>
      <c r="C3157" s="12">
        <f t="shared" si="148"/>
        <v>2013</v>
      </c>
      <c r="E3157" s="13">
        <v>31.63</v>
      </c>
      <c r="F3157" s="13" t="str">
        <f t="shared" si="149"/>
        <v/>
      </c>
    </row>
    <row r="3158" spans="1:6" x14ac:dyDescent="0.25">
      <c r="A3158" s="10">
        <v>41388</v>
      </c>
      <c r="B3158" s="12">
        <f t="shared" si="147"/>
        <v>4</v>
      </c>
      <c r="C3158" s="12">
        <f t="shared" si="148"/>
        <v>2013</v>
      </c>
      <c r="E3158" s="13">
        <v>31.475000000000001</v>
      </c>
      <c r="F3158" s="13" t="str">
        <f t="shared" si="149"/>
        <v/>
      </c>
    </row>
    <row r="3159" spans="1:6" x14ac:dyDescent="0.25">
      <c r="A3159" s="10">
        <v>41389</v>
      </c>
      <c r="B3159" s="12">
        <f t="shared" si="147"/>
        <v>4</v>
      </c>
      <c r="C3159" s="12">
        <f t="shared" si="148"/>
        <v>2013</v>
      </c>
      <c r="E3159" s="13">
        <v>31.157499999999999</v>
      </c>
      <c r="F3159" s="13" t="str">
        <f t="shared" si="149"/>
        <v/>
      </c>
    </row>
    <row r="3160" spans="1:6" x14ac:dyDescent="0.25">
      <c r="A3160" s="10">
        <v>41390</v>
      </c>
      <c r="B3160" s="12">
        <f t="shared" si="147"/>
        <v>4</v>
      </c>
      <c r="C3160" s="12">
        <f t="shared" si="148"/>
        <v>2013</v>
      </c>
      <c r="E3160" s="13">
        <v>31.282499999999999</v>
      </c>
      <c r="F3160" s="13" t="str">
        <f t="shared" si="149"/>
        <v/>
      </c>
    </row>
    <row r="3161" spans="1:6" x14ac:dyDescent="0.25">
      <c r="A3161" s="10">
        <v>41393</v>
      </c>
      <c r="B3161" s="12">
        <f t="shared" si="147"/>
        <v>4</v>
      </c>
      <c r="C3161" s="12">
        <f t="shared" si="148"/>
        <v>2013</v>
      </c>
      <c r="E3161" s="13">
        <v>30.968</v>
      </c>
      <c r="F3161" s="13" t="str">
        <f t="shared" si="149"/>
        <v/>
      </c>
    </row>
    <row r="3162" spans="1:6" x14ac:dyDescent="0.25">
      <c r="A3162" s="10">
        <v>41394</v>
      </c>
      <c r="B3162" s="12">
        <f t="shared" si="147"/>
        <v>4</v>
      </c>
      <c r="C3162" s="12">
        <f t="shared" si="148"/>
        <v>2013</v>
      </c>
      <c r="E3162" s="13">
        <v>31.123000000000001</v>
      </c>
      <c r="F3162" s="13" t="str">
        <f t="shared" si="149"/>
        <v/>
      </c>
    </row>
    <row r="3163" spans="1:6" x14ac:dyDescent="0.25">
      <c r="A3163" s="10">
        <v>41395</v>
      </c>
      <c r="B3163" s="12">
        <f t="shared" si="147"/>
        <v>5</v>
      </c>
      <c r="C3163" s="12">
        <f t="shared" si="148"/>
        <v>2013</v>
      </c>
      <c r="E3163" s="13">
        <v>31.343</v>
      </c>
      <c r="F3163" s="13" t="str">
        <f t="shared" si="149"/>
        <v/>
      </c>
    </row>
    <row r="3164" spans="1:6" x14ac:dyDescent="0.25">
      <c r="A3164" s="10">
        <v>41396</v>
      </c>
      <c r="B3164" s="12">
        <f t="shared" si="147"/>
        <v>5</v>
      </c>
      <c r="C3164" s="12">
        <f t="shared" si="148"/>
        <v>2013</v>
      </c>
      <c r="E3164" s="13">
        <v>31.148</v>
      </c>
      <c r="F3164" s="13" t="str">
        <f t="shared" si="149"/>
        <v/>
      </c>
    </row>
    <row r="3165" spans="1:6" x14ac:dyDescent="0.25">
      <c r="A3165" s="10">
        <v>41397</v>
      </c>
      <c r="B3165" s="12">
        <f t="shared" si="147"/>
        <v>5</v>
      </c>
      <c r="C3165" s="12">
        <f t="shared" si="148"/>
        <v>2013</v>
      </c>
      <c r="E3165" s="13">
        <v>31.075500000000002</v>
      </c>
      <c r="F3165" s="13" t="str">
        <f t="shared" si="149"/>
        <v/>
      </c>
    </row>
    <row r="3166" spans="1:6" x14ac:dyDescent="0.25">
      <c r="A3166" s="10">
        <v>41400</v>
      </c>
      <c r="B3166" s="12">
        <f t="shared" si="147"/>
        <v>5</v>
      </c>
      <c r="C3166" s="12">
        <f t="shared" si="148"/>
        <v>2013</v>
      </c>
      <c r="E3166" s="13">
        <v>31.035499999999999</v>
      </c>
      <c r="F3166" s="13" t="str">
        <f t="shared" si="149"/>
        <v/>
      </c>
    </row>
    <row r="3167" spans="1:6" x14ac:dyDescent="0.25">
      <c r="A3167" s="10">
        <v>41401</v>
      </c>
      <c r="B3167" s="12">
        <f t="shared" si="147"/>
        <v>5</v>
      </c>
      <c r="C3167" s="12">
        <f t="shared" si="148"/>
        <v>2013</v>
      </c>
      <c r="E3167" s="13">
        <v>31.062999999999999</v>
      </c>
      <c r="F3167" s="13" t="str">
        <f t="shared" si="149"/>
        <v/>
      </c>
    </row>
    <row r="3168" spans="1:6" x14ac:dyDescent="0.25">
      <c r="A3168" s="10">
        <v>41402</v>
      </c>
      <c r="B3168" s="12">
        <f t="shared" si="147"/>
        <v>5</v>
      </c>
      <c r="C3168" s="12">
        <f t="shared" si="148"/>
        <v>2013</v>
      </c>
      <c r="E3168" s="13">
        <v>31.143000000000001</v>
      </c>
      <c r="F3168" s="13" t="str">
        <f t="shared" si="149"/>
        <v/>
      </c>
    </row>
    <row r="3169" spans="1:6" x14ac:dyDescent="0.25">
      <c r="A3169" s="10">
        <v>41403</v>
      </c>
      <c r="B3169" s="12">
        <f t="shared" si="147"/>
        <v>5</v>
      </c>
      <c r="C3169" s="12">
        <f t="shared" si="148"/>
        <v>2013</v>
      </c>
      <c r="E3169" s="13">
        <v>31.192499999999999</v>
      </c>
      <c r="F3169" s="13" t="str">
        <f t="shared" si="149"/>
        <v/>
      </c>
    </row>
    <row r="3170" spans="1:6" x14ac:dyDescent="0.25">
      <c r="A3170" s="10">
        <v>41404</v>
      </c>
      <c r="B3170" s="12">
        <f t="shared" si="147"/>
        <v>5</v>
      </c>
      <c r="C3170" s="12">
        <f t="shared" si="148"/>
        <v>2013</v>
      </c>
      <c r="E3170" s="13">
        <v>31.353000000000002</v>
      </c>
      <c r="F3170" s="13" t="str">
        <f t="shared" si="149"/>
        <v/>
      </c>
    </row>
    <row r="3171" spans="1:6" x14ac:dyDescent="0.25">
      <c r="A3171" s="10">
        <v>41407</v>
      </c>
      <c r="B3171" s="12">
        <f t="shared" si="147"/>
        <v>5</v>
      </c>
      <c r="C3171" s="12">
        <f t="shared" si="148"/>
        <v>2013</v>
      </c>
      <c r="D3171" s="13">
        <v>16050</v>
      </c>
      <c r="E3171" s="13">
        <v>31.335000000000001</v>
      </c>
      <c r="F3171" s="13">
        <f t="shared" si="149"/>
        <v>512.20679751077068</v>
      </c>
    </row>
    <row r="3172" spans="1:6" x14ac:dyDescent="0.25">
      <c r="A3172" s="10">
        <v>41408</v>
      </c>
      <c r="B3172" s="12">
        <f t="shared" si="147"/>
        <v>5</v>
      </c>
      <c r="C3172" s="12">
        <f t="shared" si="148"/>
        <v>2013</v>
      </c>
      <c r="D3172" s="13">
        <v>16050</v>
      </c>
      <c r="E3172" s="13">
        <v>31.355</v>
      </c>
      <c r="F3172" s="13">
        <f t="shared" si="149"/>
        <v>511.88008292138414</v>
      </c>
    </row>
    <row r="3173" spans="1:6" x14ac:dyDescent="0.25">
      <c r="A3173" s="10">
        <v>41409</v>
      </c>
      <c r="B3173" s="12">
        <f t="shared" si="147"/>
        <v>5</v>
      </c>
      <c r="C3173" s="12">
        <f t="shared" si="148"/>
        <v>2013</v>
      </c>
      <c r="D3173" s="13">
        <v>16050</v>
      </c>
      <c r="E3173" s="13">
        <v>31.45</v>
      </c>
      <c r="F3173" s="13">
        <f t="shared" si="149"/>
        <v>510.33386327503973</v>
      </c>
    </row>
    <row r="3174" spans="1:6" x14ac:dyDescent="0.25">
      <c r="A3174" s="10">
        <v>41410</v>
      </c>
      <c r="B3174" s="12">
        <f t="shared" si="147"/>
        <v>5</v>
      </c>
      <c r="C3174" s="12">
        <f t="shared" si="148"/>
        <v>2013</v>
      </c>
      <c r="D3174" s="13">
        <v>16050</v>
      </c>
      <c r="E3174" s="13">
        <v>31.390499999999999</v>
      </c>
      <c r="F3174" s="13">
        <f t="shared" si="149"/>
        <v>511.30118985043248</v>
      </c>
    </row>
    <row r="3175" spans="1:6" x14ac:dyDescent="0.25">
      <c r="A3175" s="10">
        <v>41411</v>
      </c>
      <c r="B3175" s="12">
        <f t="shared" si="147"/>
        <v>5</v>
      </c>
      <c r="C3175" s="12">
        <f t="shared" si="148"/>
        <v>2013</v>
      </c>
      <c r="D3175" s="13">
        <v>16050</v>
      </c>
      <c r="E3175" s="13">
        <v>31.448</v>
      </c>
      <c r="F3175" s="13">
        <f t="shared" si="149"/>
        <v>510.36631900279826</v>
      </c>
    </row>
    <row r="3176" spans="1:6" x14ac:dyDescent="0.25">
      <c r="A3176" s="10">
        <v>41414</v>
      </c>
      <c r="B3176" s="12">
        <f t="shared" si="147"/>
        <v>5</v>
      </c>
      <c r="C3176" s="12">
        <f t="shared" si="148"/>
        <v>2013</v>
      </c>
      <c r="D3176" s="13">
        <v>15900</v>
      </c>
      <c r="E3176" s="13">
        <v>31.232500000000002</v>
      </c>
      <c r="F3176" s="13">
        <f t="shared" si="149"/>
        <v>509.08508764908345</v>
      </c>
    </row>
    <row r="3177" spans="1:6" x14ac:dyDescent="0.25">
      <c r="A3177" s="10">
        <v>41415</v>
      </c>
      <c r="B3177" s="12">
        <f t="shared" si="147"/>
        <v>5</v>
      </c>
      <c r="C3177" s="12">
        <f t="shared" si="148"/>
        <v>2013</v>
      </c>
      <c r="D3177" s="13">
        <v>15900</v>
      </c>
      <c r="E3177" s="13">
        <v>31.235499999999998</v>
      </c>
      <c r="F3177" s="13">
        <f t="shared" si="149"/>
        <v>509.03619279345617</v>
      </c>
    </row>
    <row r="3178" spans="1:6" x14ac:dyDescent="0.25">
      <c r="A3178" s="10">
        <v>41416</v>
      </c>
      <c r="B3178" s="12">
        <f t="shared" si="147"/>
        <v>5</v>
      </c>
      <c r="C3178" s="12">
        <f t="shared" si="148"/>
        <v>2013</v>
      </c>
      <c r="D3178" s="13">
        <v>15900</v>
      </c>
      <c r="E3178" s="13">
        <v>31.410499999999999</v>
      </c>
      <c r="F3178" s="13">
        <f t="shared" si="149"/>
        <v>506.20015599879025</v>
      </c>
    </row>
    <row r="3179" spans="1:6" x14ac:dyDescent="0.25">
      <c r="A3179" s="10">
        <v>41417</v>
      </c>
      <c r="B3179" s="12">
        <f t="shared" si="147"/>
        <v>5</v>
      </c>
      <c r="C3179" s="12">
        <f t="shared" si="148"/>
        <v>2013</v>
      </c>
      <c r="D3179" s="13">
        <v>15900</v>
      </c>
      <c r="E3179" s="13">
        <v>31.477499999999999</v>
      </c>
      <c r="F3179" s="13">
        <f t="shared" si="149"/>
        <v>505.12270669525856</v>
      </c>
    </row>
    <row r="3180" spans="1:6" x14ac:dyDescent="0.25">
      <c r="A3180" s="10">
        <v>41418</v>
      </c>
      <c r="B3180" s="12">
        <f t="shared" si="147"/>
        <v>5</v>
      </c>
      <c r="C3180" s="12">
        <f t="shared" si="148"/>
        <v>2013</v>
      </c>
      <c r="D3180" s="13">
        <v>15900</v>
      </c>
      <c r="E3180" s="13">
        <v>31.325500000000002</v>
      </c>
      <c r="F3180" s="13">
        <f t="shared" si="149"/>
        <v>507.57370193612229</v>
      </c>
    </row>
    <row r="3181" spans="1:6" x14ac:dyDescent="0.25">
      <c r="A3181" s="10">
        <v>41422</v>
      </c>
      <c r="B3181" s="12">
        <f t="shared" si="147"/>
        <v>5</v>
      </c>
      <c r="C3181" s="12">
        <f t="shared" si="148"/>
        <v>2013</v>
      </c>
      <c r="D3181" s="13">
        <v>15900</v>
      </c>
      <c r="E3181" s="13">
        <v>31.52</v>
      </c>
      <c r="F3181" s="13">
        <f t="shared" si="149"/>
        <v>504.44162436548226</v>
      </c>
    </row>
    <row r="3182" spans="1:6" x14ac:dyDescent="0.25">
      <c r="A3182" s="10">
        <v>41423</v>
      </c>
      <c r="B3182" s="12">
        <f t="shared" si="147"/>
        <v>5</v>
      </c>
      <c r="C3182" s="12">
        <f t="shared" si="148"/>
        <v>2013</v>
      </c>
      <c r="D3182" s="13">
        <v>15900</v>
      </c>
      <c r="E3182" s="13">
        <v>31.623000000000001</v>
      </c>
      <c r="F3182" s="13">
        <f t="shared" si="149"/>
        <v>502.79859595863769</v>
      </c>
    </row>
    <row r="3183" spans="1:6" x14ac:dyDescent="0.25">
      <c r="A3183" s="10">
        <v>41424</v>
      </c>
      <c r="B3183" s="12">
        <f t="shared" si="147"/>
        <v>5</v>
      </c>
      <c r="C3183" s="12">
        <f t="shared" si="148"/>
        <v>2013</v>
      </c>
      <c r="D3183" s="13">
        <v>15900</v>
      </c>
      <c r="E3183" s="13">
        <v>31.7255</v>
      </c>
      <c r="F3183" s="13">
        <f t="shared" si="149"/>
        <v>501.1741343714047</v>
      </c>
    </row>
    <row r="3184" spans="1:6" x14ac:dyDescent="0.25">
      <c r="A3184" s="10">
        <v>41425</v>
      </c>
      <c r="B3184" s="12">
        <f t="shared" si="147"/>
        <v>5</v>
      </c>
      <c r="C3184" s="12">
        <f t="shared" si="148"/>
        <v>2013</v>
      </c>
      <c r="D3184" s="13">
        <v>15900</v>
      </c>
      <c r="E3184" s="13">
        <v>31.9175</v>
      </c>
      <c r="F3184" s="13">
        <f t="shared" si="149"/>
        <v>498.15931698911254</v>
      </c>
    </row>
    <row r="3185" spans="1:6" x14ac:dyDescent="0.25">
      <c r="A3185" s="10">
        <v>41428</v>
      </c>
      <c r="B3185" s="12">
        <f t="shared" si="147"/>
        <v>6</v>
      </c>
      <c r="C3185" s="12">
        <f t="shared" si="148"/>
        <v>2013</v>
      </c>
      <c r="D3185" s="13">
        <v>16100</v>
      </c>
      <c r="E3185" s="13">
        <v>31.838000000000001</v>
      </c>
      <c r="F3185" s="13">
        <f t="shared" si="149"/>
        <v>505.68503046673783</v>
      </c>
    </row>
    <row r="3186" spans="1:6" x14ac:dyDescent="0.25">
      <c r="A3186" s="10">
        <v>41429</v>
      </c>
      <c r="B3186" s="12">
        <f t="shared" si="147"/>
        <v>6</v>
      </c>
      <c r="C3186" s="12">
        <f t="shared" si="148"/>
        <v>2013</v>
      </c>
      <c r="D3186" s="13">
        <v>16100</v>
      </c>
      <c r="E3186" s="13">
        <v>31.9405</v>
      </c>
      <c r="F3186" s="13">
        <f t="shared" si="149"/>
        <v>504.06224072885522</v>
      </c>
    </row>
    <row r="3187" spans="1:6" x14ac:dyDescent="0.25">
      <c r="A3187" s="10">
        <v>41430</v>
      </c>
      <c r="B3187" s="12">
        <f t="shared" si="147"/>
        <v>6</v>
      </c>
      <c r="C3187" s="12">
        <f t="shared" si="148"/>
        <v>2013</v>
      </c>
      <c r="D3187" s="13">
        <v>16100</v>
      </c>
      <c r="E3187" s="13">
        <v>32.17</v>
      </c>
      <c r="F3187" s="13">
        <f t="shared" si="149"/>
        <v>500.46627292508543</v>
      </c>
    </row>
    <row r="3188" spans="1:6" x14ac:dyDescent="0.25">
      <c r="A3188" s="10">
        <v>41431</v>
      </c>
      <c r="B3188" s="12">
        <f t="shared" si="147"/>
        <v>6</v>
      </c>
      <c r="C3188" s="12">
        <f t="shared" si="148"/>
        <v>2013</v>
      </c>
      <c r="D3188" s="13">
        <v>16100</v>
      </c>
      <c r="E3188" s="13">
        <v>32.125500000000002</v>
      </c>
      <c r="F3188" s="13">
        <f t="shared" si="149"/>
        <v>501.15951502700341</v>
      </c>
    </row>
    <row r="3189" spans="1:6" x14ac:dyDescent="0.25">
      <c r="A3189" s="10">
        <v>41432</v>
      </c>
      <c r="B3189" s="12">
        <f t="shared" si="147"/>
        <v>6</v>
      </c>
      <c r="C3189" s="12">
        <f t="shared" si="148"/>
        <v>2013</v>
      </c>
      <c r="D3189" s="13">
        <v>16100</v>
      </c>
      <c r="E3189" s="13">
        <v>32.203000000000003</v>
      </c>
      <c r="F3189" s="13">
        <f t="shared" si="149"/>
        <v>499.95342048877427</v>
      </c>
    </row>
    <row r="3190" spans="1:6" x14ac:dyDescent="0.25">
      <c r="A3190" s="10">
        <v>41435</v>
      </c>
      <c r="B3190" s="12">
        <f t="shared" si="147"/>
        <v>6</v>
      </c>
      <c r="C3190" s="12">
        <f t="shared" si="148"/>
        <v>2013</v>
      </c>
      <c r="E3190" s="13">
        <v>32.295000000000002</v>
      </c>
      <c r="F3190" s="13" t="str">
        <f t="shared" si="149"/>
        <v/>
      </c>
    </row>
    <row r="3191" spans="1:6" x14ac:dyDescent="0.25">
      <c r="A3191" s="10">
        <v>41436</v>
      </c>
      <c r="B3191" s="12">
        <f t="shared" si="147"/>
        <v>6</v>
      </c>
      <c r="C3191" s="12">
        <f t="shared" si="148"/>
        <v>2013</v>
      </c>
      <c r="E3191" s="13">
        <v>32.390500000000003</v>
      </c>
      <c r="F3191" s="13" t="str">
        <f t="shared" si="149"/>
        <v/>
      </c>
    </row>
    <row r="3192" spans="1:6" x14ac:dyDescent="0.25">
      <c r="A3192" s="10">
        <v>41437</v>
      </c>
      <c r="B3192" s="12">
        <f t="shared" si="147"/>
        <v>6</v>
      </c>
      <c r="C3192" s="12">
        <f t="shared" si="148"/>
        <v>2013</v>
      </c>
      <c r="E3192" s="13">
        <v>32.215499999999999</v>
      </c>
      <c r="F3192" s="13" t="str">
        <f t="shared" si="149"/>
        <v/>
      </c>
    </row>
    <row r="3193" spans="1:6" x14ac:dyDescent="0.25">
      <c r="A3193" s="10">
        <v>41438</v>
      </c>
      <c r="B3193" s="12">
        <f t="shared" si="147"/>
        <v>6</v>
      </c>
      <c r="C3193" s="12">
        <f t="shared" si="148"/>
        <v>2013</v>
      </c>
      <c r="E3193" s="13">
        <v>31.970500000000001</v>
      </c>
      <c r="F3193" s="13" t="str">
        <f t="shared" si="149"/>
        <v/>
      </c>
    </row>
    <row r="3194" spans="1:6" x14ac:dyDescent="0.25">
      <c r="A3194" s="10">
        <v>41439</v>
      </c>
      <c r="B3194" s="12">
        <f t="shared" si="147"/>
        <v>6</v>
      </c>
      <c r="C3194" s="12">
        <f t="shared" si="148"/>
        <v>2013</v>
      </c>
      <c r="E3194" s="13">
        <v>31.722999999999999</v>
      </c>
      <c r="F3194" s="13" t="str">
        <f t="shared" si="149"/>
        <v/>
      </c>
    </row>
    <row r="3195" spans="1:6" x14ac:dyDescent="0.25">
      <c r="A3195" s="10">
        <v>41442</v>
      </c>
      <c r="B3195" s="12">
        <f t="shared" si="147"/>
        <v>6</v>
      </c>
      <c r="C3195" s="12">
        <f t="shared" si="148"/>
        <v>2013</v>
      </c>
      <c r="D3195" s="13">
        <v>16100</v>
      </c>
      <c r="E3195" s="13">
        <v>31.752199999999998</v>
      </c>
      <c r="F3195" s="13">
        <f t="shared" si="149"/>
        <v>507.05147989745598</v>
      </c>
    </row>
    <row r="3196" spans="1:6" x14ac:dyDescent="0.25">
      <c r="A3196" s="10">
        <v>41443</v>
      </c>
      <c r="B3196" s="12">
        <f t="shared" si="147"/>
        <v>6</v>
      </c>
      <c r="C3196" s="12">
        <f t="shared" si="148"/>
        <v>2013</v>
      </c>
      <c r="D3196" s="13">
        <v>16100</v>
      </c>
      <c r="E3196" s="13">
        <v>32.003</v>
      </c>
      <c r="F3196" s="13">
        <f t="shared" si="149"/>
        <v>503.07783645283257</v>
      </c>
    </row>
    <row r="3197" spans="1:6" x14ac:dyDescent="0.25">
      <c r="A3197" s="10">
        <v>41444</v>
      </c>
      <c r="B3197" s="12">
        <f t="shared" si="147"/>
        <v>6</v>
      </c>
      <c r="C3197" s="12">
        <f t="shared" si="148"/>
        <v>2013</v>
      </c>
      <c r="D3197" s="13">
        <v>16100</v>
      </c>
      <c r="E3197" s="13">
        <v>32.378</v>
      </c>
      <c r="F3197" s="13">
        <f t="shared" si="149"/>
        <v>497.25121996417317</v>
      </c>
    </row>
    <row r="3198" spans="1:6" x14ac:dyDescent="0.25">
      <c r="A3198" s="10">
        <v>41445</v>
      </c>
      <c r="B3198" s="12">
        <f t="shared" si="147"/>
        <v>6</v>
      </c>
      <c r="C3198" s="12">
        <f t="shared" si="148"/>
        <v>2013</v>
      </c>
      <c r="D3198" s="13">
        <v>16100</v>
      </c>
      <c r="E3198" s="13">
        <v>33.0505</v>
      </c>
      <c r="F3198" s="13">
        <f t="shared" si="149"/>
        <v>487.13332627343004</v>
      </c>
    </row>
    <row r="3199" spans="1:6" x14ac:dyDescent="0.25">
      <c r="A3199" s="10">
        <v>41446</v>
      </c>
      <c r="B3199" s="12">
        <f t="shared" si="147"/>
        <v>6</v>
      </c>
      <c r="C3199" s="12">
        <f t="shared" si="148"/>
        <v>2013</v>
      </c>
      <c r="D3199" s="13">
        <v>16100</v>
      </c>
      <c r="E3199" s="13">
        <v>32.770499999999998</v>
      </c>
      <c r="F3199" s="13">
        <f t="shared" si="149"/>
        <v>491.29552493858807</v>
      </c>
    </row>
    <row r="3200" spans="1:6" x14ac:dyDescent="0.25">
      <c r="A3200" s="10">
        <v>41449</v>
      </c>
      <c r="B3200" s="12">
        <f t="shared" si="147"/>
        <v>6</v>
      </c>
      <c r="C3200" s="12">
        <f t="shared" si="148"/>
        <v>2013</v>
      </c>
      <c r="D3200" s="13">
        <v>16100</v>
      </c>
      <c r="E3200" s="13">
        <v>32.7605</v>
      </c>
      <c r="F3200" s="13">
        <f t="shared" si="149"/>
        <v>491.44549075868804</v>
      </c>
    </row>
    <row r="3201" spans="1:6" x14ac:dyDescent="0.25">
      <c r="A3201" s="10">
        <v>41450</v>
      </c>
      <c r="B3201" s="12">
        <f t="shared" si="147"/>
        <v>6</v>
      </c>
      <c r="C3201" s="12">
        <f t="shared" si="148"/>
        <v>2013</v>
      </c>
      <c r="D3201" s="13">
        <v>16100</v>
      </c>
      <c r="E3201" s="13">
        <v>32.816499999999998</v>
      </c>
      <c r="F3201" s="13">
        <f t="shared" si="149"/>
        <v>490.60685935428825</v>
      </c>
    </row>
    <row r="3202" spans="1:6" x14ac:dyDescent="0.25">
      <c r="A3202" s="10">
        <v>41451</v>
      </c>
      <c r="B3202" s="12">
        <f t="shared" si="147"/>
        <v>6</v>
      </c>
      <c r="C3202" s="12">
        <f t="shared" si="148"/>
        <v>2013</v>
      </c>
      <c r="D3202" s="13">
        <v>16100</v>
      </c>
      <c r="E3202" s="13">
        <v>32.938000000000002</v>
      </c>
      <c r="F3202" s="13">
        <f t="shared" si="149"/>
        <v>488.79713400935088</v>
      </c>
    </row>
    <row r="3203" spans="1:6" x14ac:dyDescent="0.25">
      <c r="A3203" s="10">
        <v>41452</v>
      </c>
      <c r="B3203" s="12">
        <f t="shared" ref="B3203:B3266" si="150">MONTH(A3203)</f>
        <v>6</v>
      </c>
      <c r="C3203" s="12">
        <f t="shared" ref="C3203:C3266" si="151">YEAR(A3203)</f>
        <v>2013</v>
      </c>
      <c r="D3203" s="13">
        <v>16100</v>
      </c>
      <c r="E3203" s="13">
        <v>32.811999999999998</v>
      </c>
      <c r="F3203" s="13">
        <f t="shared" ref="F3203:F3266" si="152">IF(D3203="","",D3203/E3203)</f>
        <v>490.67414360599787</v>
      </c>
    </row>
    <row r="3204" spans="1:6" x14ac:dyDescent="0.25">
      <c r="A3204" s="10">
        <v>41453</v>
      </c>
      <c r="B3204" s="12">
        <f t="shared" si="150"/>
        <v>6</v>
      </c>
      <c r="C3204" s="12">
        <f t="shared" si="151"/>
        <v>2013</v>
      </c>
      <c r="D3204" s="13">
        <v>16100</v>
      </c>
      <c r="E3204" s="13">
        <v>32.830500000000001</v>
      </c>
      <c r="F3204" s="13">
        <f t="shared" si="152"/>
        <v>490.39764852804558</v>
      </c>
    </row>
    <row r="3205" spans="1:6" x14ac:dyDescent="0.25">
      <c r="A3205" s="10">
        <v>41456</v>
      </c>
      <c r="B3205" s="12">
        <f t="shared" si="150"/>
        <v>7</v>
      </c>
      <c r="C3205" s="12">
        <f t="shared" si="151"/>
        <v>2013</v>
      </c>
      <c r="D3205" s="13">
        <v>16100</v>
      </c>
      <c r="E3205" s="13">
        <v>32.988</v>
      </c>
      <c r="F3205" s="13">
        <f t="shared" si="152"/>
        <v>488.05626288347281</v>
      </c>
    </row>
    <row r="3206" spans="1:6" x14ac:dyDescent="0.25">
      <c r="A3206" s="10">
        <v>41457</v>
      </c>
      <c r="B3206" s="12">
        <f t="shared" si="150"/>
        <v>7</v>
      </c>
      <c r="C3206" s="12">
        <f t="shared" si="151"/>
        <v>2013</v>
      </c>
      <c r="D3206" s="13">
        <v>16100</v>
      </c>
      <c r="E3206" s="13">
        <v>33.185000000000002</v>
      </c>
      <c r="F3206" s="13">
        <f t="shared" si="152"/>
        <v>485.15895736025311</v>
      </c>
    </row>
    <row r="3207" spans="1:6" x14ac:dyDescent="0.25">
      <c r="A3207" s="10">
        <v>41458</v>
      </c>
      <c r="B3207" s="12">
        <f t="shared" si="150"/>
        <v>7</v>
      </c>
      <c r="C3207" s="12">
        <f t="shared" si="151"/>
        <v>2013</v>
      </c>
      <c r="D3207" s="13">
        <v>16100</v>
      </c>
      <c r="E3207" s="13">
        <v>33.130000000000003</v>
      </c>
      <c r="F3207" s="13">
        <f t="shared" si="152"/>
        <v>485.96438273468152</v>
      </c>
    </row>
    <row r="3208" spans="1:6" x14ac:dyDescent="0.25">
      <c r="A3208" s="10">
        <v>41460</v>
      </c>
      <c r="B3208" s="12">
        <f t="shared" si="150"/>
        <v>7</v>
      </c>
      <c r="C3208" s="12">
        <f t="shared" si="151"/>
        <v>2013</v>
      </c>
      <c r="D3208" s="13">
        <v>16100</v>
      </c>
      <c r="E3208" s="13">
        <v>33.323</v>
      </c>
      <c r="F3208" s="13">
        <f t="shared" si="152"/>
        <v>483.14977643069352</v>
      </c>
    </row>
    <row r="3209" spans="1:6" x14ac:dyDescent="0.25">
      <c r="A3209" s="10">
        <v>41463</v>
      </c>
      <c r="B3209" s="12">
        <f t="shared" si="150"/>
        <v>7</v>
      </c>
      <c r="C3209" s="12">
        <f t="shared" si="151"/>
        <v>2013</v>
      </c>
      <c r="D3209" s="13">
        <v>16100</v>
      </c>
      <c r="E3209" s="13">
        <v>33.200499999999998</v>
      </c>
      <c r="F3209" s="13">
        <f t="shared" si="152"/>
        <v>484.9324558365085</v>
      </c>
    </row>
    <row r="3210" spans="1:6" x14ac:dyDescent="0.25">
      <c r="A3210" s="10">
        <v>41464</v>
      </c>
      <c r="B3210" s="12">
        <f t="shared" si="150"/>
        <v>7</v>
      </c>
      <c r="C3210" s="12">
        <f t="shared" si="151"/>
        <v>2013</v>
      </c>
      <c r="D3210" s="13">
        <v>16100</v>
      </c>
      <c r="E3210" s="13">
        <v>32.990499999999997</v>
      </c>
      <c r="F3210" s="13">
        <f t="shared" si="152"/>
        <v>488.01927827707982</v>
      </c>
    </row>
    <row r="3211" spans="1:6" x14ac:dyDescent="0.25">
      <c r="A3211" s="10">
        <v>41465</v>
      </c>
      <c r="B3211" s="12">
        <f t="shared" si="150"/>
        <v>7</v>
      </c>
      <c r="C3211" s="12">
        <f t="shared" si="151"/>
        <v>2013</v>
      </c>
      <c r="D3211" s="13">
        <v>16100</v>
      </c>
      <c r="E3211" s="13">
        <v>32.950499999999998</v>
      </c>
      <c r="F3211" s="13">
        <f t="shared" si="152"/>
        <v>488.61170543694334</v>
      </c>
    </row>
    <row r="3212" spans="1:6" x14ac:dyDescent="0.25">
      <c r="A3212" s="10">
        <v>41466</v>
      </c>
      <c r="B3212" s="12">
        <f t="shared" si="150"/>
        <v>7</v>
      </c>
      <c r="C3212" s="12">
        <f t="shared" si="151"/>
        <v>2013</v>
      </c>
      <c r="D3212" s="13">
        <v>16100</v>
      </c>
      <c r="E3212" s="13">
        <v>32.527900000000002</v>
      </c>
      <c r="F3212" s="13">
        <f t="shared" si="152"/>
        <v>494.95971150919667</v>
      </c>
    </row>
    <row r="3213" spans="1:6" x14ac:dyDescent="0.25">
      <c r="A3213" s="10">
        <v>41467</v>
      </c>
      <c r="B3213" s="12">
        <f t="shared" si="150"/>
        <v>7</v>
      </c>
      <c r="C3213" s="12">
        <f t="shared" si="151"/>
        <v>2013</v>
      </c>
      <c r="D3213" s="13">
        <v>16100</v>
      </c>
      <c r="E3213" s="13">
        <v>32.634999999999998</v>
      </c>
      <c r="F3213" s="13">
        <f t="shared" si="152"/>
        <v>493.33537612992188</v>
      </c>
    </row>
    <row r="3214" spans="1:6" x14ac:dyDescent="0.25">
      <c r="A3214" s="10">
        <v>41470</v>
      </c>
      <c r="B3214" s="12">
        <f t="shared" si="150"/>
        <v>7</v>
      </c>
      <c r="C3214" s="12">
        <f t="shared" si="151"/>
        <v>2013</v>
      </c>
      <c r="E3214" s="13">
        <v>32.587000000000003</v>
      </c>
      <c r="F3214" s="13" t="str">
        <f t="shared" si="152"/>
        <v/>
      </c>
    </row>
    <row r="3215" spans="1:6" x14ac:dyDescent="0.25">
      <c r="A3215" s="10">
        <v>41471</v>
      </c>
      <c r="B3215" s="12">
        <f t="shared" si="150"/>
        <v>7</v>
      </c>
      <c r="C3215" s="12">
        <f t="shared" si="151"/>
        <v>2013</v>
      </c>
      <c r="E3215" s="13">
        <v>32.414999999999999</v>
      </c>
      <c r="F3215" s="13" t="str">
        <f t="shared" si="152"/>
        <v/>
      </c>
    </row>
    <row r="3216" spans="1:6" x14ac:dyDescent="0.25">
      <c r="A3216" s="10">
        <v>41472</v>
      </c>
      <c r="B3216" s="12">
        <f t="shared" si="150"/>
        <v>7</v>
      </c>
      <c r="C3216" s="12">
        <f t="shared" si="151"/>
        <v>2013</v>
      </c>
      <c r="E3216" s="13">
        <v>32.32</v>
      </c>
      <c r="F3216" s="13" t="str">
        <f t="shared" si="152"/>
        <v/>
      </c>
    </row>
    <row r="3217" spans="1:6" x14ac:dyDescent="0.25">
      <c r="A3217" s="10">
        <v>41473</v>
      </c>
      <c r="B3217" s="12">
        <f t="shared" si="150"/>
        <v>7</v>
      </c>
      <c r="C3217" s="12">
        <f t="shared" si="151"/>
        <v>2013</v>
      </c>
      <c r="E3217" s="13">
        <v>32.477499999999999</v>
      </c>
      <c r="F3217" s="13" t="str">
        <f t="shared" si="152"/>
        <v/>
      </c>
    </row>
    <row r="3218" spans="1:6" x14ac:dyDescent="0.25">
      <c r="A3218" s="10">
        <v>41474</v>
      </c>
      <c r="B3218" s="12">
        <f t="shared" si="150"/>
        <v>7</v>
      </c>
      <c r="C3218" s="12">
        <f t="shared" si="151"/>
        <v>2013</v>
      </c>
      <c r="E3218" s="13">
        <v>32.372500000000002</v>
      </c>
      <c r="F3218" s="13" t="str">
        <f t="shared" si="152"/>
        <v/>
      </c>
    </row>
    <row r="3219" spans="1:6" x14ac:dyDescent="0.25">
      <c r="A3219" s="10">
        <v>41477</v>
      </c>
      <c r="B3219" s="12">
        <f t="shared" si="150"/>
        <v>7</v>
      </c>
      <c r="C3219" s="12">
        <f t="shared" si="151"/>
        <v>2013</v>
      </c>
      <c r="E3219" s="13">
        <v>32.340000000000003</v>
      </c>
      <c r="F3219" s="13" t="str">
        <f t="shared" si="152"/>
        <v/>
      </c>
    </row>
    <row r="3220" spans="1:6" x14ac:dyDescent="0.25">
      <c r="A3220" s="10">
        <v>41478</v>
      </c>
      <c r="B3220" s="12">
        <f t="shared" si="150"/>
        <v>7</v>
      </c>
      <c r="C3220" s="12">
        <f t="shared" si="151"/>
        <v>2013</v>
      </c>
      <c r="E3220" s="13">
        <v>32.29</v>
      </c>
      <c r="F3220" s="13" t="str">
        <f t="shared" si="152"/>
        <v/>
      </c>
    </row>
    <row r="3221" spans="1:6" x14ac:dyDescent="0.25">
      <c r="A3221" s="10">
        <v>41479</v>
      </c>
      <c r="B3221" s="12">
        <f t="shared" si="150"/>
        <v>7</v>
      </c>
      <c r="C3221" s="12">
        <f t="shared" si="151"/>
        <v>2013</v>
      </c>
      <c r="E3221" s="13">
        <v>32.477499999999999</v>
      </c>
      <c r="F3221" s="13" t="str">
        <f t="shared" si="152"/>
        <v/>
      </c>
    </row>
    <row r="3222" spans="1:6" x14ac:dyDescent="0.25">
      <c r="A3222" s="10">
        <v>41480</v>
      </c>
      <c r="B3222" s="12">
        <f t="shared" si="150"/>
        <v>7</v>
      </c>
      <c r="C3222" s="12">
        <f t="shared" si="151"/>
        <v>2013</v>
      </c>
      <c r="E3222" s="13">
        <v>32.659999999999997</v>
      </c>
      <c r="F3222" s="13" t="str">
        <f t="shared" si="152"/>
        <v/>
      </c>
    </row>
    <row r="3223" spans="1:6" x14ac:dyDescent="0.25">
      <c r="A3223" s="10">
        <v>41481</v>
      </c>
      <c r="B3223" s="12">
        <f t="shared" si="150"/>
        <v>7</v>
      </c>
      <c r="C3223" s="12">
        <f t="shared" si="151"/>
        <v>2013</v>
      </c>
      <c r="E3223" s="13">
        <v>32.782499999999999</v>
      </c>
      <c r="F3223" s="13" t="str">
        <f t="shared" si="152"/>
        <v/>
      </c>
    </row>
    <row r="3224" spans="1:6" x14ac:dyDescent="0.25">
      <c r="A3224" s="10">
        <v>41484</v>
      </c>
      <c r="B3224" s="12">
        <f t="shared" si="150"/>
        <v>7</v>
      </c>
      <c r="C3224" s="12">
        <f t="shared" si="151"/>
        <v>2013</v>
      </c>
      <c r="E3224" s="13">
        <v>32.854999999999997</v>
      </c>
      <c r="F3224" s="13" t="str">
        <f t="shared" si="152"/>
        <v/>
      </c>
    </row>
    <row r="3225" spans="1:6" x14ac:dyDescent="0.25">
      <c r="A3225" s="10">
        <v>41485</v>
      </c>
      <c r="B3225" s="12">
        <f t="shared" si="150"/>
        <v>7</v>
      </c>
      <c r="C3225" s="12">
        <f t="shared" si="151"/>
        <v>2013</v>
      </c>
      <c r="E3225" s="13">
        <v>32.962000000000003</v>
      </c>
      <c r="F3225" s="13" t="str">
        <f t="shared" si="152"/>
        <v/>
      </c>
    </row>
    <row r="3226" spans="1:6" x14ac:dyDescent="0.25">
      <c r="A3226" s="10">
        <v>41486</v>
      </c>
      <c r="B3226" s="12">
        <f t="shared" si="150"/>
        <v>7</v>
      </c>
      <c r="C3226" s="12">
        <f t="shared" si="151"/>
        <v>2013</v>
      </c>
      <c r="E3226" s="13">
        <v>32.954999999999998</v>
      </c>
      <c r="F3226" s="13" t="str">
        <f t="shared" si="152"/>
        <v/>
      </c>
    </row>
    <row r="3227" spans="1:6" x14ac:dyDescent="0.25">
      <c r="A3227" s="10">
        <v>41487</v>
      </c>
      <c r="B3227" s="12">
        <f t="shared" si="150"/>
        <v>8</v>
      </c>
      <c r="C3227" s="12">
        <f t="shared" si="151"/>
        <v>2013</v>
      </c>
      <c r="E3227" s="13">
        <v>33.104999999999997</v>
      </c>
      <c r="F3227" s="13" t="str">
        <f t="shared" si="152"/>
        <v/>
      </c>
    </row>
    <row r="3228" spans="1:6" x14ac:dyDescent="0.25">
      <c r="A3228" s="10">
        <v>41488</v>
      </c>
      <c r="B3228" s="12">
        <f t="shared" si="150"/>
        <v>8</v>
      </c>
      <c r="C3228" s="12">
        <f t="shared" si="151"/>
        <v>2013</v>
      </c>
      <c r="E3228" s="13">
        <v>32.83</v>
      </c>
      <c r="F3228" s="13" t="str">
        <f t="shared" si="152"/>
        <v/>
      </c>
    </row>
    <row r="3229" spans="1:6" x14ac:dyDescent="0.25">
      <c r="A3229" s="10">
        <v>41491</v>
      </c>
      <c r="B3229" s="12">
        <f t="shared" si="150"/>
        <v>8</v>
      </c>
      <c r="C3229" s="12">
        <f t="shared" si="151"/>
        <v>2013</v>
      </c>
      <c r="E3229" s="13">
        <v>32.912500000000001</v>
      </c>
      <c r="F3229" s="13" t="str">
        <f t="shared" si="152"/>
        <v/>
      </c>
    </row>
    <row r="3230" spans="1:6" x14ac:dyDescent="0.25">
      <c r="A3230" s="10">
        <v>41492</v>
      </c>
      <c r="B3230" s="12">
        <f t="shared" si="150"/>
        <v>8</v>
      </c>
      <c r="C3230" s="12">
        <f t="shared" si="151"/>
        <v>2013</v>
      </c>
      <c r="E3230" s="13">
        <v>32.979999999999997</v>
      </c>
      <c r="F3230" s="13" t="str">
        <f t="shared" si="152"/>
        <v/>
      </c>
    </row>
    <row r="3231" spans="1:6" x14ac:dyDescent="0.25">
      <c r="A3231" s="10">
        <v>41493</v>
      </c>
      <c r="B3231" s="12">
        <f t="shared" si="150"/>
        <v>8</v>
      </c>
      <c r="C3231" s="12">
        <f t="shared" si="151"/>
        <v>2013</v>
      </c>
      <c r="E3231" s="13">
        <v>32.957999999999998</v>
      </c>
      <c r="F3231" s="13" t="str">
        <f t="shared" si="152"/>
        <v/>
      </c>
    </row>
    <row r="3232" spans="1:6" x14ac:dyDescent="0.25">
      <c r="A3232" s="10">
        <v>41494</v>
      </c>
      <c r="B3232" s="12">
        <f t="shared" si="150"/>
        <v>8</v>
      </c>
      <c r="C3232" s="12">
        <f t="shared" si="151"/>
        <v>2013</v>
      </c>
      <c r="E3232" s="13">
        <v>32.854999999999997</v>
      </c>
      <c r="F3232" s="13" t="str">
        <f t="shared" si="152"/>
        <v/>
      </c>
    </row>
    <row r="3233" spans="1:6" x14ac:dyDescent="0.25">
      <c r="A3233" s="10">
        <v>41495</v>
      </c>
      <c r="B3233" s="12">
        <f t="shared" si="150"/>
        <v>8</v>
      </c>
      <c r="C3233" s="12">
        <f t="shared" si="151"/>
        <v>2013</v>
      </c>
      <c r="E3233" s="13">
        <v>32.875</v>
      </c>
      <c r="F3233" s="13" t="str">
        <f t="shared" si="152"/>
        <v/>
      </c>
    </row>
    <row r="3234" spans="1:6" x14ac:dyDescent="0.25">
      <c r="A3234" s="10">
        <v>41498</v>
      </c>
      <c r="B3234" s="12">
        <f t="shared" si="150"/>
        <v>8</v>
      </c>
      <c r="C3234" s="12">
        <f t="shared" si="151"/>
        <v>2013</v>
      </c>
      <c r="E3234" s="13">
        <v>33.015000000000001</v>
      </c>
      <c r="F3234" s="13" t="str">
        <f t="shared" si="152"/>
        <v/>
      </c>
    </row>
    <row r="3235" spans="1:6" x14ac:dyDescent="0.25">
      <c r="A3235" s="10">
        <v>41499</v>
      </c>
      <c r="B3235" s="12">
        <f t="shared" si="150"/>
        <v>8</v>
      </c>
      <c r="C3235" s="12">
        <f t="shared" si="151"/>
        <v>2013</v>
      </c>
      <c r="E3235" s="13">
        <v>33.067500000000003</v>
      </c>
      <c r="F3235" s="13" t="str">
        <f t="shared" si="152"/>
        <v/>
      </c>
    </row>
    <row r="3236" spans="1:6" x14ac:dyDescent="0.25">
      <c r="A3236" s="10">
        <v>41500</v>
      </c>
      <c r="B3236" s="12">
        <f t="shared" si="150"/>
        <v>8</v>
      </c>
      <c r="C3236" s="12">
        <f t="shared" si="151"/>
        <v>2013</v>
      </c>
      <c r="E3236" s="13">
        <v>33.082500000000003</v>
      </c>
      <c r="F3236" s="13" t="str">
        <f t="shared" si="152"/>
        <v/>
      </c>
    </row>
    <row r="3237" spans="1:6" x14ac:dyDescent="0.25">
      <c r="A3237" s="10">
        <v>41501</v>
      </c>
      <c r="B3237" s="12">
        <f t="shared" si="150"/>
        <v>8</v>
      </c>
      <c r="C3237" s="12">
        <f t="shared" si="151"/>
        <v>2013</v>
      </c>
      <c r="E3237" s="13">
        <v>32.895000000000003</v>
      </c>
      <c r="F3237" s="13" t="str">
        <f t="shared" si="152"/>
        <v/>
      </c>
    </row>
    <row r="3238" spans="1:6" x14ac:dyDescent="0.25">
      <c r="A3238" s="10">
        <v>41502</v>
      </c>
      <c r="B3238" s="12">
        <f t="shared" si="150"/>
        <v>8</v>
      </c>
      <c r="C3238" s="12">
        <f t="shared" si="151"/>
        <v>2013</v>
      </c>
      <c r="E3238" s="13">
        <v>32.912500000000001</v>
      </c>
      <c r="F3238" s="13" t="str">
        <f t="shared" si="152"/>
        <v/>
      </c>
    </row>
    <row r="3239" spans="1:6" x14ac:dyDescent="0.25">
      <c r="A3239" s="10">
        <v>41505</v>
      </c>
      <c r="B3239" s="12">
        <f t="shared" si="150"/>
        <v>8</v>
      </c>
      <c r="C3239" s="12">
        <f t="shared" si="151"/>
        <v>2013</v>
      </c>
      <c r="E3239" s="13">
        <v>32.982500000000002</v>
      </c>
      <c r="F3239" s="13" t="str">
        <f t="shared" si="152"/>
        <v/>
      </c>
    </row>
    <row r="3240" spans="1:6" x14ac:dyDescent="0.25">
      <c r="A3240" s="10">
        <v>41506</v>
      </c>
      <c r="B3240" s="12">
        <f t="shared" si="150"/>
        <v>8</v>
      </c>
      <c r="C3240" s="12">
        <f t="shared" si="151"/>
        <v>2013</v>
      </c>
      <c r="E3240" s="13">
        <v>32.945</v>
      </c>
      <c r="F3240" s="13" t="str">
        <f t="shared" si="152"/>
        <v/>
      </c>
    </row>
    <row r="3241" spans="1:6" x14ac:dyDescent="0.25">
      <c r="A3241" s="10">
        <v>41507</v>
      </c>
      <c r="B3241" s="12">
        <f t="shared" si="150"/>
        <v>8</v>
      </c>
      <c r="C3241" s="12">
        <f t="shared" si="151"/>
        <v>2013</v>
      </c>
      <c r="E3241" s="13">
        <v>33.147500000000001</v>
      </c>
      <c r="F3241" s="13" t="str">
        <f t="shared" si="152"/>
        <v/>
      </c>
    </row>
    <row r="3242" spans="1:6" x14ac:dyDescent="0.25">
      <c r="A3242" s="10">
        <v>41508</v>
      </c>
      <c r="B3242" s="12">
        <f t="shared" si="150"/>
        <v>8</v>
      </c>
      <c r="C3242" s="12">
        <f t="shared" si="151"/>
        <v>2013</v>
      </c>
      <c r="E3242" s="13">
        <v>33.049999999999997</v>
      </c>
      <c r="F3242" s="13" t="str">
        <f t="shared" si="152"/>
        <v/>
      </c>
    </row>
    <row r="3243" spans="1:6" x14ac:dyDescent="0.25">
      <c r="A3243" s="10">
        <v>41509</v>
      </c>
      <c r="B3243" s="12">
        <f t="shared" si="150"/>
        <v>8</v>
      </c>
      <c r="C3243" s="12">
        <f t="shared" si="151"/>
        <v>2013</v>
      </c>
      <c r="E3243" s="13">
        <v>33.03</v>
      </c>
      <c r="F3243" s="13" t="str">
        <f t="shared" si="152"/>
        <v/>
      </c>
    </row>
    <row r="3244" spans="1:6" x14ac:dyDescent="0.25">
      <c r="A3244" s="10">
        <v>41512</v>
      </c>
      <c r="B3244" s="12">
        <f t="shared" si="150"/>
        <v>8</v>
      </c>
      <c r="C3244" s="12">
        <f t="shared" si="151"/>
        <v>2013</v>
      </c>
      <c r="E3244" s="13">
        <v>33.08</v>
      </c>
      <c r="F3244" s="13" t="str">
        <f t="shared" si="152"/>
        <v/>
      </c>
    </row>
    <row r="3245" spans="1:6" x14ac:dyDescent="0.25">
      <c r="A3245" s="10">
        <v>41513</v>
      </c>
      <c r="B3245" s="12">
        <f t="shared" si="150"/>
        <v>8</v>
      </c>
      <c r="C3245" s="12">
        <f t="shared" si="151"/>
        <v>2013</v>
      </c>
      <c r="E3245" s="13">
        <v>33.155000000000001</v>
      </c>
      <c r="F3245" s="13" t="str">
        <f t="shared" si="152"/>
        <v/>
      </c>
    </row>
    <row r="3246" spans="1:6" x14ac:dyDescent="0.25">
      <c r="A3246" s="10">
        <v>41514</v>
      </c>
      <c r="B3246" s="12">
        <f t="shared" si="150"/>
        <v>8</v>
      </c>
      <c r="C3246" s="12">
        <f t="shared" si="151"/>
        <v>2013</v>
      </c>
      <c r="E3246" s="13">
        <v>33.185000000000002</v>
      </c>
      <c r="F3246" s="13" t="str">
        <f t="shared" si="152"/>
        <v/>
      </c>
    </row>
    <row r="3247" spans="1:6" x14ac:dyDescent="0.25">
      <c r="A3247" s="10">
        <v>41515</v>
      </c>
      <c r="B3247" s="12">
        <f t="shared" si="150"/>
        <v>8</v>
      </c>
      <c r="C3247" s="12">
        <f t="shared" si="151"/>
        <v>2013</v>
      </c>
      <c r="E3247" s="13">
        <v>33.252499999999998</v>
      </c>
      <c r="F3247" s="13" t="str">
        <f t="shared" si="152"/>
        <v/>
      </c>
    </row>
    <row r="3248" spans="1:6" x14ac:dyDescent="0.25">
      <c r="A3248" s="10">
        <v>41516</v>
      </c>
      <c r="B3248" s="12">
        <f t="shared" si="150"/>
        <v>8</v>
      </c>
      <c r="C3248" s="12">
        <f t="shared" si="151"/>
        <v>2013</v>
      </c>
      <c r="E3248" s="13">
        <v>33.258000000000003</v>
      </c>
      <c r="F3248" s="13" t="str">
        <f t="shared" si="152"/>
        <v/>
      </c>
    </row>
    <row r="3249" spans="1:6" x14ac:dyDescent="0.25">
      <c r="A3249" s="10">
        <v>41520</v>
      </c>
      <c r="B3249" s="12">
        <f t="shared" si="150"/>
        <v>9</v>
      </c>
      <c r="C3249" s="12">
        <f t="shared" si="151"/>
        <v>2013</v>
      </c>
      <c r="E3249" s="13">
        <v>33.494999999999997</v>
      </c>
      <c r="F3249" s="13" t="str">
        <f t="shared" si="152"/>
        <v/>
      </c>
    </row>
    <row r="3250" spans="1:6" x14ac:dyDescent="0.25">
      <c r="A3250" s="10">
        <v>41521</v>
      </c>
      <c r="B3250" s="12">
        <f t="shared" si="150"/>
        <v>9</v>
      </c>
      <c r="C3250" s="12">
        <f t="shared" si="151"/>
        <v>2013</v>
      </c>
      <c r="E3250" s="13">
        <v>33.317500000000003</v>
      </c>
      <c r="F3250" s="13" t="str">
        <f t="shared" si="152"/>
        <v/>
      </c>
    </row>
    <row r="3251" spans="1:6" x14ac:dyDescent="0.25">
      <c r="A3251" s="10">
        <v>41522</v>
      </c>
      <c r="B3251" s="12">
        <f t="shared" si="150"/>
        <v>9</v>
      </c>
      <c r="C3251" s="12">
        <f t="shared" si="151"/>
        <v>2013</v>
      </c>
      <c r="E3251" s="13">
        <v>33.4375</v>
      </c>
      <c r="F3251" s="13" t="str">
        <f t="shared" si="152"/>
        <v/>
      </c>
    </row>
    <row r="3252" spans="1:6" x14ac:dyDescent="0.25">
      <c r="A3252" s="10">
        <v>41523</v>
      </c>
      <c r="B3252" s="12">
        <f t="shared" si="150"/>
        <v>9</v>
      </c>
      <c r="C3252" s="12">
        <f t="shared" si="151"/>
        <v>2013</v>
      </c>
      <c r="E3252" s="13">
        <v>33.267000000000003</v>
      </c>
      <c r="F3252" s="13" t="str">
        <f t="shared" si="152"/>
        <v/>
      </c>
    </row>
    <row r="3253" spans="1:6" x14ac:dyDescent="0.25">
      <c r="A3253" s="10">
        <v>41526</v>
      </c>
      <c r="B3253" s="12">
        <f t="shared" si="150"/>
        <v>9</v>
      </c>
      <c r="C3253" s="12">
        <f t="shared" si="151"/>
        <v>2013</v>
      </c>
      <c r="E3253" s="13">
        <v>33.152999999999999</v>
      </c>
      <c r="F3253" s="13" t="str">
        <f t="shared" si="152"/>
        <v/>
      </c>
    </row>
    <row r="3254" spans="1:6" x14ac:dyDescent="0.25">
      <c r="A3254" s="10">
        <v>41527</v>
      </c>
      <c r="B3254" s="12">
        <f t="shared" si="150"/>
        <v>9</v>
      </c>
      <c r="C3254" s="12">
        <f t="shared" si="151"/>
        <v>2013</v>
      </c>
      <c r="E3254" s="13">
        <v>32.94</v>
      </c>
      <c r="F3254" s="13" t="str">
        <f t="shared" si="152"/>
        <v/>
      </c>
    </row>
    <row r="3255" spans="1:6" x14ac:dyDescent="0.25">
      <c r="A3255" s="10">
        <v>41528</v>
      </c>
      <c r="B3255" s="12">
        <f t="shared" si="150"/>
        <v>9</v>
      </c>
      <c r="C3255" s="12">
        <f t="shared" si="151"/>
        <v>2013</v>
      </c>
      <c r="E3255" s="13">
        <v>32.78</v>
      </c>
      <c r="F3255" s="13" t="str">
        <f t="shared" si="152"/>
        <v/>
      </c>
    </row>
    <row r="3256" spans="1:6" x14ac:dyDescent="0.25">
      <c r="A3256" s="10">
        <v>41529</v>
      </c>
      <c r="B3256" s="12">
        <f t="shared" si="150"/>
        <v>9</v>
      </c>
      <c r="C3256" s="12">
        <f t="shared" si="151"/>
        <v>2013</v>
      </c>
      <c r="E3256" s="13">
        <v>32.647500000000001</v>
      </c>
      <c r="F3256" s="13" t="str">
        <f t="shared" si="152"/>
        <v/>
      </c>
    </row>
    <row r="3257" spans="1:6" x14ac:dyDescent="0.25">
      <c r="A3257" s="10">
        <v>41530</v>
      </c>
      <c r="B3257" s="12">
        <f t="shared" si="150"/>
        <v>9</v>
      </c>
      <c r="C3257" s="12">
        <f t="shared" si="151"/>
        <v>2013</v>
      </c>
      <c r="E3257" s="13">
        <v>32.46</v>
      </c>
      <c r="F3257" s="13" t="str">
        <f t="shared" si="152"/>
        <v/>
      </c>
    </row>
    <row r="3258" spans="1:6" x14ac:dyDescent="0.25">
      <c r="A3258" s="10">
        <v>41533</v>
      </c>
      <c r="B3258" s="12">
        <f t="shared" si="150"/>
        <v>9</v>
      </c>
      <c r="C3258" s="12">
        <f t="shared" si="151"/>
        <v>2013</v>
      </c>
      <c r="E3258" s="13">
        <v>32.317500000000003</v>
      </c>
      <c r="F3258" s="13" t="str">
        <f t="shared" si="152"/>
        <v/>
      </c>
    </row>
    <row r="3259" spans="1:6" x14ac:dyDescent="0.25">
      <c r="A3259" s="10">
        <v>41534</v>
      </c>
      <c r="B3259" s="12">
        <f t="shared" si="150"/>
        <v>9</v>
      </c>
      <c r="C3259" s="12">
        <f t="shared" si="151"/>
        <v>2013</v>
      </c>
      <c r="E3259" s="13">
        <v>32.203000000000003</v>
      </c>
      <c r="F3259" s="13" t="str">
        <f t="shared" si="152"/>
        <v/>
      </c>
    </row>
    <row r="3260" spans="1:6" x14ac:dyDescent="0.25">
      <c r="A3260" s="10">
        <v>41535</v>
      </c>
      <c r="B3260" s="12">
        <f t="shared" si="150"/>
        <v>9</v>
      </c>
      <c r="C3260" s="12">
        <f t="shared" si="151"/>
        <v>2013</v>
      </c>
      <c r="E3260" s="13">
        <v>31.788</v>
      </c>
      <c r="F3260" s="13" t="str">
        <f t="shared" si="152"/>
        <v/>
      </c>
    </row>
    <row r="3261" spans="1:6" x14ac:dyDescent="0.25">
      <c r="A3261" s="10">
        <v>41536</v>
      </c>
      <c r="B3261" s="12">
        <f t="shared" si="150"/>
        <v>9</v>
      </c>
      <c r="C3261" s="12">
        <f t="shared" si="151"/>
        <v>2013</v>
      </c>
      <c r="E3261" s="13">
        <v>31.6525</v>
      </c>
      <c r="F3261" s="13" t="str">
        <f t="shared" si="152"/>
        <v/>
      </c>
    </row>
    <row r="3262" spans="1:6" x14ac:dyDescent="0.25">
      <c r="A3262" s="10">
        <v>41537</v>
      </c>
      <c r="B3262" s="12">
        <f t="shared" si="150"/>
        <v>9</v>
      </c>
      <c r="C3262" s="12">
        <f t="shared" si="151"/>
        <v>2013</v>
      </c>
      <c r="E3262" s="13">
        <v>31.858000000000001</v>
      </c>
      <c r="F3262" s="13" t="str">
        <f t="shared" si="152"/>
        <v/>
      </c>
    </row>
    <row r="3263" spans="1:6" x14ac:dyDescent="0.25">
      <c r="A3263" s="10">
        <v>41540</v>
      </c>
      <c r="B3263" s="12">
        <f t="shared" si="150"/>
        <v>9</v>
      </c>
      <c r="C3263" s="12">
        <f t="shared" si="151"/>
        <v>2013</v>
      </c>
      <c r="D3263" s="13">
        <v>11300</v>
      </c>
      <c r="E3263" s="13">
        <v>31.809000000000001</v>
      </c>
      <c r="F3263" s="13">
        <f t="shared" si="152"/>
        <v>355.24537080700429</v>
      </c>
    </row>
    <row r="3264" spans="1:6" x14ac:dyDescent="0.25">
      <c r="A3264" s="10">
        <v>41541</v>
      </c>
      <c r="B3264" s="12">
        <f t="shared" si="150"/>
        <v>9</v>
      </c>
      <c r="C3264" s="12">
        <f t="shared" si="151"/>
        <v>2013</v>
      </c>
      <c r="D3264" s="13">
        <v>11300</v>
      </c>
      <c r="E3264" s="13">
        <v>31.878</v>
      </c>
      <c r="F3264" s="13">
        <f t="shared" si="152"/>
        <v>354.47644143296316</v>
      </c>
    </row>
    <row r="3265" spans="1:6" x14ac:dyDescent="0.25">
      <c r="A3265" s="10">
        <v>41542</v>
      </c>
      <c r="B3265" s="12">
        <f t="shared" si="150"/>
        <v>9</v>
      </c>
      <c r="C3265" s="12">
        <f t="shared" si="151"/>
        <v>2013</v>
      </c>
      <c r="D3265" s="13">
        <v>11300</v>
      </c>
      <c r="E3265" s="13">
        <v>32.079000000000001</v>
      </c>
      <c r="F3265" s="13">
        <f t="shared" si="152"/>
        <v>352.25536955640763</v>
      </c>
    </row>
    <row r="3266" spans="1:6" x14ac:dyDescent="0.25">
      <c r="A3266" s="10">
        <v>41543</v>
      </c>
      <c r="B3266" s="12">
        <f t="shared" si="150"/>
        <v>9</v>
      </c>
      <c r="C3266" s="12">
        <f t="shared" si="151"/>
        <v>2013</v>
      </c>
      <c r="D3266" s="13">
        <v>11300</v>
      </c>
      <c r="E3266" s="13">
        <v>32.324199999999998</v>
      </c>
      <c r="F3266" s="13">
        <f t="shared" si="152"/>
        <v>349.58328435042478</v>
      </c>
    </row>
    <row r="3267" spans="1:6" x14ac:dyDescent="0.25">
      <c r="A3267" s="10">
        <v>41544</v>
      </c>
      <c r="B3267" s="12">
        <f t="shared" ref="B3267:B3330" si="153">MONTH(A3267)</f>
        <v>9</v>
      </c>
      <c r="C3267" s="12">
        <f t="shared" ref="C3267:C3330" si="154">YEAR(A3267)</f>
        <v>2013</v>
      </c>
      <c r="D3267" s="13">
        <v>11300</v>
      </c>
      <c r="E3267" s="13">
        <v>32.305</v>
      </c>
      <c r="F3267" s="13">
        <f t="shared" ref="F3267:F3330" si="155">IF(D3267="","",D3267/E3267)</f>
        <v>349.79105401640612</v>
      </c>
    </row>
    <row r="3268" spans="1:6" x14ac:dyDescent="0.25">
      <c r="A3268" s="10">
        <v>41547</v>
      </c>
      <c r="B3268" s="12">
        <f t="shared" si="153"/>
        <v>9</v>
      </c>
      <c r="C3268" s="12">
        <f t="shared" si="154"/>
        <v>2013</v>
      </c>
      <c r="D3268" s="13">
        <v>11400</v>
      </c>
      <c r="E3268" s="13">
        <v>32.378999999999998</v>
      </c>
      <c r="F3268" s="13">
        <f t="shared" si="155"/>
        <v>352.08005188548134</v>
      </c>
    </row>
    <row r="3269" spans="1:6" x14ac:dyDescent="0.25">
      <c r="A3269" s="10">
        <v>41548</v>
      </c>
      <c r="B3269" s="12">
        <f t="shared" si="153"/>
        <v>10</v>
      </c>
      <c r="C3269" s="12">
        <f t="shared" si="154"/>
        <v>2013</v>
      </c>
      <c r="D3269" s="13">
        <v>11400</v>
      </c>
      <c r="E3269" s="13">
        <v>32.244999999999997</v>
      </c>
      <c r="F3269" s="13">
        <f t="shared" si="155"/>
        <v>353.54318498992097</v>
      </c>
    </row>
    <row r="3270" spans="1:6" x14ac:dyDescent="0.25">
      <c r="A3270" s="10">
        <v>41549</v>
      </c>
      <c r="B3270" s="12">
        <f t="shared" si="153"/>
        <v>10</v>
      </c>
      <c r="C3270" s="12">
        <f t="shared" si="154"/>
        <v>2013</v>
      </c>
      <c r="D3270" s="13">
        <v>11400</v>
      </c>
      <c r="E3270" s="13">
        <v>32.213000000000001</v>
      </c>
      <c r="F3270" s="13">
        <f t="shared" si="155"/>
        <v>353.89439046347746</v>
      </c>
    </row>
    <row r="3271" spans="1:6" x14ac:dyDescent="0.25">
      <c r="A3271" s="10">
        <v>41550</v>
      </c>
      <c r="B3271" s="12">
        <f t="shared" si="153"/>
        <v>10</v>
      </c>
      <c r="C3271" s="12">
        <f t="shared" si="154"/>
        <v>2013</v>
      </c>
      <c r="D3271" s="13">
        <v>11400</v>
      </c>
      <c r="E3271" s="13">
        <v>32.1614</v>
      </c>
      <c r="F3271" s="13">
        <f t="shared" si="155"/>
        <v>354.46218137270142</v>
      </c>
    </row>
    <row r="3272" spans="1:6" x14ac:dyDescent="0.25">
      <c r="A3272" s="10">
        <v>41551</v>
      </c>
      <c r="B3272" s="12">
        <f t="shared" si="153"/>
        <v>10</v>
      </c>
      <c r="C3272" s="12">
        <f t="shared" si="154"/>
        <v>2013</v>
      </c>
      <c r="D3272" s="13">
        <v>11400</v>
      </c>
      <c r="E3272" s="13">
        <v>32.168999999999997</v>
      </c>
      <c r="F3272" s="13">
        <f t="shared" si="155"/>
        <v>354.37843886971933</v>
      </c>
    </row>
    <row r="3273" spans="1:6" x14ac:dyDescent="0.25">
      <c r="A3273" s="10">
        <v>41554</v>
      </c>
      <c r="B3273" s="12">
        <f t="shared" si="153"/>
        <v>10</v>
      </c>
      <c r="C3273" s="12">
        <f t="shared" si="154"/>
        <v>2013</v>
      </c>
      <c r="D3273" s="13">
        <v>11100</v>
      </c>
      <c r="E3273" s="13">
        <v>32.207999999999998</v>
      </c>
      <c r="F3273" s="13">
        <f t="shared" si="155"/>
        <v>344.63487332339793</v>
      </c>
    </row>
    <row r="3274" spans="1:6" x14ac:dyDescent="0.25">
      <c r="A3274" s="10">
        <v>41555</v>
      </c>
      <c r="B3274" s="12">
        <f t="shared" si="153"/>
        <v>10</v>
      </c>
      <c r="C3274" s="12">
        <f t="shared" si="154"/>
        <v>2013</v>
      </c>
      <c r="D3274" s="13">
        <v>11100</v>
      </c>
      <c r="E3274" s="13">
        <v>32.386000000000003</v>
      </c>
      <c r="F3274" s="13">
        <f t="shared" si="155"/>
        <v>342.74069042178718</v>
      </c>
    </row>
    <row r="3275" spans="1:6" x14ac:dyDescent="0.25">
      <c r="A3275" s="10">
        <v>41556</v>
      </c>
      <c r="B3275" s="12">
        <f t="shared" si="153"/>
        <v>10</v>
      </c>
      <c r="C3275" s="12">
        <f t="shared" si="154"/>
        <v>2013</v>
      </c>
      <c r="D3275" s="13">
        <v>11100</v>
      </c>
      <c r="E3275" s="13">
        <v>32.316000000000003</v>
      </c>
      <c r="F3275" s="13">
        <f t="shared" si="155"/>
        <v>343.48310434459705</v>
      </c>
    </row>
    <row r="3276" spans="1:6" x14ac:dyDescent="0.25">
      <c r="A3276" s="10">
        <v>41557</v>
      </c>
      <c r="B3276" s="12">
        <f t="shared" si="153"/>
        <v>10</v>
      </c>
      <c r="C3276" s="12">
        <f t="shared" si="154"/>
        <v>2013</v>
      </c>
      <c r="D3276" s="13">
        <v>11100</v>
      </c>
      <c r="E3276" s="13">
        <v>32.170999999999999</v>
      </c>
      <c r="F3276" s="13">
        <f t="shared" si="155"/>
        <v>345.03123931491098</v>
      </c>
    </row>
    <row r="3277" spans="1:6" x14ac:dyDescent="0.25">
      <c r="A3277" s="10">
        <v>41558</v>
      </c>
      <c r="B3277" s="12">
        <f t="shared" si="153"/>
        <v>10</v>
      </c>
      <c r="C3277" s="12">
        <f t="shared" si="154"/>
        <v>2013</v>
      </c>
      <c r="D3277" s="13">
        <v>11100</v>
      </c>
      <c r="E3277" s="13">
        <v>32.220999999999997</v>
      </c>
      <c r="F3277" s="13">
        <f t="shared" si="155"/>
        <v>344.4958257037336</v>
      </c>
    </row>
    <row r="3278" spans="1:6" x14ac:dyDescent="0.25">
      <c r="A3278" s="10">
        <v>41561</v>
      </c>
      <c r="B3278" s="12">
        <f t="shared" si="153"/>
        <v>10</v>
      </c>
      <c r="C3278" s="12">
        <f t="shared" si="154"/>
        <v>2013</v>
      </c>
      <c r="D3278" s="13">
        <v>11050</v>
      </c>
      <c r="E3278" s="13">
        <v>32.276000000000003</v>
      </c>
      <c r="F3278" s="13">
        <f t="shared" si="155"/>
        <v>342.35964803569215</v>
      </c>
    </row>
    <row r="3279" spans="1:6" x14ac:dyDescent="0.25">
      <c r="A3279" s="10">
        <v>41562</v>
      </c>
      <c r="B3279" s="12">
        <f t="shared" si="153"/>
        <v>10</v>
      </c>
      <c r="C3279" s="12">
        <f t="shared" si="154"/>
        <v>2013</v>
      </c>
      <c r="D3279" s="13">
        <v>11050</v>
      </c>
      <c r="E3279" s="13">
        <v>32.298999999999999</v>
      </c>
      <c r="F3279" s="13">
        <f t="shared" si="155"/>
        <v>342.11585498003035</v>
      </c>
    </row>
    <row r="3280" spans="1:6" x14ac:dyDescent="0.25">
      <c r="A3280" s="10">
        <v>41563</v>
      </c>
      <c r="B3280" s="12">
        <f t="shared" si="153"/>
        <v>10</v>
      </c>
      <c r="C3280" s="12">
        <f t="shared" si="154"/>
        <v>2013</v>
      </c>
      <c r="D3280" s="13">
        <v>11050</v>
      </c>
      <c r="E3280" s="13">
        <v>32.052999999999997</v>
      </c>
      <c r="F3280" s="13">
        <f t="shared" si="155"/>
        <v>344.74152185442864</v>
      </c>
    </row>
    <row r="3281" spans="1:6" x14ac:dyDescent="0.25">
      <c r="A3281" s="10">
        <v>41564</v>
      </c>
      <c r="B3281" s="12">
        <f t="shared" si="153"/>
        <v>10</v>
      </c>
      <c r="C3281" s="12">
        <f t="shared" si="154"/>
        <v>2013</v>
      </c>
      <c r="D3281" s="13">
        <v>11050</v>
      </c>
      <c r="E3281" s="13">
        <v>31.862500000000001</v>
      </c>
      <c r="F3281" s="13">
        <f t="shared" si="155"/>
        <v>346.80266771282857</v>
      </c>
    </row>
    <row r="3282" spans="1:6" x14ac:dyDescent="0.25">
      <c r="A3282" s="10">
        <v>41565</v>
      </c>
      <c r="B3282" s="12">
        <f t="shared" si="153"/>
        <v>10</v>
      </c>
      <c r="C3282" s="12">
        <f t="shared" si="154"/>
        <v>2013</v>
      </c>
      <c r="D3282" s="13">
        <v>11050</v>
      </c>
      <c r="E3282" s="13">
        <v>31.8613</v>
      </c>
      <c r="F3282" s="13">
        <f t="shared" si="155"/>
        <v>346.81572942723619</v>
      </c>
    </row>
    <row r="3283" spans="1:6" x14ac:dyDescent="0.25">
      <c r="A3283" s="10">
        <v>41568</v>
      </c>
      <c r="B3283" s="12">
        <f t="shared" si="153"/>
        <v>10</v>
      </c>
      <c r="C3283" s="12">
        <f t="shared" si="154"/>
        <v>2013</v>
      </c>
      <c r="D3283" s="13">
        <v>10800</v>
      </c>
      <c r="E3283" s="13">
        <v>31.971</v>
      </c>
      <c r="F3283" s="13">
        <f t="shared" si="155"/>
        <v>337.80613681148543</v>
      </c>
    </row>
    <row r="3284" spans="1:6" x14ac:dyDescent="0.25">
      <c r="A3284" s="10">
        <v>41569</v>
      </c>
      <c r="B3284" s="12">
        <f t="shared" si="153"/>
        <v>10</v>
      </c>
      <c r="C3284" s="12">
        <f t="shared" si="154"/>
        <v>2013</v>
      </c>
      <c r="D3284" s="13">
        <v>10800</v>
      </c>
      <c r="E3284" s="13">
        <v>31.684999999999999</v>
      </c>
      <c r="F3284" s="13">
        <f t="shared" si="155"/>
        <v>340.85529430329808</v>
      </c>
    </row>
    <row r="3285" spans="1:6" x14ac:dyDescent="0.25">
      <c r="A3285" s="10">
        <v>41570</v>
      </c>
      <c r="B3285" s="12">
        <f t="shared" si="153"/>
        <v>10</v>
      </c>
      <c r="C3285" s="12">
        <f t="shared" si="154"/>
        <v>2013</v>
      </c>
      <c r="D3285" s="13">
        <v>10800</v>
      </c>
      <c r="E3285" s="13">
        <v>31.747199999999999</v>
      </c>
      <c r="F3285" s="13">
        <f t="shared" si="155"/>
        <v>340.18748110069549</v>
      </c>
    </row>
    <row r="3286" spans="1:6" x14ac:dyDescent="0.25">
      <c r="A3286" s="10">
        <v>41571</v>
      </c>
      <c r="B3286" s="12">
        <f t="shared" si="153"/>
        <v>10</v>
      </c>
      <c r="C3286" s="12">
        <f t="shared" si="154"/>
        <v>2013</v>
      </c>
      <c r="D3286" s="13">
        <v>10800</v>
      </c>
      <c r="E3286" s="13">
        <v>31.6875</v>
      </c>
      <c r="F3286" s="13">
        <f t="shared" si="155"/>
        <v>340.82840236686388</v>
      </c>
    </row>
    <row r="3287" spans="1:6" x14ac:dyDescent="0.25">
      <c r="A3287" s="10">
        <v>41572</v>
      </c>
      <c r="B3287" s="12">
        <f t="shared" si="153"/>
        <v>10</v>
      </c>
      <c r="C3287" s="12">
        <f t="shared" si="154"/>
        <v>2013</v>
      </c>
      <c r="D3287" s="13">
        <v>10800</v>
      </c>
      <c r="E3287" s="13">
        <v>31.801400000000001</v>
      </c>
      <c r="F3287" s="13">
        <f t="shared" si="155"/>
        <v>339.60769022747428</v>
      </c>
    </row>
    <row r="3288" spans="1:6" x14ac:dyDescent="0.25">
      <c r="A3288" s="10">
        <v>41575</v>
      </c>
      <c r="B3288" s="12">
        <f t="shared" si="153"/>
        <v>10</v>
      </c>
      <c r="C3288" s="12">
        <f t="shared" si="154"/>
        <v>2013</v>
      </c>
      <c r="E3288" s="13">
        <v>31.913</v>
      </c>
      <c r="F3288" s="13" t="str">
        <f t="shared" si="155"/>
        <v/>
      </c>
    </row>
    <row r="3289" spans="1:6" x14ac:dyDescent="0.25">
      <c r="A3289" s="10">
        <v>41576</v>
      </c>
      <c r="B3289" s="12">
        <f t="shared" si="153"/>
        <v>10</v>
      </c>
      <c r="C3289" s="12">
        <f t="shared" si="154"/>
        <v>2013</v>
      </c>
      <c r="E3289" s="13">
        <v>32.118000000000002</v>
      </c>
      <c r="F3289" s="13" t="str">
        <f t="shared" si="155"/>
        <v/>
      </c>
    </row>
    <row r="3290" spans="1:6" x14ac:dyDescent="0.25">
      <c r="A3290" s="10">
        <v>41577</v>
      </c>
      <c r="B3290" s="12">
        <f t="shared" si="153"/>
        <v>10</v>
      </c>
      <c r="C3290" s="12">
        <f t="shared" si="154"/>
        <v>2013</v>
      </c>
      <c r="E3290" s="13">
        <v>31.995000000000001</v>
      </c>
      <c r="F3290" s="13" t="str">
        <f t="shared" si="155"/>
        <v/>
      </c>
    </row>
    <row r="3291" spans="1:6" x14ac:dyDescent="0.25">
      <c r="A3291" s="10">
        <v>41578</v>
      </c>
      <c r="B3291" s="12">
        <f t="shared" si="153"/>
        <v>10</v>
      </c>
      <c r="C3291" s="12">
        <f t="shared" si="154"/>
        <v>2013</v>
      </c>
      <c r="E3291" s="13">
        <v>32.079000000000001</v>
      </c>
      <c r="F3291" s="13" t="str">
        <f t="shared" si="155"/>
        <v/>
      </c>
    </row>
    <row r="3292" spans="1:6" x14ac:dyDescent="0.25">
      <c r="A3292" s="10">
        <v>41579</v>
      </c>
      <c r="B3292" s="12">
        <f t="shared" si="153"/>
        <v>11</v>
      </c>
      <c r="C3292" s="12">
        <f t="shared" si="154"/>
        <v>2013</v>
      </c>
      <c r="E3292" s="13">
        <v>32.457500000000003</v>
      </c>
      <c r="F3292" s="13" t="str">
        <f t="shared" si="155"/>
        <v/>
      </c>
    </row>
    <row r="3293" spans="1:6" x14ac:dyDescent="0.25">
      <c r="A3293" s="10">
        <v>41582</v>
      </c>
      <c r="B3293" s="12">
        <f t="shared" si="153"/>
        <v>11</v>
      </c>
      <c r="C3293" s="12">
        <f t="shared" si="154"/>
        <v>2013</v>
      </c>
      <c r="E3293" s="13">
        <v>32.372999999999998</v>
      </c>
      <c r="F3293" s="13" t="str">
        <f t="shared" si="155"/>
        <v/>
      </c>
    </row>
    <row r="3294" spans="1:6" x14ac:dyDescent="0.25">
      <c r="A3294" s="10">
        <v>41583</v>
      </c>
      <c r="B3294" s="12">
        <f t="shared" si="153"/>
        <v>11</v>
      </c>
      <c r="C3294" s="12">
        <f t="shared" si="154"/>
        <v>2013</v>
      </c>
      <c r="E3294" s="13">
        <v>32.54</v>
      </c>
      <c r="F3294" s="13" t="str">
        <f t="shared" si="155"/>
        <v/>
      </c>
    </row>
    <row r="3295" spans="1:6" x14ac:dyDescent="0.25">
      <c r="A3295" s="10">
        <v>41584</v>
      </c>
      <c r="B3295" s="12">
        <f t="shared" si="153"/>
        <v>11</v>
      </c>
      <c r="C3295" s="12">
        <f t="shared" si="154"/>
        <v>2013</v>
      </c>
      <c r="E3295" s="13">
        <v>32.371000000000002</v>
      </c>
      <c r="F3295" s="13" t="str">
        <f t="shared" si="155"/>
        <v/>
      </c>
    </row>
    <row r="3296" spans="1:6" x14ac:dyDescent="0.25">
      <c r="A3296" s="10">
        <v>41585</v>
      </c>
      <c r="B3296" s="12">
        <f t="shared" si="153"/>
        <v>11</v>
      </c>
      <c r="C3296" s="12">
        <f t="shared" si="154"/>
        <v>2013</v>
      </c>
      <c r="E3296" s="13">
        <v>32.454000000000001</v>
      </c>
      <c r="F3296" s="13" t="str">
        <f t="shared" si="155"/>
        <v/>
      </c>
    </row>
    <row r="3297" spans="1:6" x14ac:dyDescent="0.25">
      <c r="A3297" s="10">
        <v>41586</v>
      </c>
      <c r="B3297" s="12">
        <f t="shared" si="153"/>
        <v>11</v>
      </c>
      <c r="C3297" s="12">
        <f t="shared" si="154"/>
        <v>2013</v>
      </c>
      <c r="E3297" s="13">
        <v>32.655000000000001</v>
      </c>
      <c r="F3297" s="13" t="str">
        <f t="shared" si="155"/>
        <v/>
      </c>
    </row>
    <row r="3298" spans="1:6" x14ac:dyDescent="0.25">
      <c r="A3298" s="10">
        <v>41589</v>
      </c>
      <c r="B3298" s="12">
        <f t="shared" si="153"/>
        <v>11</v>
      </c>
      <c r="C3298" s="12">
        <f t="shared" si="154"/>
        <v>2013</v>
      </c>
      <c r="D3298" s="13">
        <v>10500</v>
      </c>
      <c r="E3298" s="13">
        <v>32.827500000000001</v>
      </c>
      <c r="F3298" s="13">
        <f t="shared" si="155"/>
        <v>319.85378112862691</v>
      </c>
    </row>
    <row r="3299" spans="1:6" x14ac:dyDescent="0.25">
      <c r="A3299" s="10">
        <v>41590</v>
      </c>
      <c r="B3299" s="12">
        <f t="shared" si="153"/>
        <v>11</v>
      </c>
      <c r="C3299" s="12">
        <f t="shared" si="154"/>
        <v>2013</v>
      </c>
      <c r="D3299" s="13">
        <v>10500</v>
      </c>
      <c r="E3299" s="13">
        <v>32.860999999999997</v>
      </c>
      <c r="F3299" s="13">
        <f t="shared" si="155"/>
        <v>319.52770761693193</v>
      </c>
    </row>
    <row r="3300" spans="1:6" x14ac:dyDescent="0.25">
      <c r="A3300" s="10">
        <v>41591</v>
      </c>
      <c r="B3300" s="12">
        <f t="shared" si="153"/>
        <v>11</v>
      </c>
      <c r="C3300" s="12">
        <f t="shared" si="154"/>
        <v>2013</v>
      </c>
      <c r="D3300" s="13">
        <v>10500</v>
      </c>
      <c r="E3300" s="13">
        <v>32.743000000000002</v>
      </c>
      <c r="F3300" s="13">
        <f t="shared" si="155"/>
        <v>320.67922914821486</v>
      </c>
    </row>
    <row r="3301" spans="1:6" x14ac:dyDescent="0.25">
      <c r="A3301" s="10">
        <v>41592</v>
      </c>
      <c r="B3301" s="12">
        <f t="shared" si="153"/>
        <v>11</v>
      </c>
      <c r="C3301" s="12">
        <f t="shared" si="154"/>
        <v>2013</v>
      </c>
      <c r="D3301" s="13">
        <v>10500</v>
      </c>
      <c r="E3301" s="13">
        <v>32.747500000000002</v>
      </c>
      <c r="F3301" s="13">
        <f t="shared" si="155"/>
        <v>320.63516298954119</v>
      </c>
    </row>
    <row r="3302" spans="1:6" x14ac:dyDescent="0.25">
      <c r="A3302" s="10">
        <v>41593</v>
      </c>
      <c r="B3302" s="12">
        <f t="shared" si="153"/>
        <v>11</v>
      </c>
      <c r="C3302" s="12">
        <f t="shared" si="154"/>
        <v>2013</v>
      </c>
      <c r="D3302" s="13">
        <v>10500</v>
      </c>
      <c r="E3302" s="13">
        <v>32.561399999999999</v>
      </c>
      <c r="F3302" s="13">
        <f t="shared" si="155"/>
        <v>322.46770716246846</v>
      </c>
    </row>
    <row r="3303" spans="1:6" x14ac:dyDescent="0.25">
      <c r="A3303" s="10">
        <v>41596</v>
      </c>
      <c r="B3303" s="12">
        <f t="shared" si="153"/>
        <v>11</v>
      </c>
      <c r="C3303" s="12">
        <f t="shared" si="154"/>
        <v>2013</v>
      </c>
      <c r="D3303" s="13">
        <v>10500</v>
      </c>
      <c r="E3303" s="13">
        <v>32.566400000000002</v>
      </c>
      <c r="F3303" s="13">
        <f t="shared" si="155"/>
        <v>322.41819789721922</v>
      </c>
    </row>
    <row r="3304" spans="1:6" x14ac:dyDescent="0.25">
      <c r="A3304" s="10">
        <v>41597</v>
      </c>
      <c r="B3304" s="12">
        <f t="shared" si="153"/>
        <v>11</v>
      </c>
      <c r="C3304" s="12">
        <f t="shared" si="154"/>
        <v>2013</v>
      </c>
      <c r="D3304" s="13">
        <v>10500</v>
      </c>
      <c r="E3304" s="13">
        <v>32.712000000000003</v>
      </c>
      <c r="F3304" s="13">
        <f t="shared" si="155"/>
        <v>320.98312545854731</v>
      </c>
    </row>
    <row r="3305" spans="1:6" x14ac:dyDescent="0.25">
      <c r="A3305" s="10">
        <v>41598</v>
      </c>
      <c r="B3305" s="12">
        <f t="shared" si="153"/>
        <v>11</v>
      </c>
      <c r="C3305" s="12">
        <f t="shared" si="154"/>
        <v>2013</v>
      </c>
      <c r="D3305" s="13">
        <v>10500</v>
      </c>
      <c r="E3305" s="13">
        <v>32.905000000000001</v>
      </c>
      <c r="F3305" s="13">
        <f t="shared" si="155"/>
        <v>319.10044066251328</v>
      </c>
    </row>
    <row r="3306" spans="1:6" x14ac:dyDescent="0.25">
      <c r="A3306" s="10">
        <v>41599</v>
      </c>
      <c r="B3306" s="12">
        <f t="shared" si="153"/>
        <v>11</v>
      </c>
      <c r="C3306" s="12">
        <f t="shared" si="154"/>
        <v>2013</v>
      </c>
      <c r="D3306" s="13">
        <v>10500</v>
      </c>
      <c r="E3306" s="13">
        <v>32.982999999999997</v>
      </c>
      <c r="F3306" s="13">
        <f t="shared" si="155"/>
        <v>318.34581451050542</v>
      </c>
    </row>
    <row r="3307" spans="1:6" x14ac:dyDescent="0.25">
      <c r="A3307" s="10">
        <v>41600</v>
      </c>
      <c r="B3307" s="12">
        <f t="shared" si="153"/>
        <v>11</v>
      </c>
      <c r="C3307" s="12">
        <f t="shared" si="154"/>
        <v>2013</v>
      </c>
      <c r="D3307" s="13">
        <v>10500</v>
      </c>
      <c r="E3307" s="13">
        <v>32.734499999999997</v>
      </c>
      <c r="F3307" s="13">
        <f t="shared" si="155"/>
        <v>320.76249828162952</v>
      </c>
    </row>
    <row r="3308" spans="1:6" x14ac:dyDescent="0.25">
      <c r="A3308" s="10">
        <v>41603</v>
      </c>
      <c r="B3308" s="12">
        <f t="shared" si="153"/>
        <v>11</v>
      </c>
      <c r="C3308" s="12">
        <f t="shared" si="154"/>
        <v>2013</v>
      </c>
      <c r="D3308" s="13">
        <v>11100</v>
      </c>
      <c r="E3308" s="13">
        <v>32.910800000000002</v>
      </c>
      <c r="F3308" s="13">
        <f t="shared" si="155"/>
        <v>337.2753017246618</v>
      </c>
    </row>
    <row r="3309" spans="1:6" x14ac:dyDescent="0.25">
      <c r="A3309" s="10">
        <v>41604</v>
      </c>
      <c r="B3309" s="12">
        <f t="shared" si="153"/>
        <v>11</v>
      </c>
      <c r="C3309" s="12">
        <f t="shared" si="154"/>
        <v>2013</v>
      </c>
      <c r="D3309" s="13">
        <v>11100</v>
      </c>
      <c r="E3309" s="13">
        <v>32.950000000000003</v>
      </c>
      <c r="F3309" s="13">
        <f t="shared" si="155"/>
        <v>336.8740515933232</v>
      </c>
    </row>
    <row r="3310" spans="1:6" x14ac:dyDescent="0.25">
      <c r="A3310" s="10">
        <v>41605</v>
      </c>
      <c r="B3310" s="12">
        <f t="shared" si="153"/>
        <v>11</v>
      </c>
      <c r="C3310" s="12">
        <f t="shared" si="154"/>
        <v>2013</v>
      </c>
      <c r="D3310" s="13">
        <v>11100</v>
      </c>
      <c r="E3310" s="13">
        <v>33.180999999999997</v>
      </c>
      <c r="F3310" s="13">
        <f t="shared" si="155"/>
        <v>334.52879660046415</v>
      </c>
    </row>
    <row r="3311" spans="1:6" x14ac:dyDescent="0.25">
      <c r="A3311" s="10">
        <v>41607</v>
      </c>
      <c r="B3311" s="12">
        <f t="shared" si="153"/>
        <v>11</v>
      </c>
      <c r="C3311" s="12">
        <f t="shared" si="154"/>
        <v>2013</v>
      </c>
      <c r="D3311" s="13">
        <v>11100</v>
      </c>
      <c r="E3311" s="13">
        <v>33.138800000000003</v>
      </c>
      <c r="F3311" s="13">
        <f t="shared" si="155"/>
        <v>334.95479619056812</v>
      </c>
    </row>
    <row r="3312" spans="1:6" x14ac:dyDescent="0.25">
      <c r="A3312" s="10">
        <v>41610</v>
      </c>
      <c r="B3312" s="12">
        <f t="shared" si="153"/>
        <v>12</v>
      </c>
      <c r="C3312" s="12">
        <f t="shared" si="154"/>
        <v>2013</v>
      </c>
      <c r="D3312" s="13">
        <v>11150</v>
      </c>
      <c r="E3312" s="13">
        <v>33.22</v>
      </c>
      <c r="F3312" s="13">
        <f t="shared" si="155"/>
        <v>335.64118001204093</v>
      </c>
    </row>
    <row r="3313" spans="1:6" x14ac:dyDescent="0.25">
      <c r="A3313" s="10">
        <v>41611</v>
      </c>
      <c r="B3313" s="12">
        <f t="shared" si="153"/>
        <v>12</v>
      </c>
      <c r="C3313" s="12">
        <f t="shared" si="154"/>
        <v>2013</v>
      </c>
      <c r="D3313" s="13">
        <v>11150</v>
      </c>
      <c r="E3313" s="13">
        <v>33.236699999999999</v>
      </c>
      <c r="F3313" s="13">
        <f t="shared" si="155"/>
        <v>335.47253487861309</v>
      </c>
    </row>
    <row r="3314" spans="1:6" x14ac:dyDescent="0.25">
      <c r="A3314" s="10">
        <v>41612</v>
      </c>
      <c r="B3314" s="12">
        <f t="shared" si="153"/>
        <v>12</v>
      </c>
      <c r="C3314" s="12">
        <f t="shared" si="154"/>
        <v>2013</v>
      </c>
      <c r="D3314" s="13">
        <v>11150</v>
      </c>
      <c r="E3314" s="13">
        <v>33.102600000000002</v>
      </c>
      <c r="F3314" s="13">
        <f t="shared" si="155"/>
        <v>336.83154797508348</v>
      </c>
    </row>
    <row r="3315" spans="1:6" x14ac:dyDescent="0.25">
      <c r="A3315" s="10">
        <v>41613</v>
      </c>
      <c r="B3315" s="12">
        <f t="shared" si="153"/>
        <v>12</v>
      </c>
      <c r="C3315" s="12">
        <f t="shared" si="154"/>
        <v>2013</v>
      </c>
      <c r="D3315" s="13">
        <v>11150</v>
      </c>
      <c r="E3315" s="13">
        <v>32.970399999999998</v>
      </c>
      <c r="F3315" s="13">
        <f t="shared" si="155"/>
        <v>338.18212699876256</v>
      </c>
    </row>
    <row r="3316" spans="1:6" x14ac:dyDescent="0.25">
      <c r="A3316" s="10">
        <v>41614</v>
      </c>
      <c r="B3316" s="12">
        <f t="shared" si="153"/>
        <v>12</v>
      </c>
      <c r="C3316" s="12">
        <f t="shared" si="154"/>
        <v>2013</v>
      </c>
      <c r="D3316" s="13">
        <v>11150</v>
      </c>
      <c r="E3316" s="13">
        <v>32.762500000000003</v>
      </c>
      <c r="F3316" s="13">
        <f t="shared" si="155"/>
        <v>340.32811903853491</v>
      </c>
    </row>
    <row r="3317" spans="1:6" x14ac:dyDescent="0.25">
      <c r="A3317" s="10">
        <v>41617</v>
      </c>
      <c r="B3317" s="12">
        <f t="shared" si="153"/>
        <v>12</v>
      </c>
      <c r="C3317" s="12">
        <f t="shared" si="154"/>
        <v>2013</v>
      </c>
      <c r="E3317" s="13">
        <v>32.6785</v>
      </c>
      <c r="F3317" s="13" t="str">
        <f t="shared" si="155"/>
        <v/>
      </c>
    </row>
    <row r="3318" spans="1:6" x14ac:dyDescent="0.25">
      <c r="A3318" s="10">
        <v>41618</v>
      </c>
      <c r="B3318" s="12">
        <f t="shared" si="153"/>
        <v>12</v>
      </c>
      <c r="C3318" s="12">
        <f t="shared" si="154"/>
        <v>2013</v>
      </c>
      <c r="E3318" s="13">
        <v>32.704999999999998</v>
      </c>
      <c r="F3318" s="13" t="str">
        <f t="shared" si="155"/>
        <v/>
      </c>
    </row>
    <row r="3319" spans="1:6" x14ac:dyDescent="0.25">
      <c r="A3319" s="10">
        <v>41619</v>
      </c>
      <c r="B3319" s="12">
        <f t="shared" si="153"/>
        <v>12</v>
      </c>
      <c r="C3319" s="12">
        <f t="shared" si="154"/>
        <v>2013</v>
      </c>
      <c r="E3319" s="13">
        <v>32.7575</v>
      </c>
      <c r="F3319" s="13" t="str">
        <f t="shared" si="155"/>
        <v/>
      </c>
    </row>
    <row r="3320" spans="1:6" x14ac:dyDescent="0.25">
      <c r="A3320" s="10">
        <v>41620</v>
      </c>
      <c r="B3320" s="12">
        <f t="shared" si="153"/>
        <v>12</v>
      </c>
      <c r="C3320" s="12">
        <f t="shared" si="154"/>
        <v>2013</v>
      </c>
      <c r="E3320" s="13">
        <v>32.822499999999998</v>
      </c>
      <c r="F3320" s="13" t="str">
        <f t="shared" si="155"/>
        <v/>
      </c>
    </row>
    <row r="3321" spans="1:6" x14ac:dyDescent="0.25">
      <c r="A3321" s="10">
        <v>41621</v>
      </c>
      <c r="B3321" s="12">
        <f t="shared" si="153"/>
        <v>12</v>
      </c>
      <c r="C3321" s="12">
        <f t="shared" si="154"/>
        <v>2013</v>
      </c>
      <c r="E3321" s="13">
        <v>32.892699999999998</v>
      </c>
      <c r="F3321" s="13" t="str">
        <f t="shared" si="155"/>
        <v/>
      </c>
    </row>
    <row r="3322" spans="1:6" x14ac:dyDescent="0.25">
      <c r="A3322" s="10">
        <v>41624</v>
      </c>
      <c r="B3322" s="12">
        <f t="shared" si="153"/>
        <v>12</v>
      </c>
      <c r="C3322" s="12">
        <f t="shared" si="154"/>
        <v>2013</v>
      </c>
      <c r="D3322" s="13">
        <v>11400</v>
      </c>
      <c r="E3322" s="13">
        <v>32.924999999999997</v>
      </c>
      <c r="F3322" s="13">
        <f t="shared" si="155"/>
        <v>346.24145785876993</v>
      </c>
    </row>
    <row r="3323" spans="1:6" x14ac:dyDescent="0.25">
      <c r="A3323" s="10">
        <v>41625</v>
      </c>
      <c r="B3323" s="12">
        <f t="shared" si="153"/>
        <v>12</v>
      </c>
      <c r="C3323" s="12">
        <f t="shared" si="154"/>
        <v>2013</v>
      </c>
      <c r="D3323" s="13">
        <v>11400</v>
      </c>
      <c r="E3323" s="13">
        <v>32.967500000000001</v>
      </c>
      <c r="F3323" s="13">
        <f t="shared" si="155"/>
        <v>345.79510123606582</v>
      </c>
    </row>
    <row r="3324" spans="1:6" x14ac:dyDescent="0.25">
      <c r="A3324" s="10">
        <v>41626</v>
      </c>
      <c r="B3324" s="12">
        <f t="shared" si="153"/>
        <v>12</v>
      </c>
      <c r="C3324" s="12">
        <f t="shared" si="154"/>
        <v>2013</v>
      </c>
      <c r="D3324" s="13">
        <v>11400</v>
      </c>
      <c r="E3324" s="13">
        <v>32.884999999999998</v>
      </c>
      <c r="F3324" s="13">
        <f t="shared" si="155"/>
        <v>346.66261213319143</v>
      </c>
    </row>
    <row r="3325" spans="1:6" x14ac:dyDescent="0.25">
      <c r="A3325" s="10">
        <v>41627</v>
      </c>
      <c r="B3325" s="12">
        <f t="shared" si="153"/>
        <v>12</v>
      </c>
      <c r="C3325" s="12">
        <f t="shared" si="154"/>
        <v>2013</v>
      </c>
      <c r="D3325" s="13">
        <v>11400</v>
      </c>
      <c r="E3325" s="13">
        <v>32.97</v>
      </c>
      <c r="F3325" s="13">
        <f t="shared" si="155"/>
        <v>345.76888080072797</v>
      </c>
    </row>
    <row r="3326" spans="1:6" x14ac:dyDescent="0.25">
      <c r="A3326" s="10">
        <v>41628</v>
      </c>
      <c r="B3326" s="12">
        <f t="shared" si="153"/>
        <v>12</v>
      </c>
      <c r="C3326" s="12">
        <f t="shared" si="154"/>
        <v>2013</v>
      </c>
      <c r="D3326" s="13">
        <v>11400</v>
      </c>
      <c r="E3326" s="13">
        <v>32.97</v>
      </c>
      <c r="F3326" s="13">
        <f t="shared" si="155"/>
        <v>345.76888080072797</v>
      </c>
    </row>
    <row r="3327" spans="1:6" x14ac:dyDescent="0.25">
      <c r="A3327" s="10">
        <v>41631</v>
      </c>
      <c r="B3327" s="12">
        <f t="shared" si="153"/>
        <v>12</v>
      </c>
      <c r="C3327" s="12">
        <f t="shared" si="154"/>
        <v>2013</v>
      </c>
      <c r="D3327" s="13">
        <v>11600</v>
      </c>
      <c r="E3327" s="13">
        <v>32.695</v>
      </c>
      <c r="F3327" s="13">
        <f t="shared" si="155"/>
        <v>354.79431105673649</v>
      </c>
    </row>
    <row r="3328" spans="1:6" x14ac:dyDescent="0.25">
      <c r="A3328" s="10">
        <v>41632</v>
      </c>
      <c r="B3328" s="12">
        <f t="shared" si="153"/>
        <v>12</v>
      </c>
      <c r="C3328" s="12">
        <f t="shared" si="154"/>
        <v>2013</v>
      </c>
      <c r="D3328" s="13">
        <v>11600</v>
      </c>
      <c r="E3328" s="13">
        <v>32.612499999999997</v>
      </c>
      <c r="F3328" s="13">
        <f t="shared" si="155"/>
        <v>355.69183595247222</v>
      </c>
    </row>
    <row r="3329" spans="1:6" x14ac:dyDescent="0.25">
      <c r="A3329" s="10">
        <v>41634</v>
      </c>
      <c r="B3329" s="12">
        <f t="shared" si="153"/>
        <v>12</v>
      </c>
      <c r="C3329" s="12">
        <f t="shared" si="154"/>
        <v>2013</v>
      </c>
      <c r="D3329" s="13">
        <v>11600</v>
      </c>
      <c r="E3329" s="13">
        <v>32.659999999999997</v>
      </c>
      <c r="F3329" s="13">
        <f t="shared" si="155"/>
        <v>355.17452541334973</v>
      </c>
    </row>
    <row r="3330" spans="1:6" x14ac:dyDescent="0.25">
      <c r="A3330" s="10">
        <v>41635</v>
      </c>
      <c r="B3330" s="12">
        <f t="shared" si="153"/>
        <v>12</v>
      </c>
      <c r="C3330" s="12">
        <f t="shared" si="154"/>
        <v>2013</v>
      </c>
      <c r="D3330" s="13">
        <v>11600</v>
      </c>
      <c r="E3330" s="13">
        <v>32.597499999999997</v>
      </c>
      <c r="F3330" s="13">
        <f t="shared" si="155"/>
        <v>355.85551039190125</v>
      </c>
    </row>
    <row r="3331" spans="1:6" x14ac:dyDescent="0.25">
      <c r="A3331" s="10">
        <v>41638</v>
      </c>
      <c r="B3331" s="12">
        <f t="shared" ref="B3331:B3394" si="156">MONTH(A3331)</f>
        <v>12</v>
      </c>
      <c r="C3331" s="12">
        <f t="shared" ref="C3331:C3394" si="157">YEAR(A3331)</f>
        <v>2013</v>
      </c>
      <c r="E3331" s="13">
        <v>32.805</v>
      </c>
      <c r="F3331" s="13" t="str">
        <f t="shared" ref="F3331:F3394" si="158">IF(D3331="","",D3331/E3331)</f>
        <v/>
      </c>
    </row>
    <row r="3332" spans="1:6" x14ac:dyDescent="0.25">
      <c r="A3332" s="10">
        <v>41639</v>
      </c>
      <c r="B3332" s="12">
        <f t="shared" si="156"/>
        <v>12</v>
      </c>
      <c r="C3332" s="12">
        <f t="shared" si="157"/>
        <v>2013</v>
      </c>
      <c r="E3332" s="13">
        <v>32.89</v>
      </c>
      <c r="F3332" s="13" t="str">
        <f t="shared" si="158"/>
        <v/>
      </c>
    </row>
    <row r="3333" spans="1:6" x14ac:dyDescent="0.25">
      <c r="A3333" s="10">
        <v>41641</v>
      </c>
      <c r="B3333" s="12">
        <f t="shared" si="156"/>
        <v>1</v>
      </c>
      <c r="C3333" s="12">
        <f t="shared" si="157"/>
        <v>2014</v>
      </c>
      <c r="E3333" s="13">
        <v>33.094999999999999</v>
      </c>
      <c r="F3333" s="13" t="str">
        <f t="shared" si="158"/>
        <v/>
      </c>
    </row>
    <row r="3334" spans="1:6" x14ac:dyDescent="0.25">
      <c r="A3334" s="10">
        <v>41642</v>
      </c>
      <c r="B3334" s="12">
        <f t="shared" si="156"/>
        <v>1</v>
      </c>
      <c r="C3334" s="12">
        <f t="shared" si="157"/>
        <v>2014</v>
      </c>
      <c r="E3334" s="13">
        <v>33.195</v>
      </c>
      <c r="F3334" s="13" t="str">
        <f t="shared" si="158"/>
        <v/>
      </c>
    </row>
    <row r="3335" spans="1:6" x14ac:dyDescent="0.25">
      <c r="A3335" s="10">
        <v>41645</v>
      </c>
      <c r="B3335" s="12">
        <f t="shared" si="156"/>
        <v>1</v>
      </c>
      <c r="C3335" s="12">
        <f t="shared" si="157"/>
        <v>2014</v>
      </c>
      <c r="E3335" s="13">
        <v>33.204999999999998</v>
      </c>
      <c r="F3335" s="13" t="str">
        <f t="shared" si="158"/>
        <v/>
      </c>
    </row>
    <row r="3336" spans="1:6" x14ac:dyDescent="0.25">
      <c r="A3336" s="10">
        <v>41646</v>
      </c>
      <c r="B3336" s="12">
        <f t="shared" si="156"/>
        <v>1</v>
      </c>
      <c r="C3336" s="12">
        <f t="shared" si="157"/>
        <v>2014</v>
      </c>
      <c r="E3336" s="13">
        <v>33.134999999999998</v>
      </c>
      <c r="F3336" s="13" t="str">
        <f t="shared" si="158"/>
        <v/>
      </c>
    </row>
    <row r="3337" spans="1:6" x14ac:dyDescent="0.25">
      <c r="A3337" s="10">
        <v>41647</v>
      </c>
      <c r="B3337" s="12">
        <f t="shared" si="156"/>
        <v>1</v>
      </c>
      <c r="C3337" s="12">
        <f t="shared" si="157"/>
        <v>2014</v>
      </c>
      <c r="E3337" s="13">
        <v>33.171999999999997</v>
      </c>
      <c r="F3337" s="13" t="str">
        <f t="shared" si="158"/>
        <v/>
      </c>
    </row>
    <row r="3338" spans="1:6" x14ac:dyDescent="0.25">
      <c r="A3338" s="10">
        <v>41648</v>
      </c>
      <c r="B3338" s="12">
        <f t="shared" si="156"/>
        <v>1</v>
      </c>
      <c r="C3338" s="12">
        <f t="shared" si="157"/>
        <v>2014</v>
      </c>
      <c r="E3338" s="13">
        <v>33.2027</v>
      </c>
      <c r="F3338" s="13" t="str">
        <f t="shared" si="158"/>
        <v/>
      </c>
    </row>
    <row r="3339" spans="1:6" x14ac:dyDescent="0.25">
      <c r="A3339" s="10">
        <v>41649</v>
      </c>
      <c r="B3339" s="12">
        <f t="shared" si="156"/>
        <v>1</v>
      </c>
      <c r="C3339" s="12">
        <f t="shared" si="157"/>
        <v>2014</v>
      </c>
      <c r="E3339" s="13">
        <v>32.987000000000002</v>
      </c>
      <c r="F3339" s="13" t="str">
        <f t="shared" si="158"/>
        <v/>
      </c>
    </row>
    <row r="3340" spans="1:6" x14ac:dyDescent="0.25">
      <c r="A3340" s="10">
        <v>41652</v>
      </c>
      <c r="B3340" s="12">
        <f t="shared" si="156"/>
        <v>1</v>
      </c>
      <c r="C3340" s="12">
        <f t="shared" si="157"/>
        <v>2014</v>
      </c>
      <c r="D3340" s="13">
        <v>11500</v>
      </c>
      <c r="E3340" s="13">
        <v>33.272500000000001</v>
      </c>
      <c r="F3340" s="13">
        <f t="shared" si="158"/>
        <v>345.63077616650384</v>
      </c>
    </row>
    <row r="3341" spans="1:6" x14ac:dyDescent="0.25">
      <c r="A3341" s="10">
        <v>41653</v>
      </c>
      <c r="B3341" s="12">
        <f t="shared" si="156"/>
        <v>1</v>
      </c>
      <c r="C3341" s="12">
        <f t="shared" si="157"/>
        <v>2014</v>
      </c>
      <c r="D3341" s="13">
        <v>11500</v>
      </c>
      <c r="E3341" s="13">
        <v>33.302500000000002</v>
      </c>
      <c r="F3341" s="13">
        <f t="shared" si="158"/>
        <v>345.31942046392913</v>
      </c>
    </row>
    <row r="3342" spans="1:6" x14ac:dyDescent="0.25">
      <c r="A3342" s="10">
        <v>41654</v>
      </c>
      <c r="B3342" s="12">
        <f t="shared" si="156"/>
        <v>1</v>
      </c>
      <c r="C3342" s="12">
        <f t="shared" si="157"/>
        <v>2014</v>
      </c>
      <c r="D3342" s="13">
        <v>11500</v>
      </c>
      <c r="E3342" s="13">
        <v>33.3825</v>
      </c>
      <c r="F3342" s="13">
        <f t="shared" si="158"/>
        <v>344.49187448513442</v>
      </c>
    </row>
    <row r="3343" spans="1:6" x14ac:dyDescent="0.25">
      <c r="A3343" s="10">
        <v>41655</v>
      </c>
      <c r="B3343" s="12">
        <f t="shared" si="156"/>
        <v>1</v>
      </c>
      <c r="C3343" s="12">
        <f t="shared" si="157"/>
        <v>2014</v>
      </c>
      <c r="D3343" s="13">
        <v>11500</v>
      </c>
      <c r="E3343" s="13">
        <v>33.406399999999998</v>
      </c>
      <c r="F3343" s="13">
        <f t="shared" si="158"/>
        <v>344.24541405239717</v>
      </c>
    </row>
    <row r="3344" spans="1:6" x14ac:dyDescent="0.25">
      <c r="A3344" s="10">
        <v>41656</v>
      </c>
      <c r="B3344" s="12">
        <f t="shared" si="156"/>
        <v>1</v>
      </c>
      <c r="C3344" s="12">
        <f t="shared" si="157"/>
        <v>2014</v>
      </c>
      <c r="D3344" s="13">
        <v>11500</v>
      </c>
      <c r="E3344" s="13">
        <v>33.6</v>
      </c>
      <c r="F3344" s="13">
        <f t="shared" si="158"/>
        <v>342.26190476190476</v>
      </c>
    </row>
    <row r="3345" spans="1:6" x14ac:dyDescent="0.25">
      <c r="A3345" s="10">
        <v>41660</v>
      </c>
      <c r="B3345" s="12">
        <f t="shared" si="156"/>
        <v>1</v>
      </c>
      <c r="C3345" s="12">
        <f t="shared" si="157"/>
        <v>2014</v>
      </c>
      <c r="D3345" s="13">
        <v>11100</v>
      </c>
      <c r="E3345" s="13">
        <v>33.972499999999997</v>
      </c>
      <c r="F3345" s="13">
        <f t="shared" si="158"/>
        <v>326.73485907719481</v>
      </c>
    </row>
    <row r="3346" spans="1:6" x14ac:dyDescent="0.25">
      <c r="A3346" s="10">
        <v>41661</v>
      </c>
      <c r="B3346" s="12">
        <f t="shared" si="156"/>
        <v>1</v>
      </c>
      <c r="C3346" s="12">
        <f t="shared" si="157"/>
        <v>2014</v>
      </c>
      <c r="D3346" s="13">
        <v>11100</v>
      </c>
      <c r="E3346" s="13">
        <v>33.93</v>
      </c>
      <c r="F3346" s="13">
        <f t="shared" si="158"/>
        <v>327.14412024756854</v>
      </c>
    </row>
    <row r="3347" spans="1:6" x14ac:dyDescent="0.25">
      <c r="A3347" s="10">
        <v>41662</v>
      </c>
      <c r="B3347" s="12">
        <f t="shared" si="156"/>
        <v>1</v>
      </c>
      <c r="C3347" s="12">
        <f t="shared" si="157"/>
        <v>2014</v>
      </c>
      <c r="D3347" s="13">
        <v>11100</v>
      </c>
      <c r="E3347" s="13">
        <v>34.137500000000003</v>
      </c>
      <c r="F3347" s="13">
        <f t="shared" si="158"/>
        <v>325.15562065177591</v>
      </c>
    </row>
    <row r="3348" spans="1:6" x14ac:dyDescent="0.25">
      <c r="A3348" s="10">
        <v>41663</v>
      </c>
      <c r="B3348" s="12">
        <f t="shared" si="156"/>
        <v>1</v>
      </c>
      <c r="C3348" s="12">
        <f t="shared" si="157"/>
        <v>2014</v>
      </c>
      <c r="D3348" s="13">
        <v>11100</v>
      </c>
      <c r="E3348" s="13">
        <v>34.494999999999997</v>
      </c>
      <c r="F3348" s="13">
        <f t="shared" si="158"/>
        <v>321.78576605305119</v>
      </c>
    </row>
    <row r="3349" spans="1:6" x14ac:dyDescent="0.25">
      <c r="A3349" s="10">
        <v>41666</v>
      </c>
      <c r="B3349" s="12">
        <f t="shared" si="156"/>
        <v>1</v>
      </c>
      <c r="C3349" s="12">
        <f t="shared" si="157"/>
        <v>2014</v>
      </c>
      <c r="D3349" s="13">
        <v>11000</v>
      </c>
      <c r="E3349" s="13">
        <v>34.683500000000002</v>
      </c>
      <c r="F3349" s="13">
        <f t="shared" si="158"/>
        <v>317.15368979485919</v>
      </c>
    </row>
    <row r="3350" spans="1:6" x14ac:dyDescent="0.25">
      <c r="A3350" s="10">
        <v>41667</v>
      </c>
      <c r="B3350" s="12">
        <f t="shared" si="156"/>
        <v>1</v>
      </c>
      <c r="C3350" s="12">
        <f t="shared" si="157"/>
        <v>2014</v>
      </c>
      <c r="D3350" s="13">
        <v>11000</v>
      </c>
      <c r="E3350" s="13">
        <v>34.772500000000001</v>
      </c>
      <c r="F3350" s="13">
        <f t="shared" si="158"/>
        <v>316.34193687540443</v>
      </c>
    </row>
    <row r="3351" spans="1:6" x14ac:dyDescent="0.25">
      <c r="A3351" s="10">
        <v>41668</v>
      </c>
      <c r="B3351" s="12">
        <f t="shared" si="156"/>
        <v>1</v>
      </c>
      <c r="C3351" s="12">
        <f t="shared" si="157"/>
        <v>2014</v>
      </c>
      <c r="D3351" s="13">
        <v>11000</v>
      </c>
      <c r="E3351" s="13">
        <v>35.081099999999999</v>
      </c>
      <c r="F3351" s="13">
        <f t="shared" si="158"/>
        <v>313.55915293420105</v>
      </c>
    </row>
    <row r="3352" spans="1:6" x14ac:dyDescent="0.25">
      <c r="A3352" s="10">
        <v>41669</v>
      </c>
      <c r="B3352" s="12">
        <f t="shared" si="156"/>
        <v>1</v>
      </c>
      <c r="C3352" s="12">
        <f t="shared" si="157"/>
        <v>2014</v>
      </c>
      <c r="D3352" s="13">
        <v>11000</v>
      </c>
      <c r="E3352" s="13">
        <v>34.914999999999999</v>
      </c>
      <c r="F3352" s="13">
        <f t="shared" si="158"/>
        <v>315.05083774881859</v>
      </c>
    </row>
    <row r="3353" spans="1:6" x14ac:dyDescent="0.25">
      <c r="A3353" s="10">
        <v>41670</v>
      </c>
      <c r="B3353" s="12">
        <f t="shared" si="156"/>
        <v>1</v>
      </c>
      <c r="C3353" s="12">
        <f t="shared" si="157"/>
        <v>2014</v>
      </c>
      <c r="D3353" s="13">
        <v>11000</v>
      </c>
      <c r="E3353" s="13">
        <v>35.166200000000003</v>
      </c>
      <c r="F3353" s="13">
        <f t="shared" si="158"/>
        <v>312.80035943604935</v>
      </c>
    </row>
    <row r="3354" spans="1:6" x14ac:dyDescent="0.25">
      <c r="A3354" s="10">
        <v>41673</v>
      </c>
      <c r="B3354" s="12">
        <f t="shared" si="156"/>
        <v>2</v>
      </c>
      <c r="C3354" s="12">
        <f t="shared" si="157"/>
        <v>2014</v>
      </c>
      <c r="D3354" s="13">
        <v>11100</v>
      </c>
      <c r="E3354" s="13">
        <v>35.44</v>
      </c>
      <c r="F3354" s="13">
        <f t="shared" si="158"/>
        <v>313.20541760722352</v>
      </c>
    </row>
    <row r="3355" spans="1:6" x14ac:dyDescent="0.25">
      <c r="A3355" s="10">
        <v>41674</v>
      </c>
      <c r="B3355" s="12">
        <f t="shared" si="156"/>
        <v>2</v>
      </c>
      <c r="C3355" s="12">
        <f t="shared" si="157"/>
        <v>2014</v>
      </c>
      <c r="D3355" s="13">
        <v>11100</v>
      </c>
      <c r="E3355" s="13">
        <v>35.01</v>
      </c>
      <c r="F3355" s="13">
        <f t="shared" si="158"/>
        <v>317.05227077977725</v>
      </c>
    </row>
    <row r="3356" spans="1:6" x14ac:dyDescent="0.25">
      <c r="A3356" s="10">
        <v>41675</v>
      </c>
      <c r="B3356" s="12">
        <f t="shared" si="156"/>
        <v>2</v>
      </c>
      <c r="C3356" s="12">
        <f t="shared" si="157"/>
        <v>2014</v>
      </c>
      <c r="D3356" s="13">
        <v>11100</v>
      </c>
      <c r="E3356" s="13">
        <v>34.86</v>
      </c>
      <c r="F3356" s="13">
        <f t="shared" si="158"/>
        <v>318.41652323580035</v>
      </c>
    </row>
    <row r="3357" spans="1:6" x14ac:dyDescent="0.25">
      <c r="A3357" s="10">
        <v>41676</v>
      </c>
      <c r="B3357" s="12">
        <f t="shared" si="156"/>
        <v>2</v>
      </c>
      <c r="C3357" s="12">
        <f t="shared" si="157"/>
        <v>2014</v>
      </c>
      <c r="D3357" s="13">
        <v>11100</v>
      </c>
      <c r="E3357" s="13">
        <v>34.715000000000003</v>
      </c>
      <c r="F3357" s="13">
        <f t="shared" si="158"/>
        <v>319.74650727351286</v>
      </c>
    </row>
    <row r="3358" spans="1:6" x14ac:dyDescent="0.25">
      <c r="A3358" s="10">
        <v>41677</v>
      </c>
      <c r="B3358" s="12">
        <f t="shared" si="156"/>
        <v>2</v>
      </c>
      <c r="C3358" s="12">
        <f t="shared" si="157"/>
        <v>2014</v>
      </c>
      <c r="D3358" s="13">
        <v>11100</v>
      </c>
      <c r="E3358" s="13">
        <v>34.737499999999997</v>
      </c>
      <c r="F3358" s="13">
        <f t="shared" si="158"/>
        <v>319.53940266282837</v>
      </c>
    </row>
    <row r="3359" spans="1:6" x14ac:dyDescent="0.25">
      <c r="A3359" s="10">
        <v>41680</v>
      </c>
      <c r="B3359" s="12">
        <f t="shared" si="156"/>
        <v>2</v>
      </c>
      <c r="C3359" s="12">
        <f t="shared" si="157"/>
        <v>2014</v>
      </c>
      <c r="E3359" s="13">
        <v>34.734999999999999</v>
      </c>
      <c r="F3359" s="13" t="str">
        <f t="shared" si="158"/>
        <v/>
      </c>
    </row>
    <row r="3360" spans="1:6" x14ac:dyDescent="0.25">
      <c r="A3360" s="10">
        <v>41681</v>
      </c>
      <c r="B3360" s="12">
        <f t="shared" si="156"/>
        <v>2</v>
      </c>
      <c r="C3360" s="12">
        <f t="shared" si="157"/>
        <v>2014</v>
      </c>
      <c r="E3360" s="13">
        <v>34.727499999999999</v>
      </c>
      <c r="F3360" s="13" t="str">
        <f t="shared" si="158"/>
        <v/>
      </c>
    </row>
    <row r="3361" spans="1:6" x14ac:dyDescent="0.25">
      <c r="A3361" s="10">
        <v>41682</v>
      </c>
      <c r="B3361" s="12">
        <f t="shared" si="156"/>
        <v>2</v>
      </c>
      <c r="C3361" s="12">
        <f t="shared" si="157"/>
        <v>2014</v>
      </c>
      <c r="E3361" s="13">
        <v>34.818600000000004</v>
      </c>
      <c r="F3361" s="13" t="str">
        <f t="shared" si="158"/>
        <v/>
      </c>
    </row>
    <row r="3362" spans="1:6" x14ac:dyDescent="0.25">
      <c r="A3362" s="10">
        <v>41683</v>
      </c>
      <c r="B3362" s="12">
        <f t="shared" si="156"/>
        <v>2</v>
      </c>
      <c r="C3362" s="12">
        <f t="shared" si="157"/>
        <v>2014</v>
      </c>
      <c r="E3362" s="13">
        <v>35.067500000000003</v>
      </c>
      <c r="F3362" s="13" t="str">
        <f t="shared" si="158"/>
        <v/>
      </c>
    </row>
    <row r="3363" spans="1:6" x14ac:dyDescent="0.25">
      <c r="A3363" s="10">
        <v>41684</v>
      </c>
      <c r="B3363" s="12">
        <f t="shared" si="156"/>
        <v>2</v>
      </c>
      <c r="C3363" s="12">
        <f t="shared" si="157"/>
        <v>2014</v>
      </c>
      <c r="E3363" s="13">
        <v>35.104999999999997</v>
      </c>
      <c r="F3363" s="13" t="str">
        <f t="shared" si="158"/>
        <v/>
      </c>
    </row>
    <row r="3364" spans="1:6" x14ac:dyDescent="0.25">
      <c r="A3364" s="10">
        <v>41688</v>
      </c>
      <c r="B3364" s="12">
        <f t="shared" si="156"/>
        <v>2</v>
      </c>
      <c r="C3364" s="12">
        <f t="shared" si="157"/>
        <v>2014</v>
      </c>
      <c r="D3364" s="13">
        <v>11600</v>
      </c>
      <c r="E3364" s="13">
        <v>35.445</v>
      </c>
      <c r="F3364" s="13">
        <f t="shared" si="158"/>
        <v>327.26759768655666</v>
      </c>
    </row>
    <row r="3365" spans="1:6" x14ac:dyDescent="0.25">
      <c r="A3365" s="10">
        <v>41689</v>
      </c>
      <c r="B3365" s="12">
        <f t="shared" si="156"/>
        <v>2</v>
      </c>
      <c r="C3365" s="12">
        <f t="shared" si="157"/>
        <v>2014</v>
      </c>
      <c r="D3365" s="13">
        <v>11600</v>
      </c>
      <c r="E3365" s="13">
        <v>35.772500000000001</v>
      </c>
      <c r="F3365" s="13">
        <f t="shared" si="158"/>
        <v>324.27143755678242</v>
      </c>
    </row>
    <row r="3366" spans="1:6" x14ac:dyDescent="0.25">
      <c r="A3366" s="10">
        <v>41690</v>
      </c>
      <c r="B3366" s="12">
        <f t="shared" si="156"/>
        <v>2</v>
      </c>
      <c r="C3366" s="12">
        <f t="shared" si="157"/>
        <v>2014</v>
      </c>
      <c r="D3366" s="13">
        <v>11600</v>
      </c>
      <c r="E3366" s="13">
        <v>35.750500000000002</v>
      </c>
      <c r="F3366" s="13">
        <f t="shared" si="158"/>
        <v>324.47098641977033</v>
      </c>
    </row>
    <row r="3367" spans="1:6" x14ac:dyDescent="0.25">
      <c r="A3367" s="10">
        <v>41691</v>
      </c>
      <c r="B3367" s="12">
        <f t="shared" si="156"/>
        <v>2</v>
      </c>
      <c r="C3367" s="12">
        <f t="shared" si="157"/>
        <v>2014</v>
      </c>
      <c r="D3367" s="13">
        <v>11600</v>
      </c>
      <c r="E3367" s="13">
        <v>35.494999999999997</v>
      </c>
      <c r="F3367" s="13">
        <f t="shared" si="158"/>
        <v>326.80659247781381</v>
      </c>
    </row>
    <row r="3368" spans="1:6" x14ac:dyDescent="0.25">
      <c r="A3368" s="10">
        <v>41694</v>
      </c>
      <c r="B3368" s="12">
        <f t="shared" si="156"/>
        <v>2</v>
      </c>
      <c r="C3368" s="12">
        <f t="shared" si="157"/>
        <v>2014</v>
      </c>
      <c r="D3368" s="13">
        <v>12000</v>
      </c>
      <c r="E3368" s="13">
        <v>35.517499999999998</v>
      </c>
      <c r="F3368" s="13">
        <f t="shared" si="158"/>
        <v>337.86161751249386</v>
      </c>
    </row>
    <row r="3369" spans="1:6" x14ac:dyDescent="0.25">
      <c r="A3369" s="10">
        <v>41695</v>
      </c>
      <c r="B3369" s="12">
        <f t="shared" si="156"/>
        <v>2</v>
      </c>
      <c r="C3369" s="12">
        <f t="shared" si="157"/>
        <v>2014</v>
      </c>
      <c r="D3369" s="13">
        <v>12000</v>
      </c>
      <c r="E3369" s="13">
        <v>35.727499999999999</v>
      </c>
      <c r="F3369" s="13">
        <f t="shared" si="158"/>
        <v>335.87572598138689</v>
      </c>
    </row>
    <row r="3370" spans="1:6" x14ac:dyDescent="0.25">
      <c r="A3370" s="10">
        <v>41696</v>
      </c>
      <c r="B3370" s="12">
        <f t="shared" si="156"/>
        <v>2</v>
      </c>
      <c r="C3370" s="12">
        <f t="shared" si="157"/>
        <v>2014</v>
      </c>
      <c r="D3370" s="13">
        <v>12000</v>
      </c>
      <c r="E3370" s="13">
        <v>36.024999999999999</v>
      </c>
      <c r="F3370" s="13">
        <f t="shared" si="158"/>
        <v>333.10201249132547</v>
      </c>
    </row>
    <row r="3371" spans="1:6" x14ac:dyDescent="0.25">
      <c r="A3371" s="10">
        <v>41697</v>
      </c>
      <c r="B3371" s="12">
        <f t="shared" si="156"/>
        <v>2</v>
      </c>
      <c r="C3371" s="12">
        <f t="shared" si="157"/>
        <v>2014</v>
      </c>
      <c r="D3371" s="13">
        <v>12000</v>
      </c>
      <c r="E3371" s="13">
        <v>36.005000000000003</v>
      </c>
      <c r="F3371" s="13">
        <f t="shared" si="158"/>
        <v>333.28704346618525</v>
      </c>
    </row>
    <row r="3372" spans="1:6" x14ac:dyDescent="0.25">
      <c r="A3372" s="10">
        <v>41698</v>
      </c>
      <c r="B3372" s="12">
        <f t="shared" si="156"/>
        <v>2</v>
      </c>
      <c r="C3372" s="12">
        <f t="shared" si="157"/>
        <v>2014</v>
      </c>
      <c r="D3372" s="13">
        <v>12000</v>
      </c>
      <c r="E3372" s="13">
        <v>36.045000000000002</v>
      </c>
      <c r="F3372" s="13">
        <f t="shared" si="158"/>
        <v>332.9171868497711</v>
      </c>
    </row>
    <row r="3373" spans="1:6" x14ac:dyDescent="0.25">
      <c r="A3373" s="10">
        <v>41701</v>
      </c>
      <c r="B3373" s="12">
        <f t="shared" si="156"/>
        <v>3</v>
      </c>
      <c r="C3373" s="12">
        <f t="shared" si="157"/>
        <v>2014</v>
      </c>
      <c r="D3373" s="13">
        <v>12400</v>
      </c>
      <c r="E3373" s="13">
        <v>36.517499999999998</v>
      </c>
      <c r="F3373" s="13">
        <f t="shared" si="158"/>
        <v>339.56322311220651</v>
      </c>
    </row>
    <row r="3374" spans="1:6" x14ac:dyDescent="0.25">
      <c r="A3374" s="10">
        <v>41702</v>
      </c>
      <c r="B3374" s="12">
        <f t="shared" si="156"/>
        <v>3</v>
      </c>
      <c r="C3374" s="12">
        <f t="shared" si="157"/>
        <v>2014</v>
      </c>
      <c r="D3374" s="13">
        <v>12400</v>
      </c>
      <c r="E3374" s="13">
        <v>36.08</v>
      </c>
      <c r="F3374" s="13">
        <f t="shared" si="158"/>
        <v>343.68070953436808</v>
      </c>
    </row>
    <row r="3375" spans="1:6" x14ac:dyDescent="0.25">
      <c r="A3375" s="10">
        <v>41703</v>
      </c>
      <c r="B3375" s="12">
        <f t="shared" si="156"/>
        <v>3</v>
      </c>
      <c r="C3375" s="12">
        <f t="shared" si="157"/>
        <v>2014</v>
      </c>
      <c r="D3375" s="13">
        <v>12400</v>
      </c>
      <c r="E3375" s="13">
        <v>36.03</v>
      </c>
      <c r="F3375" s="13">
        <f t="shared" si="158"/>
        <v>344.15764640577294</v>
      </c>
    </row>
    <row r="3376" spans="1:6" x14ac:dyDescent="0.25">
      <c r="A3376" s="10">
        <v>41704</v>
      </c>
      <c r="B3376" s="12">
        <f t="shared" si="156"/>
        <v>3</v>
      </c>
      <c r="C3376" s="12">
        <f t="shared" si="157"/>
        <v>2014</v>
      </c>
      <c r="D3376" s="13">
        <v>12400</v>
      </c>
      <c r="E3376" s="13">
        <v>36.122999999999998</v>
      </c>
      <c r="F3376" s="13">
        <f t="shared" si="158"/>
        <v>343.2715998117543</v>
      </c>
    </row>
    <row r="3377" spans="1:6" x14ac:dyDescent="0.25">
      <c r="A3377" s="10">
        <v>41705</v>
      </c>
      <c r="B3377" s="12">
        <f t="shared" si="156"/>
        <v>3</v>
      </c>
      <c r="C3377" s="12">
        <f t="shared" si="157"/>
        <v>2014</v>
      </c>
      <c r="D3377" s="13">
        <v>12400</v>
      </c>
      <c r="E3377" s="13">
        <v>36.372500000000002</v>
      </c>
      <c r="F3377" s="13">
        <f t="shared" si="158"/>
        <v>340.91690150525807</v>
      </c>
    </row>
    <row r="3378" spans="1:6" x14ac:dyDescent="0.25">
      <c r="A3378" s="10">
        <v>41708</v>
      </c>
      <c r="B3378" s="12">
        <f t="shared" si="156"/>
        <v>3</v>
      </c>
      <c r="C3378" s="12">
        <f t="shared" si="157"/>
        <v>2014</v>
      </c>
      <c r="D3378" s="13">
        <v>12650</v>
      </c>
      <c r="E3378" s="13">
        <v>36.372500000000002</v>
      </c>
      <c r="F3378" s="13">
        <f t="shared" si="158"/>
        <v>347.79022613238021</v>
      </c>
    </row>
    <row r="3379" spans="1:6" x14ac:dyDescent="0.25">
      <c r="A3379" s="10">
        <v>41709</v>
      </c>
      <c r="B3379" s="12">
        <f t="shared" si="156"/>
        <v>3</v>
      </c>
      <c r="C3379" s="12">
        <f t="shared" si="157"/>
        <v>2014</v>
      </c>
      <c r="D3379" s="13">
        <v>12650</v>
      </c>
      <c r="E3379" s="13">
        <v>36.44</v>
      </c>
      <c r="F3379" s="13">
        <f t="shared" si="158"/>
        <v>347.14599341383098</v>
      </c>
    </row>
    <row r="3380" spans="1:6" x14ac:dyDescent="0.25">
      <c r="A3380" s="10">
        <v>41710</v>
      </c>
      <c r="B3380" s="12">
        <f t="shared" si="156"/>
        <v>3</v>
      </c>
      <c r="C3380" s="12">
        <f t="shared" si="157"/>
        <v>2014</v>
      </c>
      <c r="D3380" s="13">
        <v>12650</v>
      </c>
      <c r="E3380" s="13">
        <v>36.465000000000003</v>
      </c>
      <c r="F3380" s="13">
        <f t="shared" si="158"/>
        <v>346.90799396681746</v>
      </c>
    </row>
    <row r="3381" spans="1:6" x14ac:dyDescent="0.25">
      <c r="A3381" s="10">
        <v>41711</v>
      </c>
      <c r="B3381" s="12">
        <f t="shared" si="156"/>
        <v>3</v>
      </c>
      <c r="C3381" s="12">
        <f t="shared" si="157"/>
        <v>2014</v>
      </c>
      <c r="D3381" s="13">
        <v>12650</v>
      </c>
      <c r="E3381" s="13">
        <v>36.572499999999998</v>
      </c>
      <c r="F3381" s="13">
        <f t="shared" si="158"/>
        <v>345.88830405359221</v>
      </c>
    </row>
    <row r="3382" spans="1:6" x14ac:dyDescent="0.25">
      <c r="A3382" s="10">
        <v>41712</v>
      </c>
      <c r="B3382" s="12">
        <f t="shared" si="156"/>
        <v>3</v>
      </c>
      <c r="C3382" s="12">
        <f t="shared" si="157"/>
        <v>2014</v>
      </c>
      <c r="D3382" s="13">
        <v>12650</v>
      </c>
      <c r="E3382" s="13">
        <v>36.56</v>
      </c>
      <c r="F3382" s="13">
        <f t="shared" si="158"/>
        <v>346.00656455142229</v>
      </c>
    </row>
    <row r="3383" spans="1:6" x14ac:dyDescent="0.25">
      <c r="A3383" s="10">
        <v>41715</v>
      </c>
      <c r="B3383" s="12">
        <f t="shared" si="156"/>
        <v>3</v>
      </c>
      <c r="C3383" s="12">
        <f t="shared" si="157"/>
        <v>2014</v>
      </c>
      <c r="D3383" s="13">
        <v>13000</v>
      </c>
      <c r="E3383" s="13">
        <v>36.274999999999999</v>
      </c>
      <c r="F3383" s="13">
        <f t="shared" si="158"/>
        <v>358.37353549276361</v>
      </c>
    </row>
    <row r="3384" spans="1:6" x14ac:dyDescent="0.25">
      <c r="A3384" s="10">
        <v>41716</v>
      </c>
      <c r="B3384" s="12">
        <f t="shared" si="156"/>
        <v>3</v>
      </c>
      <c r="C3384" s="12">
        <f t="shared" si="157"/>
        <v>2014</v>
      </c>
      <c r="D3384" s="13">
        <v>13000</v>
      </c>
      <c r="E3384" s="13">
        <v>36.229999999999997</v>
      </c>
      <c r="F3384" s="13">
        <f t="shared" si="158"/>
        <v>358.8186585702457</v>
      </c>
    </row>
    <row r="3385" spans="1:6" x14ac:dyDescent="0.25">
      <c r="A3385" s="10">
        <v>41717</v>
      </c>
      <c r="B3385" s="12">
        <f t="shared" si="156"/>
        <v>3</v>
      </c>
      <c r="C3385" s="12">
        <f t="shared" si="157"/>
        <v>2014</v>
      </c>
      <c r="D3385" s="13">
        <v>13000</v>
      </c>
      <c r="E3385" s="13">
        <v>36.171700000000001</v>
      </c>
      <c r="F3385" s="13">
        <f t="shared" si="158"/>
        <v>359.39698714741081</v>
      </c>
    </row>
    <row r="3386" spans="1:6" x14ac:dyDescent="0.25">
      <c r="A3386" s="10">
        <v>41718</v>
      </c>
      <c r="B3386" s="12">
        <f t="shared" si="156"/>
        <v>3</v>
      </c>
      <c r="C3386" s="12">
        <f t="shared" si="157"/>
        <v>2014</v>
      </c>
      <c r="D3386" s="13">
        <v>13000</v>
      </c>
      <c r="E3386" s="13">
        <v>36.377499999999998</v>
      </c>
      <c r="F3386" s="13">
        <f t="shared" si="158"/>
        <v>357.36375506838021</v>
      </c>
    </row>
    <row r="3387" spans="1:6" x14ac:dyDescent="0.25">
      <c r="A3387" s="10">
        <v>41719</v>
      </c>
      <c r="B3387" s="12">
        <f t="shared" si="156"/>
        <v>3</v>
      </c>
      <c r="C3387" s="12">
        <f t="shared" si="157"/>
        <v>2014</v>
      </c>
      <c r="D3387" s="13">
        <v>13000</v>
      </c>
      <c r="E3387" s="13">
        <v>36.232999999999997</v>
      </c>
      <c r="F3387" s="13">
        <f t="shared" si="158"/>
        <v>358.78894930036159</v>
      </c>
    </row>
    <row r="3388" spans="1:6" x14ac:dyDescent="0.25">
      <c r="A3388" s="10">
        <v>41722</v>
      </c>
      <c r="B3388" s="12">
        <f t="shared" si="156"/>
        <v>3</v>
      </c>
      <c r="C3388" s="12">
        <f t="shared" si="157"/>
        <v>2014</v>
      </c>
      <c r="D3388" s="13">
        <v>13500</v>
      </c>
      <c r="E3388" s="13">
        <v>36.08</v>
      </c>
      <c r="F3388" s="13">
        <f t="shared" si="158"/>
        <v>374.16851441241687</v>
      </c>
    </row>
    <row r="3389" spans="1:6" x14ac:dyDescent="0.25">
      <c r="A3389" s="10">
        <v>41723</v>
      </c>
      <c r="B3389" s="12">
        <f t="shared" si="156"/>
        <v>3</v>
      </c>
      <c r="C3389" s="12">
        <f t="shared" si="157"/>
        <v>2014</v>
      </c>
      <c r="D3389" s="13">
        <v>13500</v>
      </c>
      <c r="E3389" s="13">
        <v>35.482500000000002</v>
      </c>
      <c r="F3389" s="13">
        <f t="shared" si="158"/>
        <v>380.46924540266326</v>
      </c>
    </row>
    <row r="3390" spans="1:6" x14ac:dyDescent="0.25">
      <c r="A3390" s="10">
        <v>41724</v>
      </c>
      <c r="B3390" s="12">
        <f t="shared" si="156"/>
        <v>3</v>
      </c>
      <c r="C3390" s="12">
        <f t="shared" si="157"/>
        <v>2014</v>
      </c>
      <c r="D3390" s="13">
        <v>13500</v>
      </c>
      <c r="E3390" s="13">
        <v>35.53</v>
      </c>
      <c r="F3390" s="13">
        <f t="shared" si="158"/>
        <v>379.96059667886294</v>
      </c>
    </row>
    <row r="3391" spans="1:6" x14ac:dyDescent="0.25">
      <c r="A3391" s="10">
        <v>41725</v>
      </c>
      <c r="B3391" s="12">
        <f t="shared" si="156"/>
        <v>3</v>
      </c>
      <c r="C3391" s="12">
        <f t="shared" si="157"/>
        <v>2014</v>
      </c>
      <c r="D3391" s="13">
        <v>13500</v>
      </c>
      <c r="E3391" s="13">
        <v>35.602499999999999</v>
      </c>
      <c r="F3391" s="13">
        <f t="shared" si="158"/>
        <v>379.18685485569836</v>
      </c>
    </row>
    <row r="3392" spans="1:6" x14ac:dyDescent="0.25">
      <c r="A3392" s="10">
        <v>41726</v>
      </c>
      <c r="B3392" s="12">
        <f t="shared" si="156"/>
        <v>3</v>
      </c>
      <c r="C3392" s="12">
        <f t="shared" si="157"/>
        <v>2014</v>
      </c>
      <c r="D3392" s="13">
        <v>13500</v>
      </c>
      <c r="E3392" s="13">
        <v>35.792499999999997</v>
      </c>
      <c r="F3392" s="13">
        <f t="shared" si="158"/>
        <v>377.17398896416853</v>
      </c>
    </row>
    <row r="3393" spans="1:6" x14ac:dyDescent="0.25">
      <c r="A3393" s="10">
        <v>41729</v>
      </c>
      <c r="B3393" s="12">
        <f t="shared" si="156"/>
        <v>3</v>
      </c>
      <c r="C3393" s="12">
        <f t="shared" si="157"/>
        <v>2014</v>
      </c>
      <c r="D3393" s="13">
        <v>13700</v>
      </c>
      <c r="E3393" s="13">
        <v>35.032499999999999</v>
      </c>
      <c r="F3393" s="13">
        <f t="shared" si="158"/>
        <v>391.06543923499606</v>
      </c>
    </row>
    <row r="3394" spans="1:6" x14ac:dyDescent="0.25">
      <c r="A3394" s="10">
        <v>41730</v>
      </c>
      <c r="B3394" s="12">
        <f t="shared" si="156"/>
        <v>4</v>
      </c>
      <c r="C3394" s="12">
        <f t="shared" si="157"/>
        <v>2014</v>
      </c>
      <c r="D3394" s="13">
        <v>13700</v>
      </c>
      <c r="E3394" s="13">
        <v>35.037500000000001</v>
      </c>
      <c r="F3394" s="13">
        <f t="shared" si="158"/>
        <v>391.00963253656795</v>
      </c>
    </row>
    <row r="3395" spans="1:6" x14ac:dyDescent="0.25">
      <c r="A3395" s="10">
        <v>41731</v>
      </c>
      <c r="B3395" s="12">
        <f t="shared" ref="B3395:B3458" si="159">MONTH(A3395)</f>
        <v>4</v>
      </c>
      <c r="C3395" s="12">
        <f t="shared" ref="C3395:C3458" si="160">YEAR(A3395)</f>
        <v>2014</v>
      </c>
      <c r="D3395" s="13">
        <v>13700</v>
      </c>
      <c r="E3395" s="13">
        <v>35.4375</v>
      </c>
      <c r="F3395" s="13">
        <f t="shared" ref="F3395:F3458" si="161">IF(D3395="","",D3395/E3395)</f>
        <v>386.59611992945327</v>
      </c>
    </row>
    <row r="3396" spans="1:6" x14ac:dyDescent="0.25">
      <c r="A3396" s="10">
        <v>41732</v>
      </c>
      <c r="B3396" s="12">
        <f t="shared" si="159"/>
        <v>4</v>
      </c>
      <c r="C3396" s="12">
        <f t="shared" si="160"/>
        <v>2014</v>
      </c>
      <c r="D3396" s="13">
        <v>13700</v>
      </c>
      <c r="E3396" s="13">
        <v>35.567500000000003</v>
      </c>
      <c r="F3396" s="13">
        <f t="shared" si="161"/>
        <v>385.18310255148657</v>
      </c>
    </row>
    <row r="3397" spans="1:6" x14ac:dyDescent="0.25">
      <c r="A3397" s="10">
        <v>41733</v>
      </c>
      <c r="B3397" s="12">
        <f t="shared" si="159"/>
        <v>4</v>
      </c>
      <c r="C3397" s="12">
        <f t="shared" si="160"/>
        <v>2014</v>
      </c>
      <c r="D3397" s="13">
        <v>13700</v>
      </c>
      <c r="E3397" s="13">
        <v>35.313600000000001</v>
      </c>
      <c r="F3397" s="13">
        <f t="shared" si="161"/>
        <v>387.95251687735038</v>
      </c>
    </row>
    <row r="3398" spans="1:6" x14ac:dyDescent="0.25">
      <c r="A3398" s="10">
        <v>41736</v>
      </c>
      <c r="B3398" s="12">
        <f t="shared" si="159"/>
        <v>4</v>
      </c>
      <c r="C3398" s="12">
        <f t="shared" si="160"/>
        <v>2014</v>
      </c>
      <c r="D3398" s="13">
        <v>13700</v>
      </c>
      <c r="E3398" s="13">
        <v>35.602499999999999</v>
      </c>
      <c r="F3398" s="13">
        <f t="shared" si="161"/>
        <v>384.80443789059757</v>
      </c>
    </row>
    <row r="3399" spans="1:6" x14ac:dyDescent="0.25">
      <c r="A3399" s="10">
        <v>41737</v>
      </c>
      <c r="B3399" s="12">
        <f t="shared" si="159"/>
        <v>4</v>
      </c>
      <c r="C3399" s="12">
        <f t="shared" si="160"/>
        <v>2014</v>
      </c>
      <c r="D3399" s="13">
        <v>13700</v>
      </c>
      <c r="E3399" s="13">
        <v>35.734999999999999</v>
      </c>
      <c r="F3399" s="13">
        <f t="shared" si="161"/>
        <v>383.37764096823844</v>
      </c>
    </row>
    <row r="3400" spans="1:6" x14ac:dyDescent="0.25">
      <c r="A3400" s="10">
        <v>41738</v>
      </c>
      <c r="B3400" s="12">
        <f t="shared" si="159"/>
        <v>4</v>
      </c>
      <c r="C3400" s="12">
        <f t="shared" si="160"/>
        <v>2014</v>
      </c>
      <c r="D3400" s="13">
        <v>13700</v>
      </c>
      <c r="E3400" s="13">
        <v>35.57</v>
      </c>
      <c r="F3400" s="13">
        <f t="shared" si="161"/>
        <v>385.15603036266515</v>
      </c>
    </row>
    <row r="3401" spans="1:6" x14ac:dyDescent="0.25">
      <c r="A3401" s="10">
        <v>41739</v>
      </c>
      <c r="B3401" s="12">
        <f t="shared" si="159"/>
        <v>4</v>
      </c>
      <c r="C3401" s="12">
        <f t="shared" si="160"/>
        <v>2014</v>
      </c>
      <c r="D3401" s="13">
        <v>13700</v>
      </c>
      <c r="E3401" s="13">
        <v>35.545000000000002</v>
      </c>
      <c r="F3401" s="13">
        <f t="shared" si="161"/>
        <v>385.42692361794906</v>
      </c>
    </row>
    <row r="3402" spans="1:6" x14ac:dyDescent="0.25">
      <c r="A3402" s="10">
        <v>41740</v>
      </c>
      <c r="B3402" s="12">
        <f t="shared" si="159"/>
        <v>4</v>
      </c>
      <c r="C3402" s="12">
        <f t="shared" si="160"/>
        <v>2014</v>
      </c>
      <c r="D3402" s="13">
        <v>13700</v>
      </c>
      <c r="E3402" s="13">
        <v>35.630000000000003</v>
      </c>
      <c r="F3402" s="13">
        <f t="shared" si="161"/>
        <v>384.50743755262414</v>
      </c>
    </row>
    <row r="3403" spans="1:6" x14ac:dyDescent="0.25">
      <c r="A3403" s="10">
        <v>41743</v>
      </c>
      <c r="B3403" s="12">
        <f t="shared" si="159"/>
        <v>4</v>
      </c>
      <c r="C3403" s="12">
        <f t="shared" si="160"/>
        <v>2014</v>
      </c>
      <c r="E3403" s="13">
        <v>35.975000000000001</v>
      </c>
      <c r="F3403" s="13" t="str">
        <f t="shared" si="161"/>
        <v/>
      </c>
    </row>
    <row r="3404" spans="1:6" x14ac:dyDescent="0.25">
      <c r="A3404" s="10">
        <v>41744</v>
      </c>
      <c r="B3404" s="12">
        <f t="shared" si="159"/>
        <v>4</v>
      </c>
      <c r="C3404" s="12">
        <f t="shared" si="160"/>
        <v>2014</v>
      </c>
      <c r="E3404" s="13">
        <v>36.252499999999998</v>
      </c>
      <c r="F3404" s="13" t="str">
        <f t="shared" si="161"/>
        <v/>
      </c>
    </row>
    <row r="3405" spans="1:6" x14ac:dyDescent="0.25">
      <c r="A3405" s="10">
        <v>41745</v>
      </c>
      <c r="B3405" s="12">
        <f t="shared" si="159"/>
        <v>4</v>
      </c>
      <c r="C3405" s="12">
        <f t="shared" si="160"/>
        <v>2014</v>
      </c>
      <c r="E3405" s="13">
        <v>36.023600000000002</v>
      </c>
      <c r="F3405" s="13" t="str">
        <f t="shared" si="161"/>
        <v/>
      </c>
    </row>
    <row r="3406" spans="1:6" x14ac:dyDescent="0.25">
      <c r="A3406" s="10">
        <v>41746</v>
      </c>
      <c r="B3406" s="12">
        <f t="shared" si="159"/>
        <v>4</v>
      </c>
      <c r="C3406" s="12">
        <f t="shared" si="160"/>
        <v>2014</v>
      </c>
      <c r="E3406" s="13">
        <v>35.4375</v>
      </c>
      <c r="F3406" s="13" t="str">
        <f t="shared" si="161"/>
        <v/>
      </c>
    </row>
    <row r="3407" spans="1:6" x14ac:dyDescent="0.25">
      <c r="A3407" s="10">
        <v>41750</v>
      </c>
      <c r="B3407" s="12">
        <f t="shared" si="159"/>
        <v>4</v>
      </c>
      <c r="C3407" s="12">
        <f t="shared" si="160"/>
        <v>2014</v>
      </c>
      <c r="D3407" s="13">
        <v>13700</v>
      </c>
      <c r="E3407" s="13">
        <v>35.682499999999997</v>
      </c>
      <c r="F3407" s="13">
        <f t="shared" si="161"/>
        <v>383.94170812022702</v>
      </c>
    </row>
    <row r="3408" spans="1:6" x14ac:dyDescent="0.25">
      <c r="A3408" s="10">
        <v>41751</v>
      </c>
      <c r="B3408" s="12">
        <f t="shared" si="159"/>
        <v>4</v>
      </c>
      <c r="C3408" s="12">
        <f t="shared" si="160"/>
        <v>2014</v>
      </c>
      <c r="D3408" s="13">
        <v>13700</v>
      </c>
      <c r="E3408" s="13">
        <v>35.68</v>
      </c>
      <c r="F3408" s="13">
        <f t="shared" si="161"/>
        <v>383.96860986547085</v>
      </c>
    </row>
    <row r="3409" spans="1:6" x14ac:dyDescent="0.25">
      <c r="A3409" s="10">
        <v>41752</v>
      </c>
      <c r="B3409" s="12">
        <f t="shared" si="159"/>
        <v>4</v>
      </c>
      <c r="C3409" s="12">
        <f t="shared" si="160"/>
        <v>2014</v>
      </c>
      <c r="D3409" s="13">
        <v>13700</v>
      </c>
      <c r="E3409" s="13">
        <v>35.700000000000003</v>
      </c>
      <c r="F3409" s="13">
        <f t="shared" si="161"/>
        <v>383.7535014005602</v>
      </c>
    </row>
    <row r="3410" spans="1:6" x14ac:dyDescent="0.25">
      <c r="A3410" s="10">
        <v>41753</v>
      </c>
      <c r="B3410" s="12">
        <f t="shared" si="159"/>
        <v>4</v>
      </c>
      <c r="C3410" s="12">
        <f t="shared" si="160"/>
        <v>2014</v>
      </c>
      <c r="D3410" s="13">
        <v>13700</v>
      </c>
      <c r="E3410" s="13">
        <v>35.76</v>
      </c>
      <c r="F3410" s="13">
        <f t="shared" si="161"/>
        <v>383.1096196868009</v>
      </c>
    </row>
    <row r="3411" spans="1:6" x14ac:dyDescent="0.25">
      <c r="A3411" s="10">
        <v>41754</v>
      </c>
      <c r="B3411" s="12">
        <f t="shared" si="159"/>
        <v>4</v>
      </c>
      <c r="C3411" s="12">
        <f t="shared" si="160"/>
        <v>2014</v>
      </c>
      <c r="D3411" s="13">
        <v>13700</v>
      </c>
      <c r="E3411" s="13">
        <v>36.005000000000003</v>
      </c>
      <c r="F3411" s="13">
        <f t="shared" si="161"/>
        <v>380.50270795722815</v>
      </c>
    </row>
    <row r="3412" spans="1:6" x14ac:dyDescent="0.25">
      <c r="A3412" s="10">
        <v>41757</v>
      </c>
      <c r="B3412" s="12">
        <f t="shared" si="159"/>
        <v>4</v>
      </c>
      <c r="C3412" s="12">
        <f t="shared" si="160"/>
        <v>2014</v>
      </c>
      <c r="E3412" s="13">
        <v>35.835000000000001</v>
      </c>
      <c r="F3412" s="13" t="str">
        <f t="shared" si="161"/>
        <v/>
      </c>
    </row>
    <row r="3413" spans="1:6" x14ac:dyDescent="0.25">
      <c r="A3413" s="10">
        <v>41758</v>
      </c>
      <c r="B3413" s="12">
        <f t="shared" si="159"/>
        <v>4</v>
      </c>
      <c r="C3413" s="12">
        <f t="shared" si="160"/>
        <v>2014</v>
      </c>
      <c r="E3413" s="13">
        <v>35.625</v>
      </c>
      <c r="F3413" s="13" t="str">
        <f t="shared" si="161"/>
        <v/>
      </c>
    </row>
    <row r="3414" spans="1:6" x14ac:dyDescent="0.25">
      <c r="A3414" s="10">
        <v>41759</v>
      </c>
      <c r="B3414" s="12">
        <f t="shared" si="159"/>
        <v>4</v>
      </c>
      <c r="C3414" s="12">
        <f t="shared" si="160"/>
        <v>2014</v>
      </c>
      <c r="E3414" s="13">
        <v>35.622</v>
      </c>
      <c r="F3414" s="13" t="str">
        <f t="shared" si="161"/>
        <v/>
      </c>
    </row>
    <row r="3415" spans="1:6" x14ac:dyDescent="0.25">
      <c r="A3415" s="10">
        <v>41760</v>
      </c>
      <c r="B3415" s="12">
        <f t="shared" si="159"/>
        <v>5</v>
      </c>
      <c r="C3415" s="12">
        <f t="shared" si="160"/>
        <v>2014</v>
      </c>
      <c r="E3415" s="13">
        <v>35.622500000000002</v>
      </c>
      <c r="F3415" s="13" t="str">
        <f t="shared" si="161"/>
        <v/>
      </c>
    </row>
    <row r="3416" spans="1:6" x14ac:dyDescent="0.25">
      <c r="A3416" s="10">
        <v>41761</v>
      </c>
      <c r="B3416" s="12">
        <f t="shared" si="159"/>
        <v>5</v>
      </c>
      <c r="C3416" s="12">
        <f t="shared" si="160"/>
        <v>2014</v>
      </c>
      <c r="E3416" s="13">
        <v>35.832500000000003</v>
      </c>
      <c r="F3416" s="13" t="str">
        <f t="shared" si="161"/>
        <v/>
      </c>
    </row>
    <row r="3417" spans="1:6" x14ac:dyDescent="0.25">
      <c r="A3417" s="10">
        <v>41764</v>
      </c>
      <c r="B3417" s="12">
        <f t="shared" si="159"/>
        <v>5</v>
      </c>
      <c r="C3417" s="12">
        <f t="shared" si="160"/>
        <v>2014</v>
      </c>
      <c r="D3417" s="13">
        <v>13900</v>
      </c>
      <c r="E3417" s="13">
        <v>35.722499999999997</v>
      </c>
      <c r="F3417" s="13">
        <f t="shared" si="161"/>
        <v>389.11050458394573</v>
      </c>
    </row>
    <row r="3418" spans="1:6" x14ac:dyDescent="0.25">
      <c r="A3418" s="10">
        <v>41765</v>
      </c>
      <c r="B3418" s="12">
        <f t="shared" si="159"/>
        <v>5</v>
      </c>
      <c r="C3418" s="12">
        <f t="shared" si="160"/>
        <v>2014</v>
      </c>
      <c r="D3418" s="13">
        <v>13900</v>
      </c>
      <c r="E3418" s="13">
        <v>35.405000000000001</v>
      </c>
      <c r="F3418" s="13">
        <f t="shared" si="161"/>
        <v>392.5999152662053</v>
      </c>
    </row>
    <row r="3419" spans="1:6" x14ac:dyDescent="0.25">
      <c r="A3419" s="10">
        <v>41766</v>
      </c>
      <c r="B3419" s="12">
        <f t="shared" si="159"/>
        <v>5</v>
      </c>
      <c r="C3419" s="12">
        <f t="shared" si="160"/>
        <v>2014</v>
      </c>
      <c r="D3419" s="13">
        <v>13900</v>
      </c>
      <c r="E3419" s="13">
        <v>34.922499999999999</v>
      </c>
      <c r="F3419" s="13">
        <f t="shared" si="161"/>
        <v>398.02419643496313</v>
      </c>
    </row>
    <row r="3420" spans="1:6" x14ac:dyDescent="0.25">
      <c r="A3420" s="10">
        <v>41767</v>
      </c>
      <c r="B3420" s="12">
        <f t="shared" si="159"/>
        <v>5</v>
      </c>
      <c r="C3420" s="12">
        <f t="shared" si="160"/>
        <v>2014</v>
      </c>
      <c r="D3420" s="13">
        <v>13900</v>
      </c>
      <c r="E3420" s="13">
        <v>35.112499999999997</v>
      </c>
      <c r="F3420" s="13">
        <f t="shared" si="161"/>
        <v>395.87041651833397</v>
      </c>
    </row>
    <row r="3421" spans="1:6" x14ac:dyDescent="0.25">
      <c r="A3421" s="10">
        <v>41768</v>
      </c>
      <c r="B3421" s="12">
        <f t="shared" si="159"/>
        <v>5</v>
      </c>
      <c r="C3421" s="12">
        <f t="shared" si="160"/>
        <v>2014</v>
      </c>
      <c r="D3421" s="13">
        <v>13900</v>
      </c>
      <c r="E3421" s="13">
        <v>35.217500000000001</v>
      </c>
      <c r="F3421" s="13">
        <f t="shared" si="161"/>
        <v>394.69013984524736</v>
      </c>
    </row>
    <row r="3422" spans="1:6" x14ac:dyDescent="0.25">
      <c r="A3422" s="10">
        <v>41771</v>
      </c>
      <c r="B3422" s="12">
        <f t="shared" si="159"/>
        <v>5</v>
      </c>
      <c r="C3422" s="12">
        <f t="shared" si="160"/>
        <v>2014</v>
      </c>
      <c r="D3422" s="13">
        <v>13900</v>
      </c>
      <c r="E3422" s="13">
        <v>35</v>
      </c>
      <c r="F3422" s="13">
        <f t="shared" si="161"/>
        <v>397.14285714285717</v>
      </c>
    </row>
    <row r="3423" spans="1:6" x14ac:dyDescent="0.25">
      <c r="A3423" s="10">
        <v>41772</v>
      </c>
      <c r="B3423" s="12">
        <f t="shared" si="159"/>
        <v>5</v>
      </c>
      <c r="C3423" s="12">
        <f t="shared" si="160"/>
        <v>2014</v>
      </c>
      <c r="D3423" s="13">
        <v>13900</v>
      </c>
      <c r="E3423" s="13">
        <v>34.86</v>
      </c>
      <c r="F3423" s="13">
        <f t="shared" si="161"/>
        <v>398.73780837636258</v>
      </c>
    </row>
    <row r="3424" spans="1:6" x14ac:dyDescent="0.25">
      <c r="A3424" s="10">
        <v>41773</v>
      </c>
      <c r="B3424" s="12">
        <f t="shared" si="159"/>
        <v>5</v>
      </c>
      <c r="C3424" s="12">
        <f t="shared" si="160"/>
        <v>2014</v>
      </c>
      <c r="D3424" s="13">
        <v>13900</v>
      </c>
      <c r="E3424" s="13">
        <v>34.667499999999997</v>
      </c>
      <c r="F3424" s="13">
        <f t="shared" si="161"/>
        <v>400.95190019470687</v>
      </c>
    </row>
    <row r="3425" spans="1:6" x14ac:dyDescent="0.25">
      <c r="A3425" s="10">
        <v>41774</v>
      </c>
      <c r="B3425" s="12">
        <f t="shared" si="159"/>
        <v>5</v>
      </c>
      <c r="C3425" s="12">
        <f t="shared" si="160"/>
        <v>2014</v>
      </c>
      <c r="D3425" s="13">
        <v>13900</v>
      </c>
      <c r="E3425" s="13">
        <v>34.76</v>
      </c>
      <c r="F3425" s="13">
        <f t="shared" si="161"/>
        <v>399.8849252013809</v>
      </c>
    </row>
    <row r="3426" spans="1:6" x14ac:dyDescent="0.25">
      <c r="A3426" s="10">
        <v>41775</v>
      </c>
      <c r="B3426" s="12">
        <f t="shared" si="159"/>
        <v>5</v>
      </c>
      <c r="C3426" s="12">
        <f t="shared" si="160"/>
        <v>2014</v>
      </c>
      <c r="D3426" s="13">
        <v>13900</v>
      </c>
      <c r="E3426" s="13">
        <v>34.729999999999997</v>
      </c>
      <c r="F3426" s="13">
        <f t="shared" si="161"/>
        <v>400.230348401958</v>
      </c>
    </row>
    <row r="3427" spans="1:6" x14ac:dyDescent="0.25">
      <c r="A3427" s="10">
        <v>41778</v>
      </c>
      <c r="B3427" s="12">
        <f t="shared" si="159"/>
        <v>5</v>
      </c>
      <c r="C3427" s="12">
        <f t="shared" si="160"/>
        <v>2014</v>
      </c>
      <c r="D3427" s="13">
        <v>14000</v>
      </c>
      <c r="E3427" s="13">
        <v>34.582500000000003</v>
      </c>
      <c r="F3427" s="13">
        <f t="shared" si="161"/>
        <v>404.82903202486801</v>
      </c>
    </row>
    <row r="3428" spans="1:6" x14ac:dyDescent="0.25">
      <c r="A3428" s="10">
        <v>41779</v>
      </c>
      <c r="B3428" s="12">
        <f t="shared" si="159"/>
        <v>5</v>
      </c>
      <c r="C3428" s="12">
        <f t="shared" si="160"/>
        <v>2014</v>
      </c>
      <c r="D3428" s="13">
        <v>14000</v>
      </c>
      <c r="E3428" s="13">
        <v>34.502499999999998</v>
      </c>
      <c r="F3428" s="13">
        <f t="shared" si="161"/>
        <v>405.76769799289912</v>
      </c>
    </row>
    <row r="3429" spans="1:6" x14ac:dyDescent="0.25">
      <c r="A3429" s="10">
        <v>41780</v>
      </c>
      <c r="B3429" s="12">
        <f t="shared" si="159"/>
        <v>5</v>
      </c>
      <c r="C3429" s="12">
        <f t="shared" si="160"/>
        <v>2014</v>
      </c>
      <c r="D3429" s="13">
        <v>14000</v>
      </c>
      <c r="E3429" s="13">
        <v>34.332500000000003</v>
      </c>
      <c r="F3429" s="13">
        <f t="shared" si="161"/>
        <v>407.77688778853855</v>
      </c>
    </row>
    <row r="3430" spans="1:6" x14ac:dyDescent="0.25">
      <c r="A3430" s="10">
        <v>41781</v>
      </c>
      <c r="B3430" s="12">
        <f t="shared" si="159"/>
        <v>5</v>
      </c>
      <c r="C3430" s="12">
        <f t="shared" si="160"/>
        <v>2014</v>
      </c>
      <c r="D3430" s="13">
        <v>14000</v>
      </c>
      <c r="E3430" s="13">
        <v>34.297499999999999</v>
      </c>
      <c r="F3430" s="13">
        <f t="shared" si="161"/>
        <v>408.19301698374517</v>
      </c>
    </row>
    <row r="3431" spans="1:6" x14ac:dyDescent="0.25">
      <c r="A3431" s="10">
        <v>41782</v>
      </c>
      <c r="B3431" s="12">
        <f t="shared" si="159"/>
        <v>5</v>
      </c>
      <c r="C3431" s="12">
        <f t="shared" si="160"/>
        <v>2014</v>
      </c>
      <c r="D3431" s="13">
        <v>14000</v>
      </c>
      <c r="E3431" s="13">
        <v>34.11</v>
      </c>
      <c r="F3431" s="13">
        <f t="shared" si="161"/>
        <v>410.43682204632074</v>
      </c>
    </row>
    <row r="3432" spans="1:6" x14ac:dyDescent="0.25">
      <c r="A3432" s="10">
        <v>41786</v>
      </c>
      <c r="B3432" s="12">
        <f t="shared" si="159"/>
        <v>5</v>
      </c>
      <c r="C3432" s="12">
        <f t="shared" si="160"/>
        <v>2014</v>
      </c>
      <c r="D3432" s="13">
        <v>14500</v>
      </c>
      <c r="E3432" s="13">
        <v>34.412500000000001</v>
      </c>
      <c r="F3432" s="13">
        <f t="shared" si="161"/>
        <v>421.35851798038505</v>
      </c>
    </row>
    <row r="3433" spans="1:6" x14ac:dyDescent="0.25">
      <c r="A3433" s="10">
        <v>41787</v>
      </c>
      <c r="B3433" s="12">
        <f t="shared" si="159"/>
        <v>5</v>
      </c>
      <c r="C3433" s="12">
        <f t="shared" si="160"/>
        <v>2014</v>
      </c>
      <c r="D3433" s="13">
        <v>14500</v>
      </c>
      <c r="E3433" s="13">
        <v>34.567799999999998</v>
      </c>
      <c r="F3433" s="13">
        <f t="shared" si="161"/>
        <v>419.46551414900574</v>
      </c>
    </row>
    <row r="3434" spans="1:6" x14ac:dyDescent="0.25">
      <c r="A3434" s="10">
        <v>41788</v>
      </c>
      <c r="B3434" s="12">
        <f t="shared" si="159"/>
        <v>5</v>
      </c>
      <c r="C3434" s="12">
        <f t="shared" si="160"/>
        <v>2014</v>
      </c>
      <c r="D3434" s="13">
        <v>14500</v>
      </c>
      <c r="E3434" s="13">
        <v>34.659999999999997</v>
      </c>
      <c r="F3434" s="13">
        <f t="shared" si="161"/>
        <v>418.3496826312753</v>
      </c>
    </row>
    <row r="3435" spans="1:6" x14ac:dyDescent="0.25">
      <c r="A3435" s="10">
        <v>41789</v>
      </c>
      <c r="B3435" s="12">
        <f t="shared" si="159"/>
        <v>5</v>
      </c>
      <c r="C3435" s="12">
        <f t="shared" si="160"/>
        <v>2014</v>
      </c>
      <c r="D3435" s="13">
        <v>14500</v>
      </c>
      <c r="E3435" s="13">
        <v>34.914999999999999</v>
      </c>
      <c r="F3435" s="13">
        <f t="shared" si="161"/>
        <v>415.29428612344265</v>
      </c>
    </row>
    <row r="3436" spans="1:6" x14ac:dyDescent="0.25">
      <c r="A3436" s="10">
        <v>41792</v>
      </c>
      <c r="B3436" s="12">
        <f t="shared" si="159"/>
        <v>6</v>
      </c>
      <c r="C3436" s="12">
        <f t="shared" si="160"/>
        <v>2014</v>
      </c>
      <c r="D3436" s="13">
        <v>14100</v>
      </c>
      <c r="E3436" s="13">
        <v>35.049999999999997</v>
      </c>
      <c r="F3436" s="13">
        <f t="shared" si="161"/>
        <v>402.28245363766052</v>
      </c>
    </row>
    <row r="3437" spans="1:6" x14ac:dyDescent="0.25">
      <c r="A3437" s="10">
        <v>41793</v>
      </c>
      <c r="B3437" s="12">
        <f t="shared" si="159"/>
        <v>6</v>
      </c>
      <c r="C3437" s="12">
        <f t="shared" si="160"/>
        <v>2014</v>
      </c>
      <c r="D3437" s="13">
        <v>14100</v>
      </c>
      <c r="E3437" s="13">
        <v>35.087499999999999</v>
      </c>
      <c r="F3437" s="13">
        <f t="shared" si="161"/>
        <v>401.85251157819738</v>
      </c>
    </row>
    <row r="3438" spans="1:6" x14ac:dyDescent="0.25">
      <c r="A3438" s="10">
        <v>41794</v>
      </c>
      <c r="B3438" s="12">
        <f t="shared" si="159"/>
        <v>6</v>
      </c>
      <c r="C3438" s="12">
        <f t="shared" si="160"/>
        <v>2014</v>
      </c>
      <c r="D3438" s="13">
        <v>14100</v>
      </c>
      <c r="E3438" s="13">
        <v>34.967500000000001</v>
      </c>
      <c r="F3438" s="13">
        <f t="shared" si="161"/>
        <v>403.23157217416173</v>
      </c>
    </row>
    <row r="3439" spans="1:6" x14ac:dyDescent="0.25">
      <c r="A3439" s="10">
        <v>41795</v>
      </c>
      <c r="B3439" s="12">
        <f t="shared" si="159"/>
        <v>6</v>
      </c>
      <c r="C3439" s="12">
        <f t="shared" si="160"/>
        <v>2014</v>
      </c>
      <c r="D3439" s="13">
        <v>14100</v>
      </c>
      <c r="E3439" s="13">
        <v>34.682499999999997</v>
      </c>
      <c r="F3439" s="13">
        <f t="shared" si="161"/>
        <v>406.54508758019176</v>
      </c>
    </row>
    <row r="3440" spans="1:6" x14ac:dyDescent="0.25">
      <c r="A3440" s="10">
        <v>41796</v>
      </c>
      <c r="B3440" s="12">
        <f t="shared" si="159"/>
        <v>6</v>
      </c>
      <c r="C3440" s="12">
        <f t="shared" si="160"/>
        <v>2014</v>
      </c>
      <c r="D3440" s="13">
        <v>14100</v>
      </c>
      <c r="E3440" s="13">
        <v>34.432499999999997</v>
      </c>
      <c r="F3440" s="13">
        <f t="shared" si="161"/>
        <v>409.49684164670009</v>
      </c>
    </row>
    <row r="3441" spans="1:6" x14ac:dyDescent="0.25">
      <c r="A3441" s="10">
        <v>41799</v>
      </c>
      <c r="B3441" s="12">
        <f t="shared" si="159"/>
        <v>6</v>
      </c>
      <c r="C3441" s="12">
        <f t="shared" si="160"/>
        <v>2014</v>
      </c>
      <c r="D3441" s="13">
        <v>14100</v>
      </c>
      <c r="E3441" s="13">
        <v>34.352499999999999</v>
      </c>
      <c r="F3441" s="13">
        <f t="shared" si="161"/>
        <v>410.45047667564222</v>
      </c>
    </row>
    <row r="3442" spans="1:6" x14ac:dyDescent="0.25">
      <c r="A3442" s="10">
        <v>41800</v>
      </c>
      <c r="B3442" s="12">
        <f t="shared" si="159"/>
        <v>6</v>
      </c>
      <c r="C3442" s="12">
        <f t="shared" si="160"/>
        <v>2014</v>
      </c>
      <c r="D3442" s="13">
        <v>14100</v>
      </c>
      <c r="E3442" s="13">
        <v>34.358800000000002</v>
      </c>
      <c r="F3442" s="13">
        <f t="shared" si="161"/>
        <v>410.37521682945851</v>
      </c>
    </row>
    <row r="3443" spans="1:6" x14ac:dyDescent="0.25">
      <c r="A3443" s="10">
        <v>41801</v>
      </c>
      <c r="B3443" s="12">
        <f t="shared" si="159"/>
        <v>6</v>
      </c>
      <c r="C3443" s="12">
        <f t="shared" si="160"/>
        <v>2014</v>
      </c>
      <c r="D3443" s="13">
        <v>14100</v>
      </c>
      <c r="E3443" s="13">
        <v>34.383000000000003</v>
      </c>
      <c r="F3443" s="13">
        <f t="shared" si="161"/>
        <v>410.08637989704209</v>
      </c>
    </row>
    <row r="3444" spans="1:6" x14ac:dyDescent="0.25">
      <c r="A3444" s="10">
        <v>41802</v>
      </c>
      <c r="B3444" s="12">
        <f t="shared" si="159"/>
        <v>6</v>
      </c>
      <c r="C3444" s="12">
        <f t="shared" si="160"/>
        <v>2014</v>
      </c>
      <c r="D3444" s="13">
        <v>14100</v>
      </c>
      <c r="E3444" s="13">
        <v>34.354999999999997</v>
      </c>
      <c r="F3444" s="13">
        <f t="shared" si="161"/>
        <v>410.42060835395142</v>
      </c>
    </row>
    <row r="3445" spans="1:6" x14ac:dyDescent="0.25">
      <c r="A3445" s="10">
        <v>41803</v>
      </c>
      <c r="B3445" s="12">
        <f t="shared" si="159"/>
        <v>6</v>
      </c>
      <c r="C3445" s="12">
        <f t="shared" si="160"/>
        <v>2014</v>
      </c>
      <c r="D3445" s="13">
        <v>14100</v>
      </c>
      <c r="E3445" s="13">
        <v>34.369999999999997</v>
      </c>
      <c r="F3445" s="13">
        <f t="shared" si="161"/>
        <v>410.24148967122494</v>
      </c>
    </row>
    <row r="3446" spans="1:6" x14ac:dyDescent="0.25">
      <c r="A3446" s="10">
        <v>41806</v>
      </c>
      <c r="B3446" s="12">
        <f t="shared" si="159"/>
        <v>6</v>
      </c>
      <c r="C3446" s="12">
        <f t="shared" si="160"/>
        <v>2014</v>
      </c>
      <c r="D3446" s="13">
        <v>14000</v>
      </c>
      <c r="E3446" s="13">
        <v>34.61</v>
      </c>
      <c r="F3446" s="13">
        <f t="shared" si="161"/>
        <v>404.50736781277089</v>
      </c>
    </row>
    <row r="3447" spans="1:6" x14ac:dyDescent="0.25">
      <c r="A3447" s="10">
        <v>41807</v>
      </c>
      <c r="B3447" s="12">
        <f t="shared" si="159"/>
        <v>6</v>
      </c>
      <c r="C3447" s="12">
        <f t="shared" si="160"/>
        <v>2014</v>
      </c>
      <c r="D3447" s="13">
        <v>14000</v>
      </c>
      <c r="E3447" s="13">
        <v>34.827500000000001</v>
      </c>
      <c r="F3447" s="13">
        <f t="shared" si="161"/>
        <v>401.98119302275501</v>
      </c>
    </row>
    <row r="3448" spans="1:6" x14ac:dyDescent="0.25">
      <c r="A3448" s="10">
        <v>41808</v>
      </c>
      <c r="B3448" s="12">
        <f t="shared" si="159"/>
        <v>6</v>
      </c>
      <c r="C3448" s="12">
        <f t="shared" si="160"/>
        <v>2014</v>
      </c>
      <c r="D3448" s="13">
        <v>14000</v>
      </c>
      <c r="E3448" s="13">
        <v>34.372</v>
      </c>
      <c r="F3448" s="13">
        <f t="shared" si="161"/>
        <v>407.3082741766554</v>
      </c>
    </row>
    <row r="3449" spans="1:6" x14ac:dyDescent="0.25">
      <c r="A3449" s="10">
        <v>41809</v>
      </c>
      <c r="B3449" s="12">
        <f t="shared" si="159"/>
        <v>6</v>
      </c>
      <c r="C3449" s="12">
        <f t="shared" si="160"/>
        <v>2014</v>
      </c>
      <c r="D3449" s="13">
        <v>14000</v>
      </c>
      <c r="E3449" s="13">
        <v>34.369999999999997</v>
      </c>
      <c r="F3449" s="13">
        <f t="shared" si="161"/>
        <v>407.3319755600815</v>
      </c>
    </row>
    <row r="3450" spans="1:6" x14ac:dyDescent="0.25">
      <c r="A3450" s="10">
        <v>41810</v>
      </c>
      <c r="B3450" s="12">
        <f t="shared" si="159"/>
        <v>6</v>
      </c>
      <c r="C3450" s="12">
        <f t="shared" si="160"/>
        <v>2014</v>
      </c>
      <c r="D3450" s="13">
        <v>14000</v>
      </c>
      <c r="E3450" s="13">
        <v>34.442500000000003</v>
      </c>
      <c r="F3450" s="13">
        <f t="shared" si="161"/>
        <v>406.47455904768816</v>
      </c>
    </row>
    <row r="3451" spans="1:6" x14ac:dyDescent="0.25">
      <c r="A3451" s="10">
        <v>41813</v>
      </c>
      <c r="B3451" s="12">
        <f t="shared" si="159"/>
        <v>6</v>
      </c>
      <c r="C3451" s="12">
        <f t="shared" si="160"/>
        <v>2014</v>
      </c>
      <c r="D3451" s="13">
        <v>14000</v>
      </c>
      <c r="E3451" s="13">
        <v>34.082900000000002</v>
      </c>
      <c r="F3451" s="13">
        <f t="shared" si="161"/>
        <v>410.76316862708273</v>
      </c>
    </row>
    <row r="3452" spans="1:6" x14ac:dyDescent="0.25">
      <c r="A3452" s="10">
        <v>41814</v>
      </c>
      <c r="B3452" s="12">
        <f t="shared" si="159"/>
        <v>6</v>
      </c>
      <c r="C3452" s="12">
        <f t="shared" si="160"/>
        <v>2014</v>
      </c>
      <c r="D3452" s="13">
        <v>14000</v>
      </c>
      <c r="E3452" s="13">
        <v>33.802500000000002</v>
      </c>
      <c r="F3452" s="13">
        <f t="shared" si="161"/>
        <v>414.17054951556833</v>
      </c>
    </row>
    <row r="3453" spans="1:6" x14ac:dyDescent="0.25">
      <c r="A3453" s="10">
        <v>41815</v>
      </c>
      <c r="B3453" s="12">
        <f t="shared" si="159"/>
        <v>6</v>
      </c>
      <c r="C3453" s="12">
        <f t="shared" si="160"/>
        <v>2014</v>
      </c>
      <c r="D3453" s="13">
        <v>14000</v>
      </c>
      <c r="E3453" s="13">
        <v>33.7498</v>
      </c>
      <c r="F3453" s="13">
        <f t="shared" si="161"/>
        <v>414.81727299124736</v>
      </c>
    </row>
    <row r="3454" spans="1:6" x14ac:dyDescent="0.25">
      <c r="A3454" s="10">
        <v>41816</v>
      </c>
      <c r="B3454" s="12">
        <f t="shared" si="159"/>
        <v>6</v>
      </c>
      <c r="C3454" s="12">
        <f t="shared" si="160"/>
        <v>2014</v>
      </c>
      <c r="D3454" s="13">
        <v>14000</v>
      </c>
      <c r="E3454" s="13">
        <v>33.711500000000001</v>
      </c>
      <c r="F3454" s="13">
        <f t="shared" si="161"/>
        <v>415.28855138454236</v>
      </c>
    </row>
    <row r="3455" spans="1:6" x14ac:dyDescent="0.25">
      <c r="A3455" s="10">
        <v>41817</v>
      </c>
      <c r="B3455" s="12">
        <f t="shared" si="159"/>
        <v>6</v>
      </c>
      <c r="C3455" s="12">
        <f t="shared" si="160"/>
        <v>2014</v>
      </c>
      <c r="D3455" s="13">
        <v>14000</v>
      </c>
      <c r="E3455" s="13">
        <v>33.747900000000001</v>
      </c>
      <c r="F3455" s="13">
        <f t="shared" si="161"/>
        <v>414.84062712050229</v>
      </c>
    </row>
    <row r="3456" spans="1:6" x14ac:dyDescent="0.25">
      <c r="A3456" s="10">
        <v>41820</v>
      </c>
      <c r="B3456" s="12">
        <f t="shared" si="159"/>
        <v>6</v>
      </c>
      <c r="C3456" s="12">
        <f t="shared" si="160"/>
        <v>2014</v>
      </c>
      <c r="D3456" s="13">
        <v>14150</v>
      </c>
      <c r="E3456" s="13">
        <v>33.977899999999998</v>
      </c>
      <c r="F3456" s="13">
        <f t="shared" si="161"/>
        <v>416.4471612430433</v>
      </c>
    </row>
    <row r="3457" spans="1:6" x14ac:dyDescent="0.25">
      <c r="A3457" s="10">
        <v>41821</v>
      </c>
      <c r="B3457" s="12">
        <f t="shared" si="159"/>
        <v>7</v>
      </c>
      <c r="C3457" s="12">
        <f t="shared" si="160"/>
        <v>2014</v>
      </c>
      <c r="D3457" s="13">
        <v>14150</v>
      </c>
      <c r="E3457" s="13">
        <v>34.352499999999999</v>
      </c>
      <c r="F3457" s="13">
        <f t="shared" si="161"/>
        <v>411.90597481988209</v>
      </c>
    </row>
    <row r="3458" spans="1:6" x14ac:dyDescent="0.25">
      <c r="A3458" s="10">
        <v>41822</v>
      </c>
      <c r="B3458" s="12">
        <f t="shared" si="159"/>
        <v>7</v>
      </c>
      <c r="C3458" s="12">
        <f t="shared" si="160"/>
        <v>2014</v>
      </c>
      <c r="D3458" s="13">
        <v>14150</v>
      </c>
      <c r="E3458" s="13">
        <v>34.270000000000003</v>
      </c>
      <c r="F3458" s="13">
        <f t="shared" si="161"/>
        <v>412.89757805660923</v>
      </c>
    </row>
    <row r="3459" spans="1:6" x14ac:dyDescent="0.25">
      <c r="A3459" s="10">
        <v>41823</v>
      </c>
      <c r="B3459" s="12">
        <f t="shared" ref="B3459:B3522" si="162">MONTH(A3459)</f>
        <v>7</v>
      </c>
      <c r="C3459" s="12">
        <f t="shared" ref="C3459:C3522" si="163">YEAR(A3459)</f>
        <v>2014</v>
      </c>
      <c r="D3459" s="13">
        <v>14150</v>
      </c>
      <c r="E3459" s="13">
        <v>34.286299999999997</v>
      </c>
      <c r="F3459" s="13">
        <f t="shared" ref="F3459:F3522" si="164">IF(D3459="","",D3459/E3459)</f>
        <v>412.70128301974847</v>
      </c>
    </row>
    <row r="3460" spans="1:6" x14ac:dyDescent="0.25">
      <c r="A3460" s="10">
        <v>41827</v>
      </c>
      <c r="B3460" s="12">
        <f t="shared" si="162"/>
        <v>7</v>
      </c>
      <c r="C3460" s="12">
        <f t="shared" si="163"/>
        <v>2014</v>
      </c>
      <c r="D3460" s="13">
        <v>13850</v>
      </c>
      <c r="E3460" s="13">
        <v>34.427500000000002</v>
      </c>
      <c r="F3460" s="13">
        <f t="shared" si="164"/>
        <v>402.29467722024543</v>
      </c>
    </row>
    <row r="3461" spans="1:6" x14ac:dyDescent="0.25">
      <c r="A3461" s="10">
        <v>41828</v>
      </c>
      <c r="B3461" s="12">
        <f t="shared" si="162"/>
        <v>7</v>
      </c>
      <c r="C3461" s="12">
        <f t="shared" si="163"/>
        <v>2014</v>
      </c>
      <c r="D3461" s="13">
        <v>13850</v>
      </c>
      <c r="E3461" s="13">
        <v>34.207500000000003</v>
      </c>
      <c r="F3461" s="13">
        <f t="shared" si="164"/>
        <v>404.88197032814435</v>
      </c>
    </row>
    <row r="3462" spans="1:6" x14ac:dyDescent="0.25">
      <c r="A3462" s="10">
        <v>41829</v>
      </c>
      <c r="B3462" s="12">
        <f t="shared" si="162"/>
        <v>7</v>
      </c>
      <c r="C3462" s="12">
        <f t="shared" si="163"/>
        <v>2014</v>
      </c>
      <c r="D3462" s="13">
        <v>13850</v>
      </c>
      <c r="E3462" s="13">
        <v>33.923299999999998</v>
      </c>
      <c r="F3462" s="13">
        <f t="shared" si="164"/>
        <v>408.27395919618669</v>
      </c>
    </row>
    <row r="3463" spans="1:6" x14ac:dyDescent="0.25">
      <c r="A3463" s="10">
        <v>41830</v>
      </c>
      <c r="B3463" s="12">
        <f t="shared" si="162"/>
        <v>7</v>
      </c>
      <c r="C3463" s="12">
        <f t="shared" si="163"/>
        <v>2014</v>
      </c>
      <c r="D3463" s="13">
        <v>13850</v>
      </c>
      <c r="E3463" s="13">
        <v>34.049999999999997</v>
      </c>
      <c r="F3463" s="13">
        <f t="shared" si="164"/>
        <v>406.75477239353893</v>
      </c>
    </row>
    <row r="3464" spans="1:6" x14ac:dyDescent="0.25">
      <c r="A3464" s="10">
        <v>41831</v>
      </c>
      <c r="B3464" s="12">
        <f t="shared" si="162"/>
        <v>7</v>
      </c>
      <c r="C3464" s="12">
        <f t="shared" si="163"/>
        <v>2014</v>
      </c>
      <c r="D3464" s="13">
        <v>13850</v>
      </c>
      <c r="E3464" s="13">
        <v>34.171799999999998</v>
      </c>
      <c r="F3464" s="13">
        <f t="shared" si="164"/>
        <v>405.30495905980956</v>
      </c>
    </row>
    <row r="3465" spans="1:6" x14ac:dyDescent="0.25">
      <c r="A3465" s="10">
        <v>41834</v>
      </c>
      <c r="B3465" s="12">
        <f t="shared" si="162"/>
        <v>7</v>
      </c>
      <c r="C3465" s="12">
        <f t="shared" si="163"/>
        <v>2014</v>
      </c>
      <c r="E3465" s="13">
        <v>34.317500000000003</v>
      </c>
      <c r="F3465" s="13" t="str">
        <f t="shared" si="164"/>
        <v/>
      </c>
    </row>
    <row r="3466" spans="1:6" x14ac:dyDescent="0.25">
      <c r="A3466" s="10">
        <v>41835</v>
      </c>
      <c r="B3466" s="12">
        <f t="shared" si="162"/>
        <v>7</v>
      </c>
      <c r="C3466" s="12">
        <f t="shared" si="163"/>
        <v>2014</v>
      </c>
      <c r="E3466" s="13">
        <v>34.392499999999998</v>
      </c>
      <c r="F3466" s="13" t="str">
        <f t="shared" si="164"/>
        <v/>
      </c>
    </row>
    <row r="3467" spans="1:6" x14ac:dyDescent="0.25">
      <c r="A3467" s="10">
        <v>41836</v>
      </c>
      <c r="B3467" s="12">
        <f t="shared" si="162"/>
        <v>7</v>
      </c>
      <c r="C3467" s="12">
        <f t="shared" si="163"/>
        <v>2014</v>
      </c>
      <c r="E3467" s="13">
        <v>34.577500000000001</v>
      </c>
      <c r="F3467" s="13" t="str">
        <f t="shared" si="164"/>
        <v/>
      </c>
    </row>
    <row r="3468" spans="1:6" x14ac:dyDescent="0.25">
      <c r="A3468" s="10">
        <v>41837</v>
      </c>
      <c r="B3468" s="12">
        <f t="shared" si="162"/>
        <v>7</v>
      </c>
      <c r="C3468" s="12">
        <f t="shared" si="163"/>
        <v>2014</v>
      </c>
      <c r="E3468" s="13">
        <v>35.265700000000002</v>
      </c>
      <c r="F3468" s="13" t="str">
        <f t="shared" si="164"/>
        <v/>
      </c>
    </row>
    <row r="3469" spans="1:6" x14ac:dyDescent="0.25">
      <c r="A3469" s="10">
        <v>41838</v>
      </c>
      <c r="B3469" s="12">
        <f t="shared" si="162"/>
        <v>7</v>
      </c>
      <c r="C3469" s="12">
        <f t="shared" si="163"/>
        <v>2014</v>
      </c>
      <c r="E3469" s="13">
        <v>35.173000000000002</v>
      </c>
      <c r="F3469" s="13" t="str">
        <f t="shared" si="164"/>
        <v/>
      </c>
    </row>
    <row r="3470" spans="1:6" x14ac:dyDescent="0.25">
      <c r="A3470" s="10">
        <v>41841</v>
      </c>
      <c r="B3470" s="12">
        <f t="shared" si="162"/>
        <v>7</v>
      </c>
      <c r="C3470" s="12">
        <f t="shared" si="163"/>
        <v>2014</v>
      </c>
      <c r="D3470" s="13">
        <v>13350</v>
      </c>
      <c r="E3470" s="13">
        <v>35.17</v>
      </c>
      <c r="F3470" s="13">
        <f t="shared" si="164"/>
        <v>379.58487347170882</v>
      </c>
    </row>
    <row r="3471" spans="1:6" x14ac:dyDescent="0.25">
      <c r="A3471" s="10">
        <v>41842</v>
      </c>
      <c r="B3471" s="12">
        <f t="shared" si="162"/>
        <v>7</v>
      </c>
      <c r="C3471" s="12">
        <f t="shared" si="163"/>
        <v>2014</v>
      </c>
      <c r="D3471" s="13">
        <v>13350</v>
      </c>
      <c r="E3471" s="13">
        <v>34.990099999999998</v>
      </c>
      <c r="F3471" s="13">
        <f t="shared" si="164"/>
        <v>381.53649175052374</v>
      </c>
    </row>
    <row r="3472" spans="1:6" x14ac:dyDescent="0.25">
      <c r="A3472" s="10">
        <v>41843</v>
      </c>
      <c r="B3472" s="12">
        <f t="shared" si="162"/>
        <v>7</v>
      </c>
      <c r="C3472" s="12">
        <f t="shared" si="163"/>
        <v>2014</v>
      </c>
      <c r="D3472" s="13">
        <v>13350</v>
      </c>
      <c r="E3472" s="13">
        <v>34.872500000000002</v>
      </c>
      <c r="F3472" s="13">
        <f t="shared" si="164"/>
        <v>382.82314144383105</v>
      </c>
    </row>
    <row r="3473" spans="1:6" x14ac:dyDescent="0.25">
      <c r="A3473" s="10">
        <v>41844</v>
      </c>
      <c r="B3473" s="12">
        <f t="shared" si="162"/>
        <v>7</v>
      </c>
      <c r="C3473" s="12">
        <f t="shared" si="163"/>
        <v>2014</v>
      </c>
      <c r="D3473" s="13">
        <v>13350</v>
      </c>
      <c r="E3473" s="13">
        <v>35.082500000000003</v>
      </c>
      <c r="F3473" s="13">
        <f t="shared" si="164"/>
        <v>380.53160407610631</v>
      </c>
    </row>
    <row r="3474" spans="1:6" x14ac:dyDescent="0.25">
      <c r="A3474" s="10">
        <v>41845</v>
      </c>
      <c r="B3474" s="12">
        <f t="shared" si="162"/>
        <v>7</v>
      </c>
      <c r="C3474" s="12">
        <f t="shared" si="163"/>
        <v>2014</v>
      </c>
      <c r="D3474" s="13">
        <v>13350</v>
      </c>
      <c r="E3474" s="13">
        <v>35.129600000000003</v>
      </c>
      <c r="F3474" s="13">
        <f t="shared" si="164"/>
        <v>380.02140644926214</v>
      </c>
    </row>
    <row r="3475" spans="1:6" x14ac:dyDescent="0.25">
      <c r="A3475" s="10">
        <v>41848</v>
      </c>
      <c r="B3475" s="12">
        <f t="shared" si="162"/>
        <v>7</v>
      </c>
      <c r="C3475" s="12">
        <f t="shared" si="163"/>
        <v>2014</v>
      </c>
      <c r="E3475" s="13">
        <v>35.549999999999997</v>
      </c>
      <c r="F3475" s="13" t="str">
        <f t="shared" si="164"/>
        <v/>
      </c>
    </row>
    <row r="3476" spans="1:6" x14ac:dyDescent="0.25">
      <c r="A3476" s="10">
        <v>41849</v>
      </c>
      <c r="B3476" s="12">
        <f t="shared" si="162"/>
        <v>7</v>
      </c>
      <c r="C3476" s="12">
        <f t="shared" si="163"/>
        <v>2014</v>
      </c>
      <c r="E3476" s="13">
        <v>35.825000000000003</v>
      </c>
      <c r="F3476" s="13" t="str">
        <f t="shared" si="164"/>
        <v/>
      </c>
    </row>
    <row r="3477" spans="1:6" x14ac:dyDescent="0.25">
      <c r="A3477" s="10">
        <v>41850</v>
      </c>
      <c r="B3477" s="12">
        <f t="shared" si="162"/>
        <v>7</v>
      </c>
      <c r="C3477" s="12">
        <f t="shared" si="163"/>
        <v>2014</v>
      </c>
      <c r="E3477" s="13">
        <v>35.569099999999999</v>
      </c>
      <c r="F3477" s="13" t="str">
        <f t="shared" si="164"/>
        <v/>
      </c>
    </row>
    <row r="3478" spans="1:6" x14ac:dyDescent="0.25">
      <c r="A3478" s="10">
        <v>41851</v>
      </c>
      <c r="B3478" s="12">
        <f t="shared" si="162"/>
        <v>7</v>
      </c>
      <c r="C3478" s="12">
        <f t="shared" si="163"/>
        <v>2014</v>
      </c>
      <c r="E3478" s="13">
        <v>35.719099999999997</v>
      </c>
      <c r="F3478" s="13" t="str">
        <f t="shared" si="164"/>
        <v/>
      </c>
    </row>
    <row r="3479" spans="1:6" x14ac:dyDescent="0.25">
      <c r="A3479" s="10">
        <v>41852</v>
      </c>
      <c r="B3479" s="12">
        <f t="shared" si="162"/>
        <v>8</v>
      </c>
      <c r="C3479" s="12">
        <f t="shared" si="163"/>
        <v>2014</v>
      </c>
      <c r="E3479" s="13">
        <v>35.754199999999997</v>
      </c>
      <c r="F3479" s="13" t="str">
        <f t="shared" si="164"/>
        <v/>
      </c>
    </row>
    <row r="3480" spans="1:6" x14ac:dyDescent="0.25">
      <c r="A3480" s="10">
        <v>41855</v>
      </c>
      <c r="B3480" s="12">
        <f t="shared" si="162"/>
        <v>8</v>
      </c>
      <c r="C3480" s="12">
        <f t="shared" si="163"/>
        <v>2014</v>
      </c>
      <c r="E3480" s="13">
        <v>35.8523</v>
      </c>
      <c r="F3480" s="13" t="str">
        <f t="shared" si="164"/>
        <v/>
      </c>
    </row>
    <row r="3481" spans="1:6" x14ac:dyDescent="0.25">
      <c r="A3481" s="10">
        <v>41856</v>
      </c>
      <c r="B3481" s="12">
        <f t="shared" si="162"/>
        <v>8</v>
      </c>
      <c r="C3481" s="12">
        <f t="shared" si="163"/>
        <v>2014</v>
      </c>
      <c r="E3481" s="13">
        <v>36.097299999999997</v>
      </c>
      <c r="F3481" s="13" t="str">
        <f t="shared" si="164"/>
        <v/>
      </c>
    </row>
    <row r="3482" spans="1:6" x14ac:dyDescent="0.25">
      <c r="A3482" s="10">
        <v>41857</v>
      </c>
      <c r="B3482" s="12">
        <f t="shared" si="162"/>
        <v>8</v>
      </c>
      <c r="C3482" s="12">
        <f t="shared" si="163"/>
        <v>2014</v>
      </c>
      <c r="E3482" s="13">
        <v>36.186500000000002</v>
      </c>
      <c r="F3482" s="13" t="str">
        <f t="shared" si="164"/>
        <v/>
      </c>
    </row>
    <row r="3483" spans="1:6" x14ac:dyDescent="0.25">
      <c r="A3483" s="10">
        <v>41858</v>
      </c>
      <c r="B3483" s="12">
        <f t="shared" si="162"/>
        <v>8</v>
      </c>
      <c r="C3483" s="12">
        <f t="shared" si="163"/>
        <v>2014</v>
      </c>
      <c r="E3483" s="13">
        <v>36.32</v>
      </c>
      <c r="F3483" s="13" t="str">
        <f t="shared" si="164"/>
        <v/>
      </c>
    </row>
    <row r="3484" spans="1:6" x14ac:dyDescent="0.25">
      <c r="A3484" s="10">
        <v>41859</v>
      </c>
      <c r="B3484" s="12">
        <f t="shared" si="162"/>
        <v>8</v>
      </c>
      <c r="C3484" s="12">
        <f t="shared" si="163"/>
        <v>2014</v>
      </c>
      <c r="E3484" s="13">
        <v>36.148000000000003</v>
      </c>
      <c r="F3484" s="13" t="str">
        <f t="shared" si="164"/>
        <v/>
      </c>
    </row>
    <row r="3485" spans="1:6" x14ac:dyDescent="0.25">
      <c r="A3485" s="10">
        <v>41862</v>
      </c>
      <c r="B3485" s="12">
        <f t="shared" si="162"/>
        <v>8</v>
      </c>
      <c r="C3485" s="12">
        <f t="shared" si="163"/>
        <v>2014</v>
      </c>
      <c r="E3485" s="13">
        <v>35.902999999999999</v>
      </c>
      <c r="F3485" s="13" t="str">
        <f t="shared" si="164"/>
        <v/>
      </c>
    </row>
    <row r="3486" spans="1:6" x14ac:dyDescent="0.25">
      <c r="A3486" s="10">
        <v>41863</v>
      </c>
      <c r="B3486" s="12">
        <f t="shared" si="162"/>
        <v>8</v>
      </c>
      <c r="C3486" s="12">
        <f t="shared" si="163"/>
        <v>2014</v>
      </c>
      <c r="E3486" s="13">
        <v>36.182000000000002</v>
      </c>
      <c r="F3486" s="13" t="str">
        <f t="shared" si="164"/>
        <v/>
      </c>
    </row>
    <row r="3487" spans="1:6" x14ac:dyDescent="0.25">
      <c r="A3487" s="10">
        <v>41864</v>
      </c>
      <c r="B3487" s="12">
        <f t="shared" si="162"/>
        <v>8</v>
      </c>
      <c r="C3487" s="12">
        <f t="shared" si="163"/>
        <v>2014</v>
      </c>
      <c r="E3487" s="13">
        <v>35.991399999999999</v>
      </c>
      <c r="F3487" s="13" t="str">
        <f t="shared" si="164"/>
        <v/>
      </c>
    </row>
    <row r="3488" spans="1:6" x14ac:dyDescent="0.25">
      <c r="A3488" s="10">
        <v>41865</v>
      </c>
      <c r="B3488" s="12">
        <f t="shared" si="162"/>
        <v>8</v>
      </c>
      <c r="C3488" s="12">
        <f t="shared" si="163"/>
        <v>2014</v>
      </c>
      <c r="E3488" s="13">
        <v>36.024700000000003</v>
      </c>
      <c r="F3488" s="13" t="str">
        <f t="shared" si="164"/>
        <v/>
      </c>
    </row>
    <row r="3489" spans="1:6" x14ac:dyDescent="0.25">
      <c r="A3489" s="10">
        <v>41866</v>
      </c>
      <c r="B3489" s="12">
        <f t="shared" si="162"/>
        <v>8</v>
      </c>
      <c r="C3489" s="12">
        <f t="shared" si="163"/>
        <v>2014</v>
      </c>
      <c r="E3489" s="13">
        <v>36.11</v>
      </c>
      <c r="F3489" s="13" t="str">
        <f t="shared" si="164"/>
        <v/>
      </c>
    </row>
    <row r="3490" spans="1:6" x14ac:dyDescent="0.25">
      <c r="A3490" s="10">
        <v>41869</v>
      </c>
      <c r="B3490" s="12">
        <f t="shared" si="162"/>
        <v>8</v>
      </c>
      <c r="C3490" s="12">
        <f t="shared" si="163"/>
        <v>2014</v>
      </c>
      <c r="E3490" s="13">
        <v>36.070500000000003</v>
      </c>
      <c r="F3490" s="13" t="str">
        <f t="shared" si="164"/>
        <v/>
      </c>
    </row>
    <row r="3491" spans="1:6" x14ac:dyDescent="0.25">
      <c r="A3491" s="10">
        <v>41870</v>
      </c>
      <c r="B3491" s="12">
        <f t="shared" si="162"/>
        <v>8</v>
      </c>
      <c r="C3491" s="12">
        <f t="shared" si="163"/>
        <v>2014</v>
      </c>
      <c r="E3491" s="13">
        <v>36.164999999999999</v>
      </c>
      <c r="F3491" s="13" t="str">
        <f t="shared" si="164"/>
        <v/>
      </c>
    </row>
    <row r="3492" spans="1:6" x14ac:dyDescent="0.25">
      <c r="A3492" s="10">
        <v>41871</v>
      </c>
      <c r="B3492" s="12">
        <f t="shared" si="162"/>
        <v>8</v>
      </c>
      <c r="C3492" s="12">
        <f t="shared" si="163"/>
        <v>2014</v>
      </c>
      <c r="E3492" s="13">
        <v>36.327500000000001</v>
      </c>
      <c r="F3492" s="13" t="str">
        <f t="shared" si="164"/>
        <v/>
      </c>
    </row>
    <row r="3493" spans="1:6" x14ac:dyDescent="0.25">
      <c r="A3493" s="10">
        <v>41872</v>
      </c>
      <c r="B3493" s="12">
        <f t="shared" si="162"/>
        <v>8</v>
      </c>
      <c r="C3493" s="12">
        <f t="shared" si="163"/>
        <v>2014</v>
      </c>
      <c r="E3493" s="13">
        <v>36.000500000000002</v>
      </c>
      <c r="F3493" s="13" t="str">
        <f t="shared" si="164"/>
        <v/>
      </c>
    </row>
    <row r="3494" spans="1:6" x14ac:dyDescent="0.25">
      <c r="A3494" s="10">
        <v>41873</v>
      </c>
      <c r="B3494" s="12">
        <f t="shared" si="162"/>
        <v>8</v>
      </c>
      <c r="C3494" s="12">
        <f t="shared" si="163"/>
        <v>2014</v>
      </c>
      <c r="E3494" s="13">
        <v>36.135199999999998</v>
      </c>
      <c r="F3494" s="13" t="str">
        <f t="shared" si="164"/>
        <v/>
      </c>
    </row>
    <row r="3495" spans="1:6" x14ac:dyDescent="0.25">
      <c r="A3495" s="10">
        <v>41876</v>
      </c>
      <c r="B3495" s="12">
        <f t="shared" si="162"/>
        <v>8</v>
      </c>
      <c r="C3495" s="12">
        <f t="shared" si="163"/>
        <v>2014</v>
      </c>
      <c r="E3495" s="13">
        <v>36.121499999999997</v>
      </c>
      <c r="F3495" s="13" t="str">
        <f t="shared" si="164"/>
        <v/>
      </c>
    </row>
    <row r="3496" spans="1:6" x14ac:dyDescent="0.25">
      <c r="A3496" s="10">
        <v>41877</v>
      </c>
      <c r="B3496" s="12">
        <f t="shared" si="162"/>
        <v>8</v>
      </c>
      <c r="C3496" s="12">
        <f t="shared" si="163"/>
        <v>2014</v>
      </c>
      <c r="E3496" s="13">
        <v>36.155000000000001</v>
      </c>
      <c r="F3496" s="13" t="str">
        <f t="shared" si="164"/>
        <v/>
      </c>
    </row>
    <row r="3497" spans="1:6" x14ac:dyDescent="0.25">
      <c r="A3497" s="10">
        <v>41878</v>
      </c>
      <c r="B3497" s="12">
        <f t="shared" si="162"/>
        <v>8</v>
      </c>
      <c r="C3497" s="12">
        <f t="shared" si="163"/>
        <v>2014</v>
      </c>
      <c r="E3497" s="13">
        <v>36.172699999999999</v>
      </c>
      <c r="F3497" s="13" t="str">
        <f t="shared" si="164"/>
        <v/>
      </c>
    </row>
    <row r="3498" spans="1:6" x14ac:dyDescent="0.25">
      <c r="A3498" s="10">
        <v>41879</v>
      </c>
      <c r="B3498" s="12">
        <f t="shared" si="162"/>
        <v>8</v>
      </c>
      <c r="C3498" s="12">
        <f t="shared" si="163"/>
        <v>2014</v>
      </c>
      <c r="E3498" s="13">
        <v>36.763100000000001</v>
      </c>
      <c r="F3498" s="13" t="str">
        <f t="shared" si="164"/>
        <v/>
      </c>
    </row>
    <row r="3499" spans="1:6" x14ac:dyDescent="0.25">
      <c r="A3499" s="10">
        <v>41880</v>
      </c>
      <c r="B3499" s="12">
        <f t="shared" si="162"/>
        <v>8</v>
      </c>
      <c r="C3499" s="12">
        <f t="shared" si="163"/>
        <v>2014</v>
      </c>
      <c r="E3499" s="13">
        <v>37.047499999999999</v>
      </c>
      <c r="F3499" s="13" t="str">
        <f t="shared" si="164"/>
        <v/>
      </c>
    </row>
    <row r="3500" spans="1:6" x14ac:dyDescent="0.25">
      <c r="A3500" s="10">
        <v>41884</v>
      </c>
      <c r="B3500" s="12">
        <f t="shared" si="162"/>
        <v>9</v>
      </c>
      <c r="C3500" s="12">
        <f t="shared" si="163"/>
        <v>2014</v>
      </c>
      <c r="E3500" s="13">
        <v>37.441000000000003</v>
      </c>
      <c r="F3500" s="13" t="str">
        <f t="shared" si="164"/>
        <v/>
      </c>
    </row>
    <row r="3501" spans="1:6" x14ac:dyDescent="0.25">
      <c r="A3501" s="10">
        <v>41885</v>
      </c>
      <c r="B3501" s="12">
        <f t="shared" si="162"/>
        <v>9</v>
      </c>
      <c r="C3501" s="12">
        <f t="shared" si="163"/>
        <v>2014</v>
      </c>
      <c r="E3501" s="13">
        <v>36.847499999999997</v>
      </c>
      <c r="F3501" s="13" t="str">
        <f t="shared" si="164"/>
        <v/>
      </c>
    </row>
    <row r="3502" spans="1:6" x14ac:dyDescent="0.25">
      <c r="A3502" s="10">
        <v>41886</v>
      </c>
      <c r="B3502" s="12">
        <f t="shared" si="162"/>
        <v>9</v>
      </c>
      <c r="C3502" s="12">
        <f t="shared" si="163"/>
        <v>2014</v>
      </c>
      <c r="E3502" s="13">
        <v>36.979999999999997</v>
      </c>
      <c r="F3502" s="13" t="str">
        <f t="shared" si="164"/>
        <v/>
      </c>
    </row>
    <row r="3503" spans="1:6" x14ac:dyDescent="0.25">
      <c r="A3503" s="10">
        <v>41887</v>
      </c>
      <c r="B3503" s="12">
        <f t="shared" si="162"/>
        <v>9</v>
      </c>
      <c r="C3503" s="12">
        <f t="shared" si="163"/>
        <v>2014</v>
      </c>
      <c r="E3503" s="13">
        <v>36.94</v>
      </c>
      <c r="F3503" s="13" t="str">
        <f t="shared" si="164"/>
        <v/>
      </c>
    </row>
    <row r="3504" spans="1:6" x14ac:dyDescent="0.25">
      <c r="A3504" s="10">
        <v>41890</v>
      </c>
      <c r="B3504" s="12">
        <f t="shared" si="162"/>
        <v>9</v>
      </c>
      <c r="C3504" s="12">
        <f t="shared" si="163"/>
        <v>2014</v>
      </c>
      <c r="E3504" s="13">
        <v>37.045900000000003</v>
      </c>
      <c r="F3504" s="13" t="str">
        <f t="shared" si="164"/>
        <v/>
      </c>
    </row>
    <row r="3505" spans="1:6" x14ac:dyDescent="0.25">
      <c r="A3505" s="10">
        <v>41891</v>
      </c>
      <c r="B3505" s="12">
        <f t="shared" si="162"/>
        <v>9</v>
      </c>
      <c r="C3505" s="12">
        <f t="shared" si="163"/>
        <v>2014</v>
      </c>
      <c r="E3505" s="13">
        <v>37.088799999999999</v>
      </c>
      <c r="F3505" s="13" t="str">
        <f t="shared" si="164"/>
        <v/>
      </c>
    </row>
    <row r="3506" spans="1:6" x14ac:dyDescent="0.25">
      <c r="A3506" s="10">
        <v>41892</v>
      </c>
      <c r="B3506" s="12">
        <f t="shared" si="162"/>
        <v>9</v>
      </c>
      <c r="C3506" s="12">
        <f t="shared" si="163"/>
        <v>2014</v>
      </c>
      <c r="E3506" s="13">
        <v>37.292099999999998</v>
      </c>
      <c r="F3506" s="13" t="str">
        <f t="shared" si="164"/>
        <v/>
      </c>
    </row>
    <row r="3507" spans="1:6" x14ac:dyDescent="0.25">
      <c r="A3507" s="10">
        <v>41893</v>
      </c>
      <c r="B3507" s="12">
        <f t="shared" si="162"/>
        <v>9</v>
      </c>
      <c r="C3507" s="12">
        <f t="shared" si="163"/>
        <v>2014</v>
      </c>
      <c r="E3507" s="13">
        <v>37.5518</v>
      </c>
      <c r="F3507" s="13" t="str">
        <f t="shared" si="164"/>
        <v/>
      </c>
    </row>
    <row r="3508" spans="1:6" x14ac:dyDescent="0.25">
      <c r="A3508" s="10">
        <v>41894</v>
      </c>
      <c r="B3508" s="12">
        <f t="shared" si="162"/>
        <v>9</v>
      </c>
      <c r="C3508" s="12">
        <f t="shared" si="163"/>
        <v>2014</v>
      </c>
      <c r="E3508" s="13">
        <v>37.784999999999997</v>
      </c>
      <c r="F3508" s="13" t="str">
        <f t="shared" si="164"/>
        <v/>
      </c>
    </row>
    <row r="3509" spans="1:6" x14ac:dyDescent="0.25">
      <c r="A3509" s="10">
        <v>41897</v>
      </c>
      <c r="B3509" s="12">
        <f t="shared" si="162"/>
        <v>9</v>
      </c>
      <c r="C3509" s="12">
        <f t="shared" si="163"/>
        <v>2014</v>
      </c>
      <c r="E3509" s="13">
        <v>38.344999999999999</v>
      </c>
      <c r="F3509" s="13" t="str">
        <f t="shared" si="164"/>
        <v/>
      </c>
    </row>
    <row r="3510" spans="1:6" x14ac:dyDescent="0.25">
      <c r="A3510" s="10">
        <v>41898</v>
      </c>
      <c r="B3510" s="12">
        <f t="shared" si="162"/>
        <v>9</v>
      </c>
      <c r="C3510" s="12">
        <f t="shared" si="163"/>
        <v>2014</v>
      </c>
      <c r="E3510" s="13">
        <v>38.322499999999998</v>
      </c>
      <c r="F3510" s="13" t="str">
        <f t="shared" si="164"/>
        <v/>
      </c>
    </row>
    <row r="3511" spans="1:6" x14ac:dyDescent="0.25">
      <c r="A3511" s="10">
        <v>41899</v>
      </c>
      <c r="B3511" s="12">
        <f t="shared" si="162"/>
        <v>9</v>
      </c>
      <c r="C3511" s="12">
        <f t="shared" si="163"/>
        <v>2014</v>
      </c>
      <c r="E3511" s="13">
        <v>38.505000000000003</v>
      </c>
      <c r="F3511" s="13" t="str">
        <f t="shared" si="164"/>
        <v/>
      </c>
    </row>
    <row r="3512" spans="1:6" x14ac:dyDescent="0.25">
      <c r="A3512" s="10">
        <v>41900</v>
      </c>
      <c r="B3512" s="12">
        <f t="shared" si="162"/>
        <v>9</v>
      </c>
      <c r="C3512" s="12">
        <f t="shared" si="163"/>
        <v>2014</v>
      </c>
      <c r="E3512" s="13">
        <v>38.443899999999999</v>
      </c>
      <c r="F3512" s="13" t="str">
        <f t="shared" si="164"/>
        <v/>
      </c>
    </row>
    <row r="3513" spans="1:6" x14ac:dyDescent="0.25">
      <c r="A3513" s="10">
        <v>41901</v>
      </c>
      <c r="B3513" s="12">
        <f t="shared" si="162"/>
        <v>9</v>
      </c>
      <c r="C3513" s="12">
        <f t="shared" si="163"/>
        <v>2014</v>
      </c>
      <c r="E3513" s="13">
        <v>38.427500000000002</v>
      </c>
      <c r="F3513" s="13" t="str">
        <f t="shared" si="164"/>
        <v/>
      </c>
    </row>
    <row r="3514" spans="1:6" x14ac:dyDescent="0.25">
      <c r="A3514" s="10">
        <v>41904</v>
      </c>
      <c r="B3514" s="12">
        <f t="shared" si="162"/>
        <v>9</v>
      </c>
      <c r="C3514" s="12">
        <f t="shared" si="163"/>
        <v>2014</v>
      </c>
      <c r="D3514" s="13">
        <v>12150</v>
      </c>
      <c r="E3514" s="13">
        <v>38.659999999999997</v>
      </c>
      <c r="F3514" s="13">
        <f t="shared" si="164"/>
        <v>314.27832384893952</v>
      </c>
    </row>
    <row r="3515" spans="1:6" x14ac:dyDescent="0.25">
      <c r="A3515" s="10">
        <v>41905</v>
      </c>
      <c r="B3515" s="12">
        <f t="shared" si="162"/>
        <v>9</v>
      </c>
      <c r="C3515" s="12">
        <f t="shared" si="163"/>
        <v>2014</v>
      </c>
      <c r="D3515" s="13">
        <v>12150</v>
      </c>
      <c r="E3515" s="13">
        <v>38.6</v>
      </c>
      <c r="F3515" s="13">
        <f t="shared" si="164"/>
        <v>314.76683937823833</v>
      </c>
    </row>
    <row r="3516" spans="1:6" x14ac:dyDescent="0.25">
      <c r="A3516" s="10">
        <v>41906</v>
      </c>
      <c r="B3516" s="12">
        <f t="shared" si="162"/>
        <v>9</v>
      </c>
      <c r="C3516" s="12">
        <f t="shared" si="163"/>
        <v>2014</v>
      </c>
      <c r="D3516" s="13">
        <v>12150</v>
      </c>
      <c r="E3516" s="13">
        <v>38.17</v>
      </c>
      <c r="F3516" s="13">
        <f t="shared" si="164"/>
        <v>318.31281110820015</v>
      </c>
    </row>
    <row r="3517" spans="1:6" x14ac:dyDescent="0.25">
      <c r="A3517" s="10">
        <v>41907</v>
      </c>
      <c r="B3517" s="12">
        <f t="shared" si="162"/>
        <v>9</v>
      </c>
      <c r="C3517" s="12">
        <f t="shared" si="163"/>
        <v>2014</v>
      </c>
      <c r="D3517" s="13">
        <v>12150</v>
      </c>
      <c r="E3517" s="13">
        <v>38.477699999999999</v>
      </c>
      <c r="F3517" s="13">
        <f t="shared" si="164"/>
        <v>315.76731457441582</v>
      </c>
    </row>
    <row r="3518" spans="1:6" x14ac:dyDescent="0.25">
      <c r="A3518" s="10">
        <v>41908</v>
      </c>
      <c r="B3518" s="12">
        <f t="shared" si="162"/>
        <v>9</v>
      </c>
      <c r="C3518" s="12">
        <f t="shared" si="163"/>
        <v>2014</v>
      </c>
      <c r="D3518" s="13">
        <v>12150</v>
      </c>
      <c r="E3518" s="13">
        <v>39.137500000000003</v>
      </c>
      <c r="F3518" s="13">
        <f t="shared" si="164"/>
        <v>310.44394762056851</v>
      </c>
    </row>
    <row r="3519" spans="1:6" x14ac:dyDescent="0.25">
      <c r="A3519" s="10">
        <v>41911</v>
      </c>
      <c r="B3519" s="12">
        <f t="shared" si="162"/>
        <v>9</v>
      </c>
      <c r="C3519" s="12">
        <f t="shared" si="163"/>
        <v>2014</v>
      </c>
      <c r="D3519" s="13">
        <v>12250</v>
      </c>
      <c r="E3519" s="13">
        <v>39.4619</v>
      </c>
      <c r="F3519" s="13">
        <f t="shared" si="164"/>
        <v>310.42600584361116</v>
      </c>
    </row>
    <row r="3520" spans="1:6" x14ac:dyDescent="0.25">
      <c r="A3520" s="10">
        <v>41912</v>
      </c>
      <c r="B3520" s="12">
        <f t="shared" si="162"/>
        <v>9</v>
      </c>
      <c r="C3520" s="12">
        <f t="shared" si="163"/>
        <v>2014</v>
      </c>
      <c r="D3520" s="13">
        <v>12250</v>
      </c>
      <c r="E3520" s="13">
        <v>39.593600000000002</v>
      </c>
      <c r="F3520" s="13">
        <f t="shared" si="164"/>
        <v>309.39343732320373</v>
      </c>
    </row>
    <row r="3521" spans="1:6" x14ac:dyDescent="0.25">
      <c r="A3521" s="10">
        <v>41913</v>
      </c>
      <c r="B3521" s="12">
        <f t="shared" si="162"/>
        <v>10</v>
      </c>
      <c r="C3521" s="12">
        <f t="shared" si="163"/>
        <v>2014</v>
      </c>
      <c r="D3521" s="13">
        <v>12250</v>
      </c>
      <c r="E3521" s="13">
        <v>39.667999999999999</v>
      </c>
      <c r="F3521" s="13">
        <f t="shared" si="164"/>
        <v>308.81314913784411</v>
      </c>
    </row>
    <row r="3522" spans="1:6" x14ac:dyDescent="0.25">
      <c r="A3522" s="10">
        <v>41914</v>
      </c>
      <c r="B3522" s="12">
        <f t="shared" si="162"/>
        <v>10</v>
      </c>
      <c r="C3522" s="12">
        <f t="shared" si="163"/>
        <v>2014</v>
      </c>
      <c r="D3522" s="13">
        <v>12250</v>
      </c>
      <c r="E3522" s="13">
        <v>39.547199999999997</v>
      </c>
      <c r="F3522" s="13">
        <f t="shared" si="164"/>
        <v>309.75644293401308</v>
      </c>
    </row>
    <row r="3523" spans="1:6" x14ac:dyDescent="0.25">
      <c r="A3523" s="10">
        <v>41915</v>
      </c>
      <c r="B3523" s="12">
        <f t="shared" ref="B3523:B3586" si="165">MONTH(A3523)</f>
        <v>10</v>
      </c>
      <c r="C3523" s="12">
        <f t="shared" ref="C3523:C3586" si="166">YEAR(A3523)</f>
        <v>2014</v>
      </c>
      <c r="D3523" s="13">
        <v>12250</v>
      </c>
      <c r="E3523" s="13">
        <v>39.975999999999999</v>
      </c>
      <c r="F3523" s="13">
        <f t="shared" ref="F3523:F3586" si="167">IF(D3523="","",D3523/E3523)</f>
        <v>306.43386031618974</v>
      </c>
    </row>
    <row r="3524" spans="1:6" x14ac:dyDescent="0.25">
      <c r="A3524" s="10">
        <v>41918</v>
      </c>
      <c r="B3524" s="12">
        <f t="shared" si="165"/>
        <v>10</v>
      </c>
      <c r="C3524" s="12">
        <f t="shared" si="166"/>
        <v>2014</v>
      </c>
      <c r="D3524" s="13">
        <v>12650</v>
      </c>
      <c r="E3524" s="13">
        <v>39.716000000000001</v>
      </c>
      <c r="F3524" s="13">
        <f t="shared" si="167"/>
        <v>318.51143116124484</v>
      </c>
    </row>
    <row r="3525" spans="1:6" x14ac:dyDescent="0.25">
      <c r="A3525" s="10">
        <v>41919</v>
      </c>
      <c r="B3525" s="12">
        <f t="shared" si="165"/>
        <v>10</v>
      </c>
      <c r="C3525" s="12">
        <f t="shared" si="166"/>
        <v>2014</v>
      </c>
      <c r="D3525" s="13">
        <v>12650</v>
      </c>
      <c r="E3525" s="13">
        <v>39.94</v>
      </c>
      <c r="F3525" s="13">
        <f t="shared" si="167"/>
        <v>316.7250876314472</v>
      </c>
    </row>
    <row r="3526" spans="1:6" x14ac:dyDescent="0.25">
      <c r="A3526" s="10">
        <v>41920</v>
      </c>
      <c r="B3526" s="12">
        <f t="shared" si="165"/>
        <v>10</v>
      </c>
      <c r="C3526" s="12">
        <f t="shared" si="166"/>
        <v>2014</v>
      </c>
      <c r="D3526" s="13">
        <v>12650</v>
      </c>
      <c r="E3526" s="13">
        <v>39.97</v>
      </c>
      <c r="F3526" s="13">
        <f t="shared" si="167"/>
        <v>316.48736552414312</v>
      </c>
    </row>
    <row r="3527" spans="1:6" x14ac:dyDescent="0.25">
      <c r="A3527" s="10">
        <v>41921</v>
      </c>
      <c r="B3527" s="12">
        <f t="shared" si="165"/>
        <v>10</v>
      </c>
      <c r="C3527" s="12">
        <f t="shared" si="166"/>
        <v>2014</v>
      </c>
      <c r="D3527" s="13">
        <v>12650</v>
      </c>
      <c r="E3527" s="13">
        <v>40.131</v>
      </c>
      <c r="F3527" s="13">
        <f t="shared" si="167"/>
        <v>315.21766215643765</v>
      </c>
    </row>
    <row r="3528" spans="1:6" x14ac:dyDescent="0.25">
      <c r="A3528" s="10">
        <v>41922</v>
      </c>
      <c r="B3528" s="12">
        <f t="shared" si="165"/>
        <v>10</v>
      </c>
      <c r="C3528" s="12">
        <f t="shared" si="166"/>
        <v>2014</v>
      </c>
      <c r="D3528" s="13">
        <v>12650</v>
      </c>
      <c r="E3528" s="13">
        <v>40.354999999999997</v>
      </c>
      <c r="F3528" s="13">
        <f t="shared" si="167"/>
        <v>313.46797175071248</v>
      </c>
    </row>
    <row r="3529" spans="1:6" x14ac:dyDescent="0.25">
      <c r="A3529" s="10">
        <v>41925</v>
      </c>
      <c r="B3529" s="12">
        <f t="shared" si="165"/>
        <v>10</v>
      </c>
      <c r="C3529" s="12">
        <f t="shared" si="166"/>
        <v>2014</v>
      </c>
      <c r="D3529" s="13">
        <v>13250</v>
      </c>
      <c r="E3529" s="13">
        <v>40.427500000000002</v>
      </c>
      <c r="F3529" s="13">
        <f t="shared" si="167"/>
        <v>327.7472017809659</v>
      </c>
    </row>
    <row r="3530" spans="1:6" x14ac:dyDescent="0.25">
      <c r="A3530" s="10">
        <v>41926</v>
      </c>
      <c r="B3530" s="12">
        <f t="shared" si="165"/>
        <v>10</v>
      </c>
      <c r="C3530" s="12">
        <f t="shared" si="166"/>
        <v>2014</v>
      </c>
      <c r="D3530" s="13">
        <v>13250</v>
      </c>
      <c r="E3530" s="13">
        <v>40.913699999999999</v>
      </c>
      <c r="F3530" s="13">
        <f t="shared" si="167"/>
        <v>323.85240151831783</v>
      </c>
    </row>
    <row r="3531" spans="1:6" x14ac:dyDescent="0.25">
      <c r="A3531" s="10">
        <v>41927</v>
      </c>
      <c r="B3531" s="12">
        <f t="shared" si="165"/>
        <v>10</v>
      </c>
      <c r="C3531" s="12">
        <f t="shared" si="166"/>
        <v>2014</v>
      </c>
      <c r="D3531" s="13">
        <v>13250</v>
      </c>
      <c r="E3531" s="13">
        <v>40.394100000000002</v>
      </c>
      <c r="F3531" s="13">
        <f t="shared" si="167"/>
        <v>328.01820067782177</v>
      </c>
    </row>
    <row r="3532" spans="1:6" x14ac:dyDescent="0.25">
      <c r="A3532" s="10">
        <v>41928</v>
      </c>
      <c r="B3532" s="12">
        <f t="shared" si="165"/>
        <v>10</v>
      </c>
      <c r="C3532" s="12">
        <f t="shared" si="166"/>
        <v>2014</v>
      </c>
      <c r="D3532" s="13">
        <v>13250</v>
      </c>
      <c r="E3532" s="13">
        <v>40.872500000000002</v>
      </c>
      <c r="F3532" s="13">
        <f t="shared" si="167"/>
        <v>324.17884885925741</v>
      </c>
    </row>
    <row r="3533" spans="1:6" x14ac:dyDescent="0.25">
      <c r="A3533" s="10">
        <v>41929</v>
      </c>
      <c r="B3533" s="12">
        <f t="shared" si="165"/>
        <v>10</v>
      </c>
      <c r="C3533" s="12">
        <f t="shared" si="166"/>
        <v>2014</v>
      </c>
      <c r="D3533" s="13">
        <v>13250</v>
      </c>
      <c r="E3533" s="13">
        <v>40.738999999999997</v>
      </c>
      <c r="F3533" s="13">
        <f t="shared" si="167"/>
        <v>325.24116939541966</v>
      </c>
    </row>
    <row r="3534" spans="1:6" x14ac:dyDescent="0.25">
      <c r="A3534" s="10">
        <v>41932</v>
      </c>
      <c r="B3534" s="12">
        <f t="shared" si="165"/>
        <v>10</v>
      </c>
      <c r="C3534" s="12">
        <f t="shared" si="166"/>
        <v>2014</v>
      </c>
      <c r="D3534" s="13">
        <v>14100</v>
      </c>
      <c r="E3534" s="13">
        <v>41.042499999999997</v>
      </c>
      <c r="F3534" s="13">
        <f t="shared" si="167"/>
        <v>343.54632393250898</v>
      </c>
    </row>
    <row r="3535" spans="1:6" x14ac:dyDescent="0.25">
      <c r="A3535" s="10">
        <v>41933</v>
      </c>
      <c r="B3535" s="12">
        <f t="shared" si="165"/>
        <v>10</v>
      </c>
      <c r="C3535" s="12">
        <f t="shared" si="166"/>
        <v>2014</v>
      </c>
      <c r="D3535" s="13">
        <v>14100</v>
      </c>
      <c r="E3535" s="13">
        <v>40.947499999999998</v>
      </c>
      <c r="F3535" s="13">
        <f t="shared" si="167"/>
        <v>344.34336650589171</v>
      </c>
    </row>
    <row r="3536" spans="1:6" x14ac:dyDescent="0.25">
      <c r="A3536" s="10">
        <v>41934</v>
      </c>
      <c r="B3536" s="12">
        <f t="shared" si="165"/>
        <v>10</v>
      </c>
      <c r="C3536" s="12">
        <f t="shared" si="166"/>
        <v>2014</v>
      </c>
      <c r="D3536" s="13">
        <v>14100</v>
      </c>
      <c r="E3536" s="13">
        <v>41.375</v>
      </c>
      <c r="F3536" s="13">
        <f t="shared" si="167"/>
        <v>340.785498489426</v>
      </c>
    </row>
    <row r="3537" spans="1:6" x14ac:dyDescent="0.25">
      <c r="A3537" s="10">
        <v>41935</v>
      </c>
      <c r="B3537" s="12">
        <f t="shared" si="165"/>
        <v>10</v>
      </c>
      <c r="C3537" s="12">
        <f t="shared" si="166"/>
        <v>2014</v>
      </c>
      <c r="D3537" s="13">
        <v>14100</v>
      </c>
      <c r="E3537" s="13">
        <v>41.695</v>
      </c>
      <c r="F3537" s="13">
        <f t="shared" si="167"/>
        <v>338.17004436982853</v>
      </c>
    </row>
    <row r="3538" spans="1:6" x14ac:dyDescent="0.25">
      <c r="A3538" s="10">
        <v>41936</v>
      </c>
      <c r="B3538" s="12">
        <f t="shared" si="165"/>
        <v>10</v>
      </c>
      <c r="C3538" s="12">
        <f t="shared" si="166"/>
        <v>2014</v>
      </c>
      <c r="D3538" s="13">
        <v>14100</v>
      </c>
      <c r="E3538" s="13">
        <v>41.907499999999999</v>
      </c>
      <c r="F3538" s="13">
        <f t="shared" si="167"/>
        <v>336.45528843285808</v>
      </c>
    </row>
    <row r="3539" spans="1:6" x14ac:dyDescent="0.25">
      <c r="A3539" s="10">
        <v>41939</v>
      </c>
      <c r="B3539" s="12">
        <f t="shared" si="165"/>
        <v>10</v>
      </c>
      <c r="C3539" s="12">
        <f t="shared" si="166"/>
        <v>2014</v>
      </c>
      <c r="D3539" s="13">
        <v>15150</v>
      </c>
      <c r="E3539" s="13">
        <v>42.25</v>
      </c>
      <c r="F3539" s="13">
        <f t="shared" si="167"/>
        <v>358.57988165680473</v>
      </c>
    </row>
    <row r="3540" spans="1:6" x14ac:dyDescent="0.25">
      <c r="A3540" s="10">
        <v>41940</v>
      </c>
      <c r="B3540" s="12">
        <f t="shared" si="165"/>
        <v>10</v>
      </c>
      <c r="C3540" s="12">
        <f t="shared" si="166"/>
        <v>2014</v>
      </c>
      <c r="D3540" s="13">
        <v>15150</v>
      </c>
      <c r="E3540" s="13">
        <v>42.435000000000002</v>
      </c>
      <c r="F3540" s="13">
        <f t="shared" si="167"/>
        <v>357.0166136443973</v>
      </c>
    </row>
    <row r="3541" spans="1:6" x14ac:dyDescent="0.25">
      <c r="A3541" s="10">
        <v>41941</v>
      </c>
      <c r="B3541" s="12">
        <f t="shared" si="165"/>
        <v>10</v>
      </c>
      <c r="C3541" s="12">
        <f t="shared" si="166"/>
        <v>2014</v>
      </c>
      <c r="D3541" s="13">
        <v>15150</v>
      </c>
      <c r="E3541" s="13">
        <v>43.174999999999997</v>
      </c>
      <c r="F3541" s="13">
        <f t="shared" si="167"/>
        <v>350.89751013317897</v>
      </c>
    </row>
    <row r="3542" spans="1:6" x14ac:dyDescent="0.25">
      <c r="A3542" s="10">
        <v>41942</v>
      </c>
      <c r="B3542" s="12">
        <f t="shared" si="165"/>
        <v>10</v>
      </c>
      <c r="C3542" s="12">
        <f t="shared" si="166"/>
        <v>2014</v>
      </c>
      <c r="D3542" s="13">
        <v>15150</v>
      </c>
      <c r="E3542" s="13">
        <v>41.572000000000003</v>
      </c>
      <c r="F3542" s="13">
        <f t="shared" si="167"/>
        <v>364.42798037140381</v>
      </c>
    </row>
    <row r="3543" spans="1:6" x14ac:dyDescent="0.25">
      <c r="A3543" s="10">
        <v>41943</v>
      </c>
      <c r="B3543" s="12">
        <f t="shared" si="165"/>
        <v>10</v>
      </c>
      <c r="C3543" s="12">
        <f t="shared" si="166"/>
        <v>2014</v>
      </c>
      <c r="D3543" s="13">
        <v>15150</v>
      </c>
      <c r="E3543" s="13">
        <v>43.0075</v>
      </c>
      <c r="F3543" s="13">
        <f t="shared" si="167"/>
        <v>352.26413997558564</v>
      </c>
    </row>
    <row r="3544" spans="1:6" x14ac:dyDescent="0.25">
      <c r="A3544" s="10">
        <v>41946</v>
      </c>
      <c r="B3544" s="12">
        <f t="shared" si="165"/>
        <v>11</v>
      </c>
      <c r="C3544" s="12">
        <f t="shared" si="166"/>
        <v>2014</v>
      </c>
      <c r="D3544" s="13">
        <v>15750</v>
      </c>
      <c r="E3544" s="13">
        <v>43.594999999999999</v>
      </c>
      <c r="F3544" s="13">
        <f t="shared" si="167"/>
        <v>361.27996329854341</v>
      </c>
    </row>
    <row r="3545" spans="1:6" x14ac:dyDescent="0.25">
      <c r="A3545" s="10">
        <v>41947</v>
      </c>
      <c r="B3545" s="12">
        <f t="shared" si="165"/>
        <v>11</v>
      </c>
      <c r="C3545" s="12">
        <f t="shared" si="166"/>
        <v>2014</v>
      </c>
      <c r="D3545" s="13">
        <v>15750</v>
      </c>
      <c r="E3545" s="13">
        <v>43.585000000000001</v>
      </c>
      <c r="F3545" s="13">
        <f t="shared" si="167"/>
        <v>361.36285419295626</v>
      </c>
    </row>
    <row r="3546" spans="1:6" x14ac:dyDescent="0.25">
      <c r="A3546" s="10">
        <v>41948</v>
      </c>
      <c r="B3546" s="12">
        <f t="shared" si="165"/>
        <v>11</v>
      </c>
      <c r="C3546" s="12">
        <f t="shared" si="166"/>
        <v>2014</v>
      </c>
      <c r="D3546" s="13">
        <v>15750</v>
      </c>
      <c r="E3546" s="13">
        <v>44.887</v>
      </c>
      <c r="F3546" s="13">
        <f t="shared" si="167"/>
        <v>350.88110143248599</v>
      </c>
    </row>
    <row r="3547" spans="1:6" x14ac:dyDescent="0.25">
      <c r="A3547" s="10">
        <v>41949</v>
      </c>
      <c r="B3547" s="12">
        <f t="shared" si="165"/>
        <v>11</v>
      </c>
      <c r="C3547" s="12">
        <f t="shared" si="166"/>
        <v>2014</v>
      </c>
      <c r="D3547" s="13">
        <v>15750</v>
      </c>
      <c r="E3547" s="13">
        <v>46.82</v>
      </c>
      <c r="F3547" s="13">
        <f t="shared" si="167"/>
        <v>336.39470311832548</v>
      </c>
    </row>
    <row r="3548" spans="1:6" x14ac:dyDescent="0.25">
      <c r="A3548" s="10">
        <v>41950</v>
      </c>
      <c r="B3548" s="12">
        <f t="shared" si="165"/>
        <v>11</v>
      </c>
      <c r="C3548" s="12">
        <f t="shared" si="166"/>
        <v>2014</v>
      </c>
      <c r="D3548" s="13">
        <v>15750</v>
      </c>
      <c r="E3548" s="13">
        <v>46.670999999999999</v>
      </c>
      <c r="F3548" s="13">
        <f t="shared" si="167"/>
        <v>337.46866362409207</v>
      </c>
    </row>
    <row r="3549" spans="1:6" x14ac:dyDescent="0.25">
      <c r="A3549" s="10">
        <v>41953</v>
      </c>
      <c r="B3549" s="12">
        <f t="shared" si="165"/>
        <v>11</v>
      </c>
      <c r="C3549" s="12">
        <f t="shared" si="166"/>
        <v>2014</v>
      </c>
      <c r="D3549" s="13">
        <v>16500</v>
      </c>
      <c r="E3549" s="13">
        <v>45.860999999999997</v>
      </c>
      <c r="F3549" s="13">
        <f t="shared" si="167"/>
        <v>359.78282200562569</v>
      </c>
    </row>
    <row r="3550" spans="1:6" x14ac:dyDescent="0.25">
      <c r="A3550" s="10">
        <v>41954</v>
      </c>
      <c r="B3550" s="12">
        <f t="shared" si="165"/>
        <v>11</v>
      </c>
      <c r="C3550" s="12">
        <f t="shared" si="166"/>
        <v>2014</v>
      </c>
      <c r="D3550" s="13">
        <v>16500</v>
      </c>
      <c r="E3550" s="13">
        <v>46.37</v>
      </c>
      <c r="F3550" s="13">
        <f t="shared" si="167"/>
        <v>355.83351304722885</v>
      </c>
    </row>
    <row r="3551" spans="1:6" x14ac:dyDescent="0.25">
      <c r="A3551" s="10">
        <v>41955</v>
      </c>
      <c r="B3551" s="12">
        <f t="shared" si="165"/>
        <v>11</v>
      </c>
      <c r="C3551" s="12">
        <f t="shared" si="166"/>
        <v>2014</v>
      </c>
      <c r="D3551" s="13">
        <v>16500</v>
      </c>
      <c r="E3551" s="13">
        <v>45.515000000000001</v>
      </c>
      <c r="F3551" s="13">
        <f t="shared" si="167"/>
        <v>362.51785125782709</v>
      </c>
    </row>
    <row r="3552" spans="1:6" x14ac:dyDescent="0.25">
      <c r="A3552" s="10">
        <v>41956</v>
      </c>
      <c r="B3552" s="12">
        <f t="shared" si="165"/>
        <v>11</v>
      </c>
      <c r="C3552" s="12">
        <f t="shared" si="166"/>
        <v>2014</v>
      </c>
      <c r="D3552" s="13">
        <v>16500</v>
      </c>
      <c r="E3552" s="13">
        <v>46.702500000000001</v>
      </c>
      <c r="F3552" s="13">
        <f t="shared" si="167"/>
        <v>353.30014453187732</v>
      </c>
    </row>
    <row r="3553" spans="1:6" x14ac:dyDescent="0.25">
      <c r="A3553" s="10">
        <v>41957</v>
      </c>
      <c r="B3553" s="12">
        <f t="shared" si="165"/>
        <v>11</v>
      </c>
      <c r="C3553" s="12">
        <f t="shared" si="166"/>
        <v>2014</v>
      </c>
      <c r="D3553" s="13">
        <v>16500</v>
      </c>
      <c r="E3553" s="13">
        <v>47.185099999999998</v>
      </c>
      <c r="F3553" s="13">
        <f t="shared" si="167"/>
        <v>349.68665955990343</v>
      </c>
    </row>
    <row r="3554" spans="1:6" x14ac:dyDescent="0.25">
      <c r="A3554" s="10">
        <v>41960</v>
      </c>
      <c r="B3554" s="12">
        <f t="shared" si="165"/>
        <v>11</v>
      </c>
      <c r="C3554" s="12">
        <f t="shared" si="166"/>
        <v>2014</v>
      </c>
      <c r="D3554" s="13">
        <v>17500</v>
      </c>
      <c r="E3554" s="13">
        <v>47.112499999999997</v>
      </c>
      <c r="F3554" s="13">
        <f t="shared" si="167"/>
        <v>371.45131334571505</v>
      </c>
    </row>
    <row r="3555" spans="1:6" x14ac:dyDescent="0.25">
      <c r="A3555" s="10">
        <v>41961</v>
      </c>
      <c r="B3555" s="12">
        <f t="shared" si="165"/>
        <v>11</v>
      </c>
      <c r="C3555" s="12">
        <f t="shared" si="166"/>
        <v>2014</v>
      </c>
      <c r="D3555" s="13">
        <v>17500</v>
      </c>
      <c r="E3555" s="13">
        <v>46.900100000000002</v>
      </c>
      <c r="F3555" s="13">
        <f t="shared" si="167"/>
        <v>373.13353276432247</v>
      </c>
    </row>
    <row r="3556" spans="1:6" x14ac:dyDescent="0.25">
      <c r="A3556" s="10">
        <v>41962</v>
      </c>
      <c r="B3556" s="12">
        <f t="shared" si="165"/>
        <v>11</v>
      </c>
      <c r="C3556" s="12">
        <f t="shared" si="166"/>
        <v>2014</v>
      </c>
      <c r="D3556" s="13">
        <v>17500</v>
      </c>
      <c r="E3556" s="13">
        <v>46.8583</v>
      </c>
      <c r="F3556" s="13">
        <f t="shared" si="167"/>
        <v>373.46638695812698</v>
      </c>
    </row>
    <row r="3557" spans="1:6" x14ac:dyDescent="0.25">
      <c r="A3557" s="10">
        <v>41963</v>
      </c>
      <c r="B3557" s="12">
        <f t="shared" si="165"/>
        <v>11</v>
      </c>
      <c r="C3557" s="12">
        <f t="shared" si="166"/>
        <v>2014</v>
      </c>
      <c r="D3557" s="13">
        <v>17500</v>
      </c>
      <c r="E3557" s="13">
        <v>46.155999999999999</v>
      </c>
      <c r="F3557" s="13">
        <f t="shared" si="167"/>
        <v>379.14897304792441</v>
      </c>
    </row>
    <row r="3558" spans="1:6" x14ac:dyDescent="0.25">
      <c r="A3558" s="10">
        <v>41964</v>
      </c>
      <c r="B3558" s="12">
        <f t="shared" si="165"/>
        <v>11</v>
      </c>
      <c r="C3558" s="12">
        <f t="shared" si="166"/>
        <v>2014</v>
      </c>
      <c r="D3558" s="13">
        <v>17500</v>
      </c>
      <c r="E3558" s="13">
        <v>45.689700000000002</v>
      </c>
      <c r="F3558" s="13">
        <f t="shared" si="167"/>
        <v>383.01849213280013</v>
      </c>
    </row>
    <row r="3559" spans="1:6" x14ac:dyDescent="0.25">
      <c r="A3559" s="10">
        <v>41967</v>
      </c>
      <c r="B3559" s="12">
        <f t="shared" si="165"/>
        <v>11</v>
      </c>
      <c r="C3559" s="12">
        <f t="shared" si="166"/>
        <v>2014</v>
      </c>
      <c r="D3559" s="13">
        <v>18250</v>
      </c>
      <c r="E3559" s="13">
        <v>44.993699999999997</v>
      </c>
      <c r="F3559" s="13">
        <f t="shared" si="167"/>
        <v>405.61234128333524</v>
      </c>
    </row>
    <row r="3560" spans="1:6" x14ac:dyDescent="0.25">
      <c r="A3560" s="10">
        <v>41968</v>
      </c>
      <c r="B3560" s="12">
        <f t="shared" si="165"/>
        <v>11</v>
      </c>
      <c r="C3560" s="12">
        <f t="shared" si="166"/>
        <v>2014</v>
      </c>
      <c r="D3560" s="13">
        <v>18250</v>
      </c>
      <c r="E3560" s="13">
        <v>46.3</v>
      </c>
      <c r="F3560" s="13">
        <f t="shared" si="167"/>
        <v>394.16846652267822</v>
      </c>
    </row>
    <row r="3561" spans="1:6" x14ac:dyDescent="0.25">
      <c r="A3561" s="10">
        <v>41969</v>
      </c>
      <c r="B3561" s="12">
        <f t="shared" si="165"/>
        <v>11</v>
      </c>
      <c r="C3561" s="12">
        <f t="shared" si="166"/>
        <v>2014</v>
      </c>
      <c r="D3561" s="13">
        <v>18250</v>
      </c>
      <c r="E3561" s="13">
        <v>47.42</v>
      </c>
      <c r="F3561" s="13">
        <f t="shared" si="167"/>
        <v>384.85870940531419</v>
      </c>
    </row>
    <row r="3562" spans="1:6" x14ac:dyDescent="0.25">
      <c r="A3562" s="10">
        <v>41971</v>
      </c>
      <c r="B3562" s="12">
        <f t="shared" si="165"/>
        <v>11</v>
      </c>
      <c r="C3562" s="12">
        <f t="shared" si="166"/>
        <v>2014</v>
      </c>
      <c r="D3562" s="13">
        <v>18250</v>
      </c>
      <c r="E3562" s="13">
        <v>50.38</v>
      </c>
      <c r="F3562" s="13">
        <f t="shared" si="167"/>
        <v>362.24692338229454</v>
      </c>
    </row>
    <row r="3563" spans="1:6" x14ac:dyDescent="0.25">
      <c r="A3563" s="10">
        <v>41974</v>
      </c>
      <c r="B3563" s="12">
        <f t="shared" si="165"/>
        <v>12</v>
      </c>
      <c r="C3563" s="12">
        <f t="shared" si="166"/>
        <v>2014</v>
      </c>
      <c r="D3563" s="13">
        <v>19000</v>
      </c>
      <c r="E3563" s="13">
        <v>51.185000000000002</v>
      </c>
      <c r="F3563" s="13">
        <f t="shared" si="167"/>
        <v>371.20250073263651</v>
      </c>
    </row>
    <row r="3564" spans="1:6" x14ac:dyDescent="0.25">
      <c r="A3564" s="10">
        <v>41975</v>
      </c>
      <c r="B3564" s="12">
        <f t="shared" si="165"/>
        <v>12</v>
      </c>
      <c r="C3564" s="12">
        <f t="shared" si="166"/>
        <v>2014</v>
      </c>
      <c r="D3564" s="13">
        <v>19000</v>
      </c>
      <c r="E3564" s="13">
        <v>53.871000000000002</v>
      </c>
      <c r="F3564" s="13">
        <f t="shared" si="167"/>
        <v>352.69439958419184</v>
      </c>
    </row>
    <row r="3565" spans="1:6" x14ac:dyDescent="0.25">
      <c r="A3565" s="10">
        <v>41976</v>
      </c>
      <c r="B3565" s="12">
        <f t="shared" si="165"/>
        <v>12</v>
      </c>
      <c r="C3565" s="12">
        <f t="shared" si="166"/>
        <v>2014</v>
      </c>
      <c r="D3565" s="13">
        <v>19000</v>
      </c>
      <c r="E3565" s="13">
        <v>53.481000000000002</v>
      </c>
      <c r="F3565" s="13">
        <f t="shared" si="167"/>
        <v>355.26635627606066</v>
      </c>
    </row>
    <row r="3566" spans="1:6" x14ac:dyDescent="0.25">
      <c r="A3566" s="10">
        <v>41977</v>
      </c>
      <c r="B3566" s="12">
        <f t="shared" si="165"/>
        <v>12</v>
      </c>
      <c r="C3566" s="12">
        <f t="shared" si="166"/>
        <v>2014</v>
      </c>
      <c r="D3566" s="13">
        <v>19000</v>
      </c>
      <c r="E3566" s="13">
        <v>54.384</v>
      </c>
      <c r="F3566" s="13">
        <f t="shared" si="167"/>
        <v>349.36746101794643</v>
      </c>
    </row>
    <row r="3567" spans="1:6" x14ac:dyDescent="0.25">
      <c r="A3567" s="10">
        <v>41978</v>
      </c>
      <c r="B3567" s="12">
        <f t="shared" si="165"/>
        <v>12</v>
      </c>
      <c r="C3567" s="12">
        <f t="shared" si="166"/>
        <v>2014</v>
      </c>
      <c r="D3567" s="13">
        <v>19000</v>
      </c>
      <c r="E3567" s="13">
        <v>52.615000000000002</v>
      </c>
      <c r="F3567" s="13">
        <f t="shared" si="167"/>
        <v>361.11375083151194</v>
      </c>
    </row>
    <row r="3568" spans="1:6" x14ac:dyDescent="0.25">
      <c r="A3568" s="10">
        <v>41981</v>
      </c>
      <c r="B3568" s="12">
        <f t="shared" si="165"/>
        <v>12</v>
      </c>
      <c r="C3568" s="12">
        <f t="shared" si="166"/>
        <v>2014</v>
      </c>
      <c r="D3568" s="13">
        <v>20000</v>
      </c>
      <c r="E3568" s="13">
        <v>53.744999999999997</v>
      </c>
      <c r="F3568" s="13">
        <f t="shared" si="167"/>
        <v>372.12763978044472</v>
      </c>
    </row>
    <row r="3569" spans="1:6" x14ac:dyDescent="0.25">
      <c r="A3569" s="10">
        <v>41982</v>
      </c>
      <c r="B3569" s="12">
        <f t="shared" si="165"/>
        <v>12</v>
      </c>
      <c r="C3569" s="12">
        <f t="shared" si="166"/>
        <v>2014</v>
      </c>
      <c r="D3569" s="13">
        <v>20000</v>
      </c>
      <c r="E3569" s="13">
        <v>54.063000000000002</v>
      </c>
      <c r="F3569" s="13">
        <f t="shared" si="167"/>
        <v>369.93877513271553</v>
      </c>
    </row>
    <row r="3570" spans="1:6" x14ac:dyDescent="0.25">
      <c r="A3570" s="10">
        <v>41983</v>
      </c>
      <c r="B3570" s="12">
        <f t="shared" si="165"/>
        <v>12</v>
      </c>
      <c r="C3570" s="12">
        <f t="shared" si="166"/>
        <v>2014</v>
      </c>
      <c r="D3570" s="13">
        <v>20000</v>
      </c>
      <c r="E3570" s="13">
        <v>54.865000000000002</v>
      </c>
      <c r="F3570" s="13">
        <f t="shared" si="167"/>
        <v>364.53112184452749</v>
      </c>
    </row>
    <row r="3571" spans="1:6" x14ac:dyDescent="0.25">
      <c r="A3571" s="10">
        <v>41984</v>
      </c>
      <c r="B3571" s="12">
        <f t="shared" si="165"/>
        <v>12</v>
      </c>
      <c r="C3571" s="12">
        <f t="shared" si="166"/>
        <v>2014</v>
      </c>
      <c r="D3571" s="13">
        <v>20000</v>
      </c>
      <c r="E3571" s="13">
        <v>56.42</v>
      </c>
      <c r="F3571" s="13">
        <f t="shared" si="167"/>
        <v>354.4842254519674</v>
      </c>
    </row>
    <row r="3572" spans="1:6" x14ac:dyDescent="0.25">
      <c r="A3572" s="10">
        <v>41985</v>
      </c>
      <c r="B3572" s="12">
        <f t="shared" si="165"/>
        <v>12</v>
      </c>
      <c r="C3572" s="12">
        <f t="shared" si="166"/>
        <v>2014</v>
      </c>
      <c r="D3572" s="13">
        <v>20000</v>
      </c>
      <c r="E3572" s="13">
        <v>58.213999999999999</v>
      </c>
      <c r="F3572" s="13">
        <f t="shared" si="167"/>
        <v>343.55996839248292</v>
      </c>
    </row>
    <row r="3573" spans="1:6" x14ac:dyDescent="0.25">
      <c r="A3573" s="10">
        <v>41988</v>
      </c>
      <c r="B3573" s="12">
        <f t="shared" si="165"/>
        <v>12</v>
      </c>
      <c r="C3573" s="12">
        <f t="shared" si="166"/>
        <v>2014</v>
      </c>
      <c r="D3573" s="13">
        <v>20250</v>
      </c>
      <c r="E3573" s="13">
        <v>65.897499999999994</v>
      </c>
      <c r="F3573" s="13">
        <f t="shared" si="167"/>
        <v>307.29542091885128</v>
      </c>
    </row>
    <row r="3574" spans="1:6" x14ac:dyDescent="0.25">
      <c r="A3574" s="10">
        <v>41989</v>
      </c>
      <c r="B3574" s="12">
        <f t="shared" si="165"/>
        <v>12</v>
      </c>
      <c r="C3574" s="12">
        <f t="shared" si="166"/>
        <v>2014</v>
      </c>
      <c r="D3574" s="13">
        <v>20250</v>
      </c>
      <c r="E3574" s="13">
        <v>68.417500000000004</v>
      </c>
      <c r="F3574" s="13">
        <f t="shared" si="167"/>
        <v>295.97690649322175</v>
      </c>
    </row>
    <row r="3575" spans="1:6" x14ac:dyDescent="0.25">
      <c r="A3575" s="10">
        <v>41990</v>
      </c>
      <c r="B3575" s="12">
        <f t="shared" si="165"/>
        <v>12</v>
      </c>
      <c r="C3575" s="12">
        <f t="shared" si="166"/>
        <v>2014</v>
      </c>
      <c r="D3575" s="13">
        <v>20250</v>
      </c>
      <c r="E3575" s="13">
        <v>60.151000000000003</v>
      </c>
      <c r="F3575" s="13">
        <f t="shared" si="167"/>
        <v>336.65275722764375</v>
      </c>
    </row>
    <row r="3576" spans="1:6" x14ac:dyDescent="0.25">
      <c r="A3576" s="10">
        <v>41991</v>
      </c>
      <c r="B3576" s="12">
        <f t="shared" si="165"/>
        <v>12</v>
      </c>
      <c r="C3576" s="12">
        <f t="shared" si="166"/>
        <v>2014</v>
      </c>
      <c r="D3576" s="13">
        <v>20250</v>
      </c>
      <c r="E3576" s="13">
        <v>61.935000000000002</v>
      </c>
      <c r="F3576" s="13">
        <f t="shared" si="167"/>
        <v>326.95567934124483</v>
      </c>
    </row>
    <row r="3577" spans="1:6" x14ac:dyDescent="0.25">
      <c r="A3577" s="10">
        <v>41992</v>
      </c>
      <c r="B3577" s="12">
        <f t="shared" si="165"/>
        <v>12</v>
      </c>
      <c r="C3577" s="12">
        <f t="shared" si="166"/>
        <v>2014</v>
      </c>
      <c r="D3577" s="13">
        <v>20250</v>
      </c>
      <c r="E3577" s="13">
        <v>58.250500000000002</v>
      </c>
      <c r="F3577" s="13">
        <f t="shared" si="167"/>
        <v>347.63650097424056</v>
      </c>
    </row>
    <row r="3578" spans="1:6" x14ac:dyDescent="0.25">
      <c r="A3578" s="10">
        <v>41995</v>
      </c>
      <c r="B3578" s="12">
        <f t="shared" si="165"/>
        <v>12</v>
      </c>
      <c r="C3578" s="12">
        <f t="shared" si="166"/>
        <v>2014</v>
      </c>
      <c r="D3578" s="13">
        <v>20350</v>
      </c>
      <c r="E3578" s="13">
        <v>55.62</v>
      </c>
      <c r="F3578" s="13">
        <f t="shared" si="167"/>
        <v>365.87558432218628</v>
      </c>
    </row>
    <row r="3579" spans="1:6" x14ac:dyDescent="0.25">
      <c r="A3579" s="10">
        <v>41996</v>
      </c>
      <c r="B3579" s="12">
        <f t="shared" si="165"/>
        <v>12</v>
      </c>
      <c r="C3579" s="12">
        <f t="shared" si="166"/>
        <v>2014</v>
      </c>
      <c r="D3579" s="13">
        <v>20350</v>
      </c>
      <c r="E3579" s="13">
        <v>54.48</v>
      </c>
      <c r="F3579" s="13">
        <f t="shared" si="167"/>
        <v>373.53157121879593</v>
      </c>
    </row>
    <row r="3580" spans="1:6" x14ac:dyDescent="0.25">
      <c r="A3580" s="10">
        <v>41997</v>
      </c>
      <c r="B3580" s="12">
        <f t="shared" si="165"/>
        <v>12</v>
      </c>
      <c r="C3580" s="12">
        <f t="shared" si="166"/>
        <v>2014</v>
      </c>
      <c r="D3580" s="13">
        <v>20350</v>
      </c>
      <c r="E3580" s="13">
        <v>53.3</v>
      </c>
      <c r="F3580" s="13">
        <f t="shared" si="167"/>
        <v>381.80112570356476</v>
      </c>
    </row>
    <row r="3581" spans="1:6" x14ac:dyDescent="0.25">
      <c r="A3581" s="10">
        <v>41999</v>
      </c>
      <c r="B3581" s="12">
        <f t="shared" si="165"/>
        <v>12</v>
      </c>
      <c r="C3581" s="12">
        <f t="shared" si="166"/>
        <v>2014</v>
      </c>
      <c r="D3581" s="13">
        <v>20350</v>
      </c>
      <c r="E3581" s="13">
        <v>53.948</v>
      </c>
      <c r="F3581" s="13">
        <f t="shared" si="167"/>
        <v>377.21509601838807</v>
      </c>
    </row>
    <row r="3582" spans="1:6" x14ac:dyDescent="0.25">
      <c r="A3582" s="10">
        <v>42002</v>
      </c>
      <c r="B3582" s="12">
        <f t="shared" si="165"/>
        <v>12</v>
      </c>
      <c r="C3582" s="12">
        <f t="shared" si="166"/>
        <v>2014</v>
      </c>
      <c r="E3582" s="13">
        <v>59.116</v>
      </c>
      <c r="F3582" s="13" t="str">
        <f t="shared" si="167"/>
        <v/>
      </c>
    </row>
    <row r="3583" spans="1:6" x14ac:dyDescent="0.25">
      <c r="A3583" s="10">
        <v>42003</v>
      </c>
      <c r="B3583" s="12">
        <f t="shared" si="165"/>
        <v>12</v>
      </c>
      <c r="C3583" s="12">
        <f t="shared" si="166"/>
        <v>2014</v>
      </c>
      <c r="E3583" s="13">
        <v>55.29</v>
      </c>
      <c r="F3583" s="13" t="str">
        <f t="shared" si="167"/>
        <v/>
      </c>
    </row>
    <row r="3584" spans="1:6" x14ac:dyDescent="0.25">
      <c r="A3584" s="10">
        <v>42004</v>
      </c>
      <c r="B3584" s="12">
        <f t="shared" si="165"/>
        <v>12</v>
      </c>
      <c r="C3584" s="12">
        <f t="shared" si="166"/>
        <v>2014</v>
      </c>
      <c r="E3584" s="13">
        <v>58.046999999999997</v>
      </c>
      <c r="F3584" s="13" t="str">
        <f t="shared" si="167"/>
        <v/>
      </c>
    </row>
    <row r="3585" spans="1:6" x14ac:dyDescent="0.25">
      <c r="A3585" s="10">
        <v>42006</v>
      </c>
      <c r="B3585" s="12">
        <f t="shared" si="165"/>
        <v>1</v>
      </c>
      <c r="C3585" s="12">
        <f t="shared" si="166"/>
        <v>2015</v>
      </c>
      <c r="E3585" s="13">
        <v>58.744999999999997</v>
      </c>
      <c r="F3585" s="13" t="str">
        <f t="shared" si="167"/>
        <v/>
      </c>
    </row>
    <row r="3586" spans="1:6" x14ac:dyDescent="0.25">
      <c r="A3586" s="10">
        <v>42009</v>
      </c>
      <c r="B3586" s="12">
        <f t="shared" si="165"/>
        <v>1</v>
      </c>
      <c r="C3586" s="12">
        <f t="shared" si="166"/>
        <v>2015</v>
      </c>
      <c r="E3586" s="13">
        <v>60.412500000000001</v>
      </c>
      <c r="F3586" s="13" t="str">
        <f t="shared" si="167"/>
        <v/>
      </c>
    </row>
    <row r="3587" spans="1:6" x14ac:dyDescent="0.25">
      <c r="A3587" s="10">
        <v>42010</v>
      </c>
      <c r="B3587" s="12">
        <f t="shared" ref="B3587:B3650" si="168">MONTH(A3587)</f>
        <v>1</v>
      </c>
      <c r="C3587" s="12">
        <f t="shared" ref="C3587:C3650" si="169">YEAR(A3587)</f>
        <v>2015</v>
      </c>
      <c r="E3587" s="13">
        <v>63.145000000000003</v>
      </c>
      <c r="F3587" s="13" t="str">
        <f t="shared" ref="F3587:F3650" si="170">IF(D3587="","",D3587/E3587)</f>
        <v/>
      </c>
    </row>
    <row r="3588" spans="1:6" x14ac:dyDescent="0.25">
      <c r="A3588" s="10">
        <v>42011</v>
      </c>
      <c r="B3588" s="12">
        <f t="shared" si="168"/>
        <v>1</v>
      </c>
      <c r="C3588" s="12">
        <f t="shared" si="169"/>
        <v>2015</v>
      </c>
      <c r="E3588" s="13">
        <v>62.65</v>
      </c>
      <c r="F3588" s="13" t="str">
        <f t="shared" si="170"/>
        <v/>
      </c>
    </row>
    <row r="3589" spans="1:6" x14ac:dyDescent="0.25">
      <c r="A3589" s="10">
        <v>42012</v>
      </c>
      <c r="B3589" s="12">
        <f t="shared" si="168"/>
        <v>1</v>
      </c>
      <c r="C3589" s="12">
        <f t="shared" si="169"/>
        <v>2015</v>
      </c>
      <c r="E3589" s="13">
        <v>59.86</v>
      </c>
      <c r="F3589" s="13" t="str">
        <f t="shared" si="170"/>
        <v/>
      </c>
    </row>
    <row r="3590" spans="1:6" x14ac:dyDescent="0.25">
      <c r="A3590" s="10">
        <v>42013</v>
      </c>
      <c r="B3590" s="12">
        <f t="shared" si="168"/>
        <v>1</v>
      </c>
      <c r="C3590" s="12">
        <f t="shared" si="169"/>
        <v>2015</v>
      </c>
      <c r="E3590" s="13">
        <v>61.28</v>
      </c>
      <c r="F3590" s="13" t="str">
        <f t="shared" si="170"/>
        <v/>
      </c>
    </row>
    <row r="3591" spans="1:6" x14ac:dyDescent="0.25">
      <c r="A3591" s="10">
        <v>42016</v>
      </c>
      <c r="B3591" s="12">
        <f t="shared" si="168"/>
        <v>1</v>
      </c>
      <c r="C3591" s="12">
        <f t="shared" si="169"/>
        <v>2015</v>
      </c>
      <c r="D3591" s="13">
        <v>20500</v>
      </c>
      <c r="E3591" s="13">
        <v>63.185000000000002</v>
      </c>
      <c r="F3591" s="13">
        <f t="shared" si="170"/>
        <v>324.44409274353092</v>
      </c>
    </row>
    <row r="3592" spans="1:6" x14ac:dyDescent="0.25">
      <c r="A3592" s="10">
        <v>42017</v>
      </c>
      <c r="B3592" s="12">
        <f t="shared" si="168"/>
        <v>1</v>
      </c>
      <c r="C3592" s="12">
        <f t="shared" si="169"/>
        <v>2015</v>
      </c>
      <c r="D3592" s="13">
        <v>20500</v>
      </c>
      <c r="E3592" s="13">
        <v>65.19</v>
      </c>
      <c r="F3592" s="13">
        <f t="shared" si="170"/>
        <v>314.46540880503147</v>
      </c>
    </row>
    <row r="3593" spans="1:6" x14ac:dyDescent="0.25">
      <c r="A3593" s="10">
        <v>42018</v>
      </c>
      <c r="B3593" s="12">
        <f t="shared" si="168"/>
        <v>1</v>
      </c>
      <c r="C3593" s="12">
        <f t="shared" si="169"/>
        <v>2015</v>
      </c>
      <c r="D3593" s="13">
        <v>20500</v>
      </c>
      <c r="E3593" s="13">
        <v>64.334999999999994</v>
      </c>
      <c r="F3593" s="13">
        <f t="shared" si="170"/>
        <v>318.64459469961923</v>
      </c>
    </row>
    <row r="3594" spans="1:6" x14ac:dyDescent="0.25">
      <c r="A3594" s="10">
        <v>42019</v>
      </c>
      <c r="B3594" s="12">
        <f t="shared" si="168"/>
        <v>1</v>
      </c>
      <c r="C3594" s="12">
        <f t="shared" si="169"/>
        <v>2015</v>
      </c>
      <c r="D3594" s="13">
        <v>20500</v>
      </c>
      <c r="E3594" s="13">
        <v>65.14</v>
      </c>
      <c r="F3594" s="13">
        <f t="shared" si="170"/>
        <v>314.70678538532394</v>
      </c>
    </row>
    <row r="3595" spans="1:6" x14ac:dyDescent="0.25">
      <c r="A3595" s="10">
        <v>42020</v>
      </c>
      <c r="B3595" s="12">
        <f t="shared" si="168"/>
        <v>1</v>
      </c>
      <c r="C3595" s="12">
        <f t="shared" si="169"/>
        <v>2015</v>
      </c>
      <c r="D3595" s="13">
        <v>20500</v>
      </c>
      <c r="E3595" s="13">
        <v>65.010000000000005</v>
      </c>
      <c r="F3595" s="13">
        <f t="shared" si="170"/>
        <v>315.33610213813256</v>
      </c>
    </row>
    <row r="3596" spans="1:6" x14ac:dyDescent="0.25">
      <c r="A3596" s="10">
        <v>42024</v>
      </c>
      <c r="B3596" s="12">
        <f t="shared" si="168"/>
        <v>1</v>
      </c>
      <c r="C3596" s="12">
        <f t="shared" si="169"/>
        <v>2015</v>
      </c>
      <c r="D3596" s="13">
        <v>21500</v>
      </c>
      <c r="E3596" s="13">
        <v>65.099999999999994</v>
      </c>
      <c r="F3596" s="13">
        <f t="shared" si="170"/>
        <v>330.26113671274965</v>
      </c>
    </row>
    <row r="3597" spans="1:6" x14ac:dyDescent="0.25">
      <c r="A3597" s="10">
        <v>42025</v>
      </c>
      <c r="B3597" s="12">
        <f t="shared" si="168"/>
        <v>1</v>
      </c>
      <c r="C3597" s="12">
        <f t="shared" si="169"/>
        <v>2015</v>
      </c>
      <c r="D3597" s="13">
        <v>21500</v>
      </c>
      <c r="E3597" s="13">
        <v>65.22</v>
      </c>
      <c r="F3597" s="13">
        <f t="shared" si="170"/>
        <v>329.65348052744559</v>
      </c>
    </row>
    <row r="3598" spans="1:6" x14ac:dyDescent="0.25">
      <c r="A3598" s="10">
        <v>42026</v>
      </c>
      <c r="B3598" s="12">
        <f t="shared" si="168"/>
        <v>1</v>
      </c>
      <c r="C3598" s="12">
        <f t="shared" si="169"/>
        <v>2015</v>
      </c>
      <c r="D3598" s="13">
        <v>21500</v>
      </c>
      <c r="E3598" s="13">
        <v>64.171000000000006</v>
      </c>
      <c r="F3598" s="13">
        <f t="shared" si="170"/>
        <v>335.04230883109187</v>
      </c>
    </row>
    <row r="3599" spans="1:6" x14ac:dyDescent="0.25">
      <c r="A3599" s="10">
        <v>42027</v>
      </c>
      <c r="B3599" s="12">
        <f t="shared" si="168"/>
        <v>1</v>
      </c>
      <c r="C3599" s="12">
        <f t="shared" si="169"/>
        <v>2015</v>
      </c>
      <c r="D3599" s="13">
        <v>21500</v>
      </c>
      <c r="E3599" s="13">
        <v>64.010000000000005</v>
      </c>
      <c r="F3599" s="13">
        <f t="shared" si="170"/>
        <v>335.88501796594278</v>
      </c>
    </row>
    <row r="3600" spans="1:6" x14ac:dyDescent="0.25">
      <c r="A3600" s="10">
        <v>42030</v>
      </c>
      <c r="B3600" s="12">
        <f t="shared" si="168"/>
        <v>1</v>
      </c>
      <c r="C3600" s="12">
        <f t="shared" si="169"/>
        <v>2015</v>
      </c>
      <c r="D3600" s="13">
        <v>21900</v>
      </c>
      <c r="E3600" s="13">
        <v>68.319999999999993</v>
      </c>
      <c r="F3600" s="13">
        <f t="shared" si="170"/>
        <v>320.55035128805622</v>
      </c>
    </row>
    <row r="3601" spans="1:6" x14ac:dyDescent="0.25">
      <c r="A3601" s="10">
        <v>42031</v>
      </c>
      <c r="B3601" s="12">
        <f t="shared" si="168"/>
        <v>1</v>
      </c>
      <c r="C3601" s="12">
        <f t="shared" si="169"/>
        <v>2015</v>
      </c>
      <c r="D3601" s="13">
        <v>21900</v>
      </c>
      <c r="E3601" s="13">
        <v>67.614000000000004</v>
      </c>
      <c r="F3601" s="13">
        <f t="shared" si="170"/>
        <v>323.89741769456026</v>
      </c>
    </row>
    <row r="3602" spans="1:6" x14ac:dyDescent="0.25">
      <c r="A3602" s="10">
        <v>42032</v>
      </c>
      <c r="B3602" s="12">
        <f t="shared" si="168"/>
        <v>1</v>
      </c>
      <c r="C3602" s="12">
        <f t="shared" si="169"/>
        <v>2015</v>
      </c>
      <c r="D3602" s="13">
        <v>21900</v>
      </c>
      <c r="E3602" s="13">
        <v>67.995000000000005</v>
      </c>
      <c r="F3602" s="13">
        <f t="shared" si="170"/>
        <v>322.0825060666225</v>
      </c>
    </row>
    <row r="3603" spans="1:6" x14ac:dyDescent="0.25">
      <c r="A3603" s="10">
        <v>42033</v>
      </c>
      <c r="B3603" s="12">
        <f t="shared" si="168"/>
        <v>1</v>
      </c>
      <c r="C3603" s="12">
        <f t="shared" si="169"/>
        <v>2015</v>
      </c>
      <c r="D3603" s="13">
        <v>21900</v>
      </c>
      <c r="E3603" s="13">
        <v>68.88</v>
      </c>
      <c r="F3603" s="13">
        <f t="shared" si="170"/>
        <v>317.94425087108016</v>
      </c>
    </row>
    <row r="3604" spans="1:6" x14ac:dyDescent="0.25">
      <c r="A3604" s="10">
        <v>42034</v>
      </c>
      <c r="B3604" s="12">
        <f t="shared" si="168"/>
        <v>1</v>
      </c>
      <c r="C3604" s="12">
        <f t="shared" si="169"/>
        <v>2015</v>
      </c>
      <c r="D3604" s="13">
        <v>21900</v>
      </c>
      <c r="E3604" s="13">
        <v>69.082499999999996</v>
      </c>
      <c r="F3604" s="13">
        <f t="shared" si="170"/>
        <v>317.01226794050592</v>
      </c>
    </row>
    <row r="3605" spans="1:6" x14ac:dyDescent="0.25">
      <c r="A3605" s="10">
        <v>42037</v>
      </c>
      <c r="B3605" s="12">
        <f t="shared" si="168"/>
        <v>2</v>
      </c>
      <c r="C3605" s="12">
        <f t="shared" si="169"/>
        <v>2015</v>
      </c>
      <c r="D3605" s="13">
        <v>22000</v>
      </c>
      <c r="E3605" s="13">
        <v>68.275000000000006</v>
      </c>
      <c r="F3605" s="13">
        <f t="shared" si="170"/>
        <v>322.2262907359941</v>
      </c>
    </row>
    <row r="3606" spans="1:6" x14ac:dyDescent="0.25">
      <c r="A3606" s="10">
        <v>42038</v>
      </c>
      <c r="B3606" s="12">
        <f t="shared" si="168"/>
        <v>2</v>
      </c>
      <c r="C3606" s="12">
        <f t="shared" si="169"/>
        <v>2015</v>
      </c>
      <c r="D3606" s="13">
        <v>22000</v>
      </c>
      <c r="E3606" s="13">
        <v>65.174999999999997</v>
      </c>
      <c r="F3606" s="13">
        <f t="shared" si="170"/>
        <v>337.55274261603375</v>
      </c>
    </row>
    <row r="3607" spans="1:6" x14ac:dyDescent="0.25">
      <c r="A3607" s="10">
        <v>42039</v>
      </c>
      <c r="B3607" s="12">
        <f t="shared" si="168"/>
        <v>2</v>
      </c>
      <c r="C3607" s="12">
        <f t="shared" si="169"/>
        <v>2015</v>
      </c>
      <c r="D3607" s="13">
        <v>22000</v>
      </c>
      <c r="E3607" s="13">
        <v>67.849999999999994</v>
      </c>
      <c r="F3607" s="13">
        <f t="shared" si="170"/>
        <v>324.24465733235081</v>
      </c>
    </row>
    <row r="3608" spans="1:6" x14ac:dyDescent="0.25">
      <c r="A3608" s="10">
        <v>42040</v>
      </c>
      <c r="B3608" s="12">
        <f t="shared" si="168"/>
        <v>2</v>
      </c>
      <c r="C3608" s="12">
        <f t="shared" si="169"/>
        <v>2015</v>
      </c>
      <c r="D3608" s="13">
        <v>22000</v>
      </c>
      <c r="E3608" s="13">
        <v>66.516999999999996</v>
      </c>
      <c r="F3608" s="13">
        <f t="shared" si="170"/>
        <v>330.74251695055403</v>
      </c>
    </row>
    <row r="3609" spans="1:6" x14ac:dyDescent="0.25">
      <c r="A3609" s="10">
        <v>42041</v>
      </c>
      <c r="B3609" s="12">
        <f t="shared" si="168"/>
        <v>2</v>
      </c>
      <c r="C3609" s="12">
        <f t="shared" si="169"/>
        <v>2015</v>
      </c>
      <c r="D3609" s="13">
        <v>22000</v>
      </c>
      <c r="E3609" s="13">
        <v>67.105000000000004</v>
      </c>
      <c r="F3609" s="13">
        <f t="shared" si="170"/>
        <v>327.84442291930554</v>
      </c>
    </row>
    <row r="3610" spans="1:6" x14ac:dyDescent="0.25">
      <c r="A3610" s="10">
        <v>42044</v>
      </c>
      <c r="B3610" s="12">
        <f t="shared" si="168"/>
        <v>2</v>
      </c>
      <c r="C3610" s="12">
        <f t="shared" si="169"/>
        <v>2015</v>
      </c>
      <c r="D3610" s="13">
        <v>22350</v>
      </c>
      <c r="E3610" s="13">
        <v>65.86</v>
      </c>
      <c r="F3610" s="13">
        <f t="shared" si="170"/>
        <v>339.35621014272698</v>
      </c>
    </row>
    <row r="3611" spans="1:6" x14ac:dyDescent="0.25">
      <c r="A3611" s="10">
        <v>42045</v>
      </c>
      <c r="B3611" s="12">
        <f t="shared" si="168"/>
        <v>2</v>
      </c>
      <c r="C3611" s="12">
        <f t="shared" si="169"/>
        <v>2015</v>
      </c>
      <c r="D3611" s="13">
        <v>22350</v>
      </c>
      <c r="E3611" s="13">
        <v>65.454999999999998</v>
      </c>
      <c r="F3611" s="13">
        <f t="shared" si="170"/>
        <v>341.45596211137422</v>
      </c>
    </row>
    <row r="3612" spans="1:6" x14ac:dyDescent="0.25">
      <c r="A3612" s="10">
        <v>42046</v>
      </c>
      <c r="B3612" s="12">
        <f t="shared" si="168"/>
        <v>2</v>
      </c>
      <c r="C3612" s="12">
        <f t="shared" si="169"/>
        <v>2015</v>
      </c>
      <c r="D3612" s="13">
        <v>22350</v>
      </c>
      <c r="E3612" s="13">
        <v>65.25</v>
      </c>
      <c r="F3612" s="13">
        <f t="shared" si="170"/>
        <v>342.5287356321839</v>
      </c>
    </row>
    <row r="3613" spans="1:6" x14ac:dyDescent="0.25">
      <c r="A3613" s="10">
        <v>42047</v>
      </c>
      <c r="B3613" s="12">
        <f t="shared" si="168"/>
        <v>2</v>
      </c>
      <c r="C3613" s="12">
        <f t="shared" si="169"/>
        <v>2015</v>
      </c>
      <c r="D3613" s="13">
        <v>22350</v>
      </c>
      <c r="E3613" s="13">
        <v>65.27</v>
      </c>
      <c r="F3613" s="13">
        <f t="shared" si="170"/>
        <v>342.42377815229048</v>
      </c>
    </row>
    <row r="3614" spans="1:6" x14ac:dyDescent="0.25">
      <c r="A3614" s="10">
        <v>42048</v>
      </c>
      <c r="B3614" s="12">
        <f t="shared" si="168"/>
        <v>2</v>
      </c>
      <c r="C3614" s="12">
        <f t="shared" si="169"/>
        <v>2015</v>
      </c>
      <c r="D3614" s="13">
        <v>22350</v>
      </c>
      <c r="E3614" s="13">
        <v>63.5</v>
      </c>
      <c r="F3614" s="13">
        <f t="shared" si="170"/>
        <v>351.96850393700788</v>
      </c>
    </row>
    <row r="3615" spans="1:6" x14ac:dyDescent="0.25">
      <c r="A3615" s="10">
        <v>42052</v>
      </c>
      <c r="B3615" s="12">
        <f t="shared" si="168"/>
        <v>2</v>
      </c>
      <c r="C3615" s="12">
        <f t="shared" si="169"/>
        <v>2015</v>
      </c>
      <c r="D3615" s="13">
        <v>22200</v>
      </c>
      <c r="E3615" s="13">
        <v>62.505000000000003</v>
      </c>
      <c r="F3615" s="13">
        <f t="shared" si="170"/>
        <v>355.17158627309811</v>
      </c>
    </row>
    <row r="3616" spans="1:6" x14ac:dyDescent="0.25">
      <c r="A3616" s="10">
        <v>42053</v>
      </c>
      <c r="B3616" s="12">
        <f t="shared" si="168"/>
        <v>2</v>
      </c>
      <c r="C3616" s="12">
        <f t="shared" si="169"/>
        <v>2015</v>
      </c>
      <c r="D3616" s="13">
        <v>22200</v>
      </c>
      <c r="E3616" s="13">
        <v>61.582000000000001</v>
      </c>
      <c r="F3616" s="13">
        <f t="shared" si="170"/>
        <v>360.49494982300024</v>
      </c>
    </row>
    <row r="3617" spans="1:6" x14ac:dyDescent="0.25">
      <c r="A3617" s="10">
        <v>42054</v>
      </c>
      <c r="B3617" s="12">
        <f t="shared" si="168"/>
        <v>2</v>
      </c>
      <c r="C3617" s="12">
        <f t="shared" si="169"/>
        <v>2015</v>
      </c>
      <c r="D3617" s="13">
        <v>22200</v>
      </c>
      <c r="E3617" s="13">
        <v>61.9</v>
      </c>
      <c r="F3617" s="13">
        <f t="shared" si="170"/>
        <v>358.64297253634896</v>
      </c>
    </row>
    <row r="3618" spans="1:6" x14ac:dyDescent="0.25">
      <c r="A3618" s="10">
        <v>42055</v>
      </c>
      <c r="B3618" s="12">
        <f t="shared" si="168"/>
        <v>2</v>
      </c>
      <c r="C3618" s="12">
        <f t="shared" si="169"/>
        <v>2015</v>
      </c>
      <c r="D3618" s="13">
        <v>22200</v>
      </c>
      <c r="E3618" s="13">
        <v>61.715000000000003</v>
      </c>
      <c r="F3618" s="13">
        <f t="shared" si="170"/>
        <v>359.71805881876367</v>
      </c>
    </row>
    <row r="3619" spans="1:6" x14ac:dyDescent="0.25">
      <c r="A3619" s="10">
        <v>42058</v>
      </c>
      <c r="B3619" s="12">
        <f t="shared" si="168"/>
        <v>2</v>
      </c>
      <c r="C3619" s="12">
        <f t="shared" si="169"/>
        <v>2015</v>
      </c>
      <c r="D3619" s="13">
        <v>22050</v>
      </c>
      <c r="E3619" s="13">
        <v>63.75</v>
      </c>
      <c r="F3619" s="13">
        <f t="shared" si="170"/>
        <v>345.88235294117646</v>
      </c>
    </row>
    <row r="3620" spans="1:6" x14ac:dyDescent="0.25">
      <c r="A3620" s="10">
        <v>42059</v>
      </c>
      <c r="B3620" s="12">
        <f t="shared" si="168"/>
        <v>2</v>
      </c>
      <c r="C3620" s="12">
        <f t="shared" si="169"/>
        <v>2015</v>
      </c>
      <c r="D3620" s="13">
        <v>22050</v>
      </c>
      <c r="E3620" s="13">
        <v>63.18</v>
      </c>
      <c r="F3620" s="13">
        <f t="shared" si="170"/>
        <v>349.00284900284902</v>
      </c>
    </row>
    <row r="3621" spans="1:6" x14ac:dyDescent="0.25">
      <c r="A3621" s="10">
        <v>42060</v>
      </c>
      <c r="B3621" s="12">
        <f t="shared" si="168"/>
        <v>2</v>
      </c>
      <c r="C3621" s="12">
        <f t="shared" si="169"/>
        <v>2015</v>
      </c>
      <c r="D3621" s="13">
        <v>22050</v>
      </c>
      <c r="E3621" s="13">
        <v>61.16</v>
      </c>
      <c r="F3621" s="13">
        <f t="shared" si="170"/>
        <v>360.5297580117724</v>
      </c>
    </row>
    <row r="3622" spans="1:6" x14ac:dyDescent="0.25">
      <c r="A3622" s="10">
        <v>42061</v>
      </c>
      <c r="B3622" s="12">
        <f t="shared" si="168"/>
        <v>2</v>
      </c>
      <c r="C3622" s="12">
        <f t="shared" si="169"/>
        <v>2015</v>
      </c>
      <c r="D3622" s="13">
        <v>22050</v>
      </c>
      <c r="E3622" s="13">
        <v>61.15</v>
      </c>
      <c r="F3622" s="13">
        <f t="shared" si="170"/>
        <v>360.58871627146362</v>
      </c>
    </row>
    <row r="3623" spans="1:6" x14ac:dyDescent="0.25">
      <c r="A3623" s="10">
        <v>42062</v>
      </c>
      <c r="B3623" s="12">
        <f t="shared" si="168"/>
        <v>2</v>
      </c>
      <c r="C3623" s="12">
        <f t="shared" si="169"/>
        <v>2015</v>
      </c>
      <c r="D3623" s="13">
        <v>22050</v>
      </c>
      <c r="E3623" s="13">
        <v>61.53</v>
      </c>
      <c r="F3623" s="13">
        <f t="shared" si="170"/>
        <v>358.36177474402729</v>
      </c>
    </row>
    <row r="3624" spans="1:6" x14ac:dyDescent="0.25">
      <c r="A3624" s="10">
        <v>42065</v>
      </c>
      <c r="B3624" s="12">
        <f t="shared" si="168"/>
        <v>3</v>
      </c>
      <c r="C3624" s="12">
        <f t="shared" si="169"/>
        <v>2015</v>
      </c>
      <c r="D3624" s="13">
        <v>22050</v>
      </c>
      <c r="E3624" s="13">
        <v>62.34</v>
      </c>
      <c r="F3624" s="13">
        <f t="shared" si="170"/>
        <v>353.7054860442733</v>
      </c>
    </row>
    <row r="3625" spans="1:6" x14ac:dyDescent="0.25">
      <c r="A3625" s="10">
        <v>42066</v>
      </c>
      <c r="B3625" s="12">
        <f t="shared" si="168"/>
        <v>3</v>
      </c>
      <c r="C3625" s="12">
        <f t="shared" si="169"/>
        <v>2015</v>
      </c>
      <c r="D3625" s="13">
        <v>22050</v>
      </c>
      <c r="E3625" s="13">
        <v>61.887</v>
      </c>
      <c r="F3625" s="13">
        <f t="shared" si="170"/>
        <v>356.29453681710214</v>
      </c>
    </row>
    <row r="3626" spans="1:6" x14ac:dyDescent="0.25">
      <c r="A3626" s="10">
        <v>42067</v>
      </c>
      <c r="B3626" s="12">
        <f t="shared" si="168"/>
        <v>3</v>
      </c>
      <c r="C3626" s="12">
        <f t="shared" si="169"/>
        <v>2015</v>
      </c>
      <c r="D3626" s="13">
        <v>22050</v>
      </c>
      <c r="E3626" s="13">
        <v>61.86</v>
      </c>
      <c r="F3626" s="13">
        <f t="shared" si="170"/>
        <v>356.45004849660523</v>
      </c>
    </row>
    <row r="3627" spans="1:6" x14ac:dyDescent="0.25">
      <c r="A3627" s="10">
        <v>42068</v>
      </c>
      <c r="B3627" s="12">
        <f t="shared" si="168"/>
        <v>3</v>
      </c>
      <c r="C3627" s="12">
        <f t="shared" si="169"/>
        <v>2015</v>
      </c>
      <c r="D3627" s="13">
        <v>22050</v>
      </c>
      <c r="E3627" s="13">
        <v>60.77</v>
      </c>
      <c r="F3627" s="13">
        <f t="shared" si="170"/>
        <v>362.84350831002138</v>
      </c>
    </row>
    <row r="3628" spans="1:6" x14ac:dyDescent="0.25">
      <c r="A3628" s="10">
        <v>42069</v>
      </c>
      <c r="B3628" s="12">
        <f t="shared" si="168"/>
        <v>3</v>
      </c>
      <c r="C3628" s="12">
        <f t="shared" si="169"/>
        <v>2015</v>
      </c>
      <c r="D3628" s="13">
        <v>22050</v>
      </c>
      <c r="E3628" s="13">
        <v>60.365000000000002</v>
      </c>
      <c r="F3628" s="13">
        <f t="shared" si="170"/>
        <v>365.27789281868633</v>
      </c>
    </row>
    <row r="3629" spans="1:6" x14ac:dyDescent="0.25">
      <c r="A3629" s="10">
        <v>42072</v>
      </c>
      <c r="B3629" s="12">
        <f t="shared" si="168"/>
        <v>3</v>
      </c>
      <c r="C3629" s="12">
        <f t="shared" si="169"/>
        <v>2015</v>
      </c>
      <c r="D3629" s="13">
        <v>21600</v>
      </c>
      <c r="E3629" s="13">
        <v>60.7395</v>
      </c>
      <c r="F3629" s="13">
        <f t="shared" si="170"/>
        <v>355.61702022571802</v>
      </c>
    </row>
    <row r="3630" spans="1:6" x14ac:dyDescent="0.25">
      <c r="A3630" s="10">
        <v>42073</v>
      </c>
      <c r="B3630" s="12">
        <f t="shared" si="168"/>
        <v>3</v>
      </c>
      <c r="C3630" s="12">
        <f t="shared" si="169"/>
        <v>2015</v>
      </c>
      <c r="D3630" s="13">
        <v>21600</v>
      </c>
      <c r="E3630" s="13">
        <v>62.314999999999998</v>
      </c>
      <c r="F3630" s="13">
        <f t="shared" si="170"/>
        <v>346.62601299847552</v>
      </c>
    </row>
    <row r="3631" spans="1:6" x14ac:dyDescent="0.25">
      <c r="A3631" s="10">
        <v>42074</v>
      </c>
      <c r="B3631" s="12">
        <f t="shared" si="168"/>
        <v>3</v>
      </c>
      <c r="C3631" s="12">
        <f t="shared" si="169"/>
        <v>2015</v>
      </c>
      <c r="D3631" s="13">
        <v>21600</v>
      </c>
      <c r="E3631" s="13">
        <v>61.435000000000002</v>
      </c>
      <c r="F3631" s="13">
        <f t="shared" si="170"/>
        <v>351.59111255798808</v>
      </c>
    </row>
    <row r="3632" spans="1:6" x14ac:dyDescent="0.25">
      <c r="A3632" s="10">
        <v>42075</v>
      </c>
      <c r="B3632" s="12">
        <f t="shared" si="168"/>
        <v>3</v>
      </c>
      <c r="C3632" s="12">
        <f t="shared" si="169"/>
        <v>2015</v>
      </c>
      <c r="D3632" s="13">
        <v>21600</v>
      </c>
      <c r="E3632" s="13">
        <v>61.145000000000003</v>
      </c>
      <c r="F3632" s="13">
        <f t="shared" si="170"/>
        <v>353.25864747730805</v>
      </c>
    </row>
    <row r="3633" spans="1:6" x14ac:dyDescent="0.25">
      <c r="A3633" s="10">
        <v>42076</v>
      </c>
      <c r="B3633" s="12">
        <f t="shared" si="168"/>
        <v>3</v>
      </c>
      <c r="C3633" s="12">
        <f t="shared" si="169"/>
        <v>2015</v>
      </c>
      <c r="D3633" s="13">
        <v>21600</v>
      </c>
      <c r="E3633" s="13">
        <v>62.11</v>
      </c>
      <c r="F3633" s="13">
        <f t="shared" si="170"/>
        <v>347.77008533247465</v>
      </c>
    </row>
    <row r="3634" spans="1:6" x14ac:dyDescent="0.25">
      <c r="A3634" s="10">
        <v>42079</v>
      </c>
      <c r="B3634" s="12">
        <f t="shared" si="168"/>
        <v>3</v>
      </c>
      <c r="C3634" s="12">
        <f t="shared" si="169"/>
        <v>2015</v>
      </c>
      <c r="D3634" s="13">
        <v>21600</v>
      </c>
      <c r="E3634" s="13">
        <v>61.994999999999997</v>
      </c>
      <c r="F3634" s="13">
        <f t="shared" si="170"/>
        <v>348.4151947737721</v>
      </c>
    </row>
    <row r="3635" spans="1:6" x14ac:dyDescent="0.25">
      <c r="A3635" s="10">
        <v>42080</v>
      </c>
      <c r="B3635" s="12">
        <f t="shared" si="168"/>
        <v>3</v>
      </c>
      <c r="C3635" s="12">
        <f t="shared" si="169"/>
        <v>2015</v>
      </c>
      <c r="D3635" s="13">
        <v>21600</v>
      </c>
      <c r="E3635" s="13">
        <v>61.38</v>
      </c>
      <c r="F3635" s="13">
        <f t="shared" si="170"/>
        <v>351.90615835777123</v>
      </c>
    </row>
    <row r="3636" spans="1:6" x14ac:dyDescent="0.25">
      <c r="A3636" s="10">
        <v>42081</v>
      </c>
      <c r="B3636" s="12">
        <f t="shared" si="168"/>
        <v>3</v>
      </c>
      <c r="C3636" s="12">
        <f t="shared" si="169"/>
        <v>2015</v>
      </c>
      <c r="D3636" s="13">
        <v>21600</v>
      </c>
      <c r="E3636" s="13">
        <v>59.344999999999999</v>
      </c>
      <c r="F3636" s="13">
        <f t="shared" si="170"/>
        <v>363.97337602156881</v>
      </c>
    </row>
    <row r="3637" spans="1:6" x14ac:dyDescent="0.25">
      <c r="A3637" s="10">
        <v>42082</v>
      </c>
      <c r="B3637" s="12">
        <f t="shared" si="168"/>
        <v>3</v>
      </c>
      <c r="C3637" s="12">
        <f t="shared" si="169"/>
        <v>2015</v>
      </c>
      <c r="D3637" s="13">
        <v>21600</v>
      </c>
      <c r="E3637" s="13">
        <v>60.070999999999998</v>
      </c>
      <c r="F3637" s="13">
        <f t="shared" si="170"/>
        <v>359.57450350418674</v>
      </c>
    </row>
    <row r="3638" spans="1:6" x14ac:dyDescent="0.25">
      <c r="A3638" s="10">
        <v>42083</v>
      </c>
      <c r="B3638" s="12">
        <f t="shared" si="168"/>
        <v>3</v>
      </c>
      <c r="C3638" s="12">
        <f t="shared" si="169"/>
        <v>2015</v>
      </c>
      <c r="D3638" s="13">
        <v>21600</v>
      </c>
      <c r="E3638" s="13">
        <v>59.145000000000003</v>
      </c>
      <c r="F3638" s="13">
        <f t="shared" si="170"/>
        <v>365.20415926959168</v>
      </c>
    </row>
    <row r="3639" spans="1:6" x14ac:dyDescent="0.25">
      <c r="A3639" s="10">
        <v>42086</v>
      </c>
      <c r="B3639" s="12">
        <f t="shared" si="168"/>
        <v>3</v>
      </c>
      <c r="C3639" s="12">
        <f t="shared" si="169"/>
        <v>2015</v>
      </c>
      <c r="D3639" s="13">
        <v>21600</v>
      </c>
      <c r="E3639" s="13">
        <v>58.73</v>
      </c>
      <c r="F3639" s="13">
        <f t="shared" si="170"/>
        <v>367.78477779669674</v>
      </c>
    </row>
    <row r="3640" spans="1:6" x14ac:dyDescent="0.25">
      <c r="A3640" s="10">
        <v>42087</v>
      </c>
      <c r="B3640" s="12">
        <f t="shared" si="168"/>
        <v>3</v>
      </c>
      <c r="C3640" s="12">
        <f t="shared" si="169"/>
        <v>2015</v>
      </c>
      <c r="D3640" s="13">
        <v>21600</v>
      </c>
      <c r="E3640" s="13">
        <v>57.69</v>
      </c>
      <c r="F3640" s="13">
        <f t="shared" si="170"/>
        <v>374.414976599064</v>
      </c>
    </row>
    <row r="3641" spans="1:6" x14ac:dyDescent="0.25">
      <c r="A3641" s="10">
        <v>42088</v>
      </c>
      <c r="B3641" s="12">
        <f t="shared" si="168"/>
        <v>3</v>
      </c>
      <c r="C3641" s="12">
        <f t="shared" si="169"/>
        <v>2015</v>
      </c>
      <c r="D3641" s="13">
        <v>21600</v>
      </c>
      <c r="E3641" s="13">
        <v>57.33</v>
      </c>
      <c r="F3641" s="13">
        <f t="shared" si="170"/>
        <v>376.76609105180535</v>
      </c>
    </row>
    <row r="3642" spans="1:6" x14ac:dyDescent="0.25">
      <c r="A3642" s="10">
        <v>42089</v>
      </c>
      <c r="B3642" s="12">
        <f t="shared" si="168"/>
        <v>3</v>
      </c>
      <c r="C3642" s="12">
        <f t="shared" si="169"/>
        <v>2015</v>
      </c>
      <c r="D3642" s="13">
        <v>21600</v>
      </c>
      <c r="E3642" s="13">
        <v>57.314999999999998</v>
      </c>
      <c r="F3642" s="13">
        <f t="shared" si="170"/>
        <v>376.86469510599323</v>
      </c>
    </row>
    <row r="3643" spans="1:6" x14ac:dyDescent="0.25">
      <c r="A3643" s="10">
        <v>42090</v>
      </c>
      <c r="B3643" s="12">
        <f t="shared" si="168"/>
        <v>3</v>
      </c>
      <c r="C3643" s="12">
        <f t="shared" si="169"/>
        <v>2015</v>
      </c>
      <c r="D3643" s="13">
        <v>21600</v>
      </c>
      <c r="E3643" s="13">
        <v>57.854999999999997</v>
      </c>
      <c r="F3643" s="13">
        <f t="shared" si="170"/>
        <v>373.34716100596319</v>
      </c>
    </row>
    <row r="3644" spans="1:6" x14ac:dyDescent="0.25">
      <c r="A3644" s="10">
        <v>42093</v>
      </c>
      <c r="B3644" s="12">
        <f t="shared" si="168"/>
        <v>3</v>
      </c>
      <c r="C3644" s="12">
        <f t="shared" si="169"/>
        <v>2015</v>
      </c>
      <c r="D3644" s="13">
        <v>21350</v>
      </c>
      <c r="E3644" s="13">
        <v>57.61</v>
      </c>
      <c r="F3644" s="13">
        <f t="shared" si="170"/>
        <v>370.59538274605103</v>
      </c>
    </row>
    <row r="3645" spans="1:6" x14ac:dyDescent="0.25">
      <c r="A3645" s="10">
        <v>42094</v>
      </c>
      <c r="B3645" s="12">
        <f t="shared" si="168"/>
        <v>3</v>
      </c>
      <c r="C3645" s="12">
        <f t="shared" si="169"/>
        <v>2015</v>
      </c>
      <c r="D3645" s="13">
        <v>21350</v>
      </c>
      <c r="E3645" s="13">
        <v>58.204999999999998</v>
      </c>
      <c r="F3645" s="13">
        <f t="shared" si="170"/>
        <v>366.80697534576069</v>
      </c>
    </row>
    <row r="3646" spans="1:6" x14ac:dyDescent="0.25">
      <c r="A3646" s="10">
        <v>42095</v>
      </c>
      <c r="B3646" s="12">
        <f t="shared" si="168"/>
        <v>4</v>
      </c>
      <c r="C3646" s="12">
        <f t="shared" si="169"/>
        <v>2015</v>
      </c>
      <c r="D3646" s="13">
        <v>21350</v>
      </c>
      <c r="E3646" s="13">
        <v>57.61</v>
      </c>
      <c r="F3646" s="13">
        <f t="shared" si="170"/>
        <v>370.59538274605103</v>
      </c>
    </row>
    <row r="3647" spans="1:6" x14ac:dyDescent="0.25">
      <c r="A3647" s="10">
        <v>42096</v>
      </c>
      <c r="B3647" s="12">
        <f t="shared" si="168"/>
        <v>4</v>
      </c>
      <c r="C3647" s="12">
        <f t="shared" si="169"/>
        <v>2015</v>
      </c>
      <c r="D3647" s="13">
        <v>21350</v>
      </c>
      <c r="E3647" s="13">
        <v>56.25</v>
      </c>
      <c r="F3647" s="13">
        <f t="shared" si="170"/>
        <v>379.55555555555554</v>
      </c>
    </row>
    <row r="3648" spans="1:6" x14ac:dyDescent="0.25">
      <c r="A3648" s="10">
        <v>42100</v>
      </c>
      <c r="B3648" s="12">
        <f t="shared" si="168"/>
        <v>4</v>
      </c>
      <c r="C3648" s="12">
        <f t="shared" si="169"/>
        <v>2015</v>
      </c>
      <c r="D3648" s="13">
        <v>21300</v>
      </c>
      <c r="E3648" s="13">
        <v>55.354999999999997</v>
      </c>
      <c r="F3648" s="13">
        <f t="shared" si="170"/>
        <v>384.78908860988167</v>
      </c>
    </row>
    <row r="3649" spans="1:6" x14ac:dyDescent="0.25">
      <c r="A3649" s="10">
        <v>42101</v>
      </c>
      <c r="B3649" s="12">
        <f t="shared" si="168"/>
        <v>4</v>
      </c>
      <c r="C3649" s="12">
        <f t="shared" si="169"/>
        <v>2015</v>
      </c>
      <c r="D3649" s="13">
        <v>21300</v>
      </c>
      <c r="E3649" s="13">
        <v>55.026000000000003</v>
      </c>
      <c r="F3649" s="13">
        <f t="shared" si="170"/>
        <v>387.08973939592192</v>
      </c>
    </row>
    <row r="3650" spans="1:6" x14ac:dyDescent="0.25">
      <c r="A3650" s="10">
        <v>42102</v>
      </c>
      <c r="B3650" s="12">
        <f t="shared" si="168"/>
        <v>4</v>
      </c>
      <c r="C3650" s="12">
        <f t="shared" si="169"/>
        <v>2015</v>
      </c>
      <c r="D3650" s="13">
        <v>21300</v>
      </c>
      <c r="E3650" s="13">
        <v>53.637</v>
      </c>
      <c r="F3650" s="13">
        <f t="shared" si="170"/>
        <v>397.11393254656298</v>
      </c>
    </row>
    <row r="3651" spans="1:6" x14ac:dyDescent="0.25">
      <c r="A3651" s="10">
        <v>42103</v>
      </c>
      <c r="B3651" s="12">
        <f t="shared" ref="B3651:B3714" si="171">MONTH(A3651)</f>
        <v>4</v>
      </c>
      <c r="C3651" s="12">
        <f t="shared" ref="C3651:C3714" si="172">YEAR(A3651)</f>
        <v>2015</v>
      </c>
      <c r="D3651" s="13">
        <v>21300</v>
      </c>
      <c r="E3651" s="13">
        <v>51.847000000000001</v>
      </c>
      <c r="F3651" s="13">
        <f t="shared" ref="F3651:F3714" si="173">IF(D3651="","",D3651/E3651)</f>
        <v>410.82415568885375</v>
      </c>
    </row>
    <row r="3652" spans="1:6" x14ac:dyDescent="0.25">
      <c r="A3652" s="10">
        <v>42104</v>
      </c>
      <c r="B3652" s="12">
        <f t="shared" si="171"/>
        <v>4</v>
      </c>
      <c r="C3652" s="12">
        <f t="shared" si="172"/>
        <v>2015</v>
      </c>
      <c r="D3652" s="13">
        <v>21300</v>
      </c>
      <c r="E3652" s="13">
        <v>53.6</v>
      </c>
      <c r="F3652" s="13">
        <f t="shared" si="173"/>
        <v>397.38805970149252</v>
      </c>
    </row>
    <row r="3653" spans="1:6" x14ac:dyDescent="0.25">
      <c r="A3653" s="10">
        <v>42107</v>
      </c>
      <c r="B3653" s="12">
        <f t="shared" si="171"/>
        <v>4</v>
      </c>
      <c r="C3653" s="12">
        <f t="shared" si="172"/>
        <v>2015</v>
      </c>
      <c r="D3653" s="13">
        <v>21000</v>
      </c>
      <c r="E3653" s="13">
        <v>52.03</v>
      </c>
      <c r="F3653" s="13">
        <f t="shared" si="173"/>
        <v>403.61330001921965</v>
      </c>
    </row>
    <row r="3654" spans="1:6" x14ac:dyDescent="0.25">
      <c r="A3654" s="10">
        <v>42108</v>
      </c>
      <c r="B3654" s="12">
        <f t="shared" si="171"/>
        <v>4</v>
      </c>
      <c r="C3654" s="12">
        <f t="shared" si="172"/>
        <v>2015</v>
      </c>
      <c r="D3654" s="13">
        <v>21000</v>
      </c>
      <c r="E3654" s="13">
        <v>50.896999999999998</v>
      </c>
      <c r="F3654" s="13">
        <f t="shared" si="173"/>
        <v>412.59799202310552</v>
      </c>
    </row>
    <row r="3655" spans="1:6" x14ac:dyDescent="0.25">
      <c r="A3655" s="10">
        <v>42109</v>
      </c>
      <c r="B3655" s="12">
        <f t="shared" si="171"/>
        <v>4</v>
      </c>
      <c r="C3655" s="12">
        <f t="shared" si="172"/>
        <v>2015</v>
      </c>
      <c r="D3655" s="13">
        <v>21000</v>
      </c>
      <c r="E3655" s="13">
        <v>49.7</v>
      </c>
      <c r="F3655" s="13">
        <f t="shared" si="173"/>
        <v>422.53521126760563</v>
      </c>
    </row>
    <row r="3656" spans="1:6" x14ac:dyDescent="0.25">
      <c r="A3656" s="10">
        <v>42110</v>
      </c>
      <c r="B3656" s="12">
        <f t="shared" si="171"/>
        <v>4</v>
      </c>
      <c r="C3656" s="12">
        <f t="shared" si="172"/>
        <v>2015</v>
      </c>
      <c r="D3656" s="13">
        <v>21000</v>
      </c>
      <c r="E3656" s="13">
        <v>49.8</v>
      </c>
      <c r="F3656" s="13">
        <f t="shared" si="173"/>
        <v>421.68674698795184</v>
      </c>
    </row>
    <row r="3657" spans="1:6" x14ac:dyDescent="0.25">
      <c r="A3657" s="10">
        <v>42111</v>
      </c>
      <c r="B3657" s="12">
        <f t="shared" si="171"/>
        <v>4</v>
      </c>
      <c r="C3657" s="12">
        <f t="shared" si="172"/>
        <v>2015</v>
      </c>
      <c r="D3657" s="13">
        <v>21000</v>
      </c>
      <c r="E3657" s="13">
        <v>51.895000000000003</v>
      </c>
      <c r="F3657" s="13">
        <f t="shared" si="173"/>
        <v>404.66326235668174</v>
      </c>
    </row>
    <row r="3658" spans="1:6" x14ac:dyDescent="0.25">
      <c r="A3658" s="10">
        <v>42114</v>
      </c>
      <c r="B3658" s="12">
        <f t="shared" si="171"/>
        <v>4</v>
      </c>
      <c r="C3658" s="12">
        <f t="shared" si="172"/>
        <v>2015</v>
      </c>
      <c r="D3658" s="13">
        <v>20700</v>
      </c>
      <c r="E3658" s="13">
        <v>53.335000000000001</v>
      </c>
      <c r="F3658" s="13">
        <f t="shared" si="173"/>
        <v>388.11287147276647</v>
      </c>
    </row>
    <row r="3659" spans="1:6" x14ac:dyDescent="0.25">
      <c r="A3659" s="10">
        <v>42115</v>
      </c>
      <c r="B3659" s="12">
        <f t="shared" si="171"/>
        <v>4</v>
      </c>
      <c r="C3659" s="12">
        <f t="shared" si="172"/>
        <v>2015</v>
      </c>
      <c r="D3659" s="13">
        <v>20700</v>
      </c>
      <c r="E3659" s="13">
        <v>53.8</v>
      </c>
      <c r="F3659" s="13">
        <f t="shared" si="173"/>
        <v>384.7583643122677</v>
      </c>
    </row>
    <row r="3660" spans="1:6" x14ac:dyDescent="0.25">
      <c r="A3660" s="10">
        <v>42116</v>
      </c>
      <c r="B3660" s="12">
        <f t="shared" si="171"/>
        <v>4</v>
      </c>
      <c r="C3660" s="12">
        <f t="shared" si="172"/>
        <v>2015</v>
      </c>
      <c r="D3660" s="13">
        <v>20700</v>
      </c>
      <c r="E3660" s="13">
        <v>52.18</v>
      </c>
      <c r="F3660" s="13">
        <f t="shared" si="173"/>
        <v>396.70371789957841</v>
      </c>
    </row>
    <row r="3661" spans="1:6" x14ac:dyDescent="0.25">
      <c r="A3661" s="10">
        <v>42117</v>
      </c>
      <c r="B3661" s="12">
        <f t="shared" si="171"/>
        <v>4</v>
      </c>
      <c r="C3661" s="12">
        <f t="shared" si="172"/>
        <v>2015</v>
      </c>
      <c r="D3661" s="13">
        <v>20700</v>
      </c>
      <c r="E3661" s="13">
        <v>50.765000000000001</v>
      </c>
      <c r="F3661" s="13">
        <f t="shared" si="173"/>
        <v>407.76125283167534</v>
      </c>
    </row>
    <row r="3662" spans="1:6" x14ac:dyDescent="0.25">
      <c r="A3662" s="10">
        <v>42118</v>
      </c>
      <c r="B3662" s="12">
        <f t="shared" si="171"/>
        <v>4</v>
      </c>
      <c r="C3662" s="12">
        <f t="shared" si="172"/>
        <v>2015</v>
      </c>
      <c r="D3662" s="13">
        <v>20700</v>
      </c>
      <c r="E3662" s="13">
        <v>50.814999999999998</v>
      </c>
      <c r="F3662" s="13">
        <f t="shared" si="173"/>
        <v>407.36003148676576</v>
      </c>
    </row>
    <row r="3663" spans="1:6" x14ac:dyDescent="0.25">
      <c r="A3663" s="10">
        <v>42121</v>
      </c>
      <c r="B3663" s="12">
        <f t="shared" si="171"/>
        <v>4</v>
      </c>
      <c r="C3663" s="12">
        <f t="shared" si="172"/>
        <v>2015</v>
      </c>
      <c r="D3663" s="13">
        <v>20500</v>
      </c>
      <c r="E3663" s="13">
        <v>51.774999999999999</v>
      </c>
      <c r="F3663" s="13">
        <f t="shared" si="173"/>
        <v>395.94398841139548</v>
      </c>
    </row>
    <row r="3664" spans="1:6" x14ac:dyDescent="0.25">
      <c r="A3664" s="10">
        <v>42122</v>
      </c>
      <c r="B3664" s="12">
        <f t="shared" si="171"/>
        <v>4</v>
      </c>
      <c r="C3664" s="12">
        <f t="shared" si="172"/>
        <v>2015</v>
      </c>
      <c r="D3664" s="13">
        <v>20500</v>
      </c>
      <c r="E3664" s="13">
        <v>51.555</v>
      </c>
      <c r="F3664" s="13">
        <f t="shared" si="173"/>
        <v>397.63359518960334</v>
      </c>
    </row>
    <row r="3665" spans="1:6" x14ac:dyDescent="0.25">
      <c r="A3665" s="10">
        <v>42123</v>
      </c>
      <c r="B3665" s="12">
        <f t="shared" si="171"/>
        <v>4</v>
      </c>
      <c r="C3665" s="12">
        <f t="shared" si="172"/>
        <v>2015</v>
      </c>
      <c r="D3665" s="13">
        <v>20500</v>
      </c>
      <c r="E3665" s="13">
        <v>50.865000000000002</v>
      </c>
      <c r="F3665" s="13">
        <f t="shared" si="173"/>
        <v>403.02762213702937</v>
      </c>
    </row>
    <row r="3666" spans="1:6" x14ac:dyDescent="0.25">
      <c r="A3666" s="10">
        <v>42124</v>
      </c>
      <c r="B3666" s="12">
        <f t="shared" si="171"/>
        <v>4</v>
      </c>
      <c r="C3666" s="12">
        <f t="shared" si="172"/>
        <v>2015</v>
      </c>
      <c r="D3666" s="13">
        <v>20500</v>
      </c>
      <c r="E3666" s="13">
        <v>51.564999999999998</v>
      </c>
      <c r="F3666" s="13">
        <f t="shared" si="173"/>
        <v>397.55648210995832</v>
      </c>
    </row>
    <row r="3667" spans="1:6" x14ac:dyDescent="0.25">
      <c r="A3667" s="10">
        <v>42125</v>
      </c>
      <c r="B3667" s="12">
        <f t="shared" si="171"/>
        <v>5</v>
      </c>
      <c r="C3667" s="12">
        <f t="shared" si="172"/>
        <v>2015</v>
      </c>
      <c r="D3667" s="13">
        <v>20500</v>
      </c>
      <c r="E3667" s="13">
        <v>51.776000000000003</v>
      </c>
      <c r="F3667" s="13">
        <f t="shared" si="173"/>
        <v>395.93634116192828</v>
      </c>
    </row>
    <row r="3668" spans="1:6" x14ac:dyDescent="0.25">
      <c r="A3668" s="10">
        <v>42128</v>
      </c>
      <c r="B3668" s="12">
        <f t="shared" si="171"/>
        <v>5</v>
      </c>
      <c r="C3668" s="12">
        <f t="shared" si="172"/>
        <v>2015</v>
      </c>
      <c r="D3668" s="13">
        <v>20500</v>
      </c>
      <c r="E3668" s="13">
        <v>52.01</v>
      </c>
      <c r="F3668" s="13">
        <f t="shared" si="173"/>
        <v>394.15497019803888</v>
      </c>
    </row>
    <row r="3669" spans="1:6" x14ac:dyDescent="0.25">
      <c r="A3669" s="10">
        <v>42129</v>
      </c>
      <c r="B3669" s="12">
        <f t="shared" si="171"/>
        <v>5</v>
      </c>
      <c r="C3669" s="12">
        <f t="shared" si="172"/>
        <v>2015</v>
      </c>
      <c r="D3669" s="13">
        <v>20500</v>
      </c>
      <c r="E3669" s="13">
        <v>50.484999999999999</v>
      </c>
      <c r="F3669" s="13">
        <f t="shared" si="173"/>
        <v>406.06120629890069</v>
      </c>
    </row>
    <row r="3670" spans="1:6" x14ac:dyDescent="0.25">
      <c r="A3670" s="10">
        <v>42130</v>
      </c>
      <c r="B3670" s="12">
        <f t="shared" si="171"/>
        <v>5</v>
      </c>
      <c r="C3670" s="12">
        <f t="shared" si="172"/>
        <v>2015</v>
      </c>
      <c r="D3670" s="13">
        <v>20500</v>
      </c>
      <c r="E3670" s="13">
        <v>50.45</v>
      </c>
      <c r="F3670" s="13">
        <f t="shared" si="173"/>
        <v>406.34291377601585</v>
      </c>
    </row>
    <row r="3671" spans="1:6" x14ac:dyDescent="0.25">
      <c r="A3671" s="10">
        <v>42131</v>
      </c>
      <c r="B3671" s="12">
        <f t="shared" si="171"/>
        <v>5</v>
      </c>
      <c r="C3671" s="12">
        <f t="shared" si="172"/>
        <v>2015</v>
      </c>
      <c r="D3671" s="13">
        <v>20500</v>
      </c>
      <c r="E3671" s="13">
        <v>50.023000000000003</v>
      </c>
      <c r="F3671" s="13">
        <f t="shared" si="173"/>
        <v>409.81148671611055</v>
      </c>
    </row>
    <row r="3672" spans="1:6" x14ac:dyDescent="0.25">
      <c r="A3672" s="10">
        <v>42132</v>
      </c>
      <c r="B3672" s="12">
        <f t="shared" si="171"/>
        <v>5</v>
      </c>
      <c r="C3672" s="12">
        <f t="shared" si="172"/>
        <v>2015</v>
      </c>
      <c r="D3672" s="13">
        <v>20500</v>
      </c>
      <c r="E3672" s="13">
        <v>50.759</v>
      </c>
      <c r="F3672" s="13">
        <f t="shared" si="173"/>
        <v>403.86926456391967</v>
      </c>
    </row>
    <row r="3673" spans="1:6" x14ac:dyDescent="0.25">
      <c r="A3673" s="10">
        <v>42135</v>
      </c>
      <c r="B3673" s="12">
        <f t="shared" si="171"/>
        <v>5</v>
      </c>
      <c r="C3673" s="12">
        <f t="shared" si="172"/>
        <v>2015</v>
      </c>
      <c r="D3673" s="13">
        <v>20500</v>
      </c>
      <c r="E3673" s="13">
        <v>51.145000000000003</v>
      </c>
      <c r="F3673" s="13">
        <f t="shared" si="173"/>
        <v>400.82119464268254</v>
      </c>
    </row>
    <row r="3674" spans="1:6" x14ac:dyDescent="0.25">
      <c r="A3674" s="10">
        <v>42136</v>
      </c>
      <c r="B3674" s="12">
        <f t="shared" si="171"/>
        <v>5</v>
      </c>
      <c r="C3674" s="12">
        <f t="shared" si="172"/>
        <v>2015</v>
      </c>
      <c r="D3674" s="13">
        <v>20500</v>
      </c>
      <c r="E3674" s="13">
        <v>49.944600000000001</v>
      </c>
      <c r="F3674" s="13">
        <f t="shared" si="173"/>
        <v>410.45478390056184</v>
      </c>
    </row>
    <row r="3675" spans="1:6" x14ac:dyDescent="0.25">
      <c r="A3675" s="10">
        <v>42137</v>
      </c>
      <c r="B3675" s="12">
        <f t="shared" si="171"/>
        <v>5</v>
      </c>
      <c r="C3675" s="12">
        <f t="shared" si="172"/>
        <v>2015</v>
      </c>
      <c r="D3675" s="13">
        <v>20500</v>
      </c>
      <c r="E3675" s="13">
        <v>49.256</v>
      </c>
      <c r="F3675" s="13">
        <f t="shared" si="173"/>
        <v>416.19295111255479</v>
      </c>
    </row>
    <row r="3676" spans="1:6" x14ac:dyDescent="0.25">
      <c r="A3676" s="10">
        <v>42138</v>
      </c>
      <c r="B3676" s="12">
        <f t="shared" si="171"/>
        <v>5</v>
      </c>
      <c r="C3676" s="12">
        <f t="shared" si="172"/>
        <v>2015</v>
      </c>
      <c r="D3676" s="13">
        <v>20500</v>
      </c>
      <c r="E3676" s="13">
        <v>50.02</v>
      </c>
      <c r="F3676" s="13">
        <f t="shared" si="173"/>
        <v>409.83606557377044</v>
      </c>
    </row>
    <row r="3677" spans="1:6" x14ac:dyDescent="0.25">
      <c r="A3677" s="10">
        <v>42139</v>
      </c>
      <c r="B3677" s="12">
        <f t="shared" si="171"/>
        <v>5</v>
      </c>
      <c r="C3677" s="12">
        <f t="shared" si="172"/>
        <v>2015</v>
      </c>
      <c r="D3677" s="13">
        <v>20500</v>
      </c>
      <c r="E3677" s="13">
        <v>49.435000000000002</v>
      </c>
      <c r="F3677" s="13">
        <f t="shared" si="173"/>
        <v>414.68595124911496</v>
      </c>
    </row>
    <row r="3678" spans="1:6" x14ac:dyDescent="0.25">
      <c r="A3678" s="10">
        <v>42142</v>
      </c>
      <c r="B3678" s="12">
        <f t="shared" si="171"/>
        <v>5</v>
      </c>
      <c r="C3678" s="12">
        <f t="shared" si="172"/>
        <v>2015</v>
      </c>
      <c r="D3678" s="13">
        <v>20500</v>
      </c>
      <c r="E3678" s="13">
        <v>49.217500000000001</v>
      </c>
      <c r="F3678" s="13">
        <f t="shared" si="173"/>
        <v>416.51851475593031</v>
      </c>
    </row>
    <row r="3679" spans="1:6" x14ac:dyDescent="0.25">
      <c r="A3679" s="10">
        <v>42143</v>
      </c>
      <c r="B3679" s="12">
        <f t="shared" si="171"/>
        <v>5</v>
      </c>
      <c r="C3679" s="12">
        <f t="shared" si="172"/>
        <v>2015</v>
      </c>
      <c r="D3679" s="13">
        <v>20500</v>
      </c>
      <c r="E3679" s="13">
        <v>49.47</v>
      </c>
      <c r="F3679" s="13">
        <f t="shared" si="173"/>
        <v>414.39256114817061</v>
      </c>
    </row>
    <row r="3680" spans="1:6" x14ac:dyDescent="0.25">
      <c r="A3680" s="10">
        <v>42144</v>
      </c>
      <c r="B3680" s="12">
        <f t="shared" si="171"/>
        <v>5</v>
      </c>
      <c r="C3680" s="12">
        <f t="shared" si="172"/>
        <v>2015</v>
      </c>
      <c r="D3680" s="13">
        <v>20500</v>
      </c>
      <c r="E3680" s="13">
        <v>49.701000000000001</v>
      </c>
      <c r="F3680" s="13">
        <f t="shared" si="173"/>
        <v>412.46654996881352</v>
      </c>
    </row>
    <row r="3681" spans="1:6" x14ac:dyDescent="0.25">
      <c r="A3681" s="10">
        <v>42145</v>
      </c>
      <c r="B3681" s="12">
        <f t="shared" si="171"/>
        <v>5</v>
      </c>
      <c r="C3681" s="12">
        <f t="shared" si="172"/>
        <v>2015</v>
      </c>
      <c r="D3681" s="13">
        <v>20500</v>
      </c>
      <c r="E3681" s="13">
        <v>49.965000000000003</v>
      </c>
      <c r="F3681" s="13">
        <f t="shared" si="173"/>
        <v>410.28720104072846</v>
      </c>
    </row>
    <row r="3682" spans="1:6" x14ac:dyDescent="0.25">
      <c r="A3682" s="10">
        <v>42146</v>
      </c>
      <c r="B3682" s="12">
        <f t="shared" si="171"/>
        <v>5</v>
      </c>
      <c r="C3682" s="12">
        <f t="shared" si="172"/>
        <v>2015</v>
      </c>
      <c r="D3682" s="13">
        <v>20500</v>
      </c>
      <c r="E3682" s="13">
        <v>49.924999999999997</v>
      </c>
      <c r="F3682" s="13">
        <f t="shared" si="173"/>
        <v>410.61592388582875</v>
      </c>
    </row>
    <row r="3683" spans="1:6" x14ac:dyDescent="0.25">
      <c r="A3683" s="10">
        <v>42150</v>
      </c>
      <c r="B3683" s="12">
        <f t="shared" si="171"/>
        <v>5</v>
      </c>
      <c r="C3683" s="12">
        <f t="shared" si="172"/>
        <v>2015</v>
      </c>
      <c r="D3683" s="13">
        <v>20500</v>
      </c>
      <c r="E3683" s="13">
        <v>50.82</v>
      </c>
      <c r="F3683" s="13">
        <f t="shared" si="173"/>
        <v>403.38449429358519</v>
      </c>
    </row>
    <row r="3684" spans="1:6" x14ac:dyDescent="0.25">
      <c r="A3684" s="10">
        <v>42151</v>
      </c>
      <c r="B3684" s="12">
        <f t="shared" si="171"/>
        <v>5</v>
      </c>
      <c r="C3684" s="12">
        <f t="shared" si="172"/>
        <v>2015</v>
      </c>
      <c r="D3684" s="13">
        <v>20500</v>
      </c>
      <c r="E3684" s="13">
        <v>51.782499999999999</v>
      </c>
      <c r="F3684" s="13">
        <f t="shared" si="173"/>
        <v>395.88664123980112</v>
      </c>
    </row>
    <row r="3685" spans="1:6" x14ac:dyDescent="0.25">
      <c r="A3685" s="10">
        <v>42152</v>
      </c>
      <c r="B3685" s="12">
        <f t="shared" si="171"/>
        <v>5</v>
      </c>
      <c r="C3685" s="12">
        <f t="shared" si="172"/>
        <v>2015</v>
      </c>
      <c r="D3685" s="13">
        <v>20500</v>
      </c>
      <c r="E3685" s="13">
        <v>52.524999999999999</v>
      </c>
      <c r="F3685" s="13">
        <f t="shared" si="173"/>
        <v>390.29033793431699</v>
      </c>
    </row>
    <row r="3686" spans="1:6" x14ac:dyDescent="0.25">
      <c r="A3686" s="10">
        <v>42153</v>
      </c>
      <c r="B3686" s="12">
        <f t="shared" si="171"/>
        <v>5</v>
      </c>
      <c r="C3686" s="12">
        <f t="shared" si="172"/>
        <v>2015</v>
      </c>
      <c r="D3686" s="13">
        <v>20500</v>
      </c>
      <c r="E3686" s="13">
        <v>52.354999999999997</v>
      </c>
      <c r="F3686" s="13">
        <f t="shared" si="173"/>
        <v>391.55763537388981</v>
      </c>
    </row>
    <row r="3687" spans="1:6" x14ac:dyDescent="0.25">
      <c r="A3687" s="10">
        <v>42156</v>
      </c>
      <c r="B3687" s="12">
        <f t="shared" si="171"/>
        <v>6</v>
      </c>
      <c r="C3687" s="12">
        <f t="shared" si="172"/>
        <v>2015</v>
      </c>
      <c r="D3687" s="13">
        <v>20500</v>
      </c>
      <c r="E3687" s="13">
        <v>53.48</v>
      </c>
      <c r="F3687" s="13">
        <f t="shared" si="173"/>
        <v>383.32086761406134</v>
      </c>
    </row>
    <row r="3688" spans="1:6" x14ac:dyDescent="0.25">
      <c r="A3688" s="10">
        <v>42157</v>
      </c>
      <c r="B3688" s="12">
        <f t="shared" si="171"/>
        <v>6</v>
      </c>
      <c r="C3688" s="12">
        <f t="shared" si="172"/>
        <v>2015</v>
      </c>
      <c r="D3688" s="13">
        <v>20500</v>
      </c>
      <c r="E3688" s="13">
        <v>52.734999999999999</v>
      </c>
      <c r="F3688" s="13">
        <f t="shared" si="173"/>
        <v>388.73613349767709</v>
      </c>
    </row>
    <row r="3689" spans="1:6" x14ac:dyDescent="0.25">
      <c r="A3689" s="10">
        <v>42158</v>
      </c>
      <c r="B3689" s="12">
        <f t="shared" si="171"/>
        <v>6</v>
      </c>
      <c r="C3689" s="12">
        <f t="shared" si="172"/>
        <v>2015</v>
      </c>
      <c r="D3689" s="13">
        <v>20500</v>
      </c>
      <c r="E3689" s="13">
        <v>54.3</v>
      </c>
      <c r="F3689" s="13">
        <f t="shared" si="173"/>
        <v>377.53222836095767</v>
      </c>
    </row>
    <row r="3690" spans="1:6" x14ac:dyDescent="0.25">
      <c r="A3690" s="10">
        <v>42159</v>
      </c>
      <c r="B3690" s="12">
        <f t="shared" si="171"/>
        <v>6</v>
      </c>
      <c r="C3690" s="12">
        <f t="shared" si="172"/>
        <v>2015</v>
      </c>
      <c r="D3690" s="13">
        <v>20500</v>
      </c>
      <c r="E3690" s="13">
        <v>56.234999999999999</v>
      </c>
      <c r="F3690" s="13">
        <f t="shared" si="173"/>
        <v>364.54165555259181</v>
      </c>
    </row>
    <row r="3691" spans="1:6" x14ac:dyDescent="0.25">
      <c r="A3691" s="10">
        <v>42160</v>
      </c>
      <c r="B3691" s="12">
        <f t="shared" si="171"/>
        <v>6</v>
      </c>
      <c r="C3691" s="12">
        <f t="shared" si="172"/>
        <v>2015</v>
      </c>
      <c r="D3691" s="13">
        <v>20500</v>
      </c>
      <c r="E3691" s="13">
        <v>56.195</v>
      </c>
      <c r="F3691" s="13">
        <f t="shared" si="173"/>
        <v>364.80113889136044</v>
      </c>
    </row>
    <row r="3692" spans="1:6" x14ac:dyDescent="0.25">
      <c r="A3692" s="10">
        <v>42163</v>
      </c>
      <c r="B3692" s="12">
        <f t="shared" si="171"/>
        <v>6</v>
      </c>
      <c r="C3692" s="12">
        <f t="shared" si="172"/>
        <v>2015</v>
      </c>
      <c r="E3692" s="13">
        <v>55.994999999999997</v>
      </c>
      <c r="F3692" s="13" t="str">
        <f t="shared" si="173"/>
        <v/>
      </c>
    </row>
    <row r="3693" spans="1:6" x14ac:dyDescent="0.25">
      <c r="A3693" s="10">
        <v>42164</v>
      </c>
      <c r="B3693" s="12">
        <f t="shared" si="171"/>
        <v>6</v>
      </c>
      <c r="C3693" s="12">
        <f t="shared" si="172"/>
        <v>2015</v>
      </c>
      <c r="E3693" s="13">
        <v>55.662500000000001</v>
      </c>
      <c r="F3693" s="13" t="str">
        <f t="shared" si="173"/>
        <v/>
      </c>
    </row>
    <row r="3694" spans="1:6" x14ac:dyDescent="0.25">
      <c r="A3694" s="10">
        <v>42165</v>
      </c>
      <c r="B3694" s="12">
        <f t="shared" si="171"/>
        <v>6</v>
      </c>
      <c r="C3694" s="12">
        <f t="shared" si="172"/>
        <v>2015</v>
      </c>
      <c r="E3694" s="13">
        <v>54.316000000000003</v>
      </c>
      <c r="F3694" s="13" t="str">
        <f t="shared" si="173"/>
        <v/>
      </c>
    </row>
    <row r="3695" spans="1:6" x14ac:dyDescent="0.25">
      <c r="A3695" s="10">
        <v>42166</v>
      </c>
      <c r="B3695" s="12">
        <f t="shared" si="171"/>
        <v>6</v>
      </c>
      <c r="C3695" s="12">
        <f t="shared" si="172"/>
        <v>2015</v>
      </c>
      <c r="E3695" s="13">
        <v>54.798000000000002</v>
      </c>
      <c r="F3695" s="13" t="str">
        <f t="shared" si="173"/>
        <v/>
      </c>
    </row>
    <row r="3696" spans="1:6" x14ac:dyDescent="0.25">
      <c r="A3696" s="10">
        <v>42167</v>
      </c>
      <c r="B3696" s="12">
        <f t="shared" si="171"/>
        <v>6</v>
      </c>
      <c r="C3696" s="12">
        <f t="shared" si="172"/>
        <v>2015</v>
      </c>
      <c r="E3696" s="13">
        <v>55.09</v>
      </c>
      <c r="F3696" s="13" t="str">
        <f t="shared" si="173"/>
        <v/>
      </c>
    </row>
    <row r="3697" spans="1:6" x14ac:dyDescent="0.25">
      <c r="A3697" s="10">
        <v>42170</v>
      </c>
      <c r="B3697" s="12">
        <f t="shared" si="171"/>
        <v>6</v>
      </c>
      <c r="C3697" s="12">
        <f t="shared" si="172"/>
        <v>2015</v>
      </c>
      <c r="D3697" s="13">
        <v>21750</v>
      </c>
      <c r="E3697" s="13">
        <v>54.5</v>
      </c>
      <c r="F3697" s="13">
        <f t="shared" si="173"/>
        <v>399.08256880733944</v>
      </c>
    </row>
    <row r="3698" spans="1:6" x14ac:dyDescent="0.25">
      <c r="A3698" s="10">
        <v>42171</v>
      </c>
      <c r="B3698" s="12">
        <f t="shared" si="171"/>
        <v>6</v>
      </c>
      <c r="C3698" s="12">
        <f t="shared" si="172"/>
        <v>2015</v>
      </c>
      <c r="D3698" s="13">
        <v>21750</v>
      </c>
      <c r="E3698" s="13">
        <v>54.055</v>
      </c>
      <c r="F3698" s="13">
        <f t="shared" si="173"/>
        <v>402.36795856072519</v>
      </c>
    </row>
    <row r="3699" spans="1:6" x14ac:dyDescent="0.25">
      <c r="A3699" s="10">
        <v>42172</v>
      </c>
      <c r="B3699" s="12">
        <f t="shared" si="171"/>
        <v>6</v>
      </c>
      <c r="C3699" s="12">
        <f t="shared" si="172"/>
        <v>2015</v>
      </c>
      <c r="D3699" s="13">
        <v>21750</v>
      </c>
      <c r="E3699" s="13">
        <v>53.63</v>
      </c>
      <c r="F3699" s="13">
        <f t="shared" si="173"/>
        <v>405.55659146000369</v>
      </c>
    </row>
    <row r="3700" spans="1:6" x14ac:dyDescent="0.25">
      <c r="A3700" s="10">
        <v>42173</v>
      </c>
      <c r="B3700" s="12">
        <f t="shared" si="171"/>
        <v>6</v>
      </c>
      <c r="C3700" s="12">
        <f t="shared" si="172"/>
        <v>2015</v>
      </c>
      <c r="D3700" s="13">
        <v>21750</v>
      </c>
      <c r="E3700" s="13">
        <v>53.47</v>
      </c>
      <c r="F3700" s="13">
        <f t="shared" si="173"/>
        <v>406.77015148681505</v>
      </c>
    </row>
    <row r="3701" spans="1:6" x14ac:dyDescent="0.25">
      <c r="A3701" s="10">
        <v>42174</v>
      </c>
      <c r="B3701" s="12">
        <f t="shared" si="171"/>
        <v>6</v>
      </c>
      <c r="C3701" s="12">
        <f t="shared" si="172"/>
        <v>2015</v>
      </c>
      <c r="D3701" s="13">
        <v>21750</v>
      </c>
      <c r="E3701" s="13">
        <v>54</v>
      </c>
      <c r="F3701" s="13">
        <f t="shared" si="173"/>
        <v>402.77777777777777</v>
      </c>
    </row>
    <row r="3702" spans="1:6" x14ac:dyDescent="0.25">
      <c r="A3702" s="10">
        <v>42177</v>
      </c>
      <c r="B3702" s="12">
        <f t="shared" si="171"/>
        <v>6</v>
      </c>
      <c r="C3702" s="12">
        <f t="shared" si="172"/>
        <v>2015</v>
      </c>
      <c r="D3702" s="13">
        <v>23500</v>
      </c>
      <c r="E3702" s="13">
        <v>53.935000000000002</v>
      </c>
      <c r="F3702" s="13">
        <f t="shared" si="173"/>
        <v>435.70965050523779</v>
      </c>
    </row>
    <row r="3703" spans="1:6" x14ac:dyDescent="0.25">
      <c r="A3703" s="10">
        <v>42178</v>
      </c>
      <c r="B3703" s="12">
        <f t="shared" si="171"/>
        <v>6</v>
      </c>
      <c r="C3703" s="12">
        <f t="shared" si="172"/>
        <v>2015</v>
      </c>
      <c r="D3703" s="13">
        <v>23500</v>
      </c>
      <c r="E3703" s="13">
        <v>53.78</v>
      </c>
      <c r="F3703" s="13">
        <f t="shared" si="173"/>
        <v>436.96541465228711</v>
      </c>
    </row>
    <row r="3704" spans="1:6" x14ac:dyDescent="0.25">
      <c r="A3704" s="10">
        <v>42179</v>
      </c>
      <c r="B3704" s="12">
        <f t="shared" si="171"/>
        <v>6</v>
      </c>
      <c r="C3704" s="12">
        <f t="shared" si="172"/>
        <v>2015</v>
      </c>
      <c r="D3704" s="13">
        <v>23500</v>
      </c>
      <c r="E3704" s="13">
        <v>54.258000000000003</v>
      </c>
      <c r="F3704" s="13">
        <f t="shared" si="173"/>
        <v>433.11585388329831</v>
      </c>
    </row>
    <row r="3705" spans="1:6" x14ac:dyDescent="0.25">
      <c r="A3705" s="10">
        <v>42180</v>
      </c>
      <c r="B3705" s="12">
        <f t="shared" si="171"/>
        <v>6</v>
      </c>
      <c r="C3705" s="12">
        <f t="shared" si="172"/>
        <v>2015</v>
      </c>
      <c r="D3705" s="13">
        <v>23500</v>
      </c>
      <c r="E3705" s="13">
        <v>54.6629</v>
      </c>
      <c r="F3705" s="13">
        <f t="shared" si="173"/>
        <v>429.90767046753831</v>
      </c>
    </row>
    <row r="3706" spans="1:6" x14ac:dyDescent="0.25">
      <c r="A3706" s="10">
        <v>42181</v>
      </c>
      <c r="B3706" s="12">
        <f t="shared" si="171"/>
        <v>6</v>
      </c>
      <c r="C3706" s="12">
        <f t="shared" si="172"/>
        <v>2015</v>
      </c>
      <c r="D3706" s="13">
        <v>23500</v>
      </c>
      <c r="E3706" s="13">
        <v>54.773000000000003</v>
      </c>
      <c r="F3706" s="13">
        <f t="shared" si="173"/>
        <v>429.0435068373103</v>
      </c>
    </row>
    <row r="3707" spans="1:6" x14ac:dyDescent="0.25">
      <c r="A3707" s="10">
        <v>42184</v>
      </c>
      <c r="B3707" s="12">
        <f t="shared" si="171"/>
        <v>6</v>
      </c>
      <c r="C3707" s="12">
        <f t="shared" si="172"/>
        <v>2015</v>
      </c>
      <c r="E3707" s="13">
        <v>55.674999999999997</v>
      </c>
      <c r="F3707" s="13" t="str">
        <f t="shared" si="173"/>
        <v/>
      </c>
    </row>
    <row r="3708" spans="1:6" x14ac:dyDescent="0.25">
      <c r="A3708" s="10">
        <v>42185</v>
      </c>
      <c r="B3708" s="12">
        <f t="shared" si="171"/>
        <v>6</v>
      </c>
      <c r="C3708" s="12">
        <f t="shared" si="172"/>
        <v>2015</v>
      </c>
      <c r="E3708" s="13">
        <v>55.3</v>
      </c>
      <c r="F3708" s="13" t="str">
        <f t="shared" si="173"/>
        <v/>
      </c>
    </row>
    <row r="3709" spans="1:6" x14ac:dyDescent="0.25">
      <c r="A3709" s="10">
        <v>42186</v>
      </c>
      <c r="B3709" s="12">
        <f t="shared" si="171"/>
        <v>7</v>
      </c>
      <c r="C3709" s="12">
        <f t="shared" si="172"/>
        <v>2015</v>
      </c>
      <c r="E3709" s="13">
        <v>55.8</v>
      </c>
      <c r="F3709" s="13" t="str">
        <f t="shared" si="173"/>
        <v/>
      </c>
    </row>
    <row r="3710" spans="1:6" x14ac:dyDescent="0.25">
      <c r="A3710" s="10">
        <v>42187</v>
      </c>
      <c r="B3710" s="12">
        <f t="shared" si="171"/>
        <v>7</v>
      </c>
      <c r="C3710" s="12">
        <f t="shared" si="172"/>
        <v>2015</v>
      </c>
      <c r="E3710" s="13">
        <v>55.48</v>
      </c>
      <c r="F3710" s="13" t="str">
        <f t="shared" si="173"/>
        <v/>
      </c>
    </row>
    <row r="3711" spans="1:6" x14ac:dyDescent="0.25">
      <c r="A3711" s="10">
        <v>42191</v>
      </c>
      <c r="B3711" s="12">
        <f t="shared" si="171"/>
        <v>7</v>
      </c>
      <c r="C3711" s="12">
        <f t="shared" si="172"/>
        <v>2015</v>
      </c>
      <c r="E3711" s="13">
        <v>56.889000000000003</v>
      </c>
      <c r="F3711" s="13" t="str">
        <f t="shared" si="173"/>
        <v/>
      </c>
    </row>
    <row r="3712" spans="1:6" x14ac:dyDescent="0.25">
      <c r="A3712" s="10">
        <v>42192</v>
      </c>
      <c r="B3712" s="12">
        <f t="shared" si="171"/>
        <v>7</v>
      </c>
      <c r="C3712" s="12">
        <f t="shared" si="172"/>
        <v>2015</v>
      </c>
      <c r="E3712" s="13">
        <v>56.738999999999997</v>
      </c>
      <c r="F3712" s="13" t="str">
        <f t="shared" si="173"/>
        <v/>
      </c>
    </row>
    <row r="3713" spans="1:6" x14ac:dyDescent="0.25">
      <c r="A3713" s="10">
        <v>42193</v>
      </c>
      <c r="B3713" s="12">
        <f t="shared" si="171"/>
        <v>7</v>
      </c>
      <c r="C3713" s="12">
        <f t="shared" si="172"/>
        <v>2015</v>
      </c>
      <c r="E3713" s="13">
        <v>57.395000000000003</v>
      </c>
      <c r="F3713" s="13" t="str">
        <f t="shared" si="173"/>
        <v/>
      </c>
    </row>
    <row r="3714" spans="1:6" x14ac:dyDescent="0.25">
      <c r="A3714" s="10">
        <v>42194</v>
      </c>
      <c r="B3714" s="12">
        <f t="shared" si="171"/>
        <v>7</v>
      </c>
      <c r="C3714" s="12">
        <f t="shared" si="172"/>
        <v>2015</v>
      </c>
      <c r="E3714" s="13">
        <v>57.099299999999999</v>
      </c>
      <c r="F3714" s="13" t="str">
        <f t="shared" si="173"/>
        <v/>
      </c>
    </row>
    <row r="3715" spans="1:6" x14ac:dyDescent="0.25">
      <c r="A3715" s="10">
        <v>42195</v>
      </c>
      <c r="B3715" s="12">
        <f t="shared" ref="B3715:B3778" si="174">MONTH(A3715)</f>
        <v>7</v>
      </c>
      <c r="C3715" s="12">
        <f t="shared" ref="C3715:C3778" si="175">YEAR(A3715)</f>
        <v>2015</v>
      </c>
      <c r="E3715" s="13">
        <v>56.335000000000001</v>
      </c>
      <c r="F3715" s="13" t="str">
        <f t="shared" ref="F3715:F3778" si="176">IF(D3715="","",D3715/E3715)</f>
        <v/>
      </c>
    </row>
    <row r="3716" spans="1:6" x14ac:dyDescent="0.25">
      <c r="A3716" s="10">
        <v>42198</v>
      </c>
      <c r="B3716" s="12">
        <f t="shared" si="174"/>
        <v>7</v>
      </c>
      <c r="C3716" s="12">
        <f t="shared" si="175"/>
        <v>2015</v>
      </c>
      <c r="E3716" s="13">
        <v>56.510800000000003</v>
      </c>
      <c r="F3716" s="13" t="str">
        <f t="shared" si="176"/>
        <v/>
      </c>
    </row>
    <row r="3717" spans="1:6" x14ac:dyDescent="0.25">
      <c r="A3717" s="10">
        <v>42199</v>
      </c>
      <c r="B3717" s="12">
        <f t="shared" si="174"/>
        <v>7</v>
      </c>
      <c r="C3717" s="12">
        <f t="shared" si="175"/>
        <v>2015</v>
      </c>
      <c r="E3717" s="13">
        <v>56.393000000000001</v>
      </c>
      <c r="F3717" s="13" t="str">
        <f t="shared" si="176"/>
        <v/>
      </c>
    </row>
    <row r="3718" spans="1:6" x14ac:dyDescent="0.25">
      <c r="A3718" s="10">
        <v>42200</v>
      </c>
      <c r="B3718" s="12">
        <f t="shared" si="174"/>
        <v>7</v>
      </c>
      <c r="C3718" s="12">
        <f t="shared" si="175"/>
        <v>2015</v>
      </c>
      <c r="E3718" s="13">
        <v>56.880499999999998</v>
      </c>
      <c r="F3718" s="13" t="str">
        <f t="shared" si="176"/>
        <v/>
      </c>
    </row>
    <row r="3719" spans="1:6" x14ac:dyDescent="0.25">
      <c r="A3719" s="10">
        <v>42201</v>
      </c>
      <c r="B3719" s="12">
        <f t="shared" si="174"/>
        <v>7</v>
      </c>
      <c r="C3719" s="12">
        <f t="shared" si="175"/>
        <v>2015</v>
      </c>
      <c r="E3719" s="13">
        <v>56.942</v>
      </c>
      <c r="F3719" s="13" t="str">
        <f t="shared" si="176"/>
        <v/>
      </c>
    </row>
    <row r="3720" spans="1:6" x14ac:dyDescent="0.25">
      <c r="A3720" s="10">
        <v>42202</v>
      </c>
      <c r="B3720" s="12">
        <f t="shared" si="174"/>
        <v>7</v>
      </c>
      <c r="C3720" s="12">
        <f t="shared" si="175"/>
        <v>2015</v>
      </c>
      <c r="E3720" s="13">
        <v>56.936500000000002</v>
      </c>
      <c r="F3720" s="13" t="str">
        <f t="shared" si="176"/>
        <v/>
      </c>
    </row>
    <row r="3721" spans="1:6" x14ac:dyDescent="0.25">
      <c r="A3721" s="10">
        <v>42205</v>
      </c>
      <c r="B3721" s="12">
        <f t="shared" si="174"/>
        <v>7</v>
      </c>
      <c r="C3721" s="12">
        <f t="shared" si="175"/>
        <v>2015</v>
      </c>
      <c r="E3721" s="13">
        <v>57.204999999999998</v>
      </c>
      <c r="F3721" s="13" t="str">
        <f t="shared" si="176"/>
        <v/>
      </c>
    </row>
    <row r="3722" spans="1:6" x14ac:dyDescent="0.25">
      <c r="A3722" s="10">
        <v>42206</v>
      </c>
      <c r="B3722" s="12">
        <f t="shared" si="174"/>
        <v>7</v>
      </c>
      <c r="C3722" s="12">
        <f t="shared" si="175"/>
        <v>2015</v>
      </c>
      <c r="E3722" s="13">
        <v>56.927999999999997</v>
      </c>
      <c r="F3722" s="13" t="str">
        <f t="shared" si="176"/>
        <v/>
      </c>
    </row>
    <row r="3723" spans="1:6" x14ac:dyDescent="0.25">
      <c r="A3723" s="10">
        <v>42207</v>
      </c>
      <c r="B3723" s="12">
        <f t="shared" si="174"/>
        <v>7</v>
      </c>
      <c r="C3723" s="12">
        <f t="shared" si="175"/>
        <v>2015</v>
      </c>
      <c r="E3723" s="13">
        <v>56.954999999999998</v>
      </c>
      <c r="F3723" s="13" t="str">
        <f t="shared" si="176"/>
        <v/>
      </c>
    </row>
    <row r="3724" spans="1:6" x14ac:dyDescent="0.25">
      <c r="A3724" s="10">
        <v>42208</v>
      </c>
      <c r="B3724" s="12">
        <f t="shared" si="174"/>
        <v>7</v>
      </c>
      <c r="C3724" s="12">
        <f t="shared" si="175"/>
        <v>2015</v>
      </c>
      <c r="E3724" s="13">
        <v>57.689</v>
      </c>
      <c r="F3724" s="13" t="str">
        <f t="shared" si="176"/>
        <v/>
      </c>
    </row>
    <row r="3725" spans="1:6" x14ac:dyDescent="0.25">
      <c r="A3725" s="10">
        <v>42209</v>
      </c>
      <c r="B3725" s="12">
        <f t="shared" si="174"/>
        <v>7</v>
      </c>
      <c r="C3725" s="12">
        <f t="shared" si="175"/>
        <v>2015</v>
      </c>
      <c r="E3725" s="13">
        <v>58.445500000000003</v>
      </c>
      <c r="F3725" s="13" t="str">
        <f t="shared" si="176"/>
        <v/>
      </c>
    </row>
    <row r="3726" spans="1:6" x14ac:dyDescent="0.25">
      <c r="A3726" s="10">
        <v>42212</v>
      </c>
      <c r="B3726" s="12">
        <f t="shared" si="174"/>
        <v>7</v>
      </c>
      <c r="C3726" s="12">
        <f t="shared" si="175"/>
        <v>2015</v>
      </c>
      <c r="E3726" s="13">
        <v>59.9955</v>
      </c>
      <c r="F3726" s="13" t="str">
        <f t="shared" si="176"/>
        <v/>
      </c>
    </row>
    <row r="3727" spans="1:6" x14ac:dyDescent="0.25">
      <c r="A3727" s="10">
        <v>42213</v>
      </c>
      <c r="B3727" s="12">
        <f t="shared" si="174"/>
        <v>7</v>
      </c>
      <c r="C3727" s="12">
        <f t="shared" si="175"/>
        <v>2015</v>
      </c>
      <c r="E3727" s="13">
        <v>59.868000000000002</v>
      </c>
      <c r="F3727" s="13" t="str">
        <f t="shared" si="176"/>
        <v/>
      </c>
    </row>
    <row r="3728" spans="1:6" x14ac:dyDescent="0.25">
      <c r="A3728" s="10">
        <v>42214</v>
      </c>
      <c r="B3728" s="12">
        <f t="shared" si="174"/>
        <v>7</v>
      </c>
      <c r="C3728" s="12">
        <f t="shared" si="175"/>
        <v>2015</v>
      </c>
      <c r="E3728" s="13">
        <v>58.494</v>
      </c>
      <c r="F3728" s="13" t="str">
        <f t="shared" si="176"/>
        <v/>
      </c>
    </row>
    <row r="3729" spans="1:6" x14ac:dyDescent="0.25">
      <c r="A3729" s="10">
        <v>42215</v>
      </c>
      <c r="B3729" s="12">
        <f t="shared" si="174"/>
        <v>7</v>
      </c>
      <c r="C3729" s="12">
        <f t="shared" si="175"/>
        <v>2015</v>
      </c>
      <c r="E3729" s="13">
        <v>59.735500000000002</v>
      </c>
      <c r="F3729" s="13" t="str">
        <f t="shared" si="176"/>
        <v/>
      </c>
    </row>
    <row r="3730" spans="1:6" x14ac:dyDescent="0.25">
      <c r="A3730" s="10">
        <v>42216</v>
      </c>
      <c r="B3730" s="12">
        <f t="shared" si="174"/>
        <v>7</v>
      </c>
      <c r="C3730" s="12">
        <f t="shared" si="175"/>
        <v>2015</v>
      </c>
      <c r="E3730" s="13">
        <v>61.725999999999999</v>
      </c>
      <c r="F3730" s="13" t="str">
        <f t="shared" si="176"/>
        <v/>
      </c>
    </row>
    <row r="3731" spans="1:6" x14ac:dyDescent="0.25">
      <c r="A3731" s="10">
        <v>42219</v>
      </c>
      <c r="B3731" s="12">
        <f t="shared" si="174"/>
        <v>8</v>
      </c>
      <c r="C3731" s="12">
        <f t="shared" si="175"/>
        <v>2015</v>
      </c>
      <c r="E3731" s="13">
        <v>63.554299999999998</v>
      </c>
      <c r="F3731" s="13" t="str">
        <f t="shared" si="176"/>
        <v/>
      </c>
    </row>
    <row r="3732" spans="1:6" x14ac:dyDescent="0.25">
      <c r="A3732" s="10">
        <v>42220</v>
      </c>
      <c r="B3732" s="12">
        <f t="shared" si="174"/>
        <v>8</v>
      </c>
      <c r="C3732" s="12">
        <f t="shared" si="175"/>
        <v>2015</v>
      </c>
      <c r="E3732" s="13">
        <v>62.821800000000003</v>
      </c>
      <c r="F3732" s="13" t="str">
        <f t="shared" si="176"/>
        <v/>
      </c>
    </row>
    <row r="3733" spans="1:6" x14ac:dyDescent="0.25">
      <c r="A3733" s="10">
        <v>42221</v>
      </c>
      <c r="B3733" s="12">
        <f t="shared" si="174"/>
        <v>8</v>
      </c>
      <c r="C3733" s="12">
        <f t="shared" si="175"/>
        <v>2015</v>
      </c>
      <c r="E3733" s="13">
        <v>63.488999999999997</v>
      </c>
      <c r="F3733" s="13" t="str">
        <f t="shared" si="176"/>
        <v/>
      </c>
    </row>
    <row r="3734" spans="1:6" x14ac:dyDescent="0.25">
      <c r="A3734" s="10">
        <v>42222</v>
      </c>
      <c r="B3734" s="12">
        <f t="shared" si="174"/>
        <v>8</v>
      </c>
      <c r="C3734" s="12">
        <f t="shared" si="175"/>
        <v>2015</v>
      </c>
      <c r="E3734" s="13">
        <v>63.955500000000001</v>
      </c>
      <c r="F3734" s="13" t="str">
        <f t="shared" si="176"/>
        <v/>
      </c>
    </row>
    <row r="3735" spans="1:6" x14ac:dyDescent="0.25">
      <c r="A3735" s="10">
        <v>42223</v>
      </c>
      <c r="B3735" s="12">
        <f t="shared" si="174"/>
        <v>8</v>
      </c>
      <c r="C3735" s="12">
        <f t="shared" si="175"/>
        <v>2015</v>
      </c>
      <c r="E3735" s="13">
        <v>64.021500000000003</v>
      </c>
      <c r="F3735" s="13" t="str">
        <f t="shared" si="176"/>
        <v/>
      </c>
    </row>
    <row r="3736" spans="1:6" x14ac:dyDescent="0.25">
      <c r="A3736" s="10">
        <v>42226</v>
      </c>
      <c r="B3736" s="12">
        <f t="shared" si="174"/>
        <v>8</v>
      </c>
      <c r="C3736" s="12">
        <f t="shared" si="175"/>
        <v>2015</v>
      </c>
      <c r="E3736" s="13">
        <v>63.020499999999998</v>
      </c>
      <c r="F3736" s="13" t="str">
        <f t="shared" si="176"/>
        <v/>
      </c>
    </row>
    <row r="3737" spans="1:6" x14ac:dyDescent="0.25">
      <c r="A3737" s="10">
        <v>42227</v>
      </c>
      <c r="B3737" s="12">
        <f t="shared" si="174"/>
        <v>8</v>
      </c>
      <c r="C3737" s="12">
        <f t="shared" si="175"/>
        <v>2015</v>
      </c>
      <c r="E3737" s="13">
        <v>64.188999999999993</v>
      </c>
      <c r="F3737" s="13" t="str">
        <f t="shared" si="176"/>
        <v/>
      </c>
    </row>
    <row r="3738" spans="1:6" x14ac:dyDescent="0.25">
      <c r="A3738" s="10">
        <v>42228</v>
      </c>
      <c r="B3738" s="12">
        <f t="shared" si="174"/>
        <v>8</v>
      </c>
      <c r="C3738" s="12">
        <f t="shared" si="175"/>
        <v>2015</v>
      </c>
      <c r="E3738" s="13">
        <v>64.475499999999997</v>
      </c>
      <c r="F3738" s="13" t="str">
        <f t="shared" si="176"/>
        <v/>
      </c>
    </row>
    <row r="3739" spans="1:6" x14ac:dyDescent="0.25">
      <c r="A3739" s="10">
        <v>42229</v>
      </c>
      <c r="B3739" s="12">
        <f t="shared" si="174"/>
        <v>8</v>
      </c>
      <c r="C3739" s="12">
        <f t="shared" si="175"/>
        <v>2015</v>
      </c>
      <c r="E3739" s="13">
        <v>64.734300000000005</v>
      </c>
      <c r="F3739" s="13" t="str">
        <f t="shared" si="176"/>
        <v/>
      </c>
    </row>
    <row r="3740" spans="1:6" x14ac:dyDescent="0.25">
      <c r="A3740" s="10">
        <v>42230</v>
      </c>
      <c r="B3740" s="12">
        <f t="shared" si="174"/>
        <v>8</v>
      </c>
      <c r="C3740" s="12">
        <f t="shared" si="175"/>
        <v>2015</v>
      </c>
      <c r="E3740" s="13">
        <v>64.858000000000004</v>
      </c>
      <c r="F3740" s="13" t="str">
        <f t="shared" si="176"/>
        <v/>
      </c>
    </row>
    <row r="3741" spans="1:6" x14ac:dyDescent="0.25">
      <c r="A3741" s="10">
        <v>42233</v>
      </c>
      <c r="B3741" s="12">
        <f t="shared" si="174"/>
        <v>8</v>
      </c>
      <c r="C3741" s="12">
        <f t="shared" si="175"/>
        <v>2015</v>
      </c>
      <c r="E3741" s="13">
        <v>65.302999999999997</v>
      </c>
      <c r="F3741" s="13" t="str">
        <f t="shared" si="176"/>
        <v/>
      </c>
    </row>
    <row r="3742" spans="1:6" x14ac:dyDescent="0.25">
      <c r="A3742" s="10">
        <v>42234</v>
      </c>
      <c r="B3742" s="12">
        <f t="shared" si="174"/>
        <v>8</v>
      </c>
      <c r="C3742" s="12">
        <f t="shared" si="175"/>
        <v>2015</v>
      </c>
      <c r="E3742" s="13">
        <v>65.817499999999995</v>
      </c>
      <c r="F3742" s="13" t="str">
        <f t="shared" si="176"/>
        <v/>
      </c>
    </row>
    <row r="3743" spans="1:6" x14ac:dyDescent="0.25">
      <c r="A3743" s="10">
        <v>42235</v>
      </c>
      <c r="B3743" s="12">
        <f t="shared" si="174"/>
        <v>8</v>
      </c>
      <c r="C3743" s="12">
        <f t="shared" si="175"/>
        <v>2015</v>
      </c>
      <c r="E3743" s="13">
        <v>66.584999999999994</v>
      </c>
      <c r="F3743" s="13" t="str">
        <f t="shared" si="176"/>
        <v/>
      </c>
    </row>
    <row r="3744" spans="1:6" x14ac:dyDescent="0.25">
      <c r="A3744" s="10">
        <v>42236</v>
      </c>
      <c r="B3744" s="12">
        <f t="shared" si="174"/>
        <v>8</v>
      </c>
      <c r="C3744" s="12">
        <f t="shared" si="175"/>
        <v>2015</v>
      </c>
      <c r="E3744" s="13">
        <v>67.865499999999997</v>
      </c>
      <c r="F3744" s="13" t="str">
        <f t="shared" si="176"/>
        <v/>
      </c>
    </row>
    <row r="3745" spans="1:6" x14ac:dyDescent="0.25">
      <c r="A3745" s="10">
        <v>42237</v>
      </c>
      <c r="B3745" s="12">
        <f t="shared" si="174"/>
        <v>8</v>
      </c>
      <c r="C3745" s="12">
        <f t="shared" si="175"/>
        <v>2015</v>
      </c>
      <c r="E3745" s="13">
        <v>69.044300000000007</v>
      </c>
      <c r="F3745" s="13" t="str">
        <f t="shared" si="176"/>
        <v/>
      </c>
    </row>
    <row r="3746" spans="1:6" x14ac:dyDescent="0.25">
      <c r="A3746" s="10">
        <v>42240</v>
      </c>
      <c r="B3746" s="12">
        <f t="shared" si="174"/>
        <v>8</v>
      </c>
      <c r="C3746" s="12">
        <f t="shared" si="175"/>
        <v>2015</v>
      </c>
      <c r="D3746" s="13">
        <v>23500</v>
      </c>
      <c r="E3746" s="13">
        <v>70.843999999999994</v>
      </c>
      <c r="F3746" s="13">
        <f t="shared" si="176"/>
        <v>331.71475354299588</v>
      </c>
    </row>
    <row r="3747" spans="1:6" x14ac:dyDescent="0.25">
      <c r="A3747" s="10">
        <v>42241</v>
      </c>
      <c r="B3747" s="12">
        <f t="shared" si="174"/>
        <v>8</v>
      </c>
      <c r="C3747" s="12">
        <f t="shared" si="175"/>
        <v>2015</v>
      </c>
      <c r="D3747" s="13">
        <v>23500</v>
      </c>
      <c r="E3747" s="13">
        <v>68.955500000000001</v>
      </c>
      <c r="F3747" s="13">
        <f t="shared" si="176"/>
        <v>340.79950112753875</v>
      </c>
    </row>
    <row r="3748" spans="1:6" x14ac:dyDescent="0.25">
      <c r="A3748" s="10">
        <v>42242</v>
      </c>
      <c r="B3748" s="12">
        <f t="shared" si="174"/>
        <v>8</v>
      </c>
      <c r="C3748" s="12">
        <f t="shared" si="175"/>
        <v>2015</v>
      </c>
      <c r="D3748" s="13">
        <v>23500</v>
      </c>
      <c r="E3748" s="13">
        <v>68.941800000000001</v>
      </c>
      <c r="F3748" s="13">
        <f t="shared" si="176"/>
        <v>340.86722423841559</v>
      </c>
    </row>
    <row r="3749" spans="1:6" x14ac:dyDescent="0.25">
      <c r="A3749" s="10">
        <v>42243</v>
      </c>
      <c r="B3749" s="12">
        <f t="shared" si="174"/>
        <v>8</v>
      </c>
      <c r="C3749" s="12">
        <f t="shared" si="175"/>
        <v>2015</v>
      </c>
      <c r="D3749" s="13">
        <v>23500</v>
      </c>
      <c r="E3749" s="13">
        <v>66.154300000000006</v>
      </c>
      <c r="F3749" s="13">
        <f t="shared" si="176"/>
        <v>355.23012109568083</v>
      </c>
    </row>
    <row r="3750" spans="1:6" x14ac:dyDescent="0.25">
      <c r="A3750" s="10">
        <v>42244</v>
      </c>
      <c r="B3750" s="12">
        <f t="shared" si="174"/>
        <v>8</v>
      </c>
      <c r="C3750" s="12">
        <f t="shared" si="175"/>
        <v>2015</v>
      </c>
      <c r="D3750" s="13">
        <v>23500</v>
      </c>
      <c r="E3750" s="13">
        <v>65.201499999999996</v>
      </c>
      <c r="F3750" s="13">
        <f t="shared" si="176"/>
        <v>360.42115595500104</v>
      </c>
    </row>
    <row r="3751" spans="1:6" x14ac:dyDescent="0.25">
      <c r="A3751" s="10">
        <v>42247</v>
      </c>
      <c r="B3751" s="12">
        <f t="shared" si="174"/>
        <v>8</v>
      </c>
      <c r="C3751" s="12">
        <f t="shared" si="175"/>
        <v>2015</v>
      </c>
      <c r="E3751" s="13">
        <v>63.843000000000004</v>
      </c>
      <c r="F3751" s="13" t="str">
        <f t="shared" si="176"/>
        <v/>
      </c>
    </row>
    <row r="3752" spans="1:6" x14ac:dyDescent="0.25">
      <c r="A3752" s="10">
        <v>42248</v>
      </c>
      <c r="B3752" s="12">
        <f t="shared" si="174"/>
        <v>9</v>
      </c>
      <c r="C3752" s="12">
        <f t="shared" si="175"/>
        <v>2015</v>
      </c>
      <c r="E3752" s="13">
        <v>66.150499999999994</v>
      </c>
      <c r="F3752" s="13" t="str">
        <f t="shared" si="176"/>
        <v/>
      </c>
    </row>
    <row r="3753" spans="1:6" x14ac:dyDescent="0.25">
      <c r="A3753" s="10">
        <v>42249</v>
      </c>
      <c r="B3753" s="12">
        <f t="shared" si="174"/>
        <v>9</v>
      </c>
      <c r="C3753" s="12">
        <f t="shared" si="175"/>
        <v>2015</v>
      </c>
      <c r="E3753" s="13">
        <v>66.954999999999998</v>
      </c>
      <c r="F3753" s="13" t="str">
        <f t="shared" si="176"/>
        <v/>
      </c>
    </row>
    <row r="3754" spans="1:6" x14ac:dyDescent="0.25">
      <c r="A3754" s="10">
        <v>42250</v>
      </c>
      <c r="B3754" s="12">
        <f t="shared" si="174"/>
        <v>9</v>
      </c>
      <c r="C3754" s="12">
        <f t="shared" si="175"/>
        <v>2015</v>
      </c>
      <c r="E3754" s="13">
        <v>66.44</v>
      </c>
      <c r="F3754" s="13" t="str">
        <f t="shared" si="176"/>
        <v/>
      </c>
    </row>
    <row r="3755" spans="1:6" x14ac:dyDescent="0.25">
      <c r="A3755" s="10">
        <v>42251</v>
      </c>
      <c r="B3755" s="12">
        <f t="shared" si="174"/>
        <v>9</v>
      </c>
      <c r="C3755" s="12">
        <f t="shared" si="175"/>
        <v>2015</v>
      </c>
      <c r="E3755" s="13">
        <v>68.462000000000003</v>
      </c>
      <c r="F3755" s="13" t="str">
        <f t="shared" si="176"/>
        <v/>
      </c>
    </row>
    <row r="3756" spans="1:6" x14ac:dyDescent="0.25">
      <c r="A3756" s="10">
        <v>42255</v>
      </c>
      <c r="B3756" s="12">
        <f t="shared" si="174"/>
        <v>9</v>
      </c>
      <c r="C3756" s="12">
        <f t="shared" si="175"/>
        <v>2015</v>
      </c>
      <c r="D3756" s="13">
        <v>25500</v>
      </c>
      <c r="E3756" s="13">
        <v>68.013999999999996</v>
      </c>
      <c r="F3756" s="13">
        <f t="shared" si="176"/>
        <v>374.92281000970388</v>
      </c>
    </row>
    <row r="3757" spans="1:6" x14ac:dyDescent="0.25">
      <c r="A3757" s="10">
        <v>42256</v>
      </c>
      <c r="B3757" s="12">
        <f t="shared" si="174"/>
        <v>9</v>
      </c>
      <c r="C3757" s="12">
        <f t="shared" si="175"/>
        <v>2015</v>
      </c>
      <c r="D3757" s="13">
        <v>25500</v>
      </c>
      <c r="E3757" s="13">
        <v>68.441999999999993</v>
      </c>
      <c r="F3757" s="13">
        <f t="shared" si="176"/>
        <v>372.57824143070047</v>
      </c>
    </row>
    <row r="3758" spans="1:6" x14ac:dyDescent="0.25">
      <c r="A3758" s="10">
        <v>42257</v>
      </c>
      <c r="B3758" s="12">
        <f t="shared" si="174"/>
        <v>9</v>
      </c>
      <c r="C3758" s="12">
        <f t="shared" si="175"/>
        <v>2015</v>
      </c>
      <c r="D3758" s="13">
        <v>25500</v>
      </c>
      <c r="E3758" s="13">
        <v>67.632000000000005</v>
      </c>
      <c r="F3758" s="13">
        <f t="shared" si="176"/>
        <v>377.04045422285304</v>
      </c>
    </row>
    <row r="3759" spans="1:6" x14ac:dyDescent="0.25">
      <c r="A3759" s="10">
        <v>42258</v>
      </c>
      <c r="B3759" s="12">
        <f t="shared" si="174"/>
        <v>9</v>
      </c>
      <c r="C3759" s="12">
        <f t="shared" si="175"/>
        <v>2015</v>
      </c>
      <c r="D3759" s="13">
        <v>25500</v>
      </c>
      <c r="E3759" s="13">
        <v>67.775000000000006</v>
      </c>
      <c r="F3759" s="13">
        <f t="shared" si="176"/>
        <v>376.24492807082254</v>
      </c>
    </row>
    <row r="3760" spans="1:6" x14ac:dyDescent="0.25">
      <c r="A3760" s="10">
        <v>42261</v>
      </c>
      <c r="B3760" s="12">
        <f t="shared" si="174"/>
        <v>9</v>
      </c>
      <c r="C3760" s="12">
        <f t="shared" si="175"/>
        <v>2015</v>
      </c>
      <c r="D3760" s="13">
        <v>26250</v>
      </c>
      <c r="E3760" s="13">
        <v>67.681600000000003</v>
      </c>
      <c r="F3760" s="13">
        <f t="shared" si="176"/>
        <v>387.84544100612277</v>
      </c>
    </row>
    <row r="3761" spans="1:6" x14ac:dyDescent="0.25">
      <c r="A3761" s="10">
        <v>42262</v>
      </c>
      <c r="B3761" s="12">
        <f t="shared" si="174"/>
        <v>9</v>
      </c>
      <c r="C3761" s="12">
        <f t="shared" si="175"/>
        <v>2015</v>
      </c>
      <c r="D3761" s="13">
        <v>26250</v>
      </c>
      <c r="E3761" s="13">
        <v>66.816500000000005</v>
      </c>
      <c r="F3761" s="13">
        <f t="shared" si="176"/>
        <v>392.86703134704749</v>
      </c>
    </row>
    <row r="3762" spans="1:6" x14ac:dyDescent="0.25">
      <c r="A3762" s="10">
        <v>42263</v>
      </c>
      <c r="B3762" s="12">
        <f t="shared" si="174"/>
        <v>9</v>
      </c>
      <c r="C3762" s="12">
        <f t="shared" si="175"/>
        <v>2015</v>
      </c>
      <c r="D3762" s="13">
        <v>26250</v>
      </c>
      <c r="E3762" s="13">
        <v>65.489000000000004</v>
      </c>
      <c r="F3762" s="13">
        <f t="shared" si="176"/>
        <v>400.83067385362426</v>
      </c>
    </row>
    <row r="3763" spans="1:6" x14ac:dyDescent="0.25">
      <c r="A3763" s="10">
        <v>42264</v>
      </c>
      <c r="B3763" s="12">
        <f t="shared" si="174"/>
        <v>9</v>
      </c>
      <c r="C3763" s="12">
        <f t="shared" si="175"/>
        <v>2015</v>
      </c>
      <c r="D3763" s="13">
        <v>26250</v>
      </c>
      <c r="E3763" s="13">
        <v>65.400000000000006</v>
      </c>
      <c r="F3763" s="13">
        <f t="shared" si="176"/>
        <v>401.37614678899081</v>
      </c>
    </row>
    <row r="3764" spans="1:6" x14ac:dyDescent="0.25">
      <c r="A3764" s="10">
        <v>42265</v>
      </c>
      <c r="B3764" s="12">
        <f t="shared" si="174"/>
        <v>9</v>
      </c>
      <c r="C3764" s="12">
        <f t="shared" si="175"/>
        <v>2015</v>
      </c>
      <c r="D3764" s="13">
        <v>26250</v>
      </c>
      <c r="E3764" s="13">
        <v>66.400000000000006</v>
      </c>
      <c r="F3764" s="13">
        <f t="shared" si="176"/>
        <v>395.3313253012048</v>
      </c>
    </row>
    <row r="3765" spans="1:6" x14ac:dyDescent="0.25">
      <c r="A3765" s="10">
        <v>42268</v>
      </c>
      <c r="B3765" s="12">
        <f t="shared" si="174"/>
        <v>9</v>
      </c>
      <c r="C3765" s="12">
        <f t="shared" si="175"/>
        <v>2015</v>
      </c>
      <c r="D3765" s="13">
        <v>26500</v>
      </c>
      <c r="E3765" s="13">
        <v>66.028999999999996</v>
      </c>
      <c r="F3765" s="13">
        <f t="shared" si="176"/>
        <v>401.33880567629376</v>
      </c>
    </row>
    <row r="3766" spans="1:6" x14ac:dyDescent="0.25">
      <c r="A3766" s="10">
        <v>42269</v>
      </c>
      <c r="B3766" s="12">
        <f t="shared" si="174"/>
        <v>9</v>
      </c>
      <c r="C3766" s="12">
        <f t="shared" si="175"/>
        <v>2015</v>
      </c>
      <c r="D3766" s="13">
        <v>26500</v>
      </c>
      <c r="E3766" s="13">
        <v>65.974999999999994</v>
      </c>
      <c r="F3766" s="13">
        <f t="shared" si="176"/>
        <v>401.66729821902237</v>
      </c>
    </row>
    <row r="3767" spans="1:6" x14ac:dyDescent="0.25">
      <c r="A3767" s="10">
        <v>42270</v>
      </c>
      <c r="B3767" s="12">
        <f t="shared" si="174"/>
        <v>9</v>
      </c>
      <c r="C3767" s="12">
        <f t="shared" si="175"/>
        <v>2015</v>
      </c>
      <c r="D3767" s="13">
        <v>26500</v>
      </c>
      <c r="E3767" s="13">
        <v>66.555000000000007</v>
      </c>
      <c r="F3767" s="13">
        <f t="shared" si="176"/>
        <v>398.16692960709184</v>
      </c>
    </row>
    <row r="3768" spans="1:6" x14ac:dyDescent="0.25">
      <c r="A3768" s="10">
        <v>42271</v>
      </c>
      <c r="B3768" s="12">
        <f t="shared" si="174"/>
        <v>9</v>
      </c>
      <c r="C3768" s="12">
        <f t="shared" si="175"/>
        <v>2015</v>
      </c>
      <c r="D3768" s="13">
        <v>26500</v>
      </c>
      <c r="E3768" s="13">
        <v>66.132999999999996</v>
      </c>
      <c r="F3768" s="13">
        <f t="shared" si="176"/>
        <v>400.70766485718178</v>
      </c>
    </row>
    <row r="3769" spans="1:6" x14ac:dyDescent="0.25">
      <c r="A3769" s="10">
        <v>42272</v>
      </c>
      <c r="B3769" s="12">
        <f t="shared" si="174"/>
        <v>9</v>
      </c>
      <c r="C3769" s="12">
        <f t="shared" si="175"/>
        <v>2015</v>
      </c>
      <c r="D3769" s="13">
        <v>26500</v>
      </c>
      <c r="E3769" s="13">
        <v>65.495000000000005</v>
      </c>
      <c r="F3769" s="13">
        <f t="shared" si="176"/>
        <v>404.61103901061148</v>
      </c>
    </row>
    <row r="3770" spans="1:6" x14ac:dyDescent="0.25">
      <c r="A3770" s="10">
        <v>42275</v>
      </c>
      <c r="B3770" s="12">
        <f t="shared" si="174"/>
        <v>9</v>
      </c>
      <c r="C3770" s="12">
        <f t="shared" si="175"/>
        <v>2015</v>
      </c>
      <c r="D3770" s="13">
        <v>26000</v>
      </c>
      <c r="E3770" s="13">
        <v>66.215000000000003</v>
      </c>
      <c r="F3770" s="13">
        <f t="shared" si="176"/>
        <v>392.66027335195952</v>
      </c>
    </row>
    <row r="3771" spans="1:6" x14ac:dyDescent="0.25">
      <c r="A3771" s="10">
        <v>42276</v>
      </c>
      <c r="B3771" s="12">
        <f t="shared" si="174"/>
        <v>9</v>
      </c>
      <c r="C3771" s="12">
        <f t="shared" si="175"/>
        <v>2015</v>
      </c>
      <c r="D3771" s="13">
        <v>26000</v>
      </c>
      <c r="E3771" s="13">
        <v>66.2</v>
      </c>
      <c r="F3771" s="13">
        <f t="shared" si="176"/>
        <v>392.7492447129909</v>
      </c>
    </row>
    <row r="3772" spans="1:6" x14ac:dyDescent="0.25">
      <c r="A3772" s="10">
        <v>42277</v>
      </c>
      <c r="B3772" s="12">
        <f t="shared" si="174"/>
        <v>9</v>
      </c>
      <c r="C3772" s="12">
        <f t="shared" si="175"/>
        <v>2015</v>
      </c>
      <c r="D3772" s="13">
        <v>26000</v>
      </c>
      <c r="E3772" s="13">
        <v>65.321799999999996</v>
      </c>
      <c r="F3772" s="13">
        <f t="shared" si="176"/>
        <v>398.02944805562618</v>
      </c>
    </row>
    <row r="3773" spans="1:6" x14ac:dyDescent="0.25">
      <c r="A3773" s="10">
        <v>42278</v>
      </c>
      <c r="B3773" s="12">
        <f t="shared" si="174"/>
        <v>10</v>
      </c>
      <c r="C3773" s="12">
        <f t="shared" si="175"/>
        <v>2015</v>
      </c>
      <c r="D3773" s="13">
        <v>26000</v>
      </c>
      <c r="E3773" s="13">
        <v>65.522999999999996</v>
      </c>
      <c r="F3773" s="13">
        <f t="shared" si="176"/>
        <v>396.80722799627614</v>
      </c>
    </row>
    <row r="3774" spans="1:6" x14ac:dyDescent="0.25">
      <c r="A3774" s="10">
        <v>42279</v>
      </c>
      <c r="B3774" s="12">
        <f t="shared" si="174"/>
        <v>10</v>
      </c>
      <c r="C3774" s="12">
        <f t="shared" si="175"/>
        <v>2015</v>
      </c>
      <c r="D3774" s="13">
        <v>26000</v>
      </c>
      <c r="E3774" s="13">
        <v>66.105500000000006</v>
      </c>
      <c r="F3774" s="13">
        <f t="shared" si="176"/>
        <v>393.3106927562759</v>
      </c>
    </row>
    <row r="3775" spans="1:6" x14ac:dyDescent="0.25">
      <c r="A3775" s="10">
        <v>42282</v>
      </c>
      <c r="B3775" s="12">
        <f t="shared" si="174"/>
        <v>10</v>
      </c>
      <c r="C3775" s="12">
        <f t="shared" si="175"/>
        <v>2015</v>
      </c>
      <c r="D3775" s="13">
        <v>25750</v>
      </c>
      <c r="E3775" s="13">
        <v>64.479299999999995</v>
      </c>
      <c r="F3775" s="13">
        <f t="shared" si="176"/>
        <v>399.35297064329177</v>
      </c>
    </row>
    <row r="3776" spans="1:6" x14ac:dyDescent="0.25">
      <c r="A3776" s="10">
        <v>42283</v>
      </c>
      <c r="B3776" s="12">
        <f t="shared" si="174"/>
        <v>10</v>
      </c>
      <c r="C3776" s="12">
        <f t="shared" si="175"/>
        <v>2015</v>
      </c>
      <c r="D3776" s="13">
        <v>25750</v>
      </c>
      <c r="E3776" s="13">
        <v>63.279299999999999</v>
      </c>
      <c r="F3776" s="13">
        <f t="shared" si="176"/>
        <v>406.92611959993235</v>
      </c>
    </row>
    <row r="3777" spans="1:6" x14ac:dyDescent="0.25">
      <c r="A3777" s="10">
        <v>42284</v>
      </c>
      <c r="B3777" s="12">
        <f t="shared" si="174"/>
        <v>10</v>
      </c>
      <c r="C3777" s="12">
        <f t="shared" si="175"/>
        <v>2015</v>
      </c>
      <c r="D3777" s="13">
        <v>25750</v>
      </c>
      <c r="E3777" s="13">
        <v>61.832999999999998</v>
      </c>
      <c r="F3777" s="13">
        <f t="shared" si="176"/>
        <v>416.44429350023449</v>
      </c>
    </row>
    <row r="3778" spans="1:6" x14ac:dyDescent="0.25">
      <c r="A3778" s="10">
        <v>42285</v>
      </c>
      <c r="B3778" s="12">
        <f t="shared" si="174"/>
        <v>10</v>
      </c>
      <c r="C3778" s="12">
        <f t="shared" si="175"/>
        <v>2015</v>
      </c>
      <c r="D3778" s="13">
        <v>25750</v>
      </c>
      <c r="E3778" s="13">
        <v>61.35</v>
      </c>
      <c r="F3778" s="13">
        <f t="shared" si="176"/>
        <v>419.72290138549306</v>
      </c>
    </row>
    <row r="3779" spans="1:6" x14ac:dyDescent="0.25">
      <c r="A3779" s="10">
        <v>42286</v>
      </c>
      <c r="B3779" s="12">
        <f t="shared" ref="B3779:B3842" si="177">MONTH(A3779)</f>
        <v>10</v>
      </c>
      <c r="C3779" s="12">
        <f t="shared" ref="C3779:C3842" si="178">YEAR(A3779)</f>
        <v>2015</v>
      </c>
      <c r="D3779" s="13">
        <v>25750</v>
      </c>
      <c r="E3779" s="13">
        <v>61.804299999999998</v>
      </c>
      <c r="F3779" s="13">
        <f t="shared" ref="F3779:F3842" si="179">IF(D3779="","",D3779/E3779)</f>
        <v>416.63767731371445</v>
      </c>
    </row>
    <row r="3780" spans="1:6" x14ac:dyDescent="0.25">
      <c r="A3780" s="10">
        <v>42289</v>
      </c>
      <c r="B3780" s="12">
        <f t="shared" si="177"/>
        <v>10</v>
      </c>
      <c r="C3780" s="12">
        <f t="shared" si="178"/>
        <v>2015</v>
      </c>
      <c r="D3780" s="13">
        <v>25250</v>
      </c>
      <c r="E3780" s="13">
        <v>61.645000000000003</v>
      </c>
      <c r="F3780" s="13">
        <f t="shared" si="179"/>
        <v>409.60337415848812</v>
      </c>
    </row>
    <row r="3781" spans="1:6" x14ac:dyDescent="0.25">
      <c r="A3781" s="10">
        <v>42290</v>
      </c>
      <c r="B3781" s="12">
        <f t="shared" si="177"/>
        <v>10</v>
      </c>
      <c r="C3781" s="12">
        <f t="shared" si="178"/>
        <v>2015</v>
      </c>
      <c r="D3781" s="13">
        <v>25250</v>
      </c>
      <c r="E3781" s="13">
        <v>62.98</v>
      </c>
      <c r="F3781" s="13">
        <f t="shared" si="179"/>
        <v>400.92092727850115</v>
      </c>
    </row>
    <row r="3782" spans="1:6" x14ac:dyDescent="0.25">
      <c r="A3782" s="10">
        <v>42291</v>
      </c>
      <c r="B3782" s="12">
        <f t="shared" si="177"/>
        <v>10</v>
      </c>
      <c r="C3782" s="12">
        <f t="shared" si="178"/>
        <v>2015</v>
      </c>
      <c r="D3782" s="13">
        <v>25250</v>
      </c>
      <c r="E3782" s="13">
        <v>62.680999999999997</v>
      </c>
      <c r="F3782" s="13">
        <f t="shared" si="179"/>
        <v>402.83339448955826</v>
      </c>
    </row>
    <row r="3783" spans="1:6" x14ac:dyDescent="0.25">
      <c r="A3783" s="10">
        <v>42292</v>
      </c>
      <c r="B3783" s="12">
        <f t="shared" si="177"/>
        <v>10</v>
      </c>
      <c r="C3783" s="12">
        <f t="shared" si="178"/>
        <v>2015</v>
      </c>
      <c r="D3783" s="13">
        <v>25250</v>
      </c>
      <c r="E3783" s="13">
        <v>61.392000000000003</v>
      </c>
      <c r="F3783" s="13">
        <f t="shared" si="179"/>
        <v>411.29137346885585</v>
      </c>
    </row>
    <row r="3784" spans="1:6" x14ac:dyDescent="0.25">
      <c r="A3784" s="10">
        <v>42293</v>
      </c>
      <c r="B3784" s="12">
        <f t="shared" si="177"/>
        <v>10</v>
      </c>
      <c r="C3784" s="12">
        <f t="shared" si="178"/>
        <v>2015</v>
      </c>
      <c r="D3784" s="13">
        <v>25250</v>
      </c>
      <c r="E3784" s="13">
        <v>61.052500000000002</v>
      </c>
      <c r="F3784" s="13">
        <f t="shared" si="179"/>
        <v>413.57847753982225</v>
      </c>
    </row>
    <row r="3785" spans="1:6" x14ac:dyDescent="0.25">
      <c r="A3785" s="10">
        <v>42296</v>
      </c>
      <c r="B3785" s="12">
        <f t="shared" si="177"/>
        <v>10</v>
      </c>
      <c r="C3785" s="12">
        <f t="shared" si="178"/>
        <v>2015</v>
      </c>
      <c r="D3785" s="13">
        <v>24500</v>
      </c>
      <c r="E3785" s="13">
        <v>62.372500000000002</v>
      </c>
      <c r="F3785" s="13">
        <f t="shared" si="179"/>
        <v>392.80131468195117</v>
      </c>
    </row>
    <row r="3786" spans="1:6" x14ac:dyDescent="0.25">
      <c r="A3786" s="10">
        <v>42297</v>
      </c>
      <c r="B3786" s="12">
        <f t="shared" si="177"/>
        <v>10</v>
      </c>
      <c r="C3786" s="12">
        <f t="shared" si="178"/>
        <v>2015</v>
      </c>
      <c r="D3786" s="13">
        <v>24500</v>
      </c>
      <c r="E3786" s="13">
        <v>61.8825</v>
      </c>
      <c r="F3786" s="13">
        <f t="shared" si="179"/>
        <v>395.91160667393854</v>
      </c>
    </row>
    <row r="3787" spans="1:6" x14ac:dyDescent="0.25">
      <c r="A3787" s="10">
        <v>42298</v>
      </c>
      <c r="B3787" s="12">
        <f t="shared" si="177"/>
        <v>10</v>
      </c>
      <c r="C3787" s="12">
        <f t="shared" si="178"/>
        <v>2015</v>
      </c>
      <c r="D3787" s="13">
        <v>24500</v>
      </c>
      <c r="E3787" s="13">
        <v>62.522500000000001</v>
      </c>
      <c r="F3787" s="13">
        <f t="shared" si="179"/>
        <v>391.85893078491745</v>
      </c>
    </row>
    <row r="3788" spans="1:6" x14ac:dyDescent="0.25">
      <c r="A3788" s="10">
        <v>42299</v>
      </c>
      <c r="B3788" s="12">
        <f t="shared" si="177"/>
        <v>10</v>
      </c>
      <c r="C3788" s="12">
        <f t="shared" si="178"/>
        <v>2015</v>
      </c>
      <c r="D3788" s="13">
        <v>24500</v>
      </c>
      <c r="E3788" s="13">
        <v>62.35</v>
      </c>
      <c r="F3788" s="13">
        <f t="shared" si="179"/>
        <v>392.94306335204487</v>
      </c>
    </row>
    <row r="3789" spans="1:6" x14ac:dyDescent="0.25">
      <c r="A3789" s="10">
        <v>42300</v>
      </c>
      <c r="B3789" s="12">
        <f t="shared" si="177"/>
        <v>10</v>
      </c>
      <c r="C3789" s="12">
        <f t="shared" si="178"/>
        <v>2015</v>
      </c>
      <c r="D3789" s="13">
        <v>24500</v>
      </c>
      <c r="E3789" s="13">
        <v>62.17</v>
      </c>
      <c r="F3789" s="13">
        <f t="shared" si="179"/>
        <v>394.08074634067879</v>
      </c>
    </row>
    <row r="3790" spans="1:6" x14ac:dyDescent="0.25">
      <c r="A3790" s="10">
        <v>42303</v>
      </c>
      <c r="B3790" s="12">
        <f t="shared" si="177"/>
        <v>10</v>
      </c>
      <c r="C3790" s="12">
        <f t="shared" si="178"/>
        <v>2015</v>
      </c>
      <c r="D3790" s="13">
        <v>24000</v>
      </c>
      <c r="E3790" s="13">
        <v>62.965000000000003</v>
      </c>
      <c r="F3790" s="13">
        <f t="shared" si="179"/>
        <v>381.16413880727384</v>
      </c>
    </row>
    <row r="3791" spans="1:6" x14ac:dyDescent="0.25">
      <c r="A3791" s="10">
        <v>42304</v>
      </c>
      <c r="B3791" s="12">
        <f t="shared" si="177"/>
        <v>10</v>
      </c>
      <c r="C3791" s="12">
        <f t="shared" si="178"/>
        <v>2015</v>
      </c>
      <c r="D3791" s="13">
        <v>24000</v>
      </c>
      <c r="E3791" s="13">
        <v>65.430000000000007</v>
      </c>
      <c r="F3791" s="13">
        <f t="shared" si="179"/>
        <v>366.80421824850981</v>
      </c>
    </row>
    <row r="3792" spans="1:6" x14ac:dyDescent="0.25">
      <c r="A3792" s="10">
        <v>42305</v>
      </c>
      <c r="B3792" s="12">
        <f t="shared" si="177"/>
        <v>10</v>
      </c>
      <c r="C3792" s="12">
        <f t="shared" si="178"/>
        <v>2015</v>
      </c>
      <c r="D3792" s="13">
        <v>24000</v>
      </c>
      <c r="E3792" s="13">
        <v>63.8825</v>
      </c>
      <c r="F3792" s="13">
        <f t="shared" si="179"/>
        <v>375.68974288733222</v>
      </c>
    </row>
    <row r="3793" spans="1:6" x14ac:dyDescent="0.25">
      <c r="A3793" s="10">
        <v>42306</v>
      </c>
      <c r="B3793" s="12">
        <f t="shared" si="177"/>
        <v>10</v>
      </c>
      <c r="C3793" s="12">
        <f t="shared" si="178"/>
        <v>2015</v>
      </c>
      <c r="D3793" s="13">
        <v>24000</v>
      </c>
      <c r="E3793" s="13">
        <v>64.265100000000004</v>
      </c>
      <c r="F3793" s="13">
        <f t="shared" si="179"/>
        <v>373.45308728999095</v>
      </c>
    </row>
    <row r="3794" spans="1:6" x14ac:dyDescent="0.25">
      <c r="A3794" s="10">
        <v>42307</v>
      </c>
      <c r="B3794" s="12">
        <f t="shared" si="177"/>
        <v>10</v>
      </c>
      <c r="C3794" s="12">
        <f t="shared" si="178"/>
        <v>2015</v>
      </c>
      <c r="D3794" s="13">
        <v>24000</v>
      </c>
      <c r="E3794" s="13">
        <v>64</v>
      </c>
      <c r="F3794" s="13">
        <f t="shared" si="179"/>
        <v>375</v>
      </c>
    </row>
    <row r="3795" spans="1:6" x14ac:dyDescent="0.25">
      <c r="A3795" s="10">
        <v>42310</v>
      </c>
      <c r="B3795" s="12">
        <f t="shared" si="177"/>
        <v>11</v>
      </c>
      <c r="C3795" s="12">
        <f t="shared" si="178"/>
        <v>2015</v>
      </c>
      <c r="D3795" s="13">
        <v>23500</v>
      </c>
      <c r="E3795" s="13">
        <v>63.621600000000001</v>
      </c>
      <c r="F3795" s="13">
        <f t="shared" si="179"/>
        <v>369.37140845247524</v>
      </c>
    </row>
    <row r="3796" spans="1:6" x14ac:dyDescent="0.25">
      <c r="A3796" s="10">
        <v>42311</v>
      </c>
      <c r="B3796" s="12">
        <f t="shared" si="177"/>
        <v>11</v>
      </c>
      <c r="C3796" s="12">
        <f t="shared" si="178"/>
        <v>2015</v>
      </c>
      <c r="D3796" s="13">
        <v>23500</v>
      </c>
      <c r="E3796" s="13">
        <v>62.534999999999997</v>
      </c>
      <c r="F3796" s="13">
        <f t="shared" si="179"/>
        <v>375.78955784760535</v>
      </c>
    </row>
    <row r="3797" spans="1:6" x14ac:dyDescent="0.25">
      <c r="A3797" s="10">
        <v>42312</v>
      </c>
      <c r="B3797" s="12">
        <f t="shared" si="177"/>
        <v>11</v>
      </c>
      <c r="C3797" s="12">
        <f t="shared" si="178"/>
        <v>2015</v>
      </c>
      <c r="D3797" s="13">
        <v>23500</v>
      </c>
      <c r="E3797" s="13">
        <v>63.14</v>
      </c>
      <c r="F3797" s="13">
        <f t="shared" si="179"/>
        <v>372.18878682293314</v>
      </c>
    </row>
    <row r="3798" spans="1:6" x14ac:dyDescent="0.25">
      <c r="A3798" s="10">
        <v>42313</v>
      </c>
      <c r="B3798" s="12">
        <f t="shared" si="177"/>
        <v>11</v>
      </c>
      <c r="C3798" s="12">
        <f t="shared" si="178"/>
        <v>2015</v>
      </c>
      <c r="D3798" s="13">
        <v>23500</v>
      </c>
      <c r="E3798" s="13">
        <v>63.26</v>
      </c>
      <c r="F3798" s="13">
        <f t="shared" si="179"/>
        <v>371.48276952260511</v>
      </c>
    </row>
    <row r="3799" spans="1:6" x14ac:dyDescent="0.25">
      <c r="A3799" s="10">
        <v>42314</v>
      </c>
      <c r="B3799" s="12">
        <f t="shared" si="177"/>
        <v>11</v>
      </c>
      <c r="C3799" s="12">
        <f t="shared" si="178"/>
        <v>2015</v>
      </c>
      <c r="D3799" s="13">
        <v>23500</v>
      </c>
      <c r="E3799" s="13">
        <v>64.234999999999999</v>
      </c>
      <c r="F3799" s="13">
        <f t="shared" si="179"/>
        <v>365.84416595314082</v>
      </c>
    </row>
    <row r="3800" spans="1:6" x14ac:dyDescent="0.25">
      <c r="A3800" s="10">
        <v>42317</v>
      </c>
      <c r="B3800" s="12">
        <f t="shared" si="177"/>
        <v>11</v>
      </c>
      <c r="C3800" s="12">
        <f t="shared" si="178"/>
        <v>2015</v>
      </c>
      <c r="D3800" s="13">
        <v>23500</v>
      </c>
      <c r="E3800" s="13">
        <v>64.557699999999997</v>
      </c>
      <c r="F3800" s="13">
        <f t="shared" si="179"/>
        <v>364.01544664695308</v>
      </c>
    </row>
    <row r="3801" spans="1:6" x14ac:dyDescent="0.25">
      <c r="A3801" s="10">
        <v>42318</v>
      </c>
      <c r="B3801" s="12">
        <f t="shared" si="177"/>
        <v>11</v>
      </c>
      <c r="C3801" s="12">
        <f t="shared" si="178"/>
        <v>2015</v>
      </c>
      <c r="D3801" s="13">
        <v>23500</v>
      </c>
      <c r="E3801" s="13">
        <v>64.400000000000006</v>
      </c>
      <c r="F3801" s="13">
        <f t="shared" si="179"/>
        <v>364.90683229813664</v>
      </c>
    </row>
    <row r="3802" spans="1:6" x14ac:dyDescent="0.25">
      <c r="A3802" s="10">
        <v>42319</v>
      </c>
      <c r="B3802" s="12">
        <f t="shared" si="177"/>
        <v>11</v>
      </c>
      <c r="C3802" s="12">
        <f t="shared" si="178"/>
        <v>2015</v>
      </c>
      <c r="D3802" s="13">
        <v>23500</v>
      </c>
      <c r="E3802" s="13">
        <v>65.295000000000002</v>
      </c>
      <c r="F3802" s="13">
        <f t="shared" si="179"/>
        <v>359.90504632820279</v>
      </c>
    </row>
    <row r="3803" spans="1:6" x14ac:dyDescent="0.25">
      <c r="A3803" s="10">
        <v>42320</v>
      </c>
      <c r="B3803" s="12">
        <f t="shared" si="177"/>
        <v>11</v>
      </c>
      <c r="C3803" s="12">
        <f t="shared" si="178"/>
        <v>2015</v>
      </c>
      <c r="D3803" s="13">
        <v>23500</v>
      </c>
      <c r="E3803" s="13">
        <v>66.597499999999997</v>
      </c>
      <c r="F3803" s="13">
        <f t="shared" si="179"/>
        <v>352.86609857727393</v>
      </c>
    </row>
    <row r="3804" spans="1:6" x14ac:dyDescent="0.25">
      <c r="A3804" s="10">
        <v>42321</v>
      </c>
      <c r="B3804" s="12">
        <f t="shared" si="177"/>
        <v>11</v>
      </c>
      <c r="C3804" s="12">
        <f t="shared" si="178"/>
        <v>2015</v>
      </c>
      <c r="D3804" s="13">
        <v>23500</v>
      </c>
      <c r="E3804" s="13">
        <v>66.825000000000003</v>
      </c>
      <c r="F3804" s="13">
        <f t="shared" si="179"/>
        <v>351.66479610924051</v>
      </c>
    </row>
    <row r="3805" spans="1:6" x14ac:dyDescent="0.25">
      <c r="A3805" s="10">
        <v>42324</v>
      </c>
      <c r="B3805" s="12">
        <f t="shared" si="177"/>
        <v>11</v>
      </c>
      <c r="C3805" s="12">
        <f t="shared" si="178"/>
        <v>2015</v>
      </c>
      <c r="D3805" s="13">
        <v>23750</v>
      </c>
      <c r="E3805" s="13">
        <v>65.308000000000007</v>
      </c>
      <c r="F3805" s="13">
        <f t="shared" si="179"/>
        <v>363.66141973418263</v>
      </c>
    </row>
    <row r="3806" spans="1:6" x14ac:dyDescent="0.25">
      <c r="A3806" s="10">
        <v>42325</v>
      </c>
      <c r="B3806" s="12">
        <f t="shared" si="177"/>
        <v>11</v>
      </c>
      <c r="C3806" s="12">
        <f t="shared" si="178"/>
        <v>2015</v>
      </c>
      <c r="D3806" s="13">
        <v>23750</v>
      </c>
      <c r="E3806" s="13">
        <v>65.052499999999995</v>
      </c>
      <c r="F3806" s="13">
        <f t="shared" si="179"/>
        <v>365.08973521386577</v>
      </c>
    </row>
    <row r="3807" spans="1:6" x14ac:dyDescent="0.25">
      <c r="A3807" s="10">
        <v>42326</v>
      </c>
      <c r="B3807" s="12">
        <f t="shared" si="177"/>
        <v>11</v>
      </c>
      <c r="C3807" s="12">
        <f t="shared" si="178"/>
        <v>2015</v>
      </c>
      <c r="D3807" s="13">
        <v>23750</v>
      </c>
      <c r="E3807" s="13">
        <v>64.81</v>
      </c>
      <c r="F3807" s="13">
        <f t="shared" si="179"/>
        <v>366.45579385897236</v>
      </c>
    </row>
    <row r="3808" spans="1:6" x14ac:dyDescent="0.25">
      <c r="A3808" s="10">
        <v>42327</v>
      </c>
      <c r="B3808" s="12">
        <f t="shared" si="177"/>
        <v>11</v>
      </c>
      <c r="C3808" s="12">
        <f t="shared" si="178"/>
        <v>2015</v>
      </c>
      <c r="D3808" s="13">
        <v>23750</v>
      </c>
      <c r="E3808" s="13">
        <v>64.48</v>
      </c>
      <c r="F3808" s="13">
        <f t="shared" si="179"/>
        <v>368.33126550868485</v>
      </c>
    </row>
    <row r="3809" spans="1:6" x14ac:dyDescent="0.25">
      <c r="A3809" s="10">
        <v>42328</v>
      </c>
      <c r="B3809" s="12">
        <f t="shared" si="177"/>
        <v>11</v>
      </c>
      <c r="C3809" s="12">
        <f t="shared" si="178"/>
        <v>2015</v>
      </c>
      <c r="D3809" s="13">
        <v>23750</v>
      </c>
      <c r="E3809" s="13">
        <v>64.599999999999994</v>
      </c>
      <c r="F3809" s="13">
        <f t="shared" si="179"/>
        <v>367.64705882352945</v>
      </c>
    </row>
    <row r="3810" spans="1:6" x14ac:dyDescent="0.25">
      <c r="A3810" s="10">
        <v>42331</v>
      </c>
      <c r="B3810" s="12">
        <f t="shared" si="177"/>
        <v>11</v>
      </c>
      <c r="C3810" s="12">
        <f t="shared" si="178"/>
        <v>2015</v>
      </c>
      <c r="D3810" s="13">
        <v>24500</v>
      </c>
      <c r="E3810" s="13">
        <v>65.814999999999998</v>
      </c>
      <c r="F3810" s="13">
        <f t="shared" si="179"/>
        <v>372.25556484084177</v>
      </c>
    </row>
    <row r="3811" spans="1:6" x14ac:dyDescent="0.25">
      <c r="A3811" s="10">
        <v>42332</v>
      </c>
      <c r="B3811" s="12">
        <f t="shared" si="177"/>
        <v>11</v>
      </c>
      <c r="C3811" s="12">
        <f t="shared" si="178"/>
        <v>2015</v>
      </c>
      <c r="D3811" s="13">
        <v>24500</v>
      </c>
      <c r="E3811" s="13">
        <v>65.444999999999993</v>
      </c>
      <c r="F3811" s="13">
        <f t="shared" si="179"/>
        <v>374.36014974405992</v>
      </c>
    </row>
    <row r="3812" spans="1:6" x14ac:dyDescent="0.25">
      <c r="A3812" s="10">
        <v>42333</v>
      </c>
      <c r="B3812" s="12">
        <f t="shared" si="177"/>
        <v>11</v>
      </c>
      <c r="C3812" s="12">
        <f t="shared" si="178"/>
        <v>2015</v>
      </c>
      <c r="D3812" s="13">
        <v>24500</v>
      </c>
      <c r="E3812" s="13">
        <v>65.575000000000003</v>
      </c>
      <c r="F3812" s="13">
        <f t="shared" si="179"/>
        <v>373.61799466260004</v>
      </c>
    </row>
    <row r="3813" spans="1:6" x14ac:dyDescent="0.25">
      <c r="A3813" s="10">
        <v>42335</v>
      </c>
      <c r="B3813" s="12">
        <f t="shared" si="177"/>
        <v>11</v>
      </c>
      <c r="C3813" s="12">
        <f t="shared" si="178"/>
        <v>2015</v>
      </c>
      <c r="D3813" s="13">
        <v>24500</v>
      </c>
      <c r="E3813" s="13">
        <v>66.355000000000004</v>
      </c>
      <c r="F3813" s="13">
        <f t="shared" si="179"/>
        <v>369.22613216788483</v>
      </c>
    </row>
    <row r="3814" spans="1:6" x14ac:dyDescent="0.25">
      <c r="A3814" s="10">
        <v>42338</v>
      </c>
      <c r="B3814" s="12">
        <f t="shared" si="177"/>
        <v>11</v>
      </c>
      <c r="C3814" s="12">
        <f t="shared" si="178"/>
        <v>2015</v>
      </c>
      <c r="D3814" s="13">
        <v>24500</v>
      </c>
      <c r="E3814" s="13">
        <v>66.3</v>
      </c>
      <c r="F3814" s="13">
        <f t="shared" si="179"/>
        <v>369.53242835595779</v>
      </c>
    </row>
    <row r="3815" spans="1:6" x14ac:dyDescent="0.25">
      <c r="A3815" s="10">
        <v>42339</v>
      </c>
      <c r="B3815" s="12">
        <f t="shared" si="177"/>
        <v>12</v>
      </c>
      <c r="C3815" s="12">
        <f t="shared" si="178"/>
        <v>2015</v>
      </c>
      <c r="D3815" s="13">
        <v>24500</v>
      </c>
      <c r="E3815" s="13">
        <v>66.652500000000003</v>
      </c>
      <c r="F3815" s="13">
        <f t="shared" si="179"/>
        <v>367.578110348449</v>
      </c>
    </row>
    <row r="3816" spans="1:6" x14ac:dyDescent="0.25">
      <c r="A3816" s="10">
        <v>42340</v>
      </c>
      <c r="B3816" s="12">
        <f t="shared" si="177"/>
        <v>12</v>
      </c>
      <c r="C3816" s="12">
        <f t="shared" si="178"/>
        <v>2015</v>
      </c>
      <c r="D3816" s="13">
        <v>24500</v>
      </c>
      <c r="E3816" s="13">
        <v>67.415000000000006</v>
      </c>
      <c r="F3816" s="13">
        <f t="shared" si="179"/>
        <v>363.42060372320697</v>
      </c>
    </row>
    <row r="3817" spans="1:6" x14ac:dyDescent="0.25">
      <c r="A3817" s="10">
        <v>42341</v>
      </c>
      <c r="B3817" s="12">
        <f t="shared" si="177"/>
        <v>12</v>
      </c>
      <c r="C3817" s="12">
        <f t="shared" si="178"/>
        <v>2015</v>
      </c>
      <c r="D3817" s="13">
        <v>24500</v>
      </c>
      <c r="E3817" s="13">
        <v>67.427999999999997</v>
      </c>
      <c r="F3817" s="13">
        <f t="shared" si="179"/>
        <v>363.35053686895651</v>
      </c>
    </row>
    <row r="3818" spans="1:6" x14ac:dyDescent="0.25">
      <c r="A3818" s="10">
        <v>42342</v>
      </c>
      <c r="B3818" s="12">
        <f t="shared" si="177"/>
        <v>12</v>
      </c>
      <c r="C3818" s="12">
        <f t="shared" si="178"/>
        <v>2015</v>
      </c>
      <c r="D3818" s="13">
        <v>24500</v>
      </c>
      <c r="E3818" s="13">
        <v>68.025000000000006</v>
      </c>
      <c r="F3818" s="13">
        <f t="shared" si="179"/>
        <v>360.16170525542077</v>
      </c>
    </row>
    <row r="3819" spans="1:6" x14ac:dyDescent="0.25">
      <c r="A3819" s="10">
        <v>42345</v>
      </c>
      <c r="B3819" s="12">
        <f t="shared" si="177"/>
        <v>12</v>
      </c>
      <c r="C3819" s="12">
        <f t="shared" si="178"/>
        <v>2015</v>
      </c>
      <c r="D3819" s="13">
        <v>24500</v>
      </c>
      <c r="E3819" s="13">
        <v>69.155000000000001</v>
      </c>
      <c r="F3819" s="13">
        <f t="shared" si="179"/>
        <v>354.27662497288696</v>
      </c>
    </row>
    <row r="3820" spans="1:6" x14ac:dyDescent="0.25">
      <c r="A3820" s="10">
        <v>42346</v>
      </c>
      <c r="B3820" s="12">
        <f t="shared" si="177"/>
        <v>12</v>
      </c>
      <c r="C3820" s="12">
        <f t="shared" si="178"/>
        <v>2015</v>
      </c>
      <c r="D3820" s="13">
        <v>24500</v>
      </c>
      <c r="E3820" s="13">
        <v>69.45</v>
      </c>
      <c r="F3820" s="13">
        <f t="shared" si="179"/>
        <v>352.77177825773936</v>
      </c>
    </row>
    <row r="3821" spans="1:6" x14ac:dyDescent="0.25">
      <c r="A3821" s="10">
        <v>42347</v>
      </c>
      <c r="B3821" s="12">
        <f t="shared" si="177"/>
        <v>12</v>
      </c>
      <c r="C3821" s="12">
        <f t="shared" si="178"/>
        <v>2015</v>
      </c>
      <c r="D3821" s="13">
        <v>24500</v>
      </c>
      <c r="E3821" s="13">
        <v>69.61</v>
      </c>
      <c r="F3821" s="13">
        <f t="shared" si="179"/>
        <v>351.96092515443183</v>
      </c>
    </row>
    <row r="3822" spans="1:6" x14ac:dyDescent="0.25">
      <c r="A3822" s="10">
        <v>42348</v>
      </c>
      <c r="B3822" s="12">
        <f t="shared" si="177"/>
        <v>12</v>
      </c>
      <c r="C3822" s="12">
        <f t="shared" si="178"/>
        <v>2015</v>
      </c>
      <c r="D3822" s="13">
        <v>24500</v>
      </c>
      <c r="E3822" s="13">
        <v>68.204999999999998</v>
      </c>
      <c r="F3822" s="13">
        <f t="shared" si="179"/>
        <v>359.2112015248149</v>
      </c>
    </row>
    <row r="3823" spans="1:6" x14ac:dyDescent="0.25">
      <c r="A3823" s="10">
        <v>42349</v>
      </c>
      <c r="B3823" s="12">
        <f t="shared" si="177"/>
        <v>12</v>
      </c>
      <c r="C3823" s="12">
        <f t="shared" si="178"/>
        <v>2015</v>
      </c>
      <c r="D3823" s="13">
        <v>24500</v>
      </c>
      <c r="E3823" s="13">
        <v>70.36</v>
      </c>
      <c r="F3823" s="13">
        <f t="shared" si="179"/>
        <v>348.20920977828314</v>
      </c>
    </row>
    <row r="3824" spans="1:6" x14ac:dyDescent="0.25">
      <c r="A3824" s="10">
        <v>42352</v>
      </c>
      <c r="B3824" s="12">
        <f t="shared" si="177"/>
        <v>12</v>
      </c>
      <c r="C3824" s="12">
        <f t="shared" si="178"/>
        <v>2015</v>
      </c>
      <c r="D3824" s="13">
        <v>25750</v>
      </c>
      <c r="E3824" s="13">
        <v>70.47</v>
      </c>
      <c r="F3824" s="13">
        <f t="shared" si="179"/>
        <v>365.40371789413933</v>
      </c>
    </row>
    <row r="3825" spans="1:6" x14ac:dyDescent="0.25">
      <c r="A3825" s="10">
        <v>42353</v>
      </c>
      <c r="B3825" s="12">
        <f t="shared" si="177"/>
        <v>12</v>
      </c>
      <c r="C3825" s="12">
        <f t="shared" si="178"/>
        <v>2015</v>
      </c>
      <c r="D3825" s="13">
        <v>25750</v>
      </c>
      <c r="E3825" s="13">
        <v>69.9084</v>
      </c>
      <c r="F3825" s="13">
        <f t="shared" si="179"/>
        <v>368.33914093299234</v>
      </c>
    </row>
    <row r="3826" spans="1:6" x14ac:dyDescent="0.25">
      <c r="A3826" s="10">
        <v>42354</v>
      </c>
      <c r="B3826" s="12">
        <f t="shared" si="177"/>
        <v>12</v>
      </c>
      <c r="C3826" s="12">
        <f t="shared" si="178"/>
        <v>2015</v>
      </c>
      <c r="D3826" s="13">
        <v>25750</v>
      </c>
      <c r="E3826" s="13">
        <v>70.265000000000001</v>
      </c>
      <c r="F3826" s="13">
        <f t="shared" si="179"/>
        <v>366.46979292677719</v>
      </c>
    </row>
    <row r="3827" spans="1:6" x14ac:dyDescent="0.25">
      <c r="A3827" s="10">
        <v>42355</v>
      </c>
      <c r="B3827" s="12">
        <f t="shared" si="177"/>
        <v>12</v>
      </c>
      <c r="C3827" s="12">
        <f t="shared" si="178"/>
        <v>2015</v>
      </c>
      <c r="D3827" s="13">
        <v>25750</v>
      </c>
      <c r="E3827" s="13">
        <v>71.290000000000006</v>
      </c>
      <c r="F3827" s="13">
        <f t="shared" si="179"/>
        <v>361.20072941506521</v>
      </c>
    </row>
    <row r="3828" spans="1:6" x14ac:dyDescent="0.25">
      <c r="A3828" s="10">
        <v>42356</v>
      </c>
      <c r="B3828" s="12">
        <f t="shared" si="177"/>
        <v>12</v>
      </c>
      <c r="C3828" s="12">
        <f t="shared" si="178"/>
        <v>2015</v>
      </c>
      <c r="D3828" s="13">
        <v>25750</v>
      </c>
      <c r="E3828" s="13">
        <v>71.007000000000005</v>
      </c>
      <c r="F3828" s="13">
        <f t="shared" si="179"/>
        <v>362.64030306871149</v>
      </c>
    </row>
    <row r="3829" spans="1:6" x14ac:dyDescent="0.25">
      <c r="A3829" s="10">
        <v>42359</v>
      </c>
      <c r="B3829" s="12">
        <f t="shared" si="177"/>
        <v>12</v>
      </c>
      <c r="C3829" s="12">
        <f t="shared" si="178"/>
        <v>2015</v>
      </c>
      <c r="D3829" s="13">
        <v>26000</v>
      </c>
      <c r="E3829" s="13">
        <v>71.174499999999995</v>
      </c>
      <c r="F3829" s="13">
        <f t="shared" si="179"/>
        <v>365.299369858587</v>
      </c>
    </row>
    <row r="3830" spans="1:6" x14ac:dyDescent="0.25">
      <c r="A3830" s="10">
        <v>42360</v>
      </c>
      <c r="B3830" s="12">
        <f t="shared" si="177"/>
        <v>12</v>
      </c>
      <c r="C3830" s="12">
        <f t="shared" si="178"/>
        <v>2015</v>
      </c>
      <c r="D3830" s="13">
        <v>26000</v>
      </c>
      <c r="E3830" s="13">
        <v>71.188000000000002</v>
      </c>
      <c r="F3830" s="13">
        <f t="shared" si="179"/>
        <v>365.23009495982467</v>
      </c>
    </row>
    <row r="3831" spans="1:6" x14ac:dyDescent="0.25">
      <c r="A3831" s="10">
        <v>42361</v>
      </c>
      <c r="B3831" s="12">
        <f t="shared" si="177"/>
        <v>12</v>
      </c>
      <c r="C3831" s="12">
        <f t="shared" si="178"/>
        <v>2015</v>
      </c>
      <c r="D3831" s="13">
        <v>26000</v>
      </c>
      <c r="E3831" s="13">
        <v>69.834999999999994</v>
      </c>
      <c r="F3831" s="13">
        <f t="shared" si="179"/>
        <v>372.30615021121218</v>
      </c>
    </row>
    <row r="3832" spans="1:6" x14ac:dyDescent="0.25">
      <c r="A3832" s="10">
        <v>42362</v>
      </c>
      <c r="B3832" s="12">
        <f t="shared" si="177"/>
        <v>12</v>
      </c>
      <c r="C3832" s="12">
        <f t="shared" si="178"/>
        <v>2015</v>
      </c>
      <c r="D3832" s="13">
        <v>26000</v>
      </c>
      <c r="E3832" s="13">
        <v>70.2</v>
      </c>
      <c r="F3832" s="13">
        <f t="shared" si="179"/>
        <v>370.37037037037038</v>
      </c>
    </row>
    <row r="3833" spans="1:6" x14ac:dyDescent="0.25">
      <c r="A3833" s="10">
        <v>42366</v>
      </c>
      <c r="B3833" s="12">
        <f t="shared" si="177"/>
        <v>12</v>
      </c>
      <c r="C3833" s="12">
        <f t="shared" si="178"/>
        <v>2015</v>
      </c>
      <c r="E3833" s="13">
        <v>72.290000000000006</v>
      </c>
      <c r="F3833" s="13" t="str">
        <f t="shared" si="179"/>
        <v/>
      </c>
    </row>
    <row r="3834" spans="1:6" x14ac:dyDescent="0.25">
      <c r="A3834" s="10">
        <v>42367</v>
      </c>
      <c r="B3834" s="12">
        <f t="shared" si="177"/>
        <v>12</v>
      </c>
      <c r="C3834" s="12">
        <f t="shared" si="178"/>
        <v>2015</v>
      </c>
      <c r="E3834" s="13">
        <v>72.275000000000006</v>
      </c>
      <c r="F3834" s="13" t="str">
        <f t="shared" si="179"/>
        <v/>
      </c>
    </row>
    <row r="3835" spans="1:6" x14ac:dyDescent="0.25">
      <c r="A3835" s="10">
        <v>42368</v>
      </c>
      <c r="B3835" s="12">
        <f t="shared" si="177"/>
        <v>12</v>
      </c>
      <c r="C3835" s="12">
        <f t="shared" si="178"/>
        <v>2015</v>
      </c>
      <c r="E3835" s="13">
        <v>73.1995</v>
      </c>
      <c r="F3835" s="13" t="str">
        <f t="shared" si="179"/>
        <v/>
      </c>
    </row>
    <row r="3836" spans="1:6" x14ac:dyDescent="0.25">
      <c r="A3836" s="10">
        <v>42369</v>
      </c>
      <c r="B3836" s="12">
        <f t="shared" si="177"/>
        <v>12</v>
      </c>
      <c r="C3836" s="12">
        <f t="shared" si="178"/>
        <v>2015</v>
      </c>
      <c r="E3836" s="13">
        <v>72.9495</v>
      </c>
      <c r="F3836" s="13" t="str">
        <f t="shared" si="179"/>
        <v/>
      </c>
    </row>
    <row r="3837" spans="1:6" x14ac:dyDescent="0.25">
      <c r="A3837" s="10">
        <v>42373</v>
      </c>
      <c r="B3837" s="12">
        <f t="shared" si="177"/>
        <v>1</v>
      </c>
      <c r="C3837" s="12">
        <f t="shared" si="178"/>
        <v>2016</v>
      </c>
      <c r="E3837" s="13">
        <v>72.72</v>
      </c>
      <c r="F3837" s="13" t="str">
        <f t="shared" si="179"/>
        <v/>
      </c>
    </row>
    <row r="3838" spans="1:6" x14ac:dyDescent="0.25">
      <c r="A3838" s="10">
        <v>42374</v>
      </c>
      <c r="B3838" s="12">
        <f t="shared" si="177"/>
        <v>1</v>
      </c>
      <c r="C3838" s="12">
        <f t="shared" si="178"/>
        <v>2016</v>
      </c>
      <c r="E3838" s="13">
        <v>73.38</v>
      </c>
      <c r="F3838" s="13" t="str">
        <f t="shared" si="179"/>
        <v/>
      </c>
    </row>
    <row r="3839" spans="1:6" x14ac:dyDescent="0.25">
      <c r="A3839" s="10">
        <v>42375</v>
      </c>
      <c r="B3839" s="12">
        <f t="shared" si="177"/>
        <v>1</v>
      </c>
      <c r="C3839" s="12">
        <f t="shared" si="178"/>
        <v>2016</v>
      </c>
      <c r="E3839" s="13">
        <v>74.552000000000007</v>
      </c>
      <c r="F3839" s="13" t="str">
        <f t="shared" si="179"/>
        <v/>
      </c>
    </row>
    <row r="3840" spans="1:6" x14ac:dyDescent="0.25">
      <c r="A3840" s="10">
        <v>42376</v>
      </c>
      <c r="B3840" s="12">
        <f t="shared" si="177"/>
        <v>1</v>
      </c>
      <c r="C3840" s="12">
        <f t="shared" si="178"/>
        <v>2016</v>
      </c>
      <c r="E3840" s="13">
        <v>75.049499999999995</v>
      </c>
      <c r="F3840" s="13" t="str">
        <f t="shared" si="179"/>
        <v/>
      </c>
    </row>
    <row r="3841" spans="1:6" x14ac:dyDescent="0.25">
      <c r="A3841" s="10">
        <v>42377</v>
      </c>
      <c r="B3841" s="12">
        <f t="shared" si="177"/>
        <v>1</v>
      </c>
      <c r="C3841" s="12">
        <f t="shared" si="178"/>
        <v>2016</v>
      </c>
      <c r="E3841" s="13">
        <v>74.59</v>
      </c>
      <c r="F3841" s="13" t="str">
        <f t="shared" si="179"/>
        <v/>
      </c>
    </row>
    <row r="3842" spans="1:6" x14ac:dyDescent="0.25">
      <c r="A3842" s="10">
        <v>42380</v>
      </c>
      <c r="B3842" s="12">
        <f t="shared" si="177"/>
        <v>1</v>
      </c>
      <c r="C3842" s="12">
        <f t="shared" si="178"/>
        <v>2016</v>
      </c>
      <c r="E3842" s="13">
        <v>76.37</v>
      </c>
      <c r="F3842" s="13" t="str">
        <f t="shared" si="179"/>
        <v/>
      </c>
    </row>
    <row r="3843" spans="1:6" x14ac:dyDescent="0.25">
      <c r="A3843" s="10">
        <v>42381</v>
      </c>
      <c r="B3843" s="12">
        <f t="shared" ref="B3843:B3906" si="180">MONTH(A3843)</f>
        <v>1</v>
      </c>
      <c r="C3843" s="12">
        <f t="shared" ref="C3843:C3906" si="181">YEAR(A3843)</f>
        <v>2016</v>
      </c>
      <c r="E3843" s="13">
        <v>76.905000000000001</v>
      </c>
      <c r="F3843" s="13" t="str">
        <f t="shared" ref="F3843:F3906" si="182">IF(D3843="","",D3843/E3843)</f>
        <v/>
      </c>
    </row>
    <row r="3844" spans="1:6" x14ac:dyDescent="0.25">
      <c r="A3844" s="10">
        <v>42382</v>
      </c>
      <c r="B3844" s="12">
        <f t="shared" si="180"/>
        <v>1</v>
      </c>
      <c r="C3844" s="12">
        <f t="shared" si="181"/>
        <v>2016</v>
      </c>
      <c r="E3844" s="13">
        <v>76.599999999999994</v>
      </c>
      <c r="F3844" s="13" t="str">
        <f t="shared" si="182"/>
        <v/>
      </c>
    </row>
    <row r="3845" spans="1:6" x14ac:dyDescent="0.25">
      <c r="A3845" s="10">
        <v>42383</v>
      </c>
      <c r="B3845" s="12">
        <f t="shared" si="180"/>
        <v>1</v>
      </c>
      <c r="C3845" s="12">
        <f t="shared" si="181"/>
        <v>2016</v>
      </c>
      <c r="E3845" s="13">
        <v>76.212500000000006</v>
      </c>
      <c r="F3845" s="13" t="str">
        <f t="shared" si="182"/>
        <v/>
      </c>
    </row>
    <row r="3846" spans="1:6" x14ac:dyDescent="0.25">
      <c r="A3846" s="10">
        <v>42384</v>
      </c>
      <c r="B3846" s="12">
        <f t="shared" si="180"/>
        <v>1</v>
      </c>
      <c r="C3846" s="12">
        <f t="shared" si="181"/>
        <v>2016</v>
      </c>
      <c r="E3846" s="13">
        <v>77.745000000000005</v>
      </c>
      <c r="F3846" s="13" t="str">
        <f t="shared" si="182"/>
        <v/>
      </c>
    </row>
    <row r="3847" spans="1:6" x14ac:dyDescent="0.25">
      <c r="A3847" s="10">
        <v>42388</v>
      </c>
      <c r="B3847" s="12">
        <f t="shared" si="180"/>
        <v>1</v>
      </c>
      <c r="C3847" s="12">
        <f t="shared" si="181"/>
        <v>2016</v>
      </c>
      <c r="D3847" s="13">
        <v>26250</v>
      </c>
      <c r="E3847" s="13">
        <v>78.784999999999997</v>
      </c>
      <c r="F3847" s="13">
        <f t="shared" si="182"/>
        <v>333.18525099955576</v>
      </c>
    </row>
    <row r="3848" spans="1:6" x14ac:dyDescent="0.25">
      <c r="A3848" s="10">
        <v>42389</v>
      </c>
      <c r="B3848" s="12">
        <f t="shared" si="180"/>
        <v>1</v>
      </c>
      <c r="C3848" s="12">
        <f t="shared" si="181"/>
        <v>2016</v>
      </c>
      <c r="D3848" s="13">
        <v>26250</v>
      </c>
      <c r="E3848" s="13">
        <v>81.347499999999997</v>
      </c>
      <c r="F3848" s="13">
        <f t="shared" si="182"/>
        <v>322.68969544239224</v>
      </c>
    </row>
    <row r="3849" spans="1:6" x14ac:dyDescent="0.25">
      <c r="A3849" s="10">
        <v>42390</v>
      </c>
      <c r="B3849" s="12">
        <f t="shared" si="180"/>
        <v>1</v>
      </c>
      <c r="C3849" s="12">
        <f t="shared" si="181"/>
        <v>2016</v>
      </c>
      <c r="D3849" s="13">
        <v>26250</v>
      </c>
      <c r="E3849" s="13">
        <v>82.367500000000007</v>
      </c>
      <c r="F3849" s="13">
        <f t="shared" si="182"/>
        <v>318.69365951376449</v>
      </c>
    </row>
    <row r="3850" spans="1:6" x14ac:dyDescent="0.25">
      <c r="A3850" s="10">
        <v>42391</v>
      </c>
      <c r="B3850" s="12">
        <f t="shared" si="180"/>
        <v>1</v>
      </c>
      <c r="C3850" s="12">
        <f t="shared" si="181"/>
        <v>2016</v>
      </c>
      <c r="D3850" s="13">
        <v>26250</v>
      </c>
      <c r="E3850" s="13">
        <v>78.099999999999994</v>
      </c>
      <c r="F3850" s="13">
        <f t="shared" si="182"/>
        <v>336.10755441741361</v>
      </c>
    </row>
    <row r="3851" spans="1:6" x14ac:dyDescent="0.25">
      <c r="A3851" s="10">
        <v>42394</v>
      </c>
      <c r="B3851" s="12">
        <f t="shared" si="180"/>
        <v>1</v>
      </c>
      <c r="C3851" s="12">
        <f t="shared" si="181"/>
        <v>2016</v>
      </c>
      <c r="D3851" s="13">
        <v>26500</v>
      </c>
      <c r="E3851" s="13">
        <v>79.940399999999997</v>
      </c>
      <c r="F3851" s="13">
        <f t="shared" si="182"/>
        <v>331.49696523910313</v>
      </c>
    </row>
    <row r="3852" spans="1:6" x14ac:dyDescent="0.25">
      <c r="A3852" s="10">
        <v>42395</v>
      </c>
      <c r="B3852" s="12">
        <f t="shared" si="180"/>
        <v>1</v>
      </c>
      <c r="C3852" s="12">
        <f t="shared" si="181"/>
        <v>2016</v>
      </c>
      <c r="D3852" s="13">
        <v>26500</v>
      </c>
      <c r="E3852" s="13">
        <v>78.825000000000003</v>
      </c>
      <c r="F3852" s="13">
        <f t="shared" si="182"/>
        <v>336.18775769108782</v>
      </c>
    </row>
    <row r="3853" spans="1:6" x14ac:dyDescent="0.25">
      <c r="A3853" s="10">
        <v>42396</v>
      </c>
      <c r="B3853" s="12">
        <f t="shared" si="180"/>
        <v>1</v>
      </c>
      <c r="C3853" s="12">
        <f t="shared" si="181"/>
        <v>2016</v>
      </c>
      <c r="D3853" s="13">
        <v>26500</v>
      </c>
      <c r="E3853" s="13">
        <v>78.045000000000002</v>
      </c>
      <c r="F3853" s="13">
        <f t="shared" si="182"/>
        <v>339.54769684156577</v>
      </c>
    </row>
    <row r="3854" spans="1:6" x14ac:dyDescent="0.25">
      <c r="A3854" s="10">
        <v>42397</v>
      </c>
      <c r="B3854" s="12">
        <f t="shared" si="180"/>
        <v>1</v>
      </c>
      <c r="C3854" s="12">
        <f t="shared" si="181"/>
        <v>2016</v>
      </c>
      <c r="D3854" s="13">
        <v>26500</v>
      </c>
      <c r="E3854" s="13">
        <v>76.328000000000003</v>
      </c>
      <c r="F3854" s="13">
        <f t="shared" si="182"/>
        <v>347.18582957761242</v>
      </c>
    </row>
    <row r="3855" spans="1:6" x14ac:dyDescent="0.25">
      <c r="A3855" s="10">
        <v>42398</v>
      </c>
      <c r="B3855" s="12">
        <f t="shared" si="180"/>
        <v>1</v>
      </c>
      <c r="C3855" s="12">
        <f t="shared" si="181"/>
        <v>2016</v>
      </c>
      <c r="D3855" s="13">
        <v>26500</v>
      </c>
      <c r="E3855" s="13">
        <v>75.462599999999995</v>
      </c>
      <c r="F3855" s="13">
        <f t="shared" si="182"/>
        <v>351.16733322201992</v>
      </c>
    </row>
    <row r="3856" spans="1:6" x14ac:dyDescent="0.25">
      <c r="A3856" s="10">
        <v>42401</v>
      </c>
      <c r="B3856" s="12">
        <f t="shared" si="180"/>
        <v>2</v>
      </c>
      <c r="C3856" s="12">
        <f t="shared" si="181"/>
        <v>2016</v>
      </c>
      <c r="D3856" s="13">
        <v>26700</v>
      </c>
      <c r="E3856" s="13">
        <v>77.223200000000006</v>
      </c>
      <c r="F3856" s="13">
        <f t="shared" si="182"/>
        <v>345.751017828839</v>
      </c>
    </row>
    <row r="3857" spans="1:6" x14ac:dyDescent="0.25">
      <c r="A3857" s="10">
        <v>42402</v>
      </c>
      <c r="B3857" s="12">
        <f t="shared" si="180"/>
        <v>2</v>
      </c>
      <c r="C3857" s="12">
        <f t="shared" si="181"/>
        <v>2016</v>
      </c>
      <c r="D3857" s="13">
        <v>26700</v>
      </c>
      <c r="E3857" s="13">
        <v>79.792199999999994</v>
      </c>
      <c r="F3857" s="13">
        <f t="shared" si="182"/>
        <v>334.61917330265368</v>
      </c>
    </row>
    <row r="3858" spans="1:6" x14ac:dyDescent="0.25">
      <c r="A3858" s="10">
        <v>42403</v>
      </c>
      <c r="B3858" s="12">
        <f t="shared" si="180"/>
        <v>2</v>
      </c>
      <c r="C3858" s="12">
        <f t="shared" si="181"/>
        <v>2016</v>
      </c>
      <c r="D3858" s="13">
        <v>26700</v>
      </c>
      <c r="E3858" s="13">
        <v>76.795500000000004</v>
      </c>
      <c r="F3858" s="13">
        <f t="shared" si="182"/>
        <v>347.67662167705134</v>
      </c>
    </row>
    <row r="3859" spans="1:6" x14ac:dyDescent="0.25">
      <c r="A3859" s="10">
        <v>42404</v>
      </c>
      <c r="B3859" s="12">
        <f t="shared" si="180"/>
        <v>2</v>
      </c>
      <c r="C3859" s="12">
        <f t="shared" si="181"/>
        <v>2016</v>
      </c>
      <c r="D3859" s="13">
        <v>26700</v>
      </c>
      <c r="E3859" s="13">
        <v>76.654499999999999</v>
      </c>
      <c r="F3859" s="13">
        <f t="shared" si="182"/>
        <v>348.31614582314148</v>
      </c>
    </row>
    <row r="3860" spans="1:6" x14ac:dyDescent="0.25">
      <c r="A3860" s="10">
        <v>42405</v>
      </c>
      <c r="B3860" s="12">
        <f t="shared" si="180"/>
        <v>2</v>
      </c>
      <c r="C3860" s="12">
        <f t="shared" si="181"/>
        <v>2016</v>
      </c>
      <c r="D3860" s="13">
        <v>26700</v>
      </c>
      <c r="E3860" s="13">
        <v>77.507800000000003</v>
      </c>
      <c r="F3860" s="13">
        <f t="shared" si="182"/>
        <v>344.48145864029169</v>
      </c>
    </row>
    <row r="3861" spans="1:6" x14ac:dyDescent="0.25">
      <c r="A3861" s="10">
        <v>42408</v>
      </c>
      <c r="B3861" s="12">
        <f t="shared" si="180"/>
        <v>2</v>
      </c>
      <c r="C3861" s="12">
        <f t="shared" si="181"/>
        <v>2016</v>
      </c>
      <c r="D3861" s="13">
        <v>26850</v>
      </c>
      <c r="E3861" s="13">
        <v>77.8262</v>
      </c>
      <c r="F3861" s="13">
        <f t="shared" si="182"/>
        <v>344.99949888340944</v>
      </c>
    </row>
    <row r="3862" spans="1:6" x14ac:dyDescent="0.25">
      <c r="A3862" s="10">
        <v>42409</v>
      </c>
      <c r="B3862" s="12">
        <f t="shared" si="180"/>
        <v>2</v>
      </c>
      <c r="C3862" s="12">
        <f t="shared" si="181"/>
        <v>2016</v>
      </c>
      <c r="D3862" s="13">
        <v>26850</v>
      </c>
      <c r="E3862" s="13">
        <v>79.754300000000001</v>
      </c>
      <c r="F3862" s="13">
        <f t="shared" si="182"/>
        <v>336.65896384270189</v>
      </c>
    </row>
    <row r="3863" spans="1:6" x14ac:dyDescent="0.25">
      <c r="A3863" s="10">
        <v>42410</v>
      </c>
      <c r="B3863" s="12">
        <f t="shared" si="180"/>
        <v>2</v>
      </c>
      <c r="C3863" s="12">
        <f t="shared" si="181"/>
        <v>2016</v>
      </c>
      <c r="D3863" s="13">
        <v>26850</v>
      </c>
      <c r="E3863" s="13">
        <v>79.543000000000006</v>
      </c>
      <c r="F3863" s="13">
        <f t="shared" si="182"/>
        <v>337.55327307242618</v>
      </c>
    </row>
    <row r="3864" spans="1:6" x14ac:dyDescent="0.25">
      <c r="A3864" s="10">
        <v>42411</v>
      </c>
      <c r="B3864" s="12">
        <f t="shared" si="180"/>
        <v>2</v>
      </c>
      <c r="C3864" s="12">
        <f t="shared" si="181"/>
        <v>2016</v>
      </c>
      <c r="D3864" s="13">
        <v>26850</v>
      </c>
      <c r="E3864" s="13">
        <v>80.142499999999998</v>
      </c>
      <c r="F3864" s="13">
        <f t="shared" si="182"/>
        <v>335.02823096359612</v>
      </c>
    </row>
    <row r="3865" spans="1:6" x14ac:dyDescent="0.25">
      <c r="A3865" s="10">
        <v>42412</v>
      </c>
      <c r="B3865" s="12">
        <f t="shared" si="180"/>
        <v>2</v>
      </c>
      <c r="C3865" s="12">
        <f t="shared" si="181"/>
        <v>2016</v>
      </c>
      <c r="D3865" s="13">
        <v>26850</v>
      </c>
      <c r="E3865" s="13">
        <v>78.343500000000006</v>
      </c>
      <c r="F3865" s="13">
        <f t="shared" si="182"/>
        <v>342.72147657431691</v>
      </c>
    </row>
    <row r="3866" spans="1:6" x14ac:dyDescent="0.25">
      <c r="A3866" s="10">
        <v>42416</v>
      </c>
      <c r="B3866" s="12">
        <f t="shared" si="180"/>
        <v>2</v>
      </c>
      <c r="C3866" s="12">
        <f t="shared" si="181"/>
        <v>2016</v>
      </c>
      <c r="D3866" s="13">
        <v>27000</v>
      </c>
      <c r="E3866" s="13">
        <v>77.850700000000003</v>
      </c>
      <c r="F3866" s="13">
        <f t="shared" si="182"/>
        <v>346.81769078505397</v>
      </c>
    </row>
    <row r="3867" spans="1:6" x14ac:dyDescent="0.25">
      <c r="A3867" s="10">
        <v>42417</v>
      </c>
      <c r="B3867" s="12">
        <f t="shared" si="180"/>
        <v>2</v>
      </c>
      <c r="C3867" s="12">
        <f t="shared" si="181"/>
        <v>2016</v>
      </c>
      <c r="D3867" s="13">
        <v>27000</v>
      </c>
      <c r="E3867" s="13">
        <v>75.038499999999999</v>
      </c>
      <c r="F3867" s="13">
        <f t="shared" si="182"/>
        <v>359.81529481532812</v>
      </c>
    </row>
    <row r="3868" spans="1:6" x14ac:dyDescent="0.25">
      <c r="A3868" s="10">
        <v>42418</v>
      </c>
      <c r="B3868" s="12">
        <f t="shared" si="180"/>
        <v>2</v>
      </c>
      <c r="C3868" s="12">
        <f t="shared" si="181"/>
        <v>2016</v>
      </c>
      <c r="D3868" s="13">
        <v>27000</v>
      </c>
      <c r="E3868" s="13">
        <v>76.644499999999994</v>
      </c>
      <c r="F3868" s="13">
        <f t="shared" si="182"/>
        <v>352.27576668906448</v>
      </c>
    </row>
    <row r="3869" spans="1:6" x14ac:dyDescent="0.25">
      <c r="A3869" s="10">
        <v>42419</v>
      </c>
      <c r="B3869" s="12">
        <f t="shared" si="180"/>
        <v>2</v>
      </c>
      <c r="C3869" s="12">
        <f t="shared" si="181"/>
        <v>2016</v>
      </c>
      <c r="D3869" s="13">
        <v>27000</v>
      </c>
      <c r="E3869" s="13">
        <v>77.015000000000001</v>
      </c>
      <c r="F3869" s="13">
        <f t="shared" si="182"/>
        <v>350.581055638512</v>
      </c>
    </row>
    <row r="3870" spans="1:6" x14ac:dyDescent="0.25">
      <c r="A3870" s="10">
        <v>42422</v>
      </c>
      <c r="B3870" s="12">
        <f t="shared" si="180"/>
        <v>2</v>
      </c>
      <c r="C3870" s="12">
        <f t="shared" si="181"/>
        <v>2016</v>
      </c>
      <c r="D3870" s="13">
        <v>26900</v>
      </c>
      <c r="E3870" s="13">
        <v>74.956999999999994</v>
      </c>
      <c r="F3870" s="13">
        <f t="shared" si="182"/>
        <v>358.87242018757422</v>
      </c>
    </row>
    <row r="3871" spans="1:6" x14ac:dyDescent="0.25">
      <c r="A3871" s="10">
        <v>42423</v>
      </c>
      <c r="B3871" s="12">
        <f t="shared" si="180"/>
        <v>2</v>
      </c>
      <c r="C3871" s="12">
        <f t="shared" si="181"/>
        <v>2016</v>
      </c>
      <c r="D3871" s="13">
        <v>26900</v>
      </c>
      <c r="E3871" s="13">
        <v>76.261600000000001</v>
      </c>
      <c r="F3871" s="13">
        <f t="shared" si="182"/>
        <v>352.73322353582932</v>
      </c>
    </row>
    <row r="3872" spans="1:6" x14ac:dyDescent="0.25">
      <c r="A3872" s="10">
        <v>42424</v>
      </c>
      <c r="B3872" s="12">
        <f t="shared" si="180"/>
        <v>2</v>
      </c>
      <c r="C3872" s="12">
        <f t="shared" si="181"/>
        <v>2016</v>
      </c>
      <c r="D3872" s="13">
        <v>26900</v>
      </c>
      <c r="E3872" s="13">
        <v>75.790499999999994</v>
      </c>
      <c r="F3872" s="13">
        <f t="shared" si="182"/>
        <v>354.92574926936754</v>
      </c>
    </row>
    <row r="3873" spans="1:6" x14ac:dyDescent="0.25">
      <c r="A3873" s="10">
        <v>42425</v>
      </c>
      <c r="B3873" s="12">
        <f t="shared" si="180"/>
        <v>2</v>
      </c>
      <c r="C3873" s="12">
        <f t="shared" si="181"/>
        <v>2016</v>
      </c>
      <c r="D3873" s="13">
        <v>26900</v>
      </c>
      <c r="E3873" s="13">
        <v>75.285499999999999</v>
      </c>
      <c r="F3873" s="13">
        <f t="shared" si="182"/>
        <v>357.30651984777944</v>
      </c>
    </row>
    <row r="3874" spans="1:6" x14ac:dyDescent="0.25">
      <c r="A3874" s="10">
        <v>42426</v>
      </c>
      <c r="B3874" s="12">
        <f t="shared" si="180"/>
        <v>2</v>
      </c>
      <c r="C3874" s="12">
        <f t="shared" si="181"/>
        <v>2016</v>
      </c>
      <c r="D3874" s="13">
        <v>26900</v>
      </c>
      <c r="E3874" s="13">
        <v>76.127300000000005</v>
      </c>
      <c r="F3874" s="13">
        <f t="shared" si="182"/>
        <v>353.35549796196631</v>
      </c>
    </row>
    <row r="3875" spans="1:6" x14ac:dyDescent="0.25">
      <c r="A3875" s="10">
        <v>42429</v>
      </c>
      <c r="B3875" s="12">
        <f t="shared" si="180"/>
        <v>2</v>
      </c>
      <c r="C3875" s="12">
        <f t="shared" si="181"/>
        <v>2016</v>
      </c>
      <c r="D3875" s="13">
        <v>26500</v>
      </c>
      <c r="E3875" s="13">
        <v>75.250600000000006</v>
      </c>
      <c r="F3875" s="13">
        <f t="shared" si="182"/>
        <v>352.1566605448993</v>
      </c>
    </row>
    <row r="3876" spans="1:6" x14ac:dyDescent="0.25">
      <c r="A3876" s="10">
        <v>42430</v>
      </c>
      <c r="B3876" s="12">
        <f t="shared" si="180"/>
        <v>3</v>
      </c>
      <c r="C3876" s="12">
        <f t="shared" si="181"/>
        <v>2016</v>
      </c>
      <c r="D3876" s="13">
        <v>26500</v>
      </c>
      <c r="E3876" s="13">
        <v>73.384</v>
      </c>
      <c r="F3876" s="13">
        <f t="shared" si="182"/>
        <v>361.11413932192301</v>
      </c>
    </row>
    <row r="3877" spans="1:6" x14ac:dyDescent="0.25">
      <c r="A3877" s="10">
        <v>42431</v>
      </c>
      <c r="B3877" s="12">
        <f t="shared" si="180"/>
        <v>3</v>
      </c>
      <c r="C3877" s="12">
        <f t="shared" si="181"/>
        <v>2016</v>
      </c>
      <c r="D3877" s="13">
        <v>26500</v>
      </c>
      <c r="E3877" s="13">
        <v>73.369500000000002</v>
      </c>
      <c r="F3877" s="13">
        <f t="shared" si="182"/>
        <v>361.18550623896851</v>
      </c>
    </row>
    <row r="3878" spans="1:6" x14ac:dyDescent="0.25">
      <c r="A3878" s="10">
        <v>42432</v>
      </c>
      <c r="B3878" s="12">
        <f t="shared" si="180"/>
        <v>3</v>
      </c>
      <c r="C3878" s="12">
        <f t="shared" si="181"/>
        <v>2016</v>
      </c>
      <c r="D3878" s="13">
        <v>26500</v>
      </c>
      <c r="E3878" s="13">
        <v>72.968299999999999</v>
      </c>
      <c r="F3878" s="13">
        <f t="shared" si="182"/>
        <v>363.17140456883334</v>
      </c>
    </row>
    <row r="3879" spans="1:6" x14ac:dyDescent="0.25">
      <c r="A3879" s="10">
        <v>42433</v>
      </c>
      <c r="B3879" s="12">
        <f t="shared" si="180"/>
        <v>3</v>
      </c>
      <c r="C3879" s="12">
        <f t="shared" si="181"/>
        <v>2016</v>
      </c>
      <c r="D3879" s="13">
        <v>26500</v>
      </c>
      <c r="E3879" s="13">
        <v>71.920500000000004</v>
      </c>
      <c r="F3879" s="13">
        <f t="shared" si="182"/>
        <v>368.4623994549537</v>
      </c>
    </row>
    <row r="3880" spans="1:6" x14ac:dyDescent="0.25">
      <c r="A3880" s="10">
        <v>42436</v>
      </c>
      <c r="B3880" s="12">
        <f t="shared" si="180"/>
        <v>3</v>
      </c>
      <c r="C3880" s="12">
        <f t="shared" si="181"/>
        <v>2016</v>
      </c>
      <c r="D3880" s="13">
        <v>26350</v>
      </c>
      <c r="E3880" s="13">
        <v>71.352000000000004</v>
      </c>
      <c r="F3880" s="13">
        <f t="shared" si="182"/>
        <v>369.29588518892251</v>
      </c>
    </row>
    <row r="3881" spans="1:6" x14ac:dyDescent="0.25">
      <c r="A3881" s="10">
        <v>42437</v>
      </c>
      <c r="B3881" s="12">
        <f t="shared" si="180"/>
        <v>3</v>
      </c>
      <c r="C3881" s="12">
        <f t="shared" si="181"/>
        <v>2016</v>
      </c>
      <c r="D3881" s="13">
        <v>26350</v>
      </c>
      <c r="E3881" s="13">
        <v>73.007499999999993</v>
      </c>
      <c r="F3881" s="13">
        <f t="shared" si="182"/>
        <v>360.92182310036645</v>
      </c>
    </row>
    <row r="3882" spans="1:6" x14ac:dyDescent="0.25">
      <c r="A3882" s="10">
        <v>42438</v>
      </c>
      <c r="B3882" s="12">
        <f t="shared" si="180"/>
        <v>3</v>
      </c>
      <c r="C3882" s="12">
        <f t="shared" si="181"/>
        <v>2016</v>
      </c>
      <c r="D3882" s="13">
        <v>26350</v>
      </c>
      <c r="E3882" s="13">
        <v>71.094499999999996</v>
      </c>
      <c r="F3882" s="13">
        <f t="shared" si="182"/>
        <v>370.63345265808186</v>
      </c>
    </row>
    <row r="3883" spans="1:6" x14ac:dyDescent="0.25">
      <c r="A3883" s="10">
        <v>42439</v>
      </c>
      <c r="B3883" s="12">
        <f t="shared" si="180"/>
        <v>3</v>
      </c>
      <c r="C3883" s="12">
        <f t="shared" si="181"/>
        <v>2016</v>
      </c>
      <c r="D3883" s="13">
        <v>26350</v>
      </c>
      <c r="E3883" s="13">
        <v>71.458500000000001</v>
      </c>
      <c r="F3883" s="13">
        <f t="shared" si="182"/>
        <v>368.74549563732796</v>
      </c>
    </row>
    <row r="3884" spans="1:6" x14ac:dyDescent="0.25">
      <c r="A3884" s="10">
        <v>42440</v>
      </c>
      <c r="B3884" s="12">
        <f t="shared" si="180"/>
        <v>3</v>
      </c>
      <c r="C3884" s="12">
        <f t="shared" si="181"/>
        <v>2016</v>
      </c>
      <c r="D3884" s="13">
        <v>26350</v>
      </c>
      <c r="E3884" s="13">
        <v>69.864199999999997</v>
      </c>
      <c r="F3884" s="13">
        <f t="shared" si="182"/>
        <v>377.1602623375062</v>
      </c>
    </row>
    <row r="3885" spans="1:6" x14ac:dyDescent="0.25">
      <c r="A3885" s="10">
        <v>42443</v>
      </c>
      <c r="B3885" s="12">
        <f t="shared" si="180"/>
        <v>3</v>
      </c>
      <c r="C3885" s="12">
        <f t="shared" si="181"/>
        <v>2016</v>
      </c>
      <c r="D3885" s="13">
        <v>25600</v>
      </c>
      <c r="E3885" s="13">
        <v>69.970500000000001</v>
      </c>
      <c r="F3885" s="13">
        <f t="shared" si="182"/>
        <v>365.86847314225281</v>
      </c>
    </row>
    <row r="3886" spans="1:6" x14ac:dyDescent="0.25">
      <c r="A3886" s="10">
        <v>42444</v>
      </c>
      <c r="B3886" s="12">
        <f t="shared" si="180"/>
        <v>3</v>
      </c>
      <c r="C3886" s="12">
        <f t="shared" si="181"/>
        <v>2016</v>
      </c>
      <c r="D3886" s="13">
        <v>25600</v>
      </c>
      <c r="E3886" s="13">
        <v>70.870500000000007</v>
      </c>
      <c r="F3886" s="13">
        <f t="shared" si="182"/>
        <v>361.22222927734384</v>
      </c>
    </row>
    <row r="3887" spans="1:6" x14ac:dyDescent="0.25">
      <c r="A3887" s="10">
        <v>42445</v>
      </c>
      <c r="B3887" s="12">
        <f t="shared" si="180"/>
        <v>3</v>
      </c>
      <c r="C3887" s="12">
        <f t="shared" si="181"/>
        <v>2016</v>
      </c>
      <c r="D3887" s="13">
        <v>25600</v>
      </c>
      <c r="E3887" s="13">
        <v>69.232500000000002</v>
      </c>
      <c r="F3887" s="13">
        <f t="shared" si="182"/>
        <v>369.76853356443866</v>
      </c>
    </row>
    <row r="3888" spans="1:6" x14ac:dyDescent="0.25">
      <c r="A3888" s="10">
        <v>42446</v>
      </c>
      <c r="B3888" s="12">
        <f t="shared" si="180"/>
        <v>3</v>
      </c>
      <c r="C3888" s="12">
        <f t="shared" si="181"/>
        <v>2016</v>
      </c>
      <c r="D3888" s="13">
        <v>25600</v>
      </c>
      <c r="E3888" s="13">
        <v>68.152000000000001</v>
      </c>
      <c r="F3888" s="13">
        <f t="shared" si="182"/>
        <v>375.63094259889658</v>
      </c>
    </row>
    <row r="3889" spans="1:6" x14ac:dyDescent="0.25">
      <c r="A3889" s="10">
        <v>42447</v>
      </c>
      <c r="B3889" s="12">
        <f t="shared" si="180"/>
        <v>3</v>
      </c>
      <c r="C3889" s="12">
        <f t="shared" si="181"/>
        <v>2016</v>
      </c>
      <c r="D3889" s="13">
        <v>25600</v>
      </c>
      <c r="E3889" s="13">
        <v>68.495500000000007</v>
      </c>
      <c r="F3889" s="13">
        <f t="shared" si="182"/>
        <v>373.74718047170978</v>
      </c>
    </row>
    <row r="3890" spans="1:6" x14ac:dyDescent="0.25">
      <c r="A3890" s="10">
        <v>42450</v>
      </c>
      <c r="B3890" s="12">
        <f t="shared" si="180"/>
        <v>3</v>
      </c>
      <c r="C3890" s="12">
        <f t="shared" si="181"/>
        <v>2016</v>
      </c>
      <c r="D3890" s="13">
        <v>25000</v>
      </c>
      <c r="E3890" s="13">
        <v>67.814999999999998</v>
      </c>
      <c r="F3890" s="13">
        <f t="shared" si="182"/>
        <v>368.65000368650004</v>
      </c>
    </row>
    <row r="3891" spans="1:6" x14ac:dyDescent="0.25">
      <c r="A3891" s="10">
        <v>42451</v>
      </c>
      <c r="B3891" s="12">
        <f t="shared" si="180"/>
        <v>3</v>
      </c>
      <c r="C3891" s="12">
        <f t="shared" si="181"/>
        <v>2016</v>
      </c>
      <c r="D3891" s="13">
        <v>25000</v>
      </c>
      <c r="E3891" s="13">
        <v>67.254499999999993</v>
      </c>
      <c r="F3891" s="13">
        <f t="shared" si="182"/>
        <v>371.72233828219674</v>
      </c>
    </row>
    <row r="3892" spans="1:6" x14ac:dyDescent="0.25">
      <c r="A3892" s="10">
        <v>42452</v>
      </c>
      <c r="B3892" s="12">
        <f t="shared" si="180"/>
        <v>3</v>
      </c>
      <c r="C3892" s="12">
        <f t="shared" si="181"/>
        <v>2016</v>
      </c>
      <c r="D3892" s="13">
        <v>25000</v>
      </c>
      <c r="E3892" s="13">
        <v>68.660499999999999</v>
      </c>
      <c r="F3892" s="13">
        <f t="shared" si="182"/>
        <v>364.11036913509224</v>
      </c>
    </row>
    <row r="3893" spans="1:6" x14ac:dyDescent="0.25">
      <c r="A3893" s="10">
        <v>42453</v>
      </c>
      <c r="B3893" s="12">
        <f t="shared" si="180"/>
        <v>3</v>
      </c>
      <c r="C3893" s="12">
        <f t="shared" si="181"/>
        <v>2016</v>
      </c>
      <c r="D3893" s="13">
        <v>25000</v>
      </c>
      <c r="E3893" s="13">
        <v>68.917299999999997</v>
      </c>
      <c r="F3893" s="13">
        <f t="shared" si="182"/>
        <v>362.75361919285871</v>
      </c>
    </row>
    <row r="3894" spans="1:6" x14ac:dyDescent="0.25">
      <c r="A3894" s="10">
        <v>42457</v>
      </c>
      <c r="B3894" s="12">
        <f t="shared" si="180"/>
        <v>3</v>
      </c>
      <c r="C3894" s="12">
        <f t="shared" si="181"/>
        <v>2016</v>
      </c>
      <c r="D3894" s="13">
        <v>24900</v>
      </c>
      <c r="E3894" s="13">
        <v>68.725999999999999</v>
      </c>
      <c r="F3894" s="13">
        <f t="shared" si="182"/>
        <v>362.30829671448942</v>
      </c>
    </row>
    <row r="3895" spans="1:6" x14ac:dyDescent="0.25">
      <c r="A3895" s="10">
        <v>42458</v>
      </c>
      <c r="B3895" s="12">
        <f t="shared" si="180"/>
        <v>3</v>
      </c>
      <c r="C3895" s="12">
        <f t="shared" si="181"/>
        <v>2016</v>
      </c>
      <c r="D3895" s="13">
        <v>24900</v>
      </c>
      <c r="E3895" s="13">
        <v>68.3095</v>
      </c>
      <c r="F3895" s="13">
        <f t="shared" si="182"/>
        <v>364.51738045220651</v>
      </c>
    </row>
    <row r="3896" spans="1:6" x14ac:dyDescent="0.25">
      <c r="A3896" s="10">
        <v>42459</v>
      </c>
      <c r="B3896" s="12">
        <f t="shared" si="180"/>
        <v>3</v>
      </c>
      <c r="C3896" s="12">
        <f t="shared" si="181"/>
        <v>2016</v>
      </c>
      <c r="D3896" s="13">
        <v>24900</v>
      </c>
      <c r="E3896" s="13">
        <v>68.289000000000001</v>
      </c>
      <c r="F3896" s="13">
        <f t="shared" si="182"/>
        <v>364.62680665993059</v>
      </c>
    </row>
    <row r="3897" spans="1:6" x14ac:dyDescent="0.25">
      <c r="A3897" s="10">
        <v>42460</v>
      </c>
      <c r="B3897" s="12">
        <f t="shared" si="180"/>
        <v>3</v>
      </c>
      <c r="C3897" s="12">
        <f t="shared" si="181"/>
        <v>2016</v>
      </c>
      <c r="D3897" s="13">
        <v>24900</v>
      </c>
      <c r="E3897" s="13">
        <v>66.968800000000002</v>
      </c>
      <c r="F3897" s="13">
        <f t="shared" si="182"/>
        <v>371.81493471586765</v>
      </c>
    </row>
    <row r="3898" spans="1:6" x14ac:dyDescent="0.25">
      <c r="A3898" s="10">
        <v>42461</v>
      </c>
      <c r="B3898" s="12">
        <f t="shared" si="180"/>
        <v>4</v>
      </c>
      <c r="C3898" s="12">
        <f t="shared" si="181"/>
        <v>2016</v>
      </c>
      <c r="D3898" s="13">
        <v>24900</v>
      </c>
      <c r="E3898" s="13">
        <v>67.635000000000005</v>
      </c>
      <c r="F3898" s="13">
        <f t="shared" si="182"/>
        <v>368.15258372144598</v>
      </c>
    </row>
    <row r="3899" spans="1:6" x14ac:dyDescent="0.25">
      <c r="A3899" s="10">
        <v>42464</v>
      </c>
      <c r="B3899" s="12">
        <f t="shared" si="180"/>
        <v>4</v>
      </c>
      <c r="C3899" s="12">
        <f t="shared" si="181"/>
        <v>2016</v>
      </c>
      <c r="D3899" s="13">
        <v>24900</v>
      </c>
      <c r="E3899" s="13">
        <v>68.549499999999995</v>
      </c>
      <c r="F3899" s="13">
        <f t="shared" si="182"/>
        <v>363.24116149643692</v>
      </c>
    </row>
    <row r="3900" spans="1:6" x14ac:dyDescent="0.25">
      <c r="A3900" s="10">
        <v>42465</v>
      </c>
      <c r="B3900" s="12">
        <f t="shared" si="180"/>
        <v>4</v>
      </c>
      <c r="C3900" s="12">
        <f t="shared" si="181"/>
        <v>2016</v>
      </c>
      <c r="D3900" s="13">
        <v>24900</v>
      </c>
      <c r="E3900" s="13">
        <v>68.516499999999994</v>
      </c>
      <c r="F3900" s="13">
        <f t="shared" si="182"/>
        <v>363.41611144760753</v>
      </c>
    </row>
    <row r="3901" spans="1:6" x14ac:dyDescent="0.25">
      <c r="A3901" s="10">
        <v>42466</v>
      </c>
      <c r="B3901" s="12">
        <f t="shared" si="180"/>
        <v>4</v>
      </c>
      <c r="C3901" s="12">
        <f t="shared" si="181"/>
        <v>2016</v>
      </c>
      <c r="D3901" s="13">
        <v>24900</v>
      </c>
      <c r="E3901" s="13">
        <v>67.731800000000007</v>
      </c>
      <c r="F3901" s="13">
        <f t="shared" si="182"/>
        <v>367.62643248813697</v>
      </c>
    </row>
    <row r="3902" spans="1:6" x14ac:dyDescent="0.25">
      <c r="A3902" s="10">
        <v>42467</v>
      </c>
      <c r="B3902" s="12">
        <f t="shared" si="180"/>
        <v>4</v>
      </c>
      <c r="C3902" s="12">
        <f t="shared" si="181"/>
        <v>2016</v>
      </c>
      <c r="D3902" s="13">
        <v>24900</v>
      </c>
      <c r="E3902" s="13">
        <v>68.14</v>
      </c>
      <c r="F3902" s="13">
        <f t="shared" si="182"/>
        <v>365.4241267977693</v>
      </c>
    </row>
    <row r="3903" spans="1:6" x14ac:dyDescent="0.25">
      <c r="A3903" s="10">
        <v>42468</v>
      </c>
      <c r="B3903" s="12">
        <f t="shared" si="180"/>
        <v>4</v>
      </c>
      <c r="C3903" s="12">
        <f t="shared" si="181"/>
        <v>2016</v>
      </c>
      <c r="D3903" s="13">
        <v>24900</v>
      </c>
      <c r="E3903" s="13">
        <v>67.129300000000001</v>
      </c>
      <c r="F3903" s="13">
        <f t="shared" si="182"/>
        <v>370.92595930540017</v>
      </c>
    </row>
    <row r="3904" spans="1:6" x14ac:dyDescent="0.25">
      <c r="A3904" s="10">
        <v>42471</v>
      </c>
      <c r="B3904" s="12">
        <f t="shared" si="180"/>
        <v>4</v>
      </c>
      <c r="C3904" s="12">
        <f t="shared" si="181"/>
        <v>2016</v>
      </c>
      <c r="D3904" s="13">
        <v>24500</v>
      </c>
      <c r="E3904" s="13">
        <v>66.645499999999998</v>
      </c>
      <c r="F3904" s="13">
        <f t="shared" si="182"/>
        <v>367.61671830806284</v>
      </c>
    </row>
    <row r="3905" spans="1:6" x14ac:dyDescent="0.25">
      <c r="A3905" s="10">
        <v>42472</v>
      </c>
      <c r="B3905" s="12">
        <f t="shared" si="180"/>
        <v>4</v>
      </c>
      <c r="C3905" s="12">
        <f t="shared" si="181"/>
        <v>2016</v>
      </c>
      <c r="D3905" s="13">
        <v>24500</v>
      </c>
      <c r="E3905" s="13">
        <v>65.649500000000003</v>
      </c>
      <c r="F3905" s="13">
        <f t="shared" si="182"/>
        <v>373.19400757050698</v>
      </c>
    </row>
    <row r="3906" spans="1:6" x14ac:dyDescent="0.25">
      <c r="A3906" s="10">
        <v>42473</v>
      </c>
      <c r="B3906" s="12">
        <f t="shared" si="180"/>
        <v>4</v>
      </c>
      <c r="C3906" s="12">
        <f t="shared" si="181"/>
        <v>2016</v>
      </c>
      <c r="D3906" s="13">
        <v>24500</v>
      </c>
      <c r="E3906" s="13">
        <v>66.215500000000006</v>
      </c>
      <c r="F3906" s="13">
        <f t="shared" si="182"/>
        <v>370.00400208410412</v>
      </c>
    </row>
    <row r="3907" spans="1:6" x14ac:dyDescent="0.25">
      <c r="A3907" s="10">
        <v>42474</v>
      </c>
      <c r="B3907" s="12">
        <f t="shared" ref="B3907:B3970" si="183">MONTH(A3907)</f>
        <v>4</v>
      </c>
      <c r="C3907" s="12">
        <f t="shared" ref="C3907:C3970" si="184">YEAR(A3907)</f>
        <v>2016</v>
      </c>
      <c r="D3907" s="13">
        <v>24500</v>
      </c>
      <c r="E3907" s="13">
        <v>65.966200000000001</v>
      </c>
      <c r="F3907" s="13">
        <f t="shared" ref="F3907:F3970" si="185">IF(D3907="","",D3907/E3907)</f>
        <v>371.40232422058568</v>
      </c>
    </row>
    <row r="3908" spans="1:6" x14ac:dyDescent="0.25">
      <c r="A3908" s="10">
        <v>42475</v>
      </c>
      <c r="B3908" s="12">
        <f t="shared" si="183"/>
        <v>4</v>
      </c>
      <c r="C3908" s="12">
        <f t="shared" si="184"/>
        <v>2016</v>
      </c>
      <c r="D3908" s="13">
        <v>24500</v>
      </c>
      <c r="E3908" s="13">
        <v>66.412499999999994</v>
      </c>
      <c r="F3908" s="13">
        <f t="shared" si="185"/>
        <v>368.90645586297762</v>
      </c>
    </row>
    <row r="3909" spans="1:6" x14ac:dyDescent="0.25">
      <c r="A3909" s="10">
        <v>42478</v>
      </c>
      <c r="B3909" s="12">
        <f t="shared" si="183"/>
        <v>4</v>
      </c>
      <c r="C3909" s="12">
        <f t="shared" si="184"/>
        <v>2016</v>
      </c>
      <c r="D3909" s="13">
        <v>24000</v>
      </c>
      <c r="E3909" s="13">
        <v>66.171999999999997</v>
      </c>
      <c r="F3909" s="13">
        <f t="shared" si="185"/>
        <v>362.69116847004778</v>
      </c>
    </row>
    <row r="3910" spans="1:6" x14ac:dyDescent="0.25">
      <c r="A3910" s="10">
        <v>42479</v>
      </c>
      <c r="B3910" s="12">
        <f t="shared" si="183"/>
        <v>4</v>
      </c>
      <c r="C3910" s="12">
        <f t="shared" si="184"/>
        <v>2016</v>
      </c>
      <c r="D3910" s="13">
        <v>24000</v>
      </c>
      <c r="E3910" s="13">
        <v>65.844499999999996</v>
      </c>
      <c r="F3910" s="13">
        <f t="shared" si="185"/>
        <v>364.49513626802542</v>
      </c>
    </row>
    <row r="3911" spans="1:6" x14ac:dyDescent="0.25">
      <c r="A3911" s="10">
        <v>42480</v>
      </c>
      <c r="B3911" s="12">
        <f t="shared" si="183"/>
        <v>4</v>
      </c>
      <c r="C3911" s="12">
        <f t="shared" si="184"/>
        <v>2016</v>
      </c>
      <c r="D3911" s="13">
        <v>24000</v>
      </c>
      <c r="E3911" s="13">
        <v>65.113500000000002</v>
      </c>
      <c r="F3911" s="13">
        <f t="shared" si="185"/>
        <v>368.58715934483632</v>
      </c>
    </row>
    <row r="3912" spans="1:6" x14ac:dyDescent="0.25">
      <c r="A3912" s="10">
        <v>42481</v>
      </c>
      <c r="B3912" s="12">
        <f t="shared" si="183"/>
        <v>4</v>
      </c>
      <c r="C3912" s="12">
        <f t="shared" si="184"/>
        <v>2016</v>
      </c>
      <c r="D3912" s="13">
        <v>24000</v>
      </c>
      <c r="E3912" s="13">
        <v>66.7881</v>
      </c>
      <c r="F3912" s="13">
        <f t="shared" si="185"/>
        <v>359.34545225871074</v>
      </c>
    </row>
    <row r="3913" spans="1:6" x14ac:dyDescent="0.25">
      <c r="A3913" s="10">
        <v>42482</v>
      </c>
      <c r="B3913" s="12">
        <f t="shared" si="183"/>
        <v>4</v>
      </c>
      <c r="C3913" s="12">
        <f t="shared" si="184"/>
        <v>2016</v>
      </c>
      <c r="D3913" s="13">
        <v>24000</v>
      </c>
      <c r="E3913" s="13">
        <v>66.370500000000007</v>
      </c>
      <c r="F3913" s="13">
        <f t="shared" si="185"/>
        <v>361.60643659457133</v>
      </c>
    </row>
    <row r="3914" spans="1:6" x14ac:dyDescent="0.25">
      <c r="A3914" s="10">
        <v>42485</v>
      </c>
      <c r="B3914" s="12">
        <f t="shared" si="183"/>
        <v>4</v>
      </c>
      <c r="C3914" s="12">
        <f t="shared" si="184"/>
        <v>2016</v>
      </c>
      <c r="D3914" s="13">
        <v>23500</v>
      </c>
      <c r="E3914" s="13">
        <v>66.529499999999999</v>
      </c>
      <c r="F3914" s="13">
        <f t="shared" si="185"/>
        <v>353.22676406706802</v>
      </c>
    </row>
    <row r="3915" spans="1:6" x14ac:dyDescent="0.25">
      <c r="A3915" s="10">
        <v>42486</v>
      </c>
      <c r="B3915" s="12">
        <f t="shared" si="183"/>
        <v>4</v>
      </c>
      <c r="C3915" s="12">
        <f t="shared" si="184"/>
        <v>2016</v>
      </c>
      <c r="D3915" s="13">
        <v>23500</v>
      </c>
      <c r="E3915" s="13">
        <v>65.219099999999997</v>
      </c>
      <c r="F3915" s="13">
        <f t="shared" si="185"/>
        <v>360.32389284734074</v>
      </c>
    </row>
    <row r="3916" spans="1:6" x14ac:dyDescent="0.25">
      <c r="A3916" s="10">
        <v>42487</v>
      </c>
      <c r="B3916" s="12">
        <f t="shared" si="183"/>
        <v>4</v>
      </c>
      <c r="C3916" s="12">
        <f t="shared" si="184"/>
        <v>2016</v>
      </c>
      <c r="D3916" s="13">
        <v>23500</v>
      </c>
      <c r="E3916" s="13">
        <v>65.194500000000005</v>
      </c>
      <c r="F3916" s="13">
        <f t="shared" si="185"/>
        <v>360.45985474234789</v>
      </c>
    </row>
    <row r="3917" spans="1:6" x14ac:dyDescent="0.25">
      <c r="A3917" s="10">
        <v>42488</v>
      </c>
      <c r="B3917" s="12">
        <f t="shared" si="183"/>
        <v>4</v>
      </c>
      <c r="C3917" s="12">
        <f t="shared" si="184"/>
        <v>2016</v>
      </c>
      <c r="D3917" s="13">
        <v>23500</v>
      </c>
      <c r="E3917" s="13">
        <v>64.756100000000004</v>
      </c>
      <c r="F3917" s="13">
        <f t="shared" si="185"/>
        <v>362.90017465536062</v>
      </c>
    </row>
    <row r="3918" spans="1:6" x14ac:dyDescent="0.25">
      <c r="A3918" s="10">
        <v>42489</v>
      </c>
      <c r="B3918" s="12">
        <f t="shared" si="183"/>
        <v>4</v>
      </c>
      <c r="C3918" s="12">
        <f t="shared" si="184"/>
        <v>2016</v>
      </c>
      <c r="D3918" s="13">
        <v>23500</v>
      </c>
      <c r="E3918" s="13">
        <v>64.6905</v>
      </c>
      <c r="F3918" s="13">
        <f t="shared" si="185"/>
        <v>363.26817693478949</v>
      </c>
    </row>
    <row r="3919" spans="1:6" x14ac:dyDescent="0.25">
      <c r="A3919" s="10">
        <v>42492</v>
      </c>
      <c r="B3919" s="12">
        <f t="shared" si="183"/>
        <v>5</v>
      </c>
      <c r="C3919" s="12">
        <f t="shared" si="184"/>
        <v>2016</v>
      </c>
      <c r="D3919" s="13">
        <v>23500</v>
      </c>
      <c r="E3919" s="13">
        <v>65.170900000000003</v>
      </c>
      <c r="F3919" s="13">
        <f t="shared" si="185"/>
        <v>360.59038619997574</v>
      </c>
    </row>
    <row r="3920" spans="1:6" x14ac:dyDescent="0.25">
      <c r="A3920" s="10">
        <v>42493</v>
      </c>
      <c r="B3920" s="12">
        <f t="shared" si="183"/>
        <v>5</v>
      </c>
      <c r="C3920" s="12">
        <f t="shared" si="184"/>
        <v>2016</v>
      </c>
      <c r="D3920" s="13">
        <v>23500</v>
      </c>
      <c r="E3920" s="13">
        <v>66.421099999999996</v>
      </c>
      <c r="F3920" s="13">
        <f t="shared" si="185"/>
        <v>353.80323421322441</v>
      </c>
    </row>
    <row r="3921" spans="1:6" x14ac:dyDescent="0.25">
      <c r="A3921" s="10">
        <v>42494</v>
      </c>
      <c r="B3921" s="12">
        <f t="shared" si="183"/>
        <v>5</v>
      </c>
      <c r="C3921" s="12">
        <f t="shared" si="184"/>
        <v>2016</v>
      </c>
      <c r="D3921" s="13">
        <v>23500</v>
      </c>
      <c r="E3921" s="13">
        <v>66.619500000000002</v>
      </c>
      <c r="F3921" s="13">
        <f t="shared" si="185"/>
        <v>352.74957032100212</v>
      </c>
    </row>
    <row r="3922" spans="1:6" x14ac:dyDescent="0.25">
      <c r="A3922" s="10">
        <v>42495</v>
      </c>
      <c r="B3922" s="12">
        <f t="shared" si="183"/>
        <v>5</v>
      </c>
      <c r="C3922" s="12">
        <f t="shared" si="184"/>
        <v>2016</v>
      </c>
      <c r="D3922" s="13">
        <v>23500</v>
      </c>
      <c r="E3922" s="13">
        <v>65.877499999999998</v>
      </c>
      <c r="F3922" s="13">
        <f t="shared" si="185"/>
        <v>356.72270502068233</v>
      </c>
    </row>
    <row r="3923" spans="1:6" x14ac:dyDescent="0.25">
      <c r="A3923" s="10">
        <v>42496</v>
      </c>
      <c r="B3923" s="12">
        <f t="shared" si="183"/>
        <v>5</v>
      </c>
      <c r="C3923" s="12">
        <f t="shared" si="184"/>
        <v>2016</v>
      </c>
      <c r="D3923" s="13">
        <v>23500</v>
      </c>
      <c r="E3923" s="13">
        <v>65.849500000000006</v>
      </c>
      <c r="F3923" s="13">
        <f t="shared" si="185"/>
        <v>356.87438780856343</v>
      </c>
    </row>
    <row r="3924" spans="1:6" x14ac:dyDescent="0.25">
      <c r="A3924" s="10">
        <v>42499</v>
      </c>
      <c r="B3924" s="12">
        <f t="shared" si="183"/>
        <v>5</v>
      </c>
      <c r="C3924" s="12">
        <f t="shared" si="184"/>
        <v>2016</v>
      </c>
      <c r="D3924" s="13">
        <v>23500</v>
      </c>
      <c r="E3924" s="13">
        <v>66.580100000000002</v>
      </c>
      <c r="F3924" s="13">
        <f t="shared" si="185"/>
        <v>352.95831637381139</v>
      </c>
    </row>
    <row r="3925" spans="1:6" x14ac:dyDescent="0.25">
      <c r="A3925" s="10">
        <v>42500</v>
      </c>
      <c r="B3925" s="12">
        <f t="shared" si="183"/>
        <v>5</v>
      </c>
      <c r="C3925" s="12">
        <f t="shared" si="184"/>
        <v>2016</v>
      </c>
      <c r="D3925" s="13">
        <v>23500</v>
      </c>
      <c r="E3925" s="13">
        <v>66.166499999999999</v>
      </c>
      <c r="F3925" s="13">
        <f t="shared" si="185"/>
        <v>355.16462258091332</v>
      </c>
    </row>
    <row r="3926" spans="1:6" x14ac:dyDescent="0.25">
      <c r="A3926" s="10">
        <v>42501</v>
      </c>
      <c r="B3926" s="12">
        <f t="shared" si="183"/>
        <v>5</v>
      </c>
      <c r="C3926" s="12">
        <f t="shared" si="184"/>
        <v>2016</v>
      </c>
      <c r="D3926" s="13">
        <v>23500</v>
      </c>
      <c r="E3926" s="13">
        <v>64.873000000000005</v>
      </c>
      <c r="F3926" s="13">
        <f t="shared" si="185"/>
        <v>362.24623495136649</v>
      </c>
    </row>
    <row r="3927" spans="1:6" x14ac:dyDescent="0.25">
      <c r="A3927" s="10">
        <v>42502</v>
      </c>
      <c r="B3927" s="12">
        <f t="shared" si="183"/>
        <v>5</v>
      </c>
      <c r="C3927" s="12">
        <f t="shared" si="184"/>
        <v>2016</v>
      </c>
      <c r="D3927" s="13">
        <v>23500</v>
      </c>
      <c r="E3927" s="13">
        <v>64.711200000000005</v>
      </c>
      <c r="F3927" s="13">
        <f t="shared" si="185"/>
        <v>363.1519736923438</v>
      </c>
    </row>
    <row r="3928" spans="1:6" x14ac:dyDescent="0.25">
      <c r="A3928" s="10">
        <v>42503</v>
      </c>
      <c r="B3928" s="12">
        <f t="shared" si="183"/>
        <v>5</v>
      </c>
      <c r="C3928" s="12">
        <f t="shared" si="184"/>
        <v>2016</v>
      </c>
      <c r="D3928" s="13">
        <v>23500</v>
      </c>
      <c r="E3928" s="13">
        <v>65.525499999999994</v>
      </c>
      <c r="F3928" s="13">
        <f t="shared" si="185"/>
        <v>358.63900313618365</v>
      </c>
    </row>
    <row r="3929" spans="1:6" x14ac:dyDescent="0.25">
      <c r="A3929" s="10">
        <v>42506</v>
      </c>
      <c r="B3929" s="12">
        <f t="shared" si="183"/>
        <v>5</v>
      </c>
      <c r="C3929" s="12">
        <f t="shared" si="184"/>
        <v>2016</v>
      </c>
      <c r="D3929" s="13">
        <v>24000</v>
      </c>
      <c r="E3929" s="13">
        <v>64.890199999999993</v>
      </c>
      <c r="F3929" s="13">
        <f t="shared" si="185"/>
        <v>369.85554059010457</v>
      </c>
    </row>
    <row r="3930" spans="1:6" x14ac:dyDescent="0.25">
      <c r="A3930" s="10">
        <v>42507</v>
      </c>
      <c r="B3930" s="12">
        <f t="shared" si="183"/>
        <v>5</v>
      </c>
      <c r="C3930" s="12">
        <f t="shared" si="184"/>
        <v>2016</v>
      </c>
      <c r="D3930" s="13">
        <v>24000</v>
      </c>
      <c r="E3930" s="13">
        <v>64.785499999999999</v>
      </c>
      <c r="F3930" s="13">
        <f t="shared" si="185"/>
        <v>370.45326500528671</v>
      </c>
    </row>
    <row r="3931" spans="1:6" x14ac:dyDescent="0.25">
      <c r="A3931" s="10">
        <v>42508</v>
      </c>
      <c r="B3931" s="12">
        <f t="shared" si="183"/>
        <v>5</v>
      </c>
      <c r="C3931" s="12">
        <f t="shared" si="184"/>
        <v>2016</v>
      </c>
      <c r="D3931" s="13">
        <v>24000</v>
      </c>
      <c r="E3931" s="13">
        <v>65.983000000000004</v>
      </c>
      <c r="F3931" s="13">
        <f t="shared" si="185"/>
        <v>363.73005167997815</v>
      </c>
    </row>
    <row r="3932" spans="1:6" x14ac:dyDescent="0.25">
      <c r="A3932" s="10">
        <v>42509</v>
      </c>
      <c r="B3932" s="12">
        <f t="shared" si="183"/>
        <v>5</v>
      </c>
      <c r="C3932" s="12">
        <f t="shared" si="184"/>
        <v>2016</v>
      </c>
      <c r="D3932" s="13">
        <v>24000</v>
      </c>
      <c r="E3932" s="13">
        <v>66.719499999999996</v>
      </c>
      <c r="F3932" s="13">
        <f t="shared" si="185"/>
        <v>359.71492592120745</v>
      </c>
    </row>
    <row r="3933" spans="1:6" x14ac:dyDescent="0.25">
      <c r="A3933" s="10">
        <v>42510</v>
      </c>
      <c r="B3933" s="12">
        <f t="shared" si="183"/>
        <v>5</v>
      </c>
      <c r="C3933" s="12">
        <f t="shared" si="184"/>
        <v>2016</v>
      </c>
      <c r="D3933" s="13">
        <v>24000</v>
      </c>
      <c r="E3933" s="13">
        <v>66.731999999999999</v>
      </c>
      <c r="F3933" s="13">
        <f t="shared" si="185"/>
        <v>359.64754540550263</v>
      </c>
    </row>
    <row r="3934" spans="1:6" x14ac:dyDescent="0.25">
      <c r="A3934" s="10">
        <v>42513</v>
      </c>
      <c r="B3934" s="12">
        <f t="shared" si="183"/>
        <v>5</v>
      </c>
      <c r="C3934" s="12">
        <f t="shared" si="184"/>
        <v>2016</v>
      </c>
      <c r="D3934" s="13">
        <v>24250</v>
      </c>
      <c r="E3934" s="13">
        <v>66.787999999999997</v>
      </c>
      <c r="F3934" s="13">
        <f t="shared" si="185"/>
        <v>363.08917769659223</v>
      </c>
    </row>
    <row r="3935" spans="1:6" x14ac:dyDescent="0.25">
      <c r="A3935" s="10">
        <v>42514</v>
      </c>
      <c r="B3935" s="12">
        <f t="shared" si="183"/>
        <v>5</v>
      </c>
      <c r="C3935" s="12">
        <f t="shared" si="184"/>
        <v>2016</v>
      </c>
      <c r="D3935" s="13">
        <v>24250</v>
      </c>
      <c r="E3935" s="13">
        <v>65.972499999999997</v>
      </c>
      <c r="F3935" s="13">
        <f t="shared" si="185"/>
        <v>367.57739967410663</v>
      </c>
    </row>
    <row r="3936" spans="1:6" x14ac:dyDescent="0.25">
      <c r="A3936" s="10">
        <v>42515</v>
      </c>
      <c r="B3936" s="12">
        <f t="shared" si="183"/>
        <v>5</v>
      </c>
      <c r="C3936" s="12">
        <f t="shared" si="184"/>
        <v>2016</v>
      </c>
      <c r="D3936" s="13">
        <v>24250</v>
      </c>
      <c r="E3936" s="13">
        <v>65.409300000000002</v>
      </c>
      <c r="F3936" s="13">
        <f t="shared" si="185"/>
        <v>370.74238678597692</v>
      </c>
    </row>
    <row r="3937" spans="1:6" x14ac:dyDescent="0.25">
      <c r="A3937" s="10">
        <v>42516</v>
      </c>
      <c r="B3937" s="12">
        <f t="shared" si="183"/>
        <v>5</v>
      </c>
      <c r="C3937" s="12">
        <f t="shared" si="184"/>
        <v>2016</v>
      </c>
      <c r="D3937" s="13">
        <v>24250</v>
      </c>
      <c r="E3937" s="13">
        <v>65.860900000000001</v>
      </c>
      <c r="F3937" s="13">
        <f t="shared" si="185"/>
        <v>368.20025235002862</v>
      </c>
    </row>
    <row r="3938" spans="1:6" x14ac:dyDescent="0.25">
      <c r="A3938" s="10">
        <v>42517</v>
      </c>
      <c r="B3938" s="12">
        <f t="shared" si="183"/>
        <v>5</v>
      </c>
      <c r="C3938" s="12">
        <f t="shared" si="184"/>
        <v>2016</v>
      </c>
      <c r="D3938" s="13">
        <v>24250</v>
      </c>
      <c r="E3938" s="13">
        <v>65.8155</v>
      </c>
      <c r="F3938" s="13">
        <f t="shared" si="185"/>
        <v>368.45423950285266</v>
      </c>
    </row>
    <row r="3939" spans="1:6" x14ac:dyDescent="0.25">
      <c r="A3939" s="10">
        <v>42521</v>
      </c>
      <c r="B3939" s="12">
        <f t="shared" si="183"/>
        <v>5</v>
      </c>
      <c r="C3939" s="12">
        <f t="shared" si="184"/>
        <v>2016</v>
      </c>
      <c r="D3939" s="13">
        <v>24500</v>
      </c>
      <c r="E3939" s="13">
        <v>66.755799999999994</v>
      </c>
      <c r="F3939" s="13">
        <f t="shared" si="185"/>
        <v>367.00930855446273</v>
      </c>
    </row>
    <row r="3940" spans="1:6" x14ac:dyDescent="0.25">
      <c r="A3940" s="10">
        <v>42522</v>
      </c>
      <c r="B3940" s="12">
        <f t="shared" si="183"/>
        <v>6</v>
      </c>
      <c r="C3940" s="12">
        <f t="shared" si="184"/>
        <v>2016</v>
      </c>
      <c r="D3940" s="13">
        <v>24500</v>
      </c>
      <c r="E3940" s="13">
        <v>66.921700000000001</v>
      </c>
      <c r="F3940" s="13">
        <f t="shared" si="185"/>
        <v>366.0994864147205</v>
      </c>
    </row>
    <row r="3941" spans="1:6" x14ac:dyDescent="0.25">
      <c r="A3941" s="10">
        <v>42523</v>
      </c>
      <c r="B3941" s="12">
        <f t="shared" si="183"/>
        <v>6</v>
      </c>
      <c r="C3941" s="12">
        <f t="shared" si="184"/>
        <v>2016</v>
      </c>
      <c r="D3941" s="13">
        <v>24500</v>
      </c>
      <c r="E3941" s="13">
        <v>66.924300000000002</v>
      </c>
      <c r="F3941" s="13">
        <f t="shared" si="185"/>
        <v>366.08526349920731</v>
      </c>
    </row>
    <row r="3942" spans="1:6" x14ac:dyDescent="0.25">
      <c r="A3942" s="10">
        <v>42524</v>
      </c>
      <c r="B3942" s="12">
        <f t="shared" si="183"/>
        <v>6</v>
      </c>
      <c r="C3942" s="12">
        <f t="shared" si="184"/>
        <v>2016</v>
      </c>
      <c r="D3942" s="13">
        <v>24500</v>
      </c>
      <c r="E3942" s="13">
        <v>65.610500000000002</v>
      </c>
      <c r="F3942" s="13">
        <f t="shared" si="185"/>
        <v>373.41584045236658</v>
      </c>
    </row>
    <row r="3943" spans="1:6" x14ac:dyDescent="0.25">
      <c r="A3943" s="10">
        <v>42527</v>
      </c>
      <c r="B3943" s="12">
        <f t="shared" si="183"/>
        <v>6</v>
      </c>
      <c r="C3943" s="12">
        <f t="shared" si="184"/>
        <v>2016</v>
      </c>
      <c r="D3943" s="13">
        <v>25700</v>
      </c>
      <c r="E3943" s="13">
        <v>65.244500000000002</v>
      </c>
      <c r="F3943" s="13">
        <f t="shared" si="185"/>
        <v>393.90293434695644</v>
      </c>
    </row>
    <row r="3944" spans="1:6" x14ac:dyDescent="0.25">
      <c r="A3944" s="10">
        <v>42528</v>
      </c>
      <c r="B3944" s="12">
        <f t="shared" si="183"/>
        <v>6</v>
      </c>
      <c r="C3944" s="12">
        <f t="shared" si="184"/>
        <v>2016</v>
      </c>
      <c r="D3944" s="13">
        <v>25700</v>
      </c>
      <c r="E3944" s="13">
        <v>64.645499999999998</v>
      </c>
      <c r="F3944" s="13">
        <f t="shared" si="185"/>
        <v>397.55280723329543</v>
      </c>
    </row>
    <row r="3945" spans="1:6" x14ac:dyDescent="0.25">
      <c r="A3945" s="10">
        <v>42529</v>
      </c>
      <c r="B3945" s="12">
        <f t="shared" si="183"/>
        <v>6</v>
      </c>
      <c r="C3945" s="12">
        <f t="shared" si="184"/>
        <v>2016</v>
      </c>
      <c r="D3945" s="13">
        <v>25700</v>
      </c>
      <c r="E3945" s="13">
        <v>63.603299999999997</v>
      </c>
      <c r="F3945" s="13">
        <f t="shared" si="185"/>
        <v>404.06708456951134</v>
      </c>
    </row>
    <row r="3946" spans="1:6" x14ac:dyDescent="0.25">
      <c r="A3946" s="10">
        <v>42530</v>
      </c>
      <c r="B3946" s="12">
        <f t="shared" si="183"/>
        <v>6</v>
      </c>
      <c r="C3946" s="12">
        <f t="shared" si="184"/>
        <v>2016</v>
      </c>
      <c r="D3946" s="13">
        <v>25700</v>
      </c>
      <c r="E3946" s="13">
        <v>64.308000000000007</v>
      </c>
      <c r="F3946" s="13">
        <f t="shared" si="185"/>
        <v>399.63923617590342</v>
      </c>
    </row>
    <row r="3947" spans="1:6" x14ac:dyDescent="0.25">
      <c r="A3947" s="10">
        <v>42531</v>
      </c>
      <c r="B3947" s="12">
        <f t="shared" si="183"/>
        <v>6</v>
      </c>
      <c r="C3947" s="12">
        <f t="shared" si="184"/>
        <v>2016</v>
      </c>
      <c r="D3947" s="13">
        <v>25700</v>
      </c>
      <c r="E3947" s="13">
        <v>65.236999999999995</v>
      </c>
      <c r="F3947" s="13">
        <f t="shared" si="185"/>
        <v>393.94821956864973</v>
      </c>
    </row>
    <row r="3948" spans="1:6" x14ac:dyDescent="0.25">
      <c r="A3948" s="10">
        <v>42534</v>
      </c>
      <c r="B3948" s="12">
        <f t="shared" si="183"/>
        <v>6</v>
      </c>
      <c r="C3948" s="12">
        <f t="shared" si="184"/>
        <v>2016</v>
      </c>
      <c r="D3948" s="13">
        <v>26000</v>
      </c>
      <c r="E3948" s="13">
        <v>65.600499999999997</v>
      </c>
      <c r="F3948" s="13">
        <f t="shared" si="185"/>
        <v>396.33844254235868</v>
      </c>
    </row>
    <row r="3949" spans="1:6" x14ac:dyDescent="0.25">
      <c r="A3949" s="10">
        <v>42535</v>
      </c>
      <c r="B3949" s="12">
        <f t="shared" si="183"/>
        <v>6</v>
      </c>
      <c r="C3949" s="12">
        <f t="shared" si="184"/>
        <v>2016</v>
      </c>
      <c r="D3949" s="13">
        <v>26000</v>
      </c>
      <c r="E3949" s="13">
        <v>66.055999999999997</v>
      </c>
      <c r="F3949" s="13">
        <f t="shared" si="185"/>
        <v>393.60542569940657</v>
      </c>
    </row>
    <row r="3950" spans="1:6" x14ac:dyDescent="0.25">
      <c r="A3950" s="10">
        <v>42536</v>
      </c>
      <c r="B3950" s="12">
        <f t="shared" si="183"/>
        <v>6</v>
      </c>
      <c r="C3950" s="12">
        <f t="shared" si="184"/>
        <v>2016</v>
      </c>
      <c r="D3950" s="13">
        <v>26000</v>
      </c>
      <c r="E3950" s="13">
        <v>65.513000000000005</v>
      </c>
      <c r="F3950" s="13">
        <f t="shared" si="185"/>
        <v>396.8677972310839</v>
      </c>
    </row>
    <row r="3951" spans="1:6" x14ac:dyDescent="0.25">
      <c r="A3951" s="10">
        <v>42537</v>
      </c>
      <c r="B3951" s="12">
        <f t="shared" si="183"/>
        <v>6</v>
      </c>
      <c r="C3951" s="12">
        <f t="shared" si="184"/>
        <v>2016</v>
      </c>
      <c r="D3951" s="13">
        <v>26000</v>
      </c>
      <c r="E3951" s="13">
        <v>65.744299999999996</v>
      </c>
      <c r="F3951" s="13">
        <f t="shared" si="185"/>
        <v>395.47154658274559</v>
      </c>
    </row>
    <row r="3952" spans="1:6" x14ac:dyDescent="0.25">
      <c r="A3952" s="10">
        <v>42538</v>
      </c>
      <c r="B3952" s="12">
        <f t="shared" si="183"/>
        <v>6</v>
      </c>
      <c r="C3952" s="12">
        <f t="shared" si="184"/>
        <v>2016</v>
      </c>
      <c r="D3952" s="13">
        <v>26000</v>
      </c>
      <c r="E3952" s="13">
        <v>64.745599999999996</v>
      </c>
      <c r="F3952" s="13">
        <f t="shared" si="185"/>
        <v>401.57168981367079</v>
      </c>
    </row>
    <row r="3953" spans="1:6" x14ac:dyDescent="0.25">
      <c r="A3953" s="10">
        <v>42541</v>
      </c>
      <c r="B3953" s="12">
        <f t="shared" si="183"/>
        <v>6</v>
      </c>
      <c r="C3953" s="12">
        <f t="shared" si="184"/>
        <v>2016</v>
      </c>
      <c r="D3953" s="13">
        <v>25500</v>
      </c>
      <c r="E3953" s="13">
        <v>64.201599999999999</v>
      </c>
      <c r="F3953" s="13">
        <f t="shared" si="185"/>
        <v>397.18636295668642</v>
      </c>
    </row>
    <row r="3954" spans="1:6" x14ac:dyDescent="0.25">
      <c r="A3954" s="10">
        <v>42542</v>
      </c>
      <c r="B3954" s="12">
        <f t="shared" si="183"/>
        <v>6</v>
      </c>
      <c r="C3954" s="12">
        <f t="shared" si="184"/>
        <v>2016</v>
      </c>
      <c r="D3954" s="13">
        <v>25500</v>
      </c>
      <c r="E3954" s="13">
        <v>63.890500000000003</v>
      </c>
      <c r="F3954" s="13">
        <f t="shared" si="185"/>
        <v>399.12037000806066</v>
      </c>
    </row>
    <row r="3955" spans="1:6" x14ac:dyDescent="0.25">
      <c r="A3955" s="10">
        <v>42543</v>
      </c>
      <c r="B3955" s="12">
        <f t="shared" si="183"/>
        <v>6</v>
      </c>
      <c r="C3955" s="12">
        <f t="shared" si="184"/>
        <v>2016</v>
      </c>
      <c r="D3955" s="13">
        <v>25500</v>
      </c>
      <c r="E3955" s="13">
        <v>64.622299999999996</v>
      </c>
      <c r="F3955" s="13">
        <f t="shared" si="185"/>
        <v>394.60062548067776</v>
      </c>
    </row>
    <row r="3956" spans="1:6" x14ac:dyDescent="0.25">
      <c r="A3956" s="10">
        <v>42544</v>
      </c>
      <c r="B3956" s="12">
        <f t="shared" si="183"/>
        <v>6</v>
      </c>
      <c r="C3956" s="12">
        <f t="shared" si="184"/>
        <v>2016</v>
      </c>
      <c r="D3956" s="13">
        <v>25500</v>
      </c>
      <c r="E3956" s="13">
        <v>63.688099999999999</v>
      </c>
      <c r="F3956" s="13">
        <f t="shared" si="185"/>
        <v>400.38876964456472</v>
      </c>
    </row>
    <row r="3957" spans="1:6" x14ac:dyDescent="0.25">
      <c r="A3957" s="10">
        <v>42545</v>
      </c>
      <c r="B3957" s="12">
        <f t="shared" si="183"/>
        <v>6</v>
      </c>
      <c r="C3957" s="12">
        <f t="shared" si="184"/>
        <v>2016</v>
      </c>
      <c r="D3957" s="13">
        <v>25500</v>
      </c>
      <c r="E3957" s="13">
        <v>64.738200000000006</v>
      </c>
      <c r="F3957" s="13">
        <f t="shared" si="185"/>
        <v>393.89417685385132</v>
      </c>
    </row>
    <row r="3958" spans="1:6" x14ac:dyDescent="0.25">
      <c r="A3958" s="10">
        <v>42548</v>
      </c>
      <c r="B3958" s="12">
        <f t="shared" si="183"/>
        <v>6</v>
      </c>
      <c r="C3958" s="12">
        <f t="shared" si="184"/>
        <v>2016</v>
      </c>
      <c r="D3958" s="13">
        <v>25500</v>
      </c>
      <c r="E3958" s="13">
        <v>65.299499999999995</v>
      </c>
      <c r="F3958" s="13">
        <f t="shared" si="185"/>
        <v>390.50834998736593</v>
      </c>
    </row>
    <row r="3959" spans="1:6" x14ac:dyDescent="0.25">
      <c r="A3959" s="10">
        <v>42549</v>
      </c>
      <c r="B3959" s="12">
        <f t="shared" si="183"/>
        <v>6</v>
      </c>
      <c r="C3959" s="12">
        <f t="shared" si="184"/>
        <v>2016</v>
      </c>
      <c r="D3959" s="13">
        <v>25500</v>
      </c>
      <c r="E3959" s="13">
        <v>63.999499999999998</v>
      </c>
      <c r="F3959" s="13">
        <f t="shared" si="185"/>
        <v>398.44061281728767</v>
      </c>
    </row>
    <row r="3960" spans="1:6" x14ac:dyDescent="0.25">
      <c r="A3960" s="10">
        <v>42550</v>
      </c>
      <c r="B3960" s="12">
        <f t="shared" si="183"/>
        <v>6</v>
      </c>
      <c r="C3960" s="12">
        <f t="shared" si="184"/>
        <v>2016</v>
      </c>
      <c r="D3960" s="13">
        <v>25500</v>
      </c>
      <c r="E3960" s="13">
        <v>63.6693</v>
      </c>
      <c r="F3960" s="13">
        <f t="shared" si="185"/>
        <v>400.50699473686689</v>
      </c>
    </row>
    <row r="3961" spans="1:6" x14ac:dyDescent="0.25">
      <c r="A3961" s="10">
        <v>42551</v>
      </c>
      <c r="B3961" s="12">
        <f t="shared" si="183"/>
        <v>6</v>
      </c>
      <c r="C3961" s="12">
        <f t="shared" si="184"/>
        <v>2016</v>
      </c>
      <c r="D3961" s="13">
        <v>25500</v>
      </c>
      <c r="E3961" s="13">
        <v>63.749499999999998</v>
      </c>
      <c r="F3961" s="13">
        <f t="shared" si="185"/>
        <v>400.00313727950811</v>
      </c>
    </row>
    <row r="3962" spans="1:6" x14ac:dyDescent="0.25">
      <c r="A3962" s="10">
        <v>42552</v>
      </c>
      <c r="B3962" s="12">
        <f t="shared" si="183"/>
        <v>7</v>
      </c>
      <c r="C3962" s="12">
        <f t="shared" si="184"/>
        <v>2016</v>
      </c>
      <c r="D3962" s="13">
        <v>25500</v>
      </c>
      <c r="E3962" s="13">
        <v>63.79</v>
      </c>
      <c r="F3962" s="13">
        <f t="shared" si="185"/>
        <v>399.74917698698857</v>
      </c>
    </row>
    <row r="3963" spans="1:6" x14ac:dyDescent="0.25">
      <c r="A3963" s="10">
        <v>42556</v>
      </c>
      <c r="B3963" s="12">
        <f t="shared" si="183"/>
        <v>7</v>
      </c>
      <c r="C3963" s="12">
        <f t="shared" si="184"/>
        <v>2016</v>
      </c>
      <c r="E3963" s="13">
        <v>64.369500000000002</v>
      </c>
      <c r="F3963" s="13" t="str">
        <f t="shared" si="185"/>
        <v/>
      </c>
    </row>
    <row r="3964" spans="1:6" x14ac:dyDescent="0.25">
      <c r="A3964" s="10">
        <v>42557</v>
      </c>
      <c r="B3964" s="12">
        <f t="shared" si="183"/>
        <v>7</v>
      </c>
      <c r="C3964" s="12">
        <f t="shared" si="184"/>
        <v>2016</v>
      </c>
      <c r="E3964" s="13">
        <v>64.415700000000001</v>
      </c>
      <c r="F3964" s="13" t="str">
        <f t="shared" si="185"/>
        <v/>
      </c>
    </row>
    <row r="3965" spans="1:6" x14ac:dyDescent="0.25">
      <c r="A3965" s="10">
        <v>42558</v>
      </c>
      <c r="B3965" s="12">
        <f t="shared" si="183"/>
        <v>7</v>
      </c>
      <c r="C3965" s="12">
        <f t="shared" si="184"/>
        <v>2016</v>
      </c>
      <c r="E3965" s="13">
        <v>64.425600000000003</v>
      </c>
      <c r="F3965" s="13" t="str">
        <f t="shared" si="185"/>
        <v/>
      </c>
    </row>
    <row r="3966" spans="1:6" x14ac:dyDescent="0.25">
      <c r="A3966" s="10">
        <v>42559</v>
      </c>
      <c r="B3966" s="12">
        <f t="shared" si="183"/>
        <v>7</v>
      </c>
      <c r="C3966" s="12">
        <f t="shared" si="184"/>
        <v>2016</v>
      </c>
      <c r="E3966" s="13">
        <v>63.811500000000002</v>
      </c>
      <c r="F3966" s="13" t="str">
        <f t="shared" si="185"/>
        <v/>
      </c>
    </row>
    <row r="3967" spans="1:6" x14ac:dyDescent="0.25">
      <c r="A3967" s="10">
        <v>42562</v>
      </c>
      <c r="B3967" s="12">
        <f t="shared" si="183"/>
        <v>7</v>
      </c>
      <c r="C3967" s="12">
        <f t="shared" si="184"/>
        <v>2016</v>
      </c>
      <c r="D3967" s="13">
        <v>24500</v>
      </c>
      <c r="E3967" s="13">
        <v>64.186300000000003</v>
      </c>
      <c r="F3967" s="13">
        <f t="shared" si="185"/>
        <v>381.70139110682499</v>
      </c>
    </row>
    <row r="3968" spans="1:6" x14ac:dyDescent="0.25">
      <c r="A3968" s="10">
        <v>42563</v>
      </c>
      <c r="B3968" s="12">
        <f t="shared" si="183"/>
        <v>7</v>
      </c>
      <c r="C3968" s="12">
        <f t="shared" si="184"/>
        <v>2016</v>
      </c>
      <c r="D3968" s="13">
        <v>24500</v>
      </c>
      <c r="E3968" s="13">
        <v>63.73</v>
      </c>
      <c r="F3968" s="13">
        <f t="shared" si="185"/>
        <v>384.4343323395575</v>
      </c>
    </row>
    <row r="3969" spans="1:6" x14ac:dyDescent="0.25">
      <c r="A3969" s="10">
        <v>42564</v>
      </c>
      <c r="B3969" s="12">
        <f t="shared" si="183"/>
        <v>7</v>
      </c>
      <c r="C3969" s="12">
        <f t="shared" si="184"/>
        <v>2016</v>
      </c>
      <c r="D3969" s="13">
        <v>24500</v>
      </c>
      <c r="E3969" s="13">
        <v>63.909100000000002</v>
      </c>
      <c r="F3969" s="13">
        <f t="shared" si="185"/>
        <v>383.35698672020101</v>
      </c>
    </row>
    <row r="3970" spans="1:6" x14ac:dyDescent="0.25">
      <c r="A3970" s="10">
        <v>42565</v>
      </c>
      <c r="B3970" s="12">
        <f t="shared" si="183"/>
        <v>7</v>
      </c>
      <c r="C3970" s="12">
        <f t="shared" si="184"/>
        <v>2016</v>
      </c>
      <c r="D3970" s="13">
        <v>24500</v>
      </c>
      <c r="E3970" s="13">
        <v>62.869300000000003</v>
      </c>
      <c r="F3970" s="13">
        <f t="shared" si="185"/>
        <v>389.69735626132308</v>
      </c>
    </row>
    <row r="3971" spans="1:6" x14ac:dyDescent="0.25">
      <c r="A3971" s="10">
        <v>42566</v>
      </c>
      <c r="B3971" s="12">
        <f t="shared" ref="B3971:B4034" si="186">MONTH(A3971)</f>
        <v>7</v>
      </c>
      <c r="C3971" s="12">
        <f t="shared" ref="C3971:C4034" si="187">YEAR(A3971)</f>
        <v>2016</v>
      </c>
      <c r="D3971" s="13">
        <v>24500</v>
      </c>
      <c r="E3971" s="13">
        <v>63.456200000000003</v>
      </c>
      <c r="F3971" s="13">
        <f t="shared" ref="F3971:F4034" si="188">IF(D3971="","",D3971/E3971)</f>
        <v>386.09308467888087</v>
      </c>
    </row>
    <row r="3972" spans="1:6" x14ac:dyDescent="0.25">
      <c r="A3972" s="10">
        <v>42569</v>
      </c>
      <c r="B3972" s="12">
        <f t="shared" si="186"/>
        <v>7</v>
      </c>
      <c r="C3972" s="12">
        <f t="shared" si="187"/>
        <v>2016</v>
      </c>
      <c r="D3972" s="13">
        <v>25000</v>
      </c>
      <c r="E3972" s="13">
        <v>62.819499999999998</v>
      </c>
      <c r="F3972" s="13">
        <f t="shared" si="188"/>
        <v>397.96559985354867</v>
      </c>
    </row>
    <row r="3973" spans="1:6" x14ac:dyDescent="0.25">
      <c r="A3973" s="10">
        <v>42570</v>
      </c>
      <c r="B3973" s="12">
        <f t="shared" si="186"/>
        <v>7</v>
      </c>
      <c r="C3973" s="12">
        <f t="shared" si="187"/>
        <v>2016</v>
      </c>
      <c r="D3973" s="13">
        <v>25000</v>
      </c>
      <c r="E3973" s="13">
        <v>63.4955</v>
      </c>
      <c r="F3973" s="13">
        <f t="shared" si="188"/>
        <v>393.72868943468433</v>
      </c>
    </row>
    <row r="3974" spans="1:6" x14ac:dyDescent="0.25">
      <c r="A3974" s="10">
        <v>42571</v>
      </c>
      <c r="B3974" s="12">
        <f t="shared" si="186"/>
        <v>7</v>
      </c>
      <c r="C3974" s="12">
        <f t="shared" si="187"/>
        <v>2016</v>
      </c>
      <c r="D3974" s="13">
        <v>25000</v>
      </c>
      <c r="E3974" s="13">
        <v>63.707999999999998</v>
      </c>
      <c r="F3974" s="13">
        <f t="shared" si="188"/>
        <v>392.4153952407861</v>
      </c>
    </row>
    <row r="3975" spans="1:6" x14ac:dyDescent="0.25">
      <c r="A3975" s="10">
        <v>42572</v>
      </c>
      <c r="B3975" s="12">
        <f t="shared" si="186"/>
        <v>7</v>
      </c>
      <c r="C3975" s="12">
        <f t="shared" si="187"/>
        <v>2016</v>
      </c>
      <c r="D3975" s="13">
        <v>25000</v>
      </c>
      <c r="E3975" s="13">
        <v>64.200999999999993</v>
      </c>
      <c r="F3975" s="13">
        <f t="shared" si="188"/>
        <v>389.40203423622688</v>
      </c>
    </row>
    <row r="3976" spans="1:6" x14ac:dyDescent="0.25">
      <c r="A3976" s="10">
        <v>42573</v>
      </c>
      <c r="B3976" s="12">
        <f t="shared" si="186"/>
        <v>7</v>
      </c>
      <c r="C3976" s="12">
        <f t="shared" si="187"/>
        <v>2016</v>
      </c>
      <c r="D3976" s="13">
        <v>25000</v>
      </c>
      <c r="E3976" s="13">
        <v>64.709999999999994</v>
      </c>
      <c r="F3976" s="13">
        <f t="shared" si="188"/>
        <v>386.33905115129039</v>
      </c>
    </row>
    <row r="3977" spans="1:6" x14ac:dyDescent="0.25">
      <c r="A3977" s="10">
        <v>42576</v>
      </c>
      <c r="B3977" s="12">
        <f t="shared" si="186"/>
        <v>7</v>
      </c>
      <c r="C3977" s="12">
        <f t="shared" si="187"/>
        <v>2016</v>
      </c>
      <c r="D3977" s="13">
        <v>26000</v>
      </c>
      <c r="E3977" s="13">
        <v>65.399500000000003</v>
      </c>
      <c r="F3977" s="13">
        <f t="shared" si="188"/>
        <v>397.55655624278472</v>
      </c>
    </row>
    <row r="3978" spans="1:6" x14ac:dyDescent="0.25">
      <c r="A3978" s="10">
        <v>42577</v>
      </c>
      <c r="B3978" s="12">
        <f t="shared" si="186"/>
        <v>7</v>
      </c>
      <c r="C3978" s="12">
        <f t="shared" si="187"/>
        <v>2016</v>
      </c>
      <c r="D3978" s="13">
        <v>26000</v>
      </c>
      <c r="E3978" s="13">
        <v>65.958200000000005</v>
      </c>
      <c r="F3978" s="13">
        <f t="shared" si="188"/>
        <v>394.1890470024955</v>
      </c>
    </row>
    <row r="3979" spans="1:6" x14ac:dyDescent="0.25">
      <c r="A3979" s="10">
        <v>42578</v>
      </c>
      <c r="B3979" s="12">
        <f t="shared" si="186"/>
        <v>7</v>
      </c>
      <c r="C3979" s="12">
        <f t="shared" si="187"/>
        <v>2016</v>
      </c>
      <c r="D3979" s="13">
        <v>26000</v>
      </c>
      <c r="E3979" s="13">
        <v>65.868899999999996</v>
      </c>
      <c r="F3979" s="13">
        <f t="shared" si="188"/>
        <v>394.72345826330792</v>
      </c>
    </row>
    <row r="3980" spans="1:6" x14ac:dyDescent="0.25">
      <c r="A3980" s="10">
        <v>42579</v>
      </c>
      <c r="B3980" s="12">
        <f t="shared" si="186"/>
        <v>7</v>
      </c>
      <c r="C3980" s="12">
        <f t="shared" si="187"/>
        <v>2016</v>
      </c>
      <c r="D3980" s="13">
        <v>26000</v>
      </c>
      <c r="E3980" s="13">
        <v>66.596199999999996</v>
      </c>
      <c r="F3980" s="13">
        <f t="shared" si="188"/>
        <v>390.41266618816093</v>
      </c>
    </row>
    <row r="3981" spans="1:6" x14ac:dyDescent="0.25">
      <c r="A3981" s="10">
        <v>42580</v>
      </c>
      <c r="B3981" s="12">
        <f t="shared" si="186"/>
        <v>7</v>
      </c>
      <c r="C3981" s="12">
        <f t="shared" si="187"/>
        <v>2016</v>
      </c>
      <c r="D3981" s="13">
        <v>26000</v>
      </c>
      <c r="E3981" s="13">
        <v>65.975499999999997</v>
      </c>
      <c r="F3981" s="13">
        <f t="shared" si="188"/>
        <v>394.08568332183921</v>
      </c>
    </row>
    <row r="3982" spans="1:6" x14ac:dyDescent="0.25">
      <c r="A3982" s="10">
        <v>42583</v>
      </c>
      <c r="B3982" s="12">
        <f t="shared" si="186"/>
        <v>8</v>
      </c>
      <c r="C3982" s="12">
        <f t="shared" si="187"/>
        <v>2016</v>
      </c>
      <c r="E3982" s="13">
        <v>66.994600000000005</v>
      </c>
      <c r="F3982" s="13" t="str">
        <f t="shared" si="188"/>
        <v/>
      </c>
    </row>
    <row r="3983" spans="1:6" x14ac:dyDescent="0.25">
      <c r="A3983" s="10">
        <v>42584</v>
      </c>
      <c r="B3983" s="12">
        <f t="shared" si="186"/>
        <v>8</v>
      </c>
      <c r="C3983" s="12">
        <f t="shared" si="187"/>
        <v>2016</v>
      </c>
      <c r="E3983" s="13">
        <v>66.638999999999996</v>
      </c>
      <c r="F3983" s="13" t="str">
        <f t="shared" si="188"/>
        <v/>
      </c>
    </row>
    <row r="3984" spans="1:6" x14ac:dyDescent="0.25">
      <c r="A3984" s="10">
        <v>42585</v>
      </c>
      <c r="B3984" s="12">
        <f t="shared" si="186"/>
        <v>8</v>
      </c>
      <c r="C3984" s="12">
        <f t="shared" si="187"/>
        <v>2016</v>
      </c>
      <c r="E3984" s="13">
        <v>66.373000000000005</v>
      </c>
      <c r="F3984" s="13" t="str">
        <f t="shared" si="188"/>
        <v/>
      </c>
    </row>
    <row r="3985" spans="1:6" x14ac:dyDescent="0.25">
      <c r="A3985" s="10">
        <v>42586</v>
      </c>
      <c r="B3985" s="12">
        <f t="shared" si="186"/>
        <v>8</v>
      </c>
      <c r="C3985" s="12">
        <f t="shared" si="187"/>
        <v>2016</v>
      </c>
      <c r="E3985" s="13">
        <v>65.838999999999999</v>
      </c>
      <c r="F3985" s="13" t="str">
        <f t="shared" si="188"/>
        <v/>
      </c>
    </row>
    <row r="3986" spans="1:6" x14ac:dyDescent="0.25">
      <c r="A3986" s="10">
        <v>42587</v>
      </c>
      <c r="B3986" s="12">
        <f t="shared" si="186"/>
        <v>8</v>
      </c>
      <c r="C3986" s="12">
        <f t="shared" si="187"/>
        <v>2016</v>
      </c>
      <c r="E3986" s="13">
        <v>65.447800000000001</v>
      </c>
      <c r="F3986" s="13" t="str">
        <f t="shared" si="188"/>
        <v/>
      </c>
    </row>
    <row r="3987" spans="1:6" x14ac:dyDescent="0.25">
      <c r="A3987" s="10">
        <v>42590</v>
      </c>
      <c r="B3987" s="12">
        <f t="shared" si="186"/>
        <v>8</v>
      </c>
      <c r="C3987" s="12">
        <f t="shared" si="187"/>
        <v>2016</v>
      </c>
      <c r="E3987" s="13">
        <v>64.620500000000007</v>
      </c>
      <c r="F3987" s="13" t="str">
        <f t="shared" si="188"/>
        <v/>
      </c>
    </row>
    <row r="3988" spans="1:6" x14ac:dyDescent="0.25">
      <c r="A3988" s="10">
        <v>42591</v>
      </c>
      <c r="B3988" s="12">
        <f t="shared" si="186"/>
        <v>8</v>
      </c>
      <c r="C3988" s="12">
        <f t="shared" si="187"/>
        <v>2016</v>
      </c>
      <c r="E3988" s="13">
        <v>64.745000000000005</v>
      </c>
      <c r="F3988" s="13" t="str">
        <f t="shared" si="188"/>
        <v/>
      </c>
    </row>
    <row r="3989" spans="1:6" x14ac:dyDescent="0.25">
      <c r="A3989" s="10">
        <v>42592</v>
      </c>
      <c r="B3989" s="12">
        <f t="shared" si="186"/>
        <v>8</v>
      </c>
      <c r="C3989" s="12">
        <f t="shared" si="187"/>
        <v>2016</v>
      </c>
      <c r="E3989" s="13">
        <v>64.849500000000006</v>
      </c>
      <c r="F3989" s="13" t="str">
        <f t="shared" si="188"/>
        <v/>
      </c>
    </row>
    <row r="3990" spans="1:6" x14ac:dyDescent="0.25">
      <c r="A3990" s="10">
        <v>42593</v>
      </c>
      <c r="B3990" s="12">
        <f t="shared" si="186"/>
        <v>8</v>
      </c>
      <c r="C3990" s="12">
        <f t="shared" si="187"/>
        <v>2016</v>
      </c>
      <c r="E3990" s="13">
        <v>64.304500000000004</v>
      </c>
      <c r="F3990" s="13" t="str">
        <f t="shared" si="188"/>
        <v/>
      </c>
    </row>
    <row r="3991" spans="1:6" x14ac:dyDescent="0.25">
      <c r="A3991" s="10">
        <v>42594</v>
      </c>
      <c r="B3991" s="12">
        <f t="shared" si="186"/>
        <v>8</v>
      </c>
      <c r="C3991" s="12">
        <f t="shared" si="187"/>
        <v>2016</v>
      </c>
      <c r="E3991" s="13">
        <v>64.750500000000002</v>
      </c>
      <c r="F3991" s="13" t="str">
        <f t="shared" si="188"/>
        <v/>
      </c>
    </row>
    <row r="3992" spans="1:6" x14ac:dyDescent="0.25">
      <c r="A3992" s="10">
        <v>42597</v>
      </c>
      <c r="B3992" s="12">
        <f t="shared" si="186"/>
        <v>8</v>
      </c>
      <c r="C3992" s="12">
        <f t="shared" si="187"/>
        <v>2016</v>
      </c>
      <c r="E3992" s="13">
        <v>64.037999999999997</v>
      </c>
      <c r="F3992" s="13" t="str">
        <f t="shared" si="188"/>
        <v/>
      </c>
    </row>
    <row r="3993" spans="1:6" x14ac:dyDescent="0.25">
      <c r="A3993" s="10">
        <v>42598</v>
      </c>
      <c r="B3993" s="12">
        <f t="shared" si="186"/>
        <v>8</v>
      </c>
      <c r="C3993" s="12">
        <f t="shared" si="187"/>
        <v>2016</v>
      </c>
      <c r="E3993" s="13">
        <v>63.814500000000002</v>
      </c>
      <c r="F3993" s="13" t="str">
        <f t="shared" si="188"/>
        <v/>
      </c>
    </row>
    <row r="3994" spans="1:6" x14ac:dyDescent="0.25">
      <c r="A3994" s="10">
        <v>42599</v>
      </c>
      <c r="B3994" s="12">
        <f t="shared" si="186"/>
        <v>8</v>
      </c>
      <c r="C3994" s="12">
        <f t="shared" si="187"/>
        <v>2016</v>
      </c>
      <c r="E3994" s="13">
        <v>63.865499999999997</v>
      </c>
      <c r="F3994" s="13" t="str">
        <f t="shared" si="188"/>
        <v/>
      </c>
    </row>
    <row r="3995" spans="1:6" x14ac:dyDescent="0.25">
      <c r="A3995" s="10">
        <v>42600</v>
      </c>
      <c r="B3995" s="12">
        <f t="shared" si="186"/>
        <v>8</v>
      </c>
      <c r="C3995" s="12">
        <f t="shared" si="187"/>
        <v>2016</v>
      </c>
      <c r="E3995" s="13">
        <v>63.594499999999996</v>
      </c>
      <c r="F3995" s="13" t="str">
        <f t="shared" si="188"/>
        <v/>
      </c>
    </row>
    <row r="3996" spans="1:6" x14ac:dyDescent="0.25">
      <c r="A3996" s="10">
        <v>42601</v>
      </c>
      <c r="B3996" s="12">
        <f t="shared" si="186"/>
        <v>8</v>
      </c>
      <c r="C3996" s="12">
        <f t="shared" si="187"/>
        <v>2016</v>
      </c>
      <c r="E3996" s="13">
        <v>63.895499999999998</v>
      </c>
      <c r="F3996" s="13" t="str">
        <f t="shared" si="188"/>
        <v/>
      </c>
    </row>
    <row r="3997" spans="1:6" x14ac:dyDescent="0.25">
      <c r="A3997" s="10">
        <v>42604</v>
      </c>
      <c r="B3997" s="12">
        <f t="shared" si="186"/>
        <v>8</v>
      </c>
      <c r="C3997" s="12">
        <f t="shared" si="187"/>
        <v>2016</v>
      </c>
      <c r="E3997" s="13">
        <v>64.784499999999994</v>
      </c>
      <c r="F3997" s="13" t="str">
        <f t="shared" si="188"/>
        <v/>
      </c>
    </row>
    <row r="3998" spans="1:6" x14ac:dyDescent="0.25">
      <c r="A3998" s="10">
        <v>42605</v>
      </c>
      <c r="B3998" s="12">
        <f t="shared" si="186"/>
        <v>8</v>
      </c>
      <c r="C3998" s="12">
        <f t="shared" si="187"/>
        <v>2016</v>
      </c>
      <c r="E3998" s="13">
        <v>64.654499999999999</v>
      </c>
      <c r="F3998" s="13" t="str">
        <f t="shared" si="188"/>
        <v/>
      </c>
    </row>
    <row r="3999" spans="1:6" x14ac:dyDescent="0.25">
      <c r="A3999" s="10">
        <v>42606</v>
      </c>
      <c r="B3999" s="12">
        <f t="shared" si="186"/>
        <v>8</v>
      </c>
      <c r="C3999" s="12">
        <f t="shared" si="187"/>
        <v>2016</v>
      </c>
      <c r="E3999" s="13">
        <v>65.207099999999997</v>
      </c>
      <c r="F3999" s="13" t="str">
        <f t="shared" si="188"/>
        <v/>
      </c>
    </row>
    <row r="4000" spans="1:6" x14ac:dyDescent="0.25">
      <c r="A4000" s="10">
        <v>42607</v>
      </c>
      <c r="B4000" s="12">
        <f t="shared" si="186"/>
        <v>8</v>
      </c>
      <c r="C4000" s="12">
        <f t="shared" si="187"/>
        <v>2016</v>
      </c>
      <c r="E4000" s="13">
        <v>64.725099999999998</v>
      </c>
      <c r="F4000" s="13" t="str">
        <f t="shared" si="188"/>
        <v/>
      </c>
    </row>
    <row r="4001" spans="1:6" x14ac:dyDescent="0.25">
      <c r="A4001" s="10">
        <v>42608</v>
      </c>
      <c r="B4001" s="12">
        <f t="shared" si="186"/>
        <v>8</v>
      </c>
      <c r="C4001" s="12">
        <f t="shared" si="187"/>
        <v>2016</v>
      </c>
      <c r="E4001" s="13">
        <v>64.701800000000006</v>
      </c>
      <c r="F4001" s="13" t="str">
        <f t="shared" si="188"/>
        <v/>
      </c>
    </row>
    <row r="4002" spans="1:6" x14ac:dyDescent="0.25">
      <c r="A4002" s="10">
        <v>42611</v>
      </c>
      <c r="B4002" s="12">
        <f t="shared" si="186"/>
        <v>8</v>
      </c>
      <c r="C4002" s="12">
        <f t="shared" si="187"/>
        <v>2016</v>
      </c>
      <c r="E4002" s="13">
        <v>64.771799999999999</v>
      </c>
      <c r="F4002" s="13" t="str">
        <f t="shared" si="188"/>
        <v/>
      </c>
    </row>
    <row r="4003" spans="1:6" x14ac:dyDescent="0.25">
      <c r="A4003" s="10">
        <v>42612</v>
      </c>
      <c r="B4003" s="12">
        <f t="shared" si="186"/>
        <v>8</v>
      </c>
      <c r="C4003" s="12">
        <f t="shared" si="187"/>
        <v>2016</v>
      </c>
      <c r="E4003" s="13">
        <v>65.354500000000002</v>
      </c>
      <c r="F4003" s="13" t="str">
        <f t="shared" si="188"/>
        <v/>
      </c>
    </row>
    <row r="4004" spans="1:6" x14ac:dyDescent="0.25">
      <c r="A4004" s="10">
        <v>42613</v>
      </c>
      <c r="B4004" s="12">
        <f t="shared" si="186"/>
        <v>8</v>
      </c>
      <c r="C4004" s="12">
        <f t="shared" si="187"/>
        <v>2016</v>
      </c>
      <c r="E4004" s="13">
        <v>65.354500000000002</v>
      </c>
      <c r="F4004" s="13" t="str">
        <f t="shared" si="188"/>
        <v/>
      </c>
    </row>
    <row r="4005" spans="1:6" x14ac:dyDescent="0.25">
      <c r="A4005" s="10">
        <v>42614</v>
      </c>
      <c r="B4005" s="12">
        <f t="shared" si="186"/>
        <v>9</v>
      </c>
      <c r="C4005" s="12">
        <f t="shared" si="187"/>
        <v>2016</v>
      </c>
      <c r="E4005" s="13">
        <v>66.000299999999996</v>
      </c>
      <c r="F4005" s="13" t="str">
        <f t="shared" si="188"/>
        <v/>
      </c>
    </row>
    <row r="4006" spans="1:6" x14ac:dyDescent="0.25">
      <c r="A4006" s="10">
        <v>42615</v>
      </c>
      <c r="B4006" s="12">
        <f t="shared" si="186"/>
        <v>9</v>
      </c>
      <c r="C4006" s="12">
        <f t="shared" si="187"/>
        <v>2016</v>
      </c>
      <c r="E4006" s="13">
        <v>65.13</v>
      </c>
      <c r="F4006" s="13" t="str">
        <f t="shared" si="188"/>
        <v/>
      </c>
    </row>
    <row r="4007" spans="1:6" x14ac:dyDescent="0.25">
      <c r="A4007" s="10">
        <v>42619</v>
      </c>
      <c r="B4007" s="12">
        <f t="shared" si="186"/>
        <v>9</v>
      </c>
      <c r="C4007" s="12">
        <f t="shared" si="187"/>
        <v>2016</v>
      </c>
      <c r="E4007" s="13">
        <v>64.379499999999993</v>
      </c>
      <c r="F4007" s="13" t="str">
        <f t="shared" si="188"/>
        <v/>
      </c>
    </row>
    <row r="4008" spans="1:6" x14ac:dyDescent="0.25">
      <c r="A4008" s="10">
        <v>42620</v>
      </c>
      <c r="B4008" s="12">
        <f t="shared" si="186"/>
        <v>9</v>
      </c>
      <c r="C4008" s="12">
        <f t="shared" si="187"/>
        <v>2016</v>
      </c>
      <c r="E4008" s="13">
        <v>64.141000000000005</v>
      </c>
      <c r="F4008" s="13" t="str">
        <f t="shared" si="188"/>
        <v/>
      </c>
    </row>
    <row r="4009" spans="1:6" x14ac:dyDescent="0.25">
      <c r="A4009" s="10">
        <v>42621</v>
      </c>
      <c r="B4009" s="12">
        <f t="shared" si="186"/>
        <v>9</v>
      </c>
      <c r="C4009" s="12">
        <f t="shared" si="187"/>
        <v>2016</v>
      </c>
      <c r="E4009" s="13">
        <v>64.029499999999999</v>
      </c>
      <c r="F4009" s="13" t="str">
        <f t="shared" si="188"/>
        <v/>
      </c>
    </row>
    <row r="4010" spans="1:6" x14ac:dyDescent="0.25">
      <c r="A4010" s="10">
        <v>42622</v>
      </c>
      <c r="B4010" s="12">
        <f t="shared" si="186"/>
        <v>9</v>
      </c>
      <c r="C4010" s="12">
        <f t="shared" si="187"/>
        <v>2016</v>
      </c>
      <c r="E4010" s="13">
        <v>64.708200000000005</v>
      </c>
      <c r="F4010" s="13" t="str">
        <f t="shared" si="188"/>
        <v/>
      </c>
    </row>
    <row r="4011" spans="1:6" x14ac:dyDescent="0.25">
      <c r="A4011" s="10">
        <v>42625</v>
      </c>
      <c r="B4011" s="12">
        <f t="shared" si="186"/>
        <v>9</v>
      </c>
      <c r="C4011" s="12">
        <f t="shared" si="187"/>
        <v>2016</v>
      </c>
      <c r="E4011" s="13">
        <v>64.507900000000006</v>
      </c>
      <c r="F4011" s="13" t="str">
        <f t="shared" si="188"/>
        <v/>
      </c>
    </row>
    <row r="4012" spans="1:6" x14ac:dyDescent="0.25">
      <c r="A4012" s="10">
        <v>42626</v>
      </c>
      <c r="B4012" s="12">
        <f t="shared" si="186"/>
        <v>9</v>
      </c>
      <c r="C4012" s="12">
        <f t="shared" si="187"/>
        <v>2016</v>
      </c>
      <c r="E4012" s="13">
        <v>65.415400000000005</v>
      </c>
      <c r="F4012" s="13" t="str">
        <f t="shared" si="188"/>
        <v/>
      </c>
    </row>
    <row r="4013" spans="1:6" x14ac:dyDescent="0.25">
      <c r="A4013" s="10">
        <v>42627</v>
      </c>
      <c r="B4013" s="12">
        <f t="shared" si="186"/>
        <v>9</v>
      </c>
      <c r="C4013" s="12">
        <f t="shared" si="187"/>
        <v>2016</v>
      </c>
      <c r="E4013" s="13">
        <v>65.166499999999999</v>
      </c>
      <c r="F4013" s="13" t="str">
        <f t="shared" si="188"/>
        <v/>
      </c>
    </row>
    <row r="4014" spans="1:6" x14ac:dyDescent="0.25">
      <c r="A4014" s="10">
        <v>42628</v>
      </c>
      <c r="B4014" s="12">
        <f t="shared" si="186"/>
        <v>9</v>
      </c>
      <c r="C4014" s="12">
        <f t="shared" si="187"/>
        <v>2016</v>
      </c>
      <c r="E4014" s="13">
        <v>64.704999999999998</v>
      </c>
      <c r="F4014" s="13" t="str">
        <f t="shared" si="188"/>
        <v/>
      </c>
    </row>
    <row r="4015" spans="1:6" x14ac:dyDescent="0.25">
      <c r="A4015" s="10">
        <v>42629</v>
      </c>
      <c r="B4015" s="12">
        <f t="shared" si="186"/>
        <v>9</v>
      </c>
      <c r="C4015" s="12">
        <f t="shared" si="187"/>
        <v>2016</v>
      </c>
      <c r="E4015" s="13">
        <v>65.143000000000001</v>
      </c>
      <c r="F4015" s="13" t="str">
        <f t="shared" si="188"/>
        <v/>
      </c>
    </row>
    <row r="4016" spans="1:6" x14ac:dyDescent="0.25">
      <c r="A4016" s="10">
        <v>42632</v>
      </c>
      <c r="B4016" s="12">
        <f t="shared" si="186"/>
        <v>9</v>
      </c>
      <c r="C4016" s="12">
        <f t="shared" si="187"/>
        <v>2016</v>
      </c>
      <c r="E4016" s="13">
        <v>64.596800000000002</v>
      </c>
      <c r="F4016" s="13" t="str">
        <f t="shared" si="188"/>
        <v/>
      </c>
    </row>
    <row r="4017" spans="1:6" x14ac:dyDescent="0.25">
      <c r="A4017" s="10">
        <v>42633</v>
      </c>
      <c r="B4017" s="12">
        <f t="shared" si="186"/>
        <v>9</v>
      </c>
      <c r="C4017" s="12">
        <f t="shared" si="187"/>
        <v>2016</v>
      </c>
      <c r="E4017" s="13">
        <v>64.661600000000007</v>
      </c>
      <c r="F4017" s="13" t="str">
        <f t="shared" si="188"/>
        <v/>
      </c>
    </row>
    <row r="4018" spans="1:6" x14ac:dyDescent="0.25">
      <c r="A4018" s="10">
        <v>42634</v>
      </c>
      <c r="B4018" s="12">
        <f t="shared" si="186"/>
        <v>9</v>
      </c>
      <c r="C4018" s="12">
        <f t="shared" si="187"/>
        <v>2016</v>
      </c>
      <c r="E4018" s="13">
        <v>63.893999999999998</v>
      </c>
      <c r="F4018" s="13" t="str">
        <f t="shared" si="188"/>
        <v/>
      </c>
    </row>
    <row r="4019" spans="1:6" x14ac:dyDescent="0.25">
      <c r="A4019" s="10">
        <v>42635</v>
      </c>
      <c r="B4019" s="12">
        <f t="shared" si="186"/>
        <v>9</v>
      </c>
      <c r="C4019" s="12">
        <f t="shared" si="187"/>
        <v>2016</v>
      </c>
      <c r="E4019" s="13">
        <v>63.667299999999997</v>
      </c>
      <c r="F4019" s="13" t="str">
        <f t="shared" si="188"/>
        <v/>
      </c>
    </row>
    <row r="4020" spans="1:6" x14ac:dyDescent="0.25">
      <c r="A4020" s="10">
        <v>42636</v>
      </c>
      <c r="B4020" s="12">
        <f t="shared" si="186"/>
        <v>9</v>
      </c>
      <c r="C4020" s="12">
        <f t="shared" si="187"/>
        <v>2016</v>
      </c>
      <c r="E4020" s="13">
        <v>63.974499999999999</v>
      </c>
      <c r="F4020" s="13" t="str">
        <f t="shared" si="188"/>
        <v/>
      </c>
    </row>
    <row r="4021" spans="1:6" x14ac:dyDescent="0.25">
      <c r="A4021" s="10">
        <v>42639</v>
      </c>
      <c r="B4021" s="12">
        <f t="shared" si="186"/>
        <v>9</v>
      </c>
      <c r="C4021" s="12">
        <f t="shared" si="187"/>
        <v>2016</v>
      </c>
      <c r="E4021" s="13">
        <v>63.8705</v>
      </c>
      <c r="F4021" s="13" t="str">
        <f t="shared" si="188"/>
        <v/>
      </c>
    </row>
    <row r="4022" spans="1:6" x14ac:dyDescent="0.25">
      <c r="A4022" s="10">
        <v>42640</v>
      </c>
      <c r="B4022" s="12">
        <f t="shared" si="186"/>
        <v>9</v>
      </c>
      <c r="C4022" s="12">
        <f t="shared" si="187"/>
        <v>2016</v>
      </c>
      <c r="E4022" s="13">
        <v>63.630499999999998</v>
      </c>
      <c r="F4022" s="13" t="str">
        <f t="shared" si="188"/>
        <v/>
      </c>
    </row>
    <row r="4023" spans="1:6" x14ac:dyDescent="0.25">
      <c r="A4023" s="10">
        <v>42641</v>
      </c>
      <c r="B4023" s="12">
        <f t="shared" si="186"/>
        <v>9</v>
      </c>
      <c r="C4023" s="12">
        <f t="shared" si="187"/>
        <v>2016</v>
      </c>
      <c r="E4023" s="13">
        <v>63.040999999999997</v>
      </c>
      <c r="F4023" s="13" t="str">
        <f t="shared" si="188"/>
        <v/>
      </c>
    </row>
    <row r="4024" spans="1:6" x14ac:dyDescent="0.25">
      <c r="A4024" s="10">
        <v>42642</v>
      </c>
      <c r="B4024" s="12">
        <f t="shared" si="186"/>
        <v>9</v>
      </c>
      <c r="C4024" s="12">
        <f t="shared" si="187"/>
        <v>2016</v>
      </c>
      <c r="E4024" s="13">
        <v>62.921999999999997</v>
      </c>
      <c r="F4024" s="13" t="str">
        <f t="shared" si="188"/>
        <v/>
      </c>
    </row>
    <row r="4025" spans="1:6" x14ac:dyDescent="0.25">
      <c r="A4025" s="10">
        <v>42643</v>
      </c>
      <c r="B4025" s="12">
        <f t="shared" si="186"/>
        <v>9</v>
      </c>
      <c r="C4025" s="12">
        <f t="shared" si="187"/>
        <v>2016</v>
      </c>
      <c r="E4025" s="13">
        <v>62.8705</v>
      </c>
      <c r="F4025" s="13" t="str">
        <f t="shared" si="188"/>
        <v/>
      </c>
    </row>
    <row r="4026" spans="1:6" x14ac:dyDescent="0.25">
      <c r="A4026" s="10">
        <v>42646</v>
      </c>
      <c r="B4026" s="12">
        <f t="shared" si="186"/>
        <v>10</v>
      </c>
      <c r="C4026" s="12">
        <f t="shared" si="187"/>
        <v>2016</v>
      </c>
      <c r="E4026" s="13">
        <v>62.321800000000003</v>
      </c>
      <c r="F4026" s="13" t="str">
        <f t="shared" si="188"/>
        <v/>
      </c>
    </row>
    <row r="4027" spans="1:6" x14ac:dyDescent="0.25">
      <c r="A4027" s="10">
        <v>42647</v>
      </c>
      <c r="B4027" s="12">
        <f t="shared" si="186"/>
        <v>10</v>
      </c>
      <c r="C4027" s="12">
        <f t="shared" si="187"/>
        <v>2016</v>
      </c>
      <c r="E4027" s="13">
        <v>62.777000000000001</v>
      </c>
      <c r="F4027" s="13" t="str">
        <f t="shared" si="188"/>
        <v/>
      </c>
    </row>
    <row r="4028" spans="1:6" x14ac:dyDescent="0.25">
      <c r="A4028" s="10">
        <v>42648</v>
      </c>
      <c r="B4028" s="12">
        <f t="shared" si="186"/>
        <v>10</v>
      </c>
      <c r="C4028" s="12">
        <f t="shared" si="187"/>
        <v>2016</v>
      </c>
      <c r="E4028" s="13">
        <v>62.330500000000001</v>
      </c>
      <c r="F4028" s="13" t="str">
        <f t="shared" si="188"/>
        <v/>
      </c>
    </row>
    <row r="4029" spans="1:6" x14ac:dyDescent="0.25">
      <c r="A4029" s="10">
        <v>42649</v>
      </c>
      <c r="B4029" s="12">
        <f t="shared" si="186"/>
        <v>10</v>
      </c>
      <c r="C4029" s="12">
        <f t="shared" si="187"/>
        <v>2016</v>
      </c>
      <c r="E4029" s="13">
        <v>62.094499999999996</v>
      </c>
      <c r="F4029" s="13" t="str">
        <f t="shared" si="188"/>
        <v/>
      </c>
    </row>
    <row r="4030" spans="1:6" x14ac:dyDescent="0.25">
      <c r="A4030" s="10">
        <v>42650</v>
      </c>
      <c r="B4030" s="12">
        <f t="shared" si="186"/>
        <v>10</v>
      </c>
      <c r="C4030" s="12">
        <f t="shared" si="187"/>
        <v>2016</v>
      </c>
      <c r="E4030" s="13">
        <v>62.225499999999997</v>
      </c>
      <c r="F4030" s="13" t="str">
        <f t="shared" si="188"/>
        <v/>
      </c>
    </row>
    <row r="4031" spans="1:6" x14ac:dyDescent="0.25">
      <c r="A4031" s="10">
        <v>42653</v>
      </c>
      <c r="B4031" s="12">
        <f t="shared" si="186"/>
        <v>10</v>
      </c>
      <c r="C4031" s="12">
        <f t="shared" si="187"/>
        <v>2016</v>
      </c>
      <c r="E4031" s="13">
        <v>61.805199999999999</v>
      </c>
      <c r="F4031" s="13" t="str">
        <f t="shared" si="188"/>
        <v/>
      </c>
    </row>
    <row r="4032" spans="1:6" x14ac:dyDescent="0.25">
      <c r="A4032" s="10">
        <v>42654</v>
      </c>
      <c r="B4032" s="12">
        <f t="shared" si="186"/>
        <v>10</v>
      </c>
      <c r="C4032" s="12">
        <f t="shared" si="187"/>
        <v>2016</v>
      </c>
      <c r="E4032" s="13">
        <v>62.654899999999998</v>
      </c>
      <c r="F4032" s="13" t="str">
        <f t="shared" si="188"/>
        <v/>
      </c>
    </row>
    <row r="4033" spans="1:6" x14ac:dyDescent="0.25">
      <c r="A4033" s="10">
        <v>42655</v>
      </c>
      <c r="B4033" s="12">
        <f t="shared" si="186"/>
        <v>10</v>
      </c>
      <c r="C4033" s="12">
        <f t="shared" si="187"/>
        <v>2016</v>
      </c>
      <c r="E4033" s="13">
        <v>63.09</v>
      </c>
      <c r="F4033" s="13" t="str">
        <f t="shared" si="188"/>
        <v/>
      </c>
    </row>
    <row r="4034" spans="1:6" x14ac:dyDescent="0.25">
      <c r="A4034" s="10">
        <v>42656</v>
      </c>
      <c r="B4034" s="12">
        <f t="shared" si="186"/>
        <v>10</v>
      </c>
      <c r="C4034" s="12">
        <f t="shared" si="187"/>
        <v>2016</v>
      </c>
      <c r="E4034" s="13">
        <v>62.967500000000001</v>
      </c>
      <c r="F4034" s="13" t="str">
        <f t="shared" si="188"/>
        <v/>
      </c>
    </row>
    <row r="4035" spans="1:6" x14ac:dyDescent="0.25">
      <c r="A4035" s="10">
        <v>42657</v>
      </c>
      <c r="B4035" s="12">
        <f t="shared" ref="B4035:B4098" si="189">MONTH(A4035)</f>
        <v>10</v>
      </c>
      <c r="C4035" s="12">
        <f t="shared" ref="C4035:C4098" si="190">YEAR(A4035)</f>
        <v>2016</v>
      </c>
      <c r="E4035" s="13">
        <v>62.85</v>
      </c>
      <c r="F4035" s="13" t="str">
        <f t="shared" ref="F4035:F4098" si="191">IF(D4035="","",D4035/E4035)</f>
        <v/>
      </c>
    </row>
    <row r="4036" spans="1:6" x14ac:dyDescent="0.25">
      <c r="A4036" s="10">
        <v>42660</v>
      </c>
      <c r="B4036" s="12">
        <f t="shared" si="189"/>
        <v>10</v>
      </c>
      <c r="C4036" s="12">
        <f t="shared" si="190"/>
        <v>2016</v>
      </c>
      <c r="E4036" s="13">
        <v>63.128</v>
      </c>
      <c r="F4036" s="13" t="str">
        <f t="shared" si="191"/>
        <v/>
      </c>
    </row>
    <row r="4037" spans="1:6" x14ac:dyDescent="0.25">
      <c r="A4037" s="10">
        <v>42661</v>
      </c>
      <c r="B4037" s="12">
        <f t="shared" si="189"/>
        <v>10</v>
      </c>
      <c r="C4037" s="12">
        <f t="shared" si="190"/>
        <v>2016</v>
      </c>
      <c r="E4037" s="13">
        <v>62.465200000000003</v>
      </c>
      <c r="F4037" s="13" t="str">
        <f t="shared" si="191"/>
        <v/>
      </c>
    </row>
    <row r="4038" spans="1:6" x14ac:dyDescent="0.25">
      <c r="A4038" s="10">
        <v>42662</v>
      </c>
      <c r="B4038" s="12">
        <f t="shared" si="189"/>
        <v>10</v>
      </c>
      <c r="C4038" s="12">
        <f t="shared" si="190"/>
        <v>2016</v>
      </c>
      <c r="E4038" s="13">
        <v>62.18</v>
      </c>
      <c r="F4038" s="13" t="str">
        <f t="shared" si="191"/>
        <v/>
      </c>
    </row>
    <row r="4039" spans="1:6" x14ac:dyDescent="0.25">
      <c r="A4039" s="10">
        <v>42663</v>
      </c>
      <c r="B4039" s="12">
        <f t="shared" si="189"/>
        <v>10</v>
      </c>
      <c r="C4039" s="12">
        <f t="shared" si="190"/>
        <v>2016</v>
      </c>
      <c r="E4039" s="13">
        <v>62.36</v>
      </c>
      <c r="F4039" s="13" t="str">
        <f t="shared" si="191"/>
        <v/>
      </c>
    </row>
    <row r="4040" spans="1:6" x14ac:dyDescent="0.25">
      <c r="A4040" s="10">
        <v>42664</v>
      </c>
      <c r="B4040" s="12">
        <f t="shared" si="189"/>
        <v>10</v>
      </c>
      <c r="C4040" s="12">
        <f t="shared" si="190"/>
        <v>2016</v>
      </c>
      <c r="E4040" s="13">
        <v>62.377499999999998</v>
      </c>
      <c r="F4040" s="13" t="str">
        <f t="shared" si="191"/>
        <v/>
      </c>
    </row>
    <row r="4041" spans="1:6" x14ac:dyDescent="0.25">
      <c r="A4041" s="10">
        <v>42667</v>
      </c>
      <c r="B4041" s="12">
        <f t="shared" si="189"/>
        <v>10</v>
      </c>
      <c r="C4041" s="12">
        <f t="shared" si="190"/>
        <v>2016</v>
      </c>
      <c r="D4041" s="13">
        <v>20250</v>
      </c>
      <c r="E4041" s="13">
        <v>62.146099999999997</v>
      </c>
      <c r="F4041" s="13">
        <f t="shared" si="191"/>
        <v>325.84506509660304</v>
      </c>
    </row>
    <row r="4042" spans="1:6" x14ac:dyDescent="0.25">
      <c r="A4042" s="10">
        <v>42668</v>
      </c>
      <c r="B4042" s="12">
        <f t="shared" si="189"/>
        <v>10</v>
      </c>
      <c r="C4042" s="12">
        <f t="shared" si="190"/>
        <v>2016</v>
      </c>
      <c r="D4042" s="13">
        <v>20250</v>
      </c>
      <c r="E4042" s="13">
        <v>62.082999999999998</v>
      </c>
      <c r="F4042" s="13">
        <f t="shared" si="191"/>
        <v>326.1762479261634</v>
      </c>
    </row>
    <row r="4043" spans="1:6" x14ac:dyDescent="0.25">
      <c r="A4043" s="10">
        <v>42669</v>
      </c>
      <c r="B4043" s="12">
        <f t="shared" si="189"/>
        <v>10</v>
      </c>
      <c r="C4043" s="12">
        <f t="shared" si="190"/>
        <v>2016</v>
      </c>
      <c r="D4043" s="13">
        <v>20250</v>
      </c>
      <c r="E4043" s="13">
        <v>62.865499999999997</v>
      </c>
      <c r="F4043" s="13">
        <f t="shared" si="191"/>
        <v>322.11626408761566</v>
      </c>
    </row>
    <row r="4044" spans="1:6" x14ac:dyDescent="0.25">
      <c r="A4044" s="10">
        <v>42670</v>
      </c>
      <c r="B4044" s="12">
        <f t="shared" si="189"/>
        <v>10</v>
      </c>
      <c r="C4044" s="12">
        <f t="shared" si="190"/>
        <v>2016</v>
      </c>
      <c r="D4044" s="13">
        <v>20250</v>
      </c>
      <c r="E4044" s="13">
        <v>62.662500000000001</v>
      </c>
      <c r="F4044" s="13">
        <f t="shared" si="191"/>
        <v>323.15978456014363</v>
      </c>
    </row>
    <row r="4045" spans="1:6" x14ac:dyDescent="0.25">
      <c r="A4045" s="10">
        <v>42671</v>
      </c>
      <c r="B4045" s="12">
        <f t="shared" si="189"/>
        <v>10</v>
      </c>
      <c r="C4045" s="12">
        <f t="shared" si="190"/>
        <v>2016</v>
      </c>
      <c r="D4045" s="13">
        <v>20250</v>
      </c>
      <c r="E4045" s="13">
        <v>62.920499999999997</v>
      </c>
      <c r="F4045" s="13">
        <f t="shared" si="191"/>
        <v>321.83469616420723</v>
      </c>
    </row>
    <row r="4046" spans="1:6" x14ac:dyDescent="0.25">
      <c r="A4046" s="10">
        <v>42674</v>
      </c>
      <c r="B4046" s="12">
        <f t="shared" si="189"/>
        <v>10</v>
      </c>
      <c r="C4046" s="12">
        <f t="shared" si="190"/>
        <v>2016</v>
      </c>
      <c r="D4046" s="13">
        <v>20000</v>
      </c>
      <c r="E4046" s="13">
        <v>63.3155</v>
      </c>
      <c r="F4046" s="13">
        <f t="shared" si="191"/>
        <v>315.87841839675906</v>
      </c>
    </row>
    <row r="4047" spans="1:6" x14ac:dyDescent="0.25">
      <c r="A4047" s="10">
        <v>42675</v>
      </c>
      <c r="B4047" s="12">
        <f t="shared" si="189"/>
        <v>11</v>
      </c>
      <c r="C4047" s="12">
        <f t="shared" si="190"/>
        <v>2016</v>
      </c>
      <c r="D4047" s="13">
        <v>20000</v>
      </c>
      <c r="E4047" s="13">
        <v>63.311799999999998</v>
      </c>
      <c r="F4047" s="13">
        <f t="shared" si="191"/>
        <v>315.89687862294232</v>
      </c>
    </row>
    <row r="4048" spans="1:6" x14ac:dyDescent="0.25">
      <c r="A4048" s="10">
        <v>42676</v>
      </c>
      <c r="B4048" s="12">
        <f t="shared" si="189"/>
        <v>11</v>
      </c>
      <c r="C4048" s="12">
        <f t="shared" si="190"/>
        <v>2016</v>
      </c>
      <c r="D4048" s="13">
        <v>20000</v>
      </c>
      <c r="E4048" s="13">
        <v>63.475000000000001</v>
      </c>
      <c r="F4048" s="13">
        <f t="shared" si="191"/>
        <v>315.08467900748326</v>
      </c>
    </row>
    <row r="4049" spans="1:6" x14ac:dyDescent="0.25">
      <c r="A4049" s="10">
        <v>42677</v>
      </c>
      <c r="B4049" s="12">
        <f t="shared" si="189"/>
        <v>11</v>
      </c>
      <c r="C4049" s="12">
        <f t="shared" si="190"/>
        <v>2016</v>
      </c>
      <c r="D4049" s="13">
        <v>20000</v>
      </c>
      <c r="E4049" s="13">
        <v>63.5565</v>
      </c>
      <c r="F4049" s="13">
        <f t="shared" si="191"/>
        <v>314.68063848701547</v>
      </c>
    </row>
    <row r="4050" spans="1:6" x14ac:dyDescent="0.25">
      <c r="A4050" s="10">
        <v>42678</v>
      </c>
      <c r="B4050" s="12">
        <f t="shared" si="189"/>
        <v>11</v>
      </c>
      <c r="C4050" s="12">
        <f t="shared" si="190"/>
        <v>2016</v>
      </c>
      <c r="D4050" s="13">
        <v>20000</v>
      </c>
      <c r="E4050" s="13">
        <v>64.452299999999994</v>
      </c>
      <c r="F4050" s="13">
        <f t="shared" si="191"/>
        <v>310.30700223265893</v>
      </c>
    </row>
    <row r="4051" spans="1:6" x14ac:dyDescent="0.25">
      <c r="A4051" s="10">
        <v>42681</v>
      </c>
      <c r="B4051" s="12">
        <f t="shared" si="189"/>
        <v>11</v>
      </c>
      <c r="C4051" s="12">
        <f t="shared" si="190"/>
        <v>2016</v>
      </c>
      <c r="D4051" s="13">
        <v>20000</v>
      </c>
      <c r="E4051" s="13">
        <v>63.601999999999997</v>
      </c>
      <c r="F4051" s="13">
        <f t="shared" si="191"/>
        <v>314.45552026665831</v>
      </c>
    </row>
    <row r="4052" spans="1:6" x14ac:dyDescent="0.25">
      <c r="A4052" s="10">
        <v>42682</v>
      </c>
      <c r="B4052" s="12">
        <f t="shared" si="189"/>
        <v>11</v>
      </c>
      <c r="C4052" s="12">
        <f t="shared" si="190"/>
        <v>2016</v>
      </c>
      <c r="D4052" s="13">
        <v>20000</v>
      </c>
      <c r="E4052" s="13">
        <v>63.847000000000001</v>
      </c>
      <c r="F4052" s="13">
        <f t="shared" si="191"/>
        <v>313.24886055726972</v>
      </c>
    </row>
    <row r="4053" spans="1:6" x14ac:dyDescent="0.25">
      <c r="A4053" s="10">
        <v>42683</v>
      </c>
      <c r="B4053" s="12">
        <f t="shared" si="189"/>
        <v>11</v>
      </c>
      <c r="C4053" s="12">
        <f t="shared" si="190"/>
        <v>2016</v>
      </c>
      <c r="D4053" s="13">
        <v>20000</v>
      </c>
      <c r="E4053" s="13">
        <v>63.863500000000002</v>
      </c>
      <c r="F4053" s="13">
        <f t="shared" si="191"/>
        <v>313.16792847244511</v>
      </c>
    </row>
    <row r="4054" spans="1:6" x14ac:dyDescent="0.25">
      <c r="A4054" s="10">
        <v>42684</v>
      </c>
      <c r="B4054" s="12">
        <f t="shared" si="189"/>
        <v>11</v>
      </c>
      <c r="C4054" s="12">
        <f t="shared" si="190"/>
        <v>2016</v>
      </c>
      <c r="D4054" s="13">
        <v>20000</v>
      </c>
      <c r="E4054" s="13">
        <v>65.685500000000005</v>
      </c>
      <c r="F4054" s="13">
        <f t="shared" si="191"/>
        <v>304.48120209178586</v>
      </c>
    </row>
    <row r="4055" spans="1:6" x14ac:dyDescent="0.25">
      <c r="A4055" s="10">
        <v>42685</v>
      </c>
      <c r="B4055" s="12">
        <f t="shared" si="189"/>
        <v>11</v>
      </c>
      <c r="C4055" s="12">
        <f t="shared" si="190"/>
        <v>2016</v>
      </c>
      <c r="D4055" s="13">
        <v>20000</v>
      </c>
      <c r="E4055" s="13">
        <v>65.636799999999994</v>
      </c>
      <c r="F4055" s="13">
        <f t="shared" si="191"/>
        <v>304.70711552056167</v>
      </c>
    </row>
    <row r="4056" spans="1:6" x14ac:dyDescent="0.25">
      <c r="A4056" s="10">
        <v>42688</v>
      </c>
      <c r="B4056" s="12">
        <f t="shared" si="189"/>
        <v>11</v>
      </c>
      <c r="C4056" s="12">
        <f t="shared" si="190"/>
        <v>2016</v>
      </c>
      <c r="D4056" s="13">
        <v>20250</v>
      </c>
      <c r="E4056" s="13">
        <v>65.98</v>
      </c>
      <c r="F4056" s="13">
        <f t="shared" si="191"/>
        <v>306.91118520763865</v>
      </c>
    </row>
    <row r="4057" spans="1:6" x14ac:dyDescent="0.25">
      <c r="A4057" s="10">
        <v>42689</v>
      </c>
      <c r="B4057" s="12">
        <f t="shared" si="189"/>
        <v>11</v>
      </c>
      <c r="C4057" s="12">
        <f t="shared" si="190"/>
        <v>2016</v>
      </c>
      <c r="D4057" s="13">
        <v>20250</v>
      </c>
      <c r="E4057" s="13">
        <v>64.17</v>
      </c>
      <c r="F4057" s="13">
        <f t="shared" si="191"/>
        <v>315.56802244039272</v>
      </c>
    </row>
    <row r="4058" spans="1:6" x14ac:dyDescent="0.25">
      <c r="A4058" s="10">
        <v>42690</v>
      </c>
      <c r="B4058" s="12">
        <f t="shared" si="189"/>
        <v>11</v>
      </c>
      <c r="C4058" s="12">
        <f t="shared" si="190"/>
        <v>2016</v>
      </c>
      <c r="D4058" s="13">
        <v>20250</v>
      </c>
      <c r="E4058" s="13">
        <v>64.742500000000007</v>
      </c>
      <c r="F4058" s="13">
        <f t="shared" si="191"/>
        <v>312.7775418002085</v>
      </c>
    </row>
    <row r="4059" spans="1:6" x14ac:dyDescent="0.25">
      <c r="A4059" s="10">
        <v>42691</v>
      </c>
      <c r="B4059" s="12">
        <f t="shared" si="189"/>
        <v>11</v>
      </c>
      <c r="C4059" s="12">
        <f t="shared" si="190"/>
        <v>2016</v>
      </c>
      <c r="D4059" s="13">
        <v>20250</v>
      </c>
      <c r="E4059" s="13">
        <v>64.884500000000003</v>
      </c>
      <c r="F4059" s="13">
        <f t="shared" si="191"/>
        <v>312.09302684000028</v>
      </c>
    </row>
    <row r="4060" spans="1:6" x14ac:dyDescent="0.25">
      <c r="A4060" s="10">
        <v>42692</v>
      </c>
      <c r="B4060" s="12">
        <f t="shared" si="189"/>
        <v>11</v>
      </c>
      <c r="C4060" s="12">
        <f t="shared" si="190"/>
        <v>2016</v>
      </c>
      <c r="D4060" s="13">
        <v>20250</v>
      </c>
      <c r="E4060" s="13">
        <v>64.647300000000001</v>
      </c>
      <c r="F4060" s="13">
        <f t="shared" si="191"/>
        <v>313.23813987591126</v>
      </c>
    </row>
    <row r="4061" spans="1:6" x14ac:dyDescent="0.25">
      <c r="A4061" s="10">
        <v>42695</v>
      </c>
      <c r="B4061" s="12">
        <f t="shared" si="189"/>
        <v>11</v>
      </c>
      <c r="C4061" s="12">
        <f t="shared" si="190"/>
        <v>2016</v>
      </c>
      <c r="D4061" s="13">
        <v>20350</v>
      </c>
      <c r="E4061" s="13">
        <v>63.974499999999999</v>
      </c>
      <c r="F4061" s="13">
        <f t="shared" si="191"/>
        <v>318.09549117226396</v>
      </c>
    </row>
    <row r="4062" spans="1:6" x14ac:dyDescent="0.25">
      <c r="A4062" s="10">
        <v>42696</v>
      </c>
      <c r="B4062" s="12">
        <f t="shared" si="189"/>
        <v>11</v>
      </c>
      <c r="C4062" s="12">
        <f t="shared" si="190"/>
        <v>2016</v>
      </c>
      <c r="D4062" s="13">
        <v>20350</v>
      </c>
      <c r="E4062" s="13">
        <v>63.671999999999997</v>
      </c>
      <c r="F4062" s="13">
        <f t="shared" si="191"/>
        <v>319.60673451438623</v>
      </c>
    </row>
    <row r="4063" spans="1:6" x14ac:dyDescent="0.25">
      <c r="A4063" s="10">
        <v>42697</v>
      </c>
      <c r="B4063" s="12">
        <f t="shared" si="189"/>
        <v>11</v>
      </c>
      <c r="C4063" s="12">
        <f t="shared" si="190"/>
        <v>2016</v>
      </c>
      <c r="D4063" s="13">
        <v>20350</v>
      </c>
      <c r="E4063" s="13">
        <v>64.360600000000005</v>
      </c>
      <c r="F4063" s="13">
        <f t="shared" si="191"/>
        <v>316.18723256153606</v>
      </c>
    </row>
    <row r="4064" spans="1:6" x14ac:dyDescent="0.25">
      <c r="A4064" s="10">
        <v>42699</v>
      </c>
      <c r="B4064" s="12">
        <f t="shared" si="189"/>
        <v>11</v>
      </c>
      <c r="C4064" s="12">
        <f t="shared" si="190"/>
        <v>2016</v>
      </c>
      <c r="D4064" s="13">
        <v>20350</v>
      </c>
      <c r="E4064" s="13">
        <v>64.864999999999995</v>
      </c>
      <c r="F4064" s="13">
        <f t="shared" si="191"/>
        <v>313.72851306559778</v>
      </c>
    </row>
    <row r="4065" spans="1:6" x14ac:dyDescent="0.25">
      <c r="A4065" s="10">
        <v>42702</v>
      </c>
      <c r="B4065" s="12">
        <f t="shared" si="189"/>
        <v>11</v>
      </c>
      <c r="C4065" s="12">
        <f t="shared" si="190"/>
        <v>2016</v>
      </c>
      <c r="D4065" s="13">
        <v>20750</v>
      </c>
      <c r="E4065" s="13">
        <v>64.710700000000003</v>
      </c>
      <c r="F4065" s="13">
        <f t="shared" si="191"/>
        <v>320.65794374037057</v>
      </c>
    </row>
    <row r="4066" spans="1:6" x14ac:dyDescent="0.25">
      <c r="A4066" s="10">
        <v>42703</v>
      </c>
      <c r="B4066" s="12">
        <f t="shared" si="189"/>
        <v>11</v>
      </c>
      <c r="C4066" s="12">
        <f t="shared" si="190"/>
        <v>2016</v>
      </c>
      <c r="D4066" s="13">
        <v>20750</v>
      </c>
      <c r="E4066" s="13">
        <v>65.059899999999999</v>
      </c>
      <c r="F4066" s="13">
        <f t="shared" si="191"/>
        <v>318.93685665056358</v>
      </c>
    </row>
    <row r="4067" spans="1:6" x14ac:dyDescent="0.25">
      <c r="A4067" s="10">
        <v>42704</v>
      </c>
      <c r="B4067" s="12">
        <f t="shared" si="189"/>
        <v>11</v>
      </c>
      <c r="C4067" s="12">
        <f t="shared" si="190"/>
        <v>2016</v>
      </c>
      <c r="D4067" s="13">
        <v>20750</v>
      </c>
      <c r="E4067" s="13">
        <v>64.076999999999998</v>
      </c>
      <c r="F4067" s="13">
        <f t="shared" si="191"/>
        <v>323.82914306225325</v>
      </c>
    </row>
    <row r="4068" spans="1:6" x14ac:dyDescent="0.25">
      <c r="A4068" s="10">
        <v>42705</v>
      </c>
      <c r="B4068" s="12">
        <f t="shared" si="189"/>
        <v>12</v>
      </c>
      <c r="C4068" s="12">
        <f t="shared" si="190"/>
        <v>2016</v>
      </c>
      <c r="D4068" s="13">
        <v>20750</v>
      </c>
      <c r="E4068" s="13">
        <v>63.959499999999998</v>
      </c>
      <c r="F4068" s="13">
        <f t="shared" si="191"/>
        <v>324.42404959388364</v>
      </c>
    </row>
    <row r="4069" spans="1:6" x14ac:dyDescent="0.25">
      <c r="A4069" s="10">
        <v>42706</v>
      </c>
      <c r="B4069" s="12">
        <f t="shared" si="189"/>
        <v>12</v>
      </c>
      <c r="C4069" s="12">
        <f t="shared" si="190"/>
        <v>2016</v>
      </c>
      <c r="D4069" s="13">
        <v>20750</v>
      </c>
      <c r="E4069" s="13">
        <v>63.922800000000002</v>
      </c>
      <c r="F4069" s="13">
        <f t="shared" si="191"/>
        <v>324.61031118787037</v>
      </c>
    </row>
    <row r="4070" spans="1:6" x14ac:dyDescent="0.25">
      <c r="A4070" s="10">
        <v>42709</v>
      </c>
      <c r="B4070" s="12">
        <f t="shared" si="189"/>
        <v>12</v>
      </c>
      <c r="C4070" s="12">
        <f t="shared" si="190"/>
        <v>2016</v>
      </c>
      <c r="D4070" s="13">
        <v>20850</v>
      </c>
      <c r="E4070" s="13">
        <v>63.802</v>
      </c>
      <c r="F4070" s="13">
        <f t="shared" si="191"/>
        <v>326.79226356540545</v>
      </c>
    </row>
    <row r="4071" spans="1:6" x14ac:dyDescent="0.25">
      <c r="A4071" s="10">
        <v>42710</v>
      </c>
      <c r="B4071" s="12">
        <f t="shared" si="189"/>
        <v>12</v>
      </c>
      <c r="C4071" s="12">
        <f t="shared" si="190"/>
        <v>2016</v>
      </c>
      <c r="D4071" s="13">
        <v>20850</v>
      </c>
      <c r="E4071" s="13">
        <v>63.808599999999998</v>
      </c>
      <c r="F4071" s="13">
        <f t="shared" si="191"/>
        <v>326.75846202549502</v>
      </c>
    </row>
    <row r="4072" spans="1:6" x14ac:dyDescent="0.25">
      <c r="A4072" s="10">
        <v>42711</v>
      </c>
      <c r="B4072" s="12">
        <f t="shared" si="189"/>
        <v>12</v>
      </c>
      <c r="C4072" s="12">
        <f t="shared" si="190"/>
        <v>2016</v>
      </c>
      <c r="D4072" s="13">
        <v>20850</v>
      </c>
      <c r="E4072" s="13">
        <v>63.199300000000001</v>
      </c>
      <c r="F4072" s="13">
        <f t="shared" si="191"/>
        <v>329.90871734338828</v>
      </c>
    </row>
    <row r="4073" spans="1:6" x14ac:dyDescent="0.25">
      <c r="A4073" s="10">
        <v>42712</v>
      </c>
      <c r="B4073" s="12">
        <f t="shared" si="189"/>
        <v>12</v>
      </c>
      <c r="C4073" s="12">
        <f t="shared" si="190"/>
        <v>2016</v>
      </c>
      <c r="D4073" s="13">
        <v>20850</v>
      </c>
      <c r="E4073" s="13">
        <v>63.304499999999997</v>
      </c>
      <c r="F4073" s="13">
        <f t="shared" si="191"/>
        <v>329.36047200435991</v>
      </c>
    </row>
    <row r="4074" spans="1:6" x14ac:dyDescent="0.25">
      <c r="A4074" s="10">
        <v>42713</v>
      </c>
      <c r="B4074" s="12">
        <f t="shared" si="189"/>
        <v>12</v>
      </c>
      <c r="C4074" s="12">
        <f t="shared" si="190"/>
        <v>2016</v>
      </c>
      <c r="D4074" s="13">
        <v>20850</v>
      </c>
      <c r="E4074" s="13">
        <v>62.4651</v>
      </c>
      <c r="F4074" s="13">
        <f t="shared" si="191"/>
        <v>333.78638631812004</v>
      </c>
    </row>
    <row r="4075" spans="1:6" x14ac:dyDescent="0.25">
      <c r="A4075" s="10">
        <v>42716</v>
      </c>
      <c r="B4075" s="12">
        <f t="shared" si="189"/>
        <v>12</v>
      </c>
      <c r="C4075" s="12">
        <f t="shared" si="190"/>
        <v>2016</v>
      </c>
      <c r="E4075" s="13">
        <v>60.966999999999999</v>
      </c>
      <c r="F4075" s="13" t="str">
        <f t="shared" si="191"/>
        <v/>
      </c>
    </row>
    <row r="4076" spans="1:6" x14ac:dyDescent="0.25">
      <c r="A4076" s="10">
        <v>42717</v>
      </c>
      <c r="B4076" s="12">
        <f t="shared" si="189"/>
        <v>12</v>
      </c>
      <c r="C4076" s="12">
        <f t="shared" si="190"/>
        <v>2016</v>
      </c>
      <c r="E4076" s="13">
        <v>60.6295</v>
      </c>
      <c r="F4076" s="13" t="str">
        <f t="shared" si="191"/>
        <v/>
      </c>
    </row>
    <row r="4077" spans="1:6" x14ac:dyDescent="0.25">
      <c r="A4077" s="10">
        <v>42718</v>
      </c>
      <c r="B4077" s="12">
        <f t="shared" si="189"/>
        <v>12</v>
      </c>
      <c r="C4077" s="12">
        <f t="shared" si="190"/>
        <v>2016</v>
      </c>
      <c r="E4077" s="13">
        <v>62.122</v>
      </c>
      <c r="F4077" s="13" t="str">
        <f t="shared" si="191"/>
        <v/>
      </c>
    </row>
    <row r="4078" spans="1:6" x14ac:dyDescent="0.25">
      <c r="A4078" s="10">
        <v>42719</v>
      </c>
      <c r="B4078" s="12">
        <f t="shared" si="189"/>
        <v>12</v>
      </c>
      <c r="C4078" s="12">
        <f t="shared" si="190"/>
        <v>2016</v>
      </c>
      <c r="E4078" s="13">
        <v>61.7</v>
      </c>
      <c r="F4078" s="13" t="str">
        <f t="shared" si="191"/>
        <v/>
      </c>
    </row>
    <row r="4079" spans="1:6" x14ac:dyDescent="0.25">
      <c r="A4079" s="10">
        <v>42720</v>
      </c>
      <c r="B4079" s="12">
        <f t="shared" si="189"/>
        <v>12</v>
      </c>
      <c r="C4079" s="12">
        <f t="shared" si="190"/>
        <v>2016</v>
      </c>
      <c r="E4079" s="13">
        <v>62.042900000000003</v>
      </c>
      <c r="F4079" s="13" t="str">
        <f t="shared" si="191"/>
        <v/>
      </c>
    </row>
    <row r="4080" spans="1:6" x14ac:dyDescent="0.25">
      <c r="A4080" s="10">
        <v>42723</v>
      </c>
      <c r="B4080" s="12">
        <f t="shared" si="189"/>
        <v>12</v>
      </c>
      <c r="C4080" s="12">
        <f t="shared" si="190"/>
        <v>2016</v>
      </c>
      <c r="D4080" s="13">
        <v>21250</v>
      </c>
      <c r="E4080" s="13">
        <v>61.847499999999997</v>
      </c>
      <c r="F4080" s="13">
        <f t="shared" si="191"/>
        <v>343.58704878936095</v>
      </c>
    </row>
    <row r="4081" spans="1:6" x14ac:dyDescent="0.25">
      <c r="A4081" s="10">
        <v>42724</v>
      </c>
      <c r="B4081" s="12">
        <f t="shared" si="189"/>
        <v>12</v>
      </c>
      <c r="C4081" s="12">
        <f t="shared" si="190"/>
        <v>2016</v>
      </c>
      <c r="D4081" s="13">
        <v>21250</v>
      </c>
      <c r="E4081" s="13">
        <v>61.418399999999998</v>
      </c>
      <c r="F4081" s="13">
        <f t="shared" si="191"/>
        <v>345.98752165474843</v>
      </c>
    </row>
    <row r="4082" spans="1:6" x14ac:dyDescent="0.25">
      <c r="A4082" s="10">
        <v>42725</v>
      </c>
      <c r="B4082" s="12">
        <f t="shared" si="189"/>
        <v>12</v>
      </c>
      <c r="C4082" s="12">
        <f t="shared" si="190"/>
        <v>2016</v>
      </c>
      <c r="D4082" s="13">
        <v>21250</v>
      </c>
      <c r="E4082" s="13">
        <v>61.135800000000003</v>
      </c>
      <c r="F4082" s="13">
        <f t="shared" si="191"/>
        <v>347.58684764082579</v>
      </c>
    </row>
    <row r="4083" spans="1:6" x14ac:dyDescent="0.25">
      <c r="A4083" s="10">
        <v>42726</v>
      </c>
      <c r="B4083" s="12">
        <f t="shared" si="189"/>
        <v>12</v>
      </c>
      <c r="C4083" s="12">
        <f t="shared" si="190"/>
        <v>2016</v>
      </c>
      <c r="D4083" s="13">
        <v>21250</v>
      </c>
      <c r="E4083" s="13">
        <v>60.930999999999997</v>
      </c>
      <c r="F4083" s="13">
        <f t="shared" si="191"/>
        <v>348.75514926720388</v>
      </c>
    </row>
    <row r="4084" spans="1:6" x14ac:dyDescent="0.25">
      <c r="A4084" s="10">
        <v>42727</v>
      </c>
      <c r="B4084" s="12">
        <f t="shared" si="189"/>
        <v>12</v>
      </c>
      <c r="C4084" s="12">
        <f t="shared" si="190"/>
        <v>2016</v>
      </c>
      <c r="D4084" s="13">
        <v>21250</v>
      </c>
      <c r="E4084" s="13">
        <v>60.993099999999998</v>
      </c>
      <c r="F4084" s="13">
        <f t="shared" si="191"/>
        <v>348.4000649253768</v>
      </c>
    </row>
    <row r="4085" spans="1:6" x14ac:dyDescent="0.25">
      <c r="A4085" s="10">
        <v>42731</v>
      </c>
      <c r="B4085" s="12">
        <f t="shared" si="189"/>
        <v>12</v>
      </c>
      <c r="C4085" s="12">
        <f t="shared" si="190"/>
        <v>2016</v>
      </c>
      <c r="E4085" s="13">
        <v>60.575699999999998</v>
      </c>
      <c r="F4085" s="13" t="str">
        <f t="shared" si="191"/>
        <v/>
      </c>
    </row>
    <row r="4086" spans="1:6" x14ac:dyDescent="0.25">
      <c r="A4086" s="10">
        <v>42732</v>
      </c>
      <c r="B4086" s="12">
        <f t="shared" si="189"/>
        <v>12</v>
      </c>
      <c r="C4086" s="12">
        <f t="shared" si="190"/>
        <v>2016</v>
      </c>
      <c r="E4086" s="13">
        <v>60.462499999999999</v>
      </c>
      <c r="F4086" s="13" t="str">
        <f t="shared" si="191"/>
        <v/>
      </c>
    </row>
    <row r="4087" spans="1:6" x14ac:dyDescent="0.25">
      <c r="A4087" s="10">
        <v>42733</v>
      </c>
      <c r="B4087" s="12">
        <f t="shared" si="189"/>
        <v>12</v>
      </c>
      <c r="C4087" s="12">
        <f t="shared" si="190"/>
        <v>2016</v>
      </c>
      <c r="E4087" s="13">
        <v>60.331099999999999</v>
      </c>
      <c r="F4087" s="13" t="str">
        <f t="shared" si="191"/>
        <v/>
      </c>
    </row>
    <row r="4088" spans="1:6" x14ac:dyDescent="0.25">
      <c r="A4088" s="10">
        <v>42734</v>
      </c>
      <c r="B4088" s="12">
        <f t="shared" si="189"/>
        <v>12</v>
      </c>
      <c r="C4088" s="12">
        <f t="shared" si="190"/>
        <v>2016</v>
      </c>
      <c r="E4088" s="13">
        <v>61.262999999999998</v>
      </c>
      <c r="F4088" s="13" t="str">
        <f t="shared" si="191"/>
        <v/>
      </c>
    </row>
    <row r="4089" spans="1:6" x14ac:dyDescent="0.25">
      <c r="A4089" s="10">
        <v>42738</v>
      </c>
      <c r="B4089" s="12">
        <f t="shared" si="189"/>
        <v>1</v>
      </c>
      <c r="C4089" s="12">
        <f t="shared" si="190"/>
        <v>2017</v>
      </c>
      <c r="E4089" s="13">
        <v>60.933</v>
      </c>
      <c r="F4089" s="13" t="str">
        <f t="shared" si="191"/>
        <v/>
      </c>
    </row>
    <row r="4090" spans="1:6" x14ac:dyDescent="0.25">
      <c r="A4090" s="10">
        <v>42739</v>
      </c>
      <c r="B4090" s="12">
        <f t="shared" si="189"/>
        <v>1</v>
      </c>
      <c r="C4090" s="12">
        <f t="shared" si="190"/>
        <v>2017</v>
      </c>
      <c r="E4090" s="13">
        <v>60.274500000000003</v>
      </c>
      <c r="F4090" s="13" t="str">
        <f t="shared" si="191"/>
        <v/>
      </c>
    </row>
    <row r="4091" spans="1:6" x14ac:dyDescent="0.25">
      <c r="A4091" s="10">
        <v>42740</v>
      </c>
      <c r="B4091" s="12">
        <f t="shared" si="189"/>
        <v>1</v>
      </c>
      <c r="C4091" s="12">
        <f t="shared" si="190"/>
        <v>2017</v>
      </c>
      <c r="E4091" s="13">
        <v>59.341000000000001</v>
      </c>
      <c r="F4091" s="13" t="str">
        <f t="shared" si="191"/>
        <v/>
      </c>
    </row>
    <row r="4092" spans="1:6" x14ac:dyDescent="0.25">
      <c r="A4092" s="10">
        <v>42741</v>
      </c>
      <c r="B4092" s="12">
        <f t="shared" si="189"/>
        <v>1</v>
      </c>
      <c r="C4092" s="12">
        <f t="shared" si="190"/>
        <v>2017</v>
      </c>
      <c r="E4092" s="13">
        <v>59.558</v>
      </c>
      <c r="F4092" s="13" t="str">
        <f t="shared" si="191"/>
        <v/>
      </c>
    </row>
    <row r="4093" spans="1:6" x14ac:dyDescent="0.25">
      <c r="A4093" s="10">
        <v>42744</v>
      </c>
      <c r="B4093" s="12">
        <f t="shared" si="189"/>
        <v>1</v>
      </c>
      <c r="C4093" s="12">
        <f t="shared" si="190"/>
        <v>2017</v>
      </c>
      <c r="D4093" s="13">
        <v>21100</v>
      </c>
      <c r="E4093" s="13">
        <v>60.1066</v>
      </c>
      <c r="F4093" s="13">
        <f t="shared" si="191"/>
        <v>351.04298030499149</v>
      </c>
    </row>
    <row r="4094" spans="1:6" x14ac:dyDescent="0.25">
      <c r="A4094" s="10">
        <v>42745</v>
      </c>
      <c r="B4094" s="12">
        <f t="shared" si="189"/>
        <v>1</v>
      </c>
      <c r="C4094" s="12">
        <f t="shared" si="190"/>
        <v>2017</v>
      </c>
      <c r="D4094" s="13">
        <v>21100</v>
      </c>
      <c r="E4094" s="13">
        <v>60.072000000000003</v>
      </c>
      <c r="F4094" s="13">
        <f t="shared" si="191"/>
        <v>351.24517245971498</v>
      </c>
    </row>
    <row r="4095" spans="1:6" x14ac:dyDescent="0.25">
      <c r="A4095" s="10">
        <v>42746</v>
      </c>
      <c r="B4095" s="12">
        <f t="shared" si="189"/>
        <v>1</v>
      </c>
      <c r="C4095" s="12">
        <f t="shared" si="190"/>
        <v>2017</v>
      </c>
      <c r="D4095" s="13">
        <v>21100</v>
      </c>
      <c r="E4095" s="13">
        <v>59.686500000000002</v>
      </c>
      <c r="F4095" s="13">
        <f t="shared" si="191"/>
        <v>353.51377614703489</v>
      </c>
    </row>
    <row r="4096" spans="1:6" x14ac:dyDescent="0.25">
      <c r="A4096" s="10">
        <v>42747</v>
      </c>
      <c r="B4096" s="12">
        <f t="shared" si="189"/>
        <v>1</v>
      </c>
      <c r="C4096" s="12">
        <f t="shared" si="190"/>
        <v>2017</v>
      </c>
      <c r="D4096" s="13">
        <v>21100</v>
      </c>
      <c r="E4096" s="13">
        <v>59.317999999999998</v>
      </c>
      <c r="F4096" s="13">
        <f t="shared" si="191"/>
        <v>355.70990255908833</v>
      </c>
    </row>
    <row r="4097" spans="1:6" x14ac:dyDescent="0.25">
      <c r="A4097" s="10">
        <v>42748</v>
      </c>
      <c r="B4097" s="12">
        <f t="shared" si="189"/>
        <v>1</v>
      </c>
      <c r="C4097" s="12">
        <f t="shared" si="190"/>
        <v>2017</v>
      </c>
      <c r="D4097" s="13">
        <v>21100</v>
      </c>
      <c r="E4097" s="13">
        <v>59.604500000000002</v>
      </c>
      <c r="F4097" s="13">
        <f t="shared" si="191"/>
        <v>354.00011744079723</v>
      </c>
    </row>
    <row r="4098" spans="1:6" x14ac:dyDescent="0.25">
      <c r="A4098" s="10">
        <v>42752</v>
      </c>
      <c r="B4098" s="12">
        <f t="shared" si="189"/>
        <v>1</v>
      </c>
      <c r="C4098" s="12">
        <f t="shared" si="190"/>
        <v>2017</v>
      </c>
      <c r="E4098" s="13">
        <v>59.332500000000003</v>
      </c>
      <c r="F4098" s="13" t="str">
        <f t="shared" si="191"/>
        <v/>
      </c>
    </row>
    <row r="4099" spans="1:6" x14ac:dyDescent="0.25">
      <c r="A4099" s="10">
        <v>42753</v>
      </c>
      <c r="B4099" s="12">
        <f t="shared" ref="B4099:B4162" si="192">MONTH(A4099)</f>
        <v>1</v>
      </c>
      <c r="C4099" s="12">
        <f t="shared" ref="C4099:C4162" si="193">YEAR(A4099)</f>
        <v>2017</v>
      </c>
      <c r="E4099" s="13">
        <v>59.4696</v>
      </c>
      <c r="F4099" s="13" t="str">
        <f t="shared" ref="F4099:F4162" si="194">IF(D4099="","",D4099/E4099)</f>
        <v/>
      </c>
    </row>
    <row r="4100" spans="1:6" x14ac:dyDescent="0.25">
      <c r="A4100" s="10">
        <v>42754</v>
      </c>
      <c r="B4100" s="12">
        <f t="shared" si="192"/>
        <v>1</v>
      </c>
      <c r="C4100" s="12">
        <f t="shared" si="193"/>
        <v>2017</v>
      </c>
      <c r="E4100" s="13">
        <v>59.861499999999999</v>
      </c>
      <c r="F4100" s="13" t="str">
        <f t="shared" si="194"/>
        <v/>
      </c>
    </row>
    <row r="4101" spans="1:6" x14ac:dyDescent="0.25">
      <c r="A4101" s="10">
        <v>42755</v>
      </c>
      <c r="B4101" s="12">
        <f t="shared" si="192"/>
        <v>1</v>
      </c>
      <c r="C4101" s="12">
        <f t="shared" si="193"/>
        <v>2017</v>
      </c>
      <c r="E4101" s="13">
        <v>59.661099999999998</v>
      </c>
      <c r="F4101" s="13" t="str">
        <f t="shared" si="194"/>
        <v/>
      </c>
    </row>
    <row r="4102" spans="1:6" x14ac:dyDescent="0.25">
      <c r="A4102" s="10">
        <v>42758</v>
      </c>
      <c r="B4102" s="12">
        <f t="shared" si="192"/>
        <v>1</v>
      </c>
      <c r="C4102" s="12">
        <f t="shared" si="193"/>
        <v>2017</v>
      </c>
      <c r="D4102" s="13">
        <v>20500</v>
      </c>
      <c r="E4102" s="13">
        <v>59.495699999999999</v>
      </c>
      <c r="F4102" s="13">
        <f t="shared" si="194"/>
        <v>344.56271629714416</v>
      </c>
    </row>
    <row r="4103" spans="1:6" x14ac:dyDescent="0.25">
      <c r="A4103" s="10">
        <v>42759</v>
      </c>
      <c r="B4103" s="12">
        <f t="shared" si="192"/>
        <v>1</v>
      </c>
      <c r="C4103" s="12">
        <f t="shared" si="193"/>
        <v>2017</v>
      </c>
      <c r="D4103" s="13">
        <v>20500</v>
      </c>
      <c r="E4103" s="13">
        <v>59.232399999999998</v>
      </c>
      <c r="F4103" s="13">
        <f t="shared" si="194"/>
        <v>346.09436727196601</v>
      </c>
    </row>
    <row r="4104" spans="1:6" x14ac:dyDescent="0.25">
      <c r="A4104" s="10">
        <v>42760</v>
      </c>
      <c r="B4104" s="12">
        <f t="shared" si="192"/>
        <v>1</v>
      </c>
      <c r="C4104" s="12">
        <f t="shared" si="193"/>
        <v>2017</v>
      </c>
      <c r="D4104" s="13">
        <v>20500</v>
      </c>
      <c r="E4104" s="13">
        <v>59.499499999999998</v>
      </c>
      <c r="F4104" s="13">
        <f t="shared" si="194"/>
        <v>344.54071042613805</v>
      </c>
    </row>
    <row r="4105" spans="1:6" x14ac:dyDescent="0.25">
      <c r="A4105" s="10">
        <v>42761</v>
      </c>
      <c r="B4105" s="12">
        <f t="shared" si="192"/>
        <v>1</v>
      </c>
      <c r="C4105" s="12">
        <f t="shared" si="193"/>
        <v>2017</v>
      </c>
      <c r="D4105" s="13">
        <v>20500</v>
      </c>
      <c r="E4105" s="13">
        <v>60.3718</v>
      </c>
      <c r="F4105" s="13">
        <f t="shared" si="194"/>
        <v>339.56251097366652</v>
      </c>
    </row>
    <row r="4106" spans="1:6" x14ac:dyDescent="0.25">
      <c r="A4106" s="10">
        <v>42762</v>
      </c>
      <c r="B4106" s="12">
        <f t="shared" si="192"/>
        <v>1</v>
      </c>
      <c r="C4106" s="12">
        <f t="shared" si="193"/>
        <v>2017</v>
      </c>
      <c r="D4106" s="13">
        <v>20500</v>
      </c>
      <c r="E4106" s="13">
        <v>59.7759</v>
      </c>
      <c r="F4106" s="13">
        <f t="shared" si="194"/>
        <v>342.94757586251313</v>
      </c>
    </row>
    <row r="4107" spans="1:6" x14ac:dyDescent="0.25">
      <c r="A4107" s="10">
        <v>42765</v>
      </c>
      <c r="B4107" s="12">
        <f t="shared" si="192"/>
        <v>1</v>
      </c>
      <c r="C4107" s="12">
        <f t="shared" si="193"/>
        <v>2017</v>
      </c>
      <c r="D4107" s="13">
        <v>20000</v>
      </c>
      <c r="E4107" s="13">
        <v>59.8581</v>
      </c>
      <c r="F4107" s="13">
        <f t="shared" si="194"/>
        <v>334.12353549477848</v>
      </c>
    </row>
    <row r="4108" spans="1:6" x14ac:dyDescent="0.25">
      <c r="A4108" s="10">
        <v>42766</v>
      </c>
      <c r="B4108" s="12">
        <f t="shared" si="192"/>
        <v>1</v>
      </c>
      <c r="C4108" s="12">
        <f t="shared" si="193"/>
        <v>2017</v>
      </c>
      <c r="D4108" s="13">
        <v>20000</v>
      </c>
      <c r="E4108" s="13">
        <v>60.097000000000001</v>
      </c>
      <c r="F4108" s="13">
        <f t="shared" si="194"/>
        <v>332.79531424197546</v>
      </c>
    </row>
    <row r="4109" spans="1:6" x14ac:dyDescent="0.25">
      <c r="A4109" s="10">
        <v>42767</v>
      </c>
      <c r="B4109" s="12">
        <f t="shared" si="192"/>
        <v>2</v>
      </c>
      <c r="C4109" s="12">
        <f t="shared" si="193"/>
        <v>2017</v>
      </c>
      <c r="D4109" s="13">
        <v>20000</v>
      </c>
      <c r="E4109" s="13">
        <v>60.054499999999997</v>
      </c>
      <c r="F4109" s="13">
        <f t="shared" si="194"/>
        <v>333.03083032911775</v>
      </c>
    </row>
    <row r="4110" spans="1:6" x14ac:dyDescent="0.25">
      <c r="A4110" s="10">
        <v>42768</v>
      </c>
      <c r="B4110" s="12">
        <f t="shared" si="192"/>
        <v>2</v>
      </c>
      <c r="C4110" s="12">
        <f t="shared" si="193"/>
        <v>2017</v>
      </c>
      <c r="D4110" s="13">
        <v>20000</v>
      </c>
      <c r="E4110" s="13">
        <v>59.324599999999997</v>
      </c>
      <c r="F4110" s="13">
        <f t="shared" si="194"/>
        <v>337.12827393695028</v>
      </c>
    </row>
    <row r="4111" spans="1:6" x14ac:dyDescent="0.25">
      <c r="A4111" s="10">
        <v>42769</v>
      </c>
      <c r="B4111" s="12">
        <f t="shared" si="192"/>
        <v>2</v>
      </c>
      <c r="C4111" s="12">
        <f t="shared" si="193"/>
        <v>2017</v>
      </c>
      <c r="D4111" s="13">
        <v>20000</v>
      </c>
      <c r="E4111" s="13">
        <v>59.015300000000003</v>
      </c>
      <c r="F4111" s="13">
        <f t="shared" si="194"/>
        <v>338.89516786324901</v>
      </c>
    </row>
    <row r="4112" spans="1:6" x14ac:dyDescent="0.25">
      <c r="A4112" s="10">
        <v>42772</v>
      </c>
      <c r="B4112" s="12">
        <f t="shared" si="192"/>
        <v>2</v>
      </c>
      <c r="C4112" s="12">
        <f t="shared" si="193"/>
        <v>2017</v>
      </c>
      <c r="D4112" s="13">
        <v>20000</v>
      </c>
      <c r="E4112" s="13">
        <v>58.907499999999999</v>
      </c>
      <c r="F4112" s="13">
        <f t="shared" si="194"/>
        <v>339.51534184950981</v>
      </c>
    </row>
    <row r="4113" spans="1:6" x14ac:dyDescent="0.25">
      <c r="A4113" s="10">
        <v>42773</v>
      </c>
      <c r="B4113" s="12">
        <f t="shared" si="192"/>
        <v>2</v>
      </c>
      <c r="C4113" s="12">
        <f t="shared" si="193"/>
        <v>2017</v>
      </c>
      <c r="D4113" s="13">
        <v>20000</v>
      </c>
      <c r="E4113" s="13">
        <v>59.417000000000002</v>
      </c>
      <c r="F4113" s="13">
        <f t="shared" si="194"/>
        <v>336.60400222158643</v>
      </c>
    </row>
    <row r="4114" spans="1:6" x14ac:dyDescent="0.25">
      <c r="A4114" s="10">
        <v>42774</v>
      </c>
      <c r="B4114" s="12">
        <f t="shared" si="192"/>
        <v>2</v>
      </c>
      <c r="C4114" s="12">
        <f t="shared" si="193"/>
        <v>2017</v>
      </c>
      <c r="D4114" s="13">
        <v>20000</v>
      </c>
      <c r="E4114" s="13">
        <v>59.184800000000003</v>
      </c>
      <c r="F4114" s="13">
        <f t="shared" si="194"/>
        <v>337.92460226274312</v>
      </c>
    </row>
    <row r="4115" spans="1:6" x14ac:dyDescent="0.25">
      <c r="A4115" s="10">
        <v>42775</v>
      </c>
      <c r="B4115" s="12">
        <f t="shared" si="192"/>
        <v>2</v>
      </c>
      <c r="C4115" s="12">
        <f t="shared" si="193"/>
        <v>2017</v>
      </c>
      <c r="D4115" s="13">
        <v>20000</v>
      </c>
      <c r="E4115" s="13">
        <v>58.938299999999998</v>
      </c>
      <c r="F4115" s="13">
        <f t="shared" si="194"/>
        <v>339.33791778860268</v>
      </c>
    </row>
    <row r="4116" spans="1:6" x14ac:dyDescent="0.25">
      <c r="A4116" s="10">
        <v>42776</v>
      </c>
      <c r="B4116" s="12">
        <f t="shared" si="192"/>
        <v>2</v>
      </c>
      <c r="C4116" s="12">
        <f t="shared" si="193"/>
        <v>2017</v>
      </c>
      <c r="D4116" s="13">
        <v>20000</v>
      </c>
      <c r="E4116" s="13">
        <v>58.260199999999998</v>
      </c>
      <c r="F4116" s="13">
        <f t="shared" si="194"/>
        <v>343.28752733426938</v>
      </c>
    </row>
    <row r="4117" spans="1:6" x14ac:dyDescent="0.25">
      <c r="A4117" s="10">
        <v>42779</v>
      </c>
      <c r="B4117" s="12">
        <f t="shared" si="192"/>
        <v>2</v>
      </c>
      <c r="C4117" s="12">
        <f t="shared" si="193"/>
        <v>2017</v>
      </c>
      <c r="D4117" s="13">
        <v>19900</v>
      </c>
      <c r="E4117" s="13">
        <v>57.969200000000001</v>
      </c>
      <c r="F4117" s="13">
        <f t="shared" si="194"/>
        <v>343.28574484381363</v>
      </c>
    </row>
    <row r="4118" spans="1:6" x14ac:dyDescent="0.25">
      <c r="A4118" s="10">
        <v>42780</v>
      </c>
      <c r="B4118" s="12">
        <f t="shared" si="192"/>
        <v>2</v>
      </c>
      <c r="C4118" s="12">
        <f t="shared" si="193"/>
        <v>2017</v>
      </c>
      <c r="D4118" s="13">
        <v>19900</v>
      </c>
      <c r="E4118" s="13">
        <v>57.049500000000002</v>
      </c>
      <c r="F4118" s="13">
        <f t="shared" si="194"/>
        <v>348.81988448627942</v>
      </c>
    </row>
    <row r="4119" spans="1:6" x14ac:dyDescent="0.25">
      <c r="A4119" s="10">
        <v>42781</v>
      </c>
      <c r="B4119" s="12">
        <f t="shared" si="192"/>
        <v>2</v>
      </c>
      <c r="C4119" s="12">
        <f t="shared" si="193"/>
        <v>2017</v>
      </c>
      <c r="D4119" s="13">
        <v>19900</v>
      </c>
      <c r="E4119" s="13">
        <v>57.166800000000002</v>
      </c>
      <c r="F4119" s="13">
        <f t="shared" si="194"/>
        <v>348.10414436351169</v>
      </c>
    </row>
    <row r="4120" spans="1:6" x14ac:dyDescent="0.25">
      <c r="A4120" s="10">
        <v>42782</v>
      </c>
      <c r="B4120" s="12">
        <f t="shared" si="192"/>
        <v>2</v>
      </c>
      <c r="C4120" s="12">
        <f t="shared" si="193"/>
        <v>2017</v>
      </c>
      <c r="D4120" s="13">
        <v>19900</v>
      </c>
      <c r="E4120" s="13">
        <v>57.519599999999997</v>
      </c>
      <c r="F4120" s="13">
        <f t="shared" si="194"/>
        <v>345.9690262101962</v>
      </c>
    </row>
    <row r="4121" spans="1:6" x14ac:dyDescent="0.25">
      <c r="A4121" s="10">
        <v>42783</v>
      </c>
      <c r="B4121" s="12">
        <f t="shared" si="192"/>
        <v>2</v>
      </c>
      <c r="C4121" s="12">
        <f t="shared" si="193"/>
        <v>2017</v>
      </c>
      <c r="D4121" s="13">
        <v>19900</v>
      </c>
      <c r="E4121" s="13">
        <v>58.4315</v>
      </c>
      <c r="F4121" s="13">
        <f t="shared" si="194"/>
        <v>340.56972694522648</v>
      </c>
    </row>
    <row r="4122" spans="1:6" x14ac:dyDescent="0.25">
      <c r="A4122" s="10">
        <v>42787</v>
      </c>
      <c r="B4122" s="12">
        <f t="shared" si="192"/>
        <v>2</v>
      </c>
      <c r="C4122" s="12">
        <f t="shared" si="193"/>
        <v>2017</v>
      </c>
      <c r="D4122" s="13">
        <v>19850</v>
      </c>
      <c r="E4122" s="13">
        <v>57.376100000000001</v>
      </c>
      <c r="F4122" s="13">
        <f t="shared" si="194"/>
        <v>345.96286607141303</v>
      </c>
    </row>
    <row r="4123" spans="1:6" x14ac:dyDescent="0.25">
      <c r="A4123" s="10">
        <v>42788</v>
      </c>
      <c r="B4123" s="12">
        <f t="shared" si="192"/>
        <v>2</v>
      </c>
      <c r="C4123" s="12">
        <f t="shared" si="193"/>
        <v>2017</v>
      </c>
      <c r="D4123" s="13">
        <v>19850</v>
      </c>
      <c r="E4123" s="13">
        <v>58.0045</v>
      </c>
      <c r="F4123" s="13">
        <f t="shared" si="194"/>
        <v>342.21482815988412</v>
      </c>
    </row>
    <row r="4124" spans="1:6" x14ac:dyDescent="0.25">
      <c r="A4124" s="10">
        <v>42789</v>
      </c>
      <c r="B4124" s="12">
        <f t="shared" si="192"/>
        <v>2</v>
      </c>
      <c r="C4124" s="12">
        <f t="shared" si="193"/>
        <v>2017</v>
      </c>
      <c r="D4124" s="13">
        <v>19850</v>
      </c>
      <c r="E4124" s="13">
        <v>57.759500000000003</v>
      </c>
      <c r="F4124" s="13">
        <f t="shared" si="194"/>
        <v>343.66640985465591</v>
      </c>
    </row>
    <row r="4125" spans="1:6" x14ac:dyDescent="0.25">
      <c r="A4125" s="10">
        <v>42790</v>
      </c>
      <c r="B4125" s="12">
        <f t="shared" si="192"/>
        <v>2</v>
      </c>
      <c r="C4125" s="12">
        <f t="shared" si="193"/>
        <v>2017</v>
      </c>
      <c r="D4125" s="13">
        <v>19850</v>
      </c>
      <c r="E4125" s="13">
        <v>58.471899999999998</v>
      </c>
      <c r="F4125" s="13">
        <f t="shared" si="194"/>
        <v>339.47930544415351</v>
      </c>
    </row>
    <row r="4126" spans="1:6" x14ac:dyDescent="0.25">
      <c r="A4126" s="10">
        <v>42793</v>
      </c>
      <c r="B4126" s="12">
        <f t="shared" si="192"/>
        <v>2</v>
      </c>
      <c r="C4126" s="12">
        <f t="shared" si="193"/>
        <v>2017</v>
      </c>
      <c r="D4126" s="13">
        <v>19700</v>
      </c>
      <c r="E4126" s="13">
        <v>58.107500000000002</v>
      </c>
      <c r="F4126" s="13">
        <f t="shared" si="194"/>
        <v>339.02680376887662</v>
      </c>
    </row>
    <row r="4127" spans="1:6" x14ac:dyDescent="0.25">
      <c r="A4127" s="10">
        <v>42794</v>
      </c>
      <c r="B4127" s="12">
        <f t="shared" si="192"/>
        <v>2</v>
      </c>
      <c r="C4127" s="12">
        <f t="shared" si="193"/>
        <v>2017</v>
      </c>
      <c r="D4127" s="13">
        <v>19700</v>
      </c>
      <c r="E4127" s="13">
        <v>58.2986</v>
      </c>
      <c r="F4127" s="13">
        <f t="shared" si="194"/>
        <v>337.91549025191</v>
      </c>
    </row>
    <row r="4128" spans="1:6" x14ac:dyDescent="0.25">
      <c r="A4128" s="10">
        <v>42795</v>
      </c>
      <c r="B4128" s="12">
        <f t="shared" si="192"/>
        <v>3</v>
      </c>
      <c r="C4128" s="12">
        <f t="shared" si="193"/>
        <v>2017</v>
      </c>
      <c r="D4128" s="13">
        <v>19700</v>
      </c>
      <c r="E4128" s="13">
        <v>58.274700000000003</v>
      </c>
      <c r="F4128" s="13">
        <f t="shared" si="194"/>
        <v>338.05407835647372</v>
      </c>
    </row>
    <row r="4129" spans="1:6" x14ac:dyDescent="0.25">
      <c r="A4129" s="10">
        <v>42796</v>
      </c>
      <c r="B4129" s="12">
        <f t="shared" si="192"/>
        <v>3</v>
      </c>
      <c r="C4129" s="12">
        <f t="shared" si="193"/>
        <v>2017</v>
      </c>
      <c r="D4129" s="13">
        <v>19700</v>
      </c>
      <c r="E4129" s="13">
        <v>58.756999999999998</v>
      </c>
      <c r="F4129" s="13">
        <f t="shared" si="194"/>
        <v>335.27920077607774</v>
      </c>
    </row>
    <row r="4130" spans="1:6" x14ac:dyDescent="0.25">
      <c r="A4130" s="10">
        <v>42797</v>
      </c>
      <c r="B4130" s="12">
        <f t="shared" si="192"/>
        <v>3</v>
      </c>
      <c r="C4130" s="12">
        <f t="shared" si="193"/>
        <v>2017</v>
      </c>
      <c r="D4130" s="13">
        <v>19700</v>
      </c>
      <c r="E4130" s="13">
        <v>58.235900000000001</v>
      </c>
      <c r="F4130" s="13">
        <f t="shared" si="194"/>
        <v>338.27930881123154</v>
      </c>
    </row>
    <row r="4131" spans="1:6" x14ac:dyDescent="0.25">
      <c r="A4131" s="10">
        <v>42800</v>
      </c>
      <c r="B4131" s="12">
        <f t="shared" si="192"/>
        <v>3</v>
      </c>
      <c r="C4131" s="12">
        <f t="shared" si="193"/>
        <v>2017</v>
      </c>
      <c r="D4131" s="13">
        <v>19600</v>
      </c>
      <c r="E4131" s="13">
        <v>58.217100000000002</v>
      </c>
      <c r="F4131" s="13">
        <f t="shared" si="194"/>
        <v>336.67084069800796</v>
      </c>
    </row>
    <row r="4132" spans="1:6" x14ac:dyDescent="0.25">
      <c r="A4132" s="10">
        <v>42801</v>
      </c>
      <c r="B4132" s="12">
        <f t="shared" si="192"/>
        <v>3</v>
      </c>
      <c r="C4132" s="12">
        <f t="shared" si="193"/>
        <v>2017</v>
      </c>
      <c r="D4132" s="13">
        <v>19600</v>
      </c>
      <c r="E4132" s="13">
        <v>58.159500000000001</v>
      </c>
      <c r="F4132" s="13">
        <f t="shared" si="194"/>
        <v>337.00427273274357</v>
      </c>
    </row>
    <row r="4133" spans="1:6" x14ac:dyDescent="0.25">
      <c r="A4133" s="10">
        <v>42802</v>
      </c>
      <c r="B4133" s="12">
        <f t="shared" si="192"/>
        <v>3</v>
      </c>
      <c r="C4133" s="12">
        <f t="shared" si="193"/>
        <v>2017</v>
      </c>
      <c r="D4133" s="13">
        <v>19600</v>
      </c>
      <c r="E4133" s="13">
        <v>58.874699999999997</v>
      </c>
      <c r="F4133" s="13">
        <f t="shared" si="194"/>
        <v>332.91040124195962</v>
      </c>
    </row>
    <row r="4134" spans="1:6" x14ac:dyDescent="0.25">
      <c r="A4134" s="10">
        <v>42803</v>
      </c>
      <c r="B4134" s="12">
        <f t="shared" si="192"/>
        <v>3</v>
      </c>
      <c r="C4134" s="12">
        <f t="shared" si="193"/>
        <v>2017</v>
      </c>
      <c r="D4134" s="13">
        <v>19600</v>
      </c>
      <c r="E4134" s="13">
        <v>59.1952</v>
      </c>
      <c r="F4134" s="13">
        <f t="shared" si="194"/>
        <v>331.10792766981109</v>
      </c>
    </row>
    <row r="4135" spans="1:6" x14ac:dyDescent="0.25">
      <c r="A4135" s="10">
        <v>42804</v>
      </c>
      <c r="B4135" s="12">
        <f t="shared" si="192"/>
        <v>3</v>
      </c>
      <c r="C4135" s="12">
        <f t="shared" si="193"/>
        <v>2017</v>
      </c>
      <c r="D4135" s="13">
        <v>19600</v>
      </c>
      <c r="E4135" s="13">
        <v>58.8568</v>
      </c>
      <c r="F4135" s="13">
        <f t="shared" si="194"/>
        <v>333.0116486115453</v>
      </c>
    </row>
    <row r="4136" spans="1:6" x14ac:dyDescent="0.25">
      <c r="A4136" s="10">
        <v>42807</v>
      </c>
      <c r="B4136" s="12">
        <f t="shared" si="192"/>
        <v>3</v>
      </c>
      <c r="C4136" s="12">
        <f t="shared" si="193"/>
        <v>2017</v>
      </c>
      <c r="D4136" s="13">
        <v>19500</v>
      </c>
      <c r="E4136" s="13">
        <v>58.756700000000002</v>
      </c>
      <c r="F4136" s="13">
        <f t="shared" si="194"/>
        <v>331.87704551140547</v>
      </c>
    </row>
    <row r="4137" spans="1:6" x14ac:dyDescent="0.25">
      <c r="A4137" s="10">
        <v>42808</v>
      </c>
      <c r="B4137" s="12">
        <f t="shared" si="192"/>
        <v>3</v>
      </c>
      <c r="C4137" s="12">
        <f t="shared" si="193"/>
        <v>2017</v>
      </c>
      <c r="D4137" s="13">
        <v>19500</v>
      </c>
      <c r="E4137" s="13">
        <v>59.205800000000004</v>
      </c>
      <c r="F4137" s="13">
        <f t="shared" si="194"/>
        <v>329.35962355039538</v>
      </c>
    </row>
    <row r="4138" spans="1:6" x14ac:dyDescent="0.25">
      <c r="A4138" s="10">
        <v>42809</v>
      </c>
      <c r="B4138" s="12">
        <f t="shared" si="192"/>
        <v>3</v>
      </c>
      <c r="C4138" s="12">
        <f t="shared" si="193"/>
        <v>2017</v>
      </c>
      <c r="D4138" s="13">
        <v>19500</v>
      </c>
      <c r="E4138" s="13">
        <v>58.387</v>
      </c>
      <c r="F4138" s="13">
        <f t="shared" si="194"/>
        <v>333.97845410793497</v>
      </c>
    </row>
    <row r="4139" spans="1:6" x14ac:dyDescent="0.25">
      <c r="A4139" s="10">
        <v>42810</v>
      </c>
      <c r="B4139" s="12">
        <f t="shared" si="192"/>
        <v>3</v>
      </c>
      <c r="C4139" s="12">
        <f t="shared" si="193"/>
        <v>2017</v>
      </c>
      <c r="D4139" s="13">
        <v>19500</v>
      </c>
      <c r="E4139" s="13">
        <v>57.819499999999998</v>
      </c>
      <c r="F4139" s="13">
        <f t="shared" si="194"/>
        <v>337.25646192028643</v>
      </c>
    </row>
    <row r="4140" spans="1:6" x14ac:dyDescent="0.25">
      <c r="A4140" s="10">
        <v>42811</v>
      </c>
      <c r="B4140" s="12">
        <f t="shared" si="192"/>
        <v>3</v>
      </c>
      <c r="C4140" s="12">
        <f t="shared" si="193"/>
        <v>2017</v>
      </c>
      <c r="D4140" s="13">
        <v>19500</v>
      </c>
      <c r="E4140" s="13">
        <v>57.110100000000003</v>
      </c>
      <c r="F4140" s="13">
        <f t="shared" si="194"/>
        <v>341.44573376688186</v>
      </c>
    </row>
    <row r="4141" spans="1:6" x14ac:dyDescent="0.25">
      <c r="A4141" s="10">
        <v>42814</v>
      </c>
      <c r="B4141" s="12">
        <f t="shared" si="192"/>
        <v>3</v>
      </c>
      <c r="C4141" s="12">
        <f t="shared" si="193"/>
        <v>2017</v>
      </c>
      <c r="E4141" s="13">
        <v>57.3705</v>
      </c>
      <c r="F4141" s="13" t="str">
        <f t="shared" si="194"/>
        <v/>
      </c>
    </row>
    <row r="4142" spans="1:6" x14ac:dyDescent="0.25">
      <c r="A4142" s="10">
        <v>42815</v>
      </c>
      <c r="B4142" s="12">
        <f t="shared" si="192"/>
        <v>3</v>
      </c>
      <c r="C4142" s="12">
        <f t="shared" si="193"/>
        <v>2017</v>
      </c>
      <c r="E4142" s="13">
        <v>57.6845</v>
      </c>
      <c r="F4142" s="13" t="str">
        <f t="shared" si="194"/>
        <v/>
      </c>
    </row>
    <row r="4143" spans="1:6" x14ac:dyDescent="0.25">
      <c r="A4143" s="10">
        <v>42816</v>
      </c>
      <c r="B4143" s="12">
        <f t="shared" si="192"/>
        <v>3</v>
      </c>
      <c r="C4143" s="12">
        <f t="shared" si="193"/>
        <v>2017</v>
      </c>
      <c r="E4143" s="13">
        <v>57.766500000000001</v>
      </c>
      <c r="F4143" s="13" t="str">
        <f t="shared" si="194"/>
        <v/>
      </c>
    </row>
    <row r="4144" spans="1:6" x14ac:dyDescent="0.25">
      <c r="A4144" s="10">
        <v>42817</v>
      </c>
      <c r="B4144" s="12">
        <f t="shared" si="192"/>
        <v>3</v>
      </c>
      <c r="C4144" s="12">
        <f t="shared" si="193"/>
        <v>2017</v>
      </c>
      <c r="E4144" s="13">
        <v>57.4268</v>
      </c>
      <c r="F4144" s="13" t="str">
        <f t="shared" si="194"/>
        <v/>
      </c>
    </row>
    <row r="4145" spans="1:6" x14ac:dyDescent="0.25">
      <c r="A4145" s="10">
        <v>42818</v>
      </c>
      <c r="B4145" s="12">
        <f t="shared" si="192"/>
        <v>3</v>
      </c>
      <c r="C4145" s="12">
        <f t="shared" si="193"/>
        <v>2017</v>
      </c>
      <c r="E4145" s="13">
        <v>56.944299999999998</v>
      </c>
      <c r="F4145" s="13" t="str">
        <f t="shared" si="194"/>
        <v/>
      </c>
    </row>
    <row r="4146" spans="1:6" x14ac:dyDescent="0.25">
      <c r="A4146" s="10">
        <v>42821</v>
      </c>
      <c r="B4146" s="12">
        <f t="shared" si="192"/>
        <v>3</v>
      </c>
      <c r="C4146" s="12">
        <f t="shared" si="193"/>
        <v>2017</v>
      </c>
      <c r="D4146" s="13">
        <v>19000</v>
      </c>
      <c r="E4146" s="13">
        <v>56.875399999999999</v>
      </c>
      <c r="F4146" s="13">
        <f t="shared" si="194"/>
        <v>334.06358460775664</v>
      </c>
    </row>
    <row r="4147" spans="1:6" x14ac:dyDescent="0.25">
      <c r="A4147" s="10">
        <v>42822</v>
      </c>
      <c r="B4147" s="12">
        <f t="shared" si="192"/>
        <v>3</v>
      </c>
      <c r="C4147" s="12">
        <f t="shared" si="193"/>
        <v>2017</v>
      </c>
      <c r="D4147" s="13">
        <v>19000</v>
      </c>
      <c r="E4147" s="13">
        <v>56.992600000000003</v>
      </c>
      <c r="F4147" s="13">
        <f t="shared" si="194"/>
        <v>333.37661380600287</v>
      </c>
    </row>
    <row r="4148" spans="1:6" x14ac:dyDescent="0.25">
      <c r="A4148" s="10">
        <v>42823</v>
      </c>
      <c r="B4148" s="12">
        <f t="shared" si="192"/>
        <v>3</v>
      </c>
      <c r="C4148" s="12">
        <f t="shared" si="193"/>
        <v>2017</v>
      </c>
      <c r="D4148" s="13">
        <v>19000</v>
      </c>
      <c r="E4148" s="13">
        <v>56.567</v>
      </c>
      <c r="F4148" s="13">
        <f t="shared" si="194"/>
        <v>335.88487987696004</v>
      </c>
    </row>
    <row r="4149" spans="1:6" x14ac:dyDescent="0.25">
      <c r="A4149" s="10">
        <v>42824</v>
      </c>
      <c r="B4149" s="12">
        <f t="shared" si="192"/>
        <v>3</v>
      </c>
      <c r="C4149" s="12">
        <f t="shared" si="193"/>
        <v>2017</v>
      </c>
      <c r="D4149" s="13">
        <v>19000</v>
      </c>
      <c r="E4149" s="13">
        <v>56.075000000000003</v>
      </c>
      <c r="F4149" s="13">
        <f t="shared" si="194"/>
        <v>338.83192153366025</v>
      </c>
    </row>
    <row r="4150" spans="1:6" x14ac:dyDescent="0.25">
      <c r="A4150" s="10">
        <v>42825</v>
      </c>
      <c r="B4150" s="12">
        <f t="shared" si="192"/>
        <v>3</v>
      </c>
      <c r="C4150" s="12">
        <f t="shared" si="193"/>
        <v>2017</v>
      </c>
      <c r="D4150" s="13">
        <v>19000</v>
      </c>
      <c r="E4150" s="13">
        <v>56.235500000000002</v>
      </c>
      <c r="F4150" s="13">
        <f t="shared" si="194"/>
        <v>337.86487183362823</v>
      </c>
    </row>
    <row r="4151" spans="1:6" x14ac:dyDescent="0.25">
      <c r="A4151" s="10">
        <v>42828</v>
      </c>
      <c r="B4151" s="12">
        <f t="shared" si="192"/>
        <v>4</v>
      </c>
      <c r="C4151" s="12">
        <f t="shared" si="193"/>
        <v>2017</v>
      </c>
      <c r="D4151" s="13">
        <v>19000</v>
      </c>
      <c r="E4151" s="13">
        <v>56.067900000000002</v>
      </c>
      <c r="F4151" s="13">
        <f t="shared" si="194"/>
        <v>338.87482855608999</v>
      </c>
    </row>
    <row r="4152" spans="1:6" x14ac:dyDescent="0.25">
      <c r="A4152" s="10">
        <v>42829</v>
      </c>
      <c r="B4152" s="12">
        <f t="shared" si="192"/>
        <v>4</v>
      </c>
      <c r="C4152" s="12">
        <f t="shared" si="193"/>
        <v>2017</v>
      </c>
      <c r="D4152" s="13">
        <v>19000</v>
      </c>
      <c r="E4152" s="13">
        <v>56.076700000000002</v>
      </c>
      <c r="F4152" s="13">
        <f t="shared" si="194"/>
        <v>338.82164963344843</v>
      </c>
    </row>
    <row r="4153" spans="1:6" x14ac:dyDescent="0.25">
      <c r="A4153" s="10">
        <v>42830</v>
      </c>
      <c r="B4153" s="12">
        <f t="shared" si="192"/>
        <v>4</v>
      </c>
      <c r="C4153" s="12">
        <f t="shared" si="193"/>
        <v>2017</v>
      </c>
      <c r="D4153" s="13">
        <v>19000</v>
      </c>
      <c r="E4153" s="13">
        <v>56.311</v>
      </c>
      <c r="F4153" s="13">
        <f t="shared" si="194"/>
        <v>337.41187334623788</v>
      </c>
    </row>
    <row r="4154" spans="1:6" x14ac:dyDescent="0.25">
      <c r="A4154" s="10">
        <v>42831</v>
      </c>
      <c r="B4154" s="12">
        <f t="shared" si="192"/>
        <v>4</v>
      </c>
      <c r="C4154" s="12">
        <f t="shared" si="193"/>
        <v>2017</v>
      </c>
      <c r="D4154" s="13">
        <v>19000</v>
      </c>
      <c r="E4154" s="13">
        <v>56.372300000000003</v>
      </c>
      <c r="F4154" s="13">
        <f t="shared" si="194"/>
        <v>337.0449671203765</v>
      </c>
    </row>
    <row r="4155" spans="1:6" x14ac:dyDescent="0.25">
      <c r="A4155" s="10">
        <v>42832</v>
      </c>
      <c r="B4155" s="12">
        <f t="shared" si="192"/>
        <v>4</v>
      </c>
      <c r="C4155" s="12">
        <f t="shared" si="193"/>
        <v>2017</v>
      </c>
      <c r="D4155" s="13">
        <v>19000</v>
      </c>
      <c r="E4155" s="13">
        <v>57.238599999999998</v>
      </c>
      <c r="F4155" s="13">
        <f t="shared" si="194"/>
        <v>331.94382811599166</v>
      </c>
    </row>
    <row r="4156" spans="1:6" x14ac:dyDescent="0.25">
      <c r="A4156" s="10">
        <v>42835</v>
      </c>
      <c r="B4156" s="12">
        <f t="shared" si="192"/>
        <v>4</v>
      </c>
      <c r="C4156" s="12">
        <f t="shared" si="193"/>
        <v>2017</v>
      </c>
      <c r="D4156" s="13">
        <v>18150</v>
      </c>
      <c r="E4156" s="13">
        <v>57.220300000000002</v>
      </c>
      <c r="F4156" s="13">
        <f t="shared" si="194"/>
        <v>317.19512131184212</v>
      </c>
    </row>
    <row r="4157" spans="1:6" x14ac:dyDescent="0.25">
      <c r="A4157" s="10">
        <v>42836</v>
      </c>
      <c r="B4157" s="12">
        <f t="shared" si="192"/>
        <v>4</v>
      </c>
      <c r="C4157" s="12">
        <f t="shared" si="193"/>
        <v>2017</v>
      </c>
      <c r="D4157" s="13">
        <v>18150</v>
      </c>
      <c r="E4157" s="13">
        <v>56.899799999999999</v>
      </c>
      <c r="F4157" s="13">
        <f t="shared" si="194"/>
        <v>318.98178903968028</v>
      </c>
    </row>
    <row r="4158" spans="1:6" x14ac:dyDescent="0.25">
      <c r="A4158" s="10">
        <v>42837</v>
      </c>
      <c r="B4158" s="12">
        <f t="shared" si="192"/>
        <v>4</v>
      </c>
      <c r="C4158" s="12">
        <f t="shared" si="193"/>
        <v>2017</v>
      </c>
      <c r="D4158" s="13">
        <v>18150</v>
      </c>
      <c r="E4158" s="13">
        <v>56.605499999999999</v>
      </c>
      <c r="F4158" s="13">
        <f t="shared" si="194"/>
        <v>320.64022047327558</v>
      </c>
    </row>
    <row r="4159" spans="1:6" x14ac:dyDescent="0.25">
      <c r="A4159" s="10">
        <v>42838</v>
      </c>
      <c r="B4159" s="12">
        <f t="shared" si="192"/>
        <v>4</v>
      </c>
      <c r="C4159" s="12">
        <f t="shared" si="193"/>
        <v>2017</v>
      </c>
      <c r="D4159" s="13">
        <v>18150</v>
      </c>
      <c r="E4159" s="13">
        <v>56.252000000000002</v>
      </c>
      <c r="F4159" s="13">
        <f t="shared" si="194"/>
        <v>322.65519448197398</v>
      </c>
    </row>
    <row r="4160" spans="1:6" x14ac:dyDescent="0.25">
      <c r="A4160" s="10">
        <v>42842</v>
      </c>
      <c r="B4160" s="12">
        <f t="shared" si="192"/>
        <v>4</v>
      </c>
      <c r="C4160" s="12">
        <f t="shared" si="193"/>
        <v>2017</v>
      </c>
      <c r="D4160" s="13">
        <v>17750</v>
      </c>
      <c r="E4160" s="13">
        <v>55.859099999999998</v>
      </c>
      <c r="F4160" s="13">
        <f t="shared" si="194"/>
        <v>317.76380213787905</v>
      </c>
    </row>
    <row r="4161" spans="1:6" x14ac:dyDescent="0.25">
      <c r="A4161" s="10">
        <v>42843</v>
      </c>
      <c r="B4161" s="12">
        <f t="shared" si="192"/>
        <v>4</v>
      </c>
      <c r="C4161" s="12">
        <f t="shared" si="193"/>
        <v>2017</v>
      </c>
      <c r="D4161" s="13">
        <v>17750</v>
      </c>
      <c r="E4161" s="13">
        <v>56.243899999999996</v>
      </c>
      <c r="F4161" s="13">
        <f t="shared" si="194"/>
        <v>315.58977951386731</v>
      </c>
    </row>
    <row r="4162" spans="1:6" x14ac:dyDescent="0.25">
      <c r="A4162" s="10">
        <v>42844</v>
      </c>
      <c r="B4162" s="12">
        <f t="shared" si="192"/>
        <v>4</v>
      </c>
      <c r="C4162" s="12">
        <f t="shared" si="193"/>
        <v>2017</v>
      </c>
      <c r="D4162" s="13">
        <v>17750</v>
      </c>
      <c r="E4162" s="13">
        <v>56.508600000000001</v>
      </c>
      <c r="F4162" s="13">
        <f t="shared" si="194"/>
        <v>314.11148037643829</v>
      </c>
    </row>
    <row r="4163" spans="1:6" x14ac:dyDescent="0.25">
      <c r="A4163" s="10">
        <v>42845</v>
      </c>
      <c r="B4163" s="12">
        <f t="shared" ref="B4163:B4226" si="195">MONTH(A4163)</f>
        <v>4</v>
      </c>
      <c r="C4163" s="12">
        <f t="shared" ref="C4163:C4226" si="196">YEAR(A4163)</f>
        <v>2017</v>
      </c>
      <c r="D4163" s="13">
        <v>17750</v>
      </c>
      <c r="E4163" s="13">
        <v>56.157699999999998</v>
      </c>
      <c r="F4163" s="13">
        <f t="shared" ref="F4163:F4226" si="197">IF(D4163="","",D4163/E4163)</f>
        <v>316.07419819543895</v>
      </c>
    </row>
    <row r="4164" spans="1:6" x14ac:dyDescent="0.25">
      <c r="A4164" s="10">
        <v>42846</v>
      </c>
      <c r="B4164" s="12">
        <f t="shared" si="195"/>
        <v>4</v>
      </c>
      <c r="C4164" s="12">
        <f t="shared" si="196"/>
        <v>2017</v>
      </c>
      <c r="D4164" s="13">
        <v>17750</v>
      </c>
      <c r="E4164" s="13">
        <v>56.441000000000003</v>
      </c>
      <c r="F4164" s="13">
        <f t="shared" si="197"/>
        <v>314.48769511525308</v>
      </c>
    </row>
    <row r="4165" spans="1:6" x14ac:dyDescent="0.25">
      <c r="A4165" s="10">
        <v>42849</v>
      </c>
      <c r="B4165" s="12">
        <f t="shared" si="195"/>
        <v>4</v>
      </c>
      <c r="C4165" s="12">
        <f t="shared" si="196"/>
        <v>2017</v>
      </c>
      <c r="D4165" s="13">
        <v>17650</v>
      </c>
      <c r="E4165" s="13">
        <v>55.747</v>
      </c>
      <c r="F4165" s="13">
        <f t="shared" si="197"/>
        <v>316.60896550487024</v>
      </c>
    </row>
    <row r="4166" spans="1:6" x14ac:dyDescent="0.25">
      <c r="A4166" s="10">
        <v>42850</v>
      </c>
      <c r="B4166" s="12">
        <f t="shared" si="195"/>
        <v>4</v>
      </c>
      <c r="C4166" s="12">
        <f t="shared" si="196"/>
        <v>2017</v>
      </c>
      <c r="D4166" s="13">
        <v>17650</v>
      </c>
      <c r="E4166" s="13">
        <v>56.131799999999998</v>
      </c>
      <c r="F4166" s="13">
        <f t="shared" si="197"/>
        <v>314.43851791676019</v>
      </c>
    </row>
    <row r="4167" spans="1:6" x14ac:dyDescent="0.25">
      <c r="A4167" s="10">
        <v>42851</v>
      </c>
      <c r="B4167" s="12">
        <f t="shared" si="195"/>
        <v>4</v>
      </c>
      <c r="C4167" s="12">
        <f t="shared" si="196"/>
        <v>2017</v>
      </c>
      <c r="D4167" s="13">
        <v>17650</v>
      </c>
      <c r="E4167" s="13">
        <v>57.109499999999997</v>
      </c>
      <c r="F4167" s="13">
        <f t="shared" si="197"/>
        <v>309.05541109622743</v>
      </c>
    </row>
    <row r="4168" spans="1:6" x14ac:dyDescent="0.25">
      <c r="A4168" s="10">
        <v>42852</v>
      </c>
      <c r="B4168" s="12">
        <f t="shared" si="195"/>
        <v>4</v>
      </c>
      <c r="C4168" s="12">
        <f t="shared" si="196"/>
        <v>2017</v>
      </c>
      <c r="D4168" s="13">
        <v>17650</v>
      </c>
      <c r="E4168" s="13">
        <v>57.003799999999998</v>
      </c>
      <c r="F4168" s="13">
        <f t="shared" si="197"/>
        <v>309.62848090829033</v>
      </c>
    </row>
    <row r="4169" spans="1:6" x14ac:dyDescent="0.25">
      <c r="A4169" s="10">
        <v>42853</v>
      </c>
      <c r="B4169" s="12">
        <f t="shared" si="195"/>
        <v>4</v>
      </c>
      <c r="C4169" s="12">
        <f t="shared" si="196"/>
        <v>2017</v>
      </c>
      <c r="D4169" s="13">
        <v>17650</v>
      </c>
      <c r="E4169" s="13">
        <v>56.916699999999999</v>
      </c>
      <c r="F4169" s="13">
        <f t="shared" si="197"/>
        <v>310.10230740714064</v>
      </c>
    </row>
    <row r="4170" spans="1:6" x14ac:dyDescent="0.25">
      <c r="A4170" s="10">
        <v>42856</v>
      </c>
      <c r="B4170" s="12">
        <f t="shared" si="195"/>
        <v>5</v>
      </c>
      <c r="C4170" s="12">
        <f t="shared" si="196"/>
        <v>2017</v>
      </c>
      <c r="D4170" s="13">
        <v>17400</v>
      </c>
      <c r="E4170" s="13">
        <v>56.959600000000002</v>
      </c>
      <c r="F4170" s="13">
        <f t="shared" si="197"/>
        <v>305.47967331231257</v>
      </c>
    </row>
    <row r="4171" spans="1:6" x14ac:dyDescent="0.25">
      <c r="A4171" s="10">
        <v>42857</v>
      </c>
      <c r="B4171" s="12">
        <f t="shared" si="195"/>
        <v>5</v>
      </c>
      <c r="C4171" s="12">
        <f t="shared" si="196"/>
        <v>2017</v>
      </c>
      <c r="D4171" s="13">
        <v>17400</v>
      </c>
      <c r="E4171" s="13">
        <v>57.009500000000003</v>
      </c>
      <c r="F4171" s="13">
        <f t="shared" si="197"/>
        <v>305.21228917987349</v>
      </c>
    </row>
    <row r="4172" spans="1:6" x14ac:dyDescent="0.25">
      <c r="A4172" s="10">
        <v>42858</v>
      </c>
      <c r="B4172" s="12">
        <f t="shared" si="195"/>
        <v>5</v>
      </c>
      <c r="C4172" s="12">
        <f t="shared" si="196"/>
        <v>2017</v>
      </c>
      <c r="D4172" s="13">
        <v>17400</v>
      </c>
      <c r="E4172" s="13">
        <v>57.364100000000001</v>
      </c>
      <c r="F4172" s="13">
        <f t="shared" si="197"/>
        <v>303.32559911163952</v>
      </c>
    </row>
    <row r="4173" spans="1:6" x14ac:dyDescent="0.25">
      <c r="A4173" s="10">
        <v>42859</v>
      </c>
      <c r="B4173" s="12">
        <f t="shared" si="195"/>
        <v>5</v>
      </c>
      <c r="C4173" s="12">
        <f t="shared" si="196"/>
        <v>2017</v>
      </c>
      <c r="D4173" s="13">
        <v>17400</v>
      </c>
      <c r="E4173" s="13">
        <v>58.378</v>
      </c>
      <c r="F4173" s="13">
        <f t="shared" si="197"/>
        <v>298.0574874096406</v>
      </c>
    </row>
    <row r="4174" spans="1:6" x14ac:dyDescent="0.25">
      <c r="A4174" s="10">
        <v>42860</v>
      </c>
      <c r="B4174" s="12">
        <f t="shared" si="195"/>
        <v>5</v>
      </c>
      <c r="C4174" s="12">
        <f t="shared" si="196"/>
        <v>2017</v>
      </c>
      <c r="D4174" s="13">
        <v>17400</v>
      </c>
      <c r="E4174" s="13">
        <v>57.909599999999998</v>
      </c>
      <c r="F4174" s="13">
        <f t="shared" si="197"/>
        <v>300.46831613411251</v>
      </c>
    </row>
    <row r="4175" spans="1:6" x14ac:dyDescent="0.25">
      <c r="A4175" s="10">
        <v>42863</v>
      </c>
      <c r="B4175" s="12">
        <f t="shared" si="195"/>
        <v>5</v>
      </c>
      <c r="C4175" s="12">
        <f t="shared" si="196"/>
        <v>2017</v>
      </c>
      <c r="D4175" s="13">
        <v>18000</v>
      </c>
      <c r="E4175" s="13">
        <v>58.308599999999998</v>
      </c>
      <c r="F4175" s="13">
        <f t="shared" si="197"/>
        <v>308.70231835441086</v>
      </c>
    </row>
    <row r="4176" spans="1:6" x14ac:dyDescent="0.25">
      <c r="A4176" s="10">
        <v>42864</v>
      </c>
      <c r="B4176" s="12">
        <f t="shared" si="195"/>
        <v>5</v>
      </c>
      <c r="C4176" s="12">
        <f t="shared" si="196"/>
        <v>2017</v>
      </c>
      <c r="D4176" s="13">
        <v>18000</v>
      </c>
      <c r="E4176" s="13">
        <v>58.389499999999998</v>
      </c>
      <c r="F4176" s="13">
        <f t="shared" si="197"/>
        <v>308.27460416684505</v>
      </c>
    </row>
    <row r="4177" spans="1:6" x14ac:dyDescent="0.25">
      <c r="A4177" s="10">
        <v>42865</v>
      </c>
      <c r="B4177" s="12">
        <f t="shared" si="195"/>
        <v>5</v>
      </c>
      <c r="C4177" s="12">
        <f t="shared" si="196"/>
        <v>2017</v>
      </c>
      <c r="D4177" s="13">
        <v>18000</v>
      </c>
      <c r="E4177" s="13">
        <v>57.425899999999999</v>
      </c>
      <c r="F4177" s="13">
        <f t="shared" si="197"/>
        <v>313.44741658380627</v>
      </c>
    </row>
    <row r="4178" spans="1:6" x14ac:dyDescent="0.25">
      <c r="A4178" s="10">
        <v>42866</v>
      </c>
      <c r="B4178" s="12">
        <f t="shared" si="195"/>
        <v>5</v>
      </c>
      <c r="C4178" s="12">
        <f t="shared" si="196"/>
        <v>2017</v>
      </c>
      <c r="D4178" s="13">
        <v>18000</v>
      </c>
      <c r="E4178" s="13">
        <v>57.054000000000002</v>
      </c>
      <c r="F4178" s="13">
        <f t="shared" si="197"/>
        <v>315.49058786412871</v>
      </c>
    </row>
    <row r="4179" spans="1:6" x14ac:dyDescent="0.25">
      <c r="A4179" s="10">
        <v>42867</v>
      </c>
      <c r="B4179" s="12">
        <f t="shared" si="195"/>
        <v>5</v>
      </c>
      <c r="C4179" s="12">
        <f t="shared" si="196"/>
        <v>2017</v>
      </c>
      <c r="D4179" s="13">
        <v>18000</v>
      </c>
      <c r="E4179" s="13">
        <v>57.042999999999999</v>
      </c>
      <c r="F4179" s="13">
        <f t="shared" si="197"/>
        <v>315.55142611713973</v>
      </c>
    </row>
    <row r="4180" spans="1:6" x14ac:dyDescent="0.25">
      <c r="A4180" s="10">
        <v>42870</v>
      </c>
      <c r="B4180" s="12">
        <f t="shared" si="195"/>
        <v>5</v>
      </c>
      <c r="C4180" s="12">
        <f t="shared" si="196"/>
        <v>2017</v>
      </c>
      <c r="D4180" s="13">
        <v>18100</v>
      </c>
      <c r="E4180" s="13">
        <v>56.328600000000002</v>
      </c>
      <c r="F4180" s="13">
        <f t="shared" si="197"/>
        <v>321.32877437039087</v>
      </c>
    </row>
    <row r="4181" spans="1:6" x14ac:dyDescent="0.25">
      <c r="A4181" s="10">
        <v>42871</v>
      </c>
      <c r="B4181" s="12">
        <f t="shared" si="195"/>
        <v>5</v>
      </c>
      <c r="C4181" s="12">
        <f t="shared" si="196"/>
        <v>2017</v>
      </c>
      <c r="D4181" s="13">
        <v>18100</v>
      </c>
      <c r="E4181" s="13">
        <v>56.600299999999997</v>
      </c>
      <c r="F4181" s="13">
        <f t="shared" si="197"/>
        <v>319.78629088538401</v>
      </c>
    </row>
    <row r="4182" spans="1:6" x14ac:dyDescent="0.25">
      <c r="A4182" s="10">
        <v>42872</v>
      </c>
      <c r="B4182" s="12">
        <f t="shared" si="195"/>
        <v>5</v>
      </c>
      <c r="C4182" s="12">
        <f t="shared" si="196"/>
        <v>2017</v>
      </c>
      <c r="D4182" s="13">
        <v>18100</v>
      </c>
      <c r="E4182" s="13">
        <v>57.070399999999999</v>
      </c>
      <c r="F4182" s="13">
        <f t="shared" si="197"/>
        <v>317.15214892483669</v>
      </c>
    </row>
    <row r="4183" spans="1:6" x14ac:dyDescent="0.25">
      <c r="A4183" s="10">
        <v>42873</v>
      </c>
      <c r="B4183" s="12">
        <f t="shared" si="195"/>
        <v>5</v>
      </c>
      <c r="C4183" s="12">
        <f t="shared" si="196"/>
        <v>2017</v>
      </c>
      <c r="D4183" s="13">
        <v>18100</v>
      </c>
      <c r="E4183" s="13">
        <v>57.517499999999998</v>
      </c>
      <c r="F4183" s="13">
        <f t="shared" si="197"/>
        <v>314.68683444169164</v>
      </c>
    </row>
    <row r="4184" spans="1:6" x14ac:dyDescent="0.25">
      <c r="A4184" s="10">
        <v>42874</v>
      </c>
      <c r="B4184" s="12">
        <f t="shared" si="195"/>
        <v>5</v>
      </c>
      <c r="C4184" s="12">
        <f t="shared" si="196"/>
        <v>2017</v>
      </c>
      <c r="D4184" s="13">
        <v>18100</v>
      </c>
      <c r="E4184" s="13">
        <v>56.957500000000003</v>
      </c>
      <c r="F4184" s="13">
        <f t="shared" si="197"/>
        <v>317.7808014747838</v>
      </c>
    </row>
    <row r="4185" spans="1:6" x14ac:dyDescent="0.25">
      <c r="A4185" s="10">
        <v>42877</v>
      </c>
      <c r="B4185" s="12">
        <f t="shared" si="195"/>
        <v>5</v>
      </c>
      <c r="C4185" s="12">
        <f t="shared" si="196"/>
        <v>2017</v>
      </c>
      <c r="E4185" s="13">
        <v>56.630499999999998</v>
      </c>
      <c r="F4185" s="13" t="str">
        <f t="shared" si="197"/>
        <v/>
      </c>
    </row>
    <row r="4186" spans="1:6" x14ac:dyDescent="0.25">
      <c r="A4186" s="10">
        <v>42878</v>
      </c>
      <c r="B4186" s="12">
        <f t="shared" si="195"/>
        <v>5</v>
      </c>
      <c r="C4186" s="12">
        <f t="shared" si="196"/>
        <v>2017</v>
      </c>
      <c r="E4186" s="13">
        <v>56.337499999999999</v>
      </c>
      <c r="F4186" s="13" t="str">
        <f t="shared" si="197"/>
        <v/>
      </c>
    </row>
    <row r="4187" spans="1:6" x14ac:dyDescent="0.25">
      <c r="A4187" s="10">
        <v>42879</v>
      </c>
      <c r="B4187" s="12">
        <f t="shared" si="195"/>
        <v>5</v>
      </c>
      <c r="C4187" s="12">
        <f t="shared" si="196"/>
        <v>2017</v>
      </c>
      <c r="E4187" s="13">
        <v>56.4634</v>
      </c>
      <c r="F4187" s="13" t="str">
        <f t="shared" si="197"/>
        <v/>
      </c>
    </row>
    <row r="4188" spans="1:6" x14ac:dyDescent="0.25">
      <c r="A4188" s="10">
        <v>42880</v>
      </c>
      <c r="B4188" s="12">
        <f t="shared" si="195"/>
        <v>5</v>
      </c>
      <c r="C4188" s="12">
        <f t="shared" si="196"/>
        <v>2017</v>
      </c>
      <c r="E4188" s="13">
        <v>56.8735</v>
      </c>
      <c r="F4188" s="13" t="str">
        <f t="shared" si="197"/>
        <v/>
      </c>
    </row>
    <row r="4189" spans="1:6" x14ac:dyDescent="0.25">
      <c r="A4189" s="10">
        <v>42881</v>
      </c>
      <c r="B4189" s="12">
        <f t="shared" si="195"/>
        <v>5</v>
      </c>
      <c r="C4189" s="12">
        <f t="shared" si="196"/>
        <v>2017</v>
      </c>
      <c r="E4189" s="13">
        <v>56.512</v>
      </c>
      <c r="F4189" s="13" t="str">
        <f t="shared" si="197"/>
        <v/>
      </c>
    </row>
    <row r="4190" spans="1:6" x14ac:dyDescent="0.25">
      <c r="A4190" s="10">
        <v>42885</v>
      </c>
      <c r="B4190" s="12">
        <f t="shared" si="195"/>
        <v>5</v>
      </c>
      <c r="C4190" s="12">
        <f t="shared" si="196"/>
        <v>2017</v>
      </c>
      <c r="D4190" s="13">
        <v>19000</v>
      </c>
      <c r="E4190" s="13">
        <v>56.557899999999997</v>
      </c>
      <c r="F4190" s="13">
        <f t="shared" si="197"/>
        <v>335.93892276764166</v>
      </c>
    </row>
    <row r="4191" spans="1:6" x14ac:dyDescent="0.25">
      <c r="A4191" s="10">
        <v>42886</v>
      </c>
      <c r="B4191" s="12">
        <f t="shared" si="195"/>
        <v>5</v>
      </c>
      <c r="C4191" s="12">
        <f t="shared" si="196"/>
        <v>2017</v>
      </c>
      <c r="D4191" s="13">
        <v>19000</v>
      </c>
      <c r="E4191" s="13">
        <v>56.601999999999997</v>
      </c>
      <c r="F4191" s="13">
        <f t="shared" si="197"/>
        <v>335.67718455178266</v>
      </c>
    </row>
    <row r="4192" spans="1:6" x14ac:dyDescent="0.25">
      <c r="A4192" s="10">
        <v>42887</v>
      </c>
      <c r="B4192" s="12">
        <f t="shared" si="195"/>
        <v>6</v>
      </c>
      <c r="C4192" s="12">
        <f t="shared" si="196"/>
        <v>2017</v>
      </c>
      <c r="D4192" s="13">
        <v>19000</v>
      </c>
      <c r="E4192" s="13">
        <v>56.404299999999999</v>
      </c>
      <c r="F4192" s="13">
        <f t="shared" si="197"/>
        <v>336.85375051192904</v>
      </c>
    </row>
    <row r="4193" spans="1:6" x14ac:dyDescent="0.25">
      <c r="A4193" s="10">
        <v>42888</v>
      </c>
      <c r="B4193" s="12">
        <f t="shared" si="195"/>
        <v>6</v>
      </c>
      <c r="C4193" s="12">
        <f t="shared" si="196"/>
        <v>2017</v>
      </c>
      <c r="D4193" s="13">
        <v>19000</v>
      </c>
      <c r="E4193" s="13">
        <v>56.638500000000001</v>
      </c>
      <c r="F4193" s="13">
        <f t="shared" si="197"/>
        <v>335.46086142818046</v>
      </c>
    </row>
    <row r="4194" spans="1:6" x14ac:dyDescent="0.25">
      <c r="A4194" s="10">
        <v>42891</v>
      </c>
      <c r="B4194" s="12">
        <f t="shared" si="195"/>
        <v>6</v>
      </c>
      <c r="C4194" s="12">
        <f t="shared" si="196"/>
        <v>2017</v>
      </c>
      <c r="D4194" s="13">
        <v>19150</v>
      </c>
      <c r="E4194" s="13">
        <v>56.5901</v>
      </c>
      <c r="F4194" s="13">
        <f t="shared" si="197"/>
        <v>338.39841244316585</v>
      </c>
    </row>
    <row r="4195" spans="1:6" x14ac:dyDescent="0.25">
      <c r="A4195" s="10">
        <v>42892</v>
      </c>
      <c r="B4195" s="12">
        <f t="shared" si="195"/>
        <v>6</v>
      </c>
      <c r="C4195" s="12">
        <f t="shared" si="196"/>
        <v>2017</v>
      </c>
      <c r="D4195" s="13">
        <v>19150</v>
      </c>
      <c r="E4195" s="13">
        <v>56.5456</v>
      </c>
      <c r="F4195" s="13">
        <f t="shared" si="197"/>
        <v>338.6647236920291</v>
      </c>
    </row>
    <row r="4196" spans="1:6" x14ac:dyDescent="0.25">
      <c r="A4196" s="10">
        <v>42893</v>
      </c>
      <c r="B4196" s="12">
        <f t="shared" si="195"/>
        <v>6</v>
      </c>
      <c r="C4196" s="12">
        <f t="shared" si="196"/>
        <v>2017</v>
      </c>
      <c r="D4196" s="13">
        <v>19150</v>
      </c>
      <c r="E4196" s="13">
        <v>57.034500000000001</v>
      </c>
      <c r="F4196" s="13">
        <f t="shared" si="197"/>
        <v>335.76168810106162</v>
      </c>
    </row>
    <row r="4197" spans="1:6" x14ac:dyDescent="0.25">
      <c r="A4197" s="10">
        <v>42894</v>
      </c>
      <c r="B4197" s="12">
        <f t="shared" si="195"/>
        <v>6</v>
      </c>
      <c r="C4197" s="12">
        <f t="shared" si="196"/>
        <v>2017</v>
      </c>
      <c r="D4197" s="13">
        <v>19150</v>
      </c>
      <c r="E4197" s="13">
        <v>56.884500000000003</v>
      </c>
      <c r="F4197" s="13">
        <f t="shared" si="197"/>
        <v>336.64706554509576</v>
      </c>
    </row>
    <row r="4198" spans="1:6" x14ac:dyDescent="0.25">
      <c r="A4198" s="10">
        <v>42895</v>
      </c>
      <c r="B4198" s="12">
        <f t="shared" si="195"/>
        <v>6</v>
      </c>
      <c r="C4198" s="12">
        <f t="shared" si="196"/>
        <v>2017</v>
      </c>
      <c r="D4198" s="13">
        <v>19150</v>
      </c>
      <c r="E4198" s="13">
        <v>57.016599999999997</v>
      </c>
      <c r="F4198" s="13">
        <f t="shared" si="197"/>
        <v>335.86709835381276</v>
      </c>
    </row>
    <row r="4199" spans="1:6" x14ac:dyDescent="0.25">
      <c r="A4199" s="10">
        <v>42898</v>
      </c>
      <c r="B4199" s="12">
        <f t="shared" si="195"/>
        <v>6</v>
      </c>
      <c r="C4199" s="12">
        <f t="shared" si="196"/>
        <v>2017</v>
      </c>
      <c r="D4199" s="13">
        <v>19150</v>
      </c>
      <c r="E4199" s="13">
        <v>57.066200000000002</v>
      </c>
      <c r="F4199" s="13">
        <f t="shared" si="197"/>
        <v>335.57517409604986</v>
      </c>
    </row>
    <row r="4200" spans="1:6" x14ac:dyDescent="0.25">
      <c r="A4200" s="10">
        <v>42899</v>
      </c>
      <c r="B4200" s="12">
        <f t="shared" si="195"/>
        <v>6</v>
      </c>
      <c r="C4200" s="12">
        <f t="shared" si="196"/>
        <v>2017</v>
      </c>
      <c r="D4200" s="13">
        <v>19150</v>
      </c>
      <c r="E4200" s="13">
        <v>57.001300000000001</v>
      </c>
      <c r="F4200" s="13">
        <f t="shared" si="197"/>
        <v>335.95725009780477</v>
      </c>
    </row>
    <row r="4201" spans="1:6" x14ac:dyDescent="0.25">
      <c r="A4201" s="10">
        <v>42900</v>
      </c>
      <c r="B4201" s="12">
        <f t="shared" si="195"/>
        <v>6</v>
      </c>
      <c r="C4201" s="12">
        <f t="shared" si="196"/>
        <v>2017</v>
      </c>
      <c r="D4201" s="13">
        <v>19150</v>
      </c>
      <c r="E4201" s="13">
        <v>57.375900000000001</v>
      </c>
      <c r="F4201" s="13">
        <f t="shared" si="197"/>
        <v>333.76382766980561</v>
      </c>
    </row>
    <row r="4202" spans="1:6" x14ac:dyDescent="0.25">
      <c r="A4202" s="10">
        <v>42901</v>
      </c>
      <c r="B4202" s="12">
        <f t="shared" si="195"/>
        <v>6</v>
      </c>
      <c r="C4202" s="12">
        <f t="shared" si="196"/>
        <v>2017</v>
      </c>
      <c r="D4202" s="13">
        <v>19150</v>
      </c>
      <c r="E4202" s="13">
        <v>57.845500000000001</v>
      </c>
      <c r="F4202" s="13">
        <f t="shared" si="197"/>
        <v>331.0542738847447</v>
      </c>
    </row>
    <row r="4203" spans="1:6" x14ac:dyDescent="0.25">
      <c r="A4203" s="10">
        <v>42902</v>
      </c>
      <c r="B4203" s="12">
        <f t="shared" si="195"/>
        <v>6</v>
      </c>
      <c r="C4203" s="12">
        <f t="shared" si="196"/>
        <v>2017</v>
      </c>
      <c r="D4203" s="13">
        <v>19150</v>
      </c>
      <c r="E4203" s="13">
        <v>57.740400000000001</v>
      </c>
      <c r="F4203" s="13">
        <f t="shared" si="197"/>
        <v>331.6568641713601</v>
      </c>
    </row>
    <row r="4204" spans="1:6" x14ac:dyDescent="0.25">
      <c r="A4204" s="10">
        <v>42905</v>
      </c>
      <c r="B4204" s="12">
        <f t="shared" si="195"/>
        <v>6</v>
      </c>
      <c r="C4204" s="12">
        <f t="shared" si="196"/>
        <v>2017</v>
      </c>
      <c r="D4204" s="13">
        <v>19250</v>
      </c>
      <c r="E4204" s="13">
        <v>58.459600000000002</v>
      </c>
      <c r="F4204" s="13">
        <f t="shared" si="197"/>
        <v>329.28723426092546</v>
      </c>
    </row>
    <row r="4205" spans="1:6" x14ac:dyDescent="0.25">
      <c r="A4205" s="10">
        <v>42906</v>
      </c>
      <c r="B4205" s="12">
        <f t="shared" si="195"/>
        <v>6</v>
      </c>
      <c r="C4205" s="12">
        <f t="shared" si="196"/>
        <v>2017</v>
      </c>
      <c r="D4205" s="13">
        <v>19250</v>
      </c>
      <c r="E4205" s="13">
        <v>59.619300000000003</v>
      </c>
      <c r="F4205" s="13">
        <f t="shared" si="197"/>
        <v>322.88201974863841</v>
      </c>
    </row>
    <row r="4206" spans="1:6" x14ac:dyDescent="0.25">
      <c r="A4206" s="10">
        <v>42907</v>
      </c>
      <c r="B4206" s="12">
        <f t="shared" si="195"/>
        <v>6</v>
      </c>
      <c r="C4206" s="12">
        <f t="shared" si="196"/>
        <v>2017</v>
      </c>
      <c r="D4206" s="13">
        <v>19250</v>
      </c>
      <c r="E4206" s="13">
        <v>60.277500000000003</v>
      </c>
      <c r="F4206" s="13">
        <f t="shared" si="197"/>
        <v>319.35631039774375</v>
      </c>
    </row>
    <row r="4207" spans="1:6" x14ac:dyDescent="0.25">
      <c r="A4207" s="10">
        <v>42908</v>
      </c>
      <c r="B4207" s="12">
        <f t="shared" si="195"/>
        <v>6</v>
      </c>
      <c r="C4207" s="12">
        <f t="shared" si="196"/>
        <v>2017</v>
      </c>
      <c r="D4207" s="13">
        <v>19250</v>
      </c>
      <c r="E4207" s="13">
        <v>59.954599999999999</v>
      </c>
      <c r="F4207" s="13">
        <f t="shared" si="197"/>
        <v>321.07628105266321</v>
      </c>
    </row>
    <row r="4208" spans="1:6" x14ac:dyDescent="0.25">
      <c r="A4208" s="10">
        <v>42909</v>
      </c>
      <c r="B4208" s="12">
        <f t="shared" si="195"/>
        <v>6</v>
      </c>
      <c r="C4208" s="12">
        <f t="shared" si="196"/>
        <v>2017</v>
      </c>
      <c r="D4208" s="13">
        <v>19250</v>
      </c>
      <c r="E4208" s="13">
        <v>59.433</v>
      </c>
      <c r="F4208" s="13">
        <f t="shared" si="197"/>
        <v>323.89413288913568</v>
      </c>
    </row>
    <row r="4209" spans="1:6" x14ac:dyDescent="0.25">
      <c r="A4209" s="10">
        <v>42912</v>
      </c>
      <c r="B4209" s="12">
        <f t="shared" si="195"/>
        <v>6</v>
      </c>
      <c r="C4209" s="12">
        <f t="shared" si="196"/>
        <v>2017</v>
      </c>
      <c r="D4209" s="13">
        <v>19250</v>
      </c>
      <c r="E4209" s="13">
        <v>58.785600000000002</v>
      </c>
      <c r="F4209" s="13">
        <f t="shared" si="197"/>
        <v>327.46114694755175</v>
      </c>
    </row>
    <row r="4210" spans="1:6" x14ac:dyDescent="0.25">
      <c r="A4210" s="10">
        <v>42913</v>
      </c>
      <c r="B4210" s="12">
        <f t="shared" si="195"/>
        <v>6</v>
      </c>
      <c r="C4210" s="12">
        <f t="shared" si="196"/>
        <v>2017</v>
      </c>
      <c r="D4210" s="13">
        <v>19250</v>
      </c>
      <c r="E4210" s="13">
        <v>59.398000000000003</v>
      </c>
      <c r="F4210" s="13">
        <f t="shared" si="197"/>
        <v>324.08498602646551</v>
      </c>
    </row>
    <row r="4211" spans="1:6" x14ac:dyDescent="0.25">
      <c r="A4211" s="10">
        <v>42914</v>
      </c>
      <c r="B4211" s="12">
        <f t="shared" si="195"/>
        <v>6</v>
      </c>
      <c r="C4211" s="12">
        <f t="shared" si="196"/>
        <v>2017</v>
      </c>
      <c r="D4211" s="13">
        <v>19250</v>
      </c>
      <c r="E4211" s="13">
        <v>59.218899999999998</v>
      </c>
      <c r="F4211" s="13">
        <f t="shared" si="197"/>
        <v>325.06513967669105</v>
      </c>
    </row>
    <row r="4212" spans="1:6" x14ac:dyDescent="0.25">
      <c r="A4212" s="10">
        <v>42915</v>
      </c>
      <c r="B4212" s="12">
        <f t="shared" si="195"/>
        <v>6</v>
      </c>
      <c r="C4212" s="12">
        <f t="shared" si="196"/>
        <v>2017</v>
      </c>
      <c r="D4212" s="13">
        <v>19250</v>
      </c>
      <c r="E4212" s="13">
        <v>59.395000000000003</v>
      </c>
      <c r="F4212" s="13">
        <f t="shared" si="197"/>
        <v>324.10135533294044</v>
      </c>
    </row>
    <row r="4213" spans="1:6" x14ac:dyDescent="0.25">
      <c r="A4213" s="10">
        <v>42916</v>
      </c>
      <c r="B4213" s="12">
        <f t="shared" si="195"/>
        <v>6</v>
      </c>
      <c r="C4213" s="12">
        <f t="shared" si="196"/>
        <v>2017</v>
      </c>
      <c r="D4213" s="13">
        <v>19250</v>
      </c>
      <c r="E4213" s="13">
        <v>58.9206</v>
      </c>
      <c r="F4213" s="13">
        <f t="shared" si="197"/>
        <v>326.71086173596331</v>
      </c>
    </row>
    <row r="4214" spans="1:6" x14ac:dyDescent="0.25">
      <c r="A4214" s="10">
        <v>42919</v>
      </c>
      <c r="B4214" s="12">
        <f t="shared" si="195"/>
        <v>7</v>
      </c>
      <c r="C4214" s="12">
        <f t="shared" si="196"/>
        <v>2017</v>
      </c>
      <c r="D4214" s="13">
        <v>19500</v>
      </c>
      <c r="E4214" s="13">
        <v>59.229399999999998</v>
      </c>
      <c r="F4214" s="13">
        <f t="shared" si="197"/>
        <v>329.22838995498859</v>
      </c>
    </row>
    <row r="4215" spans="1:6" x14ac:dyDescent="0.25">
      <c r="A4215" s="10">
        <v>42921</v>
      </c>
      <c r="B4215" s="12">
        <f t="shared" si="195"/>
        <v>7</v>
      </c>
      <c r="C4215" s="12">
        <f t="shared" si="196"/>
        <v>2017</v>
      </c>
      <c r="D4215" s="13">
        <v>19500</v>
      </c>
      <c r="E4215" s="13">
        <v>59.966700000000003</v>
      </c>
      <c r="F4215" s="13">
        <f t="shared" si="197"/>
        <v>325.18047516371587</v>
      </c>
    </row>
    <row r="4216" spans="1:6" x14ac:dyDescent="0.25">
      <c r="A4216" s="10">
        <v>42922</v>
      </c>
      <c r="B4216" s="12">
        <f t="shared" si="195"/>
        <v>7</v>
      </c>
      <c r="C4216" s="12">
        <f t="shared" si="196"/>
        <v>2017</v>
      </c>
      <c r="D4216" s="13">
        <v>19500</v>
      </c>
      <c r="E4216" s="13">
        <v>60.09</v>
      </c>
      <c r="F4216" s="13">
        <f t="shared" si="197"/>
        <v>324.51323015476783</v>
      </c>
    </row>
    <row r="4217" spans="1:6" x14ac:dyDescent="0.25">
      <c r="A4217" s="10">
        <v>42923</v>
      </c>
      <c r="B4217" s="12">
        <f t="shared" si="195"/>
        <v>7</v>
      </c>
      <c r="C4217" s="12">
        <f t="shared" si="196"/>
        <v>2017</v>
      </c>
      <c r="D4217" s="13">
        <v>19500</v>
      </c>
      <c r="E4217" s="13">
        <v>60.355200000000004</v>
      </c>
      <c r="F4217" s="13">
        <f t="shared" si="197"/>
        <v>323.08732304755841</v>
      </c>
    </row>
    <row r="4218" spans="1:6" x14ac:dyDescent="0.25">
      <c r="A4218" s="10">
        <v>42926</v>
      </c>
      <c r="B4218" s="12">
        <f t="shared" si="195"/>
        <v>7</v>
      </c>
      <c r="C4218" s="12">
        <f t="shared" si="196"/>
        <v>2017</v>
      </c>
      <c r="D4218" s="13">
        <v>19750</v>
      </c>
      <c r="E4218" s="13">
        <v>60.189799999999998</v>
      </c>
      <c r="F4218" s="13">
        <f t="shared" si="197"/>
        <v>328.12868625581081</v>
      </c>
    </row>
    <row r="4219" spans="1:6" x14ac:dyDescent="0.25">
      <c r="A4219" s="10">
        <v>42927</v>
      </c>
      <c r="B4219" s="12">
        <f t="shared" si="195"/>
        <v>7</v>
      </c>
      <c r="C4219" s="12">
        <f t="shared" si="196"/>
        <v>2017</v>
      </c>
      <c r="D4219" s="13">
        <v>19750</v>
      </c>
      <c r="E4219" s="13">
        <v>60.738999999999997</v>
      </c>
      <c r="F4219" s="13">
        <f t="shared" si="197"/>
        <v>325.16175768451905</v>
      </c>
    </row>
    <row r="4220" spans="1:6" x14ac:dyDescent="0.25">
      <c r="A4220" s="10">
        <v>42928</v>
      </c>
      <c r="B4220" s="12">
        <f t="shared" si="195"/>
        <v>7</v>
      </c>
      <c r="C4220" s="12">
        <f t="shared" si="196"/>
        <v>2017</v>
      </c>
      <c r="D4220" s="13">
        <v>19750</v>
      </c>
      <c r="E4220" s="13">
        <v>59.915999999999997</v>
      </c>
      <c r="F4220" s="13">
        <f t="shared" si="197"/>
        <v>329.62814607116633</v>
      </c>
    </row>
    <row r="4221" spans="1:6" x14ac:dyDescent="0.25">
      <c r="A4221" s="10">
        <v>42929</v>
      </c>
      <c r="B4221" s="12">
        <f t="shared" si="195"/>
        <v>7</v>
      </c>
      <c r="C4221" s="12">
        <f t="shared" si="196"/>
        <v>2017</v>
      </c>
      <c r="D4221" s="13">
        <v>19750</v>
      </c>
      <c r="E4221" s="13">
        <v>59.761099999999999</v>
      </c>
      <c r="F4221" s="13">
        <f t="shared" si="197"/>
        <v>330.48253797202528</v>
      </c>
    </row>
    <row r="4222" spans="1:6" x14ac:dyDescent="0.25">
      <c r="A4222" s="10">
        <v>42930</v>
      </c>
      <c r="B4222" s="12">
        <f t="shared" si="195"/>
        <v>7</v>
      </c>
      <c r="C4222" s="12">
        <f t="shared" si="196"/>
        <v>2017</v>
      </c>
      <c r="D4222" s="13">
        <v>19750</v>
      </c>
      <c r="E4222" s="13">
        <v>59.036499999999997</v>
      </c>
      <c r="F4222" s="13">
        <f t="shared" si="197"/>
        <v>334.53880226639455</v>
      </c>
    </row>
    <row r="4223" spans="1:6" x14ac:dyDescent="0.25">
      <c r="A4223" s="10">
        <v>42933</v>
      </c>
      <c r="B4223" s="12">
        <f t="shared" si="195"/>
        <v>7</v>
      </c>
      <c r="C4223" s="12">
        <f t="shared" si="196"/>
        <v>2017</v>
      </c>
      <c r="D4223" s="13">
        <v>20000</v>
      </c>
      <c r="E4223" s="13">
        <v>59.325000000000003</v>
      </c>
      <c r="F4223" s="13">
        <f t="shared" si="197"/>
        <v>337.12600084281496</v>
      </c>
    </row>
    <row r="4224" spans="1:6" x14ac:dyDescent="0.25">
      <c r="A4224" s="10">
        <v>42934</v>
      </c>
      <c r="B4224" s="12">
        <f t="shared" si="195"/>
        <v>7</v>
      </c>
      <c r="C4224" s="12">
        <f t="shared" si="196"/>
        <v>2017</v>
      </c>
      <c r="D4224" s="13">
        <v>20000</v>
      </c>
      <c r="E4224" s="13">
        <v>59.157299999999999</v>
      </c>
      <c r="F4224" s="13">
        <f t="shared" si="197"/>
        <v>338.08169067891873</v>
      </c>
    </row>
    <row r="4225" spans="1:6" x14ac:dyDescent="0.25">
      <c r="A4225" s="10">
        <v>42935</v>
      </c>
      <c r="B4225" s="12">
        <f t="shared" si="195"/>
        <v>7</v>
      </c>
      <c r="C4225" s="12">
        <f t="shared" si="196"/>
        <v>2017</v>
      </c>
      <c r="D4225" s="13">
        <v>20000</v>
      </c>
      <c r="E4225" s="13">
        <v>58.982300000000002</v>
      </c>
      <c r="F4225" s="13">
        <f t="shared" si="197"/>
        <v>339.08477628034171</v>
      </c>
    </row>
    <row r="4226" spans="1:6" x14ac:dyDescent="0.25">
      <c r="A4226" s="10">
        <v>42936</v>
      </c>
      <c r="B4226" s="12">
        <f t="shared" si="195"/>
        <v>7</v>
      </c>
      <c r="C4226" s="12">
        <f t="shared" si="196"/>
        <v>2017</v>
      </c>
      <c r="D4226" s="13">
        <v>20000</v>
      </c>
      <c r="E4226" s="13">
        <v>58.890500000000003</v>
      </c>
      <c r="F4226" s="13">
        <f t="shared" si="197"/>
        <v>339.61335020079639</v>
      </c>
    </row>
    <row r="4227" spans="1:6" x14ac:dyDescent="0.25">
      <c r="A4227" s="10">
        <v>42937</v>
      </c>
      <c r="B4227" s="12">
        <f t="shared" ref="B4227:B4290" si="198">MONTH(A4227)</f>
        <v>7</v>
      </c>
      <c r="C4227" s="12">
        <f t="shared" ref="C4227:C4290" si="199">YEAR(A4227)</f>
        <v>2017</v>
      </c>
      <c r="D4227" s="13">
        <v>20000</v>
      </c>
      <c r="E4227" s="13">
        <v>59.3095</v>
      </c>
      <c r="F4227" s="13">
        <f t="shared" ref="F4227:F4290" si="200">IF(D4227="","",D4227/E4227)</f>
        <v>337.21410566603998</v>
      </c>
    </row>
    <row r="4228" spans="1:6" x14ac:dyDescent="0.25">
      <c r="A4228" s="10">
        <v>42940</v>
      </c>
      <c r="B4228" s="12">
        <f t="shared" si="198"/>
        <v>7</v>
      </c>
      <c r="C4228" s="12">
        <f t="shared" si="199"/>
        <v>2017</v>
      </c>
      <c r="D4228" s="13">
        <v>20000</v>
      </c>
      <c r="E4228" s="13">
        <v>59.9803</v>
      </c>
      <c r="F4228" s="13">
        <f t="shared" si="200"/>
        <v>333.44281372383932</v>
      </c>
    </row>
    <row r="4229" spans="1:6" x14ac:dyDescent="0.25">
      <c r="A4229" s="10">
        <v>42941</v>
      </c>
      <c r="B4229" s="12">
        <f t="shared" si="198"/>
        <v>7</v>
      </c>
      <c r="C4229" s="12">
        <f t="shared" si="199"/>
        <v>2017</v>
      </c>
      <c r="D4229" s="13">
        <v>20000</v>
      </c>
      <c r="E4229" s="13">
        <v>59.847000000000001</v>
      </c>
      <c r="F4229" s="13">
        <f t="shared" si="200"/>
        <v>334.1855063745885</v>
      </c>
    </row>
    <row r="4230" spans="1:6" x14ac:dyDescent="0.25">
      <c r="A4230" s="10">
        <v>42942</v>
      </c>
      <c r="B4230" s="12">
        <f t="shared" si="198"/>
        <v>7</v>
      </c>
      <c r="C4230" s="12">
        <f t="shared" si="199"/>
        <v>2017</v>
      </c>
      <c r="D4230" s="13">
        <v>20000</v>
      </c>
      <c r="E4230" s="13">
        <v>59.369500000000002</v>
      </c>
      <c r="F4230" s="13">
        <f t="shared" si="200"/>
        <v>336.87331036980265</v>
      </c>
    </row>
    <row r="4231" spans="1:6" x14ac:dyDescent="0.25">
      <c r="A4231" s="10">
        <v>42943</v>
      </c>
      <c r="B4231" s="12">
        <f t="shared" si="198"/>
        <v>7</v>
      </c>
      <c r="C4231" s="12">
        <f t="shared" si="199"/>
        <v>2017</v>
      </c>
      <c r="D4231" s="13">
        <v>20000</v>
      </c>
      <c r="E4231" s="13">
        <v>59.485300000000002</v>
      </c>
      <c r="F4231" s="13">
        <f t="shared" si="200"/>
        <v>336.21751928627742</v>
      </c>
    </row>
    <row r="4232" spans="1:6" x14ac:dyDescent="0.25">
      <c r="A4232" s="10">
        <v>42944</v>
      </c>
      <c r="B4232" s="12">
        <f t="shared" si="198"/>
        <v>7</v>
      </c>
      <c r="C4232" s="12">
        <f t="shared" si="199"/>
        <v>2017</v>
      </c>
      <c r="D4232" s="13">
        <v>20000</v>
      </c>
      <c r="E4232" s="13">
        <v>59.53</v>
      </c>
      <c r="F4232" s="13">
        <f t="shared" si="200"/>
        <v>335.96505963379809</v>
      </c>
    </row>
    <row r="4233" spans="1:6" x14ac:dyDescent="0.25">
      <c r="A4233" s="10">
        <v>42947</v>
      </c>
      <c r="B4233" s="12">
        <f t="shared" si="198"/>
        <v>7</v>
      </c>
      <c r="C4233" s="12">
        <f t="shared" si="199"/>
        <v>2017</v>
      </c>
      <c r="D4233" s="13">
        <v>20250</v>
      </c>
      <c r="E4233" s="13">
        <v>59.768000000000001</v>
      </c>
      <c r="F4233" s="13">
        <f t="shared" si="200"/>
        <v>338.81006558693616</v>
      </c>
    </row>
    <row r="4234" spans="1:6" x14ac:dyDescent="0.25">
      <c r="A4234" s="10">
        <v>42948</v>
      </c>
      <c r="B4234" s="12">
        <f t="shared" si="198"/>
        <v>8</v>
      </c>
      <c r="C4234" s="12">
        <f t="shared" si="199"/>
        <v>2017</v>
      </c>
      <c r="D4234" s="13">
        <v>20250</v>
      </c>
      <c r="E4234" s="13">
        <v>60.351799999999997</v>
      </c>
      <c r="F4234" s="13">
        <f t="shared" si="200"/>
        <v>335.53266016920787</v>
      </c>
    </row>
    <row r="4235" spans="1:6" x14ac:dyDescent="0.25">
      <c r="A4235" s="10">
        <v>42949</v>
      </c>
      <c r="B4235" s="12">
        <f t="shared" si="198"/>
        <v>8</v>
      </c>
      <c r="C4235" s="12">
        <f t="shared" si="199"/>
        <v>2017</v>
      </c>
      <c r="D4235" s="13">
        <v>20250</v>
      </c>
      <c r="E4235" s="13">
        <v>60.555</v>
      </c>
      <c r="F4235" s="13">
        <f t="shared" si="200"/>
        <v>334.40673767649247</v>
      </c>
    </row>
    <row r="4236" spans="1:6" x14ac:dyDescent="0.25">
      <c r="A4236" s="10">
        <v>42950</v>
      </c>
      <c r="B4236" s="12">
        <f t="shared" si="198"/>
        <v>8</v>
      </c>
      <c r="C4236" s="12">
        <f t="shared" si="199"/>
        <v>2017</v>
      </c>
      <c r="D4236" s="13">
        <v>20250</v>
      </c>
      <c r="E4236" s="13">
        <v>60.319000000000003</v>
      </c>
      <c r="F4236" s="13">
        <f t="shared" si="200"/>
        <v>335.71511464049468</v>
      </c>
    </row>
    <row r="4237" spans="1:6" x14ac:dyDescent="0.25">
      <c r="A4237" s="10">
        <v>42951</v>
      </c>
      <c r="B4237" s="12">
        <f t="shared" si="198"/>
        <v>8</v>
      </c>
      <c r="C4237" s="12">
        <f t="shared" si="199"/>
        <v>2017</v>
      </c>
      <c r="D4237" s="13">
        <v>20250</v>
      </c>
      <c r="E4237" s="13">
        <v>59.911799999999999</v>
      </c>
      <c r="F4237" s="13">
        <f t="shared" si="200"/>
        <v>337.99685537740481</v>
      </c>
    </row>
    <row r="4238" spans="1:6" x14ac:dyDescent="0.25">
      <c r="A4238" s="10">
        <v>42954</v>
      </c>
      <c r="B4238" s="12">
        <f t="shared" si="198"/>
        <v>8</v>
      </c>
      <c r="C4238" s="12">
        <f t="shared" si="199"/>
        <v>2017</v>
      </c>
      <c r="D4238" s="13">
        <v>20500</v>
      </c>
      <c r="E4238" s="13">
        <v>60.016100000000002</v>
      </c>
      <c r="F4238" s="13">
        <f t="shared" si="200"/>
        <v>341.57501070546067</v>
      </c>
    </row>
    <row r="4239" spans="1:6" x14ac:dyDescent="0.25">
      <c r="A4239" s="10">
        <v>42955</v>
      </c>
      <c r="B4239" s="12">
        <f t="shared" si="198"/>
        <v>8</v>
      </c>
      <c r="C4239" s="12">
        <f t="shared" si="199"/>
        <v>2017</v>
      </c>
      <c r="D4239" s="13">
        <v>20500</v>
      </c>
      <c r="E4239" s="13">
        <v>59.859499999999997</v>
      </c>
      <c r="F4239" s="13">
        <f t="shared" si="200"/>
        <v>342.46861400446045</v>
      </c>
    </row>
    <row r="4240" spans="1:6" x14ac:dyDescent="0.25">
      <c r="A4240" s="10">
        <v>42956</v>
      </c>
      <c r="B4240" s="12">
        <f t="shared" si="198"/>
        <v>8</v>
      </c>
      <c r="C4240" s="12">
        <f t="shared" si="199"/>
        <v>2017</v>
      </c>
      <c r="D4240" s="13">
        <v>20500</v>
      </c>
      <c r="E4240" s="13">
        <v>60.085999999999999</v>
      </c>
      <c r="F4240" s="13">
        <f t="shared" si="200"/>
        <v>341.17764537496254</v>
      </c>
    </row>
    <row r="4241" spans="1:6" x14ac:dyDescent="0.25">
      <c r="A4241" s="10">
        <v>42957</v>
      </c>
      <c r="B4241" s="12">
        <f t="shared" si="198"/>
        <v>8</v>
      </c>
      <c r="C4241" s="12">
        <f t="shared" si="199"/>
        <v>2017</v>
      </c>
      <c r="D4241" s="13">
        <v>20500</v>
      </c>
      <c r="E4241" s="13">
        <v>60.109499999999997</v>
      </c>
      <c r="F4241" s="13">
        <f t="shared" si="200"/>
        <v>341.04426089054147</v>
      </c>
    </row>
    <row r="4242" spans="1:6" x14ac:dyDescent="0.25">
      <c r="A4242" s="10">
        <v>42958</v>
      </c>
      <c r="B4242" s="12">
        <f t="shared" si="198"/>
        <v>8</v>
      </c>
      <c r="C4242" s="12">
        <f t="shared" si="199"/>
        <v>2017</v>
      </c>
      <c r="D4242" s="13">
        <v>20500</v>
      </c>
      <c r="E4242" s="13">
        <v>59.814999999999998</v>
      </c>
      <c r="F4242" s="13">
        <f t="shared" si="200"/>
        <v>342.72339714118533</v>
      </c>
    </row>
    <row r="4243" spans="1:6" x14ac:dyDescent="0.25">
      <c r="A4243" s="10">
        <v>42961</v>
      </c>
      <c r="B4243" s="12">
        <f t="shared" si="198"/>
        <v>8</v>
      </c>
      <c r="C4243" s="12">
        <f t="shared" si="199"/>
        <v>2017</v>
      </c>
      <c r="D4243" s="13">
        <v>20500</v>
      </c>
      <c r="E4243" s="13">
        <v>59.9133</v>
      </c>
      <c r="F4243" s="13">
        <f t="shared" si="200"/>
        <v>342.16108944090877</v>
      </c>
    </row>
    <row r="4244" spans="1:6" x14ac:dyDescent="0.25">
      <c r="A4244" s="10">
        <v>42962</v>
      </c>
      <c r="B4244" s="12">
        <f t="shared" si="198"/>
        <v>8</v>
      </c>
      <c r="C4244" s="12">
        <f t="shared" si="199"/>
        <v>2017</v>
      </c>
      <c r="D4244" s="13">
        <v>20500</v>
      </c>
      <c r="E4244" s="13">
        <v>59.695799999999998</v>
      </c>
      <c r="F4244" s="13">
        <f t="shared" si="200"/>
        <v>343.40774392838358</v>
      </c>
    </row>
    <row r="4245" spans="1:6" x14ac:dyDescent="0.25">
      <c r="A4245" s="10">
        <v>42963</v>
      </c>
      <c r="B4245" s="12">
        <f t="shared" si="198"/>
        <v>8</v>
      </c>
      <c r="C4245" s="12">
        <f t="shared" si="199"/>
        <v>2017</v>
      </c>
      <c r="D4245" s="13">
        <v>20500</v>
      </c>
      <c r="E4245" s="13">
        <v>59.38</v>
      </c>
      <c r="F4245" s="13">
        <f t="shared" si="200"/>
        <v>345.23408555069045</v>
      </c>
    </row>
    <row r="4246" spans="1:6" x14ac:dyDescent="0.25">
      <c r="A4246" s="10">
        <v>42964</v>
      </c>
      <c r="B4246" s="12">
        <f t="shared" si="198"/>
        <v>8</v>
      </c>
      <c r="C4246" s="12">
        <f t="shared" si="199"/>
        <v>2017</v>
      </c>
      <c r="D4246" s="13">
        <v>20500</v>
      </c>
      <c r="E4246" s="13">
        <v>59.209099999999999</v>
      </c>
      <c r="F4246" s="13">
        <f t="shared" si="200"/>
        <v>346.23056253177299</v>
      </c>
    </row>
    <row r="4247" spans="1:6" x14ac:dyDescent="0.25">
      <c r="A4247" s="10">
        <v>42965</v>
      </c>
      <c r="B4247" s="12">
        <f t="shared" si="198"/>
        <v>8</v>
      </c>
      <c r="C4247" s="12">
        <f t="shared" si="199"/>
        <v>2017</v>
      </c>
      <c r="D4247" s="13">
        <v>20500</v>
      </c>
      <c r="E4247" s="13">
        <v>58.899000000000001</v>
      </c>
      <c r="F4247" s="13">
        <f t="shared" si="200"/>
        <v>348.05344742695121</v>
      </c>
    </row>
    <row r="4248" spans="1:6" x14ac:dyDescent="0.25">
      <c r="A4248" s="10">
        <v>42968</v>
      </c>
      <c r="B4248" s="12">
        <f t="shared" si="198"/>
        <v>8</v>
      </c>
      <c r="C4248" s="12">
        <f t="shared" si="199"/>
        <v>2017</v>
      </c>
      <c r="D4248" s="13">
        <v>20500</v>
      </c>
      <c r="E4248" s="13">
        <v>59.1295</v>
      </c>
      <c r="F4248" s="13">
        <f t="shared" si="200"/>
        <v>346.6966573368623</v>
      </c>
    </row>
    <row r="4249" spans="1:6" x14ac:dyDescent="0.25">
      <c r="A4249" s="10">
        <v>42969</v>
      </c>
      <c r="B4249" s="12">
        <f t="shared" si="198"/>
        <v>8</v>
      </c>
      <c r="C4249" s="12">
        <f t="shared" si="199"/>
        <v>2017</v>
      </c>
      <c r="D4249" s="13">
        <v>20500</v>
      </c>
      <c r="E4249" s="13">
        <v>59.058500000000002</v>
      </c>
      <c r="F4249" s="13">
        <f t="shared" si="200"/>
        <v>347.113455302793</v>
      </c>
    </row>
    <row r="4250" spans="1:6" x14ac:dyDescent="0.25">
      <c r="A4250" s="10">
        <v>42970</v>
      </c>
      <c r="B4250" s="12">
        <f t="shared" si="198"/>
        <v>8</v>
      </c>
      <c r="C4250" s="12">
        <f t="shared" si="199"/>
        <v>2017</v>
      </c>
      <c r="D4250" s="13">
        <v>20500</v>
      </c>
      <c r="E4250" s="13">
        <v>59.044499999999999</v>
      </c>
      <c r="F4250" s="13">
        <f t="shared" si="200"/>
        <v>347.19575913082508</v>
      </c>
    </row>
    <row r="4251" spans="1:6" x14ac:dyDescent="0.25">
      <c r="A4251" s="10">
        <v>42971</v>
      </c>
      <c r="B4251" s="12">
        <f t="shared" si="198"/>
        <v>8</v>
      </c>
      <c r="C4251" s="12">
        <f t="shared" si="199"/>
        <v>2017</v>
      </c>
      <c r="D4251" s="13">
        <v>20500</v>
      </c>
      <c r="E4251" s="13">
        <v>59.12</v>
      </c>
      <c r="F4251" s="13">
        <f t="shared" si="200"/>
        <v>346.75236806495263</v>
      </c>
    </row>
    <row r="4252" spans="1:6" x14ac:dyDescent="0.25">
      <c r="A4252" s="10">
        <v>42972</v>
      </c>
      <c r="B4252" s="12">
        <f t="shared" si="198"/>
        <v>8</v>
      </c>
      <c r="C4252" s="12">
        <f t="shared" si="199"/>
        <v>2017</v>
      </c>
      <c r="D4252" s="13">
        <v>20500</v>
      </c>
      <c r="E4252" s="13">
        <v>58.566600000000001</v>
      </c>
      <c r="F4252" s="13">
        <f t="shared" si="200"/>
        <v>350.02885603740015</v>
      </c>
    </row>
    <row r="4253" spans="1:6" x14ac:dyDescent="0.25">
      <c r="A4253" s="10">
        <v>42975</v>
      </c>
      <c r="B4253" s="12">
        <f t="shared" si="198"/>
        <v>8</v>
      </c>
      <c r="C4253" s="12">
        <f t="shared" si="199"/>
        <v>2017</v>
      </c>
      <c r="D4253" s="13">
        <v>19500</v>
      </c>
      <c r="E4253" s="13">
        <v>58.432000000000002</v>
      </c>
      <c r="F4253" s="13">
        <f t="shared" si="200"/>
        <v>333.72124863088715</v>
      </c>
    </row>
    <row r="4254" spans="1:6" x14ac:dyDescent="0.25">
      <c r="A4254" s="10">
        <v>42976</v>
      </c>
      <c r="B4254" s="12">
        <f t="shared" si="198"/>
        <v>8</v>
      </c>
      <c r="C4254" s="12">
        <f t="shared" si="199"/>
        <v>2017</v>
      </c>
      <c r="D4254" s="13">
        <v>19500</v>
      </c>
      <c r="E4254" s="13">
        <v>58.808</v>
      </c>
      <c r="F4254" s="13">
        <f t="shared" si="200"/>
        <v>331.58753911032511</v>
      </c>
    </row>
    <row r="4255" spans="1:6" x14ac:dyDescent="0.25">
      <c r="A4255" s="10">
        <v>42977</v>
      </c>
      <c r="B4255" s="12">
        <f t="shared" si="198"/>
        <v>8</v>
      </c>
      <c r="C4255" s="12">
        <f t="shared" si="199"/>
        <v>2017</v>
      </c>
      <c r="D4255" s="13">
        <v>19500</v>
      </c>
      <c r="E4255" s="13">
        <v>58.521500000000003</v>
      </c>
      <c r="F4255" s="13">
        <f t="shared" si="200"/>
        <v>333.2108712182702</v>
      </c>
    </row>
    <row r="4256" spans="1:6" x14ac:dyDescent="0.25">
      <c r="A4256" s="10">
        <v>42978</v>
      </c>
      <c r="B4256" s="12">
        <f t="shared" si="198"/>
        <v>8</v>
      </c>
      <c r="C4256" s="12">
        <f t="shared" si="199"/>
        <v>2017</v>
      </c>
      <c r="D4256" s="13">
        <v>19500</v>
      </c>
      <c r="E4256" s="13">
        <v>57.994</v>
      </c>
      <c r="F4256" s="13">
        <f t="shared" si="200"/>
        <v>336.24168017381106</v>
      </c>
    </row>
    <row r="4257" spans="1:6" x14ac:dyDescent="0.25">
      <c r="A4257" s="10">
        <v>42979</v>
      </c>
      <c r="B4257" s="12">
        <f t="shared" si="198"/>
        <v>9</v>
      </c>
      <c r="C4257" s="12">
        <f t="shared" si="199"/>
        <v>2017</v>
      </c>
      <c r="D4257" s="13">
        <v>19500</v>
      </c>
      <c r="E4257" s="13">
        <v>57.445</v>
      </c>
      <c r="F4257" s="13">
        <f t="shared" si="200"/>
        <v>339.45513099486465</v>
      </c>
    </row>
    <row r="4258" spans="1:6" x14ac:dyDescent="0.25">
      <c r="A4258" s="10">
        <v>42983</v>
      </c>
      <c r="B4258" s="12">
        <f t="shared" si="198"/>
        <v>9</v>
      </c>
      <c r="C4258" s="12">
        <f t="shared" si="199"/>
        <v>2017</v>
      </c>
      <c r="D4258" s="13">
        <v>19000</v>
      </c>
      <c r="E4258" s="13">
        <v>57.5105</v>
      </c>
      <c r="F4258" s="13">
        <f t="shared" si="200"/>
        <v>330.37445336069067</v>
      </c>
    </row>
    <row r="4259" spans="1:6" x14ac:dyDescent="0.25">
      <c r="A4259" s="10">
        <v>42984</v>
      </c>
      <c r="B4259" s="12">
        <f t="shared" si="198"/>
        <v>9</v>
      </c>
      <c r="C4259" s="12">
        <f t="shared" si="199"/>
        <v>2017</v>
      </c>
      <c r="D4259" s="13">
        <v>19000</v>
      </c>
      <c r="E4259" s="13">
        <v>57.371899999999997</v>
      </c>
      <c r="F4259" s="13">
        <f t="shared" si="200"/>
        <v>331.1725775161708</v>
      </c>
    </row>
    <row r="4260" spans="1:6" x14ac:dyDescent="0.25">
      <c r="A4260" s="10">
        <v>42985</v>
      </c>
      <c r="B4260" s="12">
        <f t="shared" si="198"/>
        <v>9</v>
      </c>
      <c r="C4260" s="12">
        <f t="shared" si="199"/>
        <v>2017</v>
      </c>
      <c r="D4260" s="13">
        <v>19000</v>
      </c>
      <c r="E4260" s="13">
        <v>56.875</v>
      </c>
      <c r="F4260" s="13">
        <f t="shared" si="200"/>
        <v>334.06593406593407</v>
      </c>
    </row>
    <row r="4261" spans="1:6" x14ac:dyDescent="0.25">
      <c r="A4261" s="10">
        <v>42986</v>
      </c>
      <c r="B4261" s="12">
        <f t="shared" si="198"/>
        <v>9</v>
      </c>
      <c r="C4261" s="12">
        <f t="shared" si="199"/>
        <v>2017</v>
      </c>
      <c r="D4261" s="13">
        <v>19000</v>
      </c>
      <c r="E4261" s="13">
        <v>57.3429</v>
      </c>
      <c r="F4261" s="13">
        <f t="shared" si="200"/>
        <v>331.34006128047241</v>
      </c>
    </row>
    <row r="4262" spans="1:6" x14ac:dyDescent="0.25">
      <c r="A4262" s="10">
        <v>42989</v>
      </c>
      <c r="B4262" s="12">
        <f t="shared" si="198"/>
        <v>9</v>
      </c>
      <c r="C4262" s="12">
        <f t="shared" si="199"/>
        <v>2017</v>
      </c>
      <c r="D4262" s="13">
        <v>18000</v>
      </c>
      <c r="E4262" s="13">
        <v>57.188099999999999</v>
      </c>
      <c r="F4262" s="13">
        <f t="shared" si="200"/>
        <v>314.75079605722169</v>
      </c>
    </row>
    <row r="4263" spans="1:6" x14ac:dyDescent="0.25">
      <c r="A4263" s="10">
        <v>42990</v>
      </c>
      <c r="B4263" s="12">
        <f t="shared" si="198"/>
        <v>9</v>
      </c>
      <c r="C4263" s="12">
        <f t="shared" si="199"/>
        <v>2017</v>
      </c>
      <c r="D4263" s="13">
        <v>18000</v>
      </c>
      <c r="E4263" s="13">
        <v>57.631999999999998</v>
      </c>
      <c r="F4263" s="13">
        <f t="shared" si="200"/>
        <v>312.32648528595229</v>
      </c>
    </row>
    <row r="4264" spans="1:6" x14ac:dyDescent="0.25">
      <c r="A4264" s="10">
        <v>42991</v>
      </c>
      <c r="B4264" s="12">
        <f t="shared" si="198"/>
        <v>9</v>
      </c>
      <c r="C4264" s="12">
        <f t="shared" si="199"/>
        <v>2017</v>
      </c>
      <c r="D4264" s="13">
        <v>18000</v>
      </c>
      <c r="E4264" s="13">
        <v>57.945999999999998</v>
      </c>
      <c r="F4264" s="13">
        <f t="shared" si="200"/>
        <v>310.63403858765059</v>
      </c>
    </row>
    <row r="4265" spans="1:6" x14ac:dyDescent="0.25">
      <c r="A4265" s="10">
        <v>42992</v>
      </c>
      <c r="B4265" s="12">
        <f t="shared" si="198"/>
        <v>9</v>
      </c>
      <c r="C4265" s="12">
        <f t="shared" si="199"/>
        <v>2017</v>
      </c>
      <c r="D4265" s="13">
        <v>18000</v>
      </c>
      <c r="E4265" s="13">
        <v>57.491100000000003</v>
      </c>
      <c r="F4265" s="13">
        <f t="shared" si="200"/>
        <v>313.09193944801888</v>
      </c>
    </row>
    <row r="4266" spans="1:6" x14ac:dyDescent="0.25">
      <c r="A4266" s="10">
        <v>42993</v>
      </c>
      <c r="B4266" s="12">
        <f t="shared" si="198"/>
        <v>9</v>
      </c>
      <c r="C4266" s="12">
        <f t="shared" si="199"/>
        <v>2017</v>
      </c>
      <c r="D4266" s="13">
        <v>18000</v>
      </c>
      <c r="E4266" s="13">
        <v>57.6205</v>
      </c>
      <c r="F4266" s="13">
        <f t="shared" si="200"/>
        <v>312.38881995123262</v>
      </c>
    </row>
    <row r="4267" spans="1:6" x14ac:dyDescent="0.25">
      <c r="A4267" s="10">
        <v>42996</v>
      </c>
      <c r="B4267" s="12">
        <f t="shared" si="198"/>
        <v>9</v>
      </c>
      <c r="C4267" s="12">
        <f t="shared" si="199"/>
        <v>2017</v>
      </c>
      <c r="D4267" s="13">
        <v>17500</v>
      </c>
      <c r="E4267" s="13">
        <v>58.082999999999998</v>
      </c>
      <c r="F4267" s="13">
        <f t="shared" si="200"/>
        <v>301.29297729111789</v>
      </c>
    </row>
    <row r="4268" spans="1:6" x14ac:dyDescent="0.25">
      <c r="A4268" s="10">
        <v>42997</v>
      </c>
      <c r="B4268" s="12">
        <f t="shared" si="198"/>
        <v>9</v>
      </c>
      <c r="C4268" s="12">
        <f t="shared" si="199"/>
        <v>2017</v>
      </c>
      <c r="D4268" s="13">
        <v>17500</v>
      </c>
      <c r="E4268" s="13">
        <v>58.073999999999998</v>
      </c>
      <c r="F4268" s="13">
        <f t="shared" si="200"/>
        <v>301.33967007610983</v>
      </c>
    </row>
    <row r="4269" spans="1:6" x14ac:dyDescent="0.25">
      <c r="A4269" s="10">
        <v>42998</v>
      </c>
      <c r="B4269" s="12">
        <f t="shared" si="198"/>
        <v>9</v>
      </c>
      <c r="C4269" s="12">
        <f t="shared" si="199"/>
        <v>2017</v>
      </c>
      <c r="D4269" s="13">
        <v>17500</v>
      </c>
      <c r="E4269" s="13">
        <v>58.247</v>
      </c>
      <c r="F4269" s="13">
        <f t="shared" si="200"/>
        <v>300.44465809397911</v>
      </c>
    </row>
    <row r="4270" spans="1:6" x14ac:dyDescent="0.25">
      <c r="A4270" s="10">
        <v>42999</v>
      </c>
      <c r="B4270" s="12">
        <f t="shared" si="198"/>
        <v>9</v>
      </c>
      <c r="C4270" s="12">
        <f t="shared" si="199"/>
        <v>2017</v>
      </c>
      <c r="D4270" s="13">
        <v>17500</v>
      </c>
      <c r="E4270" s="13">
        <v>57.911000000000001</v>
      </c>
      <c r="F4270" s="13">
        <f t="shared" si="200"/>
        <v>302.18783996131992</v>
      </c>
    </row>
    <row r="4271" spans="1:6" x14ac:dyDescent="0.25">
      <c r="A4271" s="10">
        <v>43000</v>
      </c>
      <c r="B4271" s="12">
        <f t="shared" si="198"/>
        <v>9</v>
      </c>
      <c r="C4271" s="12">
        <f t="shared" si="199"/>
        <v>2017</v>
      </c>
      <c r="D4271" s="13">
        <v>17500</v>
      </c>
      <c r="E4271" s="13">
        <v>57.480499999999999</v>
      </c>
      <c r="F4271" s="13">
        <f t="shared" si="200"/>
        <v>304.45107471229375</v>
      </c>
    </row>
    <row r="4272" spans="1:6" x14ac:dyDescent="0.25">
      <c r="A4272" s="10">
        <v>43003</v>
      </c>
      <c r="B4272" s="12">
        <f t="shared" si="198"/>
        <v>9</v>
      </c>
      <c r="C4272" s="12">
        <f t="shared" si="199"/>
        <v>2017</v>
      </c>
      <c r="D4272" s="13">
        <v>17000</v>
      </c>
      <c r="E4272" s="13">
        <v>57.479700000000001</v>
      </c>
      <c r="F4272" s="13">
        <f t="shared" si="200"/>
        <v>295.75658884788891</v>
      </c>
    </row>
    <row r="4273" spans="1:6" x14ac:dyDescent="0.25">
      <c r="A4273" s="10">
        <v>43004</v>
      </c>
      <c r="B4273" s="12">
        <f t="shared" si="198"/>
        <v>9</v>
      </c>
      <c r="C4273" s="12">
        <f t="shared" si="199"/>
        <v>2017</v>
      </c>
      <c r="D4273" s="13">
        <v>17000</v>
      </c>
      <c r="E4273" s="13">
        <v>57.844999999999999</v>
      </c>
      <c r="F4273" s="13">
        <f t="shared" si="200"/>
        <v>293.88884086783645</v>
      </c>
    </row>
    <row r="4274" spans="1:6" x14ac:dyDescent="0.25">
      <c r="A4274" s="10">
        <v>43005</v>
      </c>
      <c r="B4274" s="12">
        <f t="shared" si="198"/>
        <v>9</v>
      </c>
      <c r="C4274" s="12">
        <f t="shared" si="199"/>
        <v>2017</v>
      </c>
      <c r="D4274" s="13">
        <v>17000</v>
      </c>
      <c r="E4274" s="13">
        <v>58.185000000000002</v>
      </c>
      <c r="F4274" s="13">
        <f t="shared" si="200"/>
        <v>292.17152186989773</v>
      </c>
    </row>
    <row r="4275" spans="1:6" x14ac:dyDescent="0.25">
      <c r="A4275" s="10">
        <v>43006</v>
      </c>
      <c r="B4275" s="12">
        <f t="shared" si="198"/>
        <v>9</v>
      </c>
      <c r="C4275" s="12">
        <f t="shared" si="199"/>
        <v>2017</v>
      </c>
      <c r="D4275" s="13">
        <v>17000</v>
      </c>
      <c r="E4275" s="13">
        <v>57.906500000000001</v>
      </c>
      <c r="F4275" s="13">
        <f t="shared" si="200"/>
        <v>293.57671418579952</v>
      </c>
    </row>
    <row r="4276" spans="1:6" x14ac:dyDescent="0.25">
      <c r="A4276" s="10">
        <v>43007</v>
      </c>
      <c r="B4276" s="12">
        <f t="shared" si="198"/>
        <v>9</v>
      </c>
      <c r="C4276" s="12">
        <f t="shared" si="199"/>
        <v>2017</v>
      </c>
      <c r="D4276" s="13">
        <v>17000</v>
      </c>
      <c r="E4276" s="13">
        <v>57.506999999999998</v>
      </c>
      <c r="F4276" s="13">
        <f t="shared" si="200"/>
        <v>295.61618585563497</v>
      </c>
    </row>
    <row r="4277" spans="1:6" x14ac:dyDescent="0.25">
      <c r="A4277" s="10">
        <v>43010</v>
      </c>
      <c r="B4277" s="12">
        <f t="shared" si="198"/>
        <v>10</v>
      </c>
      <c r="C4277" s="12">
        <f t="shared" si="199"/>
        <v>2017</v>
      </c>
      <c r="D4277" s="13">
        <v>16750</v>
      </c>
      <c r="E4277" s="13">
        <v>57.872</v>
      </c>
      <c r="F4277" s="13">
        <f t="shared" si="200"/>
        <v>289.43184959911531</v>
      </c>
    </row>
    <row r="4278" spans="1:6" x14ac:dyDescent="0.25">
      <c r="A4278" s="10">
        <v>43011</v>
      </c>
      <c r="B4278" s="12">
        <f t="shared" si="198"/>
        <v>10</v>
      </c>
      <c r="C4278" s="12">
        <f t="shared" si="199"/>
        <v>2017</v>
      </c>
      <c r="D4278" s="13">
        <v>16750</v>
      </c>
      <c r="E4278" s="13">
        <v>57.914099999999998</v>
      </c>
      <c r="F4278" s="13">
        <f t="shared" si="200"/>
        <v>289.22145038945609</v>
      </c>
    </row>
    <row r="4279" spans="1:6" x14ac:dyDescent="0.25">
      <c r="A4279" s="10">
        <v>43012</v>
      </c>
      <c r="B4279" s="12">
        <f t="shared" si="198"/>
        <v>10</v>
      </c>
      <c r="C4279" s="12">
        <f t="shared" si="199"/>
        <v>2017</v>
      </c>
      <c r="D4279" s="13">
        <v>16750</v>
      </c>
      <c r="E4279" s="13">
        <v>57.655999999999999</v>
      </c>
      <c r="F4279" s="13">
        <f t="shared" si="200"/>
        <v>290.51616483973913</v>
      </c>
    </row>
    <row r="4280" spans="1:6" x14ac:dyDescent="0.25">
      <c r="A4280" s="10">
        <v>43013</v>
      </c>
      <c r="B4280" s="12">
        <f t="shared" si="198"/>
        <v>10</v>
      </c>
      <c r="C4280" s="12">
        <f t="shared" si="199"/>
        <v>2017</v>
      </c>
      <c r="D4280" s="13">
        <v>16750</v>
      </c>
      <c r="E4280" s="13">
        <v>57.716099999999997</v>
      </c>
      <c r="F4280" s="13">
        <f t="shared" si="200"/>
        <v>290.21364922439318</v>
      </c>
    </row>
    <row r="4281" spans="1:6" x14ac:dyDescent="0.25">
      <c r="A4281" s="10">
        <v>43014</v>
      </c>
      <c r="B4281" s="12">
        <f t="shared" si="198"/>
        <v>10</v>
      </c>
      <c r="C4281" s="12">
        <f t="shared" si="199"/>
        <v>2017</v>
      </c>
      <c r="D4281" s="13">
        <v>16750</v>
      </c>
      <c r="E4281" s="13">
        <v>58.155500000000004</v>
      </c>
      <c r="F4281" s="13">
        <f t="shared" si="200"/>
        <v>288.02090945826274</v>
      </c>
    </row>
    <row r="4282" spans="1:6" x14ac:dyDescent="0.25">
      <c r="A4282" s="10">
        <v>43017</v>
      </c>
      <c r="B4282" s="12">
        <f t="shared" si="198"/>
        <v>10</v>
      </c>
      <c r="C4282" s="12">
        <f t="shared" si="199"/>
        <v>2017</v>
      </c>
      <c r="D4282" s="13">
        <v>16500</v>
      </c>
      <c r="E4282" s="13">
        <v>58.244</v>
      </c>
      <c r="F4282" s="13">
        <f t="shared" si="200"/>
        <v>283.29098276217292</v>
      </c>
    </row>
    <row r="4283" spans="1:6" x14ac:dyDescent="0.25">
      <c r="A4283" s="10">
        <v>43018</v>
      </c>
      <c r="B4283" s="12">
        <f t="shared" si="198"/>
        <v>10</v>
      </c>
      <c r="C4283" s="12">
        <f t="shared" si="199"/>
        <v>2017</v>
      </c>
      <c r="D4283" s="13">
        <v>16500</v>
      </c>
      <c r="E4283" s="13">
        <v>57.94</v>
      </c>
      <c r="F4283" s="13">
        <f t="shared" si="200"/>
        <v>284.77735588539872</v>
      </c>
    </row>
    <row r="4284" spans="1:6" x14ac:dyDescent="0.25">
      <c r="A4284" s="10">
        <v>43019</v>
      </c>
      <c r="B4284" s="12">
        <f t="shared" si="198"/>
        <v>10</v>
      </c>
      <c r="C4284" s="12">
        <f t="shared" si="199"/>
        <v>2017</v>
      </c>
      <c r="D4284" s="13">
        <v>16500</v>
      </c>
      <c r="E4284" s="13">
        <v>57.775300000000001</v>
      </c>
      <c r="F4284" s="13">
        <f t="shared" si="200"/>
        <v>285.58917045865621</v>
      </c>
    </row>
    <row r="4285" spans="1:6" x14ac:dyDescent="0.25">
      <c r="A4285" s="10">
        <v>43020</v>
      </c>
      <c r="B4285" s="12">
        <f t="shared" si="198"/>
        <v>10</v>
      </c>
      <c r="C4285" s="12">
        <f t="shared" si="199"/>
        <v>2017</v>
      </c>
      <c r="D4285" s="13">
        <v>16500</v>
      </c>
      <c r="E4285" s="13">
        <v>57.75</v>
      </c>
      <c r="F4285" s="13">
        <f t="shared" si="200"/>
        <v>285.71428571428572</v>
      </c>
    </row>
    <row r="4286" spans="1:6" x14ac:dyDescent="0.25">
      <c r="A4286" s="10">
        <v>43021</v>
      </c>
      <c r="B4286" s="12">
        <f t="shared" si="198"/>
        <v>10</v>
      </c>
      <c r="C4286" s="12">
        <f t="shared" si="199"/>
        <v>2017</v>
      </c>
      <c r="D4286" s="13">
        <v>16500</v>
      </c>
      <c r="E4286" s="13">
        <v>57.170499999999997</v>
      </c>
      <c r="F4286" s="13">
        <f t="shared" si="200"/>
        <v>288.61038472638865</v>
      </c>
    </row>
    <row r="4287" spans="1:6" x14ac:dyDescent="0.25">
      <c r="A4287" s="10">
        <v>43024</v>
      </c>
      <c r="B4287" s="12">
        <f t="shared" si="198"/>
        <v>10</v>
      </c>
      <c r="C4287" s="12">
        <f t="shared" si="199"/>
        <v>2017</v>
      </c>
      <c r="D4287" s="13">
        <v>16500</v>
      </c>
      <c r="E4287" s="13">
        <v>57.271700000000003</v>
      </c>
      <c r="F4287" s="13">
        <f t="shared" si="200"/>
        <v>288.1004056104498</v>
      </c>
    </row>
    <row r="4288" spans="1:6" x14ac:dyDescent="0.25">
      <c r="A4288" s="10">
        <v>43025</v>
      </c>
      <c r="B4288" s="12">
        <f t="shared" si="198"/>
        <v>10</v>
      </c>
      <c r="C4288" s="12">
        <f t="shared" si="199"/>
        <v>2017</v>
      </c>
      <c r="D4288" s="13">
        <v>16500</v>
      </c>
      <c r="E4288" s="13">
        <v>57.333500000000001</v>
      </c>
      <c r="F4288" s="13">
        <f t="shared" si="200"/>
        <v>287.78986107598524</v>
      </c>
    </row>
    <row r="4289" spans="1:6" x14ac:dyDescent="0.25">
      <c r="A4289" s="10">
        <v>43026</v>
      </c>
      <c r="B4289" s="12">
        <f t="shared" si="198"/>
        <v>10</v>
      </c>
      <c r="C4289" s="12">
        <f t="shared" si="199"/>
        <v>2017</v>
      </c>
      <c r="D4289" s="13">
        <v>16500</v>
      </c>
      <c r="E4289" s="13">
        <v>57.445999999999998</v>
      </c>
      <c r="F4289" s="13">
        <f t="shared" si="200"/>
        <v>287.22626466594716</v>
      </c>
    </row>
    <row r="4290" spans="1:6" x14ac:dyDescent="0.25">
      <c r="A4290" s="10">
        <v>43027</v>
      </c>
      <c r="B4290" s="12">
        <f t="shared" si="198"/>
        <v>10</v>
      </c>
      <c r="C4290" s="12">
        <f t="shared" si="199"/>
        <v>2017</v>
      </c>
      <c r="D4290" s="13">
        <v>16500</v>
      </c>
      <c r="E4290" s="13">
        <v>57.257100000000001</v>
      </c>
      <c r="F4290" s="13">
        <f t="shared" si="200"/>
        <v>288.17386839361404</v>
      </c>
    </row>
    <row r="4291" spans="1:6" x14ac:dyDescent="0.25">
      <c r="A4291" s="10">
        <v>43028</v>
      </c>
      <c r="B4291" s="12">
        <f t="shared" ref="B4291:B4354" si="201">MONTH(A4291)</f>
        <v>10</v>
      </c>
      <c r="C4291" s="12">
        <f t="shared" ref="C4291:C4354" si="202">YEAR(A4291)</f>
        <v>2017</v>
      </c>
      <c r="D4291" s="13">
        <v>16500</v>
      </c>
      <c r="E4291" s="13">
        <v>57.478000000000002</v>
      </c>
      <c r="F4291" s="13">
        <f t="shared" ref="F4291:F4354" si="203">IF(D4291="","",D4291/E4291)</f>
        <v>287.06635582309752</v>
      </c>
    </row>
    <row r="4292" spans="1:6" x14ac:dyDescent="0.25">
      <c r="A4292" s="10">
        <v>43031</v>
      </c>
      <c r="B4292" s="12">
        <f t="shared" si="201"/>
        <v>10</v>
      </c>
      <c r="C4292" s="12">
        <f t="shared" si="202"/>
        <v>2017</v>
      </c>
      <c r="D4292" s="13">
        <v>16650</v>
      </c>
      <c r="E4292" s="13">
        <v>57.476999999999997</v>
      </c>
      <c r="F4292" s="13">
        <f t="shared" si="203"/>
        <v>289.68108982723527</v>
      </c>
    </row>
    <row r="4293" spans="1:6" x14ac:dyDescent="0.25">
      <c r="A4293" s="10">
        <v>43032</v>
      </c>
      <c r="B4293" s="12">
        <f t="shared" si="201"/>
        <v>10</v>
      </c>
      <c r="C4293" s="12">
        <f t="shared" si="202"/>
        <v>2017</v>
      </c>
      <c r="D4293" s="13">
        <v>16650</v>
      </c>
      <c r="E4293" s="13">
        <v>57.629100000000001</v>
      </c>
      <c r="F4293" s="13">
        <f t="shared" si="203"/>
        <v>288.91653695789108</v>
      </c>
    </row>
    <row r="4294" spans="1:6" x14ac:dyDescent="0.25">
      <c r="A4294" s="10">
        <v>43033</v>
      </c>
      <c r="B4294" s="12">
        <f t="shared" si="201"/>
        <v>10</v>
      </c>
      <c r="C4294" s="12">
        <f t="shared" si="202"/>
        <v>2017</v>
      </c>
      <c r="D4294" s="13">
        <v>16650</v>
      </c>
      <c r="E4294" s="13">
        <v>57.755699999999997</v>
      </c>
      <c r="F4294" s="13">
        <f t="shared" si="203"/>
        <v>288.28323438206098</v>
      </c>
    </row>
    <row r="4295" spans="1:6" x14ac:dyDescent="0.25">
      <c r="A4295" s="10">
        <v>43034</v>
      </c>
      <c r="B4295" s="12">
        <f t="shared" si="201"/>
        <v>10</v>
      </c>
      <c r="C4295" s="12">
        <f t="shared" si="202"/>
        <v>2017</v>
      </c>
      <c r="D4295" s="13">
        <v>16650</v>
      </c>
      <c r="E4295" s="13">
        <v>57.8371</v>
      </c>
      <c r="F4295" s="13">
        <f t="shared" si="203"/>
        <v>287.87750423171286</v>
      </c>
    </row>
    <row r="4296" spans="1:6" x14ac:dyDescent="0.25">
      <c r="A4296" s="10">
        <v>43035</v>
      </c>
      <c r="B4296" s="12">
        <f t="shared" si="201"/>
        <v>10</v>
      </c>
      <c r="C4296" s="12">
        <f t="shared" si="202"/>
        <v>2017</v>
      </c>
      <c r="D4296" s="13">
        <v>16650</v>
      </c>
      <c r="E4296" s="13">
        <v>58.052999999999997</v>
      </c>
      <c r="F4296" s="13">
        <f t="shared" si="203"/>
        <v>286.8068833652008</v>
      </c>
    </row>
    <row r="4297" spans="1:6" x14ac:dyDescent="0.25">
      <c r="A4297" s="10">
        <v>43038</v>
      </c>
      <c r="B4297" s="12">
        <f t="shared" si="201"/>
        <v>10</v>
      </c>
      <c r="C4297" s="12">
        <f t="shared" si="202"/>
        <v>2017</v>
      </c>
      <c r="D4297" s="13">
        <v>17150</v>
      </c>
      <c r="E4297" s="13">
        <v>57.970500000000001</v>
      </c>
      <c r="F4297" s="13">
        <f t="shared" si="203"/>
        <v>295.84012558111453</v>
      </c>
    </row>
    <row r="4298" spans="1:6" x14ac:dyDescent="0.25">
      <c r="A4298" s="10">
        <v>43039</v>
      </c>
      <c r="B4298" s="12">
        <f t="shared" si="201"/>
        <v>10</v>
      </c>
      <c r="C4298" s="12">
        <f t="shared" si="202"/>
        <v>2017</v>
      </c>
      <c r="D4298" s="13">
        <v>17150</v>
      </c>
      <c r="E4298" s="13">
        <v>58.311999999999998</v>
      </c>
      <c r="F4298" s="13">
        <f t="shared" si="203"/>
        <v>294.10755933598574</v>
      </c>
    </row>
    <row r="4299" spans="1:6" x14ac:dyDescent="0.25">
      <c r="A4299" s="10">
        <v>43040</v>
      </c>
      <c r="B4299" s="12">
        <f t="shared" si="201"/>
        <v>11</v>
      </c>
      <c r="C4299" s="12">
        <f t="shared" si="202"/>
        <v>2017</v>
      </c>
      <c r="D4299" s="13">
        <v>17150</v>
      </c>
      <c r="E4299" s="13">
        <v>58.259500000000003</v>
      </c>
      <c r="F4299" s="13">
        <f t="shared" si="203"/>
        <v>294.37259159450389</v>
      </c>
    </row>
    <row r="4300" spans="1:6" x14ac:dyDescent="0.25">
      <c r="A4300" s="10">
        <v>43041</v>
      </c>
      <c r="B4300" s="12">
        <f t="shared" si="201"/>
        <v>11</v>
      </c>
      <c r="C4300" s="12">
        <f t="shared" si="202"/>
        <v>2017</v>
      </c>
      <c r="D4300" s="13">
        <v>17150</v>
      </c>
      <c r="E4300" s="13">
        <v>58.182000000000002</v>
      </c>
      <c r="F4300" s="13">
        <f t="shared" si="203"/>
        <v>294.76470386030041</v>
      </c>
    </row>
    <row r="4301" spans="1:6" x14ac:dyDescent="0.25">
      <c r="A4301" s="10">
        <v>43042</v>
      </c>
      <c r="B4301" s="12">
        <f t="shared" si="201"/>
        <v>11</v>
      </c>
      <c r="C4301" s="12">
        <f t="shared" si="202"/>
        <v>2017</v>
      </c>
      <c r="D4301" s="13">
        <v>17150</v>
      </c>
      <c r="E4301" s="13">
        <v>59.0505</v>
      </c>
      <c r="F4301" s="13">
        <f t="shared" si="203"/>
        <v>290.42937824404538</v>
      </c>
    </row>
    <row r="4302" spans="1:6" x14ac:dyDescent="0.25">
      <c r="A4302" s="10">
        <v>43045</v>
      </c>
      <c r="B4302" s="12">
        <f t="shared" si="201"/>
        <v>11</v>
      </c>
      <c r="C4302" s="12">
        <f t="shared" si="202"/>
        <v>2017</v>
      </c>
      <c r="D4302" s="13">
        <v>17000</v>
      </c>
      <c r="E4302" s="13">
        <v>58.249000000000002</v>
      </c>
      <c r="F4302" s="13">
        <f t="shared" si="203"/>
        <v>291.8505038713111</v>
      </c>
    </row>
    <row r="4303" spans="1:6" x14ac:dyDescent="0.25">
      <c r="A4303" s="10">
        <v>43046</v>
      </c>
      <c r="B4303" s="12">
        <f t="shared" si="201"/>
        <v>11</v>
      </c>
      <c r="C4303" s="12">
        <f t="shared" si="202"/>
        <v>2017</v>
      </c>
      <c r="D4303" s="13">
        <v>17000</v>
      </c>
      <c r="E4303" s="13">
        <v>59.330800000000004</v>
      </c>
      <c r="F4303" s="13">
        <f t="shared" si="203"/>
        <v>286.52908775880314</v>
      </c>
    </row>
    <row r="4304" spans="1:6" x14ac:dyDescent="0.25">
      <c r="A4304" s="10">
        <v>43047</v>
      </c>
      <c r="B4304" s="12">
        <f t="shared" si="201"/>
        <v>11</v>
      </c>
      <c r="C4304" s="12">
        <f t="shared" si="202"/>
        <v>2017</v>
      </c>
      <c r="D4304" s="13">
        <v>17000</v>
      </c>
      <c r="E4304" s="13">
        <v>59.213500000000003</v>
      </c>
      <c r="F4304" s="13">
        <f t="shared" si="203"/>
        <v>287.09669247722223</v>
      </c>
    </row>
    <row r="4305" spans="1:6" x14ac:dyDescent="0.25">
      <c r="A4305" s="10">
        <v>43048</v>
      </c>
      <c r="B4305" s="12">
        <f t="shared" si="201"/>
        <v>11</v>
      </c>
      <c r="C4305" s="12">
        <f t="shared" si="202"/>
        <v>2017</v>
      </c>
      <c r="D4305" s="13">
        <v>17000</v>
      </c>
      <c r="E4305" s="13">
        <v>59.259500000000003</v>
      </c>
      <c r="F4305" s="13">
        <f t="shared" si="203"/>
        <v>286.873834575047</v>
      </c>
    </row>
    <row r="4306" spans="1:6" x14ac:dyDescent="0.25">
      <c r="A4306" s="10">
        <v>43049</v>
      </c>
      <c r="B4306" s="12">
        <f t="shared" si="201"/>
        <v>11</v>
      </c>
      <c r="C4306" s="12">
        <f t="shared" si="202"/>
        <v>2017</v>
      </c>
      <c r="D4306" s="13">
        <v>17000</v>
      </c>
      <c r="E4306" s="13">
        <v>59.182499999999997</v>
      </c>
      <c r="F4306" s="13">
        <f t="shared" si="203"/>
        <v>287.24707472648169</v>
      </c>
    </row>
    <row r="4307" spans="1:6" x14ac:dyDescent="0.25">
      <c r="A4307" s="10">
        <v>43052</v>
      </c>
      <c r="B4307" s="12">
        <f t="shared" si="201"/>
        <v>11</v>
      </c>
      <c r="C4307" s="12">
        <f t="shared" si="202"/>
        <v>2017</v>
      </c>
      <c r="D4307" s="13">
        <v>17450</v>
      </c>
      <c r="E4307" s="13">
        <v>59.361499999999999</v>
      </c>
      <c r="F4307" s="13">
        <f t="shared" si="203"/>
        <v>293.96157442113156</v>
      </c>
    </row>
    <row r="4308" spans="1:6" x14ac:dyDescent="0.25">
      <c r="A4308" s="10">
        <v>43053</v>
      </c>
      <c r="B4308" s="12">
        <f t="shared" si="201"/>
        <v>11</v>
      </c>
      <c r="C4308" s="12">
        <f t="shared" si="202"/>
        <v>2017</v>
      </c>
      <c r="D4308" s="13">
        <v>17450</v>
      </c>
      <c r="E4308" s="13">
        <v>60.441000000000003</v>
      </c>
      <c r="F4308" s="13">
        <f t="shared" si="203"/>
        <v>288.71130523982066</v>
      </c>
    </row>
    <row r="4309" spans="1:6" x14ac:dyDescent="0.25">
      <c r="A4309" s="10">
        <v>43054</v>
      </c>
      <c r="B4309" s="12">
        <f t="shared" si="201"/>
        <v>11</v>
      </c>
      <c r="C4309" s="12">
        <f t="shared" si="202"/>
        <v>2017</v>
      </c>
      <c r="D4309" s="13">
        <v>17450</v>
      </c>
      <c r="E4309" s="13">
        <v>60.222000000000001</v>
      </c>
      <c r="F4309" s="13">
        <f t="shared" si="203"/>
        <v>289.76121683105839</v>
      </c>
    </row>
    <row r="4310" spans="1:6" x14ac:dyDescent="0.25">
      <c r="A4310" s="10">
        <v>43055</v>
      </c>
      <c r="B4310" s="12">
        <f t="shared" si="201"/>
        <v>11</v>
      </c>
      <c r="C4310" s="12">
        <f t="shared" si="202"/>
        <v>2017</v>
      </c>
      <c r="D4310" s="13">
        <v>17450</v>
      </c>
      <c r="E4310" s="13">
        <v>59.673000000000002</v>
      </c>
      <c r="F4310" s="13">
        <f t="shared" si="203"/>
        <v>292.42706081477382</v>
      </c>
    </row>
    <row r="4311" spans="1:6" x14ac:dyDescent="0.25">
      <c r="A4311" s="10">
        <v>43056</v>
      </c>
      <c r="B4311" s="12">
        <f t="shared" si="201"/>
        <v>11</v>
      </c>
      <c r="C4311" s="12">
        <f t="shared" si="202"/>
        <v>2017</v>
      </c>
      <c r="D4311" s="13">
        <v>17450</v>
      </c>
      <c r="E4311" s="13">
        <v>59.081499999999998</v>
      </c>
      <c r="F4311" s="13">
        <f t="shared" si="203"/>
        <v>295.35472186725116</v>
      </c>
    </row>
    <row r="4312" spans="1:6" x14ac:dyDescent="0.25">
      <c r="A4312" s="10">
        <v>43059</v>
      </c>
      <c r="B4312" s="12">
        <f t="shared" si="201"/>
        <v>11</v>
      </c>
      <c r="C4312" s="12">
        <f t="shared" si="202"/>
        <v>2017</v>
      </c>
      <c r="D4312" s="13">
        <v>17600</v>
      </c>
      <c r="E4312" s="13">
        <v>59.384999999999998</v>
      </c>
      <c r="F4312" s="13">
        <f t="shared" si="203"/>
        <v>296.37113749263284</v>
      </c>
    </row>
    <row r="4313" spans="1:6" x14ac:dyDescent="0.25">
      <c r="A4313" s="10">
        <v>43060</v>
      </c>
      <c r="B4313" s="12">
        <f t="shared" si="201"/>
        <v>11</v>
      </c>
      <c r="C4313" s="12">
        <f t="shared" si="202"/>
        <v>2017</v>
      </c>
      <c r="D4313" s="13">
        <v>17600</v>
      </c>
      <c r="E4313" s="13">
        <v>59.105400000000003</v>
      </c>
      <c r="F4313" s="13">
        <f t="shared" si="203"/>
        <v>297.77313071225302</v>
      </c>
    </row>
    <row r="4314" spans="1:6" x14ac:dyDescent="0.25">
      <c r="A4314" s="10">
        <v>43061</v>
      </c>
      <c r="B4314" s="12">
        <f t="shared" si="201"/>
        <v>11</v>
      </c>
      <c r="C4314" s="12">
        <f t="shared" si="202"/>
        <v>2017</v>
      </c>
      <c r="D4314" s="13">
        <v>17600</v>
      </c>
      <c r="E4314" s="13">
        <v>58.410800000000002</v>
      </c>
      <c r="F4314" s="13">
        <f t="shared" si="203"/>
        <v>301.31414053565436</v>
      </c>
    </row>
    <row r="4315" spans="1:6" x14ac:dyDescent="0.25">
      <c r="A4315" s="10">
        <v>43063</v>
      </c>
      <c r="B4315" s="12">
        <f t="shared" si="201"/>
        <v>11</v>
      </c>
      <c r="C4315" s="12">
        <f t="shared" si="202"/>
        <v>2017</v>
      </c>
      <c r="D4315" s="13">
        <v>17600</v>
      </c>
      <c r="E4315" s="13">
        <v>58.367199999999997</v>
      </c>
      <c r="F4315" s="13">
        <f t="shared" si="203"/>
        <v>301.5392206581779</v>
      </c>
    </row>
    <row r="4316" spans="1:6" x14ac:dyDescent="0.25">
      <c r="A4316" s="10">
        <v>43066</v>
      </c>
      <c r="B4316" s="12">
        <f t="shared" si="201"/>
        <v>11</v>
      </c>
      <c r="C4316" s="12">
        <f t="shared" si="202"/>
        <v>2017</v>
      </c>
      <c r="D4316" s="13">
        <v>17800</v>
      </c>
      <c r="E4316" s="13">
        <v>58.490499999999997</v>
      </c>
      <c r="F4316" s="13">
        <f t="shared" si="203"/>
        <v>304.32292423555964</v>
      </c>
    </row>
    <row r="4317" spans="1:6" x14ac:dyDescent="0.25">
      <c r="A4317" s="10">
        <v>43067</v>
      </c>
      <c r="B4317" s="12">
        <f t="shared" si="201"/>
        <v>11</v>
      </c>
      <c r="C4317" s="12">
        <f t="shared" si="202"/>
        <v>2017</v>
      </c>
      <c r="D4317" s="13">
        <v>17800</v>
      </c>
      <c r="E4317" s="13">
        <v>58.3797</v>
      </c>
      <c r="F4317" s="13">
        <f t="shared" si="203"/>
        <v>304.90050479875708</v>
      </c>
    </row>
    <row r="4318" spans="1:6" x14ac:dyDescent="0.25">
      <c r="A4318" s="10">
        <v>43068</v>
      </c>
      <c r="B4318" s="12">
        <f t="shared" si="201"/>
        <v>11</v>
      </c>
      <c r="C4318" s="12">
        <f t="shared" si="202"/>
        <v>2017</v>
      </c>
      <c r="D4318" s="13">
        <v>17800</v>
      </c>
      <c r="E4318" s="13">
        <v>58.5899</v>
      </c>
      <c r="F4318" s="13">
        <f t="shared" si="203"/>
        <v>303.80662878755555</v>
      </c>
    </row>
    <row r="4319" spans="1:6" x14ac:dyDescent="0.25">
      <c r="A4319" s="10">
        <v>43069</v>
      </c>
      <c r="B4319" s="12">
        <f t="shared" si="201"/>
        <v>11</v>
      </c>
      <c r="C4319" s="12">
        <f t="shared" si="202"/>
        <v>2017</v>
      </c>
      <c r="D4319" s="13">
        <v>17800</v>
      </c>
      <c r="E4319" s="13">
        <v>58.444600000000001</v>
      </c>
      <c r="F4319" s="13">
        <f t="shared" si="203"/>
        <v>304.56192702148701</v>
      </c>
    </row>
    <row r="4320" spans="1:6" x14ac:dyDescent="0.25">
      <c r="A4320" s="10">
        <v>43070</v>
      </c>
      <c r="B4320" s="12">
        <f t="shared" si="201"/>
        <v>12</v>
      </c>
      <c r="C4320" s="12">
        <f t="shared" si="202"/>
        <v>2017</v>
      </c>
      <c r="D4320" s="13">
        <v>17800</v>
      </c>
      <c r="E4320" s="13">
        <v>58.868499999999997</v>
      </c>
      <c r="F4320" s="13">
        <f t="shared" si="203"/>
        <v>302.36883902256727</v>
      </c>
    </row>
    <row r="4321" spans="1:6" x14ac:dyDescent="0.25">
      <c r="A4321" s="10">
        <v>43073</v>
      </c>
      <c r="B4321" s="12">
        <f t="shared" si="201"/>
        <v>12</v>
      </c>
      <c r="C4321" s="12">
        <f t="shared" si="202"/>
        <v>2017</v>
      </c>
      <c r="D4321" s="13">
        <v>17900</v>
      </c>
      <c r="E4321" s="13">
        <v>58.798000000000002</v>
      </c>
      <c r="F4321" s="13">
        <f t="shared" si="203"/>
        <v>304.43212354161705</v>
      </c>
    </row>
    <row r="4322" spans="1:6" x14ac:dyDescent="0.25">
      <c r="A4322" s="10">
        <v>43074</v>
      </c>
      <c r="B4322" s="12">
        <f t="shared" si="201"/>
        <v>12</v>
      </c>
      <c r="C4322" s="12">
        <f t="shared" si="202"/>
        <v>2017</v>
      </c>
      <c r="D4322" s="13">
        <v>17900</v>
      </c>
      <c r="E4322" s="13">
        <v>58.708100000000002</v>
      </c>
      <c r="F4322" s="13">
        <f t="shared" si="203"/>
        <v>304.89830193789271</v>
      </c>
    </row>
    <row r="4323" spans="1:6" x14ac:dyDescent="0.25">
      <c r="A4323" s="10">
        <v>43075</v>
      </c>
      <c r="B4323" s="12">
        <f t="shared" si="201"/>
        <v>12</v>
      </c>
      <c r="C4323" s="12">
        <f t="shared" si="202"/>
        <v>2017</v>
      </c>
      <c r="D4323" s="13">
        <v>17900</v>
      </c>
      <c r="E4323" s="13">
        <v>59.169499999999999</v>
      </c>
      <c r="F4323" s="13">
        <f t="shared" si="203"/>
        <v>302.52072435967858</v>
      </c>
    </row>
    <row r="4324" spans="1:6" x14ac:dyDescent="0.25">
      <c r="A4324" s="10">
        <v>43076</v>
      </c>
      <c r="B4324" s="12">
        <f t="shared" si="201"/>
        <v>12</v>
      </c>
      <c r="C4324" s="12">
        <f t="shared" si="202"/>
        <v>2017</v>
      </c>
      <c r="D4324" s="13">
        <v>17900</v>
      </c>
      <c r="E4324" s="13">
        <v>59.171700000000001</v>
      </c>
      <c r="F4324" s="13">
        <f t="shared" si="203"/>
        <v>302.50947665860537</v>
      </c>
    </row>
    <row r="4325" spans="1:6" x14ac:dyDescent="0.25">
      <c r="A4325" s="10">
        <v>43077</v>
      </c>
      <c r="B4325" s="12">
        <f t="shared" si="201"/>
        <v>12</v>
      </c>
      <c r="C4325" s="12">
        <f t="shared" si="202"/>
        <v>2017</v>
      </c>
      <c r="D4325" s="13">
        <v>17900</v>
      </c>
      <c r="E4325" s="13">
        <v>59.087699999999998</v>
      </c>
      <c r="F4325" s="13">
        <f t="shared" si="203"/>
        <v>302.93952886979861</v>
      </c>
    </row>
    <row r="4326" spans="1:6" x14ac:dyDescent="0.25">
      <c r="A4326" s="10">
        <v>43080</v>
      </c>
      <c r="B4326" s="12">
        <f t="shared" si="201"/>
        <v>12</v>
      </c>
      <c r="C4326" s="12">
        <f t="shared" si="202"/>
        <v>2017</v>
      </c>
      <c r="D4326" s="13">
        <v>18500</v>
      </c>
      <c r="E4326" s="13">
        <v>58.914499999999997</v>
      </c>
      <c r="F4326" s="13">
        <f t="shared" si="203"/>
        <v>314.01437676633088</v>
      </c>
    </row>
    <row r="4327" spans="1:6" x14ac:dyDescent="0.25">
      <c r="A4327" s="10">
        <v>43081</v>
      </c>
      <c r="B4327" s="12">
        <f t="shared" si="201"/>
        <v>12</v>
      </c>
      <c r="C4327" s="12">
        <f t="shared" si="202"/>
        <v>2017</v>
      </c>
      <c r="D4327" s="13">
        <v>18500</v>
      </c>
      <c r="E4327" s="13">
        <v>59.204000000000001</v>
      </c>
      <c r="F4327" s="13">
        <f t="shared" si="203"/>
        <v>312.47888656171881</v>
      </c>
    </row>
    <row r="4328" spans="1:6" x14ac:dyDescent="0.25">
      <c r="A4328" s="10">
        <v>43082</v>
      </c>
      <c r="B4328" s="12">
        <f t="shared" si="201"/>
        <v>12</v>
      </c>
      <c r="C4328" s="12">
        <f t="shared" si="202"/>
        <v>2017</v>
      </c>
      <c r="D4328" s="13">
        <v>18500</v>
      </c>
      <c r="E4328" s="13">
        <v>58.525199999999998</v>
      </c>
      <c r="F4328" s="13">
        <f t="shared" si="203"/>
        <v>316.10314872909447</v>
      </c>
    </row>
    <row r="4329" spans="1:6" x14ac:dyDescent="0.25">
      <c r="A4329" s="10">
        <v>43083</v>
      </c>
      <c r="B4329" s="12">
        <f t="shared" si="201"/>
        <v>12</v>
      </c>
      <c r="C4329" s="12">
        <f t="shared" si="202"/>
        <v>2017</v>
      </c>
      <c r="D4329" s="13">
        <v>18500</v>
      </c>
      <c r="E4329" s="13">
        <v>58.840600000000002</v>
      </c>
      <c r="F4329" s="13">
        <f t="shared" si="203"/>
        <v>314.40875857826057</v>
      </c>
    </row>
    <row r="4330" spans="1:6" x14ac:dyDescent="0.25">
      <c r="A4330" s="10">
        <v>43084</v>
      </c>
      <c r="B4330" s="12">
        <f t="shared" si="201"/>
        <v>12</v>
      </c>
      <c r="C4330" s="12">
        <f t="shared" si="202"/>
        <v>2017</v>
      </c>
      <c r="D4330" s="13">
        <v>18500</v>
      </c>
      <c r="E4330" s="13">
        <v>58.839300000000001</v>
      </c>
      <c r="F4330" s="13">
        <f t="shared" si="203"/>
        <v>314.41570514944942</v>
      </c>
    </row>
    <row r="4331" spans="1:6" x14ac:dyDescent="0.25">
      <c r="A4331" s="10">
        <v>43087</v>
      </c>
      <c r="B4331" s="12">
        <f t="shared" si="201"/>
        <v>12</v>
      </c>
      <c r="C4331" s="12">
        <f t="shared" si="202"/>
        <v>2017</v>
      </c>
      <c r="D4331" s="13">
        <v>18500</v>
      </c>
      <c r="E4331" s="13">
        <v>58.636899999999997</v>
      </c>
      <c r="F4331" s="13">
        <f t="shared" si="203"/>
        <v>315.50098999094428</v>
      </c>
    </row>
    <row r="4332" spans="1:6" x14ac:dyDescent="0.25">
      <c r="A4332" s="10">
        <v>43088</v>
      </c>
      <c r="B4332" s="12">
        <f t="shared" si="201"/>
        <v>12</v>
      </c>
      <c r="C4332" s="12">
        <f t="shared" si="202"/>
        <v>2017</v>
      </c>
      <c r="D4332" s="13">
        <v>18500</v>
      </c>
      <c r="E4332" s="13">
        <v>58.664499999999997</v>
      </c>
      <c r="F4332" s="13">
        <f t="shared" si="203"/>
        <v>315.35255563415694</v>
      </c>
    </row>
    <row r="4333" spans="1:6" x14ac:dyDescent="0.25">
      <c r="A4333" s="10">
        <v>43089</v>
      </c>
      <c r="B4333" s="12">
        <f t="shared" si="201"/>
        <v>12</v>
      </c>
      <c r="C4333" s="12">
        <f t="shared" si="202"/>
        <v>2017</v>
      </c>
      <c r="D4333" s="13">
        <v>18500</v>
      </c>
      <c r="E4333" s="13">
        <v>58.705800000000004</v>
      </c>
      <c r="F4333" s="13">
        <f t="shared" si="203"/>
        <v>315.13070258815992</v>
      </c>
    </row>
    <row r="4334" spans="1:6" x14ac:dyDescent="0.25">
      <c r="A4334" s="10">
        <v>43090</v>
      </c>
      <c r="B4334" s="12">
        <f t="shared" si="201"/>
        <v>12</v>
      </c>
      <c r="C4334" s="12">
        <f t="shared" si="202"/>
        <v>2017</v>
      </c>
      <c r="D4334" s="13">
        <v>18500</v>
      </c>
      <c r="E4334" s="13">
        <v>58.4129</v>
      </c>
      <c r="F4334" s="13">
        <f t="shared" si="203"/>
        <v>316.71086352500902</v>
      </c>
    </row>
    <row r="4335" spans="1:6" x14ac:dyDescent="0.25">
      <c r="A4335" s="10">
        <v>43091</v>
      </c>
      <c r="B4335" s="12">
        <f t="shared" si="201"/>
        <v>12</v>
      </c>
      <c r="C4335" s="12">
        <f t="shared" si="202"/>
        <v>2017</v>
      </c>
      <c r="D4335" s="13">
        <v>18500</v>
      </c>
      <c r="E4335" s="13">
        <v>58.313299999999998</v>
      </c>
      <c r="F4335" s="13">
        <f t="shared" si="203"/>
        <v>317.25181047891306</v>
      </c>
    </row>
    <row r="4336" spans="1:6" x14ac:dyDescent="0.25">
      <c r="A4336" s="10">
        <v>43095</v>
      </c>
      <c r="B4336" s="12">
        <f t="shared" si="201"/>
        <v>12</v>
      </c>
      <c r="C4336" s="12">
        <f t="shared" si="202"/>
        <v>2017</v>
      </c>
      <c r="D4336" s="13">
        <v>19250</v>
      </c>
      <c r="E4336" s="13">
        <v>57.661999999999999</v>
      </c>
      <c r="F4336" s="13">
        <f t="shared" si="203"/>
        <v>333.84204502098436</v>
      </c>
    </row>
    <row r="4337" spans="1:6" x14ac:dyDescent="0.25">
      <c r="A4337" s="10">
        <v>43096</v>
      </c>
      <c r="B4337" s="12">
        <f t="shared" si="201"/>
        <v>12</v>
      </c>
      <c r="C4337" s="12">
        <f t="shared" si="202"/>
        <v>2017</v>
      </c>
      <c r="D4337" s="13">
        <v>19250</v>
      </c>
      <c r="E4337" s="13">
        <v>57.697099999999999</v>
      </c>
      <c r="F4337" s="13">
        <f t="shared" si="203"/>
        <v>333.63895239102141</v>
      </c>
    </row>
    <row r="4338" spans="1:6" x14ac:dyDescent="0.25">
      <c r="A4338" s="10">
        <v>43097</v>
      </c>
      <c r="B4338" s="12">
        <f t="shared" si="201"/>
        <v>12</v>
      </c>
      <c r="C4338" s="12">
        <f t="shared" si="202"/>
        <v>2017</v>
      </c>
      <c r="D4338" s="13">
        <v>19250</v>
      </c>
      <c r="E4338" s="13">
        <v>57.500300000000003</v>
      </c>
      <c r="F4338" s="13">
        <f t="shared" si="203"/>
        <v>334.78086201289381</v>
      </c>
    </row>
    <row r="4339" spans="1:6" x14ac:dyDescent="0.25">
      <c r="A4339" s="10">
        <v>43098</v>
      </c>
      <c r="B4339" s="12">
        <f t="shared" si="201"/>
        <v>12</v>
      </c>
      <c r="C4339" s="12">
        <f t="shared" si="202"/>
        <v>2017</v>
      </c>
      <c r="D4339" s="13">
        <v>19250</v>
      </c>
      <c r="E4339" s="13">
        <v>57.657499999999999</v>
      </c>
      <c r="F4339" s="13">
        <f t="shared" si="203"/>
        <v>333.8681004205871</v>
      </c>
    </row>
    <row r="4340" spans="1:6" x14ac:dyDescent="0.25">
      <c r="A4340" s="10">
        <v>43102</v>
      </c>
      <c r="B4340" s="12">
        <f t="shared" si="201"/>
        <v>1</v>
      </c>
      <c r="C4340" s="12">
        <f t="shared" si="202"/>
        <v>2018</v>
      </c>
      <c r="E4340" s="13">
        <v>57.516399999999997</v>
      </c>
      <c r="F4340" s="13" t="str">
        <f t="shared" si="203"/>
        <v/>
      </c>
    </row>
    <row r="4341" spans="1:6" x14ac:dyDescent="0.25">
      <c r="A4341" s="10">
        <v>43103</v>
      </c>
      <c r="B4341" s="12">
        <f t="shared" si="201"/>
        <v>1</v>
      </c>
      <c r="C4341" s="12">
        <f t="shared" si="202"/>
        <v>2018</v>
      </c>
      <c r="E4341" s="13">
        <v>57.121400000000001</v>
      </c>
      <c r="F4341" s="13" t="str">
        <f t="shared" si="203"/>
        <v/>
      </c>
    </row>
    <row r="4342" spans="1:6" x14ac:dyDescent="0.25">
      <c r="A4342" s="10">
        <v>43104</v>
      </c>
      <c r="B4342" s="12">
        <f t="shared" si="201"/>
        <v>1</v>
      </c>
      <c r="C4342" s="12">
        <f t="shared" si="202"/>
        <v>2018</v>
      </c>
      <c r="E4342" s="13">
        <v>56.940600000000003</v>
      </c>
      <c r="F4342" s="13" t="str">
        <f t="shared" si="203"/>
        <v/>
      </c>
    </row>
    <row r="4343" spans="1:6" x14ac:dyDescent="0.25">
      <c r="A4343" s="10">
        <v>43105</v>
      </c>
      <c r="B4343" s="12">
        <f t="shared" si="201"/>
        <v>1</v>
      </c>
      <c r="C4343" s="12">
        <f t="shared" si="202"/>
        <v>2018</v>
      </c>
      <c r="E4343" s="13">
        <v>56.937600000000003</v>
      </c>
      <c r="F4343" s="13" t="str">
        <f t="shared" si="203"/>
        <v/>
      </c>
    </row>
    <row r="4344" spans="1:6" x14ac:dyDescent="0.25">
      <c r="A4344" s="10">
        <v>43108</v>
      </c>
      <c r="B4344" s="12">
        <f t="shared" si="201"/>
        <v>1</v>
      </c>
      <c r="C4344" s="12">
        <f t="shared" si="202"/>
        <v>2018</v>
      </c>
      <c r="D4344" s="13">
        <v>19150</v>
      </c>
      <c r="E4344" s="13">
        <v>57.093000000000004</v>
      </c>
      <c r="F4344" s="13">
        <f t="shared" si="203"/>
        <v>335.41765190128388</v>
      </c>
    </row>
    <row r="4345" spans="1:6" x14ac:dyDescent="0.25">
      <c r="A4345" s="10">
        <v>43109</v>
      </c>
      <c r="B4345" s="12">
        <f t="shared" si="201"/>
        <v>1</v>
      </c>
      <c r="C4345" s="12">
        <f t="shared" si="202"/>
        <v>2018</v>
      </c>
      <c r="D4345" s="13">
        <v>19150</v>
      </c>
      <c r="E4345" s="13">
        <v>56.875</v>
      </c>
      <c r="F4345" s="13">
        <f t="shared" si="203"/>
        <v>336.7032967032967</v>
      </c>
    </row>
    <row r="4346" spans="1:6" x14ac:dyDescent="0.25">
      <c r="A4346" s="10">
        <v>43110</v>
      </c>
      <c r="B4346" s="12">
        <f t="shared" si="201"/>
        <v>1</v>
      </c>
      <c r="C4346" s="12">
        <f t="shared" si="202"/>
        <v>2018</v>
      </c>
      <c r="D4346" s="13">
        <v>19150</v>
      </c>
      <c r="E4346" s="13">
        <v>57.042499999999997</v>
      </c>
      <c r="F4346" s="13">
        <f t="shared" si="203"/>
        <v>335.71459876407943</v>
      </c>
    </row>
    <row r="4347" spans="1:6" x14ac:dyDescent="0.25">
      <c r="A4347" s="10">
        <v>43111</v>
      </c>
      <c r="B4347" s="12">
        <f t="shared" si="201"/>
        <v>1</v>
      </c>
      <c r="C4347" s="12">
        <f t="shared" si="202"/>
        <v>2018</v>
      </c>
      <c r="D4347" s="13">
        <v>19150</v>
      </c>
      <c r="E4347" s="13">
        <v>56.426600000000001</v>
      </c>
      <c r="F4347" s="13">
        <f t="shared" si="203"/>
        <v>339.37894539100353</v>
      </c>
    </row>
    <row r="4348" spans="1:6" x14ac:dyDescent="0.25">
      <c r="A4348" s="10">
        <v>43112</v>
      </c>
      <c r="B4348" s="12">
        <f t="shared" si="201"/>
        <v>1</v>
      </c>
      <c r="C4348" s="12">
        <f t="shared" si="202"/>
        <v>2018</v>
      </c>
      <c r="D4348" s="13">
        <v>19150</v>
      </c>
      <c r="E4348" s="13">
        <v>56.636200000000002</v>
      </c>
      <c r="F4348" s="13">
        <f t="shared" si="203"/>
        <v>338.12296728947211</v>
      </c>
    </row>
    <row r="4349" spans="1:6" x14ac:dyDescent="0.25">
      <c r="A4349" s="10">
        <v>43116</v>
      </c>
      <c r="B4349" s="12">
        <f t="shared" si="201"/>
        <v>1</v>
      </c>
      <c r="C4349" s="12">
        <f t="shared" si="202"/>
        <v>2018</v>
      </c>
      <c r="D4349" s="13">
        <v>19500</v>
      </c>
      <c r="E4349" s="13">
        <v>56.491700000000002</v>
      </c>
      <c r="F4349" s="13">
        <f t="shared" si="203"/>
        <v>345.18345172830698</v>
      </c>
    </row>
    <row r="4350" spans="1:6" x14ac:dyDescent="0.25">
      <c r="A4350" s="10">
        <v>43117</v>
      </c>
      <c r="B4350" s="12">
        <f t="shared" si="201"/>
        <v>1</v>
      </c>
      <c r="C4350" s="12">
        <f t="shared" si="202"/>
        <v>2018</v>
      </c>
      <c r="D4350" s="13">
        <v>19500</v>
      </c>
      <c r="E4350" s="13">
        <v>56.814799999999998</v>
      </c>
      <c r="F4350" s="13">
        <f t="shared" si="203"/>
        <v>343.22042847990315</v>
      </c>
    </row>
    <row r="4351" spans="1:6" x14ac:dyDescent="0.25">
      <c r="A4351" s="10">
        <v>43118</v>
      </c>
      <c r="B4351" s="12">
        <f t="shared" si="201"/>
        <v>1</v>
      </c>
      <c r="C4351" s="12">
        <f t="shared" si="202"/>
        <v>2018</v>
      </c>
      <c r="D4351" s="13">
        <v>19500</v>
      </c>
      <c r="E4351" s="13">
        <v>56.487099999999998</v>
      </c>
      <c r="F4351" s="13">
        <f t="shared" si="203"/>
        <v>345.21156157777619</v>
      </c>
    </row>
    <row r="4352" spans="1:6" x14ac:dyDescent="0.25">
      <c r="A4352" s="10">
        <v>43119</v>
      </c>
      <c r="B4352" s="12">
        <f t="shared" si="201"/>
        <v>1</v>
      </c>
      <c r="C4352" s="12">
        <f t="shared" si="202"/>
        <v>2018</v>
      </c>
      <c r="D4352" s="13">
        <v>19500</v>
      </c>
      <c r="E4352" s="13">
        <v>56.679400000000001</v>
      </c>
      <c r="F4352" s="13">
        <f t="shared" si="203"/>
        <v>344.04033917084513</v>
      </c>
    </row>
    <row r="4353" spans="1:6" x14ac:dyDescent="0.25">
      <c r="A4353" s="10">
        <v>43122</v>
      </c>
      <c r="B4353" s="12">
        <f t="shared" si="201"/>
        <v>1</v>
      </c>
      <c r="C4353" s="12">
        <f t="shared" si="202"/>
        <v>2018</v>
      </c>
      <c r="D4353" s="13">
        <v>19500</v>
      </c>
      <c r="E4353" s="13">
        <v>56.4756</v>
      </c>
      <c r="F4353" s="13">
        <f t="shared" si="203"/>
        <v>345.28185623525911</v>
      </c>
    </row>
    <row r="4354" spans="1:6" x14ac:dyDescent="0.25">
      <c r="A4354" s="10">
        <v>43123</v>
      </c>
      <c r="B4354" s="12">
        <f t="shared" si="201"/>
        <v>1</v>
      </c>
      <c r="C4354" s="12">
        <f t="shared" si="202"/>
        <v>2018</v>
      </c>
      <c r="D4354" s="13">
        <v>19500</v>
      </c>
      <c r="E4354" s="13">
        <v>56.347999999999999</v>
      </c>
      <c r="F4354" s="13">
        <f t="shared" si="203"/>
        <v>346.06374671683113</v>
      </c>
    </row>
    <row r="4355" spans="1:6" x14ac:dyDescent="0.25">
      <c r="A4355" s="10">
        <v>43124</v>
      </c>
      <c r="B4355" s="12">
        <f t="shared" ref="B4355:B4418" si="204">MONTH(A4355)</f>
        <v>1</v>
      </c>
      <c r="C4355" s="12">
        <f t="shared" ref="C4355:C4418" si="205">YEAR(A4355)</f>
        <v>2018</v>
      </c>
      <c r="D4355" s="13">
        <v>19500</v>
      </c>
      <c r="E4355" s="13">
        <v>56.152999999999999</v>
      </c>
      <c r="F4355" s="13">
        <f t="shared" ref="F4355:F4418" si="206">IF(D4355="","",D4355/E4355)</f>
        <v>347.26550674051254</v>
      </c>
    </row>
    <row r="4356" spans="1:6" x14ac:dyDescent="0.25">
      <c r="A4356" s="10">
        <v>43125</v>
      </c>
      <c r="B4356" s="12">
        <f t="shared" si="204"/>
        <v>1</v>
      </c>
      <c r="C4356" s="12">
        <f t="shared" si="205"/>
        <v>2018</v>
      </c>
      <c r="D4356" s="13">
        <v>19500</v>
      </c>
      <c r="E4356" s="13">
        <v>55.933599999999998</v>
      </c>
      <c r="F4356" s="13">
        <f t="shared" si="206"/>
        <v>348.62765850937541</v>
      </c>
    </row>
    <row r="4357" spans="1:6" x14ac:dyDescent="0.25">
      <c r="A4357" s="10">
        <v>43126</v>
      </c>
      <c r="B4357" s="12">
        <f t="shared" si="204"/>
        <v>1</v>
      </c>
      <c r="C4357" s="12">
        <f t="shared" si="205"/>
        <v>2018</v>
      </c>
      <c r="D4357" s="13">
        <v>19500</v>
      </c>
      <c r="E4357" s="13">
        <v>56.2166</v>
      </c>
      <c r="F4357" s="13">
        <f t="shared" si="206"/>
        <v>346.87263192722435</v>
      </c>
    </row>
    <row r="4358" spans="1:6" x14ac:dyDescent="0.25">
      <c r="A4358" s="10">
        <v>43129</v>
      </c>
      <c r="B4358" s="12">
        <f t="shared" si="204"/>
        <v>1</v>
      </c>
      <c r="C4358" s="12">
        <f t="shared" si="205"/>
        <v>2018</v>
      </c>
      <c r="D4358" s="13">
        <v>19500</v>
      </c>
      <c r="E4358" s="13">
        <v>56.311100000000003</v>
      </c>
      <c r="F4358" s="13">
        <f t="shared" si="206"/>
        <v>346.29051821044163</v>
      </c>
    </row>
    <row r="4359" spans="1:6" x14ac:dyDescent="0.25">
      <c r="A4359" s="10">
        <v>43130</v>
      </c>
      <c r="B4359" s="12">
        <f t="shared" si="204"/>
        <v>1</v>
      </c>
      <c r="C4359" s="12">
        <f t="shared" si="205"/>
        <v>2018</v>
      </c>
      <c r="D4359" s="13">
        <v>19500</v>
      </c>
      <c r="E4359" s="13">
        <v>56.366999999999997</v>
      </c>
      <c r="F4359" s="13">
        <f t="shared" si="206"/>
        <v>345.94709670551919</v>
      </c>
    </row>
    <row r="4360" spans="1:6" x14ac:dyDescent="0.25">
      <c r="A4360" s="10">
        <v>43131</v>
      </c>
      <c r="B4360" s="12">
        <f t="shared" si="204"/>
        <v>1</v>
      </c>
      <c r="C4360" s="12">
        <f t="shared" si="205"/>
        <v>2018</v>
      </c>
      <c r="D4360" s="13">
        <v>19500</v>
      </c>
      <c r="E4360" s="13">
        <v>56.187199999999997</v>
      </c>
      <c r="F4360" s="13">
        <f t="shared" si="206"/>
        <v>347.05413332573971</v>
      </c>
    </row>
    <row r="4361" spans="1:6" x14ac:dyDescent="0.25">
      <c r="A4361" s="10">
        <v>43132</v>
      </c>
      <c r="B4361" s="12">
        <f t="shared" si="204"/>
        <v>2</v>
      </c>
      <c r="C4361" s="12">
        <f t="shared" si="205"/>
        <v>2018</v>
      </c>
      <c r="D4361" s="13">
        <v>19500</v>
      </c>
      <c r="E4361" s="13">
        <v>55.981400000000001</v>
      </c>
      <c r="F4361" s="13">
        <f t="shared" si="206"/>
        <v>348.32998102941332</v>
      </c>
    </row>
    <row r="4362" spans="1:6" x14ac:dyDescent="0.25">
      <c r="A4362" s="10">
        <v>43133</v>
      </c>
      <c r="B4362" s="12">
        <f t="shared" si="204"/>
        <v>2</v>
      </c>
      <c r="C4362" s="12">
        <f t="shared" si="205"/>
        <v>2018</v>
      </c>
      <c r="D4362" s="13">
        <v>19500</v>
      </c>
      <c r="E4362" s="13">
        <v>56.523099999999999</v>
      </c>
      <c r="F4362" s="13">
        <f t="shared" si="206"/>
        <v>344.99169366152955</v>
      </c>
    </row>
    <row r="4363" spans="1:6" x14ac:dyDescent="0.25">
      <c r="A4363" s="10">
        <v>43136</v>
      </c>
      <c r="B4363" s="12">
        <f t="shared" si="204"/>
        <v>2</v>
      </c>
      <c r="C4363" s="12">
        <f t="shared" si="205"/>
        <v>2018</v>
      </c>
      <c r="D4363" s="13">
        <v>19500</v>
      </c>
      <c r="E4363" s="13">
        <v>57.2819</v>
      </c>
      <c r="F4363" s="13">
        <f t="shared" si="206"/>
        <v>340.42166897396908</v>
      </c>
    </row>
    <row r="4364" spans="1:6" x14ac:dyDescent="0.25">
      <c r="A4364" s="10">
        <v>43137</v>
      </c>
      <c r="B4364" s="12">
        <f t="shared" si="204"/>
        <v>2</v>
      </c>
      <c r="C4364" s="12">
        <f t="shared" si="205"/>
        <v>2018</v>
      </c>
      <c r="D4364" s="13">
        <v>19500</v>
      </c>
      <c r="E4364" s="13">
        <v>56.802799999999998</v>
      </c>
      <c r="F4364" s="13">
        <f t="shared" si="206"/>
        <v>343.29293626370531</v>
      </c>
    </row>
    <row r="4365" spans="1:6" x14ac:dyDescent="0.25">
      <c r="A4365" s="10">
        <v>43138</v>
      </c>
      <c r="B4365" s="12">
        <f t="shared" si="204"/>
        <v>2</v>
      </c>
      <c r="C4365" s="12">
        <f t="shared" si="205"/>
        <v>2018</v>
      </c>
      <c r="D4365" s="13">
        <v>19500</v>
      </c>
      <c r="E4365" s="13">
        <v>57.8934</v>
      </c>
      <c r="F4365" s="13">
        <f t="shared" si="206"/>
        <v>336.82595943579059</v>
      </c>
    </row>
    <row r="4366" spans="1:6" x14ac:dyDescent="0.25">
      <c r="A4366" s="10">
        <v>43139</v>
      </c>
      <c r="B4366" s="12">
        <f t="shared" si="204"/>
        <v>2</v>
      </c>
      <c r="C4366" s="12">
        <f t="shared" si="205"/>
        <v>2018</v>
      </c>
      <c r="D4366" s="13">
        <v>19500</v>
      </c>
      <c r="E4366" s="13">
        <v>58.396000000000001</v>
      </c>
      <c r="F4366" s="13">
        <f t="shared" si="206"/>
        <v>333.92698130008904</v>
      </c>
    </row>
    <row r="4367" spans="1:6" x14ac:dyDescent="0.25">
      <c r="A4367" s="10">
        <v>43140</v>
      </c>
      <c r="B4367" s="12">
        <f t="shared" si="204"/>
        <v>2</v>
      </c>
      <c r="C4367" s="12">
        <f t="shared" si="205"/>
        <v>2018</v>
      </c>
      <c r="D4367" s="13">
        <v>19500</v>
      </c>
      <c r="E4367" s="13">
        <v>58.3307</v>
      </c>
      <c r="F4367" s="13">
        <f t="shared" si="206"/>
        <v>334.30080557922327</v>
      </c>
    </row>
    <row r="4368" spans="1:6" x14ac:dyDescent="0.25">
      <c r="A4368" s="10">
        <v>43143</v>
      </c>
      <c r="B4368" s="12">
        <f t="shared" si="204"/>
        <v>2</v>
      </c>
      <c r="C4368" s="12">
        <f t="shared" si="205"/>
        <v>2018</v>
      </c>
      <c r="E4368" s="13">
        <v>57.743400000000001</v>
      </c>
      <c r="F4368" s="13" t="str">
        <f t="shared" si="206"/>
        <v/>
      </c>
    </row>
    <row r="4369" spans="1:6" x14ac:dyDescent="0.25">
      <c r="A4369" s="10">
        <v>43144</v>
      </c>
      <c r="B4369" s="12">
        <f t="shared" si="204"/>
        <v>2</v>
      </c>
      <c r="C4369" s="12">
        <f t="shared" si="205"/>
        <v>2018</v>
      </c>
      <c r="E4369" s="13">
        <v>57.653300000000002</v>
      </c>
      <c r="F4369" s="13" t="str">
        <f t="shared" si="206"/>
        <v/>
      </c>
    </row>
    <row r="4370" spans="1:6" x14ac:dyDescent="0.25">
      <c r="A4370" s="10">
        <v>43145</v>
      </c>
      <c r="B4370" s="12">
        <f t="shared" si="204"/>
        <v>2</v>
      </c>
      <c r="C4370" s="12">
        <f t="shared" si="205"/>
        <v>2018</v>
      </c>
      <c r="E4370" s="13">
        <v>56.686399999999999</v>
      </c>
      <c r="F4370" s="13" t="str">
        <f t="shared" si="206"/>
        <v/>
      </c>
    </row>
    <row r="4371" spans="1:6" x14ac:dyDescent="0.25">
      <c r="A4371" s="10">
        <v>43146</v>
      </c>
      <c r="B4371" s="12">
        <f t="shared" si="204"/>
        <v>2</v>
      </c>
      <c r="C4371" s="12">
        <f t="shared" si="205"/>
        <v>2018</v>
      </c>
      <c r="E4371" s="13">
        <v>56.386400000000002</v>
      </c>
      <c r="F4371" s="13" t="str">
        <f t="shared" si="206"/>
        <v/>
      </c>
    </row>
    <row r="4372" spans="1:6" x14ac:dyDescent="0.25">
      <c r="A4372" s="10">
        <v>43147</v>
      </c>
      <c r="B4372" s="12">
        <f t="shared" si="204"/>
        <v>2</v>
      </c>
      <c r="C4372" s="12">
        <f t="shared" si="205"/>
        <v>2018</v>
      </c>
      <c r="E4372" s="13">
        <v>56.399900000000002</v>
      </c>
      <c r="F4372" s="13" t="str">
        <f t="shared" si="206"/>
        <v/>
      </c>
    </row>
    <row r="4373" spans="1:6" x14ac:dyDescent="0.25">
      <c r="A4373" s="10">
        <v>43151</v>
      </c>
      <c r="B4373" s="12">
        <f t="shared" si="204"/>
        <v>2</v>
      </c>
      <c r="C4373" s="12">
        <f t="shared" si="205"/>
        <v>2018</v>
      </c>
      <c r="D4373" s="13">
        <v>19850</v>
      </c>
      <c r="E4373" s="13">
        <v>56.514000000000003</v>
      </c>
      <c r="F4373" s="13">
        <f t="shared" si="206"/>
        <v>351.24040060869874</v>
      </c>
    </row>
    <row r="4374" spans="1:6" x14ac:dyDescent="0.25">
      <c r="A4374" s="10">
        <v>43152</v>
      </c>
      <c r="B4374" s="12">
        <f t="shared" si="204"/>
        <v>2</v>
      </c>
      <c r="C4374" s="12">
        <f t="shared" si="205"/>
        <v>2018</v>
      </c>
      <c r="D4374" s="13">
        <v>19850</v>
      </c>
      <c r="E4374" s="13">
        <v>56.73</v>
      </c>
      <c r="F4374" s="13">
        <f t="shared" si="206"/>
        <v>349.90304953287506</v>
      </c>
    </row>
    <row r="4375" spans="1:6" x14ac:dyDescent="0.25">
      <c r="A4375" s="10">
        <v>43153</v>
      </c>
      <c r="B4375" s="12">
        <f t="shared" si="204"/>
        <v>2</v>
      </c>
      <c r="C4375" s="12">
        <f t="shared" si="205"/>
        <v>2018</v>
      </c>
      <c r="D4375" s="13">
        <v>19850</v>
      </c>
      <c r="E4375" s="13">
        <v>56.423400000000001</v>
      </c>
      <c r="F4375" s="13">
        <f t="shared" si="206"/>
        <v>351.80439321274508</v>
      </c>
    </row>
    <row r="4376" spans="1:6" x14ac:dyDescent="0.25">
      <c r="A4376" s="10">
        <v>43154</v>
      </c>
      <c r="B4376" s="12">
        <f t="shared" si="204"/>
        <v>2</v>
      </c>
      <c r="C4376" s="12">
        <f t="shared" si="205"/>
        <v>2018</v>
      </c>
      <c r="D4376" s="13">
        <v>19850</v>
      </c>
      <c r="E4376" s="13">
        <v>56.266199999999998</v>
      </c>
      <c r="F4376" s="13">
        <f t="shared" si="206"/>
        <v>352.78728615047754</v>
      </c>
    </row>
    <row r="4377" spans="1:6" x14ac:dyDescent="0.25">
      <c r="A4377" s="10">
        <v>43157</v>
      </c>
      <c r="B4377" s="12">
        <f t="shared" si="204"/>
        <v>2</v>
      </c>
      <c r="C4377" s="12">
        <f t="shared" si="205"/>
        <v>2018</v>
      </c>
      <c r="D4377" s="13">
        <v>20250</v>
      </c>
      <c r="E4377" s="13">
        <v>55.593000000000004</v>
      </c>
      <c r="F4377" s="13">
        <f t="shared" si="206"/>
        <v>364.25449247207382</v>
      </c>
    </row>
    <row r="4378" spans="1:6" x14ac:dyDescent="0.25">
      <c r="A4378" s="10">
        <v>43158</v>
      </c>
      <c r="B4378" s="12">
        <f t="shared" si="204"/>
        <v>2</v>
      </c>
      <c r="C4378" s="12">
        <f t="shared" si="205"/>
        <v>2018</v>
      </c>
      <c r="D4378" s="13">
        <v>20250</v>
      </c>
      <c r="E4378" s="13">
        <v>56.247500000000002</v>
      </c>
      <c r="F4378" s="13">
        <f t="shared" si="206"/>
        <v>360.01600071114268</v>
      </c>
    </row>
    <row r="4379" spans="1:6" x14ac:dyDescent="0.25">
      <c r="A4379" s="10">
        <v>43159</v>
      </c>
      <c r="B4379" s="12">
        <f t="shared" si="204"/>
        <v>2</v>
      </c>
      <c r="C4379" s="12">
        <f t="shared" si="205"/>
        <v>2018</v>
      </c>
      <c r="D4379" s="13">
        <v>20250</v>
      </c>
      <c r="E4379" s="13">
        <v>56.340400000000002</v>
      </c>
      <c r="F4379" s="13">
        <f t="shared" si="206"/>
        <v>359.42236831829376</v>
      </c>
    </row>
    <row r="4380" spans="1:6" x14ac:dyDescent="0.25">
      <c r="A4380" s="10">
        <v>43160</v>
      </c>
      <c r="B4380" s="12">
        <f t="shared" si="204"/>
        <v>3</v>
      </c>
      <c r="C4380" s="12">
        <f t="shared" si="205"/>
        <v>2018</v>
      </c>
      <c r="D4380" s="13">
        <v>20250</v>
      </c>
      <c r="E4380" s="13">
        <v>56.813800000000001</v>
      </c>
      <c r="F4380" s="13">
        <f t="shared" si="206"/>
        <v>356.42748768785049</v>
      </c>
    </row>
    <row r="4381" spans="1:6" x14ac:dyDescent="0.25">
      <c r="A4381" s="10">
        <v>43161</v>
      </c>
      <c r="B4381" s="12">
        <f t="shared" si="204"/>
        <v>3</v>
      </c>
      <c r="C4381" s="12">
        <f t="shared" si="205"/>
        <v>2018</v>
      </c>
      <c r="D4381" s="13">
        <v>20250</v>
      </c>
      <c r="E4381" s="13">
        <v>56.805</v>
      </c>
      <c r="F4381" s="13">
        <f t="shared" si="206"/>
        <v>356.48270398732507</v>
      </c>
    </row>
    <row r="4382" spans="1:6" x14ac:dyDescent="0.25">
      <c r="A4382" s="10">
        <v>43164</v>
      </c>
      <c r="B4382" s="12">
        <f t="shared" si="204"/>
        <v>3</v>
      </c>
      <c r="C4382" s="12">
        <f t="shared" si="205"/>
        <v>2018</v>
      </c>
      <c r="D4382" s="13">
        <v>20250</v>
      </c>
      <c r="E4382" s="13">
        <v>56.396000000000001</v>
      </c>
      <c r="F4382" s="13">
        <f t="shared" si="206"/>
        <v>359.06801900844033</v>
      </c>
    </row>
    <row r="4383" spans="1:6" x14ac:dyDescent="0.25">
      <c r="A4383" s="10">
        <v>43165</v>
      </c>
      <c r="B4383" s="12">
        <f t="shared" si="204"/>
        <v>3</v>
      </c>
      <c r="C4383" s="12">
        <f t="shared" si="205"/>
        <v>2018</v>
      </c>
      <c r="D4383" s="13">
        <v>20250</v>
      </c>
      <c r="E4383" s="13">
        <v>56.702500000000001</v>
      </c>
      <c r="F4383" s="13">
        <f t="shared" si="206"/>
        <v>357.1271107975839</v>
      </c>
    </row>
    <row r="4384" spans="1:6" x14ac:dyDescent="0.25">
      <c r="A4384" s="10">
        <v>43166</v>
      </c>
      <c r="B4384" s="12">
        <f t="shared" si="204"/>
        <v>3</v>
      </c>
      <c r="C4384" s="12">
        <f t="shared" si="205"/>
        <v>2018</v>
      </c>
      <c r="D4384" s="13">
        <v>20250</v>
      </c>
      <c r="E4384" s="13">
        <v>56.8337</v>
      </c>
      <c r="F4384" s="13">
        <f t="shared" si="206"/>
        <v>356.30268661023302</v>
      </c>
    </row>
    <row r="4385" spans="1:6" x14ac:dyDescent="0.25">
      <c r="A4385" s="10">
        <v>43167</v>
      </c>
      <c r="B4385" s="12">
        <f t="shared" si="204"/>
        <v>3</v>
      </c>
      <c r="C4385" s="12">
        <f t="shared" si="205"/>
        <v>2018</v>
      </c>
      <c r="D4385" s="13">
        <v>20250</v>
      </c>
      <c r="E4385" s="13">
        <v>57.085000000000001</v>
      </c>
      <c r="F4385" s="13">
        <f t="shared" si="206"/>
        <v>354.73416834544975</v>
      </c>
    </row>
    <row r="4386" spans="1:6" x14ac:dyDescent="0.25">
      <c r="A4386" s="10">
        <v>43168</v>
      </c>
      <c r="B4386" s="12">
        <f t="shared" si="204"/>
        <v>3</v>
      </c>
      <c r="C4386" s="12">
        <f t="shared" si="205"/>
        <v>2018</v>
      </c>
      <c r="D4386" s="13">
        <v>20250</v>
      </c>
      <c r="E4386" s="13">
        <v>56.617699999999999</v>
      </c>
      <c r="F4386" s="13">
        <f t="shared" si="206"/>
        <v>357.66200322513987</v>
      </c>
    </row>
    <row r="4387" spans="1:6" x14ac:dyDescent="0.25">
      <c r="A4387" s="10">
        <v>43171</v>
      </c>
      <c r="B4387" s="12">
        <f t="shared" si="204"/>
        <v>3</v>
      </c>
      <c r="C4387" s="12">
        <f t="shared" si="205"/>
        <v>2018</v>
      </c>
      <c r="D4387" s="13">
        <v>20250</v>
      </c>
      <c r="E4387" s="13">
        <v>56.895000000000003</v>
      </c>
      <c r="F4387" s="13">
        <f t="shared" si="206"/>
        <v>355.91879778539413</v>
      </c>
    </row>
    <row r="4388" spans="1:6" x14ac:dyDescent="0.25">
      <c r="A4388" s="10">
        <v>43172</v>
      </c>
      <c r="B4388" s="12">
        <f t="shared" si="204"/>
        <v>3</v>
      </c>
      <c r="C4388" s="12">
        <f t="shared" si="205"/>
        <v>2018</v>
      </c>
      <c r="D4388" s="13">
        <v>20250</v>
      </c>
      <c r="E4388" s="13">
        <v>57.051000000000002</v>
      </c>
      <c r="F4388" s="13">
        <f t="shared" si="206"/>
        <v>354.94557501183152</v>
      </c>
    </row>
    <row r="4389" spans="1:6" x14ac:dyDescent="0.25">
      <c r="A4389" s="10">
        <v>43173</v>
      </c>
      <c r="B4389" s="12">
        <f t="shared" si="204"/>
        <v>3</v>
      </c>
      <c r="C4389" s="12">
        <f t="shared" si="205"/>
        <v>2018</v>
      </c>
      <c r="D4389" s="13">
        <v>20250</v>
      </c>
      <c r="E4389" s="13">
        <v>57.134999999999998</v>
      </c>
      <c r="F4389" s="13">
        <f t="shared" si="206"/>
        <v>354.4237332633237</v>
      </c>
    </row>
    <row r="4390" spans="1:6" x14ac:dyDescent="0.25">
      <c r="A4390" s="10">
        <v>43174</v>
      </c>
      <c r="B4390" s="12">
        <f t="shared" si="204"/>
        <v>3</v>
      </c>
      <c r="C4390" s="12">
        <f t="shared" si="205"/>
        <v>2018</v>
      </c>
      <c r="D4390" s="13">
        <v>20250</v>
      </c>
      <c r="E4390" s="13">
        <v>57.430599999999998</v>
      </c>
      <c r="F4390" s="13">
        <f t="shared" si="206"/>
        <v>352.5994852918131</v>
      </c>
    </row>
    <row r="4391" spans="1:6" x14ac:dyDescent="0.25">
      <c r="A4391" s="10">
        <v>43175</v>
      </c>
      <c r="B4391" s="12">
        <f t="shared" si="204"/>
        <v>3</v>
      </c>
      <c r="C4391" s="12">
        <f t="shared" si="205"/>
        <v>2018</v>
      </c>
      <c r="D4391" s="13">
        <v>20250</v>
      </c>
      <c r="E4391" s="13">
        <v>57.505600000000001</v>
      </c>
      <c r="F4391" s="13">
        <f t="shared" si="206"/>
        <v>352.13961770679725</v>
      </c>
    </row>
    <row r="4392" spans="1:6" x14ac:dyDescent="0.25">
      <c r="A4392" s="10">
        <v>43178</v>
      </c>
      <c r="B4392" s="12">
        <f t="shared" si="204"/>
        <v>3</v>
      </c>
      <c r="C4392" s="12">
        <f t="shared" si="205"/>
        <v>2018</v>
      </c>
      <c r="D4392" s="13">
        <v>20250</v>
      </c>
      <c r="E4392" s="13">
        <v>57.766199999999998</v>
      </c>
      <c r="F4392" s="13">
        <f t="shared" si="206"/>
        <v>350.55101426093461</v>
      </c>
    </row>
    <row r="4393" spans="1:6" x14ac:dyDescent="0.25">
      <c r="A4393" s="10">
        <v>43179</v>
      </c>
      <c r="B4393" s="12">
        <f t="shared" si="204"/>
        <v>3</v>
      </c>
      <c r="C4393" s="12">
        <f t="shared" si="205"/>
        <v>2018</v>
      </c>
      <c r="D4393" s="13">
        <v>20250</v>
      </c>
      <c r="E4393" s="13">
        <v>57.5563</v>
      </c>
      <c r="F4393" s="13">
        <f t="shared" si="206"/>
        <v>351.82942614448808</v>
      </c>
    </row>
    <row r="4394" spans="1:6" x14ac:dyDescent="0.25">
      <c r="A4394" s="10">
        <v>43180</v>
      </c>
      <c r="B4394" s="12">
        <f t="shared" si="204"/>
        <v>3</v>
      </c>
      <c r="C4394" s="12">
        <f t="shared" si="205"/>
        <v>2018</v>
      </c>
      <c r="D4394" s="13">
        <v>20250</v>
      </c>
      <c r="E4394" s="13">
        <v>56.862000000000002</v>
      </c>
      <c r="F4394" s="13">
        <f t="shared" si="206"/>
        <v>356.12535612535612</v>
      </c>
    </row>
    <row r="4395" spans="1:6" x14ac:dyDescent="0.25">
      <c r="A4395" s="10">
        <v>43181</v>
      </c>
      <c r="B4395" s="12">
        <f t="shared" si="204"/>
        <v>3</v>
      </c>
      <c r="C4395" s="12">
        <f t="shared" si="205"/>
        <v>2018</v>
      </c>
      <c r="D4395" s="13">
        <v>20250</v>
      </c>
      <c r="E4395" s="13">
        <v>57.225999999999999</v>
      </c>
      <c r="F4395" s="13">
        <f t="shared" si="206"/>
        <v>353.86013350574916</v>
      </c>
    </row>
    <row r="4396" spans="1:6" x14ac:dyDescent="0.25">
      <c r="A4396" s="10">
        <v>43182</v>
      </c>
      <c r="B4396" s="12">
        <f t="shared" si="204"/>
        <v>3</v>
      </c>
      <c r="C4396" s="12">
        <f t="shared" si="205"/>
        <v>2018</v>
      </c>
      <c r="D4396" s="13">
        <v>20250</v>
      </c>
      <c r="E4396" s="13">
        <v>57.223399999999998</v>
      </c>
      <c r="F4396" s="13">
        <f t="shared" si="206"/>
        <v>353.87621147991905</v>
      </c>
    </row>
    <row r="4397" spans="1:6" x14ac:dyDescent="0.25">
      <c r="A4397" s="10">
        <v>43185</v>
      </c>
      <c r="B4397" s="12">
        <f t="shared" si="204"/>
        <v>3</v>
      </c>
      <c r="C4397" s="12">
        <f t="shared" si="205"/>
        <v>2018</v>
      </c>
      <c r="E4397" s="13">
        <v>57.197000000000003</v>
      </c>
      <c r="F4397" s="13" t="str">
        <f t="shared" si="206"/>
        <v/>
      </c>
    </row>
    <row r="4398" spans="1:6" x14ac:dyDescent="0.25">
      <c r="A4398" s="10">
        <v>43186</v>
      </c>
      <c r="B4398" s="12">
        <f t="shared" si="204"/>
        <v>3</v>
      </c>
      <c r="C4398" s="12">
        <f t="shared" si="205"/>
        <v>2018</v>
      </c>
      <c r="E4398" s="13">
        <v>57.356000000000002</v>
      </c>
      <c r="F4398" s="13" t="str">
        <f t="shared" si="206"/>
        <v/>
      </c>
    </row>
    <row r="4399" spans="1:6" x14ac:dyDescent="0.25">
      <c r="A4399" s="10">
        <v>43187</v>
      </c>
      <c r="B4399" s="12">
        <f t="shared" si="204"/>
        <v>3</v>
      </c>
      <c r="C4399" s="12">
        <f t="shared" si="205"/>
        <v>2018</v>
      </c>
      <c r="E4399" s="13">
        <v>57.738799999999998</v>
      </c>
      <c r="F4399" s="13" t="str">
        <f t="shared" si="206"/>
        <v/>
      </c>
    </row>
    <row r="4400" spans="1:6" x14ac:dyDescent="0.25">
      <c r="A4400" s="10">
        <v>43188</v>
      </c>
      <c r="B4400" s="12">
        <f t="shared" si="204"/>
        <v>3</v>
      </c>
      <c r="C4400" s="12">
        <f t="shared" si="205"/>
        <v>2018</v>
      </c>
      <c r="E4400" s="13">
        <v>57.2485</v>
      </c>
      <c r="F4400" s="13" t="str">
        <f t="shared" si="206"/>
        <v/>
      </c>
    </row>
    <row r="4401" spans="1:6" x14ac:dyDescent="0.25">
      <c r="A4401" s="10">
        <v>43192</v>
      </c>
      <c r="B4401" s="12">
        <f t="shared" si="204"/>
        <v>4</v>
      </c>
      <c r="C4401" s="12">
        <f t="shared" si="205"/>
        <v>2018</v>
      </c>
      <c r="D4401" s="13">
        <v>20450</v>
      </c>
      <c r="E4401" s="13">
        <v>57.48</v>
      </c>
      <c r="F4401" s="13">
        <f t="shared" si="206"/>
        <v>355.77592205984695</v>
      </c>
    </row>
    <row r="4402" spans="1:6" x14ac:dyDescent="0.25">
      <c r="A4402" s="10">
        <v>43193</v>
      </c>
      <c r="B4402" s="12">
        <f t="shared" si="204"/>
        <v>4</v>
      </c>
      <c r="C4402" s="12">
        <f t="shared" si="205"/>
        <v>2018</v>
      </c>
      <c r="D4402" s="13">
        <v>20450</v>
      </c>
      <c r="E4402" s="13">
        <v>57.57</v>
      </c>
      <c r="F4402" s="13">
        <f t="shared" si="206"/>
        <v>355.21973249956574</v>
      </c>
    </row>
    <row r="4403" spans="1:6" x14ac:dyDescent="0.25">
      <c r="A4403" s="10">
        <v>43194</v>
      </c>
      <c r="B4403" s="12">
        <f t="shared" si="204"/>
        <v>4</v>
      </c>
      <c r="C4403" s="12">
        <f t="shared" si="205"/>
        <v>2018</v>
      </c>
      <c r="D4403" s="13">
        <v>20450</v>
      </c>
      <c r="E4403" s="13">
        <v>57.402000000000001</v>
      </c>
      <c r="F4403" s="13">
        <f t="shared" si="206"/>
        <v>356.25936378523397</v>
      </c>
    </row>
    <row r="4404" spans="1:6" x14ac:dyDescent="0.25">
      <c r="A4404" s="10">
        <v>43195</v>
      </c>
      <c r="B4404" s="12">
        <f t="shared" si="204"/>
        <v>4</v>
      </c>
      <c r="C4404" s="12">
        <f t="shared" si="205"/>
        <v>2018</v>
      </c>
      <c r="D4404" s="13">
        <v>20450</v>
      </c>
      <c r="E4404" s="13">
        <v>57.673000000000002</v>
      </c>
      <c r="F4404" s="13">
        <f t="shared" si="206"/>
        <v>354.58533455863227</v>
      </c>
    </row>
    <row r="4405" spans="1:6" x14ac:dyDescent="0.25">
      <c r="A4405" s="10">
        <v>43196</v>
      </c>
      <c r="B4405" s="12">
        <f t="shared" si="204"/>
        <v>4</v>
      </c>
      <c r="C4405" s="12">
        <f t="shared" si="205"/>
        <v>2018</v>
      </c>
      <c r="D4405" s="13">
        <v>20450</v>
      </c>
      <c r="E4405" s="13">
        <v>58.14</v>
      </c>
      <c r="F4405" s="13">
        <f t="shared" si="206"/>
        <v>351.7371861025112</v>
      </c>
    </row>
    <row r="4406" spans="1:6" x14ac:dyDescent="0.25">
      <c r="A4406" s="10">
        <v>43199</v>
      </c>
      <c r="B4406" s="12">
        <f t="shared" si="204"/>
        <v>4</v>
      </c>
      <c r="C4406" s="12">
        <f t="shared" si="205"/>
        <v>2018</v>
      </c>
      <c r="D4406" s="13">
        <v>20650</v>
      </c>
      <c r="E4406" s="13">
        <v>60.600499999999997</v>
      </c>
      <c r="F4406" s="13">
        <f t="shared" si="206"/>
        <v>340.75626438725754</v>
      </c>
    </row>
    <row r="4407" spans="1:6" x14ac:dyDescent="0.25">
      <c r="A4407" s="10">
        <v>43200</v>
      </c>
      <c r="B4407" s="12">
        <f t="shared" si="204"/>
        <v>4</v>
      </c>
      <c r="C4407" s="12">
        <f t="shared" si="205"/>
        <v>2018</v>
      </c>
      <c r="D4407" s="13">
        <v>20650</v>
      </c>
      <c r="E4407" s="13">
        <v>63.012999999999998</v>
      </c>
      <c r="F4407" s="13">
        <f t="shared" si="206"/>
        <v>327.71015504737119</v>
      </c>
    </row>
    <row r="4408" spans="1:6" x14ac:dyDescent="0.25">
      <c r="A4408" s="10">
        <v>43201</v>
      </c>
      <c r="B4408" s="12">
        <f t="shared" si="204"/>
        <v>4</v>
      </c>
      <c r="C4408" s="12">
        <f t="shared" si="205"/>
        <v>2018</v>
      </c>
      <c r="D4408" s="13">
        <v>20650</v>
      </c>
      <c r="E4408" s="13">
        <v>62.4512</v>
      </c>
      <c r="F4408" s="13">
        <f t="shared" si="206"/>
        <v>330.65817790530849</v>
      </c>
    </row>
    <row r="4409" spans="1:6" x14ac:dyDescent="0.25">
      <c r="A4409" s="10">
        <v>43202</v>
      </c>
      <c r="B4409" s="12">
        <f t="shared" si="204"/>
        <v>4</v>
      </c>
      <c r="C4409" s="12">
        <f t="shared" si="205"/>
        <v>2018</v>
      </c>
      <c r="D4409" s="13">
        <v>20650</v>
      </c>
      <c r="E4409" s="13">
        <v>61.959000000000003</v>
      </c>
      <c r="F4409" s="13">
        <f t="shared" si="206"/>
        <v>333.28491421746639</v>
      </c>
    </row>
    <row r="4410" spans="1:6" x14ac:dyDescent="0.25">
      <c r="A4410" s="10">
        <v>43203</v>
      </c>
      <c r="B4410" s="12">
        <f t="shared" si="204"/>
        <v>4</v>
      </c>
      <c r="C4410" s="12">
        <f t="shared" si="205"/>
        <v>2018</v>
      </c>
      <c r="D4410" s="13">
        <v>20650</v>
      </c>
      <c r="E4410" s="13">
        <v>62.019300000000001</v>
      </c>
      <c r="F4410" s="13">
        <f t="shared" si="206"/>
        <v>332.96086863282881</v>
      </c>
    </row>
    <row r="4411" spans="1:6" x14ac:dyDescent="0.25">
      <c r="A4411" s="10">
        <v>43206</v>
      </c>
      <c r="B4411" s="12">
        <f t="shared" si="204"/>
        <v>4</v>
      </c>
      <c r="C4411" s="12">
        <f t="shared" si="205"/>
        <v>2018</v>
      </c>
      <c r="E4411" s="13">
        <v>61.134300000000003</v>
      </c>
      <c r="F4411" s="13" t="str">
        <f t="shared" si="206"/>
        <v/>
      </c>
    </row>
    <row r="4412" spans="1:6" x14ac:dyDescent="0.25">
      <c r="A4412" s="10">
        <v>43207</v>
      </c>
      <c r="B4412" s="12">
        <f t="shared" si="204"/>
        <v>4</v>
      </c>
      <c r="C4412" s="12">
        <f t="shared" si="205"/>
        <v>2018</v>
      </c>
      <c r="E4412" s="13">
        <v>61.512999999999998</v>
      </c>
      <c r="F4412" s="13" t="str">
        <f t="shared" si="206"/>
        <v/>
      </c>
    </row>
    <row r="4413" spans="1:6" x14ac:dyDescent="0.25">
      <c r="A4413" s="10">
        <v>43208</v>
      </c>
      <c r="B4413" s="12">
        <f t="shared" si="204"/>
        <v>4</v>
      </c>
      <c r="C4413" s="12">
        <f t="shared" si="205"/>
        <v>2018</v>
      </c>
      <c r="E4413" s="13">
        <v>60.863500000000002</v>
      </c>
      <c r="F4413" s="13" t="str">
        <f t="shared" si="206"/>
        <v/>
      </c>
    </row>
    <row r="4414" spans="1:6" x14ac:dyDescent="0.25">
      <c r="A4414" s="10">
        <v>43209</v>
      </c>
      <c r="B4414" s="12">
        <f t="shared" si="204"/>
        <v>4</v>
      </c>
      <c r="C4414" s="12">
        <f t="shared" si="205"/>
        <v>2018</v>
      </c>
      <c r="E4414" s="13">
        <v>60.910499999999999</v>
      </c>
      <c r="F4414" s="13" t="str">
        <f t="shared" si="206"/>
        <v/>
      </c>
    </row>
    <row r="4415" spans="1:6" x14ac:dyDescent="0.25">
      <c r="A4415" s="10">
        <v>43210</v>
      </c>
      <c r="B4415" s="12">
        <f t="shared" si="204"/>
        <v>4</v>
      </c>
      <c r="C4415" s="12">
        <f t="shared" si="205"/>
        <v>2018</v>
      </c>
      <c r="E4415" s="13">
        <v>61.377099999999999</v>
      </c>
      <c r="F4415" s="13" t="str">
        <f t="shared" si="206"/>
        <v/>
      </c>
    </row>
    <row r="4416" spans="1:6" x14ac:dyDescent="0.25">
      <c r="A4416" s="10">
        <v>43213</v>
      </c>
      <c r="B4416" s="12">
        <f t="shared" si="204"/>
        <v>4</v>
      </c>
      <c r="C4416" s="12">
        <f t="shared" si="205"/>
        <v>2018</v>
      </c>
      <c r="D4416" s="13">
        <v>21700</v>
      </c>
      <c r="E4416" s="13">
        <v>61.863</v>
      </c>
      <c r="F4416" s="13">
        <f t="shared" si="206"/>
        <v>350.77509981733829</v>
      </c>
    </row>
    <row r="4417" spans="1:6" x14ac:dyDescent="0.25">
      <c r="A4417" s="10">
        <v>43214</v>
      </c>
      <c r="B4417" s="12">
        <f t="shared" si="204"/>
        <v>4</v>
      </c>
      <c r="C4417" s="12">
        <f t="shared" si="205"/>
        <v>2018</v>
      </c>
      <c r="D4417" s="13">
        <v>21700</v>
      </c>
      <c r="E4417" s="13">
        <v>61.556800000000003</v>
      </c>
      <c r="F4417" s="13">
        <f t="shared" si="206"/>
        <v>352.51994905518154</v>
      </c>
    </row>
    <row r="4418" spans="1:6" x14ac:dyDescent="0.25">
      <c r="A4418" s="10">
        <v>43215</v>
      </c>
      <c r="B4418" s="12">
        <f t="shared" si="204"/>
        <v>4</v>
      </c>
      <c r="C4418" s="12">
        <f t="shared" si="205"/>
        <v>2018</v>
      </c>
      <c r="D4418" s="13">
        <v>21700</v>
      </c>
      <c r="E4418" s="13">
        <v>62.406199999999998</v>
      </c>
      <c r="F4418" s="13">
        <f t="shared" si="206"/>
        <v>347.72186096894222</v>
      </c>
    </row>
    <row r="4419" spans="1:6" x14ac:dyDescent="0.25">
      <c r="A4419" s="10">
        <v>43216</v>
      </c>
      <c r="B4419" s="12">
        <f t="shared" ref="B4419:B4482" si="207">MONTH(A4419)</f>
        <v>4</v>
      </c>
      <c r="C4419" s="12">
        <f t="shared" ref="C4419:C4482" si="208">YEAR(A4419)</f>
        <v>2018</v>
      </c>
      <c r="D4419" s="13">
        <v>21700</v>
      </c>
      <c r="E4419" s="13">
        <v>62.810499999999998</v>
      </c>
      <c r="F4419" s="13">
        <f t="shared" ref="F4419:F4482" si="209">IF(D4419="","",D4419/E4419)</f>
        <v>345.4836372899436</v>
      </c>
    </row>
    <row r="4420" spans="1:6" x14ac:dyDescent="0.25">
      <c r="A4420" s="10">
        <v>43217</v>
      </c>
      <c r="B4420" s="12">
        <f t="shared" si="207"/>
        <v>4</v>
      </c>
      <c r="C4420" s="12">
        <f t="shared" si="208"/>
        <v>2018</v>
      </c>
      <c r="D4420" s="13">
        <v>21700</v>
      </c>
      <c r="E4420" s="13">
        <v>62.115600000000001</v>
      </c>
      <c r="F4420" s="13">
        <f t="shared" si="209"/>
        <v>349.34863383755447</v>
      </c>
    </row>
    <row r="4421" spans="1:6" x14ac:dyDescent="0.25">
      <c r="A4421" s="10">
        <v>43220</v>
      </c>
      <c r="B4421" s="12">
        <f t="shared" si="207"/>
        <v>4</v>
      </c>
      <c r="C4421" s="12">
        <f t="shared" si="208"/>
        <v>2018</v>
      </c>
      <c r="D4421" s="13">
        <v>21700</v>
      </c>
      <c r="E4421" s="13">
        <v>62.936199999999999</v>
      </c>
      <c r="F4421" s="13">
        <f t="shared" si="209"/>
        <v>344.79361639247367</v>
      </c>
    </row>
    <row r="4422" spans="1:6" x14ac:dyDescent="0.25">
      <c r="A4422" s="10">
        <v>43221</v>
      </c>
      <c r="B4422" s="12">
        <f t="shared" si="207"/>
        <v>5</v>
      </c>
      <c r="C4422" s="12">
        <f t="shared" si="208"/>
        <v>2018</v>
      </c>
      <c r="D4422" s="13">
        <v>21700</v>
      </c>
      <c r="E4422" s="13">
        <v>63.755400000000002</v>
      </c>
      <c r="F4422" s="13">
        <f t="shared" si="209"/>
        <v>340.36332608688832</v>
      </c>
    </row>
    <row r="4423" spans="1:6" x14ac:dyDescent="0.25">
      <c r="A4423" s="10">
        <v>43222</v>
      </c>
      <c r="B4423" s="12">
        <f t="shared" si="207"/>
        <v>5</v>
      </c>
      <c r="C4423" s="12">
        <f t="shared" si="208"/>
        <v>2018</v>
      </c>
      <c r="D4423" s="13">
        <v>21700</v>
      </c>
      <c r="E4423" s="13">
        <v>64.0655</v>
      </c>
      <c r="F4423" s="13">
        <f t="shared" si="209"/>
        <v>338.71584550186918</v>
      </c>
    </row>
    <row r="4424" spans="1:6" x14ac:dyDescent="0.25">
      <c r="A4424" s="10">
        <v>43223</v>
      </c>
      <c r="B4424" s="12">
        <f t="shared" si="207"/>
        <v>5</v>
      </c>
      <c r="C4424" s="12">
        <f t="shared" si="208"/>
        <v>2018</v>
      </c>
      <c r="D4424" s="13">
        <v>21700</v>
      </c>
      <c r="E4424" s="13">
        <v>62.9955</v>
      </c>
      <c r="F4424" s="13">
        <f t="shared" si="209"/>
        <v>344.46904937654278</v>
      </c>
    </row>
    <row r="4425" spans="1:6" x14ac:dyDescent="0.25">
      <c r="A4425" s="10">
        <v>43224</v>
      </c>
      <c r="B4425" s="12">
        <f t="shared" si="207"/>
        <v>5</v>
      </c>
      <c r="C4425" s="12">
        <f t="shared" si="208"/>
        <v>2018</v>
      </c>
      <c r="D4425" s="13">
        <v>21700</v>
      </c>
      <c r="E4425" s="13">
        <v>62.481200000000001</v>
      </c>
      <c r="F4425" s="13">
        <f t="shared" si="209"/>
        <v>347.30446918433063</v>
      </c>
    </row>
    <row r="4426" spans="1:6" x14ac:dyDescent="0.25">
      <c r="A4426" s="10">
        <v>43227</v>
      </c>
      <c r="B4426" s="12">
        <f t="shared" si="207"/>
        <v>5</v>
      </c>
      <c r="C4426" s="12">
        <f t="shared" si="208"/>
        <v>2018</v>
      </c>
      <c r="D4426" s="13">
        <v>21800</v>
      </c>
      <c r="E4426" s="13">
        <v>62.868000000000002</v>
      </c>
      <c r="F4426" s="13">
        <f t="shared" si="209"/>
        <v>346.75828720493729</v>
      </c>
    </row>
    <row r="4427" spans="1:6" x14ac:dyDescent="0.25">
      <c r="A4427" s="10">
        <v>43228</v>
      </c>
      <c r="B4427" s="12">
        <f t="shared" si="207"/>
        <v>5</v>
      </c>
      <c r="C4427" s="12">
        <f t="shared" si="208"/>
        <v>2018</v>
      </c>
      <c r="D4427" s="13">
        <v>21800</v>
      </c>
      <c r="E4427" s="13">
        <v>63.214100000000002</v>
      </c>
      <c r="F4427" s="13">
        <f t="shared" si="209"/>
        <v>344.8597702094944</v>
      </c>
    </row>
    <row r="4428" spans="1:6" x14ac:dyDescent="0.25">
      <c r="A4428" s="10">
        <v>43229</v>
      </c>
      <c r="B4428" s="12">
        <f t="shared" si="207"/>
        <v>5</v>
      </c>
      <c r="C4428" s="12">
        <f t="shared" si="208"/>
        <v>2018</v>
      </c>
      <c r="D4428" s="13">
        <v>21800</v>
      </c>
      <c r="E4428" s="13">
        <v>62.969499999999996</v>
      </c>
      <c r="F4428" s="13">
        <f t="shared" si="209"/>
        <v>346.19935047920029</v>
      </c>
    </row>
    <row r="4429" spans="1:6" x14ac:dyDescent="0.25">
      <c r="A4429" s="10">
        <v>43230</v>
      </c>
      <c r="B4429" s="12">
        <f t="shared" si="207"/>
        <v>5</v>
      </c>
      <c r="C4429" s="12">
        <f t="shared" si="208"/>
        <v>2018</v>
      </c>
      <c r="D4429" s="13">
        <v>21800</v>
      </c>
      <c r="E4429" s="13">
        <v>61.650500000000001</v>
      </c>
      <c r="F4429" s="13">
        <f t="shared" si="209"/>
        <v>353.60621568357107</v>
      </c>
    </row>
    <row r="4430" spans="1:6" x14ac:dyDescent="0.25">
      <c r="A4430" s="10">
        <v>43231</v>
      </c>
      <c r="B4430" s="12">
        <f t="shared" si="207"/>
        <v>5</v>
      </c>
      <c r="C4430" s="12">
        <f t="shared" si="208"/>
        <v>2018</v>
      </c>
      <c r="D4430" s="13">
        <v>21800</v>
      </c>
      <c r="E4430" s="13">
        <v>61.887999999999998</v>
      </c>
      <c r="F4430" s="13">
        <f t="shared" si="209"/>
        <v>352.24922440537745</v>
      </c>
    </row>
    <row r="4431" spans="1:6" x14ac:dyDescent="0.25">
      <c r="A4431" s="10">
        <v>43234</v>
      </c>
      <c r="B4431" s="12">
        <f t="shared" si="207"/>
        <v>5</v>
      </c>
      <c r="C4431" s="12">
        <f t="shared" si="208"/>
        <v>2018</v>
      </c>
      <c r="D4431" s="13">
        <v>21800</v>
      </c>
      <c r="E4431" s="13">
        <v>61.865600000000001</v>
      </c>
      <c r="F4431" s="13">
        <f t="shared" si="209"/>
        <v>352.37676511663994</v>
      </c>
    </row>
    <row r="4432" spans="1:6" x14ac:dyDescent="0.25">
      <c r="A4432" s="10">
        <v>43235</v>
      </c>
      <c r="B4432" s="12">
        <f t="shared" si="207"/>
        <v>5</v>
      </c>
      <c r="C4432" s="12">
        <f t="shared" si="208"/>
        <v>2018</v>
      </c>
      <c r="D4432" s="13">
        <v>21800</v>
      </c>
      <c r="E4432" s="13">
        <v>62.2455</v>
      </c>
      <c r="F4432" s="13">
        <f t="shared" si="209"/>
        <v>350.22612076374998</v>
      </c>
    </row>
    <row r="4433" spans="1:6" x14ac:dyDescent="0.25">
      <c r="A4433" s="10">
        <v>43236</v>
      </c>
      <c r="B4433" s="12">
        <f t="shared" si="207"/>
        <v>5</v>
      </c>
      <c r="C4433" s="12">
        <f t="shared" si="208"/>
        <v>2018</v>
      </c>
      <c r="D4433" s="13">
        <v>21800</v>
      </c>
      <c r="E4433" s="13">
        <v>61.713000000000001</v>
      </c>
      <c r="F4433" s="13">
        <f t="shared" si="209"/>
        <v>353.24810007615901</v>
      </c>
    </row>
    <row r="4434" spans="1:6" x14ac:dyDescent="0.25">
      <c r="A4434" s="10">
        <v>43237</v>
      </c>
      <c r="B4434" s="12">
        <f t="shared" si="207"/>
        <v>5</v>
      </c>
      <c r="C4434" s="12">
        <f t="shared" si="208"/>
        <v>2018</v>
      </c>
      <c r="D4434" s="13">
        <v>21800</v>
      </c>
      <c r="E4434" s="13">
        <v>62.134999999999998</v>
      </c>
      <c r="F4434" s="13">
        <f t="shared" si="209"/>
        <v>350.84895791421906</v>
      </c>
    </row>
    <row r="4435" spans="1:6" x14ac:dyDescent="0.25">
      <c r="A4435" s="10">
        <v>43238</v>
      </c>
      <c r="B4435" s="12">
        <f t="shared" si="207"/>
        <v>5</v>
      </c>
      <c r="C4435" s="12">
        <f t="shared" si="208"/>
        <v>2018</v>
      </c>
      <c r="D4435" s="13">
        <v>21800</v>
      </c>
      <c r="E4435" s="13">
        <v>62.292400000000001</v>
      </c>
      <c r="F4435" s="13">
        <f t="shared" si="209"/>
        <v>349.96243522484281</v>
      </c>
    </row>
    <row r="4436" spans="1:6" x14ac:dyDescent="0.25">
      <c r="A4436" s="10">
        <v>43241</v>
      </c>
      <c r="B4436" s="12">
        <f t="shared" si="207"/>
        <v>5</v>
      </c>
      <c r="C4436" s="12">
        <f t="shared" si="208"/>
        <v>2018</v>
      </c>
      <c r="D4436" s="13">
        <v>22000</v>
      </c>
      <c r="E4436" s="13">
        <v>61.513800000000003</v>
      </c>
      <c r="F4436" s="13">
        <f t="shared" si="209"/>
        <v>357.64332556271921</v>
      </c>
    </row>
    <row r="4437" spans="1:6" x14ac:dyDescent="0.25">
      <c r="A4437" s="10">
        <v>43242</v>
      </c>
      <c r="B4437" s="12">
        <f t="shared" si="207"/>
        <v>5</v>
      </c>
      <c r="C4437" s="12">
        <f t="shared" si="208"/>
        <v>2018</v>
      </c>
      <c r="D4437" s="13">
        <v>22000</v>
      </c>
      <c r="E4437" s="13">
        <v>61.229300000000002</v>
      </c>
      <c r="F4437" s="13">
        <f t="shared" si="209"/>
        <v>359.30510392900129</v>
      </c>
    </row>
    <row r="4438" spans="1:6" x14ac:dyDescent="0.25">
      <c r="A4438" s="10">
        <v>43243</v>
      </c>
      <c r="B4438" s="12">
        <f t="shared" si="207"/>
        <v>5</v>
      </c>
      <c r="C4438" s="12">
        <f t="shared" si="208"/>
        <v>2018</v>
      </c>
      <c r="D4438" s="13">
        <v>22000</v>
      </c>
      <c r="E4438" s="13">
        <v>61.2575</v>
      </c>
      <c r="F4438" s="13">
        <f t="shared" si="209"/>
        <v>359.13969717993717</v>
      </c>
    </row>
    <row r="4439" spans="1:6" x14ac:dyDescent="0.25">
      <c r="A4439" s="10">
        <v>43244</v>
      </c>
      <c r="B4439" s="12">
        <f t="shared" si="207"/>
        <v>5</v>
      </c>
      <c r="C4439" s="12">
        <f t="shared" si="208"/>
        <v>2018</v>
      </c>
      <c r="D4439" s="13">
        <v>22000</v>
      </c>
      <c r="E4439" s="13">
        <v>61.561999999999998</v>
      </c>
      <c r="F4439" s="13">
        <f t="shared" si="209"/>
        <v>357.36330853448555</v>
      </c>
    </row>
    <row r="4440" spans="1:6" x14ac:dyDescent="0.25">
      <c r="A4440" s="10">
        <v>43245</v>
      </c>
      <c r="B4440" s="12">
        <f t="shared" si="207"/>
        <v>5</v>
      </c>
      <c r="C4440" s="12">
        <f t="shared" si="208"/>
        <v>2018</v>
      </c>
      <c r="D4440" s="13">
        <v>22000</v>
      </c>
      <c r="E4440" s="13">
        <v>62.195399999999999</v>
      </c>
      <c r="F4440" s="13">
        <f t="shared" si="209"/>
        <v>353.72390884213303</v>
      </c>
    </row>
    <row r="4441" spans="1:6" x14ac:dyDescent="0.25">
      <c r="A4441" s="10">
        <v>43249</v>
      </c>
      <c r="B4441" s="12">
        <f t="shared" si="207"/>
        <v>5</v>
      </c>
      <c r="C4441" s="12">
        <f t="shared" si="208"/>
        <v>2018</v>
      </c>
      <c r="D4441" s="13">
        <v>22500</v>
      </c>
      <c r="E4441" s="13">
        <v>62.817500000000003</v>
      </c>
      <c r="F4441" s="13">
        <f t="shared" si="209"/>
        <v>358.18044334779319</v>
      </c>
    </row>
    <row r="4442" spans="1:6" x14ac:dyDescent="0.25">
      <c r="A4442" s="10">
        <v>43250</v>
      </c>
      <c r="B4442" s="12">
        <f t="shared" si="207"/>
        <v>5</v>
      </c>
      <c r="C4442" s="12">
        <f t="shared" si="208"/>
        <v>2018</v>
      </c>
      <c r="D4442" s="13">
        <v>22500</v>
      </c>
      <c r="E4442" s="13">
        <v>62.070999999999998</v>
      </c>
      <c r="F4442" s="13">
        <f t="shared" si="209"/>
        <v>362.48811844500653</v>
      </c>
    </row>
    <row r="4443" spans="1:6" x14ac:dyDescent="0.25">
      <c r="A4443" s="10">
        <v>43251</v>
      </c>
      <c r="B4443" s="12">
        <f t="shared" si="207"/>
        <v>5</v>
      </c>
      <c r="C4443" s="12">
        <f t="shared" si="208"/>
        <v>2018</v>
      </c>
      <c r="D4443" s="13">
        <v>22500</v>
      </c>
      <c r="E4443" s="13">
        <v>62.349600000000002</v>
      </c>
      <c r="F4443" s="13">
        <f t="shared" si="209"/>
        <v>360.86839370260594</v>
      </c>
    </row>
    <row r="4444" spans="1:6" x14ac:dyDescent="0.25">
      <c r="A4444" s="10">
        <v>43252</v>
      </c>
      <c r="B4444" s="12">
        <f t="shared" si="207"/>
        <v>6</v>
      </c>
      <c r="C4444" s="12">
        <f t="shared" si="208"/>
        <v>2018</v>
      </c>
      <c r="D4444" s="13">
        <v>22500</v>
      </c>
      <c r="E4444" s="13">
        <v>62.196199999999997</v>
      </c>
      <c r="F4444" s="13">
        <f t="shared" si="209"/>
        <v>361.75843540280596</v>
      </c>
    </row>
    <row r="4445" spans="1:6" x14ac:dyDescent="0.25">
      <c r="A4445" s="10">
        <v>43255</v>
      </c>
      <c r="B4445" s="12">
        <f t="shared" si="207"/>
        <v>6</v>
      </c>
      <c r="C4445" s="12">
        <f t="shared" si="208"/>
        <v>2018</v>
      </c>
      <c r="D4445" s="13">
        <v>22750</v>
      </c>
      <c r="E4445" s="13">
        <v>62.0535</v>
      </c>
      <c r="F4445" s="13">
        <f t="shared" si="209"/>
        <v>366.61912704359946</v>
      </c>
    </row>
    <row r="4446" spans="1:6" x14ac:dyDescent="0.25">
      <c r="A4446" s="10">
        <v>43256</v>
      </c>
      <c r="B4446" s="12">
        <f t="shared" si="207"/>
        <v>6</v>
      </c>
      <c r="C4446" s="12">
        <f t="shared" si="208"/>
        <v>2018</v>
      </c>
      <c r="D4446" s="13">
        <v>22750</v>
      </c>
      <c r="E4446" s="13">
        <v>62.128</v>
      </c>
      <c r="F4446" s="13">
        <f t="shared" si="209"/>
        <v>366.17950038629925</v>
      </c>
    </row>
    <row r="4447" spans="1:6" x14ac:dyDescent="0.25">
      <c r="A4447" s="10">
        <v>43257</v>
      </c>
      <c r="B4447" s="12">
        <f t="shared" si="207"/>
        <v>6</v>
      </c>
      <c r="C4447" s="12">
        <f t="shared" si="208"/>
        <v>2018</v>
      </c>
      <c r="D4447" s="13">
        <v>22750</v>
      </c>
      <c r="E4447" s="13">
        <v>61.785499999999999</v>
      </c>
      <c r="F4447" s="13">
        <f t="shared" si="209"/>
        <v>368.20936951226423</v>
      </c>
    </row>
    <row r="4448" spans="1:6" x14ac:dyDescent="0.25">
      <c r="A4448" s="10">
        <v>43258</v>
      </c>
      <c r="B4448" s="12">
        <f t="shared" si="207"/>
        <v>6</v>
      </c>
      <c r="C4448" s="12">
        <f t="shared" si="208"/>
        <v>2018</v>
      </c>
      <c r="D4448" s="13">
        <v>22750</v>
      </c>
      <c r="E4448" s="13">
        <v>62.390599999999999</v>
      </c>
      <c r="F4448" s="13">
        <f t="shared" si="209"/>
        <v>364.63826281523177</v>
      </c>
    </row>
    <row r="4449" spans="1:6" x14ac:dyDescent="0.25">
      <c r="A4449" s="10">
        <v>43259</v>
      </c>
      <c r="B4449" s="12">
        <f t="shared" si="207"/>
        <v>6</v>
      </c>
      <c r="C4449" s="12">
        <f t="shared" si="208"/>
        <v>2018</v>
      </c>
      <c r="D4449" s="13">
        <v>22750</v>
      </c>
      <c r="E4449" s="13">
        <v>62.276000000000003</v>
      </c>
      <c r="F4449" s="13">
        <f t="shared" si="209"/>
        <v>365.30926841801011</v>
      </c>
    </row>
    <row r="4450" spans="1:6" x14ac:dyDescent="0.25">
      <c r="A4450" s="10">
        <v>43262</v>
      </c>
      <c r="B4450" s="12">
        <f t="shared" si="207"/>
        <v>6</v>
      </c>
      <c r="C4450" s="12">
        <f t="shared" si="208"/>
        <v>2018</v>
      </c>
      <c r="D4450" s="13">
        <v>22750</v>
      </c>
      <c r="E4450" s="13">
        <v>62.7727</v>
      </c>
      <c r="F4450" s="13">
        <f t="shared" si="209"/>
        <v>362.41869475106216</v>
      </c>
    </row>
    <row r="4451" spans="1:6" x14ac:dyDescent="0.25">
      <c r="A4451" s="10">
        <v>43263</v>
      </c>
      <c r="B4451" s="12">
        <f t="shared" si="207"/>
        <v>6</v>
      </c>
      <c r="C4451" s="12">
        <f t="shared" si="208"/>
        <v>2018</v>
      </c>
      <c r="D4451" s="13">
        <v>22750</v>
      </c>
      <c r="E4451" s="13">
        <v>63.0426</v>
      </c>
      <c r="F4451" s="13">
        <f t="shared" si="209"/>
        <v>360.86709621747832</v>
      </c>
    </row>
    <row r="4452" spans="1:6" x14ac:dyDescent="0.25">
      <c r="A4452" s="10">
        <v>43264</v>
      </c>
      <c r="B4452" s="12">
        <f t="shared" si="207"/>
        <v>6</v>
      </c>
      <c r="C4452" s="12">
        <f t="shared" si="208"/>
        <v>2018</v>
      </c>
      <c r="D4452" s="13">
        <v>22750</v>
      </c>
      <c r="E4452" s="13">
        <v>62.447699999999998</v>
      </c>
      <c r="F4452" s="13">
        <f t="shared" si="209"/>
        <v>364.30485029873</v>
      </c>
    </row>
    <row r="4453" spans="1:6" x14ac:dyDescent="0.25">
      <c r="A4453" s="10">
        <v>43265</v>
      </c>
      <c r="B4453" s="12">
        <f t="shared" si="207"/>
        <v>6</v>
      </c>
      <c r="C4453" s="12">
        <f t="shared" si="208"/>
        <v>2018</v>
      </c>
      <c r="D4453" s="13">
        <v>22750</v>
      </c>
      <c r="E4453" s="13">
        <v>62.54</v>
      </c>
      <c r="F4453" s="13">
        <f t="shared" si="209"/>
        <v>363.76718899904063</v>
      </c>
    </row>
    <row r="4454" spans="1:6" x14ac:dyDescent="0.25">
      <c r="A4454" s="10">
        <v>43266</v>
      </c>
      <c r="B4454" s="12">
        <f t="shared" si="207"/>
        <v>6</v>
      </c>
      <c r="C4454" s="12">
        <f t="shared" si="208"/>
        <v>2018</v>
      </c>
      <c r="D4454" s="13">
        <v>22750</v>
      </c>
      <c r="E4454" s="13">
        <v>63.130899999999997</v>
      </c>
      <c r="F4454" s="13">
        <f t="shared" si="209"/>
        <v>360.36235821127218</v>
      </c>
    </row>
    <row r="4455" spans="1:6" x14ac:dyDescent="0.25">
      <c r="A4455" s="10">
        <v>43269</v>
      </c>
      <c r="B4455" s="12">
        <f t="shared" si="207"/>
        <v>6</v>
      </c>
      <c r="C4455" s="12">
        <f t="shared" si="208"/>
        <v>2018</v>
      </c>
      <c r="D4455" s="13">
        <v>22750</v>
      </c>
      <c r="E4455" s="13">
        <v>63.362000000000002</v>
      </c>
      <c r="F4455" s="13">
        <f t="shared" si="209"/>
        <v>359.04800984817399</v>
      </c>
    </row>
    <row r="4456" spans="1:6" x14ac:dyDescent="0.25">
      <c r="A4456" s="10">
        <v>43270</v>
      </c>
      <c r="B4456" s="12">
        <f t="shared" si="207"/>
        <v>6</v>
      </c>
      <c r="C4456" s="12">
        <f t="shared" si="208"/>
        <v>2018</v>
      </c>
      <c r="D4456" s="13">
        <v>22750</v>
      </c>
      <c r="E4456" s="13">
        <v>63.823300000000003</v>
      </c>
      <c r="F4456" s="13">
        <f t="shared" si="209"/>
        <v>356.4528941624767</v>
      </c>
    </row>
    <row r="4457" spans="1:6" x14ac:dyDescent="0.25">
      <c r="A4457" s="10">
        <v>43271</v>
      </c>
      <c r="B4457" s="12">
        <f t="shared" si="207"/>
        <v>6</v>
      </c>
      <c r="C4457" s="12">
        <f t="shared" si="208"/>
        <v>2018</v>
      </c>
      <c r="D4457" s="13">
        <v>22750</v>
      </c>
      <c r="E4457" s="13">
        <v>63.575499999999998</v>
      </c>
      <c r="F4457" s="13">
        <f t="shared" si="209"/>
        <v>357.84225055249271</v>
      </c>
    </row>
    <row r="4458" spans="1:6" x14ac:dyDescent="0.25">
      <c r="A4458" s="10">
        <v>43272</v>
      </c>
      <c r="B4458" s="12">
        <f t="shared" si="207"/>
        <v>6</v>
      </c>
      <c r="C4458" s="12">
        <f t="shared" si="208"/>
        <v>2018</v>
      </c>
      <c r="D4458" s="13">
        <v>22750</v>
      </c>
      <c r="E4458" s="13">
        <v>63.636499999999998</v>
      </c>
      <c r="F4458" s="13">
        <f t="shared" si="209"/>
        <v>357.49923393021299</v>
      </c>
    </row>
    <row r="4459" spans="1:6" x14ac:dyDescent="0.25">
      <c r="A4459" s="10">
        <v>43273</v>
      </c>
      <c r="B4459" s="12">
        <f t="shared" si="207"/>
        <v>6</v>
      </c>
      <c r="C4459" s="12">
        <f t="shared" si="208"/>
        <v>2018</v>
      </c>
      <c r="D4459" s="13">
        <v>22750</v>
      </c>
      <c r="E4459" s="13">
        <v>62.924999999999997</v>
      </c>
      <c r="F4459" s="13">
        <f t="shared" si="209"/>
        <v>361.54151767977754</v>
      </c>
    </row>
    <row r="4460" spans="1:6" x14ac:dyDescent="0.25">
      <c r="A4460" s="10">
        <v>43276</v>
      </c>
      <c r="B4460" s="12">
        <f t="shared" si="207"/>
        <v>6</v>
      </c>
      <c r="C4460" s="12">
        <f t="shared" si="208"/>
        <v>2018</v>
      </c>
      <c r="D4460" s="13">
        <v>21500</v>
      </c>
      <c r="E4460" s="13">
        <v>62.738</v>
      </c>
      <c r="F4460" s="13">
        <f t="shared" si="209"/>
        <v>342.69501737384041</v>
      </c>
    </row>
    <row r="4461" spans="1:6" x14ac:dyDescent="0.25">
      <c r="A4461" s="10">
        <v>43277</v>
      </c>
      <c r="B4461" s="12">
        <f t="shared" si="207"/>
        <v>6</v>
      </c>
      <c r="C4461" s="12">
        <f t="shared" si="208"/>
        <v>2018</v>
      </c>
      <c r="D4461" s="13">
        <v>21500</v>
      </c>
      <c r="E4461" s="13">
        <v>62.9925</v>
      </c>
      <c r="F4461" s="13">
        <f t="shared" si="209"/>
        <v>341.31047346906377</v>
      </c>
    </row>
    <row r="4462" spans="1:6" x14ac:dyDescent="0.25">
      <c r="A4462" s="10">
        <v>43278</v>
      </c>
      <c r="B4462" s="12">
        <f t="shared" si="207"/>
        <v>6</v>
      </c>
      <c r="C4462" s="12">
        <f t="shared" si="208"/>
        <v>2018</v>
      </c>
      <c r="D4462" s="13">
        <v>21500</v>
      </c>
      <c r="E4462" s="13">
        <v>63.186100000000003</v>
      </c>
      <c r="F4462" s="13">
        <f t="shared" si="209"/>
        <v>340.26471011820638</v>
      </c>
    </row>
    <row r="4463" spans="1:6" x14ac:dyDescent="0.25">
      <c r="A4463" s="10">
        <v>43279</v>
      </c>
      <c r="B4463" s="12">
        <f t="shared" si="207"/>
        <v>6</v>
      </c>
      <c r="C4463" s="12">
        <f t="shared" si="208"/>
        <v>2018</v>
      </c>
      <c r="D4463" s="13">
        <v>21500</v>
      </c>
      <c r="E4463" s="13">
        <v>62.801499999999997</v>
      </c>
      <c r="F4463" s="13">
        <f t="shared" si="209"/>
        <v>342.3485107839781</v>
      </c>
    </row>
    <row r="4464" spans="1:6" x14ac:dyDescent="0.25">
      <c r="A4464" s="10">
        <v>43280</v>
      </c>
      <c r="B4464" s="12">
        <f t="shared" si="207"/>
        <v>6</v>
      </c>
      <c r="C4464" s="12">
        <f t="shared" si="208"/>
        <v>2018</v>
      </c>
      <c r="D4464" s="13">
        <v>21500</v>
      </c>
      <c r="E4464" s="13">
        <v>62.785499999999999</v>
      </c>
      <c r="F4464" s="13">
        <f t="shared" si="209"/>
        <v>342.43575347811196</v>
      </c>
    </row>
    <row r="4465" spans="1:6" x14ac:dyDescent="0.25">
      <c r="A4465" s="10">
        <v>43283</v>
      </c>
      <c r="B4465" s="12">
        <f t="shared" si="207"/>
        <v>7</v>
      </c>
      <c r="C4465" s="12">
        <f t="shared" si="208"/>
        <v>2018</v>
      </c>
      <c r="D4465" s="13">
        <v>21500</v>
      </c>
      <c r="E4465" s="13">
        <v>63.396000000000001</v>
      </c>
      <c r="F4465" s="13">
        <f t="shared" si="209"/>
        <v>339.13811596946181</v>
      </c>
    </row>
    <row r="4466" spans="1:6" x14ac:dyDescent="0.25">
      <c r="A4466" s="10">
        <v>43284</v>
      </c>
      <c r="B4466" s="12">
        <f t="shared" si="207"/>
        <v>7</v>
      </c>
      <c r="C4466" s="12">
        <f t="shared" si="208"/>
        <v>2018</v>
      </c>
      <c r="D4466" s="13">
        <v>21500</v>
      </c>
      <c r="E4466" s="13">
        <v>63.125</v>
      </c>
      <c r="F4466" s="13">
        <f t="shared" si="209"/>
        <v>340.59405940594058</v>
      </c>
    </row>
    <row r="4467" spans="1:6" x14ac:dyDescent="0.25">
      <c r="A4467" s="10">
        <v>43286</v>
      </c>
      <c r="B4467" s="12">
        <f t="shared" si="207"/>
        <v>7</v>
      </c>
      <c r="C4467" s="12">
        <f t="shared" si="208"/>
        <v>2018</v>
      </c>
      <c r="D4467" s="13">
        <v>21500</v>
      </c>
      <c r="E4467" s="13">
        <v>63.085000000000001</v>
      </c>
      <c r="F4467" s="13">
        <f t="shared" si="209"/>
        <v>340.81001822937304</v>
      </c>
    </row>
    <row r="4468" spans="1:6" x14ac:dyDescent="0.25">
      <c r="A4468" s="10">
        <v>43287</v>
      </c>
      <c r="B4468" s="12">
        <f t="shared" si="207"/>
        <v>7</v>
      </c>
      <c r="C4468" s="12">
        <f t="shared" si="208"/>
        <v>2018</v>
      </c>
      <c r="D4468" s="13">
        <v>21500</v>
      </c>
      <c r="E4468" s="13">
        <v>62.914700000000003</v>
      </c>
      <c r="F4468" s="13">
        <f t="shared" si="209"/>
        <v>341.73253627530607</v>
      </c>
    </row>
    <row r="4469" spans="1:6" x14ac:dyDescent="0.25">
      <c r="A4469" s="10">
        <v>43290</v>
      </c>
      <c r="B4469" s="12">
        <f t="shared" si="207"/>
        <v>7</v>
      </c>
      <c r="C4469" s="12">
        <f t="shared" si="208"/>
        <v>2018</v>
      </c>
      <c r="D4469" s="13">
        <v>21500</v>
      </c>
      <c r="E4469" s="13">
        <v>62.3825</v>
      </c>
      <c r="F4469" s="13">
        <f t="shared" si="209"/>
        <v>344.64793812367247</v>
      </c>
    </row>
    <row r="4470" spans="1:6" x14ac:dyDescent="0.25">
      <c r="A4470" s="10">
        <v>43291</v>
      </c>
      <c r="B4470" s="12">
        <f t="shared" si="207"/>
        <v>7</v>
      </c>
      <c r="C4470" s="12">
        <f t="shared" si="208"/>
        <v>2018</v>
      </c>
      <c r="D4470" s="13">
        <v>21500</v>
      </c>
      <c r="E4470" s="13">
        <v>61.783000000000001</v>
      </c>
      <c r="F4470" s="13">
        <f t="shared" si="209"/>
        <v>347.99216612984151</v>
      </c>
    </row>
    <row r="4471" spans="1:6" x14ac:dyDescent="0.25">
      <c r="A4471" s="10">
        <v>43292</v>
      </c>
      <c r="B4471" s="12">
        <f t="shared" si="207"/>
        <v>7</v>
      </c>
      <c r="C4471" s="12">
        <f t="shared" si="208"/>
        <v>2018</v>
      </c>
      <c r="D4471" s="13">
        <v>21500</v>
      </c>
      <c r="E4471" s="13">
        <v>62.392499999999998</v>
      </c>
      <c r="F4471" s="13">
        <f t="shared" si="209"/>
        <v>344.59269944304202</v>
      </c>
    </row>
    <row r="4472" spans="1:6" x14ac:dyDescent="0.25">
      <c r="A4472" s="10">
        <v>43293</v>
      </c>
      <c r="B4472" s="12">
        <f t="shared" si="207"/>
        <v>7</v>
      </c>
      <c r="C4472" s="12">
        <f t="shared" si="208"/>
        <v>2018</v>
      </c>
      <c r="D4472" s="13">
        <v>21500</v>
      </c>
      <c r="E4472" s="13">
        <v>62.240499999999997</v>
      </c>
      <c r="F4472" s="13">
        <f t="shared" si="209"/>
        <v>345.43424297683987</v>
      </c>
    </row>
    <row r="4473" spans="1:6" x14ac:dyDescent="0.25">
      <c r="A4473" s="10">
        <v>43294</v>
      </c>
      <c r="B4473" s="12">
        <f t="shared" si="207"/>
        <v>7</v>
      </c>
      <c r="C4473" s="12">
        <f t="shared" si="208"/>
        <v>2018</v>
      </c>
      <c r="D4473" s="13">
        <v>21500</v>
      </c>
      <c r="E4473" s="13">
        <v>62.533000000000001</v>
      </c>
      <c r="F4473" s="13">
        <f t="shared" si="209"/>
        <v>343.81846385108662</v>
      </c>
    </row>
    <row r="4474" spans="1:6" x14ac:dyDescent="0.25">
      <c r="A4474" s="10">
        <v>43297</v>
      </c>
      <c r="B4474" s="12">
        <f t="shared" si="207"/>
        <v>7</v>
      </c>
      <c r="C4474" s="12">
        <f t="shared" si="208"/>
        <v>2018</v>
      </c>
      <c r="E4474" s="13">
        <v>62.279200000000003</v>
      </c>
      <c r="F4474" s="13" t="str">
        <f t="shared" si="209"/>
        <v/>
      </c>
    </row>
    <row r="4475" spans="1:6" x14ac:dyDescent="0.25">
      <c r="A4475" s="10">
        <v>43298</v>
      </c>
      <c r="B4475" s="12">
        <f t="shared" si="207"/>
        <v>7</v>
      </c>
      <c r="C4475" s="12">
        <f t="shared" si="208"/>
        <v>2018</v>
      </c>
      <c r="E4475" s="13">
        <v>62.611499999999999</v>
      </c>
      <c r="F4475" s="13" t="str">
        <f t="shared" si="209"/>
        <v/>
      </c>
    </row>
    <row r="4476" spans="1:6" x14ac:dyDescent="0.25">
      <c r="A4476" s="10">
        <v>43299</v>
      </c>
      <c r="B4476" s="12">
        <f t="shared" si="207"/>
        <v>7</v>
      </c>
      <c r="C4476" s="12">
        <f t="shared" si="208"/>
        <v>2018</v>
      </c>
      <c r="E4476" s="13">
        <v>62.991799999999998</v>
      </c>
      <c r="F4476" s="13" t="str">
        <f t="shared" si="209"/>
        <v/>
      </c>
    </row>
    <row r="4477" spans="1:6" x14ac:dyDescent="0.25">
      <c r="A4477" s="10">
        <v>43300</v>
      </c>
      <c r="B4477" s="12">
        <f t="shared" si="207"/>
        <v>7</v>
      </c>
      <c r="C4477" s="12">
        <f t="shared" si="208"/>
        <v>2018</v>
      </c>
      <c r="E4477" s="13">
        <v>63.578400000000002</v>
      </c>
      <c r="F4477" s="13" t="str">
        <f t="shared" si="209"/>
        <v/>
      </c>
    </row>
    <row r="4478" spans="1:6" x14ac:dyDescent="0.25">
      <c r="A4478" s="10">
        <v>43301</v>
      </c>
      <c r="B4478" s="12">
        <f t="shared" si="207"/>
        <v>7</v>
      </c>
      <c r="C4478" s="12">
        <f t="shared" si="208"/>
        <v>2018</v>
      </c>
      <c r="E4478" s="13">
        <v>63.421999999999997</v>
      </c>
      <c r="F4478" s="13" t="str">
        <f t="shared" si="209"/>
        <v/>
      </c>
    </row>
    <row r="4479" spans="1:6" x14ac:dyDescent="0.25">
      <c r="A4479" s="10">
        <v>43304</v>
      </c>
      <c r="B4479" s="12">
        <f t="shared" si="207"/>
        <v>7</v>
      </c>
      <c r="C4479" s="12">
        <f t="shared" si="208"/>
        <v>2018</v>
      </c>
      <c r="E4479" s="13">
        <v>63.045999999999999</v>
      </c>
      <c r="F4479" s="13" t="str">
        <f t="shared" si="209"/>
        <v/>
      </c>
    </row>
    <row r="4480" spans="1:6" x14ac:dyDescent="0.25">
      <c r="A4480" s="10">
        <v>43305</v>
      </c>
      <c r="B4480" s="12">
        <f t="shared" si="207"/>
        <v>7</v>
      </c>
      <c r="C4480" s="12">
        <f t="shared" si="208"/>
        <v>2018</v>
      </c>
      <c r="E4480" s="13">
        <v>63.302</v>
      </c>
      <c r="F4480" s="13" t="str">
        <f t="shared" si="209"/>
        <v/>
      </c>
    </row>
    <row r="4481" spans="1:6" x14ac:dyDescent="0.25">
      <c r="A4481" s="10">
        <v>43306</v>
      </c>
      <c r="B4481" s="12">
        <f t="shared" si="207"/>
        <v>7</v>
      </c>
      <c r="C4481" s="12">
        <f t="shared" si="208"/>
        <v>2018</v>
      </c>
      <c r="E4481" s="13">
        <v>62.783000000000001</v>
      </c>
      <c r="F4481" s="13" t="str">
        <f t="shared" si="209"/>
        <v/>
      </c>
    </row>
    <row r="4482" spans="1:6" x14ac:dyDescent="0.25">
      <c r="A4482" s="10">
        <v>43307</v>
      </c>
      <c r="B4482" s="12">
        <f t="shared" si="207"/>
        <v>7</v>
      </c>
      <c r="C4482" s="12">
        <f t="shared" si="208"/>
        <v>2018</v>
      </c>
      <c r="E4482" s="13">
        <v>62.927700000000002</v>
      </c>
      <c r="F4482" s="13" t="str">
        <f t="shared" si="209"/>
        <v/>
      </c>
    </row>
    <row r="4483" spans="1:6" x14ac:dyDescent="0.25">
      <c r="A4483" s="10">
        <v>43308</v>
      </c>
      <c r="B4483" s="12">
        <f t="shared" ref="B4483:B4546" si="210">MONTH(A4483)</f>
        <v>7</v>
      </c>
      <c r="C4483" s="12">
        <f t="shared" ref="C4483:C4546" si="211">YEAR(A4483)</f>
        <v>2018</v>
      </c>
      <c r="E4483" s="13">
        <v>62.7395</v>
      </c>
      <c r="F4483" s="13" t="str">
        <f t="shared" ref="F4483:F4546" si="212">IF(D4483="","",D4483/E4483)</f>
        <v/>
      </c>
    </row>
    <row r="4484" spans="1:6" x14ac:dyDescent="0.25">
      <c r="A4484" s="10">
        <v>43311</v>
      </c>
      <c r="B4484" s="12">
        <f t="shared" si="210"/>
        <v>7</v>
      </c>
      <c r="C4484" s="12">
        <f t="shared" si="211"/>
        <v>2018</v>
      </c>
      <c r="E4484" s="13">
        <v>62.218000000000004</v>
      </c>
      <c r="F4484" s="13" t="str">
        <f t="shared" si="212"/>
        <v/>
      </c>
    </row>
    <row r="4485" spans="1:6" x14ac:dyDescent="0.25">
      <c r="A4485" s="10">
        <v>43312</v>
      </c>
      <c r="B4485" s="12">
        <f t="shared" si="210"/>
        <v>7</v>
      </c>
      <c r="C4485" s="12">
        <f t="shared" si="211"/>
        <v>2018</v>
      </c>
      <c r="E4485" s="13">
        <v>62.496000000000002</v>
      </c>
      <c r="F4485" s="13" t="str">
        <f t="shared" si="212"/>
        <v/>
      </c>
    </row>
    <row r="4486" spans="1:6" x14ac:dyDescent="0.25">
      <c r="A4486" s="10">
        <v>43313</v>
      </c>
      <c r="B4486" s="12">
        <f t="shared" si="210"/>
        <v>8</v>
      </c>
      <c r="C4486" s="12">
        <f t="shared" si="211"/>
        <v>2018</v>
      </c>
      <c r="E4486" s="13">
        <v>63.002499999999998</v>
      </c>
      <c r="F4486" s="13" t="str">
        <f t="shared" si="212"/>
        <v/>
      </c>
    </row>
    <row r="4487" spans="1:6" x14ac:dyDescent="0.25">
      <c r="A4487" s="10">
        <v>43314</v>
      </c>
      <c r="B4487" s="12">
        <f t="shared" si="210"/>
        <v>8</v>
      </c>
      <c r="C4487" s="12">
        <f t="shared" si="211"/>
        <v>2018</v>
      </c>
      <c r="E4487" s="13">
        <v>63.327500000000001</v>
      </c>
      <c r="F4487" s="13" t="str">
        <f t="shared" si="212"/>
        <v/>
      </c>
    </row>
    <row r="4488" spans="1:6" x14ac:dyDescent="0.25">
      <c r="A4488" s="10">
        <v>43315</v>
      </c>
      <c r="B4488" s="12">
        <f t="shared" si="210"/>
        <v>8</v>
      </c>
      <c r="C4488" s="12">
        <f t="shared" si="211"/>
        <v>2018</v>
      </c>
      <c r="E4488" s="13">
        <v>63.297499999999999</v>
      </c>
      <c r="F4488" s="13" t="str">
        <f t="shared" si="212"/>
        <v/>
      </c>
    </row>
    <row r="4489" spans="1:6" x14ac:dyDescent="0.25">
      <c r="A4489" s="10">
        <v>43318</v>
      </c>
      <c r="B4489" s="12">
        <f t="shared" si="210"/>
        <v>8</v>
      </c>
      <c r="C4489" s="12">
        <f t="shared" si="211"/>
        <v>2018</v>
      </c>
      <c r="E4489" s="13">
        <v>63.726999999999997</v>
      </c>
      <c r="F4489" s="13" t="str">
        <f t="shared" si="212"/>
        <v/>
      </c>
    </row>
    <row r="4490" spans="1:6" x14ac:dyDescent="0.25">
      <c r="A4490" s="10">
        <v>43319</v>
      </c>
      <c r="B4490" s="12">
        <f t="shared" si="210"/>
        <v>8</v>
      </c>
      <c r="C4490" s="12">
        <f t="shared" si="211"/>
        <v>2018</v>
      </c>
      <c r="E4490" s="13">
        <v>63.465000000000003</v>
      </c>
      <c r="F4490" s="13" t="str">
        <f t="shared" si="212"/>
        <v/>
      </c>
    </row>
    <row r="4491" spans="1:6" x14ac:dyDescent="0.25">
      <c r="A4491" s="10">
        <v>43320</v>
      </c>
      <c r="B4491" s="12">
        <f t="shared" si="210"/>
        <v>8</v>
      </c>
      <c r="C4491" s="12">
        <f t="shared" si="211"/>
        <v>2018</v>
      </c>
      <c r="E4491" s="13">
        <v>65.569000000000003</v>
      </c>
      <c r="F4491" s="13" t="str">
        <f t="shared" si="212"/>
        <v/>
      </c>
    </row>
    <row r="4492" spans="1:6" x14ac:dyDescent="0.25">
      <c r="A4492" s="10">
        <v>43321</v>
      </c>
      <c r="B4492" s="12">
        <f t="shared" si="210"/>
        <v>8</v>
      </c>
      <c r="C4492" s="12">
        <f t="shared" si="211"/>
        <v>2018</v>
      </c>
      <c r="E4492" s="13">
        <v>66.64</v>
      </c>
      <c r="F4492" s="13" t="str">
        <f t="shared" si="212"/>
        <v/>
      </c>
    </row>
    <row r="4493" spans="1:6" x14ac:dyDescent="0.25">
      <c r="A4493" s="10">
        <v>43322</v>
      </c>
      <c r="B4493" s="12">
        <f t="shared" si="210"/>
        <v>8</v>
      </c>
      <c r="C4493" s="12">
        <f t="shared" si="211"/>
        <v>2018</v>
      </c>
      <c r="E4493" s="13">
        <v>67.675899999999999</v>
      </c>
      <c r="F4493" s="13" t="str">
        <f t="shared" si="212"/>
        <v/>
      </c>
    </row>
    <row r="4494" spans="1:6" x14ac:dyDescent="0.25">
      <c r="A4494" s="10">
        <v>43325</v>
      </c>
      <c r="B4494" s="12">
        <f t="shared" si="210"/>
        <v>8</v>
      </c>
      <c r="C4494" s="12">
        <f t="shared" si="211"/>
        <v>2018</v>
      </c>
      <c r="E4494" s="13">
        <v>67.765299999999996</v>
      </c>
      <c r="F4494" s="13" t="str">
        <f t="shared" si="212"/>
        <v/>
      </c>
    </row>
    <row r="4495" spans="1:6" x14ac:dyDescent="0.25">
      <c r="A4495" s="10">
        <v>43326</v>
      </c>
      <c r="B4495" s="12">
        <f t="shared" si="210"/>
        <v>8</v>
      </c>
      <c r="C4495" s="12">
        <f t="shared" si="211"/>
        <v>2018</v>
      </c>
      <c r="E4495" s="13">
        <v>66.271500000000003</v>
      </c>
      <c r="F4495" s="13" t="str">
        <f t="shared" si="212"/>
        <v/>
      </c>
    </row>
    <row r="4496" spans="1:6" x14ac:dyDescent="0.25">
      <c r="A4496" s="10">
        <v>43327</v>
      </c>
      <c r="B4496" s="12">
        <f t="shared" si="210"/>
        <v>8</v>
      </c>
      <c r="C4496" s="12">
        <f t="shared" si="211"/>
        <v>2018</v>
      </c>
      <c r="E4496" s="13">
        <v>67.262</v>
      </c>
      <c r="F4496" s="13" t="str">
        <f t="shared" si="212"/>
        <v/>
      </c>
    </row>
    <row r="4497" spans="1:6" x14ac:dyDescent="0.25">
      <c r="A4497" s="10">
        <v>43328</v>
      </c>
      <c r="B4497" s="12">
        <f t="shared" si="210"/>
        <v>8</v>
      </c>
      <c r="C4497" s="12">
        <f t="shared" si="211"/>
        <v>2018</v>
      </c>
      <c r="E4497" s="13">
        <v>66.820499999999996</v>
      </c>
      <c r="F4497" s="13" t="str">
        <f t="shared" si="212"/>
        <v/>
      </c>
    </row>
    <row r="4498" spans="1:6" x14ac:dyDescent="0.25">
      <c r="A4498" s="10">
        <v>43329</v>
      </c>
      <c r="B4498" s="12">
        <f t="shared" si="210"/>
        <v>8</v>
      </c>
      <c r="C4498" s="12">
        <f t="shared" si="211"/>
        <v>2018</v>
      </c>
      <c r="E4498" s="13">
        <v>66.972499999999997</v>
      </c>
      <c r="F4498" s="13" t="str">
        <f t="shared" si="212"/>
        <v/>
      </c>
    </row>
    <row r="4499" spans="1:6" x14ac:dyDescent="0.25">
      <c r="A4499" s="10">
        <v>43332</v>
      </c>
      <c r="B4499" s="12">
        <f t="shared" si="210"/>
        <v>8</v>
      </c>
      <c r="C4499" s="12">
        <f t="shared" si="211"/>
        <v>2018</v>
      </c>
      <c r="E4499" s="13">
        <v>66.956000000000003</v>
      </c>
      <c r="F4499" s="13" t="str">
        <f t="shared" si="212"/>
        <v/>
      </c>
    </row>
    <row r="4500" spans="1:6" x14ac:dyDescent="0.25">
      <c r="A4500" s="10">
        <v>43333</v>
      </c>
      <c r="B4500" s="12">
        <f t="shared" si="210"/>
        <v>8</v>
      </c>
      <c r="C4500" s="12">
        <f t="shared" si="211"/>
        <v>2018</v>
      </c>
      <c r="E4500" s="13">
        <v>67.188000000000002</v>
      </c>
      <c r="F4500" s="13" t="str">
        <f t="shared" si="212"/>
        <v/>
      </c>
    </row>
    <row r="4501" spans="1:6" x14ac:dyDescent="0.25">
      <c r="A4501" s="10">
        <v>43334</v>
      </c>
      <c r="B4501" s="12">
        <f t="shared" si="210"/>
        <v>8</v>
      </c>
      <c r="C4501" s="12">
        <f t="shared" si="211"/>
        <v>2018</v>
      </c>
      <c r="E4501" s="13">
        <v>68.033000000000001</v>
      </c>
      <c r="F4501" s="13" t="str">
        <f t="shared" si="212"/>
        <v/>
      </c>
    </row>
    <row r="4502" spans="1:6" x14ac:dyDescent="0.25">
      <c r="A4502" s="10">
        <v>43335</v>
      </c>
      <c r="B4502" s="12">
        <f t="shared" si="210"/>
        <v>8</v>
      </c>
      <c r="C4502" s="12">
        <f t="shared" si="211"/>
        <v>2018</v>
      </c>
      <c r="E4502" s="13">
        <v>68.217500000000001</v>
      </c>
      <c r="F4502" s="13" t="str">
        <f t="shared" si="212"/>
        <v/>
      </c>
    </row>
    <row r="4503" spans="1:6" x14ac:dyDescent="0.25">
      <c r="A4503" s="10">
        <v>43336</v>
      </c>
      <c r="B4503" s="12">
        <f t="shared" si="210"/>
        <v>8</v>
      </c>
      <c r="C4503" s="12">
        <f t="shared" si="211"/>
        <v>2018</v>
      </c>
      <c r="E4503" s="13">
        <v>67.048500000000004</v>
      </c>
      <c r="F4503" s="13" t="str">
        <f t="shared" si="212"/>
        <v/>
      </c>
    </row>
    <row r="4504" spans="1:6" x14ac:dyDescent="0.25">
      <c r="A4504" s="10">
        <v>43339</v>
      </c>
      <c r="B4504" s="12">
        <f t="shared" si="210"/>
        <v>8</v>
      </c>
      <c r="C4504" s="12">
        <f t="shared" si="211"/>
        <v>2018</v>
      </c>
      <c r="E4504" s="13">
        <v>67.382999999999996</v>
      </c>
      <c r="F4504" s="13" t="str">
        <f t="shared" si="212"/>
        <v/>
      </c>
    </row>
    <row r="4505" spans="1:6" x14ac:dyDescent="0.25">
      <c r="A4505" s="10">
        <v>43340</v>
      </c>
      <c r="B4505" s="12">
        <f t="shared" si="210"/>
        <v>8</v>
      </c>
      <c r="C4505" s="12">
        <f t="shared" si="211"/>
        <v>2018</v>
      </c>
      <c r="E4505" s="13">
        <v>67.865499999999997</v>
      </c>
      <c r="F4505" s="13" t="str">
        <f t="shared" si="212"/>
        <v/>
      </c>
    </row>
    <row r="4506" spans="1:6" x14ac:dyDescent="0.25">
      <c r="A4506" s="10">
        <v>43341</v>
      </c>
      <c r="B4506" s="12">
        <f t="shared" si="210"/>
        <v>8</v>
      </c>
      <c r="C4506" s="12">
        <f t="shared" si="211"/>
        <v>2018</v>
      </c>
      <c r="E4506" s="13">
        <v>67.857500000000002</v>
      </c>
      <c r="F4506" s="13" t="str">
        <f t="shared" si="212"/>
        <v/>
      </c>
    </row>
    <row r="4507" spans="1:6" x14ac:dyDescent="0.25">
      <c r="A4507" s="10">
        <v>43342</v>
      </c>
      <c r="B4507" s="12">
        <f t="shared" si="210"/>
        <v>8</v>
      </c>
      <c r="C4507" s="12">
        <f t="shared" si="211"/>
        <v>2018</v>
      </c>
      <c r="E4507" s="13">
        <v>68.203900000000004</v>
      </c>
      <c r="F4507" s="13" t="str">
        <f t="shared" si="212"/>
        <v/>
      </c>
    </row>
    <row r="4508" spans="1:6" x14ac:dyDescent="0.25">
      <c r="A4508" s="10">
        <v>43343</v>
      </c>
      <c r="B4508" s="12">
        <f t="shared" si="210"/>
        <v>8</v>
      </c>
      <c r="C4508" s="12">
        <f t="shared" si="211"/>
        <v>2018</v>
      </c>
      <c r="E4508" s="13">
        <v>67.471500000000006</v>
      </c>
      <c r="F4508" s="13" t="str">
        <f t="shared" si="212"/>
        <v/>
      </c>
    </row>
    <row r="4509" spans="1:6" x14ac:dyDescent="0.25">
      <c r="A4509" s="10">
        <v>43347</v>
      </c>
      <c r="B4509" s="12">
        <f t="shared" si="210"/>
        <v>9</v>
      </c>
      <c r="C4509" s="12">
        <f t="shared" si="211"/>
        <v>2018</v>
      </c>
      <c r="E4509" s="13">
        <v>68.069500000000005</v>
      </c>
      <c r="F4509" s="13" t="str">
        <f t="shared" si="212"/>
        <v/>
      </c>
    </row>
    <row r="4510" spans="1:6" x14ac:dyDescent="0.25">
      <c r="A4510" s="10">
        <v>43348</v>
      </c>
      <c r="B4510" s="12">
        <f t="shared" si="210"/>
        <v>9</v>
      </c>
      <c r="C4510" s="12">
        <f t="shared" si="211"/>
        <v>2018</v>
      </c>
      <c r="E4510" s="13">
        <v>68.191000000000003</v>
      </c>
      <c r="F4510" s="13" t="str">
        <f t="shared" si="212"/>
        <v/>
      </c>
    </row>
    <row r="4511" spans="1:6" x14ac:dyDescent="0.25">
      <c r="A4511" s="10">
        <v>43349</v>
      </c>
      <c r="B4511" s="12">
        <f t="shared" si="210"/>
        <v>9</v>
      </c>
      <c r="C4511" s="12">
        <f t="shared" si="211"/>
        <v>2018</v>
      </c>
      <c r="E4511" s="13">
        <v>69.196600000000004</v>
      </c>
      <c r="F4511" s="13" t="str">
        <f t="shared" si="212"/>
        <v/>
      </c>
    </row>
    <row r="4512" spans="1:6" x14ac:dyDescent="0.25">
      <c r="A4512" s="10">
        <v>43350</v>
      </c>
      <c r="B4512" s="12">
        <f t="shared" si="210"/>
        <v>9</v>
      </c>
      <c r="C4512" s="12">
        <f t="shared" si="211"/>
        <v>2018</v>
      </c>
      <c r="E4512" s="13">
        <v>69.873999999999995</v>
      </c>
      <c r="F4512" s="13" t="str">
        <f t="shared" si="212"/>
        <v/>
      </c>
    </row>
    <row r="4513" spans="1:6" x14ac:dyDescent="0.25">
      <c r="A4513" s="10">
        <v>43353</v>
      </c>
      <c r="B4513" s="12">
        <f t="shared" si="210"/>
        <v>9</v>
      </c>
      <c r="C4513" s="12">
        <f t="shared" si="211"/>
        <v>2018</v>
      </c>
      <c r="D4513" s="13">
        <v>20500</v>
      </c>
      <c r="E4513" s="13">
        <v>70.52</v>
      </c>
      <c r="F4513" s="13">
        <f t="shared" si="212"/>
        <v>290.69767441860466</v>
      </c>
    </row>
    <row r="4514" spans="1:6" x14ac:dyDescent="0.25">
      <c r="A4514" s="10">
        <v>43354</v>
      </c>
      <c r="B4514" s="12">
        <f t="shared" si="210"/>
        <v>9</v>
      </c>
      <c r="C4514" s="12">
        <f t="shared" si="211"/>
        <v>2018</v>
      </c>
      <c r="D4514" s="13">
        <v>20500</v>
      </c>
      <c r="E4514" s="13">
        <v>69.378200000000007</v>
      </c>
      <c r="F4514" s="13">
        <f t="shared" si="212"/>
        <v>295.48186606167354</v>
      </c>
    </row>
    <row r="4515" spans="1:6" x14ac:dyDescent="0.25">
      <c r="A4515" s="10">
        <v>43355</v>
      </c>
      <c r="B4515" s="12">
        <f t="shared" si="210"/>
        <v>9</v>
      </c>
      <c r="C4515" s="12">
        <f t="shared" si="211"/>
        <v>2018</v>
      </c>
      <c r="D4515" s="13">
        <v>20500</v>
      </c>
      <c r="E4515" s="13">
        <v>68.944800000000001</v>
      </c>
      <c r="F4515" s="13">
        <f t="shared" si="212"/>
        <v>297.33932073194785</v>
      </c>
    </row>
    <row r="4516" spans="1:6" x14ac:dyDescent="0.25">
      <c r="A4516" s="10">
        <v>43356</v>
      </c>
      <c r="B4516" s="12">
        <f t="shared" si="210"/>
        <v>9</v>
      </c>
      <c r="C4516" s="12">
        <f t="shared" si="211"/>
        <v>2018</v>
      </c>
      <c r="D4516" s="13">
        <v>20500</v>
      </c>
      <c r="E4516" s="13">
        <v>68.192300000000003</v>
      </c>
      <c r="F4516" s="13">
        <f t="shared" si="212"/>
        <v>300.62045128262281</v>
      </c>
    </row>
    <row r="4517" spans="1:6" x14ac:dyDescent="0.25">
      <c r="A4517" s="10">
        <v>43357</v>
      </c>
      <c r="B4517" s="12">
        <f t="shared" si="210"/>
        <v>9</v>
      </c>
      <c r="C4517" s="12">
        <f t="shared" si="211"/>
        <v>2018</v>
      </c>
      <c r="D4517" s="13">
        <v>20500</v>
      </c>
      <c r="E4517" s="13">
        <v>68.016999999999996</v>
      </c>
      <c r="F4517" s="13">
        <f t="shared" si="212"/>
        <v>301.39523942543775</v>
      </c>
    </row>
    <row r="4518" spans="1:6" x14ac:dyDescent="0.25">
      <c r="A4518" s="10">
        <v>43360</v>
      </c>
      <c r="B4518" s="12">
        <f t="shared" si="210"/>
        <v>9</v>
      </c>
      <c r="C4518" s="12">
        <f t="shared" si="211"/>
        <v>2018</v>
      </c>
      <c r="D4518" s="13">
        <v>20500</v>
      </c>
      <c r="E4518" s="13">
        <v>68.069500000000005</v>
      </c>
      <c r="F4518" s="13">
        <f t="shared" si="212"/>
        <v>301.16278215647242</v>
      </c>
    </row>
    <row r="4519" spans="1:6" x14ac:dyDescent="0.25">
      <c r="A4519" s="10">
        <v>43361</v>
      </c>
      <c r="B4519" s="12">
        <f t="shared" si="210"/>
        <v>9</v>
      </c>
      <c r="C4519" s="12">
        <f t="shared" si="211"/>
        <v>2018</v>
      </c>
      <c r="D4519" s="13">
        <v>20500</v>
      </c>
      <c r="E4519" s="13">
        <v>67.284999999999997</v>
      </c>
      <c r="F4519" s="13">
        <f t="shared" si="212"/>
        <v>304.67414728394147</v>
      </c>
    </row>
    <row r="4520" spans="1:6" x14ac:dyDescent="0.25">
      <c r="A4520" s="10">
        <v>43362</v>
      </c>
      <c r="B4520" s="12">
        <f t="shared" si="210"/>
        <v>9</v>
      </c>
      <c r="C4520" s="12">
        <f t="shared" si="211"/>
        <v>2018</v>
      </c>
      <c r="D4520" s="13">
        <v>20500</v>
      </c>
      <c r="E4520" s="13">
        <v>66.686199999999999</v>
      </c>
      <c r="F4520" s="13">
        <f t="shared" si="212"/>
        <v>307.40992889083498</v>
      </c>
    </row>
    <row r="4521" spans="1:6" x14ac:dyDescent="0.25">
      <c r="A4521" s="10">
        <v>43363</v>
      </c>
      <c r="B4521" s="12">
        <f t="shared" si="210"/>
        <v>9</v>
      </c>
      <c r="C4521" s="12">
        <f t="shared" si="211"/>
        <v>2018</v>
      </c>
      <c r="D4521" s="13">
        <v>20500</v>
      </c>
      <c r="E4521" s="13">
        <v>66.326400000000007</v>
      </c>
      <c r="F4521" s="13">
        <f t="shared" si="212"/>
        <v>309.0775317219086</v>
      </c>
    </row>
    <row r="4522" spans="1:6" x14ac:dyDescent="0.25">
      <c r="A4522" s="10">
        <v>43364</v>
      </c>
      <c r="B4522" s="12">
        <f t="shared" si="210"/>
        <v>9</v>
      </c>
      <c r="C4522" s="12">
        <f t="shared" si="211"/>
        <v>2018</v>
      </c>
      <c r="D4522" s="13">
        <v>20500</v>
      </c>
      <c r="E4522" s="13">
        <v>66.4405</v>
      </c>
      <c r="F4522" s="13">
        <f t="shared" si="212"/>
        <v>308.54674483184203</v>
      </c>
    </row>
    <row r="4523" spans="1:6" x14ac:dyDescent="0.25">
      <c r="A4523" s="10">
        <v>43367</v>
      </c>
      <c r="B4523" s="12">
        <f t="shared" si="210"/>
        <v>9</v>
      </c>
      <c r="C4523" s="12">
        <f t="shared" si="211"/>
        <v>2018</v>
      </c>
      <c r="D4523" s="13">
        <v>20350</v>
      </c>
      <c r="E4523" s="13">
        <v>65.88</v>
      </c>
      <c r="F4523" s="13">
        <f t="shared" si="212"/>
        <v>308.8949605343048</v>
      </c>
    </row>
    <row r="4524" spans="1:6" x14ac:dyDescent="0.25">
      <c r="A4524" s="10">
        <v>43368</v>
      </c>
      <c r="B4524" s="12">
        <f t="shared" si="210"/>
        <v>9</v>
      </c>
      <c r="C4524" s="12">
        <f t="shared" si="211"/>
        <v>2018</v>
      </c>
      <c r="D4524" s="13">
        <v>20350</v>
      </c>
      <c r="E4524" s="13">
        <v>65.820999999999998</v>
      </c>
      <c r="F4524" s="13">
        <f t="shared" si="212"/>
        <v>309.17184485194696</v>
      </c>
    </row>
    <row r="4525" spans="1:6" x14ac:dyDescent="0.25">
      <c r="A4525" s="10">
        <v>43369</v>
      </c>
      <c r="B4525" s="12">
        <f t="shared" si="210"/>
        <v>9</v>
      </c>
      <c r="C4525" s="12">
        <f t="shared" si="211"/>
        <v>2018</v>
      </c>
      <c r="D4525" s="13">
        <v>20350</v>
      </c>
      <c r="E4525" s="13">
        <v>65.864999999999995</v>
      </c>
      <c r="F4525" s="13">
        <f t="shared" si="212"/>
        <v>308.96530782661506</v>
      </c>
    </row>
    <row r="4526" spans="1:6" x14ac:dyDescent="0.25">
      <c r="A4526" s="10">
        <v>43370</v>
      </c>
      <c r="B4526" s="12">
        <f t="shared" si="210"/>
        <v>9</v>
      </c>
      <c r="C4526" s="12">
        <f t="shared" si="211"/>
        <v>2018</v>
      </c>
      <c r="D4526" s="13">
        <v>20350</v>
      </c>
      <c r="E4526" s="13">
        <v>65.593999999999994</v>
      </c>
      <c r="F4526" s="13">
        <f t="shared" si="212"/>
        <v>310.24179040765927</v>
      </c>
    </row>
    <row r="4527" spans="1:6" x14ac:dyDescent="0.25">
      <c r="A4527" s="10">
        <v>43371</v>
      </c>
      <c r="B4527" s="12">
        <f t="shared" si="210"/>
        <v>9</v>
      </c>
      <c r="C4527" s="12">
        <f t="shared" si="211"/>
        <v>2018</v>
      </c>
      <c r="D4527" s="13">
        <v>20350</v>
      </c>
      <c r="E4527" s="13">
        <v>65.574799999999996</v>
      </c>
      <c r="F4527" s="13">
        <f t="shared" si="212"/>
        <v>310.33262777774388</v>
      </c>
    </row>
    <row r="4528" spans="1:6" x14ac:dyDescent="0.25">
      <c r="A4528" s="10">
        <v>43374</v>
      </c>
      <c r="B4528" s="12">
        <f t="shared" si="210"/>
        <v>10</v>
      </c>
      <c r="C4528" s="12">
        <f t="shared" si="211"/>
        <v>2018</v>
      </c>
      <c r="D4528" s="13">
        <v>20300</v>
      </c>
      <c r="E4528" s="13">
        <v>64.999600000000001</v>
      </c>
      <c r="F4528" s="13">
        <f t="shared" si="212"/>
        <v>312.30961421301055</v>
      </c>
    </row>
    <row r="4529" spans="1:6" x14ac:dyDescent="0.25">
      <c r="A4529" s="10">
        <v>43375</v>
      </c>
      <c r="B4529" s="12">
        <f t="shared" si="210"/>
        <v>10</v>
      </c>
      <c r="C4529" s="12">
        <f t="shared" si="211"/>
        <v>2018</v>
      </c>
      <c r="D4529" s="13">
        <v>20300</v>
      </c>
      <c r="E4529" s="13">
        <v>65.438800000000001</v>
      </c>
      <c r="F4529" s="13">
        <f t="shared" si="212"/>
        <v>310.21351247272258</v>
      </c>
    </row>
    <row r="4530" spans="1:6" x14ac:dyDescent="0.25">
      <c r="A4530" s="10">
        <v>43376</v>
      </c>
      <c r="B4530" s="12">
        <f t="shared" si="210"/>
        <v>10</v>
      </c>
      <c r="C4530" s="12">
        <f t="shared" si="211"/>
        <v>2018</v>
      </c>
      <c r="D4530" s="13">
        <v>20300</v>
      </c>
      <c r="E4530" s="13">
        <v>65.877499999999998</v>
      </c>
      <c r="F4530" s="13">
        <f t="shared" si="212"/>
        <v>308.14769837956817</v>
      </c>
    </row>
    <row r="4531" spans="1:6" x14ac:dyDescent="0.25">
      <c r="A4531" s="10">
        <v>43377</v>
      </c>
      <c r="B4531" s="12">
        <f t="shared" si="210"/>
        <v>10</v>
      </c>
      <c r="C4531" s="12">
        <f t="shared" si="211"/>
        <v>2018</v>
      </c>
      <c r="D4531" s="13">
        <v>20300</v>
      </c>
      <c r="E4531" s="13">
        <v>66.978499999999997</v>
      </c>
      <c r="F4531" s="13">
        <f t="shared" si="212"/>
        <v>303.08233239024463</v>
      </c>
    </row>
    <row r="4532" spans="1:6" x14ac:dyDescent="0.25">
      <c r="A4532" s="10">
        <v>43378</v>
      </c>
      <c r="B4532" s="12">
        <f t="shared" si="210"/>
        <v>10</v>
      </c>
      <c r="C4532" s="12">
        <f t="shared" si="211"/>
        <v>2018</v>
      </c>
      <c r="D4532" s="13">
        <v>20300</v>
      </c>
      <c r="E4532" s="13">
        <v>66.62</v>
      </c>
      <c r="F4532" s="13">
        <f t="shared" si="212"/>
        <v>304.71329930951663</v>
      </c>
    </row>
    <row r="4533" spans="1:6" x14ac:dyDescent="0.25">
      <c r="A4533" s="10">
        <v>43381</v>
      </c>
      <c r="B4533" s="12">
        <f t="shared" si="210"/>
        <v>10</v>
      </c>
      <c r="C4533" s="12">
        <f t="shared" si="211"/>
        <v>2018</v>
      </c>
      <c r="D4533" s="13">
        <v>20000</v>
      </c>
      <c r="E4533" s="13">
        <v>66.581400000000002</v>
      </c>
      <c r="F4533" s="13">
        <f t="shared" si="212"/>
        <v>300.38419138077603</v>
      </c>
    </row>
    <row r="4534" spans="1:6" x14ac:dyDescent="0.25">
      <c r="A4534" s="10">
        <v>43382</v>
      </c>
      <c r="B4534" s="12">
        <f t="shared" si="210"/>
        <v>10</v>
      </c>
      <c r="C4534" s="12">
        <f t="shared" si="211"/>
        <v>2018</v>
      </c>
      <c r="D4534" s="13">
        <v>20000</v>
      </c>
      <c r="E4534" s="13">
        <v>66.217500000000001</v>
      </c>
      <c r="F4534" s="13">
        <f t="shared" si="212"/>
        <v>302.03496054668329</v>
      </c>
    </row>
    <row r="4535" spans="1:6" x14ac:dyDescent="0.25">
      <c r="A4535" s="10">
        <v>43383</v>
      </c>
      <c r="B4535" s="12">
        <f t="shared" si="210"/>
        <v>10</v>
      </c>
      <c r="C4535" s="12">
        <f t="shared" si="211"/>
        <v>2018</v>
      </c>
      <c r="D4535" s="13">
        <v>20000</v>
      </c>
      <c r="E4535" s="13">
        <v>66.867500000000007</v>
      </c>
      <c r="F4535" s="13">
        <f t="shared" si="212"/>
        <v>299.09896436983581</v>
      </c>
    </row>
    <row r="4536" spans="1:6" x14ac:dyDescent="0.25">
      <c r="A4536" s="10">
        <v>43384</v>
      </c>
      <c r="B4536" s="12">
        <f t="shared" si="210"/>
        <v>10</v>
      </c>
      <c r="C4536" s="12">
        <f t="shared" si="211"/>
        <v>2018</v>
      </c>
      <c r="D4536" s="13">
        <v>20000</v>
      </c>
      <c r="E4536" s="13">
        <v>66.288799999999995</v>
      </c>
      <c r="F4536" s="13">
        <f t="shared" si="212"/>
        <v>301.71009280602459</v>
      </c>
    </row>
    <row r="4537" spans="1:6" x14ac:dyDescent="0.25">
      <c r="A4537" s="10">
        <v>43385</v>
      </c>
      <c r="B4537" s="12">
        <f t="shared" si="210"/>
        <v>10</v>
      </c>
      <c r="C4537" s="12">
        <f t="shared" si="211"/>
        <v>2018</v>
      </c>
      <c r="D4537" s="13">
        <v>20000</v>
      </c>
      <c r="E4537" s="13">
        <v>66.034999999999997</v>
      </c>
      <c r="F4537" s="13">
        <f t="shared" si="212"/>
        <v>302.86969031574165</v>
      </c>
    </row>
    <row r="4538" spans="1:6" x14ac:dyDescent="0.25">
      <c r="A4538" s="10">
        <v>43388</v>
      </c>
      <c r="B4538" s="12">
        <f t="shared" si="210"/>
        <v>10</v>
      </c>
      <c r="C4538" s="12">
        <f t="shared" si="211"/>
        <v>2018</v>
      </c>
      <c r="D4538" s="13">
        <v>19750</v>
      </c>
      <c r="E4538" s="13">
        <v>65.63</v>
      </c>
      <c r="F4538" s="13">
        <f t="shared" si="212"/>
        <v>300.92945299405761</v>
      </c>
    </row>
    <row r="4539" spans="1:6" x14ac:dyDescent="0.25">
      <c r="A4539" s="10">
        <v>43389</v>
      </c>
      <c r="B4539" s="12">
        <f t="shared" si="210"/>
        <v>10</v>
      </c>
      <c r="C4539" s="12">
        <f t="shared" si="211"/>
        <v>2018</v>
      </c>
      <c r="D4539" s="13">
        <v>19750</v>
      </c>
      <c r="E4539" s="13">
        <v>65.348799999999997</v>
      </c>
      <c r="F4539" s="13">
        <f t="shared" si="212"/>
        <v>302.22437137330758</v>
      </c>
    </row>
    <row r="4540" spans="1:6" x14ac:dyDescent="0.25">
      <c r="A4540" s="10">
        <v>43390</v>
      </c>
      <c r="B4540" s="12">
        <f t="shared" si="210"/>
        <v>10</v>
      </c>
      <c r="C4540" s="12">
        <f t="shared" si="211"/>
        <v>2018</v>
      </c>
      <c r="D4540" s="13">
        <v>19750</v>
      </c>
      <c r="E4540" s="13">
        <v>65.507499999999993</v>
      </c>
      <c r="F4540" s="13">
        <f t="shared" si="212"/>
        <v>301.49219555012786</v>
      </c>
    </row>
    <row r="4541" spans="1:6" x14ac:dyDescent="0.25">
      <c r="A4541" s="10">
        <v>43391</v>
      </c>
      <c r="B4541" s="12">
        <f t="shared" si="210"/>
        <v>10</v>
      </c>
      <c r="C4541" s="12">
        <f t="shared" si="211"/>
        <v>2018</v>
      </c>
      <c r="D4541" s="13">
        <v>19750</v>
      </c>
      <c r="E4541" s="13">
        <v>65.790000000000006</v>
      </c>
      <c r="F4541" s="13">
        <f t="shared" si="212"/>
        <v>300.19759841921262</v>
      </c>
    </row>
    <row r="4542" spans="1:6" x14ac:dyDescent="0.25">
      <c r="A4542" s="10">
        <v>43392</v>
      </c>
      <c r="B4542" s="12">
        <f t="shared" si="210"/>
        <v>10</v>
      </c>
      <c r="C4542" s="12">
        <f t="shared" si="211"/>
        <v>2018</v>
      </c>
      <c r="D4542" s="13">
        <v>19750</v>
      </c>
      <c r="E4542" s="13">
        <v>65.463200000000001</v>
      </c>
      <c r="F4542" s="13">
        <f t="shared" si="212"/>
        <v>301.69622016644468</v>
      </c>
    </row>
    <row r="4543" spans="1:6" x14ac:dyDescent="0.25">
      <c r="A4543" s="10">
        <v>43395</v>
      </c>
      <c r="B4543" s="12">
        <f t="shared" si="210"/>
        <v>10</v>
      </c>
      <c r="C4543" s="12">
        <f t="shared" si="211"/>
        <v>2018</v>
      </c>
      <c r="D4543" s="13">
        <v>19750</v>
      </c>
      <c r="E4543" s="13">
        <v>65.1875</v>
      </c>
      <c r="F4543" s="13">
        <f t="shared" si="212"/>
        <v>302.97219558964525</v>
      </c>
    </row>
    <row r="4544" spans="1:6" x14ac:dyDescent="0.25">
      <c r="A4544" s="10">
        <v>43396</v>
      </c>
      <c r="B4544" s="12">
        <f t="shared" si="210"/>
        <v>10</v>
      </c>
      <c r="C4544" s="12">
        <f t="shared" si="211"/>
        <v>2018</v>
      </c>
      <c r="D4544" s="13">
        <v>19750</v>
      </c>
      <c r="E4544" s="13">
        <v>65.501300000000001</v>
      </c>
      <c r="F4544" s="13">
        <f t="shared" si="212"/>
        <v>301.5207331762881</v>
      </c>
    </row>
    <row r="4545" spans="1:6" x14ac:dyDescent="0.25">
      <c r="A4545" s="10">
        <v>43397</v>
      </c>
      <c r="B4545" s="12">
        <f t="shared" si="210"/>
        <v>10</v>
      </c>
      <c r="C4545" s="12">
        <f t="shared" si="211"/>
        <v>2018</v>
      </c>
      <c r="D4545" s="13">
        <v>19750</v>
      </c>
      <c r="E4545" s="13">
        <v>65.633799999999994</v>
      </c>
      <c r="F4545" s="13">
        <f t="shared" si="212"/>
        <v>300.91203008206139</v>
      </c>
    </row>
    <row r="4546" spans="1:6" x14ac:dyDescent="0.25">
      <c r="A4546" s="10">
        <v>43398</v>
      </c>
      <c r="B4546" s="12">
        <f t="shared" si="210"/>
        <v>10</v>
      </c>
      <c r="C4546" s="12">
        <f t="shared" si="211"/>
        <v>2018</v>
      </c>
      <c r="D4546" s="13">
        <v>19750</v>
      </c>
      <c r="E4546" s="13">
        <v>65.594999999999999</v>
      </c>
      <c r="F4546" s="13">
        <f t="shared" si="212"/>
        <v>301.09002210534339</v>
      </c>
    </row>
    <row r="4547" spans="1:6" x14ac:dyDescent="0.25">
      <c r="A4547" s="10">
        <v>43399</v>
      </c>
      <c r="B4547" s="12">
        <f t="shared" ref="B4547:B4610" si="213">MONTH(A4547)</f>
        <v>10</v>
      </c>
      <c r="C4547" s="12">
        <f t="shared" ref="C4547:C4610" si="214">YEAR(A4547)</f>
        <v>2018</v>
      </c>
      <c r="D4547" s="13">
        <v>19750</v>
      </c>
      <c r="E4547" s="13">
        <v>65.685500000000005</v>
      </c>
      <c r="F4547" s="13">
        <f t="shared" ref="F4547:F4610" si="215">IF(D4547="","",D4547/E4547)</f>
        <v>300.67518706563851</v>
      </c>
    </row>
    <row r="4548" spans="1:6" x14ac:dyDescent="0.25">
      <c r="A4548" s="10">
        <v>43402</v>
      </c>
      <c r="B4548" s="12">
        <f t="shared" si="213"/>
        <v>10</v>
      </c>
      <c r="C4548" s="12">
        <f t="shared" si="214"/>
        <v>2018</v>
      </c>
      <c r="D4548" s="13">
        <v>19250</v>
      </c>
      <c r="E4548" s="13">
        <v>65.812799999999996</v>
      </c>
      <c r="F4548" s="13">
        <f t="shared" si="215"/>
        <v>292.49629251452609</v>
      </c>
    </row>
    <row r="4549" spans="1:6" x14ac:dyDescent="0.25">
      <c r="A4549" s="10">
        <v>43403</v>
      </c>
      <c r="B4549" s="12">
        <f t="shared" si="213"/>
        <v>10</v>
      </c>
      <c r="C4549" s="12">
        <f t="shared" si="214"/>
        <v>2018</v>
      </c>
      <c r="D4549" s="13">
        <v>19250</v>
      </c>
      <c r="E4549" s="13">
        <v>65.456999999999994</v>
      </c>
      <c r="F4549" s="13">
        <f t="shared" si="215"/>
        <v>294.08619398994762</v>
      </c>
    </row>
    <row r="4550" spans="1:6" x14ac:dyDescent="0.25">
      <c r="A4550" s="10">
        <v>43404</v>
      </c>
      <c r="B4550" s="12">
        <f t="shared" si="213"/>
        <v>10</v>
      </c>
      <c r="C4550" s="12">
        <f t="shared" si="214"/>
        <v>2018</v>
      </c>
      <c r="D4550" s="13">
        <v>19250</v>
      </c>
      <c r="E4550" s="13">
        <v>65.864999999999995</v>
      </c>
      <c r="F4550" s="13">
        <f t="shared" si="215"/>
        <v>292.26448037652779</v>
      </c>
    </row>
    <row r="4551" spans="1:6" x14ac:dyDescent="0.25">
      <c r="A4551" s="10">
        <v>43405</v>
      </c>
      <c r="B4551" s="12">
        <f t="shared" si="213"/>
        <v>11</v>
      </c>
      <c r="C4551" s="12">
        <f t="shared" si="214"/>
        <v>2018</v>
      </c>
      <c r="D4551" s="13">
        <v>19250</v>
      </c>
      <c r="E4551" s="13">
        <v>65.6511</v>
      </c>
      <c r="F4551" s="13">
        <f t="shared" si="215"/>
        <v>293.21671685622937</v>
      </c>
    </row>
    <row r="4552" spans="1:6" x14ac:dyDescent="0.25">
      <c r="A4552" s="10">
        <v>43406</v>
      </c>
      <c r="B4552" s="12">
        <f t="shared" si="213"/>
        <v>11</v>
      </c>
      <c r="C4552" s="12">
        <f t="shared" si="214"/>
        <v>2018</v>
      </c>
      <c r="D4552" s="13">
        <v>19250</v>
      </c>
      <c r="E4552" s="13">
        <v>66.114800000000002</v>
      </c>
      <c r="F4552" s="13">
        <f t="shared" si="215"/>
        <v>291.16022433706217</v>
      </c>
    </row>
    <row r="4553" spans="1:6" x14ac:dyDescent="0.25">
      <c r="A4553" s="10">
        <v>43409</v>
      </c>
      <c r="B4553" s="12">
        <f t="shared" si="213"/>
        <v>11</v>
      </c>
      <c r="C4553" s="12">
        <f t="shared" si="214"/>
        <v>2018</v>
      </c>
      <c r="D4553" s="13">
        <v>18750</v>
      </c>
      <c r="E4553" s="13">
        <v>66.039000000000001</v>
      </c>
      <c r="F4553" s="13">
        <f t="shared" si="215"/>
        <v>283.92313632853313</v>
      </c>
    </row>
    <row r="4554" spans="1:6" x14ac:dyDescent="0.25">
      <c r="A4554" s="10">
        <v>43410</v>
      </c>
      <c r="B4554" s="12">
        <f t="shared" si="213"/>
        <v>11</v>
      </c>
      <c r="C4554" s="12">
        <f t="shared" si="214"/>
        <v>2018</v>
      </c>
      <c r="D4554" s="13">
        <v>18750</v>
      </c>
      <c r="E4554" s="13">
        <v>66.047499999999999</v>
      </c>
      <c r="F4554" s="13">
        <f t="shared" si="215"/>
        <v>283.88659676747795</v>
      </c>
    </row>
    <row r="4555" spans="1:6" x14ac:dyDescent="0.25">
      <c r="A4555" s="10">
        <v>43411</v>
      </c>
      <c r="B4555" s="12">
        <f t="shared" si="213"/>
        <v>11</v>
      </c>
      <c r="C4555" s="12">
        <f t="shared" si="214"/>
        <v>2018</v>
      </c>
      <c r="D4555" s="13">
        <v>18750</v>
      </c>
      <c r="E4555" s="13">
        <v>66.198800000000006</v>
      </c>
      <c r="F4555" s="13">
        <f t="shared" si="215"/>
        <v>283.23776261805347</v>
      </c>
    </row>
    <row r="4556" spans="1:6" x14ac:dyDescent="0.25">
      <c r="A4556" s="10">
        <v>43412</v>
      </c>
      <c r="B4556" s="12">
        <f t="shared" si="213"/>
        <v>11</v>
      </c>
      <c r="C4556" s="12">
        <f t="shared" si="214"/>
        <v>2018</v>
      </c>
      <c r="D4556" s="13">
        <v>18750</v>
      </c>
      <c r="E4556" s="13">
        <v>66.89</v>
      </c>
      <c r="F4556" s="13">
        <f t="shared" si="215"/>
        <v>280.3109582897294</v>
      </c>
    </row>
    <row r="4557" spans="1:6" x14ac:dyDescent="0.25">
      <c r="A4557" s="10">
        <v>43413</v>
      </c>
      <c r="B4557" s="12">
        <f t="shared" si="213"/>
        <v>11</v>
      </c>
      <c r="C4557" s="12">
        <f t="shared" si="214"/>
        <v>2018</v>
      </c>
      <c r="D4557" s="13">
        <v>18750</v>
      </c>
      <c r="E4557" s="13">
        <v>67.915000000000006</v>
      </c>
      <c r="F4557" s="13">
        <f t="shared" si="215"/>
        <v>276.08039461091067</v>
      </c>
    </row>
    <row r="4558" spans="1:6" x14ac:dyDescent="0.25">
      <c r="A4558" s="10">
        <v>43416</v>
      </c>
      <c r="B4558" s="12">
        <f t="shared" si="213"/>
        <v>11</v>
      </c>
      <c r="C4558" s="12">
        <f t="shared" si="214"/>
        <v>2018</v>
      </c>
      <c r="D4558" s="13">
        <v>18750</v>
      </c>
      <c r="E4558" s="13">
        <v>67.845799999999997</v>
      </c>
      <c r="F4558" s="13">
        <f t="shared" si="215"/>
        <v>276.36198556137595</v>
      </c>
    </row>
    <row r="4559" spans="1:6" x14ac:dyDescent="0.25">
      <c r="A4559" s="10">
        <v>43417</v>
      </c>
      <c r="B4559" s="12">
        <f t="shared" si="213"/>
        <v>11</v>
      </c>
      <c r="C4559" s="12">
        <f t="shared" si="214"/>
        <v>2018</v>
      </c>
      <c r="D4559" s="13">
        <v>18750</v>
      </c>
      <c r="E4559" s="13">
        <v>68.051699999999997</v>
      </c>
      <c r="F4559" s="13">
        <f t="shared" si="215"/>
        <v>275.52581346241169</v>
      </c>
    </row>
    <row r="4560" spans="1:6" x14ac:dyDescent="0.25">
      <c r="A4560" s="10">
        <v>43418</v>
      </c>
      <c r="B4560" s="12">
        <f t="shared" si="213"/>
        <v>11</v>
      </c>
      <c r="C4560" s="12">
        <f t="shared" si="214"/>
        <v>2018</v>
      </c>
      <c r="D4560" s="13">
        <v>18750</v>
      </c>
      <c r="E4560" s="13">
        <v>67.0715</v>
      </c>
      <c r="F4560" s="13">
        <f t="shared" si="215"/>
        <v>279.55241794204693</v>
      </c>
    </row>
    <row r="4561" spans="1:6" x14ac:dyDescent="0.25">
      <c r="A4561" s="10">
        <v>43419</v>
      </c>
      <c r="B4561" s="12">
        <f t="shared" si="213"/>
        <v>11</v>
      </c>
      <c r="C4561" s="12">
        <f t="shared" si="214"/>
        <v>2018</v>
      </c>
      <c r="D4561" s="13">
        <v>18750</v>
      </c>
      <c r="E4561" s="13">
        <v>65.86</v>
      </c>
      <c r="F4561" s="13">
        <f t="shared" si="215"/>
        <v>284.69480716671728</v>
      </c>
    </row>
    <row r="4562" spans="1:6" x14ac:dyDescent="0.25">
      <c r="A4562" s="10">
        <v>43420</v>
      </c>
      <c r="B4562" s="12">
        <f t="shared" si="213"/>
        <v>11</v>
      </c>
      <c r="C4562" s="12">
        <f t="shared" si="214"/>
        <v>2018</v>
      </c>
      <c r="D4562" s="13">
        <v>18750</v>
      </c>
      <c r="E4562" s="13">
        <v>65.924999999999997</v>
      </c>
      <c r="F4562" s="13">
        <f t="shared" si="215"/>
        <v>284.4141069397042</v>
      </c>
    </row>
    <row r="4563" spans="1:6" x14ac:dyDescent="0.25">
      <c r="A4563" s="10">
        <v>43423</v>
      </c>
      <c r="B4563" s="12">
        <f t="shared" si="213"/>
        <v>11</v>
      </c>
      <c r="C4563" s="12">
        <f t="shared" si="214"/>
        <v>2018</v>
      </c>
      <c r="D4563" s="13">
        <v>18750</v>
      </c>
      <c r="E4563" s="13">
        <v>65.605000000000004</v>
      </c>
      <c r="F4563" s="13">
        <f t="shared" si="215"/>
        <v>285.80138708939865</v>
      </c>
    </row>
    <row r="4564" spans="1:6" x14ac:dyDescent="0.25">
      <c r="A4564" s="10">
        <v>43424</v>
      </c>
      <c r="B4564" s="12">
        <f t="shared" si="213"/>
        <v>11</v>
      </c>
      <c r="C4564" s="12">
        <f t="shared" si="214"/>
        <v>2018</v>
      </c>
      <c r="D4564" s="13">
        <v>18750</v>
      </c>
      <c r="E4564" s="13">
        <v>66.125799999999998</v>
      </c>
      <c r="F4564" s="13">
        <f t="shared" si="215"/>
        <v>283.55044475832432</v>
      </c>
    </row>
    <row r="4565" spans="1:6" x14ac:dyDescent="0.25">
      <c r="A4565" s="10">
        <v>43425</v>
      </c>
      <c r="B4565" s="12">
        <f t="shared" si="213"/>
        <v>11</v>
      </c>
      <c r="C4565" s="12">
        <f t="shared" si="214"/>
        <v>2018</v>
      </c>
      <c r="D4565" s="13">
        <v>18750</v>
      </c>
      <c r="E4565" s="13">
        <v>65.713700000000003</v>
      </c>
      <c r="F4565" s="13">
        <f t="shared" si="215"/>
        <v>285.32863010300741</v>
      </c>
    </row>
    <row r="4566" spans="1:6" x14ac:dyDescent="0.25">
      <c r="A4566" s="10">
        <v>43427</v>
      </c>
      <c r="B4566" s="12">
        <f t="shared" si="213"/>
        <v>11</v>
      </c>
      <c r="C4566" s="12">
        <f t="shared" si="214"/>
        <v>2018</v>
      </c>
      <c r="D4566" s="13">
        <v>18750</v>
      </c>
      <c r="E4566" s="13">
        <v>66.177499999999995</v>
      </c>
      <c r="F4566" s="13">
        <f t="shared" si="215"/>
        <v>283.32892599448456</v>
      </c>
    </row>
    <row r="4567" spans="1:6" x14ac:dyDescent="0.25">
      <c r="A4567" s="10">
        <v>43430</v>
      </c>
      <c r="B4567" s="12">
        <f t="shared" si="213"/>
        <v>11</v>
      </c>
      <c r="C4567" s="12">
        <f t="shared" si="214"/>
        <v>2018</v>
      </c>
      <c r="D4567" s="13">
        <v>19000</v>
      </c>
      <c r="E4567" s="13">
        <v>67.122</v>
      </c>
      <c r="F4567" s="13">
        <f t="shared" si="215"/>
        <v>283.06665474807068</v>
      </c>
    </row>
    <row r="4568" spans="1:6" x14ac:dyDescent="0.25">
      <c r="A4568" s="10">
        <v>43431</v>
      </c>
      <c r="B4568" s="12">
        <f t="shared" si="213"/>
        <v>11</v>
      </c>
      <c r="C4568" s="12">
        <f t="shared" si="214"/>
        <v>2018</v>
      </c>
      <c r="D4568" s="13">
        <v>19000</v>
      </c>
      <c r="E4568" s="13">
        <v>67.079499999999996</v>
      </c>
      <c r="F4568" s="13">
        <f t="shared" si="215"/>
        <v>283.24599915026204</v>
      </c>
    </row>
    <row r="4569" spans="1:6" x14ac:dyDescent="0.25">
      <c r="A4569" s="10">
        <v>43432</v>
      </c>
      <c r="B4569" s="12">
        <f t="shared" si="213"/>
        <v>11</v>
      </c>
      <c r="C4569" s="12">
        <f t="shared" si="214"/>
        <v>2018</v>
      </c>
      <c r="D4569" s="13">
        <v>19000</v>
      </c>
      <c r="E4569" s="13">
        <v>67.05</v>
      </c>
      <c r="F4569" s="13">
        <f t="shared" si="215"/>
        <v>283.37061894108876</v>
      </c>
    </row>
    <row r="4570" spans="1:6" x14ac:dyDescent="0.25">
      <c r="A4570" s="10">
        <v>43433</v>
      </c>
      <c r="B4570" s="12">
        <f t="shared" si="213"/>
        <v>11</v>
      </c>
      <c r="C4570" s="12">
        <f t="shared" si="214"/>
        <v>2018</v>
      </c>
      <c r="D4570" s="13">
        <v>19000</v>
      </c>
      <c r="E4570" s="13">
        <v>66.244</v>
      </c>
      <c r="F4570" s="13">
        <f t="shared" si="215"/>
        <v>286.81842883883826</v>
      </c>
    </row>
    <row r="4571" spans="1:6" x14ac:dyDescent="0.25">
      <c r="A4571" s="10">
        <v>43434</v>
      </c>
      <c r="B4571" s="12">
        <f t="shared" si="213"/>
        <v>11</v>
      </c>
      <c r="C4571" s="12">
        <f t="shared" si="214"/>
        <v>2018</v>
      </c>
      <c r="D4571" s="13">
        <v>19000</v>
      </c>
      <c r="E4571" s="13">
        <v>67.06</v>
      </c>
      <c r="F4571" s="13">
        <f t="shared" si="215"/>
        <v>283.32836266030421</v>
      </c>
    </row>
    <row r="4572" spans="1:6" x14ac:dyDescent="0.25">
      <c r="A4572" s="10">
        <v>43437</v>
      </c>
      <c r="B4572" s="12">
        <f t="shared" si="213"/>
        <v>12</v>
      </c>
      <c r="C4572" s="12">
        <f t="shared" si="214"/>
        <v>2018</v>
      </c>
      <c r="D4572" s="13">
        <v>19750</v>
      </c>
      <c r="E4572" s="13">
        <v>66.455500000000001</v>
      </c>
      <c r="F4572" s="13">
        <f t="shared" si="215"/>
        <v>297.19135361256781</v>
      </c>
    </row>
    <row r="4573" spans="1:6" x14ac:dyDescent="0.25">
      <c r="A4573" s="10">
        <v>43438</v>
      </c>
      <c r="B4573" s="12">
        <f t="shared" si="213"/>
        <v>12</v>
      </c>
      <c r="C4573" s="12">
        <f t="shared" si="214"/>
        <v>2018</v>
      </c>
      <c r="D4573" s="13">
        <v>19750</v>
      </c>
      <c r="E4573" s="13">
        <v>66.832499999999996</v>
      </c>
      <c r="F4573" s="13">
        <f t="shared" si="215"/>
        <v>295.51490666965924</v>
      </c>
    </row>
    <row r="4574" spans="1:6" x14ac:dyDescent="0.25">
      <c r="A4574" s="10">
        <v>43439</v>
      </c>
      <c r="B4574" s="12">
        <f t="shared" si="213"/>
        <v>12</v>
      </c>
      <c r="C4574" s="12">
        <f t="shared" si="214"/>
        <v>2018</v>
      </c>
      <c r="D4574" s="13">
        <v>19750</v>
      </c>
      <c r="E4574" s="13">
        <v>66.5</v>
      </c>
      <c r="F4574" s="13">
        <f t="shared" si="215"/>
        <v>296.99248120300751</v>
      </c>
    </row>
    <row r="4575" spans="1:6" x14ac:dyDescent="0.25">
      <c r="A4575" s="10">
        <v>43440</v>
      </c>
      <c r="B4575" s="12">
        <f t="shared" si="213"/>
        <v>12</v>
      </c>
      <c r="C4575" s="12">
        <f t="shared" si="214"/>
        <v>2018</v>
      </c>
      <c r="D4575" s="13">
        <v>19750</v>
      </c>
      <c r="E4575" s="13">
        <v>66.847499999999997</v>
      </c>
      <c r="F4575" s="13">
        <f t="shared" si="215"/>
        <v>295.44859568420662</v>
      </c>
    </row>
    <row r="4576" spans="1:6" x14ac:dyDescent="0.25">
      <c r="A4576" s="10">
        <v>43441</v>
      </c>
      <c r="B4576" s="12">
        <f t="shared" si="213"/>
        <v>12</v>
      </c>
      <c r="C4576" s="12">
        <f t="shared" si="214"/>
        <v>2018</v>
      </c>
      <c r="D4576" s="13">
        <v>19750</v>
      </c>
      <c r="E4576" s="13">
        <v>66.384</v>
      </c>
      <c r="F4576" s="13">
        <f t="shared" si="215"/>
        <v>297.51144854181729</v>
      </c>
    </row>
    <row r="4577" spans="1:6" x14ac:dyDescent="0.25">
      <c r="A4577" s="10">
        <v>43444</v>
      </c>
      <c r="B4577" s="12">
        <f t="shared" si="213"/>
        <v>12</v>
      </c>
      <c r="C4577" s="12">
        <f t="shared" si="214"/>
        <v>2018</v>
      </c>
      <c r="D4577" s="13">
        <v>19850</v>
      </c>
      <c r="E4577" s="13">
        <v>66.6845</v>
      </c>
      <c r="F4577" s="13">
        <f t="shared" si="215"/>
        <v>297.67037317517565</v>
      </c>
    </row>
    <row r="4578" spans="1:6" x14ac:dyDescent="0.25">
      <c r="A4578" s="10">
        <v>43445</v>
      </c>
      <c r="B4578" s="12">
        <f t="shared" si="213"/>
        <v>12</v>
      </c>
      <c r="C4578" s="12">
        <f t="shared" si="214"/>
        <v>2018</v>
      </c>
      <c r="D4578" s="13">
        <v>19850</v>
      </c>
      <c r="E4578" s="13">
        <v>66.389499999999998</v>
      </c>
      <c r="F4578" s="13">
        <f t="shared" si="215"/>
        <v>298.99306366217553</v>
      </c>
    </row>
    <row r="4579" spans="1:6" x14ac:dyDescent="0.25">
      <c r="A4579" s="10">
        <v>43446</v>
      </c>
      <c r="B4579" s="12">
        <f t="shared" si="213"/>
        <v>12</v>
      </c>
      <c r="C4579" s="12">
        <f t="shared" si="214"/>
        <v>2018</v>
      </c>
      <c r="D4579" s="13">
        <v>19850</v>
      </c>
      <c r="E4579" s="13">
        <v>66.366</v>
      </c>
      <c r="F4579" s="13">
        <f t="shared" si="215"/>
        <v>299.09893620227223</v>
      </c>
    </row>
    <row r="4580" spans="1:6" x14ac:dyDescent="0.25">
      <c r="A4580" s="10">
        <v>43447</v>
      </c>
      <c r="B4580" s="12">
        <f t="shared" si="213"/>
        <v>12</v>
      </c>
      <c r="C4580" s="12">
        <f t="shared" si="214"/>
        <v>2018</v>
      </c>
      <c r="D4580" s="13">
        <v>19850</v>
      </c>
      <c r="E4580" s="13">
        <v>66.239900000000006</v>
      </c>
      <c r="F4580" s="13">
        <f t="shared" si="215"/>
        <v>299.66832679397157</v>
      </c>
    </row>
    <row r="4581" spans="1:6" x14ac:dyDescent="0.25">
      <c r="A4581" s="10">
        <v>43448</v>
      </c>
      <c r="B4581" s="12">
        <f t="shared" si="213"/>
        <v>12</v>
      </c>
      <c r="C4581" s="12">
        <f t="shared" si="214"/>
        <v>2018</v>
      </c>
      <c r="D4581" s="13">
        <v>19850</v>
      </c>
      <c r="E4581" s="13">
        <v>66.761099999999999</v>
      </c>
      <c r="F4581" s="13">
        <f t="shared" si="215"/>
        <v>297.32883370705395</v>
      </c>
    </row>
    <row r="4582" spans="1:6" x14ac:dyDescent="0.25">
      <c r="A4582" s="10">
        <v>43451</v>
      </c>
      <c r="B4582" s="12">
        <f t="shared" si="213"/>
        <v>12</v>
      </c>
      <c r="C4582" s="12">
        <f t="shared" si="214"/>
        <v>2018</v>
      </c>
      <c r="D4582" s="13">
        <v>20000</v>
      </c>
      <c r="E4582" s="13">
        <v>66.695499999999996</v>
      </c>
      <c r="F4582" s="13">
        <f t="shared" si="215"/>
        <v>299.87030609261495</v>
      </c>
    </row>
    <row r="4583" spans="1:6" x14ac:dyDescent="0.25">
      <c r="A4583" s="10">
        <v>43452</v>
      </c>
      <c r="B4583" s="12">
        <f t="shared" si="213"/>
        <v>12</v>
      </c>
      <c r="C4583" s="12">
        <f t="shared" si="214"/>
        <v>2018</v>
      </c>
      <c r="D4583" s="13">
        <v>20000</v>
      </c>
      <c r="E4583" s="13">
        <v>67.404499999999999</v>
      </c>
      <c r="F4583" s="13">
        <f t="shared" si="215"/>
        <v>296.71609462276257</v>
      </c>
    </row>
    <row r="4584" spans="1:6" x14ac:dyDescent="0.25">
      <c r="A4584" s="10">
        <v>43453</v>
      </c>
      <c r="B4584" s="12">
        <f t="shared" si="213"/>
        <v>12</v>
      </c>
      <c r="C4584" s="12">
        <f t="shared" si="214"/>
        <v>2018</v>
      </c>
      <c r="D4584" s="13">
        <v>20000</v>
      </c>
      <c r="E4584" s="13">
        <v>67.415999999999997</v>
      </c>
      <c r="F4584" s="13">
        <f t="shared" si="215"/>
        <v>296.66548000474666</v>
      </c>
    </row>
    <row r="4585" spans="1:6" x14ac:dyDescent="0.25">
      <c r="A4585" s="10">
        <v>43454</v>
      </c>
      <c r="B4585" s="12">
        <f t="shared" si="213"/>
        <v>12</v>
      </c>
      <c r="C4585" s="12">
        <f t="shared" si="214"/>
        <v>2018</v>
      </c>
      <c r="D4585" s="13">
        <v>20000</v>
      </c>
      <c r="E4585" s="13">
        <v>68.269000000000005</v>
      </c>
      <c r="F4585" s="13">
        <f t="shared" si="215"/>
        <v>292.95873676192707</v>
      </c>
    </row>
    <row r="4586" spans="1:6" x14ac:dyDescent="0.25">
      <c r="A4586" s="10">
        <v>43455</v>
      </c>
      <c r="B4586" s="12">
        <f t="shared" si="213"/>
        <v>12</v>
      </c>
      <c r="C4586" s="12">
        <f t="shared" si="214"/>
        <v>2018</v>
      </c>
      <c r="D4586" s="13">
        <v>20000</v>
      </c>
      <c r="E4586" s="13">
        <v>68.882499999999993</v>
      </c>
      <c r="F4586" s="13">
        <f t="shared" si="215"/>
        <v>290.34950822052048</v>
      </c>
    </row>
    <row r="4587" spans="1:6" x14ac:dyDescent="0.25">
      <c r="A4587" s="10">
        <v>43458</v>
      </c>
      <c r="B4587" s="12">
        <f t="shared" si="213"/>
        <v>12</v>
      </c>
      <c r="C4587" s="12">
        <f t="shared" si="214"/>
        <v>2018</v>
      </c>
      <c r="D4587" s="13">
        <v>20000</v>
      </c>
      <c r="E4587" s="13">
        <v>68.577500000000001</v>
      </c>
      <c r="F4587" s="13">
        <f t="shared" si="215"/>
        <v>291.64084430024423</v>
      </c>
    </row>
    <row r="4588" spans="1:6" x14ac:dyDescent="0.25">
      <c r="A4588" s="10">
        <v>43460</v>
      </c>
      <c r="B4588" s="12">
        <f t="shared" si="213"/>
        <v>12</v>
      </c>
      <c r="C4588" s="12">
        <f t="shared" si="214"/>
        <v>2018</v>
      </c>
      <c r="D4588" s="13">
        <v>20000</v>
      </c>
      <c r="E4588" s="13">
        <v>68.654700000000005</v>
      </c>
      <c r="F4588" s="13">
        <f t="shared" si="215"/>
        <v>291.31290355940666</v>
      </c>
    </row>
    <row r="4589" spans="1:6" x14ac:dyDescent="0.25">
      <c r="A4589" s="10">
        <v>43461</v>
      </c>
      <c r="B4589" s="12">
        <f t="shared" si="213"/>
        <v>12</v>
      </c>
      <c r="C4589" s="12">
        <f t="shared" si="214"/>
        <v>2018</v>
      </c>
      <c r="D4589" s="13">
        <v>20000</v>
      </c>
      <c r="E4589" s="13">
        <v>69.459999999999994</v>
      </c>
      <c r="F4589" s="13">
        <f t="shared" si="215"/>
        <v>287.93550244745182</v>
      </c>
    </row>
    <row r="4590" spans="1:6" x14ac:dyDescent="0.25">
      <c r="A4590" s="10">
        <v>43462</v>
      </c>
      <c r="B4590" s="12">
        <f t="shared" si="213"/>
        <v>12</v>
      </c>
      <c r="C4590" s="12">
        <f t="shared" si="214"/>
        <v>2018</v>
      </c>
      <c r="D4590" s="13">
        <v>20000</v>
      </c>
      <c r="E4590" s="13">
        <v>69.436499999999995</v>
      </c>
      <c r="F4590" s="13">
        <f t="shared" si="215"/>
        <v>288.03295096959096</v>
      </c>
    </row>
    <row r="4591" spans="1:6" x14ac:dyDescent="0.25">
      <c r="A4591" s="10">
        <v>43465</v>
      </c>
      <c r="B4591" s="12">
        <f t="shared" si="213"/>
        <v>12</v>
      </c>
      <c r="C4591" s="12">
        <f t="shared" si="214"/>
        <v>2018</v>
      </c>
      <c r="E4591" s="13">
        <v>69.680000000000007</v>
      </c>
      <c r="F4591" s="13" t="str">
        <f t="shared" si="215"/>
        <v/>
      </c>
    </row>
    <row r="4592" spans="1:6" x14ac:dyDescent="0.25">
      <c r="A4592" s="10">
        <v>43467</v>
      </c>
      <c r="B4592" s="12">
        <f t="shared" si="213"/>
        <v>1</v>
      </c>
      <c r="C4592" s="12">
        <f t="shared" si="214"/>
        <v>2019</v>
      </c>
      <c r="E4592" s="13">
        <v>69.001000000000005</v>
      </c>
      <c r="F4592" s="13" t="str">
        <f t="shared" si="215"/>
        <v/>
      </c>
    </row>
    <row r="4593" spans="1:6" x14ac:dyDescent="0.25">
      <c r="A4593" s="10">
        <v>43468</v>
      </c>
      <c r="B4593" s="12">
        <f t="shared" si="213"/>
        <v>1</v>
      </c>
      <c r="C4593" s="12">
        <f t="shared" si="214"/>
        <v>2019</v>
      </c>
      <c r="E4593" s="13">
        <v>68.691699999999997</v>
      </c>
      <c r="F4593" s="13" t="str">
        <f t="shared" si="215"/>
        <v/>
      </c>
    </row>
    <row r="4594" spans="1:6" x14ac:dyDescent="0.25">
      <c r="A4594" s="10">
        <v>43469</v>
      </c>
      <c r="B4594" s="12">
        <f t="shared" si="213"/>
        <v>1</v>
      </c>
      <c r="C4594" s="12">
        <f t="shared" si="214"/>
        <v>2019</v>
      </c>
      <c r="E4594" s="13">
        <v>67.648600000000002</v>
      </c>
      <c r="F4594" s="13" t="str">
        <f t="shared" si="215"/>
        <v/>
      </c>
    </row>
    <row r="4595" spans="1:6" x14ac:dyDescent="0.25">
      <c r="A4595" s="10">
        <v>43472</v>
      </c>
      <c r="B4595" s="12">
        <f t="shared" si="213"/>
        <v>1</v>
      </c>
      <c r="C4595" s="12">
        <f t="shared" si="214"/>
        <v>2019</v>
      </c>
      <c r="D4595" s="13">
        <v>20250</v>
      </c>
      <c r="E4595" s="13">
        <v>66.648600000000002</v>
      </c>
      <c r="F4595" s="13">
        <f t="shared" si="215"/>
        <v>303.8323385637508</v>
      </c>
    </row>
    <row r="4596" spans="1:6" x14ac:dyDescent="0.25">
      <c r="A4596" s="10">
        <v>43473</v>
      </c>
      <c r="B4596" s="12">
        <f t="shared" si="213"/>
        <v>1</v>
      </c>
      <c r="C4596" s="12">
        <f t="shared" si="214"/>
        <v>2019</v>
      </c>
      <c r="D4596" s="13">
        <v>20250</v>
      </c>
      <c r="E4596" s="13">
        <v>66.885499999999993</v>
      </c>
      <c r="F4596" s="13">
        <f t="shared" si="215"/>
        <v>302.75620276442578</v>
      </c>
    </row>
    <row r="4597" spans="1:6" x14ac:dyDescent="0.25">
      <c r="A4597" s="10">
        <v>43474</v>
      </c>
      <c r="B4597" s="12">
        <f t="shared" si="213"/>
        <v>1</v>
      </c>
      <c r="C4597" s="12">
        <f t="shared" si="214"/>
        <v>2019</v>
      </c>
      <c r="D4597" s="13">
        <v>20250</v>
      </c>
      <c r="E4597" s="13">
        <v>66.603999999999999</v>
      </c>
      <c r="F4597" s="13">
        <f t="shared" si="215"/>
        <v>304.03579364602729</v>
      </c>
    </row>
    <row r="4598" spans="1:6" x14ac:dyDescent="0.25">
      <c r="A4598" s="10">
        <v>43475</v>
      </c>
      <c r="B4598" s="12">
        <f t="shared" si="213"/>
        <v>1</v>
      </c>
      <c r="C4598" s="12">
        <f t="shared" si="214"/>
        <v>2019</v>
      </c>
      <c r="D4598" s="13">
        <v>20250</v>
      </c>
      <c r="E4598" s="13">
        <v>66.846000000000004</v>
      </c>
      <c r="F4598" s="13">
        <f t="shared" si="215"/>
        <v>302.93510456871013</v>
      </c>
    </row>
    <row r="4599" spans="1:6" x14ac:dyDescent="0.25">
      <c r="A4599" s="10">
        <v>43476</v>
      </c>
      <c r="B4599" s="12">
        <f t="shared" si="213"/>
        <v>1</v>
      </c>
      <c r="C4599" s="12">
        <f t="shared" si="214"/>
        <v>2019</v>
      </c>
      <c r="D4599" s="13">
        <v>20250</v>
      </c>
      <c r="E4599" s="13">
        <v>66.8797</v>
      </c>
      <c r="F4599" s="13">
        <f t="shared" si="215"/>
        <v>302.78245865337317</v>
      </c>
    </row>
    <row r="4600" spans="1:6" x14ac:dyDescent="0.25">
      <c r="A4600" s="10">
        <v>43479</v>
      </c>
      <c r="B4600" s="12">
        <f t="shared" si="213"/>
        <v>1</v>
      </c>
      <c r="C4600" s="12">
        <f t="shared" si="214"/>
        <v>2019</v>
      </c>
      <c r="D4600" s="13">
        <v>20500</v>
      </c>
      <c r="E4600" s="13">
        <v>67.007000000000005</v>
      </c>
      <c r="F4600" s="13">
        <f t="shared" si="215"/>
        <v>305.93818556270236</v>
      </c>
    </row>
    <row r="4601" spans="1:6" x14ac:dyDescent="0.25">
      <c r="A4601" s="10">
        <v>43480</v>
      </c>
      <c r="B4601" s="12">
        <f t="shared" si="213"/>
        <v>1</v>
      </c>
      <c r="C4601" s="12">
        <f t="shared" si="214"/>
        <v>2019</v>
      </c>
      <c r="D4601" s="13">
        <v>20500</v>
      </c>
      <c r="E4601" s="13">
        <v>66.998999999999995</v>
      </c>
      <c r="F4601" s="13">
        <f t="shared" si="215"/>
        <v>305.97471604053794</v>
      </c>
    </row>
    <row r="4602" spans="1:6" x14ac:dyDescent="0.25">
      <c r="A4602" s="10">
        <v>43481</v>
      </c>
      <c r="B4602" s="12">
        <f t="shared" si="213"/>
        <v>1</v>
      </c>
      <c r="C4602" s="12">
        <f t="shared" si="214"/>
        <v>2019</v>
      </c>
      <c r="D4602" s="13">
        <v>20500</v>
      </c>
      <c r="E4602" s="13">
        <v>66.271799999999999</v>
      </c>
      <c r="F4602" s="13">
        <f t="shared" si="215"/>
        <v>309.33217446938215</v>
      </c>
    </row>
    <row r="4603" spans="1:6" x14ac:dyDescent="0.25">
      <c r="A4603" s="10">
        <v>43482</v>
      </c>
      <c r="B4603" s="12">
        <f t="shared" si="213"/>
        <v>1</v>
      </c>
      <c r="C4603" s="12">
        <f t="shared" si="214"/>
        <v>2019</v>
      </c>
      <c r="D4603" s="13">
        <v>20500</v>
      </c>
      <c r="E4603" s="13">
        <v>66.322500000000005</v>
      </c>
      <c r="F4603" s="13">
        <f t="shared" si="215"/>
        <v>309.09570658524632</v>
      </c>
    </row>
    <row r="4604" spans="1:6" x14ac:dyDescent="0.25">
      <c r="A4604" s="10">
        <v>43483</v>
      </c>
      <c r="B4604" s="12">
        <f t="shared" si="213"/>
        <v>1</v>
      </c>
      <c r="C4604" s="12">
        <f t="shared" si="214"/>
        <v>2019</v>
      </c>
      <c r="D4604" s="13">
        <v>20500</v>
      </c>
      <c r="E4604" s="13">
        <v>66.168599999999998</v>
      </c>
      <c r="F4604" s="13">
        <f t="shared" si="215"/>
        <v>309.81462506385208</v>
      </c>
    </row>
    <row r="4605" spans="1:6" x14ac:dyDescent="0.25">
      <c r="A4605" s="10">
        <v>43487</v>
      </c>
      <c r="B4605" s="12">
        <f t="shared" si="213"/>
        <v>1</v>
      </c>
      <c r="C4605" s="12">
        <f t="shared" si="214"/>
        <v>2019</v>
      </c>
      <c r="D4605" s="13">
        <v>21250</v>
      </c>
      <c r="E4605" s="13">
        <v>66.477000000000004</v>
      </c>
      <c r="F4605" s="13">
        <f t="shared" si="215"/>
        <v>319.65943108142665</v>
      </c>
    </row>
    <row r="4606" spans="1:6" x14ac:dyDescent="0.25">
      <c r="A4606" s="10">
        <v>43488</v>
      </c>
      <c r="B4606" s="12">
        <f t="shared" si="213"/>
        <v>1</v>
      </c>
      <c r="C4606" s="12">
        <f t="shared" si="214"/>
        <v>2019</v>
      </c>
      <c r="D4606" s="13">
        <v>21250</v>
      </c>
      <c r="E4606" s="13">
        <v>66.072000000000003</v>
      </c>
      <c r="F4606" s="13">
        <f t="shared" si="215"/>
        <v>321.61884005327522</v>
      </c>
    </row>
    <row r="4607" spans="1:6" x14ac:dyDescent="0.25">
      <c r="A4607" s="10">
        <v>43489</v>
      </c>
      <c r="B4607" s="12">
        <f t="shared" si="213"/>
        <v>1</v>
      </c>
      <c r="C4607" s="12">
        <f t="shared" si="214"/>
        <v>2019</v>
      </c>
      <c r="D4607" s="13">
        <v>21250</v>
      </c>
      <c r="E4607" s="13">
        <v>65.695999999999998</v>
      </c>
      <c r="F4607" s="13">
        <f t="shared" si="215"/>
        <v>323.45957135898686</v>
      </c>
    </row>
    <row r="4608" spans="1:6" x14ac:dyDescent="0.25">
      <c r="A4608" s="10">
        <v>43490</v>
      </c>
      <c r="B4608" s="12">
        <f t="shared" si="213"/>
        <v>1</v>
      </c>
      <c r="C4608" s="12">
        <f t="shared" si="214"/>
        <v>2019</v>
      </c>
      <c r="D4608" s="13">
        <v>21250</v>
      </c>
      <c r="E4608" s="13">
        <v>65.950999999999993</v>
      </c>
      <c r="F4608" s="13">
        <f t="shared" si="215"/>
        <v>322.20891267759401</v>
      </c>
    </row>
    <row r="4609" spans="1:6" x14ac:dyDescent="0.25">
      <c r="A4609" s="10">
        <v>43493</v>
      </c>
      <c r="B4609" s="12">
        <f t="shared" si="213"/>
        <v>1</v>
      </c>
      <c r="C4609" s="12">
        <f t="shared" si="214"/>
        <v>2019</v>
      </c>
      <c r="D4609" s="13">
        <v>21350</v>
      </c>
      <c r="E4609" s="13">
        <v>66.212999999999994</v>
      </c>
      <c r="F4609" s="13">
        <f t="shared" si="215"/>
        <v>322.44423300560317</v>
      </c>
    </row>
    <row r="4610" spans="1:6" x14ac:dyDescent="0.25">
      <c r="A4610" s="10">
        <v>43494</v>
      </c>
      <c r="B4610" s="12">
        <f t="shared" si="213"/>
        <v>1</v>
      </c>
      <c r="C4610" s="12">
        <f t="shared" si="214"/>
        <v>2019</v>
      </c>
      <c r="D4610" s="13">
        <v>21350</v>
      </c>
      <c r="E4610" s="13">
        <v>65.993600000000001</v>
      </c>
      <c r="F4610" s="13">
        <f t="shared" si="215"/>
        <v>323.51621975464286</v>
      </c>
    </row>
    <row r="4611" spans="1:6" x14ac:dyDescent="0.25">
      <c r="A4611" s="10">
        <v>43495</v>
      </c>
      <c r="B4611" s="12">
        <f t="shared" ref="B4611:B4674" si="216">MONTH(A4611)</f>
        <v>1</v>
      </c>
      <c r="C4611" s="12">
        <f t="shared" ref="C4611:C4674" si="217">YEAR(A4611)</f>
        <v>2019</v>
      </c>
      <c r="D4611" s="13">
        <v>21350</v>
      </c>
      <c r="E4611" s="13">
        <v>65.36</v>
      </c>
      <c r="F4611" s="13">
        <f t="shared" ref="F4611:F4674" si="218">IF(D4611="","",D4611/E4611)</f>
        <v>326.65238678090577</v>
      </c>
    </row>
    <row r="4612" spans="1:6" x14ac:dyDescent="0.25">
      <c r="A4612" s="10">
        <v>43496</v>
      </c>
      <c r="B4612" s="12">
        <f t="shared" si="216"/>
        <v>1</v>
      </c>
      <c r="C4612" s="12">
        <f t="shared" si="217"/>
        <v>2019</v>
      </c>
      <c r="D4612" s="13">
        <v>21350</v>
      </c>
      <c r="E4612" s="13">
        <v>65.338999999999999</v>
      </c>
      <c r="F4612" s="13">
        <f t="shared" si="218"/>
        <v>326.75737308498753</v>
      </c>
    </row>
    <row r="4613" spans="1:6" x14ac:dyDescent="0.25">
      <c r="A4613" s="10">
        <v>43497</v>
      </c>
      <c r="B4613" s="12">
        <f t="shared" si="216"/>
        <v>2</v>
      </c>
      <c r="C4613" s="12">
        <f t="shared" si="217"/>
        <v>2019</v>
      </c>
      <c r="D4613" s="13">
        <v>21350</v>
      </c>
      <c r="E4613" s="13">
        <v>65.433999999999997</v>
      </c>
      <c r="F4613" s="13">
        <f t="shared" si="218"/>
        <v>326.28297215514868</v>
      </c>
    </row>
    <row r="4614" spans="1:6" x14ac:dyDescent="0.25">
      <c r="A4614" s="10">
        <v>43500</v>
      </c>
      <c r="B4614" s="12">
        <f t="shared" si="216"/>
        <v>2</v>
      </c>
      <c r="C4614" s="12">
        <f t="shared" si="217"/>
        <v>2019</v>
      </c>
      <c r="D4614" s="13">
        <v>21900</v>
      </c>
      <c r="E4614" s="13">
        <v>65.534499999999994</v>
      </c>
      <c r="F4614" s="13">
        <f t="shared" si="218"/>
        <v>334.17512913045806</v>
      </c>
    </row>
    <row r="4615" spans="1:6" x14ac:dyDescent="0.25">
      <c r="A4615" s="10">
        <v>43501</v>
      </c>
      <c r="B4615" s="12">
        <f t="shared" si="216"/>
        <v>2</v>
      </c>
      <c r="C4615" s="12">
        <f t="shared" si="217"/>
        <v>2019</v>
      </c>
      <c r="D4615" s="13">
        <v>21900</v>
      </c>
      <c r="E4615" s="13">
        <v>65.581999999999994</v>
      </c>
      <c r="F4615" s="13">
        <f t="shared" si="218"/>
        <v>333.93309139702973</v>
      </c>
    </row>
    <row r="4616" spans="1:6" x14ac:dyDescent="0.25">
      <c r="A4616" s="10">
        <v>43502</v>
      </c>
      <c r="B4616" s="12">
        <f t="shared" si="216"/>
        <v>2</v>
      </c>
      <c r="C4616" s="12">
        <f t="shared" si="217"/>
        <v>2019</v>
      </c>
      <c r="D4616" s="13">
        <v>21900</v>
      </c>
      <c r="E4616" s="13">
        <v>65.849500000000006</v>
      </c>
      <c r="F4616" s="13">
        <f t="shared" si="218"/>
        <v>332.57655714925698</v>
      </c>
    </row>
    <row r="4617" spans="1:6" x14ac:dyDescent="0.25">
      <c r="A4617" s="10">
        <v>43503</v>
      </c>
      <c r="B4617" s="12">
        <f t="shared" si="216"/>
        <v>2</v>
      </c>
      <c r="C4617" s="12">
        <f t="shared" si="217"/>
        <v>2019</v>
      </c>
      <c r="D4617" s="13">
        <v>21900</v>
      </c>
      <c r="E4617" s="13">
        <v>65.938999999999993</v>
      </c>
      <c r="F4617" s="13">
        <f t="shared" si="218"/>
        <v>332.12514596824343</v>
      </c>
    </row>
    <row r="4618" spans="1:6" x14ac:dyDescent="0.25">
      <c r="A4618" s="10">
        <v>43504</v>
      </c>
      <c r="B4618" s="12">
        <f t="shared" si="216"/>
        <v>2</v>
      </c>
      <c r="C4618" s="12">
        <f t="shared" si="217"/>
        <v>2019</v>
      </c>
      <c r="D4618" s="13">
        <v>21900</v>
      </c>
      <c r="E4618" s="13">
        <v>65.460499999999996</v>
      </c>
      <c r="F4618" s="13">
        <f t="shared" si="218"/>
        <v>334.55289831272296</v>
      </c>
    </row>
    <row r="4619" spans="1:6" x14ac:dyDescent="0.25">
      <c r="A4619" s="10">
        <v>43507</v>
      </c>
      <c r="B4619" s="12">
        <f t="shared" si="216"/>
        <v>2</v>
      </c>
      <c r="C4619" s="12">
        <f t="shared" si="217"/>
        <v>2019</v>
      </c>
      <c r="D4619" s="13">
        <v>21900</v>
      </c>
      <c r="E4619" s="13">
        <v>65.784999999999997</v>
      </c>
      <c r="F4619" s="13">
        <f t="shared" si="218"/>
        <v>332.9026373793418</v>
      </c>
    </row>
    <row r="4620" spans="1:6" x14ac:dyDescent="0.25">
      <c r="A4620" s="10">
        <v>43508</v>
      </c>
      <c r="B4620" s="12">
        <f t="shared" si="216"/>
        <v>2</v>
      </c>
      <c r="C4620" s="12">
        <f t="shared" si="217"/>
        <v>2019</v>
      </c>
      <c r="D4620" s="13">
        <v>21900</v>
      </c>
      <c r="E4620" s="13">
        <v>65.808000000000007</v>
      </c>
      <c r="F4620" s="13">
        <f t="shared" si="218"/>
        <v>332.78628738147336</v>
      </c>
    </row>
    <row r="4621" spans="1:6" x14ac:dyDescent="0.25">
      <c r="A4621" s="10">
        <v>43509</v>
      </c>
      <c r="B4621" s="12">
        <f t="shared" si="216"/>
        <v>2</v>
      </c>
      <c r="C4621" s="12">
        <f t="shared" si="217"/>
        <v>2019</v>
      </c>
      <c r="D4621" s="13">
        <v>21900</v>
      </c>
      <c r="E4621" s="13">
        <v>66.509</v>
      </c>
      <c r="F4621" s="13">
        <f t="shared" si="218"/>
        <v>329.27874423010417</v>
      </c>
    </row>
    <row r="4622" spans="1:6" x14ac:dyDescent="0.25">
      <c r="A4622" s="10">
        <v>43510</v>
      </c>
      <c r="B4622" s="12">
        <f t="shared" si="216"/>
        <v>2</v>
      </c>
      <c r="C4622" s="12">
        <f t="shared" si="217"/>
        <v>2019</v>
      </c>
      <c r="D4622" s="13">
        <v>21900</v>
      </c>
      <c r="E4622" s="13">
        <v>66.652699999999996</v>
      </c>
      <c r="F4622" s="13">
        <f t="shared" si="218"/>
        <v>328.56883517096833</v>
      </c>
    </row>
    <row r="4623" spans="1:6" x14ac:dyDescent="0.25">
      <c r="A4623" s="10">
        <v>43511</v>
      </c>
      <c r="B4623" s="12">
        <f t="shared" si="216"/>
        <v>2</v>
      </c>
      <c r="C4623" s="12">
        <f t="shared" si="217"/>
        <v>2019</v>
      </c>
      <c r="D4623" s="13">
        <v>21900</v>
      </c>
      <c r="E4623" s="13">
        <v>66.252300000000005</v>
      </c>
      <c r="F4623" s="13">
        <f t="shared" si="218"/>
        <v>330.55456187936113</v>
      </c>
    </row>
    <row r="4624" spans="1:6" x14ac:dyDescent="0.25">
      <c r="A4624" s="10">
        <v>43515</v>
      </c>
      <c r="B4624" s="12">
        <f t="shared" si="216"/>
        <v>2</v>
      </c>
      <c r="C4624" s="12">
        <f t="shared" si="217"/>
        <v>2019</v>
      </c>
      <c r="D4624" s="13">
        <v>22000</v>
      </c>
      <c r="E4624" s="13">
        <v>65.682500000000005</v>
      </c>
      <c r="F4624" s="13">
        <f t="shared" si="218"/>
        <v>334.94461995204199</v>
      </c>
    </row>
    <row r="4625" spans="1:6" x14ac:dyDescent="0.25">
      <c r="A4625" s="10">
        <v>43516</v>
      </c>
      <c r="B4625" s="12">
        <f t="shared" si="216"/>
        <v>2</v>
      </c>
      <c r="C4625" s="12">
        <f t="shared" si="217"/>
        <v>2019</v>
      </c>
      <c r="D4625" s="13">
        <v>22000</v>
      </c>
      <c r="E4625" s="13">
        <v>65.650000000000006</v>
      </c>
      <c r="F4625" s="13">
        <f t="shared" si="218"/>
        <v>335.11043412033507</v>
      </c>
    </row>
    <row r="4626" spans="1:6" x14ac:dyDescent="0.25">
      <c r="A4626" s="10">
        <v>43517</v>
      </c>
      <c r="B4626" s="12">
        <f t="shared" si="216"/>
        <v>2</v>
      </c>
      <c r="C4626" s="12">
        <f t="shared" si="217"/>
        <v>2019</v>
      </c>
      <c r="D4626" s="13">
        <v>22000</v>
      </c>
      <c r="E4626" s="13">
        <v>65.590999999999994</v>
      </c>
      <c r="F4626" s="13">
        <f t="shared" si="218"/>
        <v>335.411870531018</v>
      </c>
    </row>
    <row r="4627" spans="1:6" x14ac:dyDescent="0.25">
      <c r="A4627" s="10">
        <v>43518</v>
      </c>
      <c r="B4627" s="12">
        <f t="shared" si="216"/>
        <v>2</v>
      </c>
      <c r="C4627" s="12">
        <f t="shared" si="217"/>
        <v>2019</v>
      </c>
      <c r="D4627" s="13">
        <v>22000</v>
      </c>
      <c r="E4627" s="13">
        <v>65.357500000000002</v>
      </c>
      <c r="F4627" s="13">
        <f t="shared" si="218"/>
        <v>336.61018245801932</v>
      </c>
    </row>
    <row r="4628" spans="1:6" x14ac:dyDescent="0.25">
      <c r="A4628" s="10">
        <v>43521</v>
      </c>
      <c r="B4628" s="12">
        <f t="shared" si="216"/>
        <v>2</v>
      </c>
      <c r="C4628" s="12">
        <f t="shared" si="217"/>
        <v>2019</v>
      </c>
      <c r="E4628" s="13">
        <v>65.504999999999995</v>
      </c>
      <c r="F4628" s="13" t="str">
        <f t="shared" si="218"/>
        <v/>
      </c>
    </row>
    <row r="4629" spans="1:6" x14ac:dyDescent="0.25">
      <c r="A4629" s="10">
        <v>43523</v>
      </c>
      <c r="B4629" s="12">
        <f t="shared" si="216"/>
        <v>2</v>
      </c>
      <c r="C4629" s="12">
        <f t="shared" si="217"/>
        <v>2019</v>
      </c>
      <c r="E4629" s="13">
        <v>65.739999999999995</v>
      </c>
      <c r="F4629" s="13" t="str">
        <f t="shared" si="218"/>
        <v/>
      </c>
    </row>
    <row r="4630" spans="1:6" x14ac:dyDescent="0.25">
      <c r="A4630" s="10">
        <v>43524</v>
      </c>
      <c r="B4630" s="12">
        <f t="shared" si="216"/>
        <v>2</v>
      </c>
      <c r="C4630" s="12">
        <f t="shared" si="217"/>
        <v>2019</v>
      </c>
      <c r="E4630" s="13">
        <v>65.954999999999998</v>
      </c>
      <c r="F4630" s="13" t="str">
        <f t="shared" si="218"/>
        <v/>
      </c>
    </row>
    <row r="4631" spans="1:6" x14ac:dyDescent="0.25">
      <c r="A4631" s="10">
        <v>43525</v>
      </c>
      <c r="B4631" s="12">
        <f t="shared" si="216"/>
        <v>3</v>
      </c>
      <c r="C4631" s="12">
        <f t="shared" si="217"/>
        <v>2019</v>
      </c>
      <c r="E4631" s="13">
        <v>65.912999999999997</v>
      </c>
      <c r="F4631" s="13" t="str">
        <f t="shared" si="218"/>
        <v/>
      </c>
    </row>
    <row r="4632" spans="1:6" x14ac:dyDescent="0.25">
      <c r="A4632" s="10">
        <v>43528</v>
      </c>
      <c r="B4632" s="12">
        <f t="shared" si="216"/>
        <v>3</v>
      </c>
      <c r="C4632" s="12">
        <f t="shared" si="217"/>
        <v>2019</v>
      </c>
      <c r="D4632" s="13">
        <v>21500</v>
      </c>
      <c r="E4632" s="13">
        <v>65.731499999999997</v>
      </c>
      <c r="F4632" s="13">
        <f t="shared" si="218"/>
        <v>327.08823014840681</v>
      </c>
    </row>
    <row r="4633" spans="1:6" x14ac:dyDescent="0.25">
      <c r="A4633" s="10">
        <v>43529</v>
      </c>
      <c r="B4633" s="12">
        <f t="shared" si="216"/>
        <v>3</v>
      </c>
      <c r="C4633" s="12">
        <f t="shared" si="217"/>
        <v>2019</v>
      </c>
      <c r="D4633" s="13">
        <v>21500</v>
      </c>
      <c r="E4633" s="13">
        <v>65.746300000000005</v>
      </c>
      <c r="F4633" s="13">
        <f t="shared" si="218"/>
        <v>327.01460006114411</v>
      </c>
    </row>
    <row r="4634" spans="1:6" x14ac:dyDescent="0.25">
      <c r="A4634" s="10">
        <v>43530</v>
      </c>
      <c r="B4634" s="12">
        <f t="shared" si="216"/>
        <v>3</v>
      </c>
      <c r="C4634" s="12">
        <f t="shared" si="217"/>
        <v>2019</v>
      </c>
      <c r="D4634" s="13">
        <v>21500</v>
      </c>
      <c r="E4634" s="13">
        <v>65.903999999999996</v>
      </c>
      <c r="F4634" s="13">
        <f t="shared" si="218"/>
        <v>326.23209516873027</v>
      </c>
    </row>
    <row r="4635" spans="1:6" x14ac:dyDescent="0.25">
      <c r="A4635" s="10">
        <v>43531</v>
      </c>
      <c r="B4635" s="12">
        <f t="shared" si="216"/>
        <v>3</v>
      </c>
      <c r="C4635" s="12">
        <f t="shared" si="217"/>
        <v>2019</v>
      </c>
      <c r="D4635" s="13">
        <v>21500</v>
      </c>
      <c r="E4635" s="13">
        <v>66.2624</v>
      </c>
      <c r="F4635" s="13">
        <f t="shared" si="218"/>
        <v>324.46757135268268</v>
      </c>
    </row>
    <row r="4636" spans="1:6" x14ac:dyDescent="0.25">
      <c r="A4636" s="10">
        <v>43532</v>
      </c>
      <c r="B4636" s="12">
        <f t="shared" si="216"/>
        <v>3</v>
      </c>
      <c r="C4636" s="12">
        <f t="shared" si="217"/>
        <v>2019</v>
      </c>
      <c r="D4636" s="13">
        <v>21500</v>
      </c>
      <c r="E4636" s="13">
        <v>66.319999999999993</v>
      </c>
      <c r="F4636" s="13">
        <f t="shared" si="218"/>
        <v>324.18576598311222</v>
      </c>
    </row>
    <row r="4637" spans="1:6" x14ac:dyDescent="0.25">
      <c r="A4637" s="10">
        <v>43535</v>
      </c>
      <c r="B4637" s="12">
        <f t="shared" si="216"/>
        <v>3</v>
      </c>
      <c r="C4637" s="12">
        <f t="shared" si="217"/>
        <v>2019</v>
      </c>
      <c r="E4637" s="13">
        <v>65.876300000000001</v>
      </c>
      <c r="F4637" s="13" t="str">
        <f t="shared" si="218"/>
        <v/>
      </c>
    </row>
    <row r="4638" spans="1:6" x14ac:dyDescent="0.25">
      <c r="A4638" s="10">
        <v>43536</v>
      </c>
      <c r="B4638" s="12">
        <f t="shared" si="216"/>
        <v>3</v>
      </c>
      <c r="C4638" s="12">
        <f t="shared" si="217"/>
        <v>2019</v>
      </c>
      <c r="E4638" s="13">
        <v>65.617500000000007</v>
      </c>
      <c r="F4638" s="13" t="str">
        <f t="shared" si="218"/>
        <v/>
      </c>
    </row>
    <row r="4639" spans="1:6" x14ac:dyDescent="0.25">
      <c r="A4639" s="10">
        <v>43537</v>
      </c>
      <c r="B4639" s="12">
        <f t="shared" si="216"/>
        <v>3</v>
      </c>
      <c r="C4639" s="12">
        <f t="shared" si="217"/>
        <v>2019</v>
      </c>
      <c r="E4639" s="13">
        <v>65.459000000000003</v>
      </c>
      <c r="F4639" s="13" t="str">
        <f t="shared" si="218"/>
        <v/>
      </c>
    </row>
    <row r="4640" spans="1:6" x14ac:dyDescent="0.25">
      <c r="A4640" s="10">
        <v>43538</v>
      </c>
      <c r="B4640" s="12">
        <f t="shared" si="216"/>
        <v>3</v>
      </c>
      <c r="C4640" s="12">
        <f t="shared" si="217"/>
        <v>2019</v>
      </c>
      <c r="E4640" s="13">
        <v>65.475999999999999</v>
      </c>
      <c r="F4640" s="13" t="str">
        <f t="shared" si="218"/>
        <v/>
      </c>
    </row>
    <row r="4641" spans="1:6" x14ac:dyDescent="0.25">
      <c r="A4641" s="10">
        <v>43539</v>
      </c>
      <c r="B4641" s="12">
        <f t="shared" si="216"/>
        <v>3</v>
      </c>
      <c r="C4641" s="12">
        <f t="shared" si="217"/>
        <v>2019</v>
      </c>
      <c r="E4641" s="13">
        <v>64.793499999999995</v>
      </c>
      <c r="F4641" s="13" t="str">
        <f t="shared" si="218"/>
        <v/>
      </c>
    </row>
    <row r="4642" spans="1:6" x14ac:dyDescent="0.25">
      <c r="A4642" s="10">
        <v>43542</v>
      </c>
      <c r="B4642" s="12">
        <f t="shared" si="216"/>
        <v>3</v>
      </c>
      <c r="C4642" s="12">
        <f t="shared" si="217"/>
        <v>2019</v>
      </c>
      <c r="D4642" s="13">
        <v>21250</v>
      </c>
      <c r="E4642" s="13">
        <v>64.374499999999998</v>
      </c>
      <c r="F4642" s="13">
        <f t="shared" si="218"/>
        <v>330.09965125942728</v>
      </c>
    </row>
    <row r="4643" spans="1:6" x14ac:dyDescent="0.25">
      <c r="A4643" s="10">
        <v>43543</v>
      </c>
      <c r="B4643" s="12">
        <f t="shared" si="216"/>
        <v>3</v>
      </c>
      <c r="C4643" s="12">
        <f t="shared" si="217"/>
        <v>2019</v>
      </c>
      <c r="D4643" s="13">
        <v>21250</v>
      </c>
      <c r="E4643" s="13">
        <v>64.373999999999995</v>
      </c>
      <c r="F4643" s="13">
        <f t="shared" si="218"/>
        <v>330.10221518004164</v>
      </c>
    </row>
    <row r="4644" spans="1:6" x14ac:dyDescent="0.25">
      <c r="A4644" s="10">
        <v>43544</v>
      </c>
      <c r="B4644" s="12">
        <f t="shared" si="216"/>
        <v>3</v>
      </c>
      <c r="C4644" s="12">
        <f t="shared" si="217"/>
        <v>2019</v>
      </c>
      <c r="D4644" s="13">
        <v>21250</v>
      </c>
      <c r="E4644" s="13">
        <v>63.814</v>
      </c>
      <c r="F4644" s="13">
        <f t="shared" si="218"/>
        <v>332.99902842636413</v>
      </c>
    </row>
    <row r="4645" spans="1:6" x14ac:dyDescent="0.25">
      <c r="A4645" s="10">
        <v>43545</v>
      </c>
      <c r="B4645" s="12">
        <f t="shared" si="216"/>
        <v>3</v>
      </c>
      <c r="C4645" s="12">
        <f t="shared" si="217"/>
        <v>2019</v>
      </c>
      <c r="D4645" s="13">
        <v>21250</v>
      </c>
      <c r="E4645" s="13">
        <v>63.8643</v>
      </c>
      <c r="F4645" s="13">
        <f t="shared" si="218"/>
        <v>332.73675590275008</v>
      </c>
    </row>
    <row r="4646" spans="1:6" x14ac:dyDescent="0.25">
      <c r="A4646" s="10">
        <v>43546</v>
      </c>
      <c r="B4646" s="12">
        <f t="shared" si="216"/>
        <v>3</v>
      </c>
      <c r="C4646" s="12">
        <f t="shared" si="217"/>
        <v>2019</v>
      </c>
      <c r="D4646" s="13">
        <v>21250</v>
      </c>
      <c r="E4646" s="13">
        <v>64.596000000000004</v>
      </c>
      <c r="F4646" s="13">
        <f t="shared" si="218"/>
        <v>328.96773794042974</v>
      </c>
    </row>
    <row r="4647" spans="1:6" x14ac:dyDescent="0.25">
      <c r="A4647" s="10">
        <v>43549</v>
      </c>
      <c r="B4647" s="12">
        <f t="shared" si="216"/>
        <v>3</v>
      </c>
      <c r="C4647" s="12">
        <f t="shared" si="217"/>
        <v>2019</v>
      </c>
      <c r="E4647" s="13">
        <v>63.970999999999997</v>
      </c>
      <c r="F4647" s="13" t="str">
        <f t="shared" si="218"/>
        <v/>
      </c>
    </row>
    <row r="4648" spans="1:6" x14ac:dyDescent="0.25">
      <c r="A4648" s="10">
        <v>43550</v>
      </c>
      <c r="B4648" s="12">
        <f t="shared" si="216"/>
        <v>3</v>
      </c>
      <c r="C4648" s="12">
        <f t="shared" si="217"/>
        <v>2019</v>
      </c>
      <c r="E4648" s="13">
        <v>64.408500000000004</v>
      </c>
      <c r="F4648" s="13" t="str">
        <f t="shared" si="218"/>
        <v/>
      </c>
    </row>
    <row r="4649" spans="1:6" x14ac:dyDescent="0.25">
      <c r="A4649" s="10">
        <v>43551</v>
      </c>
      <c r="B4649" s="12">
        <f t="shared" si="216"/>
        <v>3</v>
      </c>
      <c r="C4649" s="12">
        <f t="shared" si="217"/>
        <v>2019</v>
      </c>
      <c r="E4649" s="13">
        <v>64.847499999999997</v>
      </c>
      <c r="F4649" s="13" t="str">
        <f t="shared" si="218"/>
        <v/>
      </c>
    </row>
    <row r="4650" spans="1:6" x14ac:dyDescent="0.25">
      <c r="A4650" s="10">
        <v>43552</v>
      </c>
      <c r="B4650" s="12">
        <f t="shared" si="216"/>
        <v>3</v>
      </c>
      <c r="C4650" s="12">
        <f t="shared" si="217"/>
        <v>2019</v>
      </c>
      <c r="E4650" s="13">
        <v>64.944999999999993</v>
      </c>
      <c r="F4650" s="13" t="str">
        <f t="shared" si="218"/>
        <v/>
      </c>
    </row>
    <row r="4651" spans="1:6" x14ac:dyDescent="0.25">
      <c r="A4651" s="10">
        <v>43553</v>
      </c>
      <c r="B4651" s="12">
        <f t="shared" si="216"/>
        <v>3</v>
      </c>
      <c r="C4651" s="12">
        <f t="shared" si="217"/>
        <v>2019</v>
      </c>
      <c r="E4651" s="13">
        <v>65.67</v>
      </c>
      <c r="F4651" s="13" t="str">
        <f t="shared" si="218"/>
        <v/>
      </c>
    </row>
    <row r="4652" spans="1:6" x14ac:dyDescent="0.25">
      <c r="A4652" s="10">
        <v>43556</v>
      </c>
      <c r="B4652" s="12">
        <f t="shared" si="216"/>
        <v>4</v>
      </c>
      <c r="C4652" s="12">
        <f t="shared" si="217"/>
        <v>2019</v>
      </c>
      <c r="D4652" s="13">
        <v>20750</v>
      </c>
      <c r="E4652" s="13">
        <v>65.211500000000001</v>
      </c>
      <c r="F4652" s="13">
        <f t="shared" si="218"/>
        <v>318.19541031873212</v>
      </c>
    </row>
    <row r="4653" spans="1:6" x14ac:dyDescent="0.25">
      <c r="A4653" s="10">
        <v>43557</v>
      </c>
      <c r="B4653" s="12">
        <f t="shared" si="216"/>
        <v>4</v>
      </c>
      <c r="C4653" s="12">
        <f t="shared" si="217"/>
        <v>2019</v>
      </c>
      <c r="D4653" s="13">
        <v>20750</v>
      </c>
      <c r="E4653" s="13">
        <v>65.305999999999997</v>
      </c>
      <c r="F4653" s="13">
        <f t="shared" si="218"/>
        <v>317.73497075307017</v>
      </c>
    </row>
    <row r="4654" spans="1:6" x14ac:dyDescent="0.25">
      <c r="A4654" s="10">
        <v>43558</v>
      </c>
      <c r="B4654" s="12">
        <f t="shared" si="216"/>
        <v>4</v>
      </c>
      <c r="C4654" s="12">
        <f t="shared" si="217"/>
        <v>2019</v>
      </c>
      <c r="D4654" s="13">
        <v>20750</v>
      </c>
      <c r="E4654" s="13">
        <v>65.225999999999999</v>
      </c>
      <c r="F4654" s="13">
        <f t="shared" si="218"/>
        <v>318.12467420967101</v>
      </c>
    </row>
    <row r="4655" spans="1:6" x14ac:dyDescent="0.25">
      <c r="A4655" s="10">
        <v>43559</v>
      </c>
      <c r="B4655" s="12">
        <f t="shared" si="216"/>
        <v>4</v>
      </c>
      <c r="C4655" s="12">
        <f t="shared" si="217"/>
        <v>2019</v>
      </c>
      <c r="D4655" s="13">
        <v>20750</v>
      </c>
      <c r="E4655" s="13">
        <v>65.41</v>
      </c>
      <c r="F4655" s="13">
        <f t="shared" si="218"/>
        <v>317.22978137899406</v>
      </c>
    </row>
    <row r="4656" spans="1:6" x14ac:dyDescent="0.25">
      <c r="A4656" s="10">
        <v>43560</v>
      </c>
      <c r="B4656" s="12">
        <f t="shared" si="216"/>
        <v>4</v>
      </c>
      <c r="C4656" s="12">
        <f t="shared" si="217"/>
        <v>2019</v>
      </c>
      <c r="D4656" s="13">
        <v>20750</v>
      </c>
      <c r="E4656" s="13">
        <v>65.284999999999997</v>
      </c>
      <c r="F4656" s="13">
        <f t="shared" si="218"/>
        <v>317.83717546143833</v>
      </c>
    </row>
    <row r="4657" spans="1:6" x14ac:dyDescent="0.25">
      <c r="A4657" s="10">
        <v>43563</v>
      </c>
      <c r="B4657" s="12">
        <f t="shared" si="216"/>
        <v>4</v>
      </c>
      <c r="C4657" s="12">
        <f t="shared" si="217"/>
        <v>2019</v>
      </c>
      <c r="D4657" s="13">
        <v>20500</v>
      </c>
      <c r="E4657" s="13">
        <v>64.86</v>
      </c>
      <c r="F4657" s="13">
        <f t="shared" si="218"/>
        <v>316.06537156953436</v>
      </c>
    </row>
    <row r="4658" spans="1:6" x14ac:dyDescent="0.25">
      <c r="A4658" s="10">
        <v>43564</v>
      </c>
      <c r="B4658" s="12">
        <f t="shared" si="216"/>
        <v>4</v>
      </c>
      <c r="C4658" s="12">
        <f t="shared" si="217"/>
        <v>2019</v>
      </c>
      <c r="D4658" s="13">
        <v>20500</v>
      </c>
      <c r="E4658" s="13">
        <v>64.917000000000002</v>
      </c>
      <c r="F4658" s="13">
        <f t="shared" si="218"/>
        <v>315.78785218047659</v>
      </c>
    </row>
    <row r="4659" spans="1:6" x14ac:dyDescent="0.25">
      <c r="A4659" s="10">
        <v>43565</v>
      </c>
      <c r="B4659" s="12">
        <f t="shared" si="216"/>
        <v>4</v>
      </c>
      <c r="C4659" s="12">
        <f t="shared" si="217"/>
        <v>2019</v>
      </c>
      <c r="D4659" s="13">
        <v>20500</v>
      </c>
      <c r="E4659" s="13">
        <v>64.203999999999994</v>
      </c>
      <c r="F4659" s="13">
        <f t="shared" si="218"/>
        <v>319.2947479907794</v>
      </c>
    </row>
    <row r="4660" spans="1:6" x14ac:dyDescent="0.25">
      <c r="A4660" s="10">
        <v>43566</v>
      </c>
      <c r="B4660" s="12">
        <f t="shared" si="216"/>
        <v>4</v>
      </c>
      <c r="C4660" s="12">
        <f t="shared" si="217"/>
        <v>2019</v>
      </c>
      <c r="D4660" s="13">
        <v>20500</v>
      </c>
      <c r="E4660" s="13">
        <v>64.573999999999998</v>
      </c>
      <c r="F4660" s="13">
        <f t="shared" si="218"/>
        <v>317.46523368538419</v>
      </c>
    </row>
    <row r="4661" spans="1:6" x14ac:dyDescent="0.25">
      <c r="A4661" s="10">
        <v>43567</v>
      </c>
      <c r="B4661" s="12">
        <f t="shared" si="216"/>
        <v>4</v>
      </c>
      <c r="C4661" s="12">
        <f t="shared" si="217"/>
        <v>2019</v>
      </c>
      <c r="D4661" s="13">
        <v>20500</v>
      </c>
      <c r="E4661" s="13">
        <v>64.290000000000006</v>
      </c>
      <c r="F4661" s="13">
        <f t="shared" si="218"/>
        <v>318.86763104681904</v>
      </c>
    </row>
    <row r="4662" spans="1:6" x14ac:dyDescent="0.25">
      <c r="A4662" s="10">
        <v>43570</v>
      </c>
      <c r="B4662" s="12">
        <f t="shared" si="216"/>
        <v>4</v>
      </c>
      <c r="C4662" s="12">
        <f t="shared" si="217"/>
        <v>2019</v>
      </c>
      <c r="D4662" s="13">
        <v>20000</v>
      </c>
      <c r="E4662" s="13">
        <v>64.291499999999999</v>
      </c>
      <c r="F4662" s="13">
        <f t="shared" si="218"/>
        <v>311.08311363088433</v>
      </c>
    </row>
    <row r="4663" spans="1:6" x14ac:dyDescent="0.25">
      <c r="A4663" s="10">
        <v>43571</v>
      </c>
      <c r="B4663" s="12">
        <f t="shared" si="216"/>
        <v>4</v>
      </c>
      <c r="C4663" s="12">
        <f t="shared" si="217"/>
        <v>2019</v>
      </c>
      <c r="D4663" s="13">
        <v>20000</v>
      </c>
      <c r="E4663" s="13">
        <v>64.080500000000001</v>
      </c>
      <c r="F4663" s="13">
        <f t="shared" si="218"/>
        <v>312.10742737650298</v>
      </c>
    </row>
    <row r="4664" spans="1:6" x14ac:dyDescent="0.25">
      <c r="A4664" s="10">
        <v>43572</v>
      </c>
      <c r="B4664" s="12">
        <f t="shared" si="216"/>
        <v>4</v>
      </c>
      <c r="C4664" s="12">
        <f t="shared" si="217"/>
        <v>2019</v>
      </c>
      <c r="D4664" s="13">
        <v>20000</v>
      </c>
      <c r="E4664" s="13">
        <v>63.802</v>
      </c>
      <c r="F4664" s="13">
        <f t="shared" si="218"/>
        <v>313.46979718504122</v>
      </c>
    </row>
    <row r="4665" spans="1:6" x14ac:dyDescent="0.25">
      <c r="A4665" s="10">
        <v>43573</v>
      </c>
      <c r="B4665" s="12">
        <f t="shared" si="216"/>
        <v>4</v>
      </c>
      <c r="C4665" s="12">
        <f t="shared" si="217"/>
        <v>2019</v>
      </c>
      <c r="D4665" s="13">
        <v>20000</v>
      </c>
      <c r="E4665" s="13">
        <v>63.8645</v>
      </c>
      <c r="F4665" s="13">
        <f t="shared" si="218"/>
        <v>313.16302484165692</v>
      </c>
    </row>
    <row r="4666" spans="1:6" x14ac:dyDescent="0.25">
      <c r="A4666" s="10">
        <v>43577</v>
      </c>
      <c r="B4666" s="12">
        <f t="shared" si="216"/>
        <v>4</v>
      </c>
      <c r="C4666" s="12">
        <f t="shared" si="217"/>
        <v>2019</v>
      </c>
      <c r="D4666" s="13">
        <v>20000</v>
      </c>
      <c r="E4666" s="13">
        <v>63.766500000000001</v>
      </c>
      <c r="F4666" s="13">
        <f t="shared" si="218"/>
        <v>313.64431166835249</v>
      </c>
    </row>
    <row r="4667" spans="1:6" x14ac:dyDescent="0.25">
      <c r="A4667" s="10">
        <v>43578</v>
      </c>
      <c r="B4667" s="12">
        <f t="shared" si="216"/>
        <v>4</v>
      </c>
      <c r="C4667" s="12">
        <f t="shared" si="217"/>
        <v>2019</v>
      </c>
      <c r="D4667" s="13">
        <v>20000</v>
      </c>
      <c r="E4667" s="13">
        <v>63.694000000000003</v>
      </c>
      <c r="F4667" s="13">
        <f t="shared" si="218"/>
        <v>314.00131880553897</v>
      </c>
    </row>
    <row r="4668" spans="1:6" x14ac:dyDescent="0.25">
      <c r="A4668" s="10">
        <v>43579</v>
      </c>
      <c r="B4668" s="12">
        <f t="shared" si="216"/>
        <v>4</v>
      </c>
      <c r="C4668" s="12">
        <f t="shared" si="217"/>
        <v>2019</v>
      </c>
      <c r="D4668" s="13">
        <v>20000</v>
      </c>
      <c r="E4668" s="13">
        <v>64.392499999999998</v>
      </c>
      <c r="F4668" s="13">
        <f t="shared" si="218"/>
        <v>310.5951780098614</v>
      </c>
    </row>
    <row r="4669" spans="1:6" x14ac:dyDescent="0.25">
      <c r="A4669" s="10">
        <v>43580</v>
      </c>
      <c r="B4669" s="12">
        <f t="shared" si="216"/>
        <v>4</v>
      </c>
      <c r="C4669" s="12">
        <f t="shared" si="217"/>
        <v>2019</v>
      </c>
      <c r="D4669" s="13">
        <v>20000</v>
      </c>
      <c r="E4669" s="13">
        <v>64.649500000000003</v>
      </c>
      <c r="F4669" s="13">
        <f t="shared" si="218"/>
        <v>309.36047455896795</v>
      </c>
    </row>
    <row r="4670" spans="1:6" x14ac:dyDescent="0.25">
      <c r="A4670" s="10">
        <v>43581</v>
      </c>
      <c r="B4670" s="12">
        <f t="shared" si="216"/>
        <v>4</v>
      </c>
      <c r="C4670" s="12">
        <f t="shared" si="217"/>
        <v>2019</v>
      </c>
      <c r="D4670" s="13">
        <v>20000</v>
      </c>
      <c r="E4670" s="13">
        <v>64.795000000000002</v>
      </c>
      <c r="F4670" s="13">
        <f t="shared" si="218"/>
        <v>308.66579211358902</v>
      </c>
    </row>
    <row r="4671" spans="1:6" x14ac:dyDescent="0.25">
      <c r="A4671" s="10">
        <v>43584</v>
      </c>
      <c r="B4671" s="12">
        <f t="shared" si="216"/>
        <v>4</v>
      </c>
      <c r="C4671" s="12">
        <f t="shared" si="217"/>
        <v>2019</v>
      </c>
      <c r="D4671" s="13">
        <v>20000</v>
      </c>
      <c r="E4671" s="13">
        <v>64.461500000000001</v>
      </c>
      <c r="F4671" s="13">
        <f t="shared" si="218"/>
        <v>310.26271495388721</v>
      </c>
    </row>
    <row r="4672" spans="1:6" x14ac:dyDescent="0.25">
      <c r="A4672" s="10">
        <v>43585</v>
      </c>
      <c r="B4672" s="12">
        <f t="shared" si="216"/>
        <v>4</v>
      </c>
      <c r="C4672" s="12">
        <f t="shared" si="217"/>
        <v>2019</v>
      </c>
      <c r="D4672" s="13">
        <v>20000</v>
      </c>
      <c r="E4672" s="13">
        <v>64.582999999999998</v>
      </c>
      <c r="F4672" s="13">
        <f t="shared" si="218"/>
        <v>309.67901769815586</v>
      </c>
    </row>
    <row r="4673" spans="1:6" x14ac:dyDescent="0.25">
      <c r="A4673" s="10">
        <v>43586</v>
      </c>
      <c r="B4673" s="12">
        <f t="shared" si="216"/>
        <v>5</v>
      </c>
      <c r="C4673" s="12">
        <f t="shared" si="217"/>
        <v>2019</v>
      </c>
      <c r="D4673" s="13">
        <v>20000</v>
      </c>
      <c r="E4673" s="13">
        <v>64.83</v>
      </c>
      <c r="F4673" s="13">
        <f t="shared" si="218"/>
        <v>308.49915162733305</v>
      </c>
    </row>
    <row r="4674" spans="1:6" x14ac:dyDescent="0.25">
      <c r="A4674" s="10">
        <v>43587</v>
      </c>
      <c r="B4674" s="12">
        <f t="shared" si="216"/>
        <v>5</v>
      </c>
      <c r="C4674" s="12">
        <f t="shared" si="217"/>
        <v>2019</v>
      </c>
      <c r="D4674" s="13">
        <v>20000</v>
      </c>
      <c r="E4674" s="13">
        <v>65.376000000000005</v>
      </c>
      <c r="F4674" s="13">
        <f t="shared" si="218"/>
        <v>305.92266275085655</v>
      </c>
    </row>
    <row r="4675" spans="1:6" x14ac:dyDescent="0.25">
      <c r="A4675" s="10">
        <v>43588</v>
      </c>
      <c r="B4675" s="12">
        <f t="shared" ref="B4675:B4738" si="219">MONTH(A4675)</f>
        <v>5</v>
      </c>
      <c r="C4675" s="12">
        <f t="shared" ref="C4675:C4738" si="220">YEAR(A4675)</f>
        <v>2019</v>
      </c>
      <c r="D4675" s="13">
        <v>20000</v>
      </c>
      <c r="E4675" s="13">
        <v>65.082499999999996</v>
      </c>
      <c r="F4675" s="13">
        <f t="shared" ref="F4675:F4738" si="221">IF(D4675="","",D4675/E4675)</f>
        <v>307.30227019552109</v>
      </c>
    </row>
    <row r="4676" spans="1:6" x14ac:dyDescent="0.25">
      <c r="A4676" s="10">
        <v>43591</v>
      </c>
      <c r="B4676" s="12">
        <f t="shared" si="219"/>
        <v>5</v>
      </c>
      <c r="C4676" s="12">
        <f t="shared" si="220"/>
        <v>2019</v>
      </c>
      <c r="D4676" s="13">
        <v>19800</v>
      </c>
      <c r="E4676" s="13">
        <v>65.227999999999994</v>
      </c>
      <c r="F4676" s="13">
        <f t="shared" si="221"/>
        <v>303.55062243208442</v>
      </c>
    </row>
    <row r="4677" spans="1:6" x14ac:dyDescent="0.25">
      <c r="A4677" s="10">
        <v>43592</v>
      </c>
      <c r="B4677" s="12">
        <f t="shared" si="219"/>
        <v>5</v>
      </c>
      <c r="C4677" s="12">
        <f t="shared" si="220"/>
        <v>2019</v>
      </c>
      <c r="D4677" s="13">
        <v>19800</v>
      </c>
      <c r="E4677" s="13">
        <v>65.373999999999995</v>
      </c>
      <c r="F4677" s="13">
        <f t="shared" si="221"/>
        <v>302.87270168568546</v>
      </c>
    </row>
    <row r="4678" spans="1:6" x14ac:dyDescent="0.25">
      <c r="A4678" s="10">
        <v>43593</v>
      </c>
      <c r="B4678" s="12">
        <f t="shared" si="219"/>
        <v>5</v>
      </c>
      <c r="C4678" s="12">
        <f t="shared" si="220"/>
        <v>2019</v>
      </c>
      <c r="D4678" s="13">
        <v>19800</v>
      </c>
      <c r="E4678" s="13">
        <v>64.975999999999999</v>
      </c>
      <c r="F4678" s="13">
        <f t="shared" si="221"/>
        <v>304.72789953213493</v>
      </c>
    </row>
    <row r="4679" spans="1:6" x14ac:dyDescent="0.25">
      <c r="A4679" s="10">
        <v>43594</v>
      </c>
      <c r="B4679" s="12">
        <f t="shared" si="219"/>
        <v>5</v>
      </c>
      <c r="C4679" s="12">
        <f t="shared" si="220"/>
        <v>2019</v>
      </c>
      <c r="D4679" s="13">
        <v>19800</v>
      </c>
      <c r="E4679" s="13">
        <v>65.22</v>
      </c>
      <c r="F4679" s="13">
        <f t="shared" si="221"/>
        <v>303.58785648574059</v>
      </c>
    </row>
    <row r="4680" spans="1:6" x14ac:dyDescent="0.25">
      <c r="A4680" s="10">
        <v>43595</v>
      </c>
      <c r="B4680" s="12">
        <f t="shared" si="219"/>
        <v>5</v>
      </c>
      <c r="C4680" s="12">
        <f t="shared" si="220"/>
        <v>2019</v>
      </c>
      <c r="D4680" s="13">
        <v>19800</v>
      </c>
      <c r="E4680" s="13">
        <v>65.087699999999998</v>
      </c>
      <c r="F4680" s="13">
        <f t="shared" si="221"/>
        <v>304.2049419475569</v>
      </c>
    </row>
    <row r="4681" spans="1:6" x14ac:dyDescent="0.25">
      <c r="A4681" s="10">
        <v>43598</v>
      </c>
      <c r="B4681" s="12">
        <f t="shared" si="219"/>
        <v>5</v>
      </c>
      <c r="C4681" s="12">
        <f t="shared" si="220"/>
        <v>2019</v>
      </c>
      <c r="D4681" s="13">
        <v>19500</v>
      </c>
      <c r="E4681" s="13">
        <v>65.374600000000001</v>
      </c>
      <c r="F4681" s="13">
        <f t="shared" si="221"/>
        <v>298.28098374598085</v>
      </c>
    </row>
    <row r="4682" spans="1:6" x14ac:dyDescent="0.25">
      <c r="A4682" s="10">
        <v>43599</v>
      </c>
      <c r="B4682" s="12">
        <f t="shared" si="219"/>
        <v>5</v>
      </c>
      <c r="C4682" s="12">
        <f t="shared" si="220"/>
        <v>2019</v>
      </c>
      <c r="D4682" s="13">
        <v>19500</v>
      </c>
      <c r="E4682" s="13">
        <v>64.894800000000004</v>
      </c>
      <c r="F4682" s="13">
        <f t="shared" si="221"/>
        <v>300.4863255607537</v>
      </c>
    </row>
    <row r="4683" spans="1:6" x14ac:dyDescent="0.25">
      <c r="A4683" s="10">
        <v>43600</v>
      </c>
      <c r="B4683" s="12">
        <f t="shared" si="219"/>
        <v>5</v>
      </c>
      <c r="C4683" s="12">
        <f t="shared" si="220"/>
        <v>2019</v>
      </c>
      <c r="D4683" s="13">
        <v>19500</v>
      </c>
      <c r="E4683" s="13">
        <v>64.655500000000004</v>
      </c>
      <c r="F4683" s="13">
        <f t="shared" si="221"/>
        <v>301.5984719010757</v>
      </c>
    </row>
    <row r="4684" spans="1:6" x14ac:dyDescent="0.25">
      <c r="A4684" s="10">
        <v>43601</v>
      </c>
      <c r="B4684" s="12">
        <f t="shared" si="219"/>
        <v>5</v>
      </c>
      <c r="C4684" s="12">
        <f t="shared" si="220"/>
        <v>2019</v>
      </c>
      <c r="D4684" s="13">
        <v>19500</v>
      </c>
      <c r="E4684" s="13">
        <v>64.620500000000007</v>
      </c>
      <c r="F4684" s="13">
        <f t="shared" si="221"/>
        <v>301.76182480791698</v>
      </c>
    </row>
    <row r="4685" spans="1:6" x14ac:dyDescent="0.25">
      <c r="A4685" s="10">
        <v>43602</v>
      </c>
      <c r="B4685" s="12">
        <f t="shared" si="219"/>
        <v>5</v>
      </c>
      <c r="C4685" s="12">
        <f t="shared" si="220"/>
        <v>2019</v>
      </c>
      <c r="D4685" s="13">
        <v>19500</v>
      </c>
      <c r="E4685" s="13">
        <v>64.750500000000002</v>
      </c>
      <c r="F4685" s="13">
        <f t="shared" si="221"/>
        <v>301.15597562953178</v>
      </c>
    </row>
    <row r="4686" spans="1:6" x14ac:dyDescent="0.25">
      <c r="A4686" s="10">
        <v>43605</v>
      </c>
      <c r="B4686" s="12">
        <f t="shared" si="219"/>
        <v>5</v>
      </c>
      <c r="C4686" s="12">
        <f t="shared" si="220"/>
        <v>2019</v>
      </c>
      <c r="D4686" s="13">
        <v>19500</v>
      </c>
      <c r="E4686" s="13">
        <v>64.5</v>
      </c>
      <c r="F4686" s="13">
        <f t="shared" si="221"/>
        <v>302.32558139534882</v>
      </c>
    </row>
    <row r="4687" spans="1:6" x14ac:dyDescent="0.25">
      <c r="A4687" s="10">
        <v>43606</v>
      </c>
      <c r="B4687" s="12">
        <f t="shared" si="219"/>
        <v>5</v>
      </c>
      <c r="C4687" s="12">
        <f t="shared" si="220"/>
        <v>2019</v>
      </c>
      <c r="D4687" s="13">
        <v>19500</v>
      </c>
      <c r="E4687" s="13">
        <v>64.41</v>
      </c>
      <c r="F4687" s="13">
        <f t="shared" si="221"/>
        <v>302.74802049371215</v>
      </c>
    </row>
    <row r="4688" spans="1:6" x14ac:dyDescent="0.25">
      <c r="A4688" s="10">
        <v>43607</v>
      </c>
      <c r="B4688" s="12">
        <f t="shared" si="219"/>
        <v>5</v>
      </c>
      <c r="C4688" s="12">
        <f t="shared" si="220"/>
        <v>2019</v>
      </c>
      <c r="D4688" s="13">
        <v>19500</v>
      </c>
      <c r="E4688" s="13">
        <v>64.284999999999997</v>
      </c>
      <c r="F4688" s="13">
        <f t="shared" si="221"/>
        <v>303.33670374115269</v>
      </c>
    </row>
    <row r="4689" spans="1:6" x14ac:dyDescent="0.25">
      <c r="A4689" s="10">
        <v>43608</v>
      </c>
      <c r="B4689" s="12">
        <f t="shared" si="219"/>
        <v>5</v>
      </c>
      <c r="C4689" s="12">
        <f t="shared" si="220"/>
        <v>2019</v>
      </c>
      <c r="D4689" s="13">
        <v>19500</v>
      </c>
      <c r="E4689" s="13">
        <v>64.842500000000001</v>
      </c>
      <c r="F4689" s="13">
        <f t="shared" si="221"/>
        <v>300.72868874580712</v>
      </c>
    </row>
    <row r="4690" spans="1:6" x14ac:dyDescent="0.25">
      <c r="A4690" s="10">
        <v>43609</v>
      </c>
      <c r="B4690" s="12">
        <f t="shared" si="219"/>
        <v>5</v>
      </c>
      <c r="C4690" s="12">
        <f t="shared" si="220"/>
        <v>2019</v>
      </c>
      <c r="D4690" s="13">
        <v>19500</v>
      </c>
      <c r="E4690" s="13">
        <v>64.418999999999997</v>
      </c>
      <c r="F4690" s="13">
        <f t="shared" si="221"/>
        <v>302.7057234666791</v>
      </c>
    </row>
    <row r="4691" spans="1:6" x14ac:dyDescent="0.25">
      <c r="A4691" s="10">
        <v>43613</v>
      </c>
      <c r="B4691" s="12">
        <f t="shared" si="219"/>
        <v>5</v>
      </c>
      <c r="C4691" s="12">
        <f t="shared" si="220"/>
        <v>2019</v>
      </c>
      <c r="D4691" s="13">
        <v>19500</v>
      </c>
      <c r="E4691" s="13">
        <v>64.6678</v>
      </c>
      <c r="F4691" s="13">
        <f t="shared" si="221"/>
        <v>301.54110701152661</v>
      </c>
    </row>
    <row r="4692" spans="1:6" x14ac:dyDescent="0.25">
      <c r="A4692" s="10">
        <v>43614</v>
      </c>
      <c r="B4692" s="12">
        <f t="shared" si="219"/>
        <v>5</v>
      </c>
      <c r="C4692" s="12">
        <f t="shared" si="220"/>
        <v>2019</v>
      </c>
      <c r="D4692" s="13">
        <v>19500</v>
      </c>
      <c r="E4692" s="13">
        <v>64.914000000000001</v>
      </c>
      <c r="F4692" s="13">
        <f t="shared" si="221"/>
        <v>300.39744893243369</v>
      </c>
    </row>
    <row r="4693" spans="1:6" x14ac:dyDescent="0.25">
      <c r="A4693" s="10">
        <v>43615</v>
      </c>
      <c r="B4693" s="12">
        <f t="shared" si="219"/>
        <v>5</v>
      </c>
      <c r="C4693" s="12">
        <f t="shared" si="220"/>
        <v>2019</v>
      </c>
      <c r="D4693" s="13">
        <v>19500</v>
      </c>
      <c r="E4693" s="13">
        <v>65.173000000000002</v>
      </c>
      <c r="F4693" s="13">
        <f t="shared" si="221"/>
        <v>299.20365795651571</v>
      </c>
    </row>
    <row r="4694" spans="1:6" x14ac:dyDescent="0.25">
      <c r="A4694" s="10">
        <v>43616</v>
      </c>
      <c r="B4694" s="12">
        <f t="shared" si="219"/>
        <v>5</v>
      </c>
      <c r="C4694" s="12">
        <f t="shared" si="220"/>
        <v>2019</v>
      </c>
      <c r="D4694" s="13">
        <v>19500</v>
      </c>
      <c r="E4694" s="13">
        <v>65.408000000000001</v>
      </c>
      <c r="F4694" s="13">
        <f t="shared" si="221"/>
        <v>298.12866927592955</v>
      </c>
    </row>
    <row r="4695" spans="1:6" x14ac:dyDescent="0.25">
      <c r="A4695" s="10">
        <v>43619</v>
      </c>
      <c r="B4695" s="12">
        <f t="shared" si="219"/>
        <v>6</v>
      </c>
      <c r="C4695" s="12">
        <f t="shared" si="220"/>
        <v>2019</v>
      </c>
      <c r="D4695" s="13">
        <v>19600</v>
      </c>
      <c r="E4695" s="13">
        <v>65.322000000000003</v>
      </c>
      <c r="F4695" s="13">
        <f t="shared" si="221"/>
        <v>300.0520498453813</v>
      </c>
    </row>
    <row r="4696" spans="1:6" x14ac:dyDescent="0.25">
      <c r="A4696" s="10">
        <v>43620</v>
      </c>
      <c r="B4696" s="12">
        <f t="shared" si="219"/>
        <v>6</v>
      </c>
      <c r="C4696" s="12">
        <f t="shared" si="220"/>
        <v>2019</v>
      </c>
      <c r="D4696" s="13">
        <v>19600</v>
      </c>
      <c r="E4696" s="13">
        <v>65.140500000000003</v>
      </c>
      <c r="F4696" s="13">
        <f t="shared" si="221"/>
        <v>300.88808038010148</v>
      </c>
    </row>
    <row r="4697" spans="1:6" x14ac:dyDescent="0.25">
      <c r="A4697" s="10">
        <v>43621</v>
      </c>
      <c r="B4697" s="12">
        <f t="shared" si="219"/>
        <v>6</v>
      </c>
      <c r="C4697" s="12">
        <f t="shared" si="220"/>
        <v>2019</v>
      </c>
      <c r="D4697" s="13">
        <v>19600</v>
      </c>
      <c r="E4697" s="13">
        <v>65.3035</v>
      </c>
      <c r="F4697" s="13">
        <f t="shared" si="221"/>
        <v>300.13705237850957</v>
      </c>
    </row>
    <row r="4698" spans="1:6" x14ac:dyDescent="0.25">
      <c r="A4698" s="10">
        <v>43622</v>
      </c>
      <c r="B4698" s="12">
        <f t="shared" si="219"/>
        <v>6</v>
      </c>
      <c r="C4698" s="12">
        <f t="shared" si="220"/>
        <v>2019</v>
      </c>
      <c r="D4698" s="13">
        <v>19600</v>
      </c>
      <c r="E4698" s="13">
        <v>65.076999999999998</v>
      </c>
      <c r="F4698" s="13">
        <f t="shared" si="221"/>
        <v>301.18167709021623</v>
      </c>
    </row>
    <row r="4699" spans="1:6" x14ac:dyDescent="0.25">
      <c r="A4699" s="10">
        <v>43623</v>
      </c>
      <c r="B4699" s="12">
        <f t="shared" si="219"/>
        <v>6</v>
      </c>
      <c r="C4699" s="12">
        <f t="shared" si="220"/>
        <v>2019</v>
      </c>
      <c r="D4699" s="13">
        <v>19600</v>
      </c>
      <c r="E4699" s="13">
        <v>64.771199999999993</v>
      </c>
      <c r="F4699" s="13">
        <f t="shared" si="221"/>
        <v>302.60362630304832</v>
      </c>
    </row>
    <row r="4700" spans="1:6" x14ac:dyDescent="0.25">
      <c r="A4700" s="10">
        <v>43626</v>
      </c>
      <c r="B4700" s="12">
        <f t="shared" si="219"/>
        <v>6</v>
      </c>
      <c r="C4700" s="12">
        <f t="shared" si="220"/>
        <v>2019</v>
      </c>
      <c r="D4700" s="13">
        <v>19600</v>
      </c>
      <c r="E4700" s="13">
        <v>64.738799999999998</v>
      </c>
      <c r="F4700" s="13">
        <f t="shared" si="221"/>
        <v>302.75507114744175</v>
      </c>
    </row>
    <row r="4701" spans="1:6" x14ac:dyDescent="0.25">
      <c r="A4701" s="10">
        <v>43627</v>
      </c>
      <c r="B4701" s="12">
        <f t="shared" si="219"/>
        <v>6</v>
      </c>
      <c r="C4701" s="12">
        <f t="shared" si="220"/>
        <v>2019</v>
      </c>
      <c r="D4701" s="13">
        <v>19600</v>
      </c>
      <c r="E4701" s="13">
        <v>64.52</v>
      </c>
      <c r="F4701" s="13">
        <f t="shared" si="221"/>
        <v>303.78177309361439</v>
      </c>
    </row>
    <row r="4702" spans="1:6" x14ac:dyDescent="0.25">
      <c r="A4702" s="10">
        <v>43628</v>
      </c>
      <c r="B4702" s="12">
        <f t="shared" si="219"/>
        <v>6</v>
      </c>
      <c r="C4702" s="12">
        <f t="shared" si="220"/>
        <v>2019</v>
      </c>
      <c r="D4702" s="13">
        <v>19600</v>
      </c>
      <c r="E4702" s="13">
        <v>64.891499999999994</v>
      </c>
      <c r="F4702" s="13">
        <f t="shared" si="221"/>
        <v>302.04264040744937</v>
      </c>
    </row>
    <row r="4703" spans="1:6" x14ac:dyDescent="0.25">
      <c r="A4703" s="10">
        <v>43629</v>
      </c>
      <c r="B4703" s="12">
        <f t="shared" si="219"/>
        <v>6</v>
      </c>
      <c r="C4703" s="12">
        <f t="shared" si="220"/>
        <v>2019</v>
      </c>
      <c r="D4703" s="13">
        <v>19600</v>
      </c>
      <c r="E4703" s="13">
        <v>64.549499999999995</v>
      </c>
      <c r="F4703" s="13">
        <f t="shared" si="221"/>
        <v>303.64294068892866</v>
      </c>
    </row>
    <row r="4704" spans="1:6" x14ac:dyDescent="0.25">
      <c r="A4704" s="10">
        <v>43630</v>
      </c>
      <c r="B4704" s="12">
        <f t="shared" si="219"/>
        <v>6</v>
      </c>
      <c r="C4704" s="12">
        <f t="shared" si="220"/>
        <v>2019</v>
      </c>
      <c r="D4704" s="13">
        <v>19600</v>
      </c>
      <c r="E4704" s="13">
        <v>64.367500000000007</v>
      </c>
      <c r="F4704" s="13">
        <f t="shared" si="221"/>
        <v>304.50149531984306</v>
      </c>
    </row>
    <row r="4705" spans="1:6" x14ac:dyDescent="0.25">
      <c r="A4705" s="10">
        <v>43633</v>
      </c>
      <c r="B4705" s="12">
        <f t="shared" si="219"/>
        <v>6</v>
      </c>
      <c r="C4705" s="12">
        <f t="shared" si="220"/>
        <v>2019</v>
      </c>
      <c r="D4705" s="13">
        <v>19500</v>
      </c>
      <c r="E4705" s="13">
        <v>64.283000000000001</v>
      </c>
      <c r="F4705" s="13">
        <f t="shared" si="221"/>
        <v>303.34614128152077</v>
      </c>
    </row>
    <row r="4706" spans="1:6" x14ac:dyDescent="0.25">
      <c r="A4706" s="10">
        <v>43634</v>
      </c>
      <c r="B4706" s="12">
        <f t="shared" si="219"/>
        <v>6</v>
      </c>
      <c r="C4706" s="12">
        <f t="shared" si="220"/>
        <v>2019</v>
      </c>
      <c r="D4706" s="13">
        <v>19500</v>
      </c>
      <c r="E4706" s="13">
        <v>63.992800000000003</v>
      </c>
      <c r="F4706" s="13">
        <f t="shared" si="221"/>
        <v>304.72178120038501</v>
      </c>
    </row>
    <row r="4707" spans="1:6" x14ac:dyDescent="0.25">
      <c r="A4707" s="10">
        <v>43635</v>
      </c>
      <c r="B4707" s="12">
        <f t="shared" si="219"/>
        <v>6</v>
      </c>
      <c r="C4707" s="12">
        <f t="shared" si="220"/>
        <v>2019</v>
      </c>
      <c r="D4707" s="13">
        <v>19500</v>
      </c>
      <c r="E4707" s="13">
        <v>63.7166</v>
      </c>
      <c r="F4707" s="13">
        <f t="shared" si="221"/>
        <v>306.04269531017036</v>
      </c>
    </row>
    <row r="4708" spans="1:6" x14ac:dyDescent="0.25">
      <c r="A4708" s="10">
        <v>43636</v>
      </c>
      <c r="B4708" s="12">
        <f t="shared" si="219"/>
        <v>6</v>
      </c>
      <c r="C4708" s="12">
        <f t="shared" si="220"/>
        <v>2019</v>
      </c>
      <c r="D4708" s="13">
        <v>19500</v>
      </c>
      <c r="E4708" s="13">
        <v>62.8371</v>
      </c>
      <c r="F4708" s="13">
        <f t="shared" si="221"/>
        <v>310.32622447566803</v>
      </c>
    </row>
    <row r="4709" spans="1:6" x14ac:dyDescent="0.25">
      <c r="A4709" s="10">
        <v>43637</v>
      </c>
      <c r="B4709" s="12">
        <f t="shared" si="219"/>
        <v>6</v>
      </c>
      <c r="C4709" s="12">
        <f t="shared" si="220"/>
        <v>2019</v>
      </c>
      <c r="D4709" s="13">
        <v>19500</v>
      </c>
      <c r="E4709" s="13">
        <v>63</v>
      </c>
      <c r="F4709" s="13">
        <f t="shared" si="221"/>
        <v>309.52380952380952</v>
      </c>
    </row>
    <row r="4710" spans="1:6" x14ac:dyDescent="0.25">
      <c r="A4710" s="10">
        <v>43640</v>
      </c>
      <c r="B4710" s="12">
        <f t="shared" si="219"/>
        <v>6</v>
      </c>
      <c r="C4710" s="12">
        <f t="shared" si="220"/>
        <v>2019</v>
      </c>
      <c r="D4710" s="13">
        <v>19500</v>
      </c>
      <c r="E4710" s="13">
        <v>62.541400000000003</v>
      </c>
      <c r="F4710" s="13">
        <f t="shared" si="221"/>
        <v>311.7934680067923</v>
      </c>
    </row>
    <row r="4711" spans="1:6" x14ac:dyDescent="0.25">
      <c r="A4711" s="10">
        <v>43641</v>
      </c>
      <c r="B4711" s="12">
        <f t="shared" si="219"/>
        <v>6</v>
      </c>
      <c r="C4711" s="12">
        <f t="shared" si="220"/>
        <v>2019</v>
      </c>
      <c r="D4711" s="13">
        <v>19500</v>
      </c>
      <c r="E4711" s="13">
        <v>62.8688</v>
      </c>
      <c r="F4711" s="13">
        <f t="shared" si="221"/>
        <v>310.16975033721019</v>
      </c>
    </row>
    <row r="4712" spans="1:6" x14ac:dyDescent="0.25">
      <c r="A4712" s="10">
        <v>43642</v>
      </c>
      <c r="B4712" s="12">
        <f t="shared" si="219"/>
        <v>6</v>
      </c>
      <c r="C4712" s="12">
        <f t="shared" si="220"/>
        <v>2019</v>
      </c>
      <c r="D4712" s="13">
        <v>19500</v>
      </c>
      <c r="E4712" s="13">
        <v>62.9818</v>
      </c>
      <c r="F4712" s="13">
        <f t="shared" si="221"/>
        <v>309.61325335255583</v>
      </c>
    </row>
    <row r="4713" spans="1:6" x14ac:dyDescent="0.25">
      <c r="A4713" s="10">
        <v>43643</v>
      </c>
      <c r="B4713" s="12">
        <f t="shared" si="219"/>
        <v>6</v>
      </c>
      <c r="C4713" s="12">
        <f t="shared" si="220"/>
        <v>2019</v>
      </c>
      <c r="D4713" s="13">
        <v>19500</v>
      </c>
      <c r="E4713" s="13">
        <v>63.052500000000002</v>
      </c>
      <c r="F4713" s="13">
        <f t="shared" si="221"/>
        <v>309.26608778398952</v>
      </c>
    </row>
    <row r="4714" spans="1:6" x14ac:dyDescent="0.25">
      <c r="A4714" s="10">
        <v>43644</v>
      </c>
      <c r="B4714" s="12">
        <f t="shared" si="219"/>
        <v>6</v>
      </c>
      <c r="C4714" s="12">
        <f t="shared" si="220"/>
        <v>2019</v>
      </c>
      <c r="D4714" s="13">
        <v>19500</v>
      </c>
      <c r="E4714" s="13">
        <v>63.252499999999998</v>
      </c>
      <c r="F4714" s="13">
        <f t="shared" si="221"/>
        <v>308.28820995217581</v>
      </c>
    </row>
    <row r="4715" spans="1:6" x14ac:dyDescent="0.25">
      <c r="A4715" s="10">
        <v>43647</v>
      </c>
      <c r="B4715" s="12">
        <f t="shared" si="219"/>
        <v>7</v>
      </c>
      <c r="C4715" s="12">
        <f t="shared" si="220"/>
        <v>2019</v>
      </c>
      <c r="D4715" s="13">
        <v>20000</v>
      </c>
      <c r="E4715" s="13">
        <v>62.9955</v>
      </c>
      <c r="F4715" s="13">
        <f t="shared" si="221"/>
        <v>317.48299481709012</v>
      </c>
    </row>
    <row r="4716" spans="1:6" x14ac:dyDescent="0.25">
      <c r="A4716" s="10">
        <v>43648</v>
      </c>
      <c r="B4716" s="12">
        <f t="shared" si="219"/>
        <v>7</v>
      </c>
      <c r="C4716" s="12">
        <f t="shared" si="220"/>
        <v>2019</v>
      </c>
      <c r="D4716" s="13">
        <v>20000</v>
      </c>
      <c r="E4716" s="13">
        <v>63.291499999999999</v>
      </c>
      <c r="F4716" s="13">
        <f t="shared" si="221"/>
        <v>315.99819881026679</v>
      </c>
    </row>
    <row r="4717" spans="1:6" x14ac:dyDescent="0.25">
      <c r="A4717" s="10">
        <v>43649</v>
      </c>
      <c r="B4717" s="12">
        <f t="shared" si="219"/>
        <v>7</v>
      </c>
      <c r="C4717" s="12">
        <f t="shared" si="220"/>
        <v>2019</v>
      </c>
      <c r="D4717" s="13">
        <v>20000</v>
      </c>
      <c r="E4717" s="13">
        <v>63.314</v>
      </c>
      <c r="F4717" s="13">
        <f t="shared" si="221"/>
        <v>315.88590201219318</v>
      </c>
    </row>
    <row r="4718" spans="1:6" x14ac:dyDescent="0.25">
      <c r="A4718" s="10">
        <v>43651</v>
      </c>
      <c r="B4718" s="12">
        <f t="shared" si="219"/>
        <v>7</v>
      </c>
      <c r="C4718" s="12">
        <f t="shared" si="220"/>
        <v>2019</v>
      </c>
      <c r="D4718" s="13">
        <v>20000</v>
      </c>
      <c r="E4718" s="13">
        <v>63.7712</v>
      </c>
      <c r="F4718" s="13">
        <f t="shared" si="221"/>
        <v>313.62119577489523</v>
      </c>
    </row>
    <row r="4719" spans="1:6" x14ac:dyDescent="0.25">
      <c r="A4719" s="10">
        <v>43654</v>
      </c>
      <c r="B4719" s="12">
        <f t="shared" si="219"/>
        <v>7</v>
      </c>
      <c r="C4719" s="12">
        <f t="shared" si="220"/>
        <v>2019</v>
      </c>
      <c r="D4719" s="13">
        <v>20000</v>
      </c>
      <c r="E4719" s="13">
        <v>63.693600000000004</v>
      </c>
      <c r="F4719" s="13">
        <f t="shared" si="221"/>
        <v>314.00329075448707</v>
      </c>
    </row>
    <row r="4720" spans="1:6" x14ac:dyDescent="0.25">
      <c r="A4720" s="10">
        <v>43655</v>
      </c>
      <c r="B4720" s="12">
        <f t="shared" si="219"/>
        <v>7</v>
      </c>
      <c r="C4720" s="12">
        <f t="shared" si="220"/>
        <v>2019</v>
      </c>
      <c r="D4720" s="13">
        <v>20000</v>
      </c>
      <c r="E4720" s="13">
        <v>63.799500000000002</v>
      </c>
      <c r="F4720" s="13">
        <f t="shared" si="221"/>
        <v>313.48208058056878</v>
      </c>
    </row>
    <row r="4721" spans="1:6" x14ac:dyDescent="0.25">
      <c r="A4721" s="10">
        <v>43656</v>
      </c>
      <c r="B4721" s="12">
        <f t="shared" si="219"/>
        <v>7</v>
      </c>
      <c r="C4721" s="12">
        <f t="shared" si="220"/>
        <v>2019</v>
      </c>
      <c r="D4721" s="13">
        <v>20000</v>
      </c>
      <c r="E4721" s="13">
        <v>63.069000000000003</v>
      </c>
      <c r="F4721" s="13">
        <f t="shared" si="221"/>
        <v>317.11300321869697</v>
      </c>
    </row>
    <row r="4722" spans="1:6" x14ac:dyDescent="0.25">
      <c r="A4722" s="10">
        <v>43657</v>
      </c>
      <c r="B4722" s="12">
        <f t="shared" si="219"/>
        <v>7</v>
      </c>
      <c r="C4722" s="12">
        <f t="shared" si="220"/>
        <v>2019</v>
      </c>
      <c r="D4722" s="13">
        <v>20000</v>
      </c>
      <c r="E4722" s="13">
        <v>62.782499999999999</v>
      </c>
      <c r="F4722" s="13">
        <f t="shared" si="221"/>
        <v>318.56010831043682</v>
      </c>
    </row>
    <row r="4723" spans="1:6" x14ac:dyDescent="0.25">
      <c r="A4723" s="10">
        <v>43658</v>
      </c>
      <c r="B4723" s="12">
        <f t="shared" si="219"/>
        <v>7</v>
      </c>
      <c r="C4723" s="12">
        <f t="shared" si="220"/>
        <v>2019</v>
      </c>
      <c r="D4723" s="13">
        <v>20000</v>
      </c>
      <c r="E4723" s="13">
        <v>62.990200000000002</v>
      </c>
      <c r="F4723" s="13">
        <f t="shared" si="221"/>
        <v>317.50970785931781</v>
      </c>
    </row>
    <row r="4724" spans="1:6" x14ac:dyDescent="0.25">
      <c r="A4724" s="10">
        <v>43661</v>
      </c>
      <c r="B4724" s="12">
        <f t="shared" si="219"/>
        <v>7</v>
      </c>
      <c r="C4724" s="12">
        <f t="shared" si="220"/>
        <v>2019</v>
      </c>
      <c r="D4724" s="13">
        <v>20000</v>
      </c>
      <c r="E4724" s="13">
        <v>62.603900000000003</v>
      </c>
      <c r="F4724" s="13">
        <f t="shared" si="221"/>
        <v>319.46891487591029</v>
      </c>
    </row>
    <row r="4725" spans="1:6" x14ac:dyDescent="0.25">
      <c r="A4725" s="10">
        <v>43662</v>
      </c>
      <c r="B4725" s="12">
        <f t="shared" si="219"/>
        <v>7</v>
      </c>
      <c r="C4725" s="12">
        <f t="shared" si="220"/>
        <v>2019</v>
      </c>
      <c r="D4725" s="13">
        <v>20000</v>
      </c>
      <c r="E4725" s="13">
        <v>63.029600000000002</v>
      </c>
      <c r="F4725" s="13">
        <f t="shared" si="221"/>
        <v>317.31123154835188</v>
      </c>
    </row>
    <row r="4726" spans="1:6" x14ac:dyDescent="0.25">
      <c r="A4726" s="10">
        <v>43663</v>
      </c>
      <c r="B4726" s="12">
        <f t="shared" si="219"/>
        <v>7</v>
      </c>
      <c r="C4726" s="12">
        <f t="shared" si="220"/>
        <v>2019</v>
      </c>
      <c r="D4726" s="13">
        <v>20000</v>
      </c>
      <c r="E4726" s="13">
        <v>62.836399999999998</v>
      </c>
      <c r="F4726" s="13">
        <f t="shared" si="221"/>
        <v>318.28685284325644</v>
      </c>
    </row>
    <row r="4727" spans="1:6" x14ac:dyDescent="0.25">
      <c r="A4727" s="10">
        <v>43664</v>
      </c>
      <c r="B4727" s="12">
        <f t="shared" si="219"/>
        <v>7</v>
      </c>
      <c r="C4727" s="12">
        <f t="shared" si="220"/>
        <v>2019</v>
      </c>
      <c r="D4727" s="13">
        <v>20000</v>
      </c>
      <c r="E4727" s="13">
        <v>62.773600000000002</v>
      </c>
      <c r="F4727" s="13">
        <f t="shared" si="221"/>
        <v>318.60527355448784</v>
      </c>
    </row>
    <row r="4728" spans="1:6" x14ac:dyDescent="0.25">
      <c r="A4728" s="10">
        <v>43665</v>
      </c>
      <c r="B4728" s="12">
        <f t="shared" si="219"/>
        <v>7</v>
      </c>
      <c r="C4728" s="12">
        <f t="shared" si="220"/>
        <v>2019</v>
      </c>
      <c r="D4728" s="13">
        <v>20000</v>
      </c>
      <c r="E4728" s="13">
        <v>63.0105</v>
      </c>
      <c r="F4728" s="13">
        <f t="shared" si="221"/>
        <v>317.4074162242801</v>
      </c>
    </row>
    <row r="4729" spans="1:6" x14ac:dyDescent="0.25">
      <c r="A4729" s="10">
        <v>43668</v>
      </c>
      <c r="B4729" s="12">
        <f t="shared" si="219"/>
        <v>7</v>
      </c>
      <c r="C4729" s="12">
        <f t="shared" si="220"/>
        <v>2019</v>
      </c>
      <c r="E4729" s="13">
        <v>63.085000000000001</v>
      </c>
      <c r="F4729" s="13" t="str">
        <f t="shared" si="221"/>
        <v/>
      </c>
    </row>
    <row r="4730" spans="1:6" x14ac:dyDescent="0.25">
      <c r="A4730" s="10">
        <v>43669</v>
      </c>
      <c r="B4730" s="12">
        <f t="shared" si="219"/>
        <v>7</v>
      </c>
      <c r="C4730" s="12">
        <f t="shared" si="220"/>
        <v>2019</v>
      </c>
      <c r="E4730" s="13">
        <v>63.177799999999998</v>
      </c>
      <c r="F4730" s="13" t="str">
        <f t="shared" si="221"/>
        <v/>
      </c>
    </row>
    <row r="4731" spans="1:6" x14ac:dyDescent="0.25">
      <c r="A4731" s="10">
        <v>43670</v>
      </c>
      <c r="B4731" s="12">
        <f t="shared" si="219"/>
        <v>7</v>
      </c>
      <c r="C4731" s="12">
        <f t="shared" si="220"/>
        <v>2019</v>
      </c>
      <c r="E4731" s="13">
        <v>63.302300000000002</v>
      </c>
      <c r="F4731" s="13" t="str">
        <f t="shared" si="221"/>
        <v/>
      </c>
    </row>
    <row r="4732" spans="1:6" x14ac:dyDescent="0.25">
      <c r="A4732" s="10">
        <v>43671</v>
      </c>
      <c r="B4732" s="12">
        <f t="shared" si="219"/>
        <v>7</v>
      </c>
      <c r="C4732" s="12">
        <f t="shared" si="220"/>
        <v>2019</v>
      </c>
      <c r="E4732" s="13">
        <v>63.241700000000002</v>
      </c>
      <c r="F4732" s="13" t="str">
        <f t="shared" si="221"/>
        <v/>
      </c>
    </row>
    <row r="4733" spans="1:6" x14ac:dyDescent="0.25">
      <c r="A4733" s="10">
        <v>43672</v>
      </c>
      <c r="B4733" s="12">
        <f t="shared" si="219"/>
        <v>7</v>
      </c>
      <c r="C4733" s="12">
        <f t="shared" si="220"/>
        <v>2019</v>
      </c>
      <c r="E4733" s="13">
        <v>63.327500000000001</v>
      </c>
      <c r="F4733" s="13" t="str">
        <f t="shared" si="221"/>
        <v/>
      </c>
    </row>
    <row r="4734" spans="1:6" x14ac:dyDescent="0.25">
      <c r="A4734" s="10">
        <v>43675</v>
      </c>
      <c r="B4734" s="12">
        <f t="shared" si="219"/>
        <v>7</v>
      </c>
      <c r="C4734" s="12">
        <f t="shared" si="220"/>
        <v>2019</v>
      </c>
      <c r="E4734" s="13">
        <v>63.405000000000001</v>
      </c>
      <c r="F4734" s="13" t="str">
        <f t="shared" si="221"/>
        <v/>
      </c>
    </row>
    <row r="4735" spans="1:6" x14ac:dyDescent="0.25">
      <c r="A4735" s="10">
        <v>43676</v>
      </c>
      <c r="B4735" s="12">
        <f t="shared" si="219"/>
        <v>7</v>
      </c>
      <c r="C4735" s="12">
        <f t="shared" si="220"/>
        <v>2019</v>
      </c>
      <c r="E4735" s="13">
        <v>63.492699999999999</v>
      </c>
      <c r="F4735" s="13" t="str">
        <f t="shared" si="221"/>
        <v/>
      </c>
    </row>
    <row r="4736" spans="1:6" x14ac:dyDescent="0.25">
      <c r="A4736" s="10">
        <v>43677</v>
      </c>
      <c r="B4736" s="12">
        <f t="shared" si="219"/>
        <v>7</v>
      </c>
      <c r="C4736" s="12">
        <f t="shared" si="220"/>
        <v>2019</v>
      </c>
      <c r="E4736" s="13">
        <v>63.641300000000001</v>
      </c>
      <c r="F4736" s="13" t="str">
        <f t="shared" si="221"/>
        <v/>
      </c>
    </row>
    <row r="4737" spans="1:6" x14ac:dyDescent="0.25">
      <c r="A4737" s="10">
        <v>43678</v>
      </c>
      <c r="B4737" s="12">
        <f t="shared" si="219"/>
        <v>8</v>
      </c>
      <c r="C4737" s="12">
        <f t="shared" si="220"/>
        <v>2019</v>
      </c>
      <c r="E4737" s="13">
        <v>64.366</v>
      </c>
      <c r="F4737" s="13" t="str">
        <f t="shared" si="221"/>
        <v/>
      </c>
    </row>
    <row r="4738" spans="1:6" x14ac:dyDescent="0.25">
      <c r="A4738" s="10">
        <v>43679</v>
      </c>
      <c r="B4738" s="12">
        <f t="shared" si="219"/>
        <v>8</v>
      </c>
      <c r="C4738" s="12">
        <f t="shared" si="220"/>
        <v>2019</v>
      </c>
      <c r="E4738" s="13">
        <v>65.269099999999995</v>
      </c>
      <c r="F4738" s="13" t="str">
        <f t="shared" si="221"/>
        <v/>
      </c>
    </row>
    <row r="4739" spans="1:6" x14ac:dyDescent="0.25">
      <c r="A4739" s="10">
        <v>43682</v>
      </c>
      <c r="B4739" s="12">
        <f t="shared" ref="B4739:B4802" si="222">MONTH(A4739)</f>
        <v>8</v>
      </c>
      <c r="C4739" s="12">
        <f t="shared" ref="C4739:C4802" si="223">YEAR(A4739)</f>
        <v>2019</v>
      </c>
      <c r="E4739" s="13">
        <v>65.430000000000007</v>
      </c>
      <c r="F4739" s="13" t="str">
        <f t="shared" ref="F4739:F4802" si="224">IF(D4739="","",D4739/E4739)</f>
        <v/>
      </c>
    </row>
    <row r="4740" spans="1:6" x14ac:dyDescent="0.25">
      <c r="A4740" s="10">
        <v>43683</v>
      </c>
      <c r="B4740" s="12">
        <f t="shared" si="222"/>
        <v>8</v>
      </c>
      <c r="C4740" s="12">
        <f t="shared" si="223"/>
        <v>2019</v>
      </c>
      <c r="E4740" s="13">
        <v>65.28</v>
      </c>
      <c r="F4740" s="13" t="str">
        <f t="shared" si="224"/>
        <v/>
      </c>
    </row>
    <row r="4741" spans="1:6" x14ac:dyDescent="0.25">
      <c r="A4741" s="10">
        <v>43684</v>
      </c>
      <c r="B4741" s="12">
        <f t="shared" si="222"/>
        <v>8</v>
      </c>
      <c r="C4741" s="12">
        <f t="shared" si="223"/>
        <v>2019</v>
      </c>
      <c r="E4741" s="13">
        <v>65.321299999999994</v>
      </c>
      <c r="F4741" s="13" t="str">
        <f t="shared" si="224"/>
        <v/>
      </c>
    </row>
    <row r="4742" spans="1:6" x14ac:dyDescent="0.25">
      <c r="A4742" s="10">
        <v>43685</v>
      </c>
      <c r="B4742" s="12">
        <f t="shared" si="222"/>
        <v>8</v>
      </c>
      <c r="C4742" s="12">
        <f t="shared" si="223"/>
        <v>2019</v>
      </c>
      <c r="E4742" s="13">
        <v>65.010000000000005</v>
      </c>
      <c r="F4742" s="13" t="str">
        <f t="shared" si="224"/>
        <v/>
      </c>
    </row>
    <row r="4743" spans="1:6" x14ac:dyDescent="0.25">
      <c r="A4743" s="10">
        <v>43686</v>
      </c>
      <c r="B4743" s="12">
        <f t="shared" si="222"/>
        <v>8</v>
      </c>
      <c r="C4743" s="12">
        <f t="shared" si="223"/>
        <v>2019</v>
      </c>
      <c r="E4743" s="13">
        <v>65.245500000000007</v>
      </c>
      <c r="F4743" s="13" t="str">
        <f t="shared" si="224"/>
        <v/>
      </c>
    </row>
    <row r="4744" spans="1:6" x14ac:dyDescent="0.25">
      <c r="A4744" s="10">
        <v>43689</v>
      </c>
      <c r="B4744" s="12">
        <f t="shared" si="222"/>
        <v>8</v>
      </c>
      <c r="C4744" s="12">
        <f t="shared" si="223"/>
        <v>2019</v>
      </c>
      <c r="E4744" s="13">
        <v>65.387500000000003</v>
      </c>
      <c r="F4744" s="13" t="str">
        <f t="shared" si="224"/>
        <v/>
      </c>
    </row>
    <row r="4745" spans="1:6" x14ac:dyDescent="0.25">
      <c r="A4745" s="10">
        <v>43690</v>
      </c>
      <c r="B4745" s="12">
        <f t="shared" si="222"/>
        <v>8</v>
      </c>
      <c r="C4745" s="12">
        <f t="shared" si="223"/>
        <v>2019</v>
      </c>
      <c r="E4745" s="13">
        <v>64.909000000000006</v>
      </c>
      <c r="F4745" s="13" t="str">
        <f t="shared" si="224"/>
        <v/>
      </c>
    </row>
    <row r="4746" spans="1:6" x14ac:dyDescent="0.25">
      <c r="A4746" s="10">
        <v>43691</v>
      </c>
      <c r="B4746" s="12">
        <f t="shared" si="222"/>
        <v>8</v>
      </c>
      <c r="C4746" s="12">
        <f t="shared" si="223"/>
        <v>2019</v>
      </c>
      <c r="E4746" s="13">
        <v>66.074299999999994</v>
      </c>
      <c r="F4746" s="13" t="str">
        <f t="shared" si="224"/>
        <v/>
      </c>
    </row>
    <row r="4747" spans="1:6" x14ac:dyDescent="0.25">
      <c r="A4747" s="10">
        <v>43692</v>
      </c>
      <c r="B4747" s="12">
        <f t="shared" si="222"/>
        <v>8</v>
      </c>
      <c r="C4747" s="12">
        <f t="shared" si="223"/>
        <v>2019</v>
      </c>
      <c r="E4747" s="13">
        <v>66.024000000000001</v>
      </c>
      <c r="F4747" s="13" t="str">
        <f t="shared" si="224"/>
        <v/>
      </c>
    </row>
    <row r="4748" spans="1:6" x14ac:dyDescent="0.25">
      <c r="A4748" s="10">
        <v>43693</v>
      </c>
      <c r="B4748" s="12">
        <f t="shared" si="222"/>
        <v>8</v>
      </c>
      <c r="C4748" s="12">
        <f t="shared" si="223"/>
        <v>2019</v>
      </c>
      <c r="E4748" s="13">
        <v>66.47</v>
      </c>
      <c r="F4748" s="13" t="str">
        <f t="shared" si="224"/>
        <v/>
      </c>
    </row>
    <row r="4749" spans="1:6" x14ac:dyDescent="0.25">
      <c r="A4749" s="10">
        <v>43696</v>
      </c>
      <c r="B4749" s="12">
        <f t="shared" si="222"/>
        <v>8</v>
      </c>
      <c r="C4749" s="12">
        <f t="shared" si="223"/>
        <v>2019</v>
      </c>
      <c r="E4749" s="13">
        <v>66.962900000000005</v>
      </c>
      <c r="F4749" s="13" t="str">
        <f t="shared" si="224"/>
        <v/>
      </c>
    </row>
    <row r="4750" spans="1:6" x14ac:dyDescent="0.25">
      <c r="A4750" s="10">
        <v>43697</v>
      </c>
      <c r="B4750" s="12">
        <f t="shared" si="222"/>
        <v>8</v>
      </c>
      <c r="C4750" s="12">
        <f t="shared" si="223"/>
        <v>2019</v>
      </c>
      <c r="E4750" s="13">
        <v>66.474500000000006</v>
      </c>
      <c r="F4750" s="13" t="str">
        <f t="shared" si="224"/>
        <v/>
      </c>
    </row>
    <row r="4751" spans="1:6" x14ac:dyDescent="0.25">
      <c r="A4751" s="10">
        <v>43698</v>
      </c>
      <c r="B4751" s="12">
        <f t="shared" si="222"/>
        <v>8</v>
      </c>
      <c r="C4751" s="12">
        <f t="shared" si="223"/>
        <v>2019</v>
      </c>
      <c r="E4751" s="13">
        <v>65.691999999999993</v>
      </c>
      <c r="F4751" s="13" t="str">
        <f t="shared" si="224"/>
        <v/>
      </c>
    </row>
    <row r="4752" spans="1:6" x14ac:dyDescent="0.25">
      <c r="A4752" s="10">
        <v>43699</v>
      </c>
      <c r="B4752" s="12">
        <f t="shared" si="222"/>
        <v>8</v>
      </c>
      <c r="C4752" s="12">
        <f t="shared" si="223"/>
        <v>2019</v>
      </c>
      <c r="E4752" s="13">
        <v>65.570300000000003</v>
      </c>
      <c r="F4752" s="13" t="str">
        <f t="shared" si="224"/>
        <v/>
      </c>
    </row>
    <row r="4753" spans="1:6" x14ac:dyDescent="0.25">
      <c r="A4753" s="10">
        <v>43700</v>
      </c>
      <c r="B4753" s="12">
        <f t="shared" si="222"/>
        <v>8</v>
      </c>
      <c r="C4753" s="12">
        <f t="shared" si="223"/>
        <v>2019</v>
      </c>
      <c r="E4753" s="13">
        <v>65.995000000000005</v>
      </c>
      <c r="F4753" s="13" t="str">
        <f t="shared" si="224"/>
        <v/>
      </c>
    </row>
    <row r="4754" spans="1:6" x14ac:dyDescent="0.25">
      <c r="A4754" s="10">
        <v>43703</v>
      </c>
      <c r="B4754" s="12">
        <f t="shared" si="222"/>
        <v>8</v>
      </c>
      <c r="C4754" s="12">
        <f t="shared" si="223"/>
        <v>2019</v>
      </c>
      <c r="E4754" s="13">
        <v>66.103899999999996</v>
      </c>
      <c r="F4754" s="13" t="str">
        <f t="shared" si="224"/>
        <v/>
      </c>
    </row>
    <row r="4755" spans="1:6" x14ac:dyDescent="0.25">
      <c r="A4755" s="10">
        <v>43704</v>
      </c>
      <c r="B4755" s="12">
        <f t="shared" si="222"/>
        <v>8</v>
      </c>
      <c r="C4755" s="12">
        <f t="shared" si="223"/>
        <v>2019</v>
      </c>
      <c r="E4755" s="13">
        <v>66.451800000000006</v>
      </c>
      <c r="F4755" s="13" t="str">
        <f t="shared" si="224"/>
        <v/>
      </c>
    </row>
    <row r="4756" spans="1:6" x14ac:dyDescent="0.25">
      <c r="A4756" s="10">
        <v>43705</v>
      </c>
      <c r="B4756" s="12">
        <f t="shared" si="222"/>
        <v>8</v>
      </c>
      <c r="C4756" s="12">
        <f t="shared" si="223"/>
        <v>2019</v>
      </c>
      <c r="E4756" s="13">
        <v>66.768000000000001</v>
      </c>
      <c r="F4756" s="13" t="str">
        <f t="shared" si="224"/>
        <v/>
      </c>
    </row>
    <row r="4757" spans="1:6" x14ac:dyDescent="0.25">
      <c r="A4757" s="10">
        <v>43706</v>
      </c>
      <c r="B4757" s="12">
        <f t="shared" si="222"/>
        <v>8</v>
      </c>
      <c r="C4757" s="12">
        <f t="shared" si="223"/>
        <v>2019</v>
      </c>
      <c r="E4757" s="13">
        <v>66.501199999999997</v>
      </c>
      <c r="F4757" s="13" t="str">
        <f t="shared" si="224"/>
        <v/>
      </c>
    </row>
    <row r="4758" spans="1:6" x14ac:dyDescent="0.25">
      <c r="A4758" s="10">
        <v>43707</v>
      </c>
      <c r="B4758" s="12">
        <f t="shared" si="222"/>
        <v>8</v>
      </c>
      <c r="C4758" s="12">
        <f t="shared" si="223"/>
        <v>2019</v>
      </c>
      <c r="E4758" s="13">
        <v>66.667000000000002</v>
      </c>
      <c r="F4758" s="13" t="str">
        <f t="shared" si="224"/>
        <v/>
      </c>
    </row>
    <row r="4759" spans="1:6" x14ac:dyDescent="0.25">
      <c r="A4759" s="10">
        <v>43711</v>
      </c>
      <c r="B4759" s="12">
        <f t="shared" si="222"/>
        <v>9</v>
      </c>
      <c r="C4759" s="12">
        <f t="shared" si="223"/>
        <v>2019</v>
      </c>
      <c r="E4759" s="13">
        <v>66.739999999999995</v>
      </c>
      <c r="F4759" s="13" t="str">
        <f t="shared" si="224"/>
        <v/>
      </c>
    </row>
    <row r="4760" spans="1:6" x14ac:dyDescent="0.25">
      <c r="A4760" s="10">
        <v>43712</v>
      </c>
      <c r="B4760" s="12">
        <f t="shared" si="222"/>
        <v>9</v>
      </c>
      <c r="C4760" s="12">
        <f t="shared" si="223"/>
        <v>2019</v>
      </c>
      <c r="E4760" s="13">
        <v>66.153800000000004</v>
      </c>
      <c r="F4760" s="13" t="str">
        <f t="shared" si="224"/>
        <v/>
      </c>
    </row>
    <row r="4761" spans="1:6" x14ac:dyDescent="0.25">
      <c r="A4761" s="10">
        <v>43713</v>
      </c>
      <c r="B4761" s="12">
        <f t="shared" si="222"/>
        <v>9</v>
      </c>
      <c r="C4761" s="12">
        <f t="shared" si="223"/>
        <v>2019</v>
      </c>
      <c r="E4761" s="13">
        <v>66.238299999999995</v>
      </c>
      <c r="F4761" s="13" t="str">
        <f t="shared" si="224"/>
        <v/>
      </c>
    </row>
    <row r="4762" spans="1:6" x14ac:dyDescent="0.25">
      <c r="A4762" s="10">
        <v>43714</v>
      </c>
      <c r="B4762" s="12">
        <f t="shared" si="222"/>
        <v>9</v>
      </c>
      <c r="C4762" s="12">
        <f t="shared" si="223"/>
        <v>2019</v>
      </c>
      <c r="E4762" s="13">
        <v>65.772499999999994</v>
      </c>
      <c r="F4762" s="13" t="str">
        <f t="shared" si="224"/>
        <v/>
      </c>
    </row>
    <row r="4763" spans="1:6" x14ac:dyDescent="0.25">
      <c r="A4763" s="10">
        <v>43717</v>
      </c>
      <c r="B4763" s="12">
        <f t="shared" si="222"/>
        <v>9</v>
      </c>
      <c r="C4763" s="12">
        <f t="shared" si="223"/>
        <v>2019</v>
      </c>
      <c r="E4763" s="13">
        <v>65.5244</v>
      </c>
      <c r="F4763" s="13" t="str">
        <f t="shared" si="224"/>
        <v/>
      </c>
    </row>
    <row r="4764" spans="1:6" x14ac:dyDescent="0.25">
      <c r="A4764" s="10">
        <v>43718</v>
      </c>
      <c r="B4764" s="12">
        <f t="shared" si="222"/>
        <v>9</v>
      </c>
      <c r="C4764" s="12">
        <f t="shared" si="223"/>
        <v>2019</v>
      </c>
      <c r="E4764" s="13">
        <v>65.396100000000004</v>
      </c>
      <c r="F4764" s="13" t="str">
        <f t="shared" si="224"/>
        <v/>
      </c>
    </row>
    <row r="4765" spans="1:6" x14ac:dyDescent="0.25">
      <c r="A4765" s="10">
        <v>43719</v>
      </c>
      <c r="B4765" s="12">
        <f t="shared" si="222"/>
        <v>9</v>
      </c>
      <c r="C4765" s="12">
        <f t="shared" si="223"/>
        <v>2019</v>
      </c>
      <c r="E4765" s="13">
        <v>65.510499999999993</v>
      </c>
      <c r="F4765" s="13" t="str">
        <f t="shared" si="224"/>
        <v/>
      </c>
    </row>
    <row r="4766" spans="1:6" x14ac:dyDescent="0.25">
      <c r="A4766" s="10">
        <v>43720</v>
      </c>
      <c r="B4766" s="12">
        <f t="shared" si="222"/>
        <v>9</v>
      </c>
      <c r="C4766" s="12">
        <f t="shared" si="223"/>
        <v>2019</v>
      </c>
      <c r="E4766" s="13">
        <v>64.822500000000005</v>
      </c>
      <c r="F4766" s="13" t="str">
        <f t="shared" si="224"/>
        <v/>
      </c>
    </row>
    <row r="4767" spans="1:6" x14ac:dyDescent="0.25">
      <c r="A4767" s="10">
        <v>43721</v>
      </c>
      <c r="B4767" s="12">
        <f t="shared" si="222"/>
        <v>9</v>
      </c>
      <c r="C4767" s="12">
        <f t="shared" si="223"/>
        <v>2019</v>
      </c>
      <c r="E4767" s="13">
        <v>64.327500000000001</v>
      </c>
      <c r="F4767" s="13" t="str">
        <f t="shared" si="224"/>
        <v/>
      </c>
    </row>
    <row r="4768" spans="1:6" x14ac:dyDescent="0.25">
      <c r="A4768" s="10">
        <v>43724</v>
      </c>
      <c r="B4768" s="12">
        <f t="shared" si="222"/>
        <v>9</v>
      </c>
      <c r="C4768" s="12">
        <f t="shared" si="223"/>
        <v>2019</v>
      </c>
      <c r="E4768" s="13">
        <v>63.982999999999997</v>
      </c>
      <c r="F4768" s="13" t="str">
        <f t="shared" si="224"/>
        <v/>
      </c>
    </row>
    <row r="4769" spans="1:6" x14ac:dyDescent="0.25">
      <c r="A4769" s="10">
        <v>43725</v>
      </c>
      <c r="B4769" s="12">
        <f t="shared" si="222"/>
        <v>9</v>
      </c>
      <c r="C4769" s="12">
        <f t="shared" si="223"/>
        <v>2019</v>
      </c>
      <c r="E4769" s="13">
        <v>64.404600000000002</v>
      </c>
      <c r="F4769" s="13" t="str">
        <f t="shared" si="224"/>
        <v/>
      </c>
    </row>
    <row r="4770" spans="1:6" x14ac:dyDescent="0.25">
      <c r="A4770" s="10">
        <v>43726</v>
      </c>
      <c r="B4770" s="12">
        <f t="shared" si="222"/>
        <v>9</v>
      </c>
      <c r="C4770" s="12">
        <f t="shared" si="223"/>
        <v>2019</v>
      </c>
      <c r="E4770" s="13">
        <v>64.147499999999994</v>
      </c>
      <c r="F4770" s="13" t="str">
        <f t="shared" si="224"/>
        <v/>
      </c>
    </row>
    <row r="4771" spans="1:6" x14ac:dyDescent="0.25">
      <c r="A4771" s="10">
        <v>43727</v>
      </c>
      <c r="B4771" s="12">
        <f t="shared" si="222"/>
        <v>9</v>
      </c>
      <c r="C4771" s="12">
        <f t="shared" si="223"/>
        <v>2019</v>
      </c>
      <c r="E4771" s="13">
        <v>63.968000000000004</v>
      </c>
      <c r="F4771" s="13" t="str">
        <f t="shared" si="224"/>
        <v/>
      </c>
    </row>
    <row r="4772" spans="1:6" x14ac:dyDescent="0.25">
      <c r="A4772" s="10">
        <v>43728</v>
      </c>
      <c r="B4772" s="12">
        <f t="shared" si="222"/>
        <v>9</v>
      </c>
      <c r="C4772" s="12">
        <f t="shared" si="223"/>
        <v>2019</v>
      </c>
      <c r="E4772" s="13">
        <v>63.994999999999997</v>
      </c>
      <c r="F4772" s="13" t="str">
        <f t="shared" si="224"/>
        <v/>
      </c>
    </row>
    <row r="4773" spans="1:6" x14ac:dyDescent="0.25">
      <c r="A4773" s="10">
        <v>43731</v>
      </c>
      <c r="B4773" s="12">
        <f t="shared" si="222"/>
        <v>9</v>
      </c>
      <c r="C4773" s="12">
        <f t="shared" si="223"/>
        <v>2019</v>
      </c>
      <c r="D4773" s="13">
        <v>19050</v>
      </c>
      <c r="E4773" s="13">
        <v>63.850200000000001</v>
      </c>
      <c r="F4773" s="13">
        <f t="shared" si="224"/>
        <v>298.35458620333219</v>
      </c>
    </row>
    <row r="4774" spans="1:6" x14ac:dyDescent="0.25">
      <c r="A4774" s="10">
        <v>43732</v>
      </c>
      <c r="B4774" s="12">
        <f t="shared" si="222"/>
        <v>9</v>
      </c>
      <c r="C4774" s="12">
        <f t="shared" si="223"/>
        <v>2019</v>
      </c>
      <c r="D4774" s="13">
        <v>19050</v>
      </c>
      <c r="E4774" s="13">
        <v>63.987699999999997</v>
      </c>
      <c r="F4774" s="13">
        <f t="shared" si="224"/>
        <v>297.71346680690198</v>
      </c>
    </row>
    <row r="4775" spans="1:6" x14ac:dyDescent="0.25">
      <c r="A4775" s="10">
        <v>43733</v>
      </c>
      <c r="B4775" s="12">
        <f t="shared" si="222"/>
        <v>9</v>
      </c>
      <c r="C4775" s="12">
        <f t="shared" si="223"/>
        <v>2019</v>
      </c>
      <c r="D4775" s="13">
        <v>19050</v>
      </c>
      <c r="E4775" s="13">
        <v>64.143000000000001</v>
      </c>
      <c r="F4775" s="13">
        <f t="shared" si="224"/>
        <v>296.99265703194425</v>
      </c>
    </row>
    <row r="4776" spans="1:6" x14ac:dyDescent="0.25">
      <c r="A4776" s="10">
        <v>43734</v>
      </c>
      <c r="B4776" s="12">
        <f t="shared" si="222"/>
        <v>9</v>
      </c>
      <c r="C4776" s="12">
        <f t="shared" si="223"/>
        <v>2019</v>
      </c>
      <c r="D4776" s="13">
        <v>19050</v>
      </c>
      <c r="E4776" s="13">
        <v>64.241900000000001</v>
      </c>
      <c r="F4776" s="13">
        <f t="shared" si="224"/>
        <v>296.53543870900455</v>
      </c>
    </row>
    <row r="4777" spans="1:6" x14ac:dyDescent="0.25">
      <c r="A4777" s="10">
        <v>43735</v>
      </c>
      <c r="B4777" s="12">
        <f t="shared" si="222"/>
        <v>9</v>
      </c>
      <c r="C4777" s="12">
        <f t="shared" si="223"/>
        <v>2019</v>
      </c>
      <c r="D4777" s="13">
        <v>19050</v>
      </c>
      <c r="E4777" s="13">
        <v>64.644999999999996</v>
      </c>
      <c r="F4777" s="13">
        <f t="shared" si="224"/>
        <v>294.6863639879341</v>
      </c>
    </row>
    <row r="4778" spans="1:6" x14ac:dyDescent="0.25">
      <c r="A4778" s="10">
        <v>43738</v>
      </c>
      <c r="B4778" s="12">
        <f t="shared" si="222"/>
        <v>9</v>
      </c>
      <c r="C4778" s="12">
        <f t="shared" si="223"/>
        <v>2019</v>
      </c>
      <c r="D4778" s="13">
        <v>18550</v>
      </c>
      <c r="E4778" s="13">
        <v>64.813900000000004</v>
      </c>
      <c r="F4778" s="13">
        <f t="shared" si="224"/>
        <v>286.20403956558698</v>
      </c>
    </row>
    <row r="4779" spans="1:6" x14ac:dyDescent="0.25">
      <c r="A4779" s="10">
        <v>43739</v>
      </c>
      <c r="B4779" s="12">
        <f t="shared" si="222"/>
        <v>10</v>
      </c>
      <c r="C4779" s="12">
        <f t="shared" si="223"/>
        <v>2019</v>
      </c>
      <c r="D4779" s="13">
        <v>18550</v>
      </c>
      <c r="E4779" s="13">
        <v>65.192300000000003</v>
      </c>
      <c r="F4779" s="13">
        <f t="shared" si="224"/>
        <v>284.54280643572935</v>
      </c>
    </row>
    <row r="4780" spans="1:6" x14ac:dyDescent="0.25">
      <c r="A4780" s="10">
        <v>43740</v>
      </c>
      <c r="B4780" s="12">
        <f t="shared" si="222"/>
        <v>10</v>
      </c>
      <c r="C4780" s="12">
        <f t="shared" si="223"/>
        <v>2019</v>
      </c>
      <c r="D4780" s="13">
        <v>18550</v>
      </c>
      <c r="E4780" s="13">
        <v>65.111199999999997</v>
      </c>
      <c r="F4780" s="13">
        <f t="shared" si="224"/>
        <v>284.89722198331469</v>
      </c>
    </row>
    <row r="4781" spans="1:6" x14ac:dyDescent="0.25">
      <c r="A4781" s="10">
        <v>43741</v>
      </c>
      <c r="B4781" s="12">
        <f t="shared" si="222"/>
        <v>10</v>
      </c>
      <c r="C4781" s="12">
        <f t="shared" si="223"/>
        <v>2019</v>
      </c>
      <c r="D4781" s="13">
        <v>18550</v>
      </c>
      <c r="E4781" s="13">
        <v>65.132000000000005</v>
      </c>
      <c r="F4781" s="13">
        <f t="shared" si="224"/>
        <v>284.80623963643063</v>
      </c>
    </row>
    <row r="4782" spans="1:6" x14ac:dyDescent="0.25">
      <c r="A4782" s="10">
        <v>43742</v>
      </c>
      <c r="B4782" s="12">
        <f t="shared" si="222"/>
        <v>10</v>
      </c>
      <c r="C4782" s="12">
        <f t="shared" si="223"/>
        <v>2019</v>
      </c>
      <c r="D4782" s="13">
        <v>18550</v>
      </c>
      <c r="E4782" s="13">
        <v>64.647000000000006</v>
      </c>
      <c r="F4782" s="13">
        <f t="shared" si="224"/>
        <v>286.94293625380914</v>
      </c>
    </row>
    <row r="4783" spans="1:6" x14ac:dyDescent="0.25">
      <c r="A4783" s="10">
        <v>43745</v>
      </c>
      <c r="B4783" s="12">
        <f t="shared" si="222"/>
        <v>10</v>
      </c>
      <c r="C4783" s="12">
        <f t="shared" si="223"/>
        <v>2019</v>
      </c>
      <c r="D4783" s="13">
        <v>17500</v>
      </c>
      <c r="E4783" s="13">
        <v>64.978999999999999</v>
      </c>
      <c r="F4783" s="13">
        <f t="shared" si="224"/>
        <v>269.31777959032917</v>
      </c>
    </row>
    <row r="4784" spans="1:6" x14ac:dyDescent="0.25">
      <c r="A4784" s="10">
        <v>43746</v>
      </c>
      <c r="B4784" s="12">
        <f t="shared" si="222"/>
        <v>10</v>
      </c>
      <c r="C4784" s="12">
        <f t="shared" si="223"/>
        <v>2019</v>
      </c>
      <c r="D4784" s="13">
        <v>17500</v>
      </c>
      <c r="E4784" s="13">
        <v>65.156000000000006</v>
      </c>
      <c r="F4784" s="13">
        <f t="shared" si="224"/>
        <v>268.58616244091104</v>
      </c>
    </row>
    <row r="4785" spans="1:6" x14ac:dyDescent="0.25">
      <c r="A4785" s="10">
        <v>43747</v>
      </c>
      <c r="B4785" s="12">
        <f t="shared" si="222"/>
        <v>10</v>
      </c>
      <c r="C4785" s="12">
        <f t="shared" si="223"/>
        <v>2019</v>
      </c>
      <c r="D4785" s="13">
        <v>17500</v>
      </c>
      <c r="E4785" s="13">
        <v>64.876499999999993</v>
      </c>
      <c r="F4785" s="13">
        <f t="shared" si="224"/>
        <v>269.74328146555382</v>
      </c>
    </row>
    <row r="4786" spans="1:6" x14ac:dyDescent="0.25">
      <c r="A4786" s="10">
        <v>43748</v>
      </c>
      <c r="B4786" s="12">
        <f t="shared" si="222"/>
        <v>10</v>
      </c>
      <c r="C4786" s="12">
        <f t="shared" si="223"/>
        <v>2019</v>
      </c>
      <c r="D4786" s="13">
        <v>17500</v>
      </c>
      <c r="E4786" s="13">
        <v>64.44</v>
      </c>
      <c r="F4786" s="13">
        <f t="shared" si="224"/>
        <v>271.57045313469894</v>
      </c>
    </row>
    <row r="4787" spans="1:6" x14ac:dyDescent="0.25">
      <c r="A4787" s="10">
        <v>43749</v>
      </c>
      <c r="B4787" s="12">
        <f t="shared" si="222"/>
        <v>10</v>
      </c>
      <c r="C4787" s="12">
        <f t="shared" si="223"/>
        <v>2019</v>
      </c>
      <c r="D4787" s="13">
        <v>17500</v>
      </c>
      <c r="E4787" s="13">
        <v>64.212100000000007</v>
      </c>
      <c r="F4787" s="13">
        <f t="shared" si="224"/>
        <v>272.53430428221469</v>
      </c>
    </row>
    <row r="4788" spans="1:6" x14ac:dyDescent="0.25">
      <c r="A4788" s="10">
        <v>43752</v>
      </c>
      <c r="B4788" s="12">
        <f t="shared" si="222"/>
        <v>10</v>
      </c>
      <c r="C4788" s="12">
        <f t="shared" si="223"/>
        <v>2019</v>
      </c>
      <c r="D4788" s="13">
        <v>17300</v>
      </c>
      <c r="E4788" s="13">
        <v>64.218800000000002</v>
      </c>
      <c r="F4788" s="13">
        <f t="shared" si="224"/>
        <v>269.39151774869663</v>
      </c>
    </row>
    <row r="4789" spans="1:6" x14ac:dyDescent="0.25">
      <c r="A4789" s="10">
        <v>43753</v>
      </c>
      <c r="B4789" s="12">
        <f t="shared" si="222"/>
        <v>10</v>
      </c>
      <c r="C4789" s="12">
        <f t="shared" si="223"/>
        <v>2019</v>
      </c>
      <c r="D4789" s="13">
        <v>17300</v>
      </c>
      <c r="E4789" s="13">
        <v>64.296999999999997</v>
      </c>
      <c r="F4789" s="13">
        <f t="shared" si="224"/>
        <v>269.06387545297605</v>
      </c>
    </row>
    <row r="4790" spans="1:6" x14ac:dyDescent="0.25">
      <c r="A4790" s="10">
        <v>43754</v>
      </c>
      <c r="B4790" s="12">
        <f t="shared" si="222"/>
        <v>10</v>
      </c>
      <c r="C4790" s="12">
        <f t="shared" si="223"/>
        <v>2019</v>
      </c>
      <c r="D4790" s="13">
        <v>17300</v>
      </c>
      <c r="E4790" s="13">
        <v>64.105500000000006</v>
      </c>
      <c r="F4790" s="13">
        <f t="shared" si="224"/>
        <v>269.86764006208512</v>
      </c>
    </row>
    <row r="4791" spans="1:6" x14ac:dyDescent="0.25">
      <c r="A4791" s="10">
        <v>43755</v>
      </c>
      <c r="B4791" s="12">
        <f t="shared" si="222"/>
        <v>10</v>
      </c>
      <c r="C4791" s="12">
        <f t="shared" si="223"/>
        <v>2019</v>
      </c>
      <c r="D4791" s="13">
        <v>17300</v>
      </c>
      <c r="E4791" s="13">
        <v>64.107500000000002</v>
      </c>
      <c r="F4791" s="13">
        <f t="shared" si="224"/>
        <v>269.85922083999532</v>
      </c>
    </row>
    <row r="4792" spans="1:6" x14ac:dyDescent="0.25">
      <c r="A4792" s="10">
        <v>43756</v>
      </c>
      <c r="B4792" s="12">
        <f t="shared" si="222"/>
        <v>10</v>
      </c>
      <c r="C4792" s="12">
        <f t="shared" si="223"/>
        <v>2019</v>
      </c>
      <c r="D4792" s="13">
        <v>17300</v>
      </c>
      <c r="E4792" s="13">
        <v>63.75</v>
      </c>
      <c r="F4792" s="13">
        <f t="shared" si="224"/>
        <v>271.37254901960785</v>
      </c>
    </row>
    <row r="4793" spans="1:6" x14ac:dyDescent="0.25">
      <c r="A4793" s="10">
        <v>43759</v>
      </c>
      <c r="B4793" s="12">
        <f t="shared" si="222"/>
        <v>10</v>
      </c>
      <c r="C4793" s="12">
        <f t="shared" si="223"/>
        <v>2019</v>
      </c>
      <c r="D4793" s="13">
        <v>16700</v>
      </c>
      <c r="E4793" s="13">
        <v>63.756500000000003</v>
      </c>
      <c r="F4793" s="13">
        <f t="shared" si="224"/>
        <v>261.93407730976446</v>
      </c>
    </row>
    <row r="4794" spans="1:6" x14ac:dyDescent="0.25">
      <c r="A4794" s="10">
        <v>43760</v>
      </c>
      <c r="B4794" s="12">
        <f t="shared" si="222"/>
        <v>10</v>
      </c>
      <c r="C4794" s="12">
        <f t="shared" si="223"/>
        <v>2019</v>
      </c>
      <c r="D4794" s="13">
        <v>16700</v>
      </c>
      <c r="E4794" s="13">
        <v>63.704999999999998</v>
      </c>
      <c r="F4794" s="13">
        <f t="shared" si="224"/>
        <v>262.14582842790992</v>
      </c>
    </row>
    <row r="4795" spans="1:6" x14ac:dyDescent="0.25">
      <c r="A4795" s="10">
        <v>43761</v>
      </c>
      <c r="B4795" s="12">
        <f t="shared" si="222"/>
        <v>10</v>
      </c>
      <c r="C4795" s="12">
        <f t="shared" si="223"/>
        <v>2019</v>
      </c>
      <c r="D4795" s="13">
        <v>16700</v>
      </c>
      <c r="E4795" s="13">
        <v>63.892499999999998</v>
      </c>
      <c r="F4795" s="13">
        <f t="shared" si="224"/>
        <v>261.37653089173222</v>
      </c>
    </row>
    <row r="4796" spans="1:6" x14ac:dyDescent="0.25">
      <c r="A4796" s="10">
        <v>43762</v>
      </c>
      <c r="B4796" s="12">
        <f t="shared" si="222"/>
        <v>10</v>
      </c>
      <c r="C4796" s="12">
        <f t="shared" si="223"/>
        <v>2019</v>
      </c>
      <c r="D4796" s="13">
        <v>16700</v>
      </c>
      <c r="E4796" s="13">
        <v>64.048500000000004</v>
      </c>
      <c r="F4796" s="13">
        <f t="shared" si="224"/>
        <v>260.73990803843958</v>
      </c>
    </row>
    <row r="4797" spans="1:6" x14ac:dyDescent="0.25">
      <c r="A4797" s="10">
        <v>43763</v>
      </c>
      <c r="B4797" s="12">
        <f t="shared" si="222"/>
        <v>10</v>
      </c>
      <c r="C4797" s="12">
        <f t="shared" si="223"/>
        <v>2019</v>
      </c>
      <c r="D4797" s="13">
        <v>16700</v>
      </c>
      <c r="E4797" s="13">
        <v>63.836500000000001</v>
      </c>
      <c r="F4797" s="13">
        <f t="shared" si="224"/>
        <v>261.60582112114542</v>
      </c>
    </row>
    <row r="4798" spans="1:6" x14ac:dyDescent="0.25">
      <c r="A4798" s="10">
        <v>43766</v>
      </c>
      <c r="B4798" s="12">
        <f t="shared" si="222"/>
        <v>10</v>
      </c>
      <c r="C4798" s="12">
        <f t="shared" si="223"/>
        <v>2019</v>
      </c>
      <c r="D4798" s="13">
        <v>16700</v>
      </c>
      <c r="E4798" s="13">
        <v>63.834200000000003</v>
      </c>
      <c r="F4798" s="13">
        <f t="shared" si="224"/>
        <v>261.61524699925747</v>
      </c>
    </row>
    <row r="4799" spans="1:6" x14ac:dyDescent="0.25">
      <c r="A4799" s="10">
        <v>43767</v>
      </c>
      <c r="B4799" s="12">
        <f t="shared" si="222"/>
        <v>10</v>
      </c>
      <c r="C4799" s="12">
        <f t="shared" si="223"/>
        <v>2019</v>
      </c>
      <c r="D4799" s="13">
        <v>16700</v>
      </c>
      <c r="E4799" s="13">
        <v>63.954999999999998</v>
      </c>
      <c r="F4799" s="13">
        <f t="shared" si="224"/>
        <v>261.12110077398171</v>
      </c>
    </row>
    <row r="4800" spans="1:6" x14ac:dyDescent="0.25">
      <c r="A4800" s="10">
        <v>43768</v>
      </c>
      <c r="B4800" s="12">
        <f t="shared" si="222"/>
        <v>10</v>
      </c>
      <c r="C4800" s="12">
        <f t="shared" si="223"/>
        <v>2019</v>
      </c>
      <c r="D4800" s="13">
        <v>16700</v>
      </c>
      <c r="E4800" s="13">
        <v>63.707000000000001</v>
      </c>
      <c r="F4800" s="13">
        <f t="shared" si="224"/>
        <v>262.13759869402105</v>
      </c>
    </row>
    <row r="4801" spans="1:6" x14ac:dyDescent="0.25">
      <c r="A4801" s="10">
        <v>43769</v>
      </c>
      <c r="B4801" s="12">
        <f t="shared" si="222"/>
        <v>10</v>
      </c>
      <c r="C4801" s="12">
        <f t="shared" si="223"/>
        <v>2019</v>
      </c>
      <c r="D4801" s="13">
        <v>16700</v>
      </c>
      <c r="E4801" s="13">
        <v>64.151700000000005</v>
      </c>
      <c r="F4801" s="13">
        <f t="shared" si="224"/>
        <v>260.32045916164338</v>
      </c>
    </row>
    <row r="4802" spans="1:6" x14ac:dyDescent="0.25">
      <c r="A4802" s="10">
        <v>43770</v>
      </c>
      <c r="B4802" s="12">
        <f t="shared" si="222"/>
        <v>11</v>
      </c>
      <c r="C4802" s="12">
        <f t="shared" si="223"/>
        <v>2019</v>
      </c>
      <c r="D4802" s="13">
        <v>16700</v>
      </c>
      <c r="E4802" s="13">
        <v>63.524099999999997</v>
      </c>
      <c r="F4802" s="13">
        <f t="shared" si="224"/>
        <v>262.89235109194777</v>
      </c>
    </row>
    <row r="4803" spans="1:6" x14ac:dyDescent="0.25">
      <c r="A4803" s="10">
        <v>43773</v>
      </c>
      <c r="B4803" s="12">
        <f t="shared" ref="B4803:B4867" si="225">MONTH(A4803)</f>
        <v>11</v>
      </c>
      <c r="C4803" s="12">
        <f t="shared" ref="C4803:C4867" si="226">YEAR(A4803)</f>
        <v>2019</v>
      </c>
      <c r="D4803" s="13">
        <v>16700</v>
      </c>
      <c r="E4803" s="13">
        <v>63.502400000000002</v>
      </c>
      <c r="F4803" s="13">
        <f t="shared" ref="F4803:F4867" si="227">IF(D4803="","",D4803/E4803)</f>
        <v>262.98218650003781</v>
      </c>
    </row>
    <row r="4804" spans="1:6" x14ac:dyDescent="0.25">
      <c r="A4804" s="10">
        <v>43774</v>
      </c>
      <c r="B4804" s="12">
        <f t="shared" si="225"/>
        <v>11</v>
      </c>
      <c r="C4804" s="12">
        <f t="shared" si="226"/>
        <v>2019</v>
      </c>
      <c r="D4804" s="13">
        <v>16700</v>
      </c>
      <c r="E4804" s="13">
        <v>63.44</v>
      </c>
      <c r="F4804" s="13">
        <f t="shared" si="227"/>
        <v>263.2408575031526</v>
      </c>
    </row>
    <row r="4805" spans="1:6" x14ac:dyDescent="0.25">
      <c r="A4805" s="10">
        <v>43775</v>
      </c>
      <c r="B4805" s="12">
        <f t="shared" si="225"/>
        <v>11</v>
      </c>
      <c r="C4805" s="12">
        <f t="shared" si="226"/>
        <v>2019</v>
      </c>
      <c r="D4805" s="13">
        <v>16700</v>
      </c>
      <c r="E4805" s="13">
        <v>63.792000000000002</v>
      </c>
      <c r="F4805" s="13">
        <f t="shared" si="227"/>
        <v>261.78831201404563</v>
      </c>
    </row>
    <row r="4806" spans="1:6" x14ac:dyDescent="0.25">
      <c r="A4806" s="10">
        <v>43776</v>
      </c>
      <c r="B4806" s="12">
        <f t="shared" si="225"/>
        <v>11</v>
      </c>
      <c r="C4806" s="12">
        <f t="shared" si="226"/>
        <v>2019</v>
      </c>
      <c r="D4806" s="13">
        <v>16700</v>
      </c>
      <c r="E4806" s="13">
        <v>63.51</v>
      </c>
      <c r="F4806" s="13">
        <f t="shared" si="227"/>
        <v>262.95071642261064</v>
      </c>
    </row>
    <row r="4807" spans="1:6" x14ac:dyDescent="0.25">
      <c r="A4807" s="10">
        <v>43777</v>
      </c>
      <c r="B4807" s="12">
        <f t="shared" si="225"/>
        <v>11</v>
      </c>
      <c r="C4807" s="12">
        <f t="shared" si="226"/>
        <v>2019</v>
      </c>
      <c r="D4807" s="13">
        <v>16700</v>
      </c>
      <c r="E4807" s="13">
        <v>63.772500000000001</v>
      </c>
      <c r="F4807" s="13">
        <f t="shared" si="227"/>
        <v>261.8683601866008</v>
      </c>
    </row>
    <row r="4808" spans="1:6" x14ac:dyDescent="0.25">
      <c r="A4808" s="10">
        <v>43780</v>
      </c>
      <c r="B4808" s="12">
        <f t="shared" si="225"/>
        <v>11</v>
      </c>
      <c r="C4808" s="12">
        <f t="shared" si="226"/>
        <v>2019</v>
      </c>
      <c r="D4808" s="13">
        <v>16700</v>
      </c>
      <c r="E4808" s="13">
        <v>63.862499999999997</v>
      </c>
      <c r="F4808" s="13">
        <f t="shared" si="227"/>
        <v>261.49931493442944</v>
      </c>
    </row>
    <row r="4809" spans="1:6" x14ac:dyDescent="0.25">
      <c r="A4809" s="10">
        <v>43781</v>
      </c>
      <c r="B4809" s="12">
        <f t="shared" si="225"/>
        <v>11</v>
      </c>
      <c r="C4809" s="12">
        <f t="shared" si="226"/>
        <v>2019</v>
      </c>
      <c r="D4809" s="13">
        <v>16700</v>
      </c>
      <c r="E4809" s="13">
        <v>64.228999999999999</v>
      </c>
      <c r="F4809" s="13">
        <f t="shared" si="227"/>
        <v>260.00716187391987</v>
      </c>
    </row>
    <row r="4810" spans="1:6" x14ac:dyDescent="0.25">
      <c r="A4810" s="10">
        <v>43782</v>
      </c>
      <c r="B4810" s="12">
        <f t="shared" si="225"/>
        <v>11</v>
      </c>
      <c r="C4810" s="12">
        <f t="shared" si="226"/>
        <v>2019</v>
      </c>
      <c r="D4810" s="13">
        <v>16700</v>
      </c>
      <c r="E4810" s="13">
        <v>64.36</v>
      </c>
      <c r="F4810" s="13">
        <f t="shared" si="227"/>
        <v>259.47793660658795</v>
      </c>
    </row>
    <row r="4811" spans="1:6" x14ac:dyDescent="0.25">
      <c r="A4811" s="10">
        <v>43783</v>
      </c>
      <c r="B4811" s="12">
        <f t="shared" si="225"/>
        <v>11</v>
      </c>
      <c r="C4811" s="12">
        <f t="shared" si="226"/>
        <v>2019</v>
      </c>
      <c r="D4811" s="13">
        <v>16700</v>
      </c>
      <c r="E4811" s="13">
        <v>63.951999999999998</v>
      </c>
      <c r="F4811" s="13">
        <f t="shared" si="227"/>
        <v>261.13335001250937</v>
      </c>
    </row>
    <row r="4812" spans="1:6" x14ac:dyDescent="0.25">
      <c r="A4812" s="10">
        <v>43784</v>
      </c>
      <c r="B4812" s="12">
        <f t="shared" si="225"/>
        <v>11</v>
      </c>
      <c r="C4812" s="12">
        <f t="shared" si="226"/>
        <v>2019</v>
      </c>
      <c r="D4812" s="13">
        <v>16700</v>
      </c>
      <c r="E4812" s="13">
        <v>63.762500000000003</v>
      </c>
      <c r="F4812" s="13">
        <f t="shared" si="227"/>
        <v>261.9094295236228</v>
      </c>
    </row>
    <row r="4813" spans="1:6" x14ac:dyDescent="0.25">
      <c r="A4813" s="10">
        <v>43787</v>
      </c>
      <c r="B4813" s="12">
        <f t="shared" si="225"/>
        <v>11</v>
      </c>
      <c r="C4813" s="12">
        <f t="shared" si="226"/>
        <v>2019</v>
      </c>
      <c r="D4813" s="13">
        <v>16900</v>
      </c>
      <c r="E4813" s="13">
        <v>63.817500000000003</v>
      </c>
      <c r="F4813" s="13">
        <f t="shared" si="227"/>
        <v>264.8176440631488</v>
      </c>
    </row>
    <row r="4814" spans="1:6" x14ac:dyDescent="0.25">
      <c r="A4814" s="10">
        <v>43788</v>
      </c>
      <c r="B4814" s="12">
        <f t="shared" si="225"/>
        <v>11</v>
      </c>
      <c r="C4814" s="12">
        <f t="shared" si="226"/>
        <v>2019</v>
      </c>
      <c r="D4814" s="13">
        <v>16900</v>
      </c>
      <c r="E4814" s="13">
        <v>63.822499999999998</v>
      </c>
      <c r="F4814" s="13">
        <f t="shared" si="227"/>
        <v>264.79689764581457</v>
      </c>
    </row>
    <row r="4815" spans="1:6" x14ac:dyDescent="0.25">
      <c r="A4815" s="10">
        <v>43789</v>
      </c>
      <c r="B4815" s="12">
        <f t="shared" si="225"/>
        <v>11</v>
      </c>
      <c r="C4815" s="12">
        <f t="shared" si="226"/>
        <v>2019</v>
      </c>
      <c r="D4815" s="13">
        <v>16900</v>
      </c>
      <c r="E4815" s="13">
        <v>63.814999999999998</v>
      </c>
      <c r="F4815" s="13">
        <f t="shared" si="227"/>
        <v>264.8280184909504</v>
      </c>
    </row>
    <row r="4816" spans="1:6" x14ac:dyDescent="0.25">
      <c r="A4816" s="10">
        <v>43790</v>
      </c>
      <c r="B4816" s="12">
        <f t="shared" si="225"/>
        <v>11</v>
      </c>
      <c r="C4816" s="12">
        <f t="shared" si="226"/>
        <v>2019</v>
      </c>
      <c r="D4816" s="13">
        <v>16900</v>
      </c>
      <c r="E4816" s="13">
        <v>63.695</v>
      </c>
      <c r="F4816" s="13">
        <f t="shared" si="227"/>
        <v>265.32694874008951</v>
      </c>
    </row>
    <row r="4817" spans="1:6" x14ac:dyDescent="0.25">
      <c r="A4817" s="10">
        <v>43791</v>
      </c>
      <c r="B4817" s="12">
        <f t="shared" si="225"/>
        <v>11</v>
      </c>
      <c r="C4817" s="12">
        <f t="shared" si="226"/>
        <v>2019</v>
      </c>
      <c r="D4817" s="13">
        <v>16900</v>
      </c>
      <c r="E4817" s="13">
        <v>63.834499999999998</v>
      </c>
      <c r="F4817" s="13">
        <f t="shared" si="227"/>
        <v>264.74711950434329</v>
      </c>
    </row>
    <row r="4818" spans="1:6" x14ac:dyDescent="0.25">
      <c r="A4818" s="10">
        <v>43794</v>
      </c>
      <c r="B4818" s="12">
        <f t="shared" si="225"/>
        <v>11</v>
      </c>
      <c r="C4818" s="12">
        <f t="shared" si="226"/>
        <v>2019</v>
      </c>
      <c r="D4818" s="13">
        <v>17200</v>
      </c>
      <c r="E4818" s="13">
        <v>63.9</v>
      </c>
      <c r="F4818" s="13">
        <f t="shared" si="227"/>
        <v>269.17057902973397</v>
      </c>
    </row>
    <row r="4819" spans="1:6" x14ac:dyDescent="0.25">
      <c r="A4819" s="10">
        <v>43795</v>
      </c>
      <c r="B4819" s="12">
        <f t="shared" si="225"/>
        <v>11</v>
      </c>
      <c r="C4819" s="12">
        <f t="shared" si="226"/>
        <v>2019</v>
      </c>
      <c r="D4819" s="13">
        <v>17200</v>
      </c>
      <c r="E4819" s="13">
        <v>63.974299999999999</v>
      </c>
      <c r="F4819" s="13">
        <f t="shared" si="227"/>
        <v>268.85796327587798</v>
      </c>
    </row>
    <row r="4820" spans="1:6" x14ac:dyDescent="0.25">
      <c r="A4820" s="10">
        <v>43796</v>
      </c>
      <c r="B4820" s="12">
        <f t="shared" si="225"/>
        <v>11</v>
      </c>
      <c r="C4820" s="12">
        <f t="shared" si="226"/>
        <v>2019</v>
      </c>
      <c r="D4820" s="13">
        <v>17200</v>
      </c>
      <c r="E4820" s="13">
        <v>63.959899999999998</v>
      </c>
      <c r="F4820" s="13">
        <f t="shared" si="227"/>
        <v>268.91849424404978</v>
      </c>
    </row>
    <row r="4821" spans="1:6" x14ac:dyDescent="0.25">
      <c r="A4821" s="10">
        <v>43798</v>
      </c>
      <c r="B4821" s="12">
        <f t="shared" si="225"/>
        <v>11</v>
      </c>
      <c r="C4821" s="12">
        <f t="shared" si="226"/>
        <v>2019</v>
      </c>
      <c r="D4821" s="13">
        <v>17200</v>
      </c>
      <c r="E4821" s="13">
        <v>64.353999999999999</v>
      </c>
      <c r="F4821" s="13">
        <f t="shared" si="227"/>
        <v>267.2716536656618</v>
      </c>
    </row>
    <row r="4822" spans="1:6" x14ac:dyDescent="0.25">
      <c r="A4822" s="10">
        <v>43801</v>
      </c>
      <c r="B4822" s="12">
        <f t="shared" si="225"/>
        <v>12</v>
      </c>
      <c r="C4822" s="12">
        <f t="shared" si="226"/>
        <v>2019</v>
      </c>
      <c r="D4822" s="13">
        <v>17600</v>
      </c>
      <c r="E4822" s="13">
        <v>64.208500000000001</v>
      </c>
      <c r="F4822" s="13">
        <f t="shared" si="227"/>
        <v>274.1070107540279</v>
      </c>
    </row>
    <row r="4823" spans="1:6" x14ac:dyDescent="0.25">
      <c r="A4823" s="10">
        <v>43802</v>
      </c>
      <c r="B4823" s="12">
        <f t="shared" si="225"/>
        <v>12</v>
      </c>
      <c r="C4823" s="12">
        <f t="shared" si="226"/>
        <v>2019</v>
      </c>
      <c r="D4823" s="13">
        <v>17600</v>
      </c>
      <c r="E4823" s="13">
        <v>64.067499999999995</v>
      </c>
      <c r="F4823" s="13">
        <f t="shared" si="227"/>
        <v>274.71026651578416</v>
      </c>
    </row>
    <row r="4824" spans="1:6" x14ac:dyDescent="0.25">
      <c r="A4824" s="10">
        <v>43803</v>
      </c>
      <c r="B4824" s="12">
        <f t="shared" si="225"/>
        <v>12</v>
      </c>
      <c r="C4824" s="12">
        <f t="shared" si="226"/>
        <v>2019</v>
      </c>
      <c r="D4824" s="13">
        <v>17600</v>
      </c>
      <c r="E4824" s="13">
        <v>63.87</v>
      </c>
      <c r="F4824" s="13">
        <f t="shared" si="227"/>
        <v>275.55973070299046</v>
      </c>
    </row>
    <row r="4825" spans="1:6" x14ac:dyDescent="0.25">
      <c r="A4825" s="10">
        <v>43804</v>
      </c>
      <c r="B4825" s="12">
        <f t="shared" si="225"/>
        <v>12</v>
      </c>
      <c r="C4825" s="12">
        <f t="shared" si="226"/>
        <v>2019</v>
      </c>
      <c r="D4825" s="13">
        <v>17600</v>
      </c>
      <c r="E4825" s="13">
        <v>63.721400000000003</v>
      </c>
      <c r="F4825" s="13">
        <f t="shared" si="227"/>
        <v>276.20234332579008</v>
      </c>
    </row>
    <row r="4826" spans="1:6" x14ac:dyDescent="0.25">
      <c r="A4826" s="10">
        <v>43805</v>
      </c>
      <c r="B4826" s="12">
        <f t="shared" si="225"/>
        <v>12</v>
      </c>
      <c r="C4826" s="12">
        <f t="shared" si="226"/>
        <v>2019</v>
      </c>
      <c r="D4826" s="13">
        <v>17600</v>
      </c>
      <c r="E4826" s="13">
        <v>63.650700000000001</v>
      </c>
      <c r="F4826" s="13">
        <f t="shared" si="227"/>
        <v>276.50913501344053</v>
      </c>
    </row>
    <row r="4827" spans="1:6" x14ac:dyDescent="0.25">
      <c r="A4827" s="10">
        <v>43808</v>
      </c>
      <c r="B4827" s="12">
        <f t="shared" si="225"/>
        <v>12</v>
      </c>
      <c r="C4827" s="12">
        <f t="shared" si="226"/>
        <v>2019</v>
      </c>
      <c r="D4827" s="13">
        <v>18100</v>
      </c>
      <c r="E4827" s="13">
        <v>63.526600000000002</v>
      </c>
      <c r="F4827" s="13">
        <f t="shared" si="227"/>
        <v>284.92001775634145</v>
      </c>
    </row>
    <row r="4828" spans="1:6" x14ac:dyDescent="0.25">
      <c r="A4828" s="10">
        <v>43809</v>
      </c>
      <c r="B4828" s="12">
        <f t="shared" si="225"/>
        <v>12</v>
      </c>
      <c r="C4828" s="12">
        <f t="shared" si="226"/>
        <v>2019</v>
      </c>
      <c r="D4828" s="13">
        <v>18100</v>
      </c>
      <c r="E4828" s="13">
        <v>63.464500000000001</v>
      </c>
      <c r="F4828" s="13">
        <f t="shared" si="227"/>
        <v>285.19881193423095</v>
      </c>
    </row>
    <row r="4829" spans="1:6" x14ac:dyDescent="0.25">
      <c r="A4829" s="10">
        <v>43810</v>
      </c>
      <c r="B4829" s="12">
        <f t="shared" si="225"/>
        <v>12</v>
      </c>
      <c r="C4829" s="12">
        <f t="shared" si="226"/>
        <v>2019</v>
      </c>
      <c r="D4829" s="13">
        <v>18100</v>
      </c>
      <c r="E4829" s="13">
        <v>63.314100000000003</v>
      </c>
      <c r="F4829" s="13">
        <f t="shared" si="227"/>
        <v>285.87628979958652</v>
      </c>
    </row>
    <row r="4830" spans="1:6" x14ac:dyDescent="0.25">
      <c r="A4830" s="10">
        <v>43811</v>
      </c>
      <c r="B4830" s="12">
        <f t="shared" si="225"/>
        <v>12</v>
      </c>
      <c r="C4830" s="12">
        <f t="shared" si="226"/>
        <v>2019</v>
      </c>
      <c r="D4830" s="13">
        <v>18100</v>
      </c>
      <c r="E4830" s="13">
        <v>62.723399999999998</v>
      </c>
      <c r="F4830" s="13">
        <f t="shared" si="227"/>
        <v>288.56854060844915</v>
      </c>
    </row>
    <row r="4831" spans="1:6" x14ac:dyDescent="0.25">
      <c r="A4831" s="10">
        <v>43812</v>
      </c>
      <c r="B4831" s="12">
        <f t="shared" si="225"/>
        <v>12</v>
      </c>
      <c r="C4831" s="12">
        <f t="shared" si="226"/>
        <v>2019</v>
      </c>
      <c r="D4831" s="13">
        <v>18100</v>
      </c>
      <c r="E4831" s="13">
        <v>62.816499999999998</v>
      </c>
      <c r="F4831" s="13">
        <f t="shared" si="227"/>
        <v>288.14085471173973</v>
      </c>
    </row>
    <row r="4832" spans="1:6" x14ac:dyDescent="0.25">
      <c r="A4832" s="10">
        <v>43815</v>
      </c>
      <c r="B4832" s="12">
        <f t="shared" si="225"/>
        <v>12</v>
      </c>
      <c r="C4832" s="12">
        <f t="shared" si="226"/>
        <v>2019</v>
      </c>
      <c r="D4832" s="13">
        <v>18000</v>
      </c>
      <c r="E4832" s="13">
        <v>62.470399999999998</v>
      </c>
      <c r="F4832" s="13">
        <f t="shared" si="227"/>
        <v>288.13646142813235</v>
      </c>
    </row>
    <row r="4833" spans="1:9" x14ac:dyDescent="0.25">
      <c r="A4833" s="10">
        <v>43816</v>
      </c>
      <c r="B4833" s="12">
        <f t="shared" si="225"/>
        <v>12</v>
      </c>
      <c r="C4833" s="12">
        <f t="shared" si="226"/>
        <v>2019</v>
      </c>
      <c r="D4833" s="13">
        <v>18000</v>
      </c>
      <c r="E4833" s="13">
        <v>62.372500000000002</v>
      </c>
      <c r="F4833" s="13">
        <f t="shared" si="227"/>
        <v>288.58872099082129</v>
      </c>
    </row>
    <row r="4834" spans="1:9" x14ac:dyDescent="0.25">
      <c r="A4834" s="10">
        <v>43817</v>
      </c>
      <c r="B4834" s="12">
        <f t="shared" si="225"/>
        <v>12</v>
      </c>
      <c r="C4834" s="12">
        <f t="shared" si="226"/>
        <v>2019</v>
      </c>
      <c r="D4834" s="13">
        <v>18000</v>
      </c>
      <c r="E4834" s="13">
        <v>62.6175</v>
      </c>
      <c r="F4834" s="13">
        <f t="shared" si="227"/>
        <v>287.4595759971254</v>
      </c>
    </row>
    <row r="4835" spans="1:9" x14ac:dyDescent="0.25">
      <c r="A4835" s="10">
        <v>43818</v>
      </c>
      <c r="B4835" s="12">
        <f t="shared" si="225"/>
        <v>12</v>
      </c>
      <c r="C4835" s="12">
        <f t="shared" si="226"/>
        <v>2019</v>
      </c>
      <c r="D4835" s="13">
        <v>18000</v>
      </c>
      <c r="E4835" s="13">
        <v>62.362000000000002</v>
      </c>
      <c r="F4835" s="13">
        <f t="shared" si="227"/>
        <v>288.63731118309227</v>
      </c>
    </row>
    <row r="4836" spans="1:9" x14ac:dyDescent="0.25">
      <c r="A4836" s="10">
        <v>43819</v>
      </c>
      <c r="B4836" s="12">
        <f t="shared" si="225"/>
        <v>12</v>
      </c>
      <c r="C4836" s="12">
        <f t="shared" si="226"/>
        <v>2019</v>
      </c>
      <c r="D4836" s="13">
        <v>18000</v>
      </c>
      <c r="E4836" s="13">
        <v>62.223199999999999</v>
      </c>
      <c r="F4836" s="13">
        <f t="shared" si="227"/>
        <v>289.28116843878166</v>
      </c>
    </row>
    <row r="4837" spans="1:9" x14ac:dyDescent="0.25">
      <c r="A4837" s="10">
        <v>43822</v>
      </c>
      <c r="B4837" s="12">
        <f t="shared" si="225"/>
        <v>12</v>
      </c>
      <c r="C4837" s="12">
        <f t="shared" si="226"/>
        <v>2019</v>
      </c>
      <c r="D4837" s="13">
        <v>18500</v>
      </c>
      <c r="E4837" s="13">
        <v>62.22</v>
      </c>
      <c r="F4837" s="13">
        <f t="shared" si="227"/>
        <v>297.33204757312762</v>
      </c>
    </row>
    <row r="4838" spans="1:9" x14ac:dyDescent="0.25">
      <c r="A4838" s="10">
        <v>43823</v>
      </c>
      <c r="B4838" s="12">
        <f t="shared" si="225"/>
        <v>12</v>
      </c>
      <c r="C4838" s="12">
        <f t="shared" si="226"/>
        <v>2019</v>
      </c>
      <c r="D4838" s="13">
        <v>18500</v>
      </c>
      <c r="E4838" s="13">
        <v>61.871499999999997</v>
      </c>
      <c r="F4838" s="13">
        <f t="shared" si="227"/>
        <v>299.00681250656606</v>
      </c>
    </row>
    <row r="4839" spans="1:9" x14ac:dyDescent="0.25">
      <c r="A4839" s="10">
        <v>43825</v>
      </c>
      <c r="B4839" s="12">
        <f t="shared" si="225"/>
        <v>12</v>
      </c>
      <c r="C4839" s="12">
        <f t="shared" si="226"/>
        <v>2019</v>
      </c>
      <c r="D4839" s="13">
        <v>18500</v>
      </c>
      <c r="E4839" s="13">
        <v>62.225000000000001</v>
      </c>
      <c r="F4839" s="13">
        <f t="shared" si="227"/>
        <v>297.30815588589792</v>
      </c>
    </row>
    <row r="4840" spans="1:9" x14ac:dyDescent="0.25">
      <c r="A4840" s="10">
        <v>43826</v>
      </c>
      <c r="B4840" s="12">
        <f t="shared" si="225"/>
        <v>12</v>
      </c>
      <c r="C4840" s="12">
        <f t="shared" si="226"/>
        <v>2019</v>
      </c>
      <c r="D4840" s="13">
        <v>18500</v>
      </c>
      <c r="E4840" s="13">
        <v>62.012500000000003</v>
      </c>
      <c r="F4840" s="13">
        <f t="shared" si="227"/>
        <v>298.32695021165085</v>
      </c>
    </row>
    <row r="4841" spans="1:9" x14ac:dyDescent="0.25">
      <c r="A4841" s="10">
        <v>43829</v>
      </c>
      <c r="B4841" s="12">
        <f t="shared" si="225"/>
        <v>12</v>
      </c>
      <c r="C4841" s="12">
        <f t="shared" si="226"/>
        <v>2019</v>
      </c>
      <c r="E4841" s="13">
        <v>61.987000000000002</v>
      </c>
      <c r="F4841" s="13" t="str">
        <f t="shared" si="227"/>
        <v/>
      </c>
    </row>
    <row r="4842" spans="1:9" x14ac:dyDescent="0.25">
      <c r="A4842" s="10">
        <v>43830</v>
      </c>
      <c r="B4842" s="12">
        <f t="shared" si="225"/>
        <v>12</v>
      </c>
      <c r="C4842" s="12">
        <f t="shared" si="226"/>
        <v>2019</v>
      </c>
      <c r="E4842" s="13">
        <v>61.9191</v>
      </c>
      <c r="F4842" s="13" t="str">
        <f t="shared" si="227"/>
        <v/>
      </c>
    </row>
    <row r="4843" spans="1:9" ht="12.75" x14ac:dyDescent="0.2">
      <c r="A4843" s="10">
        <v>43832</v>
      </c>
      <c r="B4843" s="12">
        <f t="shared" si="225"/>
        <v>1</v>
      </c>
      <c r="C4843" s="12">
        <f t="shared" si="226"/>
        <v>2020</v>
      </c>
      <c r="E4843" s="13">
        <v>61.664999999999999</v>
      </c>
      <c r="F4843" s="13" t="str">
        <f t="shared" si="227"/>
        <v/>
      </c>
      <c r="G4843" s="13">
        <v>8500</v>
      </c>
      <c r="H4843" s="13">
        <v>23.686199999999999</v>
      </c>
      <c r="I4843" s="13">
        <f>IF(G4843="","",G4843/H4843)</f>
        <v>358.85874475432951</v>
      </c>
    </row>
    <row r="4844" spans="1:9" ht="12.75" x14ac:dyDescent="0.2">
      <c r="A4844" s="10">
        <v>43833</v>
      </c>
      <c r="B4844" s="12">
        <f t="shared" si="225"/>
        <v>1</v>
      </c>
      <c r="C4844" s="12">
        <f t="shared" si="226"/>
        <v>2020</v>
      </c>
      <c r="E4844" s="13">
        <v>62.07</v>
      </c>
      <c r="F4844" s="13" t="str">
        <f t="shared" si="227"/>
        <v/>
      </c>
      <c r="G4844" s="13">
        <v>8500</v>
      </c>
      <c r="H4844" s="13">
        <v>23.686199999999999</v>
      </c>
      <c r="I4844" s="13">
        <f t="shared" ref="I4844:I4907" si="228">IF(G4844="","",G4844/H4844)</f>
        <v>358.85874475432951</v>
      </c>
    </row>
    <row r="4845" spans="1:9" ht="12.75" x14ac:dyDescent="0.2">
      <c r="A4845" s="10">
        <v>43836</v>
      </c>
      <c r="B4845" s="12">
        <f t="shared" si="225"/>
        <v>1</v>
      </c>
      <c r="C4845" s="12">
        <f t="shared" si="226"/>
        <v>2020</v>
      </c>
      <c r="D4845" s="13">
        <v>18650</v>
      </c>
      <c r="E4845" s="13">
        <v>61.763599999999997</v>
      </c>
      <c r="F4845" s="13">
        <f t="shared" si="227"/>
        <v>301.95778743467025</v>
      </c>
      <c r="G4845" s="13">
        <v>8500</v>
      </c>
      <c r="H4845" s="13">
        <v>23.69</v>
      </c>
      <c r="I4845" s="13">
        <f t="shared" si="228"/>
        <v>358.80118193330514</v>
      </c>
    </row>
    <row r="4846" spans="1:9" ht="12.75" x14ac:dyDescent="0.2">
      <c r="A4846" s="10">
        <v>43837</v>
      </c>
      <c r="B4846" s="12">
        <f t="shared" si="225"/>
        <v>1</v>
      </c>
      <c r="C4846" s="12">
        <f t="shared" si="226"/>
        <v>2020</v>
      </c>
      <c r="D4846" s="13">
        <v>18650</v>
      </c>
      <c r="E4846" s="13">
        <v>61.9255</v>
      </c>
      <c r="F4846" s="13">
        <f t="shared" si="227"/>
        <v>301.16833937553997</v>
      </c>
      <c r="G4846" s="13">
        <v>8585</v>
      </c>
      <c r="H4846" s="13">
        <v>23.68</v>
      </c>
      <c r="I4846" s="13">
        <f t="shared" si="228"/>
        <v>362.54222972972974</v>
      </c>
    </row>
    <row r="4847" spans="1:9" ht="12.75" x14ac:dyDescent="0.2">
      <c r="A4847" s="10">
        <v>43838</v>
      </c>
      <c r="B4847" s="12">
        <f t="shared" si="225"/>
        <v>1</v>
      </c>
      <c r="C4847" s="12">
        <f t="shared" si="226"/>
        <v>2020</v>
      </c>
      <c r="D4847" s="13">
        <v>18650</v>
      </c>
      <c r="E4847" s="13">
        <v>61.217500000000001</v>
      </c>
      <c r="F4847" s="13">
        <f t="shared" si="227"/>
        <v>304.65144770694656</v>
      </c>
      <c r="G4847" s="13">
        <v>8650</v>
      </c>
      <c r="H4847" s="13">
        <v>23.6785</v>
      </c>
      <c r="I4847" s="13">
        <f t="shared" si="228"/>
        <v>365.31030259518127</v>
      </c>
    </row>
    <row r="4848" spans="1:9" ht="12.75" x14ac:dyDescent="0.2">
      <c r="A4848" s="10">
        <v>43839</v>
      </c>
      <c r="B4848" s="12">
        <f t="shared" si="225"/>
        <v>1</v>
      </c>
      <c r="C4848" s="12">
        <f t="shared" si="226"/>
        <v>2020</v>
      </c>
      <c r="D4848" s="13">
        <v>18650</v>
      </c>
      <c r="E4848" s="13">
        <v>61.267499999999998</v>
      </c>
      <c r="F4848" s="13">
        <f t="shared" si="227"/>
        <v>304.40282368302934</v>
      </c>
      <c r="G4848" s="13">
        <v>8650</v>
      </c>
      <c r="H4848" s="13">
        <v>23.834499999999998</v>
      </c>
      <c r="I4848" s="13">
        <f t="shared" si="228"/>
        <v>362.91929765675809</v>
      </c>
    </row>
    <row r="4849" spans="1:9" ht="12.75" x14ac:dyDescent="0.2">
      <c r="A4849" s="10">
        <v>43840</v>
      </c>
      <c r="B4849" s="12">
        <f t="shared" si="225"/>
        <v>1</v>
      </c>
      <c r="C4849" s="12">
        <f t="shared" si="226"/>
        <v>2020</v>
      </c>
      <c r="D4849" s="13">
        <v>18650</v>
      </c>
      <c r="E4849" s="13">
        <v>61.0137</v>
      </c>
      <c r="F4849" s="13">
        <f t="shared" si="227"/>
        <v>305.66905465493818</v>
      </c>
      <c r="G4849" s="13">
        <v>8750</v>
      </c>
      <c r="H4849" s="13">
        <v>24.119</v>
      </c>
      <c r="I4849" s="13">
        <f t="shared" si="228"/>
        <v>362.78452672167174</v>
      </c>
    </row>
    <row r="4850" spans="1:9" ht="12.75" x14ac:dyDescent="0.2">
      <c r="A4850" s="10">
        <v>43843</v>
      </c>
      <c r="B4850" s="12">
        <f t="shared" si="225"/>
        <v>1</v>
      </c>
      <c r="C4850" s="12">
        <f t="shared" si="226"/>
        <v>2020</v>
      </c>
      <c r="D4850" s="13">
        <v>19350</v>
      </c>
      <c r="E4850" s="13">
        <v>61.216000000000001</v>
      </c>
      <c r="F4850" s="13">
        <f t="shared" si="227"/>
        <v>316.09383167799268</v>
      </c>
      <c r="G4850" s="13">
        <v>8835</v>
      </c>
      <c r="H4850" s="13">
        <f>AVERAGE(H4851,H4849)</f>
        <v>24.023249999999997</v>
      </c>
      <c r="I4850" s="13">
        <f t="shared" si="228"/>
        <v>367.76872404857801</v>
      </c>
    </row>
    <row r="4851" spans="1:9" ht="12.75" x14ac:dyDescent="0.2">
      <c r="A4851" s="10">
        <v>43844</v>
      </c>
      <c r="B4851" s="12">
        <f t="shared" si="225"/>
        <v>1</v>
      </c>
      <c r="C4851" s="12">
        <f t="shared" si="226"/>
        <v>2020</v>
      </c>
      <c r="D4851" s="13">
        <v>19350</v>
      </c>
      <c r="E4851" s="13">
        <v>61.389499999999998</v>
      </c>
      <c r="F4851" s="13">
        <f t="shared" si="227"/>
        <v>315.20048216714588</v>
      </c>
      <c r="G4851" s="13">
        <v>8915</v>
      </c>
      <c r="H4851" s="13">
        <v>23.927499999999998</v>
      </c>
      <c r="I4851" s="13">
        <f t="shared" si="228"/>
        <v>372.58384703792711</v>
      </c>
    </row>
    <row r="4852" spans="1:9" ht="12.75" x14ac:dyDescent="0.2">
      <c r="A4852" s="10">
        <v>43845</v>
      </c>
      <c r="B4852" s="12">
        <f t="shared" si="225"/>
        <v>1</v>
      </c>
      <c r="C4852" s="12">
        <f t="shared" si="226"/>
        <v>2020</v>
      </c>
      <c r="D4852" s="13">
        <v>19350</v>
      </c>
      <c r="E4852" s="13">
        <v>61.4</v>
      </c>
      <c r="F4852" s="13">
        <f t="shared" si="227"/>
        <v>315.14657980456025</v>
      </c>
      <c r="G4852" s="13">
        <v>8915</v>
      </c>
      <c r="H4852" s="13">
        <v>24.025700000000001</v>
      </c>
      <c r="I4852" s="13">
        <f t="shared" si="228"/>
        <v>371.06098885776481</v>
      </c>
    </row>
    <row r="4853" spans="1:9" ht="12.75" x14ac:dyDescent="0.2">
      <c r="A4853" s="10">
        <v>43846</v>
      </c>
      <c r="B4853" s="12">
        <f t="shared" si="225"/>
        <v>1</v>
      </c>
      <c r="C4853" s="12">
        <f t="shared" si="226"/>
        <v>2020</v>
      </c>
      <c r="D4853" s="13">
        <v>19350</v>
      </c>
      <c r="E4853" s="13">
        <v>61.598999999999997</v>
      </c>
      <c r="F4853" s="13">
        <f t="shared" si="227"/>
        <v>314.12847611162522</v>
      </c>
      <c r="G4853" s="13">
        <v>8835</v>
      </c>
      <c r="H4853" s="13">
        <v>23.982099999999999</v>
      </c>
      <c r="I4853" s="13">
        <f t="shared" si="228"/>
        <v>368.39976482459838</v>
      </c>
    </row>
    <row r="4854" spans="1:9" ht="12.75" x14ac:dyDescent="0.2">
      <c r="A4854" s="10">
        <v>43847</v>
      </c>
      <c r="B4854" s="12">
        <f t="shared" si="225"/>
        <v>1</v>
      </c>
      <c r="C4854" s="12">
        <f t="shared" si="226"/>
        <v>2020</v>
      </c>
      <c r="D4854" s="13">
        <v>19350</v>
      </c>
      <c r="E4854" s="13">
        <v>61.555900000000001</v>
      </c>
      <c r="F4854" s="13">
        <f t="shared" si="227"/>
        <v>314.34842151605289</v>
      </c>
      <c r="G4854" s="13">
        <v>8790</v>
      </c>
      <c r="H4854" s="13">
        <v>24.092300000000002</v>
      </c>
      <c r="I4854" s="13">
        <f t="shared" si="228"/>
        <v>364.84685978507656</v>
      </c>
    </row>
    <row r="4855" spans="1:9" ht="12.75" x14ac:dyDescent="0.2">
      <c r="A4855" s="10">
        <v>43850</v>
      </c>
      <c r="B4855" s="12"/>
      <c r="C4855" s="12"/>
      <c r="G4855" s="13">
        <v>8790</v>
      </c>
      <c r="H4855" s="13">
        <v>24.252700000000001</v>
      </c>
      <c r="I4855" s="13">
        <f t="shared" si="228"/>
        <v>362.43387334193716</v>
      </c>
    </row>
    <row r="4856" spans="1:9" ht="12.75" x14ac:dyDescent="0.2">
      <c r="A4856" s="10">
        <v>43851</v>
      </c>
      <c r="B4856" s="12">
        <f t="shared" si="225"/>
        <v>1</v>
      </c>
      <c r="C4856" s="12">
        <f t="shared" si="226"/>
        <v>2020</v>
      </c>
      <c r="D4856" s="13">
        <v>19750</v>
      </c>
      <c r="E4856" s="13">
        <v>61.865000000000002</v>
      </c>
      <c r="F4856" s="13">
        <f t="shared" si="227"/>
        <v>319.24351410328939</v>
      </c>
      <c r="G4856" s="13">
        <v>8790</v>
      </c>
      <c r="H4856" s="13">
        <v>24.325700000000001</v>
      </c>
      <c r="I4856" s="13">
        <f t="shared" si="228"/>
        <v>361.34623052985114</v>
      </c>
    </row>
    <row r="4857" spans="1:9" ht="12.75" x14ac:dyDescent="0.2">
      <c r="A4857" s="10">
        <v>43852</v>
      </c>
      <c r="B4857" s="12">
        <f t="shared" si="225"/>
        <v>1</v>
      </c>
      <c r="C4857" s="12">
        <f t="shared" si="226"/>
        <v>2020</v>
      </c>
      <c r="D4857" s="13">
        <v>19750</v>
      </c>
      <c r="E4857" s="13">
        <v>61.827500000000001</v>
      </c>
      <c r="F4857" s="13">
        <f t="shared" si="227"/>
        <v>319.43714366584447</v>
      </c>
      <c r="G4857" s="13">
        <v>8710</v>
      </c>
      <c r="H4857" s="13">
        <v>24.258600000000001</v>
      </c>
      <c r="I4857" s="13">
        <f t="shared" si="228"/>
        <v>359.04792527186231</v>
      </c>
    </row>
    <row r="4858" spans="1:9" ht="12.75" x14ac:dyDescent="0.2">
      <c r="A4858" s="10">
        <v>43853</v>
      </c>
      <c r="B4858" s="12">
        <f t="shared" si="225"/>
        <v>1</v>
      </c>
      <c r="C4858" s="12">
        <f t="shared" si="226"/>
        <v>2020</v>
      </c>
      <c r="D4858" s="13">
        <v>19750</v>
      </c>
      <c r="E4858" s="13">
        <v>61.856900000000003</v>
      </c>
      <c r="F4858" s="13">
        <f t="shared" si="227"/>
        <v>319.28531821025626</v>
      </c>
      <c r="G4858" s="13">
        <v>8710</v>
      </c>
      <c r="H4858" s="13">
        <v>24.331</v>
      </c>
      <c r="I4858" s="13">
        <f t="shared" si="228"/>
        <v>357.97953228391765</v>
      </c>
    </row>
    <row r="4859" spans="1:9" ht="12.75" x14ac:dyDescent="0.2">
      <c r="A4859" s="10">
        <v>43854</v>
      </c>
      <c r="B4859" s="12">
        <f t="shared" si="225"/>
        <v>1</v>
      </c>
      <c r="C4859" s="12">
        <f t="shared" si="226"/>
        <v>2020</v>
      </c>
      <c r="D4859" s="13">
        <v>19750</v>
      </c>
      <c r="E4859" s="13">
        <v>62.057600000000001</v>
      </c>
      <c r="F4859" s="13">
        <f t="shared" si="227"/>
        <v>318.25272005362757</v>
      </c>
      <c r="G4859" s="13">
        <v>8710</v>
      </c>
      <c r="H4859" s="13">
        <v>24.5212</v>
      </c>
      <c r="I4859" s="13">
        <f t="shared" si="228"/>
        <v>355.20284488524214</v>
      </c>
    </row>
    <row r="4860" spans="1:9" ht="12.75" x14ac:dyDescent="0.2">
      <c r="A4860" s="10">
        <v>43857</v>
      </c>
      <c r="B4860" s="12">
        <f t="shared" si="225"/>
        <v>1</v>
      </c>
      <c r="C4860" s="12">
        <f t="shared" si="226"/>
        <v>2020</v>
      </c>
      <c r="D4860" s="13">
        <v>20000</v>
      </c>
      <c r="E4860" s="13">
        <v>62.935600000000001</v>
      </c>
      <c r="F4860" s="13">
        <f t="shared" si="227"/>
        <v>317.78516451737966</v>
      </c>
      <c r="G4860" s="13">
        <v>8625</v>
      </c>
      <c r="H4860" s="13">
        <v>24.330100000000002</v>
      </c>
      <c r="I4860" s="13">
        <f t="shared" si="228"/>
        <v>354.49915947735519</v>
      </c>
    </row>
    <row r="4861" spans="1:9" ht="12.75" x14ac:dyDescent="0.2">
      <c r="A4861" s="10">
        <v>43858</v>
      </c>
      <c r="B4861" s="12">
        <f t="shared" si="225"/>
        <v>1</v>
      </c>
      <c r="C4861" s="12">
        <f t="shared" si="226"/>
        <v>2020</v>
      </c>
      <c r="D4861" s="13">
        <v>20000</v>
      </c>
      <c r="E4861" s="13">
        <v>62.204999999999998</v>
      </c>
      <c r="F4861" s="13">
        <f t="shared" si="227"/>
        <v>321.51756289687324</v>
      </c>
      <c r="G4861" s="13">
        <v>8460</v>
      </c>
      <c r="H4861" s="13">
        <v>24.598400000000002</v>
      </c>
      <c r="I4861" s="13">
        <f t="shared" si="228"/>
        <v>343.92480811760112</v>
      </c>
    </row>
    <row r="4862" spans="1:9" ht="12.75" x14ac:dyDescent="0.2">
      <c r="A4862" s="10">
        <v>43859</v>
      </c>
      <c r="B4862" s="12">
        <f t="shared" si="225"/>
        <v>1</v>
      </c>
      <c r="C4862" s="12">
        <f t="shared" si="226"/>
        <v>2020</v>
      </c>
      <c r="D4862" s="13">
        <v>20000</v>
      </c>
      <c r="E4862" s="13">
        <v>62.512</v>
      </c>
      <c r="F4862" s="13">
        <f t="shared" si="227"/>
        <v>319.93857179421553</v>
      </c>
      <c r="G4862" s="13">
        <v>8460</v>
      </c>
      <c r="H4862" s="13">
        <v>24.720400000000001</v>
      </c>
      <c r="I4862" s="13">
        <f t="shared" si="228"/>
        <v>342.22747204737783</v>
      </c>
    </row>
    <row r="4863" spans="1:9" ht="12.75" x14ac:dyDescent="0.2">
      <c r="A4863" s="10">
        <v>43860</v>
      </c>
      <c r="B4863" s="12">
        <f t="shared" si="225"/>
        <v>1</v>
      </c>
      <c r="C4863" s="12">
        <f t="shared" si="226"/>
        <v>2020</v>
      </c>
      <c r="D4863" s="13">
        <v>20000</v>
      </c>
      <c r="E4863" s="13">
        <v>63.133800000000001</v>
      </c>
      <c r="F4863" s="13">
        <f t="shared" si="227"/>
        <v>316.78752110596861</v>
      </c>
      <c r="G4863" s="13">
        <v>8460</v>
      </c>
      <c r="H4863" s="13">
        <v>24.8491</v>
      </c>
      <c r="I4863" s="13">
        <f t="shared" si="228"/>
        <v>340.45498629729042</v>
      </c>
    </row>
    <row r="4864" spans="1:9" ht="12.75" x14ac:dyDescent="0.2">
      <c r="A4864" s="10">
        <v>43861</v>
      </c>
      <c r="B4864" s="12">
        <f t="shared" si="225"/>
        <v>1</v>
      </c>
      <c r="C4864" s="12">
        <f t="shared" si="226"/>
        <v>2020</v>
      </c>
      <c r="D4864" s="13">
        <v>20000</v>
      </c>
      <c r="E4864" s="13">
        <v>63.9512</v>
      </c>
      <c r="F4864" s="13">
        <f t="shared" si="227"/>
        <v>312.73846307809703</v>
      </c>
      <c r="G4864" s="13">
        <v>8541</v>
      </c>
      <c r="H4864" s="13">
        <v>24.919599999999999</v>
      </c>
      <c r="I4864" s="13">
        <f t="shared" si="228"/>
        <v>342.74225910528259</v>
      </c>
    </row>
    <row r="4865" spans="1:9" ht="12.75" x14ac:dyDescent="0.2">
      <c r="A4865" s="10">
        <v>43864</v>
      </c>
      <c r="B4865" s="12">
        <f t="shared" si="225"/>
        <v>2</v>
      </c>
      <c r="C4865" s="12">
        <f t="shared" si="226"/>
        <v>2020</v>
      </c>
      <c r="D4865" s="13">
        <v>20000</v>
      </c>
      <c r="E4865" s="13">
        <v>63.661499999999997</v>
      </c>
      <c r="F4865" s="13">
        <f t="shared" si="227"/>
        <v>314.16162044563828</v>
      </c>
      <c r="G4865" s="13">
        <v>8585</v>
      </c>
      <c r="H4865" s="13">
        <v>25.029399999999999</v>
      </c>
      <c r="I4865" s="13">
        <f t="shared" si="228"/>
        <v>342.9966359561156</v>
      </c>
    </row>
    <row r="4866" spans="1:9" ht="12.75" x14ac:dyDescent="0.2">
      <c r="A4866" s="10">
        <v>43865</v>
      </c>
      <c r="B4866" s="12">
        <f t="shared" si="225"/>
        <v>2</v>
      </c>
      <c r="C4866" s="12">
        <f t="shared" si="226"/>
        <v>2020</v>
      </c>
      <c r="D4866" s="13">
        <v>20000</v>
      </c>
      <c r="E4866" s="13">
        <v>63.012500000000003</v>
      </c>
      <c r="F4866" s="13">
        <f t="shared" si="227"/>
        <v>317.39734179726241</v>
      </c>
      <c r="G4866" s="13">
        <v>8670</v>
      </c>
      <c r="H4866" s="13">
        <v>25.083600000000001</v>
      </c>
      <c r="I4866" s="13">
        <f t="shared" si="228"/>
        <v>345.64416590919961</v>
      </c>
    </row>
    <row r="4867" spans="1:9" ht="12.75" x14ac:dyDescent="0.2">
      <c r="A4867" s="10">
        <v>43866</v>
      </c>
      <c r="B4867" s="12">
        <f t="shared" si="225"/>
        <v>2</v>
      </c>
      <c r="C4867" s="12">
        <f t="shared" si="226"/>
        <v>2020</v>
      </c>
      <c r="D4867" s="13">
        <v>20000</v>
      </c>
      <c r="E4867" s="13">
        <v>62.87</v>
      </c>
      <c r="F4867" s="13">
        <f t="shared" si="227"/>
        <v>318.11674884682679</v>
      </c>
      <c r="G4867" s="13">
        <v>8670</v>
      </c>
      <c r="H4867" s="13">
        <v>24.8523</v>
      </c>
      <c r="I4867" s="13">
        <f t="shared" si="228"/>
        <v>348.86107120870099</v>
      </c>
    </row>
    <row r="4868" spans="1:9" ht="12.75" x14ac:dyDescent="0.2">
      <c r="A4868" s="10">
        <v>43867</v>
      </c>
      <c r="B4868" s="12">
        <f t="shared" ref="B4868:B4932" si="229">MONTH(A4868)</f>
        <v>2</v>
      </c>
      <c r="C4868" s="12">
        <f t="shared" ref="C4868:C4932" si="230">YEAR(A4868)</f>
        <v>2020</v>
      </c>
      <c r="D4868" s="13">
        <v>20000</v>
      </c>
      <c r="E4868" s="13">
        <v>63.314999999999998</v>
      </c>
      <c r="F4868" s="13">
        <f t="shared" ref="F4868:F4932" si="231">IF(D4868="","",D4868/E4868)</f>
        <v>315.88091289583826</v>
      </c>
      <c r="G4868" s="13">
        <v>8830</v>
      </c>
      <c r="H4868" s="13">
        <v>24.7959</v>
      </c>
      <c r="I4868" s="13">
        <f t="shared" si="228"/>
        <v>356.10725966792899</v>
      </c>
    </row>
    <row r="4869" spans="1:9" ht="12.75" x14ac:dyDescent="0.2">
      <c r="A4869" s="10">
        <v>43868</v>
      </c>
      <c r="B4869" s="12">
        <f t="shared" si="229"/>
        <v>2</v>
      </c>
      <c r="C4869" s="12">
        <f t="shared" si="230"/>
        <v>2020</v>
      </c>
      <c r="D4869" s="13">
        <v>20000</v>
      </c>
      <c r="E4869" s="13">
        <v>64.14</v>
      </c>
      <c r="F4869" s="13">
        <f t="shared" si="231"/>
        <v>311.81789834736514</v>
      </c>
      <c r="G4869" s="13">
        <v>8920</v>
      </c>
      <c r="H4869" s="13">
        <v>24.5794</v>
      </c>
      <c r="I4869" s="13">
        <f t="shared" si="228"/>
        <v>362.90552251072035</v>
      </c>
    </row>
    <row r="4870" spans="1:9" ht="12.75" x14ac:dyDescent="0.2">
      <c r="A4870" s="10">
        <v>43871</v>
      </c>
      <c r="B4870" s="12">
        <f t="shared" si="229"/>
        <v>2</v>
      </c>
      <c r="C4870" s="12">
        <f t="shared" si="230"/>
        <v>2020</v>
      </c>
      <c r="D4870" s="13">
        <v>19600</v>
      </c>
      <c r="E4870" s="13">
        <v>64.090500000000006</v>
      </c>
      <c r="F4870" s="13">
        <f t="shared" si="231"/>
        <v>305.81755486382536</v>
      </c>
      <c r="G4870" s="13">
        <v>8920</v>
      </c>
      <c r="H4870" s="13">
        <v>24.536999999999999</v>
      </c>
      <c r="I4870" s="13">
        <f t="shared" si="228"/>
        <v>363.53262420018751</v>
      </c>
    </row>
    <row r="4871" spans="1:9" ht="12.75" x14ac:dyDescent="0.2">
      <c r="A4871" s="10">
        <v>43872</v>
      </c>
      <c r="B4871" s="12">
        <f t="shared" si="229"/>
        <v>2</v>
      </c>
      <c r="C4871" s="12">
        <f t="shared" si="230"/>
        <v>2020</v>
      </c>
      <c r="D4871" s="13">
        <v>19600</v>
      </c>
      <c r="E4871" s="13">
        <v>63.356000000000002</v>
      </c>
      <c r="F4871" s="13">
        <f t="shared" si="231"/>
        <v>309.3629648336385</v>
      </c>
      <c r="G4871" s="13">
        <v>8920</v>
      </c>
      <c r="H4871" s="13">
        <v>24.518799999999999</v>
      </c>
      <c r="I4871" s="13">
        <f t="shared" si="228"/>
        <v>363.80246994143272</v>
      </c>
    </row>
    <row r="4872" spans="1:9" ht="12.75" x14ac:dyDescent="0.2">
      <c r="A4872" s="10">
        <v>43873</v>
      </c>
      <c r="B4872" s="12">
        <f t="shared" si="229"/>
        <v>2</v>
      </c>
      <c r="C4872" s="12">
        <f t="shared" si="230"/>
        <v>2020</v>
      </c>
      <c r="D4872" s="13">
        <v>19600</v>
      </c>
      <c r="E4872" s="13">
        <v>63.197499999999998</v>
      </c>
      <c r="F4872" s="13">
        <f t="shared" si="231"/>
        <v>310.13885042921004</v>
      </c>
      <c r="G4872" s="13">
        <v>8920</v>
      </c>
      <c r="H4872" s="13">
        <v>24.4236</v>
      </c>
      <c r="I4872" s="13">
        <f t="shared" si="228"/>
        <v>365.22052441081576</v>
      </c>
    </row>
    <row r="4873" spans="1:9" ht="12.75" x14ac:dyDescent="0.2">
      <c r="A4873" s="10">
        <v>43874</v>
      </c>
      <c r="B4873" s="12">
        <f t="shared" si="229"/>
        <v>2</v>
      </c>
      <c r="C4873" s="12">
        <f t="shared" si="230"/>
        <v>2020</v>
      </c>
      <c r="D4873" s="13">
        <v>19600</v>
      </c>
      <c r="E4873" s="13">
        <v>63.641500000000001</v>
      </c>
      <c r="F4873" s="13">
        <f t="shared" si="231"/>
        <v>307.97514200639517</v>
      </c>
      <c r="G4873" s="13">
        <v>8875</v>
      </c>
      <c r="H4873" s="13">
        <v>24.496600000000001</v>
      </c>
      <c r="I4873" s="13">
        <f t="shared" si="228"/>
        <v>362.29517565702992</v>
      </c>
    </row>
    <row r="4874" spans="1:9" ht="12.75" x14ac:dyDescent="0.2">
      <c r="A4874" s="10">
        <v>43875</v>
      </c>
      <c r="B4874" s="12">
        <f t="shared" si="229"/>
        <v>2</v>
      </c>
      <c r="C4874" s="12">
        <f t="shared" si="230"/>
        <v>2020</v>
      </c>
      <c r="D4874" s="13">
        <v>19600</v>
      </c>
      <c r="E4874" s="13">
        <v>63.494999999999997</v>
      </c>
      <c r="F4874" s="13">
        <f t="shared" si="231"/>
        <v>308.68572328529808</v>
      </c>
      <c r="G4874" s="13">
        <v>8875</v>
      </c>
      <c r="H4874" s="13">
        <v>24.479500000000002</v>
      </c>
      <c r="I4874" s="13">
        <f t="shared" si="228"/>
        <v>362.54825466206415</v>
      </c>
    </row>
    <row r="4875" spans="1:9" ht="12.75" x14ac:dyDescent="0.2">
      <c r="A4875" s="10">
        <v>43878</v>
      </c>
      <c r="B4875" s="12"/>
      <c r="C4875" s="12"/>
      <c r="G4875" s="13">
        <v>8875</v>
      </c>
      <c r="H4875" s="13">
        <v>24.446999999999999</v>
      </c>
      <c r="I4875" s="13">
        <f t="shared" si="228"/>
        <v>363.03022865791303</v>
      </c>
    </row>
    <row r="4876" spans="1:9" ht="12.75" x14ac:dyDescent="0.2">
      <c r="A4876" s="10">
        <v>43879</v>
      </c>
      <c r="B4876" s="12">
        <f t="shared" si="229"/>
        <v>2</v>
      </c>
      <c r="C4876" s="12">
        <f t="shared" si="230"/>
        <v>2020</v>
      </c>
      <c r="D4876" s="13">
        <v>19500</v>
      </c>
      <c r="E4876" s="13">
        <v>63.845799999999997</v>
      </c>
      <c r="F4876" s="13">
        <f t="shared" si="231"/>
        <v>305.42337945487412</v>
      </c>
      <c r="G4876" s="13">
        <v>8750</v>
      </c>
      <c r="H4876" s="13">
        <v>24.445599999999999</v>
      </c>
      <c r="I4876" s="13">
        <f t="shared" si="228"/>
        <v>357.93762476682923</v>
      </c>
    </row>
    <row r="4877" spans="1:9" ht="12.75" x14ac:dyDescent="0.2">
      <c r="A4877" s="10">
        <v>43880</v>
      </c>
      <c r="B4877" s="12">
        <f t="shared" si="229"/>
        <v>2</v>
      </c>
      <c r="C4877" s="12">
        <f t="shared" si="230"/>
        <v>2020</v>
      </c>
      <c r="D4877" s="13">
        <v>19500</v>
      </c>
      <c r="E4877" s="13">
        <v>63.505000000000003</v>
      </c>
      <c r="F4877" s="13">
        <f t="shared" si="231"/>
        <v>307.06243602865914</v>
      </c>
      <c r="G4877" s="13">
        <v>8667</v>
      </c>
      <c r="H4877" s="13">
        <v>24.443100000000001</v>
      </c>
      <c r="I4877" s="13">
        <f t="shared" si="228"/>
        <v>354.57859273169112</v>
      </c>
    </row>
    <row r="4878" spans="1:9" ht="12.75" x14ac:dyDescent="0.2">
      <c r="A4878" s="10">
        <v>43881</v>
      </c>
      <c r="B4878" s="12">
        <f t="shared" si="229"/>
        <v>2</v>
      </c>
      <c r="C4878" s="12">
        <f t="shared" si="230"/>
        <v>2020</v>
      </c>
      <c r="D4878" s="13">
        <v>19500</v>
      </c>
      <c r="E4878" s="13">
        <v>64.140900000000002</v>
      </c>
      <c r="F4878" s="13">
        <f t="shared" si="231"/>
        <v>304.0181849646637</v>
      </c>
      <c r="G4878" s="13">
        <v>8580</v>
      </c>
      <c r="H4878" s="13">
        <v>24.523099999999999</v>
      </c>
      <c r="I4878" s="13">
        <f t="shared" si="228"/>
        <v>349.8742002438517</v>
      </c>
    </row>
    <row r="4879" spans="1:9" ht="12.75" x14ac:dyDescent="0.2">
      <c r="A4879" s="10">
        <v>43882</v>
      </c>
      <c r="B4879" s="12">
        <f t="shared" si="229"/>
        <v>2</v>
      </c>
      <c r="C4879" s="12">
        <f t="shared" si="230"/>
        <v>2020</v>
      </c>
      <c r="D4879" s="13">
        <v>19500</v>
      </c>
      <c r="E4879" s="13">
        <v>64.060299999999998</v>
      </c>
      <c r="F4879" s="13">
        <f t="shared" si="231"/>
        <v>304.40069746785451</v>
      </c>
      <c r="G4879" s="13">
        <v>8415</v>
      </c>
      <c r="H4879" s="13">
        <v>24.477699999999999</v>
      </c>
      <c r="I4879" s="13">
        <f t="shared" si="228"/>
        <v>343.78229980757999</v>
      </c>
    </row>
    <row r="4880" spans="1:9" ht="12.75" x14ac:dyDescent="0.2">
      <c r="A4880" s="10">
        <v>43885</v>
      </c>
      <c r="B4880" s="12">
        <f t="shared" si="229"/>
        <v>2</v>
      </c>
      <c r="C4880" s="12">
        <f t="shared" si="230"/>
        <v>2020</v>
      </c>
      <c r="D4880" s="13">
        <v>19400</v>
      </c>
      <c r="E4880" s="13">
        <v>65.337999999999994</v>
      </c>
      <c r="F4880" s="13">
        <f t="shared" si="231"/>
        <v>296.91756711255323</v>
      </c>
      <c r="G4880" s="13">
        <v>8330</v>
      </c>
      <c r="H4880" s="13">
        <v>24.452999999999999</v>
      </c>
      <c r="I4880" s="13">
        <f t="shared" si="228"/>
        <v>340.6534985482354</v>
      </c>
    </row>
    <row r="4881" spans="1:9" ht="12.75" x14ac:dyDescent="0.2">
      <c r="A4881" s="10">
        <v>43886</v>
      </c>
      <c r="B4881" s="12">
        <f t="shared" si="229"/>
        <v>2</v>
      </c>
      <c r="C4881" s="12">
        <f t="shared" si="230"/>
        <v>2020</v>
      </c>
      <c r="D4881" s="13">
        <v>19400</v>
      </c>
      <c r="E4881" s="13">
        <v>65.3</v>
      </c>
      <c r="F4881" s="13">
        <f t="shared" si="231"/>
        <v>297.09035222052069</v>
      </c>
      <c r="G4881" s="13">
        <v>8165</v>
      </c>
      <c r="H4881" s="13">
        <v>24.499500000000001</v>
      </c>
      <c r="I4881" s="13">
        <f t="shared" si="228"/>
        <v>333.27210759403249</v>
      </c>
    </row>
    <row r="4882" spans="1:9" ht="12.75" x14ac:dyDescent="0.2">
      <c r="A4882" s="10">
        <v>43887</v>
      </c>
      <c r="B4882" s="12">
        <f t="shared" si="229"/>
        <v>2</v>
      </c>
      <c r="C4882" s="12">
        <f t="shared" si="230"/>
        <v>2020</v>
      </c>
      <c r="D4882" s="13">
        <v>19400</v>
      </c>
      <c r="E4882" s="13">
        <v>65.392499999999998</v>
      </c>
      <c r="F4882" s="13">
        <f t="shared" si="231"/>
        <v>296.67010742822191</v>
      </c>
      <c r="G4882" s="13">
        <v>8165</v>
      </c>
      <c r="H4882" s="13">
        <v>24.5307</v>
      </c>
      <c r="I4882" s="13">
        <f t="shared" si="228"/>
        <v>332.8482269156608</v>
      </c>
    </row>
    <row r="4883" spans="1:9" ht="12.75" x14ac:dyDescent="0.2">
      <c r="A4883" s="10">
        <v>43888</v>
      </c>
      <c r="B4883" s="12">
        <f t="shared" si="229"/>
        <v>2</v>
      </c>
      <c r="C4883" s="12">
        <f t="shared" si="230"/>
        <v>2020</v>
      </c>
      <c r="D4883" s="13">
        <v>19400</v>
      </c>
      <c r="E4883" s="13">
        <v>66.25</v>
      </c>
      <c r="F4883" s="13">
        <f t="shared" si="231"/>
        <v>292.83018867924528</v>
      </c>
      <c r="G4883" s="13">
        <v>7835</v>
      </c>
      <c r="H4883" s="13">
        <v>24.649000000000001</v>
      </c>
      <c r="I4883" s="13">
        <f t="shared" si="228"/>
        <v>317.86279362245932</v>
      </c>
    </row>
    <row r="4884" spans="1:9" ht="12.75" x14ac:dyDescent="0.2">
      <c r="A4884" s="10">
        <v>43889</v>
      </c>
      <c r="B4884" s="12">
        <f t="shared" si="229"/>
        <v>2</v>
      </c>
      <c r="C4884" s="12">
        <f t="shared" si="230"/>
        <v>2020</v>
      </c>
      <c r="D4884" s="13">
        <v>19400</v>
      </c>
      <c r="E4884" s="13">
        <v>66.702699999999993</v>
      </c>
      <c r="F4884" s="13">
        <f t="shared" si="231"/>
        <v>290.84279946688815</v>
      </c>
      <c r="G4884" s="13">
        <v>7835</v>
      </c>
      <c r="H4884" s="13">
        <v>24.561</v>
      </c>
      <c r="I4884" s="13">
        <f t="shared" si="228"/>
        <v>319.00166931313873</v>
      </c>
    </row>
    <row r="4885" spans="1:9" ht="12.75" x14ac:dyDescent="0.2">
      <c r="A4885" s="10">
        <v>43892</v>
      </c>
      <c r="B4885" s="12">
        <f t="shared" si="229"/>
        <v>3</v>
      </c>
      <c r="C4885" s="12">
        <f t="shared" si="230"/>
        <v>2020</v>
      </c>
      <c r="D4885" s="13">
        <v>19400</v>
      </c>
      <c r="E4885" s="13">
        <v>66.155000000000001</v>
      </c>
      <c r="F4885" s="13">
        <f t="shared" si="231"/>
        <v>293.25069911571308</v>
      </c>
      <c r="G4885" s="13">
        <v>7835</v>
      </c>
      <c r="H4885" s="13">
        <v>24.59</v>
      </c>
      <c r="I4885" s="13">
        <f t="shared" si="228"/>
        <v>318.62545750305003</v>
      </c>
    </row>
    <row r="4886" spans="1:9" ht="12.75" x14ac:dyDescent="0.2">
      <c r="A4886" s="10">
        <v>43893</v>
      </c>
      <c r="B4886" s="12">
        <f t="shared" si="229"/>
        <v>3</v>
      </c>
      <c r="C4886" s="12">
        <f t="shared" si="230"/>
        <v>2020</v>
      </c>
      <c r="D4886" s="13">
        <v>19400</v>
      </c>
      <c r="E4886" s="13">
        <v>66.081999999999994</v>
      </c>
      <c r="F4886" s="13">
        <f t="shared" si="231"/>
        <v>293.57464967767322</v>
      </c>
      <c r="G4886" s="13">
        <v>7917</v>
      </c>
      <c r="H4886" s="13">
        <v>24.818000000000001</v>
      </c>
      <c r="I4886" s="13">
        <f t="shared" si="228"/>
        <v>319.00233701345797</v>
      </c>
    </row>
    <row r="4887" spans="1:9" ht="12.75" x14ac:dyDescent="0.2">
      <c r="A4887" s="10">
        <v>43894</v>
      </c>
      <c r="B4887" s="12">
        <f t="shared" si="229"/>
        <v>3</v>
      </c>
      <c r="C4887" s="12">
        <f t="shared" si="230"/>
        <v>2020</v>
      </c>
      <c r="D4887" s="13">
        <v>19400</v>
      </c>
      <c r="E4887" s="13">
        <v>66.215000000000003</v>
      </c>
      <c r="F4887" s="13">
        <f t="shared" si="231"/>
        <v>292.98497319338514</v>
      </c>
      <c r="G4887" s="13">
        <v>7917</v>
      </c>
      <c r="H4887" s="13">
        <v>24.938600000000001</v>
      </c>
      <c r="I4887" s="13">
        <f t="shared" si="228"/>
        <v>317.45968097647824</v>
      </c>
    </row>
    <row r="4888" spans="1:9" ht="12.75" x14ac:dyDescent="0.2">
      <c r="A4888" s="10">
        <v>43895</v>
      </c>
      <c r="B4888" s="12">
        <f t="shared" si="229"/>
        <v>3</v>
      </c>
      <c r="C4888" s="12">
        <f t="shared" si="230"/>
        <v>2020</v>
      </c>
      <c r="D4888" s="13">
        <v>19400</v>
      </c>
      <c r="E4888" s="13">
        <v>67.554000000000002</v>
      </c>
      <c r="F4888" s="13">
        <f t="shared" si="231"/>
        <v>287.17766527518722</v>
      </c>
      <c r="G4888" s="13">
        <v>7917</v>
      </c>
      <c r="H4888" s="13">
        <v>24.890799999999999</v>
      </c>
      <c r="I4888" s="13">
        <f t="shared" si="228"/>
        <v>318.06932681954783</v>
      </c>
    </row>
    <row r="4889" spans="1:9" ht="12.75" x14ac:dyDescent="0.2">
      <c r="A4889" s="10">
        <v>43896</v>
      </c>
      <c r="B4889" s="12">
        <f t="shared" si="229"/>
        <v>3</v>
      </c>
      <c r="C4889" s="12">
        <f t="shared" si="230"/>
        <v>2020</v>
      </c>
      <c r="D4889" s="13">
        <v>19400</v>
      </c>
      <c r="E4889" s="13">
        <v>68.540000000000006</v>
      </c>
      <c r="F4889" s="13">
        <f t="shared" si="231"/>
        <v>283.04639626495475</v>
      </c>
      <c r="G4889" s="13">
        <v>7917</v>
      </c>
      <c r="H4889" s="13">
        <v>24.741299999999999</v>
      </c>
      <c r="I4889" s="13">
        <f t="shared" si="228"/>
        <v>319.99126965842538</v>
      </c>
    </row>
    <row r="4890" spans="1:9" ht="12.75" x14ac:dyDescent="0.2">
      <c r="A4890" s="10">
        <v>43899</v>
      </c>
      <c r="B4890" s="12">
        <f t="shared" si="229"/>
        <v>3</v>
      </c>
      <c r="C4890" s="12">
        <f t="shared" si="230"/>
        <v>2020</v>
      </c>
      <c r="D4890" s="13">
        <v>19500</v>
      </c>
      <c r="E4890" s="13">
        <v>74.680000000000007</v>
      </c>
      <c r="F4890" s="13">
        <f t="shared" si="231"/>
        <v>261.11408677021956</v>
      </c>
      <c r="G4890" s="13">
        <v>7335</v>
      </c>
      <c r="H4890" s="13">
        <f>AVERAGE(H4891,H4889)</f>
        <v>24.831400000000002</v>
      </c>
      <c r="I4890" s="13">
        <f t="shared" si="228"/>
        <v>295.39212448754398</v>
      </c>
    </row>
    <row r="4891" spans="1:9" ht="12.75" x14ac:dyDescent="0.2">
      <c r="A4891" s="10">
        <v>43900</v>
      </c>
      <c r="B4891" s="12">
        <f t="shared" si="229"/>
        <v>3</v>
      </c>
      <c r="C4891" s="12">
        <f t="shared" si="230"/>
        <v>2020</v>
      </c>
      <c r="D4891" s="13">
        <v>19500</v>
      </c>
      <c r="E4891" s="13">
        <v>71.349999999999994</v>
      </c>
      <c r="F4891" s="13">
        <f t="shared" si="231"/>
        <v>273.30063069376314</v>
      </c>
      <c r="G4891" s="13">
        <v>7667</v>
      </c>
      <c r="H4891" s="13">
        <v>24.921500000000002</v>
      </c>
      <c r="I4891" s="13">
        <f t="shared" si="228"/>
        <v>307.64600846658504</v>
      </c>
    </row>
    <row r="4892" spans="1:9" ht="12.75" x14ac:dyDescent="0.2">
      <c r="A4892" s="10">
        <v>43901</v>
      </c>
      <c r="B4892" s="12">
        <f t="shared" si="229"/>
        <v>3</v>
      </c>
      <c r="C4892" s="12">
        <f t="shared" si="230"/>
        <v>2020</v>
      </c>
      <c r="D4892" s="13">
        <v>19500</v>
      </c>
      <c r="E4892" s="13">
        <v>73.179000000000002</v>
      </c>
      <c r="F4892" s="13">
        <f t="shared" si="231"/>
        <v>266.46988890255398</v>
      </c>
      <c r="G4892" s="13">
        <v>8165</v>
      </c>
      <c r="H4892" s="13">
        <v>25.313500000000001</v>
      </c>
      <c r="I4892" s="13">
        <f t="shared" si="228"/>
        <v>322.55515831473321</v>
      </c>
    </row>
    <row r="4893" spans="1:9" ht="12.75" x14ac:dyDescent="0.2">
      <c r="A4893" s="10">
        <v>43902</v>
      </c>
      <c r="B4893" s="12">
        <f t="shared" si="229"/>
        <v>3</v>
      </c>
      <c r="C4893" s="12">
        <f t="shared" si="230"/>
        <v>2020</v>
      </c>
      <c r="D4893" s="13">
        <v>19500</v>
      </c>
      <c r="E4893" s="13">
        <v>74.885000000000005</v>
      </c>
      <c r="F4893" s="13">
        <f t="shared" si="231"/>
        <v>260.39927889430459</v>
      </c>
      <c r="G4893" s="13">
        <v>8165</v>
      </c>
      <c r="H4893" s="13">
        <v>25.623999999999999</v>
      </c>
      <c r="I4893" s="13">
        <f t="shared" si="228"/>
        <v>318.64658133000313</v>
      </c>
    </row>
    <row r="4894" spans="1:9" ht="12.75" x14ac:dyDescent="0.2">
      <c r="A4894" s="10">
        <v>43903</v>
      </c>
      <c r="B4894" s="12">
        <f t="shared" si="229"/>
        <v>3</v>
      </c>
      <c r="C4894" s="12">
        <f t="shared" si="230"/>
        <v>2020</v>
      </c>
      <c r="D4894" s="13">
        <v>19500</v>
      </c>
      <c r="E4894" s="13">
        <v>72.265000000000001</v>
      </c>
      <c r="F4894" s="13">
        <f t="shared" si="231"/>
        <v>269.84017159067321</v>
      </c>
      <c r="G4894" s="13">
        <v>8250</v>
      </c>
      <c r="H4894" s="13">
        <v>25.858000000000001</v>
      </c>
      <c r="I4894" s="13">
        <f t="shared" si="228"/>
        <v>319.05019723103101</v>
      </c>
    </row>
    <row r="4895" spans="1:9" ht="12.75" x14ac:dyDescent="0.2">
      <c r="A4895" s="10">
        <v>43906</v>
      </c>
      <c r="B4895" s="12">
        <f t="shared" si="229"/>
        <v>3</v>
      </c>
      <c r="C4895" s="12">
        <f t="shared" si="230"/>
        <v>2020</v>
      </c>
      <c r="D4895" s="13">
        <v>20000</v>
      </c>
      <c r="E4895" s="13">
        <v>74.405000000000001</v>
      </c>
      <c r="F4895" s="13">
        <f t="shared" si="231"/>
        <v>268.79913984275248</v>
      </c>
      <c r="G4895" s="13">
        <v>8333</v>
      </c>
      <c r="H4895" s="13">
        <v>26.088999999999999</v>
      </c>
      <c r="I4895" s="13">
        <f t="shared" si="228"/>
        <v>319.40664647935915</v>
      </c>
    </row>
    <row r="4896" spans="1:9" ht="12.75" x14ac:dyDescent="0.2">
      <c r="A4896" s="10">
        <v>43907</v>
      </c>
      <c r="B4896" s="12">
        <f t="shared" si="229"/>
        <v>3</v>
      </c>
      <c r="C4896" s="12">
        <f t="shared" si="230"/>
        <v>2020</v>
      </c>
      <c r="D4896" s="13">
        <v>20000</v>
      </c>
      <c r="E4896" s="13">
        <v>75.249200000000002</v>
      </c>
      <c r="F4896" s="13">
        <f t="shared" si="231"/>
        <v>265.78355650292627</v>
      </c>
      <c r="G4896" s="13">
        <v>8333</v>
      </c>
      <c r="H4896" s="13">
        <v>26.524899999999999</v>
      </c>
      <c r="I4896" s="13">
        <f t="shared" si="228"/>
        <v>314.15764055660907</v>
      </c>
    </row>
    <row r="4897" spans="1:9" ht="12.75" x14ac:dyDescent="0.2">
      <c r="A4897" s="10">
        <v>43908</v>
      </c>
      <c r="B4897" s="12">
        <f t="shared" si="229"/>
        <v>3</v>
      </c>
      <c r="C4897" s="12">
        <f t="shared" si="230"/>
        <v>2020</v>
      </c>
      <c r="D4897" s="13">
        <v>20000</v>
      </c>
      <c r="E4897" s="13">
        <v>80.680000000000007</v>
      </c>
      <c r="F4897" s="13">
        <f t="shared" si="231"/>
        <v>247.89291026276646</v>
      </c>
      <c r="G4897" s="13">
        <v>8333</v>
      </c>
      <c r="H4897" s="13">
        <v>27.0566</v>
      </c>
      <c r="I4897" s="13">
        <f t="shared" si="228"/>
        <v>307.98400390292943</v>
      </c>
    </row>
    <row r="4898" spans="1:9" ht="12.75" x14ac:dyDescent="0.2">
      <c r="A4898" s="10">
        <v>43909</v>
      </c>
      <c r="B4898" s="12">
        <f t="shared" si="229"/>
        <v>3</v>
      </c>
      <c r="C4898" s="12">
        <f t="shared" si="230"/>
        <v>2020</v>
      </c>
      <c r="D4898" s="13">
        <v>20000</v>
      </c>
      <c r="E4898" s="13">
        <v>79.057500000000005</v>
      </c>
      <c r="F4898" s="13">
        <f t="shared" si="231"/>
        <v>252.98042563956614</v>
      </c>
      <c r="G4898" s="13">
        <v>8500</v>
      </c>
      <c r="H4898" s="13">
        <v>27.2685</v>
      </c>
      <c r="I4898" s="13">
        <f t="shared" si="228"/>
        <v>311.71498248895244</v>
      </c>
    </row>
    <row r="4899" spans="1:9" ht="12.75" x14ac:dyDescent="0.2">
      <c r="A4899" s="10">
        <v>43910</v>
      </c>
      <c r="B4899" s="12">
        <f t="shared" si="229"/>
        <v>3</v>
      </c>
      <c r="C4899" s="12">
        <f t="shared" si="230"/>
        <v>2020</v>
      </c>
      <c r="D4899" s="13">
        <v>20000</v>
      </c>
      <c r="E4899" s="13">
        <v>79.752300000000005</v>
      </c>
      <c r="F4899" s="13">
        <f t="shared" si="231"/>
        <v>250.77646663481804</v>
      </c>
      <c r="G4899" s="13">
        <v>8585</v>
      </c>
      <c r="H4899" s="13">
        <v>27.802499999999998</v>
      </c>
      <c r="I4899" s="13">
        <f t="shared" si="228"/>
        <v>308.78518118874206</v>
      </c>
    </row>
    <row r="4900" spans="1:9" ht="12.75" x14ac:dyDescent="0.2">
      <c r="A4900" s="10">
        <v>43913</v>
      </c>
      <c r="B4900" s="12">
        <f t="shared" si="229"/>
        <v>3</v>
      </c>
      <c r="C4900" s="12">
        <f t="shared" si="230"/>
        <v>2020</v>
      </c>
      <c r="D4900" s="13">
        <v>20600</v>
      </c>
      <c r="E4900" s="13">
        <v>79.218999999999994</v>
      </c>
      <c r="F4900" s="13">
        <f t="shared" si="231"/>
        <v>260.03862709703481</v>
      </c>
      <c r="G4900" s="13">
        <v>8667</v>
      </c>
      <c r="H4900" s="13">
        <v>27.738600000000002</v>
      </c>
      <c r="I4900" s="13">
        <f t="shared" si="228"/>
        <v>312.45268326447621</v>
      </c>
    </row>
    <row r="4901" spans="1:9" ht="12.75" x14ac:dyDescent="0.2">
      <c r="A4901" s="10">
        <v>43914</v>
      </c>
      <c r="B4901" s="12">
        <f t="shared" si="229"/>
        <v>3</v>
      </c>
      <c r="C4901" s="12">
        <f t="shared" si="230"/>
        <v>2020</v>
      </c>
      <c r="D4901" s="13">
        <v>20600</v>
      </c>
      <c r="E4901" s="13">
        <v>78.204999999999998</v>
      </c>
      <c r="F4901" s="13">
        <f t="shared" si="231"/>
        <v>263.41026788568507</v>
      </c>
      <c r="G4901" s="13">
        <v>8833</v>
      </c>
      <c r="H4901" s="13">
        <v>28.1126</v>
      </c>
      <c r="I4901" s="13">
        <f t="shared" si="228"/>
        <v>314.20074984170799</v>
      </c>
    </row>
    <row r="4902" spans="1:9" ht="12.75" x14ac:dyDescent="0.2">
      <c r="A4902" s="10">
        <v>43915</v>
      </c>
      <c r="B4902" s="12">
        <f t="shared" si="229"/>
        <v>3</v>
      </c>
      <c r="C4902" s="12">
        <f t="shared" si="230"/>
        <v>2020</v>
      </c>
      <c r="D4902" s="13">
        <v>20600</v>
      </c>
      <c r="E4902" s="13">
        <v>78.230999999999995</v>
      </c>
      <c r="F4902" s="13">
        <f t="shared" si="231"/>
        <v>263.32272372844528</v>
      </c>
      <c r="G4902" s="13">
        <v>8875</v>
      </c>
      <c r="H4902" s="13">
        <v>27.7728</v>
      </c>
      <c r="I4902" s="13">
        <f t="shared" si="228"/>
        <v>319.55726466182739</v>
      </c>
    </row>
    <row r="4903" spans="1:9" ht="12.75" x14ac:dyDescent="0.2">
      <c r="A4903" s="10">
        <v>43916</v>
      </c>
      <c r="B4903" s="12">
        <f t="shared" si="229"/>
        <v>3</v>
      </c>
      <c r="C4903" s="12">
        <f t="shared" si="230"/>
        <v>2020</v>
      </c>
      <c r="D4903" s="13">
        <v>20600</v>
      </c>
      <c r="E4903" s="13">
        <v>77.242800000000003</v>
      </c>
      <c r="F4903" s="13">
        <f t="shared" si="231"/>
        <v>266.69152335233832</v>
      </c>
      <c r="G4903" s="13">
        <v>9000</v>
      </c>
      <c r="H4903" s="13">
        <v>27.955200000000001</v>
      </c>
      <c r="I4903" s="13">
        <f t="shared" si="228"/>
        <v>321.94368131868129</v>
      </c>
    </row>
    <row r="4904" spans="1:9" ht="12.75" x14ac:dyDescent="0.2">
      <c r="A4904" s="10">
        <v>43917</v>
      </c>
      <c r="B4904" s="12">
        <f t="shared" si="229"/>
        <v>3</v>
      </c>
      <c r="C4904" s="12">
        <f t="shared" si="230"/>
        <v>2020</v>
      </c>
      <c r="D4904" s="13">
        <v>20600</v>
      </c>
      <c r="E4904" s="13">
        <v>78.7</v>
      </c>
      <c r="F4904" s="13">
        <f t="shared" si="231"/>
        <v>261.75349428208386</v>
      </c>
      <c r="G4904" s="13">
        <v>9167</v>
      </c>
      <c r="H4904" s="13">
        <v>28.138100000000001</v>
      </c>
      <c r="I4904" s="13">
        <f t="shared" si="228"/>
        <v>325.78603388288474</v>
      </c>
    </row>
    <row r="4905" spans="1:9" ht="12.75" x14ac:dyDescent="0.2">
      <c r="A4905" s="10">
        <v>43920</v>
      </c>
      <c r="B4905" s="12">
        <f t="shared" si="229"/>
        <v>3</v>
      </c>
      <c r="C4905" s="12">
        <f t="shared" si="230"/>
        <v>2020</v>
      </c>
      <c r="D4905" s="13">
        <v>21000</v>
      </c>
      <c r="E4905" s="13">
        <v>79.227999999999994</v>
      </c>
      <c r="F4905" s="13">
        <f t="shared" si="231"/>
        <v>265.05780784571112</v>
      </c>
      <c r="G4905" s="13">
        <v>9250</v>
      </c>
      <c r="H4905" s="13">
        <v>28.183</v>
      </c>
      <c r="I4905" s="13">
        <f t="shared" si="228"/>
        <v>328.21204272078916</v>
      </c>
    </row>
    <row r="4906" spans="1:9" ht="12.75" x14ac:dyDescent="0.2">
      <c r="A4906" s="10">
        <v>43921</v>
      </c>
      <c r="B4906" s="12">
        <f t="shared" si="229"/>
        <v>3</v>
      </c>
      <c r="C4906" s="12">
        <f t="shared" si="230"/>
        <v>2020</v>
      </c>
      <c r="D4906" s="13">
        <v>21000</v>
      </c>
      <c r="E4906" s="13">
        <v>78.418999999999997</v>
      </c>
      <c r="F4906" s="13">
        <f t="shared" si="231"/>
        <v>267.79224422652675</v>
      </c>
      <c r="G4906" s="13">
        <v>9250</v>
      </c>
      <c r="H4906" s="13">
        <v>28.061499999999999</v>
      </c>
      <c r="I4906" s="13">
        <f t="shared" si="228"/>
        <v>329.63312723838715</v>
      </c>
    </row>
    <row r="4907" spans="1:9" ht="12.75" x14ac:dyDescent="0.2">
      <c r="A4907" s="10">
        <v>43922</v>
      </c>
      <c r="B4907" s="12">
        <f t="shared" si="229"/>
        <v>4</v>
      </c>
      <c r="C4907" s="12">
        <f t="shared" si="230"/>
        <v>2020</v>
      </c>
      <c r="D4907" s="13">
        <v>21000</v>
      </c>
      <c r="E4907" s="13">
        <v>78.6126</v>
      </c>
      <c r="F4907" s="13">
        <f t="shared" si="231"/>
        <v>267.13274971187826</v>
      </c>
      <c r="G4907" s="13">
        <v>9250</v>
      </c>
      <c r="H4907" s="13">
        <v>27.628900000000002</v>
      </c>
      <c r="I4907" s="13">
        <f t="shared" si="228"/>
        <v>334.79436387261165</v>
      </c>
    </row>
    <row r="4908" spans="1:9" ht="12.75" x14ac:dyDescent="0.2">
      <c r="A4908" s="10">
        <v>43923</v>
      </c>
      <c r="B4908" s="12">
        <f t="shared" si="229"/>
        <v>4</v>
      </c>
      <c r="C4908" s="12">
        <f t="shared" si="230"/>
        <v>2020</v>
      </c>
      <c r="D4908" s="13">
        <v>21000</v>
      </c>
      <c r="E4908" s="13">
        <v>77.042500000000004</v>
      </c>
      <c r="F4908" s="13">
        <f t="shared" si="231"/>
        <v>272.5768244799948</v>
      </c>
      <c r="G4908" s="13">
        <v>9333</v>
      </c>
      <c r="H4908" s="13">
        <v>27.753799999999998</v>
      </c>
      <c r="I4908" s="13">
        <f t="shared" ref="I4908:I4971" si="232">IF(G4908="","",G4908/H4908)</f>
        <v>336.27827540733165</v>
      </c>
    </row>
    <row r="4909" spans="1:9" ht="12.75" x14ac:dyDescent="0.2">
      <c r="A4909" s="10">
        <v>43924</v>
      </c>
      <c r="B4909" s="12">
        <f t="shared" si="229"/>
        <v>4</v>
      </c>
      <c r="C4909" s="12">
        <f t="shared" si="230"/>
        <v>2020</v>
      </c>
      <c r="D4909" s="13">
        <v>21000</v>
      </c>
      <c r="E4909" s="13">
        <v>76.392499999999998</v>
      </c>
      <c r="F4909" s="13">
        <f t="shared" si="231"/>
        <v>274.89609582092481</v>
      </c>
      <c r="G4909" s="13">
        <v>9333</v>
      </c>
      <c r="H4909" s="13">
        <v>27.5962</v>
      </c>
      <c r="I4909" s="13">
        <f t="shared" si="232"/>
        <v>338.19873750733797</v>
      </c>
    </row>
    <row r="4910" spans="1:9" ht="12.75" x14ac:dyDescent="0.2">
      <c r="A4910" s="10">
        <v>43927</v>
      </c>
      <c r="B4910" s="12">
        <f t="shared" si="229"/>
        <v>4</v>
      </c>
      <c r="C4910" s="12">
        <f t="shared" si="230"/>
        <v>2020</v>
      </c>
      <c r="D4910" s="13">
        <v>21500</v>
      </c>
      <c r="E4910" s="13">
        <v>75.936199999999999</v>
      </c>
      <c r="F4910" s="13">
        <f t="shared" si="231"/>
        <v>283.13241905705053</v>
      </c>
      <c r="G4910" s="13">
        <v>9333</v>
      </c>
      <c r="H4910" s="13">
        <v>27.373000000000001</v>
      </c>
      <c r="I4910" s="13">
        <f t="shared" si="232"/>
        <v>340.95641690717127</v>
      </c>
    </row>
    <row r="4911" spans="1:9" ht="12.75" x14ac:dyDescent="0.2">
      <c r="A4911" s="10">
        <v>43928</v>
      </c>
      <c r="B4911" s="12">
        <f t="shared" si="229"/>
        <v>4</v>
      </c>
      <c r="C4911" s="12">
        <f t="shared" si="230"/>
        <v>2020</v>
      </c>
      <c r="D4911" s="13">
        <v>21500</v>
      </c>
      <c r="E4911" s="13">
        <v>75.38</v>
      </c>
      <c r="F4911" s="13">
        <f t="shared" si="231"/>
        <v>285.22154417617406</v>
      </c>
      <c r="G4911" s="13">
        <v>9415</v>
      </c>
      <c r="H4911" s="13">
        <v>27.236499999999999</v>
      </c>
      <c r="I4911" s="13">
        <f t="shared" si="232"/>
        <v>345.67583940667856</v>
      </c>
    </row>
    <row r="4912" spans="1:9" ht="12.75" x14ac:dyDescent="0.2">
      <c r="A4912" s="10">
        <v>43929</v>
      </c>
      <c r="B4912" s="12">
        <f t="shared" si="229"/>
        <v>4</v>
      </c>
      <c r="C4912" s="12">
        <f t="shared" si="230"/>
        <v>2020</v>
      </c>
      <c r="D4912" s="13">
        <v>21500</v>
      </c>
      <c r="E4912" s="13">
        <v>74.959800000000001</v>
      </c>
      <c r="F4912" s="13">
        <f t="shared" si="231"/>
        <v>286.82040240235432</v>
      </c>
      <c r="G4912" s="13">
        <v>9585</v>
      </c>
      <c r="H4912" s="13">
        <v>27.099599999999999</v>
      </c>
      <c r="I4912" s="13">
        <f t="shared" si="232"/>
        <v>353.69525749457557</v>
      </c>
    </row>
    <row r="4913" spans="1:9" ht="12.75" x14ac:dyDescent="0.2">
      <c r="A4913" s="10">
        <v>43930</v>
      </c>
      <c r="B4913" s="12">
        <f t="shared" si="229"/>
        <v>4</v>
      </c>
      <c r="C4913" s="12">
        <f t="shared" si="230"/>
        <v>2020</v>
      </c>
      <c r="D4913" s="13">
        <v>21500</v>
      </c>
      <c r="E4913" s="13">
        <v>74.156599999999997</v>
      </c>
      <c r="F4913" s="13">
        <f t="shared" si="231"/>
        <v>289.92699233783645</v>
      </c>
      <c r="G4913" s="13">
        <v>9750</v>
      </c>
      <c r="H4913" s="13">
        <v>27.1965</v>
      </c>
      <c r="I4913" s="13">
        <f t="shared" si="232"/>
        <v>358.50201312668906</v>
      </c>
    </row>
    <row r="4914" spans="1:9" ht="12.75" x14ac:dyDescent="0.2">
      <c r="A4914" s="10">
        <v>43934</v>
      </c>
      <c r="B4914" s="12">
        <f t="shared" si="229"/>
        <v>4</v>
      </c>
      <c r="C4914" s="12">
        <f t="shared" si="230"/>
        <v>2020</v>
      </c>
      <c r="D4914" s="13">
        <v>23250</v>
      </c>
      <c r="E4914" s="13">
        <v>73.62</v>
      </c>
      <c r="F4914" s="13">
        <f t="shared" si="231"/>
        <v>315.81092094539525</v>
      </c>
      <c r="H4914" s="13">
        <v>27.202200000000001</v>
      </c>
      <c r="I4914" s="13" t="str">
        <f t="shared" si="232"/>
        <v/>
      </c>
    </row>
    <row r="4915" spans="1:9" ht="12.75" x14ac:dyDescent="0.2">
      <c r="A4915" s="10">
        <v>43935</v>
      </c>
      <c r="B4915" s="12">
        <f t="shared" si="229"/>
        <v>4</v>
      </c>
      <c r="C4915" s="12">
        <f t="shared" si="230"/>
        <v>2020</v>
      </c>
      <c r="D4915" s="13">
        <v>23250</v>
      </c>
      <c r="E4915" s="13">
        <v>72.930300000000003</v>
      </c>
      <c r="F4915" s="13">
        <f t="shared" si="231"/>
        <v>318.79753682625739</v>
      </c>
      <c r="G4915" s="13">
        <v>9833</v>
      </c>
      <c r="H4915" s="13">
        <v>27.040400000000002</v>
      </c>
      <c r="I4915" s="13">
        <f t="shared" si="232"/>
        <v>363.64107039836688</v>
      </c>
    </row>
    <row r="4916" spans="1:9" ht="12.75" x14ac:dyDescent="0.2">
      <c r="A4916" s="10">
        <v>43936</v>
      </c>
      <c r="B4916" s="12">
        <f t="shared" si="229"/>
        <v>4</v>
      </c>
      <c r="C4916" s="12">
        <f t="shared" si="230"/>
        <v>2020</v>
      </c>
      <c r="D4916" s="13">
        <v>23250</v>
      </c>
      <c r="E4916" s="13">
        <v>74.712599999999995</v>
      </c>
      <c r="F4916" s="13">
        <f t="shared" si="231"/>
        <v>311.19248962022471</v>
      </c>
      <c r="G4916" s="13">
        <v>9916</v>
      </c>
      <c r="H4916" s="13">
        <v>27.0899</v>
      </c>
      <c r="I4916" s="13">
        <f t="shared" si="232"/>
        <v>366.04048003130316</v>
      </c>
    </row>
    <row r="4917" spans="1:9" ht="12.75" x14ac:dyDescent="0.2">
      <c r="A4917" s="10">
        <v>43937</v>
      </c>
      <c r="B4917" s="12">
        <f t="shared" si="229"/>
        <v>4</v>
      </c>
      <c r="C4917" s="12">
        <f t="shared" si="230"/>
        <v>2020</v>
      </c>
      <c r="D4917" s="13">
        <v>23250</v>
      </c>
      <c r="E4917" s="13">
        <v>73.943700000000007</v>
      </c>
      <c r="F4917" s="13">
        <f t="shared" si="231"/>
        <v>314.42840972253214</v>
      </c>
      <c r="G4917" s="13">
        <v>9916</v>
      </c>
      <c r="H4917" s="13">
        <v>27.221900000000002</v>
      </c>
      <c r="I4917" s="13">
        <f t="shared" si="232"/>
        <v>364.26553620430604</v>
      </c>
    </row>
    <row r="4918" spans="1:9" ht="12.75" x14ac:dyDescent="0.2">
      <c r="A4918" s="10">
        <v>43938</v>
      </c>
      <c r="B4918" s="12">
        <f t="shared" si="229"/>
        <v>4</v>
      </c>
      <c r="C4918" s="12">
        <f t="shared" si="230"/>
        <v>2020</v>
      </c>
      <c r="D4918" s="13">
        <v>23250</v>
      </c>
      <c r="E4918" s="13">
        <v>73.842500000000001</v>
      </c>
      <c r="F4918" s="13">
        <f t="shared" si="231"/>
        <v>314.859328977215</v>
      </c>
      <c r="G4918" s="13">
        <v>9916</v>
      </c>
      <c r="H4918" s="13">
        <v>27.202200000000001</v>
      </c>
      <c r="I4918" s="13">
        <f t="shared" si="232"/>
        <v>364.52933953871377</v>
      </c>
    </row>
    <row r="4919" spans="1:9" ht="12.75" x14ac:dyDescent="0.2">
      <c r="A4919" s="10">
        <v>43941</v>
      </c>
      <c r="B4919" s="12">
        <f t="shared" si="229"/>
        <v>4</v>
      </c>
      <c r="C4919" s="12">
        <f t="shared" si="230"/>
        <v>2020</v>
      </c>
      <c r="D4919" s="13">
        <v>23400</v>
      </c>
      <c r="E4919" s="13">
        <v>75.433999999999997</v>
      </c>
      <c r="F4919" s="13">
        <f t="shared" si="231"/>
        <v>310.20494737121192</v>
      </c>
      <c r="G4919" s="13">
        <v>9750</v>
      </c>
      <c r="H4919" s="13">
        <f>AVERAGE(H4920,H4918)</f>
        <v>27.139800000000001</v>
      </c>
      <c r="I4919" s="13">
        <f t="shared" si="232"/>
        <v>359.25098932195522</v>
      </c>
    </row>
    <row r="4920" spans="1:9" ht="12.75" x14ac:dyDescent="0.2">
      <c r="A4920" s="10">
        <v>43942</v>
      </c>
      <c r="B4920" s="12">
        <f t="shared" si="229"/>
        <v>4</v>
      </c>
      <c r="C4920" s="12">
        <f t="shared" si="230"/>
        <v>2020</v>
      </c>
      <c r="D4920" s="13">
        <v>23400</v>
      </c>
      <c r="E4920" s="13">
        <v>77.060199999999995</v>
      </c>
      <c r="F4920" s="13">
        <f t="shared" si="231"/>
        <v>303.65869800493641</v>
      </c>
      <c r="G4920" s="13">
        <v>9500</v>
      </c>
      <c r="H4920" s="13">
        <v>27.077400000000001</v>
      </c>
      <c r="I4920" s="13">
        <f t="shared" si="232"/>
        <v>350.84609305177008</v>
      </c>
    </row>
    <row r="4921" spans="1:9" ht="12.75" x14ac:dyDescent="0.2">
      <c r="A4921" s="10">
        <v>43943</v>
      </c>
      <c r="B4921" s="12">
        <f t="shared" si="229"/>
        <v>4</v>
      </c>
      <c r="C4921" s="12">
        <f t="shared" si="230"/>
        <v>2020</v>
      </c>
      <c r="D4921" s="13">
        <v>23400</v>
      </c>
      <c r="E4921" s="13">
        <v>75.825999999999993</v>
      </c>
      <c r="F4921" s="13">
        <f t="shared" si="231"/>
        <v>308.60127133173319</v>
      </c>
      <c r="G4921" s="13">
        <v>9417</v>
      </c>
      <c r="H4921" s="13">
        <v>27.081499999999998</v>
      </c>
      <c r="I4921" s="13">
        <f t="shared" si="232"/>
        <v>347.72815390580286</v>
      </c>
    </row>
    <row r="4922" spans="1:9" ht="12.75" x14ac:dyDescent="0.2">
      <c r="A4922" s="10">
        <v>43944</v>
      </c>
      <c r="B4922" s="12">
        <f t="shared" si="229"/>
        <v>4</v>
      </c>
      <c r="C4922" s="12">
        <f t="shared" si="230"/>
        <v>2020</v>
      </c>
      <c r="D4922" s="13">
        <v>23400</v>
      </c>
      <c r="E4922" s="13">
        <v>74.739000000000004</v>
      </c>
      <c r="F4922" s="13">
        <f t="shared" si="231"/>
        <v>313.08955163970614</v>
      </c>
      <c r="G4922" s="13">
        <v>9417</v>
      </c>
      <c r="H4922" s="13">
        <v>27.053599999999999</v>
      </c>
      <c r="I4922" s="13">
        <f t="shared" si="232"/>
        <v>348.08676109648997</v>
      </c>
    </row>
    <row r="4923" spans="1:9" ht="12.75" x14ac:dyDescent="0.2">
      <c r="A4923" s="10">
        <v>43945</v>
      </c>
      <c r="B4923" s="12">
        <f t="shared" si="229"/>
        <v>4</v>
      </c>
      <c r="C4923" s="12">
        <f t="shared" si="230"/>
        <v>2020</v>
      </c>
      <c r="D4923" s="13">
        <v>23400</v>
      </c>
      <c r="E4923" s="13">
        <v>74.400000000000006</v>
      </c>
      <c r="F4923" s="13">
        <f t="shared" si="231"/>
        <v>314.51612903225805</v>
      </c>
      <c r="G4923" s="13">
        <v>9417</v>
      </c>
      <c r="H4923" s="13">
        <v>27.0137</v>
      </c>
      <c r="I4923" s="13">
        <f t="shared" si="232"/>
        <v>348.60089510137448</v>
      </c>
    </row>
    <row r="4924" spans="1:9" ht="12.75" x14ac:dyDescent="0.2">
      <c r="A4924" s="10">
        <v>43948</v>
      </c>
      <c r="B4924" s="12">
        <f t="shared" si="229"/>
        <v>4</v>
      </c>
      <c r="C4924" s="12">
        <f t="shared" si="230"/>
        <v>2020</v>
      </c>
      <c r="D4924" s="13">
        <v>23150</v>
      </c>
      <c r="E4924" s="13">
        <v>74.186899999999994</v>
      </c>
      <c r="F4924" s="13">
        <f t="shared" si="231"/>
        <v>312.04970149716462</v>
      </c>
      <c r="G4924" s="13">
        <v>9250</v>
      </c>
      <c r="H4924" s="13">
        <v>27.144100000000002</v>
      </c>
      <c r="I4924" s="13">
        <f t="shared" si="232"/>
        <v>340.77386982806576</v>
      </c>
    </row>
    <row r="4925" spans="1:9" ht="12.75" x14ac:dyDescent="0.2">
      <c r="A4925" s="10">
        <v>43949</v>
      </c>
      <c r="B4925" s="12">
        <f t="shared" si="229"/>
        <v>4</v>
      </c>
      <c r="C4925" s="12">
        <f t="shared" si="230"/>
        <v>2020</v>
      </c>
      <c r="D4925" s="13">
        <v>23150</v>
      </c>
      <c r="E4925" s="13">
        <v>74.100800000000007</v>
      </c>
      <c r="F4925" s="13">
        <f t="shared" si="231"/>
        <v>312.41228164878112</v>
      </c>
      <c r="G4925" s="13">
        <v>9250</v>
      </c>
      <c r="H4925" s="13">
        <v>27.102499999999999</v>
      </c>
      <c r="I4925" s="13">
        <f t="shared" si="232"/>
        <v>341.29692832764505</v>
      </c>
    </row>
    <row r="4926" spans="1:9" ht="12.75" x14ac:dyDescent="0.2">
      <c r="A4926" s="10">
        <v>43950</v>
      </c>
      <c r="B4926" s="12">
        <f t="shared" si="229"/>
        <v>4</v>
      </c>
      <c r="C4926" s="12">
        <f t="shared" si="230"/>
        <v>2020</v>
      </c>
      <c r="D4926" s="13">
        <v>23150</v>
      </c>
      <c r="E4926" s="13">
        <v>72.9512</v>
      </c>
      <c r="F4926" s="13">
        <f t="shared" si="231"/>
        <v>317.33542422879952</v>
      </c>
      <c r="G4926" s="13">
        <v>9333</v>
      </c>
      <c r="H4926" s="13">
        <v>27.048500000000001</v>
      </c>
      <c r="I4926" s="13">
        <f t="shared" si="232"/>
        <v>345.04686026951589</v>
      </c>
    </row>
    <row r="4927" spans="1:9" ht="12.75" x14ac:dyDescent="0.2">
      <c r="A4927" s="10">
        <v>43951</v>
      </c>
      <c r="B4927" s="12">
        <f t="shared" si="229"/>
        <v>4</v>
      </c>
      <c r="C4927" s="12">
        <f t="shared" si="230"/>
        <v>2020</v>
      </c>
      <c r="D4927" s="13">
        <v>23150</v>
      </c>
      <c r="E4927" s="13">
        <v>74.290000000000006</v>
      </c>
      <c r="F4927" s="13">
        <f t="shared" si="231"/>
        <v>311.61663750168259</v>
      </c>
      <c r="H4927" s="13">
        <v>26.971399999999999</v>
      </c>
      <c r="I4927" s="13" t="str">
        <f t="shared" si="232"/>
        <v/>
      </c>
    </row>
    <row r="4928" spans="1:9" ht="12.75" x14ac:dyDescent="0.2">
      <c r="A4928" s="10">
        <v>43952</v>
      </c>
      <c r="B4928" s="12">
        <f t="shared" si="229"/>
        <v>5</v>
      </c>
      <c r="C4928" s="12">
        <f t="shared" si="230"/>
        <v>2020</v>
      </c>
      <c r="D4928" s="13">
        <v>23150</v>
      </c>
      <c r="E4928" s="13">
        <v>75.207499999999996</v>
      </c>
      <c r="F4928" s="13">
        <f t="shared" si="231"/>
        <v>307.81504504205037</v>
      </c>
      <c r="G4928" s="13">
        <v>9375</v>
      </c>
      <c r="H4928" s="13">
        <f>AVERAGE(H4929,H4927)</f>
        <v>26.965299999999999</v>
      </c>
      <c r="I4928" s="13">
        <f t="shared" si="232"/>
        <v>347.66904132347872</v>
      </c>
    </row>
    <row r="4929" spans="1:9" ht="12.75" x14ac:dyDescent="0.2">
      <c r="A4929" s="10">
        <v>43955</v>
      </c>
      <c r="B4929" s="12">
        <f t="shared" si="229"/>
        <v>5</v>
      </c>
      <c r="C4929" s="12">
        <f t="shared" si="230"/>
        <v>2020</v>
      </c>
      <c r="D4929" s="13">
        <v>24000</v>
      </c>
      <c r="E4929" s="13">
        <v>74.712999999999994</v>
      </c>
      <c r="F4929" s="13">
        <f t="shared" si="231"/>
        <v>321.22923721440714</v>
      </c>
      <c r="G4929" s="13">
        <v>9415</v>
      </c>
      <c r="H4929" s="13">
        <v>26.959199999999999</v>
      </c>
      <c r="I4929" s="13">
        <f t="shared" si="232"/>
        <v>349.23143119973889</v>
      </c>
    </row>
    <row r="4930" spans="1:9" ht="12.75" x14ac:dyDescent="0.2">
      <c r="A4930" s="10">
        <v>43956</v>
      </c>
      <c r="B4930" s="12">
        <f t="shared" si="229"/>
        <v>5</v>
      </c>
      <c r="C4930" s="12">
        <f t="shared" si="230"/>
        <v>2020</v>
      </c>
      <c r="D4930" s="13">
        <v>24000</v>
      </c>
      <c r="E4930" s="13">
        <v>73.47</v>
      </c>
      <c r="F4930" s="13">
        <f t="shared" si="231"/>
        <v>326.66394446712945</v>
      </c>
      <c r="G4930" s="13">
        <v>9415</v>
      </c>
      <c r="H4930" s="13">
        <v>26.974900000000002</v>
      </c>
      <c r="I4930" s="13">
        <f t="shared" si="232"/>
        <v>349.02817063269924</v>
      </c>
    </row>
    <row r="4931" spans="1:9" ht="12.75" x14ac:dyDescent="0.2">
      <c r="A4931" s="10">
        <v>43957</v>
      </c>
      <c r="B4931" s="12">
        <f t="shared" si="229"/>
        <v>5</v>
      </c>
      <c r="C4931" s="12">
        <f t="shared" si="230"/>
        <v>2020</v>
      </c>
      <c r="D4931" s="13">
        <v>24000</v>
      </c>
      <c r="E4931" s="13">
        <v>74.391499999999994</v>
      </c>
      <c r="F4931" s="13">
        <f t="shared" si="231"/>
        <v>322.61750334379605</v>
      </c>
      <c r="G4931" s="13">
        <v>9500</v>
      </c>
      <c r="H4931" s="13">
        <v>26.977399999999999</v>
      </c>
      <c r="I4931" s="13">
        <f t="shared" si="232"/>
        <v>352.14661160823505</v>
      </c>
    </row>
    <row r="4932" spans="1:9" ht="12.75" x14ac:dyDescent="0.2">
      <c r="A4932" s="10">
        <v>43958</v>
      </c>
      <c r="B4932" s="12">
        <f t="shared" si="229"/>
        <v>5</v>
      </c>
      <c r="C4932" s="12">
        <f t="shared" si="230"/>
        <v>2020</v>
      </c>
      <c r="D4932" s="13">
        <v>24000</v>
      </c>
      <c r="E4932" s="13">
        <v>73.952500000000001</v>
      </c>
      <c r="F4932" s="13">
        <f t="shared" si="231"/>
        <v>324.53263919407726</v>
      </c>
      <c r="H4932" s="13">
        <v>26.932300000000001</v>
      </c>
      <c r="I4932" s="13" t="str">
        <f t="shared" si="232"/>
        <v/>
      </c>
    </row>
    <row r="4933" spans="1:9" ht="12.75" x14ac:dyDescent="0.2">
      <c r="A4933" s="10">
        <v>43959</v>
      </c>
      <c r="B4933" s="12">
        <f t="shared" ref="B4933:B4997" si="233">MONTH(A4933)</f>
        <v>5</v>
      </c>
      <c r="C4933" s="12">
        <f t="shared" ref="C4933:C4997" si="234">YEAR(A4933)</f>
        <v>2020</v>
      </c>
      <c r="D4933" s="13">
        <v>24000</v>
      </c>
      <c r="E4933" s="13">
        <v>73.319999999999993</v>
      </c>
      <c r="F4933" s="13">
        <f t="shared" ref="F4933:F4997" si="235">IF(D4933="","",D4933/E4933)</f>
        <v>327.33224222585926</v>
      </c>
      <c r="H4933" s="13">
        <v>26.8185</v>
      </c>
      <c r="I4933" s="13" t="str">
        <f t="shared" si="232"/>
        <v/>
      </c>
    </row>
    <row r="4934" spans="1:9" ht="12.75" x14ac:dyDescent="0.2">
      <c r="A4934" s="10">
        <v>43962</v>
      </c>
      <c r="B4934" s="12">
        <f t="shared" si="233"/>
        <v>5</v>
      </c>
      <c r="C4934" s="12">
        <f t="shared" si="234"/>
        <v>2020</v>
      </c>
      <c r="D4934" s="13">
        <v>24250</v>
      </c>
      <c r="E4934" s="13">
        <v>73.526499999999999</v>
      </c>
      <c r="F4934" s="13">
        <f t="shared" si="235"/>
        <v>329.81306059719964</v>
      </c>
      <c r="G4934" s="13">
        <v>9500</v>
      </c>
      <c r="H4934" s="13">
        <f>AVERAGE(H4935,H4933)</f>
        <v>26.819050000000001</v>
      </c>
      <c r="I4934" s="13">
        <f t="shared" si="232"/>
        <v>354.22582082512241</v>
      </c>
    </row>
    <row r="4935" spans="1:9" ht="12.75" x14ac:dyDescent="0.2">
      <c r="A4935" s="10">
        <v>43963</v>
      </c>
      <c r="B4935" s="12">
        <f t="shared" si="233"/>
        <v>5</v>
      </c>
      <c r="C4935" s="12">
        <f t="shared" si="234"/>
        <v>2020</v>
      </c>
      <c r="D4935" s="13">
        <v>24250</v>
      </c>
      <c r="E4935" s="13">
        <v>73.607500000000002</v>
      </c>
      <c r="F4935" s="13">
        <f t="shared" si="235"/>
        <v>329.45012396834562</v>
      </c>
      <c r="G4935" s="13">
        <v>9583</v>
      </c>
      <c r="H4935" s="13">
        <v>26.819600000000001</v>
      </c>
      <c r="I4935" s="13">
        <f t="shared" si="232"/>
        <v>357.31330817760141</v>
      </c>
    </row>
    <row r="4936" spans="1:9" ht="12.75" x14ac:dyDescent="0.2">
      <c r="A4936" s="10">
        <v>43964</v>
      </c>
      <c r="B4936" s="12">
        <f t="shared" si="233"/>
        <v>5</v>
      </c>
      <c r="C4936" s="12">
        <f t="shared" si="234"/>
        <v>2020</v>
      </c>
      <c r="D4936" s="13">
        <v>24250</v>
      </c>
      <c r="E4936" s="13">
        <v>73.903300000000002</v>
      </c>
      <c r="F4936" s="13">
        <f t="shared" si="235"/>
        <v>328.13149074533885</v>
      </c>
      <c r="G4936" s="13">
        <v>9583</v>
      </c>
      <c r="H4936" s="13">
        <v>26.794699999999999</v>
      </c>
      <c r="I4936" s="13">
        <f t="shared" si="232"/>
        <v>357.64535523816278</v>
      </c>
    </row>
    <row r="4937" spans="1:9" ht="12.75" x14ac:dyDescent="0.2">
      <c r="A4937" s="10">
        <v>43965</v>
      </c>
      <c r="B4937" s="12">
        <f t="shared" si="233"/>
        <v>5</v>
      </c>
      <c r="C4937" s="12">
        <f t="shared" si="234"/>
        <v>2020</v>
      </c>
      <c r="D4937" s="13">
        <v>24250</v>
      </c>
      <c r="E4937" s="13">
        <v>73.386200000000002</v>
      </c>
      <c r="F4937" s="13">
        <f t="shared" si="235"/>
        <v>330.44359838770777</v>
      </c>
      <c r="G4937" s="13">
        <v>9667</v>
      </c>
      <c r="H4937" s="13">
        <v>26.689699999999998</v>
      </c>
      <c r="I4937" s="13">
        <f t="shared" si="232"/>
        <v>362.19965005226737</v>
      </c>
    </row>
    <row r="4938" spans="1:9" ht="12.75" x14ac:dyDescent="0.2">
      <c r="A4938" s="10">
        <v>43966</v>
      </c>
      <c r="B4938" s="12">
        <f t="shared" si="233"/>
        <v>5</v>
      </c>
      <c r="C4938" s="12">
        <f t="shared" si="234"/>
        <v>2020</v>
      </c>
      <c r="D4938" s="13">
        <v>24250</v>
      </c>
      <c r="E4938" s="13">
        <v>73.316999999999993</v>
      </c>
      <c r="F4938" s="13">
        <f t="shared" si="235"/>
        <v>330.75548644925465</v>
      </c>
      <c r="G4938" s="13">
        <v>9708</v>
      </c>
      <c r="H4938" s="13">
        <v>26.679200000000002</v>
      </c>
      <c r="I4938" s="13">
        <f t="shared" si="232"/>
        <v>363.87897688086599</v>
      </c>
    </row>
    <row r="4939" spans="1:9" ht="12.75" x14ac:dyDescent="0.2">
      <c r="A4939" s="10">
        <v>43969</v>
      </c>
      <c r="B4939" s="12">
        <f t="shared" si="233"/>
        <v>5</v>
      </c>
      <c r="C4939" s="12">
        <f t="shared" si="234"/>
        <v>2020</v>
      </c>
      <c r="D4939" s="13">
        <v>24500</v>
      </c>
      <c r="E4939" s="13">
        <v>72.650999999999996</v>
      </c>
      <c r="F4939" s="13">
        <f t="shared" si="235"/>
        <v>337.22866856615877</v>
      </c>
      <c r="G4939" s="13">
        <v>9625</v>
      </c>
      <c r="H4939" s="13">
        <v>26.638000000000002</v>
      </c>
      <c r="I4939" s="13">
        <f t="shared" si="232"/>
        <v>361.32592536977251</v>
      </c>
    </row>
    <row r="4940" spans="1:9" ht="12.75" x14ac:dyDescent="0.2">
      <c r="A4940" s="10">
        <v>43970</v>
      </c>
      <c r="B4940" s="12">
        <f t="shared" si="233"/>
        <v>5</v>
      </c>
      <c r="C4940" s="12">
        <f t="shared" si="234"/>
        <v>2020</v>
      </c>
      <c r="D4940" s="13">
        <v>24500</v>
      </c>
      <c r="E4940" s="13">
        <v>72.498500000000007</v>
      </c>
      <c r="F4940" s="13">
        <f t="shared" si="235"/>
        <v>337.93802630399244</v>
      </c>
      <c r="G4940" s="13">
        <v>9625</v>
      </c>
      <c r="H4940" s="13">
        <v>26.571000000000002</v>
      </c>
      <c r="I4940" s="13">
        <f t="shared" si="232"/>
        <v>362.23702532836552</v>
      </c>
    </row>
    <row r="4941" spans="1:9" ht="12.75" x14ac:dyDescent="0.2">
      <c r="A4941" s="10">
        <v>43971</v>
      </c>
      <c r="B4941" s="12">
        <f t="shared" si="233"/>
        <v>5</v>
      </c>
      <c r="C4941" s="12">
        <f t="shared" si="234"/>
        <v>2020</v>
      </c>
      <c r="D4941" s="13">
        <v>24500</v>
      </c>
      <c r="E4941" s="13">
        <v>71.004599999999996</v>
      </c>
      <c r="F4941" s="13">
        <f t="shared" si="235"/>
        <v>345.04806730831524</v>
      </c>
      <c r="G4941" s="13">
        <v>9458</v>
      </c>
      <c r="H4941" s="13">
        <v>26.515899999999998</v>
      </c>
      <c r="I4941" s="13">
        <f t="shared" si="232"/>
        <v>356.69164539012445</v>
      </c>
    </row>
    <row r="4942" spans="1:9" ht="12.75" x14ac:dyDescent="0.2">
      <c r="A4942" s="10">
        <v>43972</v>
      </c>
      <c r="B4942" s="12">
        <f t="shared" si="233"/>
        <v>5</v>
      </c>
      <c r="C4942" s="12">
        <f t="shared" si="234"/>
        <v>2020</v>
      </c>
      <c r="D4942" s="13">
        <v>24500</v>
      </c>
      <c r="E4942" s="13">
        <v>70.815200000000004</v>
      </c>
      <c r="F4942" s="13">
        <f t="shared" si="235"/>
        <v>345.9709214970797</v>
      </c>
      <c r="G4942" s="13">
        <v>9458</v>
      </c>
      <c r="H4942" s="13">
        <v>26.5854</v>
      </c>
      <c r="I4942" s="13">
        <f t="shared" si="232"/>
        <v>355.75917608913164</v>
      </c>
    </row>
    <row r="4943" spans="1:9" ht="12.75" x14ac:dyDescent="0.2">
      <c r="A4943" s="10">
        <v>43973</v>
      </c>
      <c r="B4943" s="12">
        <f t="shared" si="233"/>
        <v>5</v>
      </c>
      <c r="C4943" s="12">
        <f t="shared" si="234"/>
        <v>2020</v>
      </c>
      <c r="D4943" s="13">
        <v>24500</v>
      </c>
      <c r="E4943" s="13">
        <v>71.45</v>
      </c>
      <c r="F4943" s="13">
        <f t="shared" si="235"/>
        <v>342.89713086074175</v>
      </c>
      <c r="G4943" s="13">
        <v>9500</v>
      </c>
      <c r="H4943" s="13">
        <v>26.7699</v>
      </c>
      <c r="I4943" s="13">
        <f t="shared" si="232"/>
        <v>354.87618556662522</v>
      </c>
    </row>
    <row r="4944" spans="1:9" ht="12.75" x14ac:dyDescent="0.2">
      <c r="A4944" s="10">
        <v>43977</v>
      </c>
      <c r="B4944" s="12">
        <f t="shared" si="233"/>
        <v>5</v>
      </c>
      <c r="C4944" s="12">
        <f t="shared" si="234"/>
        <v>2020</v>
      </c>
      <c r="D4944" s="13">
        <v>25500</v>
      </c>
      <c r="E4944" s="13">
        <v>70.662000000000006</v>
      </c>
      <c r="F4944" s="13">
        <f t="shared" si="235"/>
        <v>360.87288783221533</v>
      </c>
      <c r="G4944" s="13">
        <v>9625</v>
      </c>
      <c r="H4944" s="13">
        <v>26.874199999999998</v>
      </c>
      <c r="I4944" s="13">
        <f t="shared" si="232"/>
        <v>358.15019609886065</v>
      </c>
    </row>
    <row r="4945" spans="1:9" ht="12.75" x14ac:dyDescent="0.2">
      <c r="A4945" s="10">
        <v>43978</v>
      </c>
      <c r="B4945" s="12">
        <f t="shared" si="233"/>
        <v>5</v>
      </c>
      <c r="C4945" s="12">
        <f t="shared" si="234"/>
        <v>2020</v>
      </c>
      <c r="D4945" s="13">
        <v>25500</v>
      </c>
      <c r="E4945" s="13">
        <v>70.955500000000001</v>
      </c>
      <c r="F4945" s="13">
        <f t="shared" si="235"/>
        <v>359.38017489835175</v>
      </c>
      <c r="G4945" s="13">
        <v>9625</v>
      </c>
      <c r="H4945" s="13">
        <v>26.902899999999999</v>
      </c>
      <c r="I4945" s="13">
        <f t="shared" si="232"/>
        <v>357.76812165231257</v>
      </c>
    </row>
    <row r="4946" spans="1:9" ht="12.75" x14ac:dyDescent="0.2">
      <c r="A4946" s="10">
        <v>43979</v>
      </c>
      <c r="B4946" s="12">
        <f t="shared" si="233"/>
        <v>5</v>
      </c>
      <c r="C4946" s="12">
        <f t="shared" si="234"/>
        <v>2020</v>
      </c>
      <c r="D4946" s="13">
        <v>25500</v>
      </c>
      <c r="E4946" s="13">
        <v>70.44</v>
      </c>
      <c r="F4946" s="13">
        <f t="shared" si="235"/>
        <v>362.01022146507665</v>
      </c>
      <c r="G4946" s="13">
        <v>9625</v>
      </c>
      <c r="H4946" s="13">
        <v>27.0002</v>
      </c>
      <c r="I4946" s="13">
        <f t="shared" si="232"/>
        <v>356.47884089747487</v>
      </c>
    </row>
    <row r="4947" spans="1:9" ht="12.75" x14ac:dyDescent="0.2">
      <c r="A4947" s="10">
        <v>43980</v>
      </c>
      <c r="B4947" s="12">
        <f t="shared" si="233"/>
        <v>5</v>
      </c>
      <c r="C4947" s="12">
        <f t="shared" si="234"/>
        <v>2020</v>
      </c>
      <c r="D4947" s="13">
        <v>25500</v>
      </c>
      <c r="E4947" s="13">
        <v>70.142499999999998</v>
      </c>
      <c r="F4947" s="13">
        <f t="shared" si="235"/>
        <v>363.54563923441566</v>
      </c>
      <c r="G4947" s="13">
        <v>9708</v>
      </c>
      <c r="H4947" s="13">
        <v>26.905899999999999</v>
      </c>
      <c r="I4947" s="13">
        <f t="shared" si="232"/>
        <v>360.81305587250381</v>
      </c>
    </row>
    <row r="4948" spans="1:9" ht="12.75" x14ac:dyDescent="0.2">
      <c r="A4948" s="10">
        <v>43983</v>
      </c>
      <c r="B4948" s="12">
        <f t="shared" si="233"/>
        <v>6</v>
      </c>
      <c r="C4948" s="12">
        <f t="shared" si="234"/>
        <v>2020</v>
      </c>
      <c r="D4948" s="13">
        <v>26000</v>
      </c>
      <c r="E4948" s="13">
        <v>68.939599999999999</v>
      </c>
      <c r="F4948" s="13">
        <f t="shared" si="235"/>
        <v>377.14172986208217</v>
      </c>
      <c r="G4948" s="13">
        <v>9792</v>
      </c>
      <c r="H4948" s="13">
        <v>26.868500000000001</v>
      </c>
      <c r="I4948" s="13">
        <f t="shared" si="232"/>
        <v>364.44163239481173</v>
      </c>
    </row>
    <row r="4949" spans="1:9" ht="12.75" x14ac:dyDescent="0.2">
      <c r="A4949" s="10">
        <v>43984</v>
      </c>
      <c r="B4949" s="12">
        <f t="shared" si="233"/>
        <v>6</v>
      </c>
      <c r="C4949" s="12">
        <f t="shared" si="234"/>
        <v>2020</v>
      </c>
      <c r="D4949" s="13">
        <v>26000</v>
      </c>
      <c r="E4949" s="13">
        <v>68.61</v>
      </c>
      <c r="F4949" s="13">
        <f t="shared" si="235"/>
        <v>378.9535053199242</v>
      </c>
      <c r="G4949" s="13">
        <v>9833</v>
      </c>
      <c r="H4949" s="13">
        <v>26.818100000000001</v>
      </c>
      <c r="I4949" s="13">
        <f t="shared" si="232"/>
        <v>366.65535589769593</v>
      </c>
    </row>
    <row r="4950" spans="1:9" ht="12.75" x14ac:dyDescent="0.2">
      <c r="A4950" s="10">
        <v>43985</v>
      </c>
      <c r="B4950" s="12">
        <f t="shared" si="233"/>
        <v>6</v>
      </c>
      <c r="C4950" s="12">
        <f t="shared" si="234"/>
        <v>2020</v>
      </c>
      <c r="D4950" s="13">
        <v>26000</v>
      </c>
      <c r="E4950" s="13">
        <v>68.486599999999996</v>
      </c>
      <c r="F4950" s="13">
        <f t="shared" si="235"/>
        <v>379.63630841653696</v>
      </c>
      <c r="G4950" s="13">
        <v>9833</v>
      </c>
      <c r="H4950" s="13">
        <v>26.795500000000001</v>
      </c>
      <c r="I4950" s="13">
        <f t="shared" si="232"/>
        <v>366.96460226530576</v>
      </c>
    </row>
    <row r="4951" spans="1:9" ht="12.75" x14ac:dyDescent="0.2">
      <c r="A4951" s="10">
        <v>43986</v>
      </c>
      <c r="B4951" s="12">
        <f t="shared" si="233"/>
        <v>6</v>
      </c>
      <c r="C4951" s="12">
        <f t="shared" si="234"/>
        <v>2020</v>
      </c>
      <c r="D4951" s="13">
        <v>26000</v>
      </c>
      <c r="E4951" s="13">
        <v>68.989999999999995</v>
      </c>
      <c r="F4951" s="13">
        <f t="shared" si="235"/>
        <v>376.86621249456448</v>
      </c>
      <c r="G4951" s="13">
        <v>9833</v>
      </c>
      <c r="H4951" s="13">
        <v>26.7544</v>
      </c>
      <c r="I4951" s="13">
        <f t="shared" si="232"/>
        <v>367.5283317884161</v>
      </c>
    </row>
    <row r="4952" spans="1:9" ht="12.75" x14ac:dyDescent="0.2">
      <c r="A4952" s="10">
        <v>43987</v>
      </c>
      <c r="B4952" s="12">
        <f t="shared" si="233"/>
        <v>6</v>
      </c>
      <c r="C4952" s="12">
        <f t="shared" si="234"/>
        <v>2020</v>
      </c>
      <c r="D4952" s="13">
        <v>26000</v>
      </c>
      <c r="E4952" s="13">
        <v>68.581999999999994</v>
      </c>
      <c r="F4952" s="13">
        <f t="shared" si="235"/>
        <v>379.10822081595757</v>
      </c>
      <c r="H4952" s="13">
        <v>26.6953</v>
      </c>
      <c r="I4952" s="13" t="str">
        <f t="shared" si="232"/>
        <v/>
      </c>
    </row>
    <row r="4953" spans="1:9" ht="12.75" x14ac:dyDescent="0.2">
      <c r="A4953" s="10">
        <v>43990</v>
      </c>
      <c r="B4953" s="12">
        <f t="shared" si="233"/>
        <v>6</v>
      </c>
      <c r="C4953" s="12">
        <f t="shared" si="234"/>
        <v>2020</v>
      </c>
      <c r="D4953" s="13">
        <v>26750</v>
      </c>
      <c r="E4953" s="13">
        <v>68.155000000000001</v>
      </c>
      <c r="F4953" s="13">
        <f t="shared" si="235"/>
        <v>392.4877118333211</v>
      </c>
      <c r="G4953" s="13">
        <v>9833</v>
      </c>
      <c r="H4953" s="13">
        <f>AVERAGE(H4954,H4952)</f>
        <v>26.6479</v>
      </c>
      <c r="I4953" s="13">
        <f t="shared" si="232"/>
        <v>368.99718176666829</v>
      </c>
    </row>
    <row r="4954" spans="1:9" ht="12.75" x14ac:dyDescent="0.2">
      <c r="A4954" s="10">
        <v>43991</v>
      </c>
      <c r="B4954" s="12">
        <f t="shared" si="233"/>
        <v>6</v>
      </c>
      <c r="C4954" s="12">
        <f t="shared" si="234"/>
        <v>2020</v>
      </c>
      <c r="D4954" s="13">
        <v>26750</v>
      </c>
      <c r="E4954" s="13">
        <v>68.567499999999995</v>
      </c>
      <c r="F4954" s="13">
        <f t="shared" si="235"/>
        <v>390.12651766507457</v>
      </c>
      <c r="G4954" s="13">
        <v>9917</v>
      </c>
      <c r="H4954" s="13">
        <v>26.6005</v>
      </c>
      <c r="I4954" s="13">
        <f t="shared" si="232"/>
        <v>372.81254111764815</v>
      </c>
    </row>
    <row r="4955" spans="1:9" ht="12.75" x14ac:dyDescent="0.2">
      <c r="A4955" s="10">
        <v>43992</v>
      </c>
      <c r="B4955" s="12">
        <f t="shared" si="233"/>
        <v>6</v>
      </c>
      <c r="C4955" s="12">
        <f t="shared" si="234"/>
        <v>2020</v>
      </c>
      <c r="D4955" s="13">
        <v>26750</v>
      </c>
      <c r="E4955" s="13">
        <v>68.34</v>
      </c>
      <c r="F4955" s="13">
        <f t="shared" si="235"/>
        <v>391.42522680714075</v>
      </c>
      <c r="G4955" s="13">
        <v>9917</v>
      </c>
      <c r="H4955" s="13">
        <v>26.641200000000001</v>
      </c>
      <c r="I4955" s="13">
        <f t="shared" si="232"/>
        <v>372.24299205741482</v>
      </c>
    </row>
    <row r="4956" spans="1:9" ht="12.75" x14ac:dyDescent="0.2">
      <c r="A4956" s="10">
        <v>43993</v>
      </c>
      <c r="B4956" s="12">
        <f t="shared" si="233"/>
        <v>6</v>
      </c>
      <c r="C4956" s="12">
        <f t="shared" si="234"/>
        <v>2020</v>
      </c>
      <c r="D4956" s="13">
        <v>26750</v>
      </c>
      <c r="E4956" s="13">
        <v>70.063999999999993</v>
      </c>
      <c r="F4956" s="13">
        <f t="shared" si="235"/>
        <v>381.79378853619551</v>
      </c>
      <c r="G4956" s="13">
        <v>10000</v>
      </c>
      <c r="H4956" s="13">
        <v>26.636700000000001</v>
      </c>
      <c r="I4956" s="13">
        <f t="shared" si="232"/>
        <v>375.42188033802984</v>
      </c>
    </row>
    <row r="4957" spans="1:9" ht="12.75" x14ac:dyDescent="0.2">
      <c r="A4957" s="10">
        <v>43994</v>
      </c>
      <c r="B4957" s="12">
        <f t="shared" si="233"/>
        <v>6</v>
      </c>
      <c r="C4957" s="12">
        <f t="shared" si="234"/>
        <v>2020</v>
      </c>
      <c r="D4957" s="13">
        <v>26750</v>
      </c>
      <c r="E4957" s="13">
        <v>69.569999999999993</v>
      </c>
      <c r="F4957" s="13">
        <f t="shared" si="235"/>
        <v>384.50481529394858</v>
      </c>
      <c r="G4957" s="13">
        <v>10000</v>
      </c>
      <c r="H4957" s="13">
        <v>26.599900000000002</v>
      </c>
      <c r="I4957" s="13">
        <f t="shared" si="232"/>
        <v>375.9412629370787</v>
      </c>
    </row>
    <row r="4958" spans="1:9" ht="12.75" x14ac:dyDescent="0.2">
      <c r="A4958" s="10">
        <v>43997</v>
      </c>
      <c r="B4958" s="12">
        <f t="shared" si="233"/>
        <v>6</v>
      </c>
      <c r="C4958" s="12">
        <f t="shared" si="234"/>
        <v>2020</v>
      </c>
      <c r="D4958" s="13">
        <v>26750</v>
      </c>
      <c r="E4958" s="13">
        <v>69.552499999999995</v>
      </c>
      <c r="F4958" s="13">
        <f t="shared" si="235"/>
        <v>384.60155997268254</v>
      </c>
      <c r="G4958" s="13">
        <v>10000</v>
      </c>
      <c r="H4958" s="13">
        <v>26.7303</v>
      </c>
      <c r="I4958" s="13">
        <f t="shared" si="232"/>
        <v>374.10728648761892</v>
      </c>
    </row>
    <row r="4959" spans="1:9" ht="12.75" x14ac:dyDescent="0.2">
      <c r="A4959" s="10">
        <v>43998</v>
      </c>
      <c r="B4959" s="12">
        <f t="shared" si="233"/>
        <v>6</v>
      </c>
      <c r="C4959" s="12">
        <f t="shared" si="234"/>
        <v>2020</v>
      </c>
      <c r="D4959" s="13">
        <v>26750</v>
      </c>
      <c r="E4959" s="13">
        <v>69.572500000000005</v>
      </c>
      <c r="F4959" s="13">
        <f t="shared" si="235"/>
        <v>384.49099859858416</v>
      </c>
      <c r="G4959" s="13">
        <v>10000</v>
      </c>
      <c r="H4959" s="13">
        <v>26.844000000000001</v>
      </c>
      <c r="I4959" s="13">
        <f t="shared" si="232"/>
        <v>372.52272388615705</v>
      </c>
    </row>
    <row r="4960" spans="1:9" ht="12.75" x14ac:dyDescent="0.2">
      <c r="A4960" s="10">
        <v>43999</v>
      </c>
      <c r="B4960" s="12">
        <f t="shared" si="233"/>
        <v>6</v>
      </c>
      <c r="C4960" s="12">
        <f t="shared" si="234"/>
        <v>2020</v>
      </c>
      <c r="D4960" s="13">
        <v>26750</v>
      </c>
      <c r="E4960" s="13">
        <v>69.584199999999996</v>
      </c>
      <c r="F4960" s="13">
        <f t="shared" si="235"/>
        <v>384.4263496598366</v>
      </c>
      <c r="G4960" s="13">
        <v>10000</v>
      </c>
      <c r="H4960" s="13">
        <v>26.7424</v>
      </c>
      <c r="I4960" s="13">
        <f t="shared" si="232"/>
        <v>373.93801603446212</v>
      </c>
    </row>
    <row r="4961" spans="1:9" ht="12.75" x14ac:dyDescent="0.2">
      <c r="A4961" s="10">
        <v>44000</v>
      </c>
      <c r="B4961" s="12">
        <f t="shared" si="233"/>
        <v>6</v>
      </c>
      <c r="C4961" s="12">
        <f t="shared" si="234"/>
        <v>2020</v>
      </c>
      <c r="D4961" s="13">
        <v>26750</v>
      </c>
      <c r="E4961" s="13">
        <v>69.317499999999995</v>
      </c>
      <c r="F4961" s="13">
        <f t="shared" si="235"/>
        <v>385.90543513542758</v>
      </c>
      <c r="G4961" s="13">
        <v>10000</v>
      </c>
      <c r="H4961" s="13">
        <v>26.776</v>
      </c>
      <c r="I4961" s="13">
        <f t="shared" si="232"/>
        <v>373.46877801015836</v>
      </c>
    </row>
    <row r="4962" spans="1:9" ht="12.75" x14ac:dyDescent="0.2">
      <c r="A4962" s="10">
        <v>44001</v>
      </c>
      <c r="B4962" s="12">
        <f t="shared" si="233"/>
        <v>6</v>
      </c>
      <c r="C4962" s="12">
        <f t="shared" si="234"/>
        <v>2020</v>
      </c>
      <c r="D4962" s="13">
        <v>26750</v>
      </c>
      <c r="E4962" s="13">
        <v>69.325999999999993</v>
      </c>
      <c r="F4962" s="13">
        <f t="shared" si="235"/>
        <v>385.85811960880483</v>
      </c>
      <c r="G4962" s="13">
        <v>10000</v>
      </c>
      <c r="H4962" s="13">
        <v>26.763300000000001</v>
      </c>
      <c r="I4962" s="13">
        <f t="shared" si="232"/>
        <v>373.64600030638968</v>
      </c>
    </row>
    <row r="4963" spans="1:9" ht="12.75" x14ac:dyDescent="0.2">
      <c r="A4963" s="10">
        <v>44004</v>
      </c>
      <c r="B4963" s="12">
        <f t="shared" si="233"/>
        <v>6</v>
      </c>
      <c r="C4963" s="12">
        <f t="shared" si="234"/>
        <v>2020</v>
      </c>
      <c r="E4963" s="13">
        <v>68.930000000000007</v>
      </c>
      <c r="F4963" s="13" t="str">
        <f t="shared" si="235"/>
        <v/>
      </c>
      <c r="G4963" s="13">
        <v>10000</v>
      </c>
      <c r="H4963" s="13">
        <v>26.720700000000001</v>
      </c>
      <c r="I4963" s="13">
        <f t="shared" si="232"/>
        <v>374.24169277002471</v>
      </c>
    </row>
    <row r="4964" spans="1:9" ht="12.75" x14ac:dyDescent="0.2">
      <c r="A4964" s="10">
        <v>44005</v>
      </c>
      <c r="B4964" s="12">
        <f t="shared" si="233"/>
        <v>6</v>
      </c>
      <c r="C4964" s="12">
        <f t="shared" si="234"/>
        <v>2020</v>
      </c>
      <c r="E4964" s="13">
        <v>68.72</v>
      </c>
      <c r="F4964" s="13" t="str">
        <f t="shared" si="235"/>
        <v/>
      </c>
      <c r="G4964" s="13">
        <v>10000</v>
      </c>
      <c r="H4964" s="13">
        <v>26.669499999999999</v>
      </c>
      <c r="I4964" s="13">
        <f t="shared" si="232"/>
        <v>374.96016048294871</v>
      </c>
    </row>
    <row r="4965" spans="1:9" ht="12.75" x14ac:dyDescent="0.2">
      <c r="A4965" s="10">
        <v>44006</v>
      </c>
      <c r="B4965" s="12">
        <f t="shared" si="233"/>
        <v>6</v>
      </c>
      <c r="C4965" s="12">
        <f t="shared" si="234"/>
        <v>2020</v>
      </c>
      <c r="E4965" s="13">
        <v>69.565200000000004</v>
      </c>
      <c r="F4965" s="13" t="str">
        <f t="shared" si="235"/>
        <v/>
      </c>
      <c r="G4965" s="13">
        <v>10000</v>
      </c>
      <c r="H4965" s="13">
        <v>26.607800000000001</v>
      </c>
      <c r="I4965" s="13">
        <f t="shared" si="232"/>
        <v>375.82964393899533</v>
      </c>
    </row>
    <row r="4966" spans="1:9" ht="12.75" x14ac:dyDescent="0.2">
      <c r="A4966" s="10">
        <v>44007</v>
      </c>
      <c r="B4966" s="12">
        <f t="shared" si="233"/>
        <v>6</v>
      </c>
      <c r="C4966" s="12">
        <f t="shared" si="234"/>
        <v>2020</v>
      </c>
      <c r="E4966" s="13">
        <v>68.954999999999998</v>
      </c>
      <c r="F4966" s="13" t="str">
        <f t="shared" si="235"/>
        <v/>
      </c>
      <c r="G4966" s="13">
        <v>10000</v>
      </c>
      <c r="H4966" s="13">
        <v>26.6509</v>
      </c>
      <c r="I4966" s="13">
        <f t="shared" si="232"/>
        <v>375.22184991876446</v>
      </c>
    </row>
    <row r="4967" spans="1:9" ht="12.75" x14ac:dyDescent="0.2">
      <c r="A4967" s="10">
        <v>44008</v>
      </c>
      <c r="B4967" s="12">
        <f t="shared" si="233"/>
        <v>6</v>
      </c>
      <c r="C4967" s="12">
        <f t="shared" si="234"/>
        <v>2020</v>
      </c>
      <c r="E4967" s="13">
        <v>69.622</v>
      </c>
      <c r="F4967" s="13" t="str">
        <f t="shared" si="235"/>
        <v/>
      </c>
      <c r="H4967" s="13">
        <v>26.700199999999999</v>
      </c>
      <c r="I4967" s="13" t="str">
        <f t="shared" si="232"/>
        <v/>
      </c>
    </row>
    <row r="4968" spans="1:9" ht="12.75" x14ac:dyDescent="0.2">
      <c r="A4968" s="10">
        <v>44011</v>
      </c>
      <c r="B4968" s="12">
        <f t="shared" si="233"/>
        <v>6</v>
      </c>
      <c r="C4968" s="12">
        <f t="shared" si="234"/>
        <v>2020</v>
      </c>
      <c r="D4968" s="13">
        <v>27000</v>
      </c>
      <c r="E4968" s="13">
        <v>70.018000000000001</v>
      </c>
      <c r="F4968" s="13">
        <f t="shared" si="235"/>
        <v>385.61512753863292</v>
      </c>
      <c r="G4968" s="13">
        <v>10000</v>
      </c>
      <c r="H4968" s="13">
        <f>AVERAGE(H4969,H4967)</f>
        <v>26.696199999999997</v>
      </c>
      <c r="I4968" s="13">
        <f t="shared" si="232"/>
        <v>374.58514694975321</v>
      </c>
    </row>
    <row r="4969" spans="1:9" ht="12.75" x14ac:dyDescent="0.2">
      <c r="A4969" s="10">
        <v>44012</v>
      </c>
      <c r="B4969" s="12">
        <f t="shared" si="233"/>
        <v>6</v>
      </c>
      <c r="C4969" s="12">
        <f t="shared" si="234"/>
        <v>2020</v>
      </c>
      <c r="D4969" s="13">
        <v>27000</v>
      </c>
      <c r="E4969" s="13">
        <v>71.082499999999996</v>
      </c>
      <c r="F4969" s="13">
        <f t="shared" si="235"/>
        <v>379.84032638131748</v>
      </c>
      <c r="G4969" s="13">
        <v>10000</v>
      </c>
      <c r="H4969" s="13">
        <v>26.6922</v>
      </c>
      <c r="I4969" s="13">
        <f t="shared" si="232"/>
        <v>374.64128097346793</v>
      </c>
    </row>
    <row r="4970" spans="1:9" ht="12.75" x14ac:dyDescent="0.2">
      <c r="A4970" s="10">
        <v>44013</v>
      </c>
      <c r="B4970" s="12">
        <f t="shared" si="233"/>
        <v>7</v>
      </c>
      <c r="C4970" s="12">
        <f t="shared" si="234"/>
        <v>2020</v>
      </c>
      <c r="D4970" s="13">
        <v>27000</v>
      </c>
      <c r="E4970" s="13">
        <v>70.627499999999998</v>
      </c>
      <c r="F4970" s="13">
        <f t="shared" si="235"/>
        <v>382.28735266008283</v>
      </c>
      <c r="G4970" s="13">
        <v>10000</v>
      </c>
      <c r="H4970" s="13">
        <v>26.6676</v>
      </c>
      <c r="I4970" s="13">
        <f t="shared" si="232"/>
        <v>374.98687545935894</v>
      </c>
    </row>
    <row r="4971" spans="1:9" ht="12.75" x14ac:dyDescent="0.2">
      <c r="A4971" s="10">
        <v>44014</v>
      </c>
      <c r="B4971" s="12">
        <f t="shared" si="233"/>
        <v>7</v>
      </c>
      <c r="C4971" s="12">
        <f t="shared" si="234"/>
        <v>2020</v>
      </c>
      <c r="D4971" s="13">
        <v>27000</v>
      </c>
      <c r="E4971" s="13">
        <v>70.48</v>
      </c>
      <c r="F4971" s="13">
        <f t="shared" si="235"/>
        <v>383.08740068104424</v>
      </c>
      <c r="G4971" s="13">
        <v>10000</v>
      </c>
      <c r="H4971" s="13">
        <v>26.77</v>
      </c>
      <c r="I4971" s="13">
        <f t="shared" si="232"/>
        <v>373.55248412401943</v>
      </c>
    </row>
    <row r="4972" spans="1:9" ht="12.75" x14ac:dyDescent="0.2">
      <c r="A4972" s="10">
        <v>44015</v>
      </c>
      <c r="B4972" s="12"/>
      <c r="C4972" s="12"/>
      <c r="G4972" s="13">
        <v>10000</v>
      </c>
      <c r="H4972" s="13">
        <v>27.180099999999999</v>
      </c>
      <c r="I4972" s="13">
        <f t="shared" ref="I4972:I5035" si="236">IF(G4972="","",G4972/H4972)</f>
        <v>367.91623283210879</v>
      </c>
    </row>
    <row r="4973" spans="1:9" ht="12.75" x14ac:dyDescent="0.2">
      <c r="A4973" s="10">
        <v>44018</v>
      </c>
      <c r="B4973" s="12">
        <f t="shared" si="233"/>
        <v>7</v>
      </c>
      <c r="C4973" s="12">
        <f t="shared" si="234"/>
        <v>2020</v>
      </c>
      <c r="D4973" s="13">
        <v>23500</v>
      </c>
      <c r="E4973" s="13">
        <v>71.555000000000007</v>
      </c>
      <c r="F4973" s="13">
        <f t="shared" si="235"/>
        <v>328.41869890294174</v>
      </c>
      <c r="G4973" s="13">
        <v>10000</v>
      </c>
      <c r="H4973" s="13">
        <v>27.171600000000002</v>
      </c>
      <c r="I4973" s="13">
        <f t="shared" si="236"/>
        <v>368.03132682653944</v>
      </c>
    </row>
    <row r="4974" spans="1:9" ht="12.75" x14ac:dyDescent="0.2">
      <c r="A4974" s="10">
        <v>44019</v>
      </c>
      <c r="B4974" s="12">
        <f t="shared" si="233"/>
        <v>7</v>
      </c>
      <c r="C4974" s="12">
        <f t="shared" si="234"/>
        <v>2020</v>
      </c>
      <c r="D4974" s="13">
        <v>23500</v>
      </c>
      <c r="E4974" s="13">
        <v>71.198099999999997</v>
      </c>
      <c r="F4974" s="13">
        <f t="shared" si="235"/>
        <v>330.06498768927827</v>
      </c>
      <c r="G4974" s="13">
        <v>10000</v>
      </c>
      <c r="H4974" s="13">
        <v>27.126899999999999</v>
      </c>
      <c r="I4974" s="13">
        <f t="shared" si="236"/>
        <v>368.63777283803165</v>
      </c>
    </row>
    <row r="4975" spans="1:9" ht="12.75" x14ac:dyDescent="0.2">
      <c r="A4975" s="10">
        <v>44020</v>
      </c>
      <c r="B4975" s="12">
        <f t="shared" si="233"/>
        <v>7</v>
      </c>
      <c r="C4975" s="12">
        <f t="shared" si="234"/>
        <v>2020</v>
      </c>
      <c r="D4975" s="13">
        <v>23500</v>
      </c>
      <c r="E4975" s="13">
        <v>71.101200000000006</v>
      </c>
      <c r="F4975" s="13">
        <f t="shared" si="235"/>
        <v>330.51481550241061</v>
      </c>
      <c r="G4975" s="13">
        <v>10000</v>
      </c>
      <c r="H4975" s="13">
        <v>26.930900000000001</v>
      </c>
      <c r="I4975" s="13">
        <f t="shared" si="236"/>
        <v>371.32067624921558</v>
      </c>
    </row>
    <row r="4976" spans="1:9" ht="12.75" x14ac:dyDescent="0.2">
      <c r="A4976" s="10">
        <v>44021</v>
      </c>
      <c r="B4976" s="12">
        <f t="shared" si="233"/>
        <v>7</v>
      </c>
      <c r="C4976" s="12">
        <f t="shared" si="234"/>
        <v>2020</v>
      </c>
      <c r="D4976" s="13">
        <v>23500</v>
      </c>
      <c r="E4976" s="13">
        <v>70.656999999999996</v>
      </c>
      <c r="F4976" s="13">
        <f t="shared" si="235"/>
        <v>332.5926659778932</v>
      </c>
      <c r="G4976" s="13">
        <v>10000</v>
      </c>
      <c r="H4976" s="13">
        <v>26.9514</v>
      </c>
      <c r="I4976" s="13">
        <f t="shared" si="236"/>
        <v>371.03823920093203</v>
      </c>
    </row>
    <row r="4977" spans="1:9" ht="12.75" x14ac:dyDescent="0.2">
      <c r="A4977" s="10">
        <v>44022</v>
      </c>
      <c r="B4977" s="12">
        <f t="shared" si="233"/>
        <v>7</v>
      </c>
      <c r="C4977" s="12">
        <f t="shared" si="234"/>
        <v>2020</v>
      </c>
      <c r="D4977" s="13">
        <v>23500</v>
      </c>
      <c r="E4977" s="13">
        <v>70.721999999999994</v>
      </c>
      <c r="F4977" s="13">
        <f t="shared" si="235"/>
        <v>332.2869828341959</v>
      </c>
      <c r="G4977" s="13">
        <v>10000</v>
      </c>
      <c r="H4977" s="13">
        <v>26.933499999999999</v>
      </c>
      <c r="I4977" s="13">
        <f t="shared" si="236"/>
        <v>371.28483115822303</v>
      </c>
    </row>
    <row r="4978" spans="1:9" ht="12.75" x14ac:dyDescent="0.2">
      <c r="A4978" s="10">
        <v>44025</v>
      </c>
      <c r="B4978" s="12">
        <f t="shared" si="233"/>
        <v>7</v>
      </c>
      <c r="C4978" s="12">
        <f t="shared" si="234"/>
        <v>2020</v>
      </c>
      <c r="D4978" s="13">
        <v>23000</v>
      </c>
      <c r="E4978" s="13">
        <v>70.867500000000007</v>
      </c>
      <c r="F4978" s="13">
        <f t="shared" si="235"/>
        <v>324.5493350266342</v>
      </c>
      <c r="G4978" s="13">
        <v>10000</v>
      </c>
      <c r="H4978" s="13">
        <v>26.950500000000002</v>
      </c>
      <c r="I4978" s="13">
        <f t="shared" si="236"/>
        <v>371.05062985844415</v>
      </c>
    </row>
    <row r="4979" spans="1:9" ht="12.75" x14ac:dyDescent="0.2">
      <c r="A4979" s="10">
        <v>44026</v>
      </c>
      <c r="B4979" s="12">
        <f t="shared" si="233"/>
        <v>7</v>
      </c>
      <c r="C4979" s="12">
        <f t="shared" si="234"/>
        <v>2020</v>
      </c>
      <c r="D4979" s="13">
        <v>23000</v>
      </c>
      <c r="E4979" s="13">
        <v>70.882499999999993</v>
      </c>
      <c r="F4979" s="13">
        <f t="shared" si="235"/>
        <v>324.48065460445105</v>
      </c>
      <c r="G4979" s="13">
        <v>10000</v>
      </c>
      <c r="H4979" s="13">
        <v>27.0883</v>
      </c>
      <c r="I4979" s="13">
        <f t="shared" si="236"/>
        <v>369.16307040308914</v>
      </c>
    </row>
    <row r="4980" spans="1:9" ht="12.75" x14ac:dyDescent="0.2">
      <c r="A4980" s="10">
        <v>44027</v>
      </c>
      <c r="B4980" s="12">
        <f t="shared" si="233"/>
        <v>7</v>
      </c>
      <c r="C4980" s="12">
        <f t="shared" si="234"/>
        <v>2020</v>
      </c>
      <c r="D4980" s="13">
        <v>23000</v>
      </c>
      <c r="E4980" s="13">
        <v>70.774000000000001</v>
      </c>
      <c r="F4980" s="13">
        <f t="shared" si="235"/>
        <v>324.97809930200356</v>
      </c>
      <c r="G4980" s="13">
        <v>10000</v>
      </c>
      <c r="H4980" s="13">
        <v>27.143599999999999</v>
      </c>
      <c r="I4980" s="13">
        <f t="shared" si="236"/>
        <v>368.41096980503693</v>
      </c>
    </row>
    <row r="4981" spans="1:9" ht="12.75" x14ac:dyDescent="0.2">
      <c r="A4981" s="10">
        <v>44028</v>
      </c>
      <c r="B4981" s="12">
        <f t="shared" si="233"/>
        <v>7</v>
      </c>
      <c r="C4981" s="12">
        <f t="shared" si="234"/>
        <v>2020</v>
      </c>
      <c r="D4981" s="13">
        <v>23000</v>
      </c>
      <c r="E4981" s="13">
        <v>71.398600000000002</v>
      </c>
      <c r="F4981" s="13">
        <f t="shared" si="235"/>
        <v>322.13516791645776</v>
      </c>
      <c r="G4981" s="13">
        <v>10000</v>
      </c>
      <c r="H4981" s="13">
        <v>27.119</v>
      </c>
      <c r="I4981" s="13">
        <f t="shared" si="236"/>
        <v>368.74516021977212</v>
      </c>
    </row>
    <row r="4982" spans="1:9" ht="12.75" x14ac:dyDescent="0.2">
      <c r="A4982" s="10">
        <v>44029</v>
      </c>
      <c r="B4982" s="12">
        <f t="shared" si="233"/>
        <v>7</v>
      </c>
      <c r="C4982" s="12">
        <f t="shared" si="234"/>
        <v>2020</v>
      </c>
      <c r="D4982" s="13">
        <v>23000</v>
      </c>
      <c r="E4982" s="13">
        <v>71.742999999999995</v>
      </c>
      <c r="F4982" s="13">
        <f t="shared" si="235"/>
        <v>320.58876824219789</v>
      </c>
      <c r="G4982" s="13">
        <v>10000</v>
      </c>
      <c r="H4982" s="13">
        <v>27.273800000000001</v>
      </c>
      <c r="I4982" s="13">
        <f t="shared" si="236"/>
        <v>366.65224501169621</v>
      </c>
    </row>
    <row r="4983" spans="1:9" ht="12.75" x14ac:dyDescent="0.2">
      <c r="A4983" s="10">
        <v>44032</v>
      </c>
      <c r="B4983" s="12">
        <f t="shared" si="233"/>
        <v>7</v>
      </c>
      <c r="C4983" s="12">
        <f t="shared" si="234"/>
        <v>2020</v>
      </c>
      <c r="D4983" s="13">
        <v>23000</v>
      </c>
      <c r="E4983" s="13">
        <v>71.326099999999997</v>
      </c>
      <c r="F4983" s="13">
        <f t="shared" si="235"/>
        <v>322.46260485292203</v>
      </c>
      <c r="G4983" s="13">
        <v>10000</v>
      </c>
      <c r="H4983" s="13">
        <v>27.360600000000002</v>
      </c>
      <c r="I4983" s="13">
        <f t="shared" si="236"/>
        <v>365.4890609124069</v>
      </c>
    </row>
    <row r="4984" spans="1:9" ht="12.75" x14ac:dyDescent="0.2">
      <c r="A4984" s="10">
        <v>44033</v>
      </c>
      <c r="B4984" s="12">
        <f t="shared" si="233"/>
        <v>7</v>
      </c>
      <c r="C4984" s="12">
        <f t="shared" si="234"/>
        <v>2020</v>
      </c>
      <c r="D4984" s="13">
        <v>23000</v>
      </c>
      <c r="E4984" s="13">
        <v>70.529600000000002</v>
      </c>
      <c r="F4984" s="13">
        <f t="shared" si="235"/>
        <v>326.10421723645106</v>
      </c>
      <c r="G4984" s="13">
        <v>10000</v>
      </c>
      <c r="H4984" s="13">
        <v>27.601099999999999</v>
      </c>
      <c r="I4984" s="13">
        <f t="shared" si="236"/>
        <v>362.30440091155788</v>
      </c>
    </row>
    <row r="4985" spans="1:9" ht="12.75" x14ac:dyDescent="0.2">
      <c r="A4985" s="10">
        <v>44034</v>
      </c>
      <c r="B4985" s="12">
        <f t="shared" si="233"/>
        <v>7</v>
      </c>
      <c r="C4985" s="12">
        <f t="shared" si="234"/>
        <v>2020</v>
      </c>
      <c r="D4985" s="13">
        <v>23000</v>
      </c>
      <c r="E4985" s="13">
        <v>70.974999999999994</v>
      </c>
      <c r="F4985" s="13">
        <f t="shared" si="235"/>
        <v>324.05776681930257</v>
      </c>
      <c r="G4985" s="13">
        <v>10000</v>
      </c>
      <c r="H4985" s="13">
        <v>27.6647</v>
      </c>
      <c r="I4985" s="13">
        <f t="shared" si="236"/>
        <v>361.47147809302106</v>
      </c>
    </row>
    <row r="4986" spans="1:9" ht="12.75" x14ac:dyDescent="0.2">
      <c r="A4986" s="10">
        <v>44035</v>
      </c>
      <c r="B4986" s="12">
        <f t="shared" si="233"/>
        <v>7</v>
      </c>
      <c r="C4986" s="12">
        <f t="shared" si="234"/>
        <v>2020</v>
      </c>
      <c r="D4986" s="13">
        <v>23000</v>
      </c>
      <c r="E4986" s="13">
        <v>71.39</v>
      </c>
      <c r="F4986" s="13">
        <f t="shared" si="235"/>
        <v>322.17397394593081</v>
      </c>
      <c r="G4986" s="13">
        <v>10000</v>
      </c>
      <c r="H4986" s="13">
        <v>27.779800000000002</v>
      </c>
      <c r="I4986" s="13">
        <f t="shared" si="236"/>
        <v>359.9737939078035</v>
      </c>
    </row>
    <row r="4987" spans="1:9" ht="12.75" x14ac:dyDescent="0.2">
      <c r="A4987" s="10">
        <v>44036</v>
      </c>
      <c r="B4987" s="12">
        <f t="shared" si="233"/>
        <v>7</v>
      </c>
      <c r="C4987" s="12">
        <f t="shared" si="234"/>
        <v>2020</v>
      </c>
      <c r="D4987" s="13">
        <v>23000</v>
      </c>
      <c r="E4987" s="13">
        <v>71.532499999999999</v>
      </c>
      <c r="F4987" s="13">
        <f t="shared" si="235"/>
        <v>321.53217069164367</v>
      </c>
      <c r="G4987" s="13">
        <v>10000</v>
      </c>
      <c r="H4987" s="13">
        <v>27.8779</v>
      </c>
      <c r="I4987" s="13">
        <f t="shared" si="236"/>
        <v>358.70707621449247</v>
      </c>
    </row>
    <row r="4988" spans="1:9" ht="12.75" x14ac:dyDescent="0.2">
      <c r="A4988" s="10">
        <v>44039</v>
      </c>
      <c r="B4988" s="12">
        <f t="shared" si="233"/>
        <v>7</v>
      </c>
      <c r="C4988" s="12">
        <f t="shared" si="234"/>
        <v>2020</v>
      </c>
      <c r="D4988" s="13">
        <v>23500</v>
      </c>
      <c r="E4988" s="13">
        <v>71.495000000000005</v>
      </c>
      <c r="F4988" s="13">
        <f t="shared" si="235"/>
        <v>328.69431428771242</v>
      </c>
      <c r="G4988" s="13">
        <v>10000</v>
      </c>
      <c r="H4988" s="13">
        <v>27.7559</v>
      </c>
      <c r="I4988" s="13">
        <f t="shared" si="236"/>
        <v>360.28375948897349</v>
      </c>
    </row>
    <row r="4989" spans="1:9" ht="12.75" x14ac:dyDescent="0.2">
      <c r="A4989" s="10">
        <v>44040</v>
      </c>
      <c r="B4989" s="12">
        <f t="shared" si="233"/>
        <v>7</v>
      </c>
      <c r="C4989" s="12">
        <f t="shared" si="234"/>
        <v>2020</v>
      </c>
      <c r="D4989" s="13">
        <v>23500</v>
      </c>
      <c r="E4989" s="13">
        <v>72.429000000000002</v>
      </c>
      <c r="F4989" s="13">
        <f t="shared" si="235"/>
        <v>324.45567383230474</v>
      </c>
      <c r="G4989" s="13">
        <v>10083</v>
      </c>
      <c r="H4989" s="13">
        <v>27.757100000000001</v>
      </c>
      <c r="I4989" s="13">
        <f t="shared" si="236"/>
        <v>363.25840956007653</v>
      </c>
    </row>
    <row r="4990" spans="1:9" ht="12.75" x14ac:dyDescent="0.2">
      <c r="A4990" s="10">
        <v>44041</v>
      </c>
      <c r="B4990" s="12">
        <f t="shared" si="233"/>
        <v>7</v>
      </c>
      <c r="C4990" s="12">
        <f t="shared" si="234"/>
        <v>2020</v>
      </c>
      <c r="D4990" s="13">
        <v>23500</v>
      </c>
      <c r="E4990" s="13">
        <v>72.473299999999995</v>
      </c>
      <c r="F4990" s="13">
        <f t="shared" si="235"/>
        <v>324.25734718855085</v>
      </c>
      <c r="G4990" s="13">
        <v>10083</v>
      </c>
      <c r="H4990" s="13">
        <v>27.685099999999998</v>
      </c>
      <c r="I4990" s="13">
        <f t="shared" si="236"/>
        <v>364.20312731397036</v>
      </c>
    </row>
    <row r="4991" spans="1:9" ht="12.75" x14ac:dyDescent="0.2">
      <c r="A4991" s="10">
        <v>44042</v>
      </c>
      <c r="B4991" s="12">
        <f t="shared" si="233"/>
        <v>7</v>
      </c>
      <c r="C4991" s="12">
        <f t="shared" si="234"/>
        <v>2020</v>
      </c>
      <c r="D4991" s="13">
        <v>23500</v>
      </c>
      <c r="E4991" s="13">
        <v>72.984999999999999</v>
      </c>
      <c r="F4991" s="13">
        <f t="shared" si="235"/>
        <v>321.98396930876208</v>
      </c>
      <c r="G4991" s="13">
        <v>10083</v>
      </c>
      <c r="H4991" s="13">
        <v>27.686699999999998</v>
      </c>
      <c r="I4991" s="13">
        <f t="shared" si="236"/>
        <v>364.18208020457479</v>
      </c>
    </row>
    <row r="4992" spans="1:9" ht="12.75" x14ac:dyDescent="0.2">
      <c r="A4992" s="10">
        <v>44043</v>
      </c>
      <c r="B4992" s="12">
        <f t="shared" si="233"/>
        <v>7</v>
      </c>
      <c r="C4992" s="12">
        <f t="shared" si="234"/>
        <v>2020</v>
      </c>
      <c r="D4992" s="13">
        <v>23500</v>
      </c>
      <c r="E4992" s="13">
        <v>74.22</v>
      </c>
      <c r="F4992" s="13">
        <f t="shared" si="235"/>
        <v>316.62624629479927</v>
      </c>
      <c r="G4992" s="13">
        <v>10250</v>
      </c>
      <c r="H4992" s="13">
        <v>27.691299999999998</v>
      </c>
      <c r="I4992" s="13">
        <f t="shared" si="236"/>
        <v>370.15235832192786</v>
      </c>
    </row>
    <row r="4993" spans="1:9" ht="12.75" x14ac:dyDescent="0.2">
      <c r="A4993" s="10">
        <v>44046</v>
      </c>
      <c r="B4993" s="12">
        <f t="shared" si="233"/>
        <v>8</v>
      </c>
      <c r="C4993" s="12">
        <f t="shared" si="234"/>
        <v>2020</v>
      </c>
      <c r="D4993" s="13">
        <v>23500</v>
      </c>
      <c r="E4993" s="13">
        <v>72.950299999999999</v>
      </c>
      <c r="F4993" s="13">
        <f t="shared" si="235"/>
        <v>322.13712623525879</v>
      </c>
      <c r="G4993" s="13">
        <v>10250</v>
      </c>
      <c r="H4993" s="13">
        <v>27.6798</v>
      </c>
      <c r="I4993" s="13">
        <f t="shared" si="236"/>
        <v>370.30614383051898</v>
      </c>
    </row>
    <row r="4994" spans="1:9" ht="12.75" x14ac:dyDescent="0.2">
      <c r="A4994" s="10">
        <v>44047</v>
      </c>
      <c r="B4994" s="12">
        <f t="shared" si="233"/>
        <v>8</v>
      </c>
      <c r="C4994" s="12">
        <f t="shared" si="234"/>
        <v>2020</v>
      </c>
      <c r="D4994" s="13">
        <v>23500</v>
      </c>
      <c r="E4994" s="13">
        <v>73.305899999999994</v>
      </c>
      <c r="F4994" s="13">
        <f t="shared" si="235"/>
        <v>320.57446944925312</v>
      </c>
      <c r="G4994" s="13">
        <v>10250</v>
      </c>
      <c r="H4994" s="13">
        <v>27.736499999999999</v>
      </c>
      <c r="I4994" s="13">
        <f t="shared" si="236"/>
        <v>369.54915003695493</v>
      </c>
    </row>
    <row r="4995" spans="1:9" ht="12.75" x14ac:dyDescent="0.2">
      <c r="A4995" s="10">
        <v>44048</v>
      </c>
      <c r="B4995" s="12">
        <f t="shared" si="233"/>
        <v>8</v>
      </c>
      <c r="C4995" s="12">
        <f t="shared" si="234"/>
        <v>2020</v>
      </c>
      <c r="D4995" s="13">
        <v>23500</v>
      </c>
      <c r="E4995" s="13">
        <v>72.935000000000002</v>
      </c>
      <c r="F4995" s="13">
        <f t="shared" si="235"/>
        <v>322.2047028175773</v>
      </c>
      <c r="G4995" s="13">
        <v>10250</v>
      </c>
      <c r="H4995" s="13">
        <v>27.822500000000002</v>
      </c>
      <c r="I4995" s="13">
        <f t="shared" si="236"/>
        <v>368.4068649474346</v>
      </c>
    </row>
    <row r="4996" spans="1:9" ht="12.75" x14ac:dyDescent="0.2">
      <c r="A4996" s="10">
        <v>44049</v>
      </c>
      <c r="B4996" s="12">
        <f t="shared" si="233"/>
        <v>8</v>
      </c>
      <c r="C4996" s="12">
        <f t="shared" si="234"/>
        <v>2020</v>
      </c>
      <c r="D4996" s="13">
        <v>23500</v>
      </c>
      <c r="E4996" s="13">
        <v>73.3</v>
      </c>
      <c r="F4996" s="13">
        <f t="shared" si="235"/>
        <v>320.60027285129604</v>
      </c>
      <c r="G4996" s="13">
        <v>10250</v>
      </c>
      <c r="H4996" s="13">
        <v>27.7028</v>
      </c>
      <c r="I4996" s="13">
        <f t="shared" si="236"/>
        <v>369.99870049236898</v>
      </c>
    </row>
    <row r="4997" spans="1:9" ht="12.75" x14ac:dyDescent="0.2">
      <c r="A4997" s="10">
        <v>44050</v>
      </c>
      <c r="B4997" s="12">
        <f t="shared" si="233"/>
        <v>8</v>
      </c>
      <c r="C4997" s="12">
        <f t="shared" si="234"/>
        <v>2020</v>
      </c>
      <c r="D4997" s="13">
        <v>23500</v>
      </c>
      <c r="E4997" s="13">
        <v>73.59</v>
      </c>
      <c r="F4997" s="13">
        <f t="shared" si="235"/>
        <v>319.33686642206823</v>
      </c>
      <c r="G4997" s="13">
        <v>10250</v>
      </c>
      <c r="H4997" s="13">
        <v>27.679300000000001</v>
      </c>
      <c r="I4997" s="13">
        <f t="shared" si="236"/>
        <v>370.31283305574925</v>
      </c>
    </row>
    <row r="4998" spans="1:9" ht="12.75" x14ac:dyDescent="0.2">
      <c r="A4998" s="10">
        <v>44053</v>
      </c>
      <c r="B4998" s="12">
        <f t="shared" ref="B4998:B5061" si="237">MONTH(A4998)</f>
        <v>8</v>
      </c>
      <c r="C4998" s="12">
        <f t="shared" ref="C4998:C5061" si="238">YEAR(A4998)</f>
        <v>2020</v>
      </c>
      <c r="D4998" s="13">
        <v>23500</v>
      </c>
      <c r="E4998" s="13">
        <v>73.392600000000002</v>
      </c>
      <c r="F4998" s="13">
        <f t="shared" ref="F4998:F5061" si="239">IF(D4998="","",D4998/E4998)</f>
        <v>320.19576905573587</v>
      </c>
      <c r="G4998" s="13">
        <v>10167</v>
      </c>
      <c r="H4998" s="13">
        <v>27.648599999999998</v>
      </c>
      <c r="I4998" s="13">
        <f t="shared" si="236"/>
        <v>367.72205464291142</v>
      </c>
    </row>
    <row r="4999" spans="1:9" ht="12.75" x14ac:dyDescent="0.2">
      <c r="A4999" s="10">
        <v>44054</v>
      </c>
      <c r="B4999" s="12">
        <f t="shared" si="237"/>
        <v>8</v>
      </c>
      <c r="C4999" s="12">
        <f t="shared" si="238"/>
        <v>2020</v>
      </c>
      <c r="D4999" s="13">
        <v>23500</v>
      </c>
      <c r="E4999" s="13">
        <v>72.988799999999998</v>
      </c>
      <c r="F4999" s="13">
        <f t="shared" si="239"/>
        <v>321.96720592748477</v>
      </c>
      <c r="G4999" s="13">
        <v>10000</v>
      </c>
      <c r="H4999" s="13">
        <v>27.6007</v>
      </c>
      <c r="I4999" s="13">
        <f t="shared" si="236"/>
        <v>362.3096515668081</v>
      </c>
    </row>
    <row r="5000" spans="1:9" ht="12.75" x14ac:dyDescent="0.2">
      <c r="A5000" s="10">
        <v>44055</v>
      </c>
      <c r="B5000" s="12">
        <f t="shared" si="237"/>
        <v>8</v>
      </c>
      <c r="C5000" s="12">
        <f t="shared" si="238"/>
        <v>2020</v>
      </c>
      <c r="D5000" s="13">
        <v>23500</v>
      </c>
      <c r="E5000" s="13">
        <v>73.617500000000007</v>
      </c>
      <c r="F5000" s="13">
        <f t="shared" si="239"/>
        <v>319.21757734234382</v>
      </c>
      <c r="G5000" s="13">
        <v>9917</v>
      </c>
      <c r="H5000" s="13">
        <v>27.598199999999999</v>
      </c>
      <c r="I5000" s="13">
        <f t="shared" si="236"/>
        <v>359.33502909610047</v>
      </c>
    </row>
    <row r="5001" spans="1:9" ht="12.75" x14ac:dyDescent="0.2">
      <c r="A5001" s="10">
        <v>44056</v>
      </c>
      <c r="B5001" s="12">
        <f t="shared" si="237"/>
        <v>8</v>
      </c>
      <c r="C5001" s="12">
        <f t="shared" si="238"/>
        <v>2020</v>
      </c>
      <c r="D5001" s="13">
        <v>23500</v>
      </c>
      <c r="E5001" s="13">
        <v>72.819400000000002</v>
      </c>
      <c r="F5001" s="13">
        <f t="shared" si="239"/>
        <v>322.71619925459424</v>
      </c>
      <c r="G5001" s="13">
        <v>9000</v>
      </c>
      <c r="H5001" s="13">
        <v>27.526599999999998</v>
      </c>
      <c r="I5001" s="13">
        <f t="shared" si="236"/>
        <v>326.9564711951349</v>
      </c>
    </row>
    <row r="5002" spans="1:9" ht="12.75" x14ac:dyDescent="0.2">
      <c r="A5002" s="10">
        <v>44057</v>
      </c>
      <c r="B5002" s="12">
        <f t="shared" si="237"/>
        <v>8</v>
      </c>
      <c r="C5002" s="12">
        <f t="shared" si="238"/>
        <v>2020</v>
      </c>
      <c r="D5002" s="13">
        <v>23500</v>
      </c>
      <c r="E5002" s="13">
        <v>72.754999999999995</v>
      </c>
      <c r="F5002" s="13">
        <f t="shared" si="239"/>
        <v>323.00185554257439</v>
      </c>
      <c r="G5002" s="13">
        <v>9083</v>
      </c>
      <c r="H5002" s="13">
        <v>27.408300000000001</v>
      </c>
      <c r="I5002" s="13">
        <f t="shared" si="236"/>
        <v>331.39596399630767</v>
      </c>
    </row>
    <row r="5003" spans="1:9" ht="12.75" x14ac:dyDescent="0.2">
      <c r="A5003" s="10">
        <v>44060</v>
      </c>
      <c r="B5003" s="12">
        <f t="shared" si="237"/>
        <v>8</v>
      </c>
      <c r="C5003" s="12">
        <f t="shared" si="238"/>
        <v>2020</v>
      </c>
      <c r="D5003" s="13">
        <v>20500</v>
      </c>
      <c r="E5003" s="13">
        <v>73.576999999999998</v>
      </c>
      <c r="F5003" s="13">
        <f t="shared" si="239"/>
        <v>278.61967734482243</v>
      </c>
      <c r="G5003" s="13">
        <v>9083</v>
      </c>
      <c r="H5003" s="13">
        <v>27.3474</v>
      </c>
      <c r="I5003" s="13">
        <f t="shared" si="236"/>
        <v>332.13395057665446</v>
      </c>
    </row>
    <row r="5004" spans="1:9" ht="12.75" x14ac:dyDescent="0.2">
      <c r="A5004" s="10">
        <v>44061</v>
      </c>
      <c r="B5004" s="12">
        <f t="shared" si="237"/>
        <v>8</v>
      </c>
      <c r="C5004" s="12">
        <f t="shared" si="238"/>
        <v>2020</v>
      </c>
      <c r="D5004" s="13">
        <v>20500</v>
      </c>
      <c r="E5004" s="13">
        <v>72.987499999999997</v>
      </c>
      <c r="F5004" s="13">
        <f t="shared" si="239"/>
        <v>280.87001198835418</v>
      </c>
      <c r="G5004" s="13">
        <v>9083</v>
      </c>
      <c r="H5004" s="13">
        <v>27.306100000000001</v>
      </c>
      <c r="I5004" s="13">
        <f t="shared" si="236"/>
        <v>332.636297384101</v>
      </c>
    </row>
    <row r="5005" spans="1:9" ht="12.75" x14ac:dyDescent="0.2">
      <c r="A5005" s="10">
        <v>44062</v>
      </c>
      <c r="B5005" s="12">
        <f t="shared" si="237"/>
        <v>8</v>
      </c>
      <c r="C5005" s="12">
        <f t="shared" si="238"/>
        <v>2020</v>
      </c>
      <c r="D5005" s="13">
        <v>20500</v>
      </c>
      <c r="E5005" s="13">
        <v>73.252099999999999</v>
      </c>
      <c r="F5005" s="13">
        <f t="shared" si="239"/>
        <v>279.85545806877894</v>
      </c>
      <c r="G5005" s="13">
        <v>9083</v>
      </c>
      <c r="H5005" s="13">
        <v>27.229700000000001</v>
      </c>
      <c r="I5005" s="13">
        <f t="shared" si="236"/>
        <v>333.56959496432205</v>
      </c>
    </row>
    <row r="5006" spans="1:9" ht="12.75" x14ac:dyDescent="0.2">
      <c r="A5006" s="10">
        <v>44063</v>
      </c>
      <c r="B5006" s="12">
        <f t="shared" si="237"/>
        <v>8</v>
      </c>
      <c r="C5006" s="12">
        <f t="shared" si="238"/>
        <v>2020</v>
      </c>
      <c r="D5006" s="13">
        <v>20500</v>
      </c>
      <c r="E5006" s="13">
        <v>73.765299999999996</v>
      </c>
      <c r="F5006" s="13">
        <f t="shared" si="239"/>
        <v>277.90844746784734</v>
      </c>
      <c r="G5006" s="13">
        <v>9083</v>
      </c>
      <c r="H5006" s="13">
        <v>27.315999999999999</v>
      </c>
      <c r="I5006" s="13">
        <f t="shared" si="236"/>
        <v>332.51574168985212</v>
      </c>
    </row>
    <row r="5007" spans="1:9" ht="12.75" x14ac:dyDescent="0.2">
      <c r="A5007" s="10">
        <v>44064</v>
      </c>
      <c r="B5007" s="12">
        <f t="shared" si="237"/>
        <v>8</v>
      </c>
      <c r="C5007" s="12">
        <f t="shared" si="238"/>
        <v>2020</v>
      </c>
      <c r="D5007" s="13">
        <v>20500</v>
      </c>
      <c r="E5007" s="13">
        <v>74.745000000000005</v>
      </c>
      <c r="F5007" s="13">
        <f t="shared" si="239"/>
        <v>274.26583717974444</v>
      </c>
      <c r="G5007" s="13">
        <v>9083</v>
      </c>
      <c r="H5007" s="13">
        <v>27.481200000000001</v>
      </c>
      <c r="I5007" s="13">
        <f t="shared" si="236"/>
        <v>330.51686243686589</v>
      </c>
    </row>
    <row r="5008" spans="1:9" ht="12.75" x14ac:dyDescent="0.2">
      <c r="A5008" s="10">
        <v>44067</v>
      </c>
      <c r="B5008" s="12">
        <f t="shared" si="237"/>
        <v>8</v>
      </c>
      <c r="C5008" s="12">
        <f t="shared" si="238"/>
        <v>2020</v>
      </c>
      <c r="D5008" s="13">
        <v>22500</v>
      </c>
      <c r="E5008" s="13">
        <v>74.48</v>
      </c>
      <c r="F5008" s="13">
        <f t="shared" si="239"/>
        <v>302.09452201933402</v>
      </c>
      <c r="G5008" s="13">
        <v>9167</v>
      </c>
      <c r="H5008" s="13">
        <f>AVERAGE(H5009,H5007)</f>
        <v>27.4377</v>
      </c>
      <c r="I5008" s="13">
        <f t="shared" si="236"/>
        <v>334.10234822889674</v>
      </c>
    </row>
    <row r="5009" spans="1:9" ht="12.75" x14ac:dyDescent="0.2">
      <c r="A5009" s="10">
        <v>44068</v>
      </c>
      <c r="B5009" s="12">
        <f t="shared" si="237"/>
        <v>8</v>
      </c>
      <c r="C5009" s="12">
        <f t="shared" si="238"/>
        <v>2020</v>
      </c>
      <c r="D5009" s="13">
        <v>22500</v>
      </c>
      <c r="E5009" s="13">
        <v>75.117999999999995</v>
      </c>
      <c r="F5009" s="13">
        <f t="shared" si="239"/>
        <v>299.52874144679038</v>
      </c>
      <c r="G5009" s="13">
        <v>9250</v>
      </c>
      <c r="H5009" s="13">
        <v>27.394200000000001</v>
      </c>
      <c r="I5009" s="13">
        <f t="shared" si="236"/>
        <v>337.66271692548054</v>
      </c>
    </row>
    <row r="5010" spans="1:9" ht="12.75" x14ac:dyDescent="0.2">
      <c r="A5010" s="10">
        <v>44069</v>
      </c>
      <c r="B5010" s="12">
        <f t="shared" si="237"/>
        <v>8</v>
      </c>
      <c r="C5010" s="12">
        <f t="shared" si="238"/>
        <v>2020</v>
      </c>
      <c r="D5010" s="13">
        <v>22500</v>
      </c>
      <c r="E5010" s="13">
        <v>75.448999999999998</v>
      </c>
      <c r="F5010" s="13">
        <f t="shared" si="239"/>
        <v>298.21468806743627</v>
      </c>
      <c r="G5010" s="13">
        <v>9250</v>
      </c>
      <c r="H5010" s="13">
        <v>27.438300000000002</v>
      </c>
      <c r="I5010" s="13">
        <f t="shared" si="236"/>
        <v>337.12001107940358</v>
      </c>
    </row>
    <row r="5011" spans="1:9" ht="12.75" x14ac:dyDescent="0.2">
      <c r="A5011" s="10">
        <v>44070</v>
      </c>
      <c r="B5011" s="12">
        <f t="shared" si="237"/>
        <v>8</v>
      </c>
      <c r="C5011" s="12">
        <f t="shared" si="238"/>
        <v>2020</v>
      </c>
      <c r="D5011" s="13">
        <v>22500</v>
      </c>
      <c r="E5011" s="13">
        <v>74.702500000000001</v>
      </c>
      <c r="F5011" s="13">
        <f t="shared" si="239"/>
        <v>301.19473913188983</v>
      </c>
      <c r="G5011" s="13">
        <v>9333</v>
      </c>
      <c r="H5011" s="13">
        <v>27.385999999999999</v>
      </c>
      <c r="I5011" s="13">
        <f t="shared" si="236"/>
        <v>340.79456656685898</v>
      </c>
    </row>
    <row r="5012" spans="1:9" ht="12.75" x14ac:dyDescent="0.2">
      <c r="A5012" s="10">
        <v>44071</v>
      </c>
      <c r="B5012" s="12">
        <f t="shared" si="237"/>
        <v>8</v>
      </c>
      <c r="C5012" s="12">
        <f t="shared" si="238"/>
        <v>2020</v>
      </c>
      <c r="D5012" s="13">
        <v>22500</v>
      </c>
      <c r="E5012" s="13">
        <v>74.001999999999995</v>
      </c>
      <c r="F5012" s="13">
        <f t="shared" si="239"/>
        <v>304.04583659901084</v>
      </c>
      <c r="G5012" s="13">
        <v>9500</v>
      </c>
      <c r="H5012" s="13">
        <v>27.461500000000001</v>
      </c>
      <c r="I5012" s="13">
        <f t="shared" si="236"/>
        <v>345.93885985834714</v>
      </c>
    </row>
    <row r="5013" spans="1:9" ht="12.75" x14ac:dyDescent="0.2">
      <c r="A5013" s="10">
        <v>44074</v>
      </c>
      <c r="B5013" s="12">
        <f t="shared" si="237"/>
        <v>8</v>
      </c>
      <c r="C5013" s="12">
        <f t="shared" si="238"/>
        <v>2020</v>
      </c>
      <c r="D5013" s="13">
        <v>23500</v>
      </c>
      <c r="E5013" s="13">
        <v>73.808499999999995</v>
      </c>
      <c r="F5013" s="13">
        <f t="shared" si="239"/>
        <v>318.39151317260212</v>
      </c>
      <c r="H5013" s="13">
        <v>27.475899999999999</v>
      </c>
      <c r="I5013" s="13" t="str">
        <f t="shared" si="236"/>
        <v/>
      </c>
    </row>
    <row r="5014" spans="1:9" ht="12.75" x14ac:dyDescent="0.2">
      <c r="A5014" s="10">
        <v>44075</v>
      </c>
      <c r="B5014" s="12">
        <f t="shared" si="237"/>
        <v>9</v>
      </c>
      <c r="C5014" s="12">
        <f t="shared" si="238"/>
        <v>2020</v>
      </c>
      <c r="D5014" s="13">
        <v>23500</v>
      </c>
      <c r="E5014" s="13">
        <v>73.348600000000005</v>
      </c>
      <c r="F5014" s="13">
        <f t="shared" si="239"/>
        <v>320.38784653013141</v>
      </c>
      <c r="G5014" s="13">
        <v>9583</v>
      </c>
      <c r="H5014" s="13">
        <v>27.561800000000002</v>
      </c>
      <c r="I5014" s="13">
        <f t="shared" si="236"/>
        <v>347.69136993955402</v>
      </c>
    </row>
    <row r="5015" spans="1:9" ht="12.75" x14ac:dyDescent="0.2">
      <c r="A5015" s="10">
        <v>44076</v>
      </c>
      <c r="B5015" s="12">
        <f t="shared" si="237"/>
        <v>9</v>
      </c>
      <c r="C5015" s="12">
        <f t="shared" si="238"/>
        <v>2020</v>
      </c>
      <c r="D5015" s="13">
        <v>23500</v>
      </c>
      <c r="E5015" s="13">
        <v>75.146299999999997</v>
      </c>
      <c r="F5015" s="13">
        <f t="shared" si="239"/>
        <v>312.72331438806702</v>
      </c>
      <c r="G5015" s="13">
        <v>9833</v>
      </c>
      <c r="H5015" s="13">
        <v>27.604900000000001</v>
      </c>
      <c r="I5015" s="13">
        <f t="shared" si="236"/>
        <v>356.2048766704462</v>
      </c>
    </row>
    <row r="5016" spans="1:9" ht="12.75" x14ac:dyDescent="0.2">
      <c r="A5016" s="10">
        <v>44077</v>
      </c>
      <c r="B5016" s="12">
        <f t="shared" si="237"/>
        <v>9</v>
      </c>
      <c r="C5016" s="12">
        <f t="shared" si="238"/>
        <v>2020</v>
      </c>
      <c r="D5016" s="13">
        <v>23500</v>
      </c>
      <c r="E5016" s="13">
        <v>75.217500000000001</v>
      </c>
      <c r="F5016" s="13">
        <f t="shared" si="239"/>
        <v>312.42729418021071</v>
      </c>
      <c r="G5016" s="13">
        <v>10000</v>
      </c>
      <c r="H5016" s="13">
        <v>27.642800000000001</v>
      </c>
      <c r="I5016" s="13">
        <f t="shared" si="236"/>
        <v>361.75785376300519</v>
      </c>
    </row>
    <row r="5017" spans="1:9" ht="12.75" x14ac:dyDescent="0.2">
      <c r="A5017" s="10">
        <v>44078</v>
      </c>
      <c r="B5017" s="12">
        <f t="shared" si="237"/>
        <v>9</v>
      </c>
      <c r="C5017" s="12">
        <f t="shared" si="238"/>
        <v>2020</v>
      </c>
      <c r="D5017" s="13">
        <v>23500</v>
      </c>
      <c r="E5017" s="13">
        <v>75.206999999999994</v>
      </c>
      <c r="F5017" s="13">
        <f t="shared" si="239"/>
        <v>312.4709136117649</v>
      </c>
      <c r="G5017" s="13">
        <v>10000</v>
      </c>
      <c r="H5017" s="13">
        <v>27.690799999999999</v>
      </c>
      <c r="I5017" s="13">
        <f t="shared" si="236"/>
        <v>361.1307726754012</v>
      </c>
    </row>
    <row r="5018" spans="1:9" ht="12.75" x14ac:dyDescent="0.2">
      <c r="A5018" s="10">
        <v>44081</v>
      </c>
      <c r="B5018" s="12">
        <f t="shared" si="237"/>
        <v>9</v>
      </c>
      <c r="C5018" s="12">
        <f t="shared" si="238"/>
        <v>2020</v>
      </c>
      <c r="E5018" s="13">
        <v>75.604699999999994</v>
      </c>
      <c r="F5018" s="13" t="str">
        <f t="shared" si="239"/>
        <v/>
      </c>
      <c r="G5018" s="13">
        <v>10417</v>
      </c>
      <c r="H5018" s="13">
        <v>27.732500000000002</v>
      </c>
      <c r="I5018" s="13">
        <f t="shared" si="236"/>
        <v>375.62426755611642</v>
      </c>
    </row>
    <row r="5019" spans="1:9" ht="12.75" x14ac:dyDescent="0.2">
      <c r="A5019" s="10">
        <v>44082</v>
      </c>
      <c r="B5019" s="12">
        <f t="shared" si="237"/>
        <v>9</v>
      </c>
      <c r="C5019" s="12">
        <f t="shared" si="238"/>
        <v>2020</v>
      </c>
      <c r="E5019" s="13">
        <v>76.197100000000006</v>
      </c>
      <c r="F5019" s="13" t="str">
        <f t="shared" si="239"/>
        <v/>
      </c>
      <c r="G5019" s="13">
        <v>10917</v>
      </c>
      <c r="H5019" s="13">
        <v>27.750900000000001</v>
      </c>
      <c r="I5019" s="13">
        <f t="shared" si="236"/>
        <v>393.39264672497109</v>
      </c>
    </row>
    <row r="5020" spans="1:9" ht="12.75" x14ac:dyDescent="0.2">
      <c r="A5020" s="10">
        <v>44083</v>
      </c>
      <c r="B5020" s="12">
        <f t="shared" si="237"/>
        <v>9</v>
      </c>
      <c r="C5020" s="12">
        <f t="shared" si="238"/>
        <v>2020</v>
      </c>
      <c r="E5020" s="13">
        <v>75.201300000000003</v>
      </c>
      <c r="F5020" s="13" t="str">
        <f t="shared" si="239"/>
        <v/>
      </c>
      <c r="G5020" s="13">
        <v>11250</v>
      </c>
      <c r="H5020" s="13">
        <v>27.8032</v>
      </c>
      <c r="I5020" s="13">
        <f t="shared" si="236"/>
        <v>404.62968291419691</v>
      </c>
    </row>
    <row r="5021" spans="1:9" ht="12.75" x14ac:dyDescent="0.2">
      <c r="A5021" s="10">
        <v>44084</v>
      </c>
      <c r="B5021" s="12">
        <f t="shared" si="237"/>
        <v>9</v>
      </c>
      <c r="C5021" s="12">
        <f t="shared" si="238"/>
        <v>2020</v>
      </c>
      <c r="E5021" s="13">
        <v>74.997900000000001</v>
      </c>
      <c r="F5021" s="13" t="str">
        <f t="shared" si="239"/>
        <v/>
      </c>
      <c r="G5021" s="13">
        <v>11667</v>
      </c>
      <c r="H5021" s="13">
        <v>27.829599999999999</v>
      </c>
      <c r="I5021" s="13">
        <f t="shared" si="236"/>
        <v>419.22988472705322</v>
      </c>
    </row>
    <row r="5022" spans="1:9" ht="12.75" x14ac:dyDescent="0.2">
      <c r="A5022" s="10">
        <v>44085</v>
      </c>
      <c r="B5022" s="12">
        <f t="shared" si="237"/>
        <v>9</v>
      </c>
      <c r="C5022" s="12">
        <f t="shared" si="238"/>
        <v>2020</v>
      </c>
      <c r="E5022" s="13">
        <v>74.77</v>
      </c>
      <c r="F5022" s="13" t="str">
        <f t="shared" si="239"/>
        <v/>
      </c>
      <c r="G5022" s="13">
        <v>11667</v>
      </c>
      <c r="H5022" s="13">
        <v>27.834599999999998</v>
      </c>
      <c r="I5022" s="13">
        <f t="shared" si="236"/>
        <v>419.1545773964778</v>
      </c>
    </row>
    <row r="5023" spans="1:9" ht="12.75" x14ac:dyDescent="0.2">
      <c r="A5023" s="10">
        <v>44088</v>
      </c>
      <c r="B5023" s="12">
        <f t="shared" si="237"/>
        <v>9</v>
      </c>
      <c r="C5023" s="12">
        <f t="shared" si="238"/>
        <v>2020</v>
      </c>
      <c r="D5023" s="13">
        <v>29500</v>
      </c>
      <c r="E5023" s="13">
        <v>75.180000000000007</v>
      </c>
      <c r="F5023" s="13">
        <f t="shared" si="239"/>
        <v>392.39159350891191</v>
      </c>
      <c r="G5023" s="13">
        <v>11833</v>
      </c>
      <c r="H5023" s="13">
        <v>27.900300000000001</v>
      </c>
      <c r="I5023" s="13">
        <f t="shared" si="236"/>
        <v>424.11730339817132</v>
      </c>
    </row>
    <row r="5024" spans="1:9" ht="12.75" x14ac:dyDescent="0.2">
      <c r="A5024" s="10">
        <v>44089</v>
      </c>
      <c r="B5024" s="12">
        <f t="shared" si="237"/>
        <v>9</v>
      </c>
      <c r="C5024" s="12">
        <f t="shared" si="238"/>
        <v>2020</v>
      </c>
      <c r="D5024" s="13">
        <v>29500</v>
      </c>
      <c r="E5024" s="13">
        <v>74.89</v>
      </c>
      <c r="F5024" s="13">
        <f t="shared" si="239"/>
        <v>393.91106956870078</v>
      </c>
      <c r="G5024" s="13">
        <v>12083</v>
      </c>
      <c r="H5024" s="13">
        <v>28.000299999999999</v>
      </c>
      <c r="I5024" s="13">
        <f t="shared" si="236"/>
        <v>431.53109073831354</v>
      </c>
    </row>
    <row r="5025" spans="1:9" ht="12.75" x14ac:dyDescent="0.2">
      <c r="A5025" s="10">
        <v>44090</v>
      </c>
      <c r="B5025" s="12">
        <f t="shared" si="237"/>
        <v>9</v>
      </c>
      <c r="C5025" s="12">
        <f t="shared" si="238"/>
        <v>2020</v>
      </c>
      <c r="D5025" s="13">
        <v>29500</v>
      </c>
      <c r="E5025" s="13">
        <v>74.587500000000006</v>
      </c>
      <c r="F5025" s="13">
        <f t="shared" si="239"/>
        <v>395.50863080274843</v>
      </c>
      <c r="G5025" s="13">
        <v>12250</v>
      </c>
      <c r="H5025" s="13">
        <v>28.055599999999998</v>
      </c>
      <c r="I5025" s="13">
        <f t="shared" si="236"/>
        <v>436.63297167053997</v>
      </c>
    </row>
    <row r="5026" spans="1:9" ht="12.75" x14ac:dyDescent="0.2">
      <c r="A5026" s="10">
        <v>44091</v>
      </c>
      <c r="B5026" s="12">
        <f t="shared" si="237"/>
        <v>9</v>
      </c>
      <c r="C5026" s="12">
        <f t="shared" si="238"/>
        <v>2020</v>
      </c>
      <c r="D5026" s="13">
        <v>29500</v>
      </c>
      <c r="E5026" s="13">
        <v>74.929599999999994</v>
      </c>
      <c r="F5026" s="13">
        <f t="shared" si="239"/>
        <v>393.70288911191307</v>
      </c>
      <c r="G5026" s="13">
        <v>12250</v>
      </c>
      <c r="H5026" s="13">
        <v>28.119499999999999</v>
      </c>
      <c r="I5026" s="13">
        <f t="shared" si="236"/>
        <v>435.64074752396027</v>
      </c>
    </row>
    <row r="5027" spans="1:9" ht="12.75" x14ac:dyDescent="0.2">
      <c r="A5027" s="10">
        <v>44092</v>
      </c>
      <c r="B5027" s="12">
        <f t="shared" si="237"/>
        <v>9</v>
      </c>
      <c r="C5027" s="12">
        <f t="shared" si="238"/>
        <v>2020</v>
      </c>
      <c r="D5027" s="13">
        <v>29500</v>
      </c>
      <c r="E5027" s="13">
        <v>75.664000000000001</v>
      </c>
      <c r="F5027" s="13">
        <f t="shared" si="239"/>
        <v>389.88158172975261</v>
      </c>
      <c r="G5027" s="13">
        <v>12083</v>
      </c>
      <c r="H5027" s="13">
        <v>28.1127</v>
      </c>
      <c r="I5027" s="13">
        <f t="shared" si="236"/>
        <v>429.80574615743063</v>
      </c>
    </row>
    <row r="5028" spans="1:9" ht="12.75" x14ac:dyDescent="0.2">
      <c r="A5028" s="10">
        <v>44095</v>
      </c>
      <c r="B5028" s="12">
        <f t="shared" si="237"/>
        <v>9</v>
      </c>
      <c r="C5028" s="12">
        <f t="shared" si="238"/>
        <v>2020</v>
      </c>
      <c r="D5028" s="13">
        <v>31500</v>
      </c>
      <c r="E5028" s="13">
        <v>76.116</v>
      </c>
      <c r="F5028" s="13">
        <f t="shared" si="239"/>
        <v>413.84203058489675</v>
      </c>
      <c r="G5028" s="13">
        <v>11667</v>
      </c>
      <c r="H5028" s="13">
        <v>28.171800000000001</v>
      </c>
      <c r="I5028" s="13">
        <f t="shared" si="236"/>
        <v>414.13754179711623</v>
      </c>
    </row>
    <row r="5029" spans="1:9" ht="12.75" x14ac:dyDescent="0.2">
      <c r="A5029" s="10">
        <v>44096</v>
      </c>
      <c r="B5029" s="12">
        <f t="shared" si="237"/>
        <v>9</v>
      </c>
      <c r="C5029" s="12">
        <f t="shared" si="238"/>
        <v>2020</v>
      </c>
      <c r="D5029" s="13">
        <v>31500</v>
      </c>
      <c r="E5029" s="13">
        <v>75.885300000000001</v>
      </c>
      <c r="F5029" s="13">
        <f t="shared" si="239"/>
        <v>415.10015773805992</v>
      </c>
      <c r="G5029" s="13">
        <v>10833</v>
      </c>
      <c r="H5029" s="13">
        <v>28.202200000000001</v>
      </c>
      <c r="I5029" s="13">
        <f t="shared" si="236"/>
        <v>384.11896944210025</v>
      </c>
    </row>
    <row r="5030" spans="1:9" ht="12.75" x14ac:dyDescent="0.2">
      <c r="A5030" s="10">
        <v>44097</v>
      </c>
      <c r="B5030" s="12">
        <f t="shared" si="237"/>
        <v>9</v>
      </c>
      <c r="C5030" s="12">
        <f t="shared" si="238"/>
        <v>2020</v>
      </c>
      <c r="D5030" s="13">
        <v>31500</v>
      </c>
      <c r="E5030" s="13">
        <v>76.989000000000004</v>
      </c>
      <c r="F5030" s="13">
        <f t="shared" si="239"/>
        <v>409.14935899933755</v>
      </c>
      <c r="G5030" s="13">
        <v>10583</v>
      </c>
      <c r="H5030" s="13">
        <v>28.2059</v>
      </c>
      <c r="I5030" s="13">
        <f t="shared" si="236"/>
        <v>375.20518756714023</v>
      </c>
    </row>
    <row r="5031" spans="1:9" ht="12.75" x14ac:dyDescent="0.2">
      <c r="A5031" s="10">
        <v>44098</v>
      </c>
      <c r="B5031" s="12">
        <f t="shared" si="237"/>
        <v>9</v>
      </c>
      <c r="C5031" s="12">
        <f t="shared" si="238"/>
        <v>2020</v>
      </c>
      <c r="D5031" s="13">
        <v>31500</v>
      </c>
      <c r="E5031" s="13">
        <v>76.8339</v>
      </c>
      <c r="F5031" s="13">
        <f t="shared" si="239"/>
        <v>409.97528434714366</v>
      </c>
      <c r="G5031" s="13">
        <v>10417</v>
      </c>
      <c r="H5031" s="13">
        <v>28.1874</v>
      </c>
      <c r="I5031" s="13">
        <f t="shared" si="236"/>
        <v>369.56228669547386</v>
      </c>
    </row>
    <row r="5032" spans="1:9" ht="12.75" x14ac:dyDescent="0.2">
      <c r="A5032" s="10">
        <v>44099</v>
      </c>
      <c r="B5032" s="12">
        <f t="shared" si="237"/>
        <v>9</v>
      </c>
      <c r="C5032" s="12">
        <f t="shared" si="238"/>
        <v>2020</v>
      </c>
      <c r="D5032" s="13">
        <v>31500</v>
      </c>
      <c r="E5032" s="13">
        <v>78.064999999999998</v>
      </c>
      <c r="F5032" s="13">
        <f t="shared" si="239"/>
        <v>403.50989559982065</v>
      </c>
      <c r="G5032" s="13">
        <v>10917</v>
      </c>
      <c r="H5032" s="13">
        <v>28.248699999999999</v>
      </c>
      <c r="I5032" s="13">
        <f t="shared" si="236"/>
        <v>386.46026188815767</v>
      </c>
    </row>
    <row r="5033" spans="1:9" ht="12.75" x14ac:dyDescent="0.2">
      <c r="A5033" s="10">
        <v>44102</v>
      </c>
      <c r="B5033" s="12">
        <f t="shared" si="237"/>
        <v>9</v>
      </c>
      <c r="C5033" s="12">
        <f t="shared" si="238"/>
        <v>2020</v>
      </c>
      <c r="D5033" s="13">
        <v>31250</v>
      </c>
      <c r="E5033" s="13">
        <v>79.022999999999996</v>
      </c>
      <c r="F5033" s="13">
        <f t="shared" si="239"/>
        <v>395.45448793389266</v>
      </c>
      <c r="G5033" s="13">
        <v>10750</v>
      </c>
      <c r="H5033" s="13">
        <v>28.267299999999999</v>
      </c>
      <c r="I5033" s="13">
        <f t="shared" si="236"/>
        <v>380.2980829438963</v>
      </c>
    </row>
    <row r="5034" spans="1:9" ht="12.75" x14ac:dyDescent="0.2">
      <c r="A5034" s="10">
        <v>44103</v>
      </c>
      <c r="B5034" s="12">
        <f t="shared" si="237"/>
        <v>9</v>
      </c>
      <c r="C5034" s="12">
        <f t="shared" si="238"/>
        <v>2020</v>
      </c>
      <c r="D5034" s="13">
        <v>31250</v>
      </c>
      <c r="E5034" s="13">
        <v>78.949700000000007</v>
      </c>
      <c r="F5034" s="13">
        <f t="shared" si="239"/>
        <v>395.82164340079817</v>
      </c>
      <c r="G5034" s="13">
        <v>10667</v>
      </c>
      <c r="H5034" s="13">
        <v>28.3062</v>
      </c>
      <c r="I5034" s="13">
        <f t="shared" si="236"/>
        <v>376.84323575753723</v>
      </c>
    </row>
    <row r="5035" spans="1:9" ht="12.75" x14ac:dyDescent="0.2">
      <c r="A5035" s="10">
        <v>44104</v>
      </c>
      <c r="B5035" s="12">
        <f t="shared" si="237"/>
        <v>9</v>
      </c>
      <c r="C5035" s="12">
        <f t="shared" si="238"/>
        <v>2020</v>
      </c>
      <c r="D5035" s="13">
        <v>31250</v>
      </c>
      <c r="E5035" s="13">
        <v>77.527500000000003</v>
      </c>
      <c r="F5035" s="13">
        <f t="shared" si="239"/>
        <v>403.08277707910094</v>
      </c>
      <c r="G5035" s="13">
        <v>11000</v>
      </c>
      <c r="H5035" s="13">
        <v>28.2989</v>
      </c>
      <c r="I5035" s="13">
        <f t="shared" si="236"/>
        <v>388.70768828470364</v>
      </c>
    </row>
    <row r="5036" spans="1:9" ht="12.75" x14ac:dyDescent="0.2">
      <c r="A5036" s="10">
        <v>44105</v>
      </c>
      <c r="B5036" s="12">
        <f t="shared" si="237"/>
        <v>10</v>
      </c>
      <c r="C5036" s="12">
        <f t="shared" si="238"/>
        <v>2020</v>
      </c>
      <c r="D5036" s="13">
        <v>31250</v>
      </c>
      <c r="E5036" s="13">
        <v>76.938800000000001</v>
      </c>
      <c r="F5036" s="13">
        <f t="shared" si="239"/>
        <v>406.16697946939644</v>
      </c>
      <c r="G5036" s="13">
        <v>11083</v>
      </c>
      <c r="H5036" s="13">
        <v>28.310500000000001</v>
      </c>
      <c r="I5036" s="13">
        <f t="shared" ref="I5036:I5099" si="240">IF(G5036="","",G5036/H5036)</f>
        <v>391.48019286130585</v>
      </c>
    </row>
    <row r="5037" spans="1:9" ht="12.75" x14ac:dyDescent="0.2">
      <c r="A5037" s="10">
        <v>44106</v>
      </c>
      <c r="B5037" s="12">
        <f t="shared" si="237"/>
        <v>10</v>
      </c>
      <c r="C5037" s="12">
        <f t="shared" si="238"/>
        <v>2020</v>
      </c>
      <c r="D5037" s="13">
        <v>31250</v>
      </c>
      <c r="E5037" s="13">
        <v>78.061000000000007</v>
      </c>
      <c r="F5037" s="13">
        <f t="shared" si="239"/>
        <v>400.32794865553859</v>
      </c>
      <c r="G5037" s="13">
        <v>10916</v>
      </c>
      <c r="H5037" s="13">
        <v>28.334299999999999</v>
      </c>
      <c r="I5037" s="13">
        <f t="shared" si="240"/>
        <v>385.25744415778757</v>
      </c>
    </row>
    <row r="5038" spans="1:9" ht="12.75" x14ac:dyDescent="0.2">
      <c r="A5038" s="10">
        <v>44109</v>
      </c>
      <c r="B5038" s="12">
        <f t="shared" si="237"/>
        <v>10</v>
      </c>
      <c r="C5038" s="12">
        <f t="shared" si="238"/>
        <v>2020</v>
      </c>
      <c r="D5038" s="13">
        <v>30250</v>
      </c>
      <c r="E5038" s="13">
        <v>78.064099999999996</v>
      </c>
      <c r="F5038" s="13">
        <f t="shared" si="239"/>
        <v>387.50206561018445</v>
      </c>
      <c r="G5038" s="13">
        <v>11000</v>
      </c>
      <c r="H5038" s="13">
        <v>28.340800000000002</v>
      </c>
      <c r="I5038" s="13">
        <f t="shared" si="240"/>
        <v>388.13300965392648</v>
      </c>
    </row>
    <row r="5039" spans="1:9" ht="12.75" x14ac:dyDescent="0.2">
      <c r="A5039" s="10">
        <v>44110</v>
      </c>
      <c r="B5039" s="12">
        <f t="shared" si="237"/>
        <v>10</v>
      </c>
      <c r="C5039" s="12">
        <f t="shared" si="238"/>
        <v>2020</v>
      </c>
      <c r="D5039" s="13">
        <v>30250</v>
      </c>
      <c r="E5039" s="13">
        <v>78.365399999999994</v>
      </c>
      <c r="F5039" s="13">
        <f t="shared" si="239"/>
        <v>386.01219415711529</v>
      </c>
      <c r="G5039" s="13">
        <v>11450</v>
      </c>
      <c r="H5039" s="13">
        <v>28.4009</v>
      </c>
      <c r="I5039" s="13">
        <f t="shared" si="240"/>
        <v>403.15623800654203</v>
      </c>
    </row>
    <row r="5040" spans="1:9" ht="12.75" x14ac:dyDescent="0.2">
      <c r="A5040" s="10">
        <v>44111</v>
      </c>
      <c r="B5040" s="12">
        <f t="shared" si="237"/>
        <v>10</v>
      </c>
      <c r="C5040" s="12">
        <f t="shared" si="238"/>
        <v>2020</v>
      </c>
      <c r="D5040" s="13">
        <v>30250</v>
      </c>
      <c r="E5040" s="13">
        <v>77.957499999999996</v>
      </c>
      <c r="F5040" s="13">
        <f t="shared" si="239"/>
        <v>388.03194048038995</v>
      </c>
      <c r="G5040" s="13">
        <v>11750</v>
      </c>
      <c r="H5040" s="13">
        <v>28.363900000000001</v>
      </c>
      <c r="I5040" s="13">
        <f t="shared" si="240"/>
        <v>414.25897002880419</v>
      </c>
    </row>
    <row r="5041" spans="1:9" ht="12.75" x14ac:dyDescent="0.2">
      <c r="A5041" s="10">
        <v>44112</v>
      </c>
      <c r="B5041" s="12">
        <f t="shared" si="237"/>
        <v>10</v>
      </c>
      <c r="C5041" s="12">
        <f t="shared" si="238"/>
        <v>2020</v>
      </c>
      <c r="D5041" s="13">
        <v>30250</v>
      </c>
      <c r="E5041" s="13">
        <v>77.223399999999998</v>
      </c>
      <c r="F5041" s="13">
        <f t="shared" si="239"/>
        <v>391.72064426067749</v>
      </c>
      <c r="G5041" s="13">
        <v>11840</v>
      </c>
      <c r="H5041" s="13">
        <v>28.324000000000002</v>
      </c>
      <c r="I5041" s="13">
        <f t="shared" si="240"/>
        <v>418.02005366473662</v>
      </c>
    </row>
    <row r="5042" spans="1:9" ht="12.75" x14ac:dyDescent="0.2">
      <c r="A5042" s="10">
        <v>44113</v>
      </c>
      <c r="B5042" s="12">
        <f t="shared" si="237"/>
        <v>10</v>
      </c>
      <c r="C5042" s="12">
        <f t="shared" si="238"/>
        <v>2020</v>
      </c>
      <c r="D5042" s="13">
        <v>30250</v>
      </c>
      <c r="E5042" s="13">
        <v>76.650000000000006</v>
      </c>
      <c r="F5042" s="13">
        <f t="shared" si="239"/>
        <v>394.65101108936722</v>
      </c>
      <c r="G5042" s="13">
        <v>11970</v>
      </c>
      <c r="H5042" s="13">
        <v>28.2836</v>
      </c>
      <c r="I5042" s="13">
        <f t="shared" si="240"/>
        <v>423.21345231865814</v>
      </c>
    </row>
    <row r="5043" spans="1:9" ht="12.75" x14ac:dyDescent="0.2">
      <c r="A5043" s="10">
        <v>44116</v>
      </c>
      <c r="B5043" s="12">
        <f t="shared" si="237"/>
        <v>10</v>
      </c>
      <c r="C5043" s="12">
        <f t="shared" si="238"/>
        <v>2020</v>
      </c>
      <c r="D5043" s="13">
        <v>31500</v>
      </c>
      <c r="E5043" s="13">
        <v>76.773600000000002</v>
      </c>
      <c r="F5043" s="13">
        <f t="shared" si="239"/>
        <v>410.29728969333206</v>
      </c>
      <c r="G5043" s="13">
        <v>11700</v>
      </c>
      <c r="H5043" s="13">
        <v>28.209800000000001</v>
      </c>
      <c r="I5043" s="13">
        <f t="shared" si="240"/>
        <v>414.74948422179523</v>
      </c>
    </row>
    <row r="5044" spans="1:9" ht="12.75" x14ac:dyDescent="0.2">
      <c r="A5044" s="10">
        <v>44117</v>
      </c>
      <c r="B5044" s="12">
        <f t="shared" si="237"/>
        <v>10</v>
      </c>
      <c r="C5044" s="12">
        <f t="shared" si="238"/>
        <v>2020</v>
      </c>
      <c r="D5044" s="13">
        <v>31500</v>
      </c>
      <c r="E5044" s="13">
        <v>76.89</v>
      </c>
      <c r="F5044" s="13">
        <f t="shared" si="239"/>
        <v>409.67616074912212</v>
      </c>
      <c r="G5044" s="13">
        <v>11700</v>
      </c>
      <c r="H5044" s="13">
        <v>28.248100000000001</v>
      </c>
      <c r="I5044" s="13">
        <f t="shared" si="240"/>
        <v>414.1871488701895</v>
      </c>
    </row>
    <row r="5045" spans="1:9" ht="12.75" x14ac:dyDescent="0.2">
      <c r="A5045" s="10">
        <v>44118</v>
      </c>
      <c r="B5045" s="12">
        <f t="shared" si="237"/>
        <v>10</v>
      </c>
      <c r="C5045" s="12">
        <f t="shared" si="238"/>
        <v>2020</v>
      </c>
      <c r="D5045" s="13">
        <v>31500</v>
      </c>
      <c r="E5045" s="13">
        <v>77.585999999999999</v>
      </c>
      <c r="F5045" s="13">
        <f t="shared" si="239"/>
        <v>406.0010826695538</v>
      </c>
      <c r="G5045" s="13">
        <v>12400</v>
      </c>
      <c r="H5045" s="13">
        <f>AVERAGE(H5046,H5044)</f>
        <v>28.282250000000001</v>
      </c>
      <c r="I5045" s="13">
        <f t="shared" si="240"/>
        <v>438.43753591033243</v>
      </c>
    </row>
    <row r="5046" spans="1:9" ht="12.75" x14ac:dyDescent="0.2">
      <c r="A5046" s="10">
        <v>44119</v>
      </c>
      <c r="B5046" s="12">
        <f t="shared" si="237"/>
        <v>10</v>
      </c>
      <c r="C5046" s="12">
        <f t="shared" si="238"/>
        <v>2020</v>
      </c>
      <c r="D5046" s="13">
        <v>31500</v>
      </c>
      <c r="E5046" s="13">
        <v>77.819999999999993</v>
      </c>
      <c r="F5046" s="13">
        <f t="shared" si="239"/>
        <v>404.78026214340792</v>
      </c>
      <c r="G5046" s="13">
        <v>12500</v>
      </c>
      <c r="H5046" s="13">
        <v>28.316400000000002</v>
      </c>
      <c r="I5046" s="13">
        <f t="shared" si="240"/>
        <v>441.44029608283535</v>
      </c>
    </row>
    <row r="5047" spans="1:9" ht="12.75" x14ac:dyDescent="0.2">
      <c r="A5047" s="10">
        <v>44120</v>
      </c>
      <c r="B5047" s="12">
        <f t="shared" si="237"/>
        <v>10</v>
      </c>
      <c r="C5047" s="12">
        <f t="shared" si="238"/>
        <v>2020</v>
      </c>
      <c r="D5047" s="13">
        <v>31500</v>
      </c>
      <c r="E5047" s="13">
        <v>77.738</v>
      </c>
      <c r="F5047" s="13">
        <f t="shared" si="239"/>
        <v>405.20723455710208</v>
      </c>
      <c r="G5047" s="13">
        <v>12750</v>
      </c>
      <c r="H5047" s="13">
        <v>28.336500000000001</v>
      </c>
      <c r="I5047" s="13">
        <f t="shared" si="240"/>
        <v>449.94971150283203</v>
      </c>
    </row>
    <row r="5048" spans="1:9" ht="12.75" x14ac:dyDescent="0.2">
      <c r="A5048" s="10">
        <v>44123</v>
      </c>
      <c r="B5048" s="12">
        <f t="shared" si="237"/>
        <v>10</v>
      </c>
      <c r="C5048" s="12">
        <f t="shared" si="238"/>
        <v>2020</v>
      </c>
      <c r="D5048" s="13">
        <v>32500</v>
      </c>
      <c r="E5048" s="13">
        <v>77.465999999999994</v>
      </c>
      <c r="F5048" s="13">
        <f t="shared" si="239"/>
        <v>419.53889448274083</v>
      </c>
      <c r="G5048" s="13">
        <v>12800</v>
      </c>
      <c r="H5048" s="13">
        <v>28.364899999999999</v>
      </c>
      <c r="I5048" s="13">
        <f t="shared" si="240"/>
        <v>451.26194698377219</v>
      </c>
    </row>
    <row r="5049" spans="1:9" ht="12.75" x14ac:dyDescent="0.2">
      <c r="A5049" s="10">
        <v>44124</v>
      </c>
      <c r="B5049" s="12">
        <f t="shared" si="237"/>
        <v>10</v>
      </c>
      <c r="C5049" s="12">
        <f t="shared" si="238"/>
        <v>2020</v>
      </c>
      <c r="D5049" s="13">
        <v>32500</v>
      </c>
      <c r="E5049" s="13">
        <v>77.141999999999996</v>
      </c>
      <c r="F5049" s="13">
        <f t="shared" si="239"/>
        <v>421.30097741826762</v>
      </c>
      <c r="G5049" s="13">
        <v>12750</v>
      </c>
      <c r="H5049" s="13">
        <v>28.376200000000001</v>
      </c>
      <c r="I5049" s="13">
        <f t="shared" si="240"/>
        <v>449.32020496049506</v>
      </c>
    </row>
    <row r="5050" spans="1:9" ht="12.75" x14ac:dyDescent="0.2">
      <c r="A5050" s="10">
        <v>44125</v>
      </c>
      <c r="B5050" s="12">
        <f t="shared" si="237"/>
        <v>10</v>
      </c>
      <c r="C5050" s="12">
        <f t="shared" si="238"/>
        <v>2020</v>
      </c>
      <c r="D5050" s="13">
        <v>32500</v>
      </c>
      <c r="E5050" s="13">
        <v>76.581299999999999</v>
      </c>
      <c r="F5050" s="13">
        <f t="shared" si="239"/>
        <v>424.38558760428458</v>
      </c>
      <c r="G5050" s="13">
        <v>12750</v>
      </c>
      <c r="H5050" s="13">
        <v>28.370699999999999</v>
      </c>
      <c r="I5050" s="13">
        <f t="shared" si="240"/>
        <v>449.40731106387932</v>
      </c>
    </row>
    <row r="5051" spans="1:9" ht="12.75" x14ac:dyDescent="0.2">
      <c r="A5051" s="10">
        <v>44126</v>
      </c>
      <c r="B5051" s="12">
        <f t="shared" si="237"/>
        <v>10</v>
      </c>
      <c r="C5051" s="12">
        <f t="shared" si="238"/>
        <v>2020</v>
      </c>
      <c r="D5051" s="13">
        <v>32500</v>
      </c>
      <c r="E5051" s="13">
        <v>76.383700000000005</v>
      </c>
      <c r="F5051" s="13">
        <f t="shared" si="239"/>
        <v>425.4834473847169</v>
      </c>
      <c r="G5051" s="13">
        <v>12850</v>
      </c>
      <c r="H5051" s="13">
        <v>28.273700000000002</v>
      </c>
      <c r="I5051" s="13">
        <f t="shared" si="240"/>
        <v>454.48597106144575</v>
      </c>
    </row>
    <row r="5052" spans="1:9" ht="12.75" x14ac:dyDescent="0.2">
      <c r="A5052" s="10">
        <v>44127</v>
      </c>
      <c r="B5052" s="12">
        <f t="shared" si="237"/>
        <v>10</v>
      </c>
      <c r="C5052" s="12">
        <f t="shared" si="238"/>
        <v>2020</v>
      </c>
      <c r="D5052" s="13">
        <v>32500</v>
      </c>
      <c r="E5052" s="13">
        <v>76.099999999999994</v>
      </c>
      <c r="F5052" s="13">
        <f t="shared" si="239"/>
        <v>427.06964520367939</v>
      </c>
      <c r="G5052" s="13">
        <v>13000</v>
      </c>
      <c r="H5052" s="13">
        <v>28.265000000000001</v>
      </c>
      <c r="I5052" s="13">
        <f t="shared" si="240"/>
        <v>459.93277905536883</v>
      </c>
    </row>
    <row r="5053" spans="1:9" ht="12.75" x14ac:dyDescent="0.2">
      <c r="A5053" s="10">
        <v>44130</v>
      </c>
      <c r="B5053" s="12">
        <f t="shared" si="237"/>
        <v>10</v>
      </c>
      <c r="C5053" s="12">
        <f t="shared" si="238"/>
        <v>2020</v>
      </c>
      <c r="D5053" s="13">
        <v>32000</v>
      </c>
      <c r="E5053" s="13">
        <v>76.267499999999998</v>
      </c>
      <c r="F5053" s="13">
        <f t="shared" si="239"/>
        <v>419.57583505424986</v>
      </c>
      <c r="G5053" s="13">
        <v>13000</v>
      </c>
      <c r="H5053" s="13">
        <v>28.2911</v>
      </c>
      <c r="I5053" s="13">
        <f t="shared" si="240"/>
        <v>459.50846732718065</v>
      </c>
    </row>
    <row r="5054" spans="1:9" ht="12.75" x14ac:dyDescent="0.2">
      <c r="A5054" s="10">
        <v>44131</v>
      </c>
      <c r="B5054" s="12">
        <f t="shared" si="237"/>
        <v>10</v>
      </c>
      <c r="C5054" s="12">
        <f t="shared" si="238"/>
        <v>2020</v>
      </c>
      <c r="D5054" s="13">
        <v>32000</v>
      </c>
      <c r="E5054" s="13">
        <v>77.054699999999997</v>
      </c>
      <c r="F5054" s="13">
        <f t="shared" si="239"/>
        <v>415.28939831055084</v>
      </c>
      <c r="G5054" s="13">
        <v>13000</v>
      </c>
      <c r="H5054" s="13">
        <v>28.3352</v>
      </c>
      <c r="I5054" s="13">
        <f t="shared" si="240"/>
        <v>458.79330302944749</v>
      </c>
    </row>
    <row r="5055" spans="1:9" ht="12.75" x14ac:dyDescent="0.2">
      <c r="A5055" s="10">
        <v>44132</v>
      </c>
      <c r="B5055" s="12">
        <f t="shared" si="237"/>
        <v>10</v>
      </c>
      <c r="C5055" s="12">
        <f t="shared" si="238"/>
        <v>2020</v>
      </c>
      <c r="D5055" s="13">
        <v>32000</v>
      </c>
      <c r="E5055" s="13">
        <v>78.896799999999999</v>
      </c>
      <c r="F5055" s="13">
        <f t="shared" si="239"/>
        <v>405.5931292523905</v>
      </c>
      <c r="G5055" s="13">
        <v>13300</v>
      </c>
      <c r="H5055" s="13">
        <v>28.365500000000001</v>
      </c>
      <c r="I5055" s="13">
        <f t="shared" si="240"/>
        <v>468.87944862597169</v>
      </c>
    </row>
    <row r="5056" spans="1:9" ht="12.75" x14ac:dyDescent="0.2">
      <c r="A5056" s="10">
        <v>44133</v>
      </c>
      <c r="B5056" s="12">
        <f t="shared" si="237"/>
        <v>10</v>
      </c>
      <c r="C5056" s="12">
        <f t="shared" si="238"/>
        <v>2020</v>
      </c>
      <c r="D5056" s="13">
        <v>32000</v>
      </c>
      <c r="E5056" s="13">
        <v>78.762</v>
      </c>
      <c r="F5056" s="13">
        <f t="shared" si="239"/>
        <v>406.28729590411621</v>
      </c>
      <c r="G5056" s="13">
        <v>13400</v>
      </c>
      <c r="H5056" s="13">
        <v>28.398900000000001</v>
      </c>
      <c r="I5056" s="13">
        <f t="shared" si="240"/>
        <v>471.84926176718108</v>
      </c>
    </row>
    <row r="5057" spans="1:9" ht="12.75" x14ac:dyDescent="0.2">
      <c r="A5057" s="10">
        <v>44134</v>
      </c>
      <c r="B5057" s="12">
        <f t="shared" si="237"/>
        <v>10</v>
      </c>
      <c r="C5057" s="12">
        <f t="shared" si="238"/>
        <v>2020</v>
      </c>
      <c r="D5057" s="13">
        <v>32000</v>
      </c>
      <c r="E5057" s="13">
        <v>79.353999999999999</v>
      </c>
      <c r="F5057" s="13">
        <f t="shared" si="239"/>
        <v>403.25629457872321</v>
      </c>
      <c r="G5057" s="13">
        <v>13400</v>
      </c>
      <c r="H5057" s="13">
        <v>28.438300000000002</v>
      </c>
      <c r="I5057" s="13">
        <f t="shared" si="240"/>
        <v>471.19553559811942</v>
      </c>
    </row>
    <row r="5058" spans="1:9" ht="12.75" x14ac:dyDescent="0.2">
      <c r="A5058" s="10">
        <v>44137</v>
      </c>
      <c r="B5058" s="12">
        <f t="shared" si="237"/>
        <v>11</v>
      </c>
      <c r="C5058" s="12">
        <f t="shared" si="238"/>
        <v>2020</v>
      </c>
      <c r="D5058" s="13">
        <v>34000</v>
      </c>
      <c r="E5058" s="13">
        <v>80.3523</v>
      </c>
      <c r="F5058" s="13">
        <f t="shared" si="239"/>
        <v>423.13661214426969</v>
      </c>
      <c r="G5058" s="13">
        <v>14500</v>
      </c>
      <c r="H5058" s="13">
        <v>28.450700000000001</v>
      </c>
      <c r="I5058" s="13">
        <f t="shared" si="240"/>
        <v>509.65354103765458</v>
      </c>
    </row>
    <row r="5059" spans="1:9" ht="12.75" x14ac:dyDescent="0.2">
      <c r="A5059" s="10">
        <v>44138</v>
      </c>
      <c r="B5059" s="12">
        <f t="shared" si="237"/>
        <v>11</v>
      </c>
      <c r="C5059" s="12">
        <f t="shared" si="238"/>
        <v>2020</v>
      </c>
      <c r="D5059" s="13">
        <v>34000</v>
      </c>
      <c r="E5059" s="13">
        <v>79.031000000000006</v>
      </c>
      <c r="F5059" s="13">
        <f t="shared" si="239"/>
        <v>430.21092988827166</v>
      </c>
      <c r="G5059" s="13">
        <v>14500</v>
      </c>
      <c r="H5059" s="13">
        <v>28.582699999999999</v>
      </c>
      <c r="I5059" s="13">
        <f t="shared" si="240"/>
        <v>507.29987020120564</v>
      </c>
    </row>
    <row r="5060" spans="1:9" ht="12.75" x14ac:dyDescent="0.2">
      <c r="A5060" s="10">
        <v>44139</v>
      </c>
      <c r="B5060" s="12">
        <f t="shared" si="237"/>
        <v>11</v>
      </c>
      <c r="C5060" s="12">
        <f t="shared" si="238"/>
        <v>2020</v>
      </c>
      <c r="D5060" s="13">
        <v>34000</v>
      </c>
      <c r="E5060" s="13">
        <v>77.4572</v>
      </c>
      <c r="F5060" s="13">
        <f t="shared" si="239"/>
        <v>438.95209225223738</v>
      </c>
      <c r="G5060" s="13">
        <v>14500</v>
      </c>
      <c r="H5060" s="13">
        <v>28.6</v>
      </c>
      <c r="I5060" s="13">
        <f t="shared" si="240"/>
        <v>506.99300699300699</v>
      </c>
    </row>
    <row r="5061" spans="1:9" ht="12.75" x14ac:dyDescent="0.2">
      <c r="A5061" s="10">
        <v>44140</v>
      </c>
      <c r="B5061" s="12">
        <f t="shared" si="237"/>
        <v>11</v>
      </c>
      <c r="C5061" s="12">
        <f t="shared" si="238"/>
        <v>2020</v>
      </c>
      <c r="D5061" s="13">
        <v>34000</v>
      </c>
      <c r="E5061" s="13">
        <v>76.715000000000003</v>
      </c>
      <c r="F5061" s="13">
        <f t="shared" si="239"/>
        <v>443.19885289708662</v>
      </c>
      <c r="G5061" s="13">
        <v>14500</v>
      </c>
      <c r="H5061" s="13">
        <v>28.507400000000001</v>
      </c>
      <c r="I5061" s="13">
        <f t="shared" si="240"/>
        <v>508.63986193058645</v>
      </c>
    </row>
    <row r="5062" spans="1:9" ht="12.75" x14ac:dyDescent="0.2">
      <c r="A5062" s="10">
        <v>44141</v>
      </c>
      <c r="B5062" s="12">
        <f t="shared" ref="B5062:B5126" si="241">MONTH(A5062)</f>
        <v>11</v>
      </c>
      <c r="C5062" s="12">
        <f t="shared" ref="C5062:C5126" si="242">YEAR(A5062)</f>
        <v>2020</v>
      </c>
      <c r="D5062" s="13">
        <v>34000</v>
      </c>
      <c r="E5062" s="13">
        <v>77.218999999999994</v>
      </c>
      <c r="F5062" s="13">
        <f t="shared" ref="F5062:F5126" si="243">IF(D5062="","",D5062/E5062)</f>
        <v>440.30614227068469</v>
      </c>
      <c r="G5062" s="13">
        <v>14750</v>
      </c>
      <c r="H5062" s="13">
        <v>28.3643</v>
      </c>
      <c r="I5062" s="13">
        <f t="shared" si="240"/>
        <v>520.01988415014648</v>
      </c>
    </row>
    <row r="5063" spans="1:9" ht="12.75" x14ac:dyDescent="0.2">
      <c r="A5063" s="10">
        <v>44144</v>
      </c>
      <c r="B5063" s="12">
        <f t="shared" si="241"/>
        <v>11</v>
      </c>
      <c r="C5063" s="12">
        <f t="shared" si="242"/>
        <v>2020</v>
      </c>
      <c r="D5063" s="13">
        <v>35750</v>
      </c>
      <c r="E5063" s="13">
        <v>76.269000000000005</v>
      </c>
      <c r="F5063" s="13">
        <f t="shared" si="243"/>
        <v>468.73565931112245</v>
      </c>
      <c r="G5063" s="13">
        <v>15250</v>
      </c>
      <c r="H5063" s="13">
        <v>28.137499999999999</v>
      </c>
      <c r="I5063" s="13">
        <f t="shared" si="240"/>
        <v>541.98134162594408</v>
      </c>
    </row>
    <row r="5064" spans="1:9" ht="12.75" x14ac:dyDescent="0.2">
      <c r="A5064" s="10">
        <v>44145</v>
      </c>
      <c r="B5064" s="12">
        <f t="shared" si="241"/>
        <v>11</v>
      </c>
      <c r="C5064" s="12">
        <f t="shared" si="242"/>
        <v>2020</v>
      </c>
      <c r="D5064" s="13">
        <v>35750</v>
      </c>
      <c r="E5064" s="13">
        <v>76.382499999999993</v>
      </c>
      <c r="F5064" s="13">
        <f t="shared" si="243"/>
        <v>468.03914509213502</v>
      </c>
      <c r="G5064" s="13">
        <v>15250</v>
      </c>
      <c r="H5064" s="13">
        <v>28.111599999999999</v>
      </c>
      <c r="I5064" s="13">
        <f t="shared" si="240"/>
        <v>542.48068413039459</v>
      </c>
    </row>
    <row r="5065" spans="1:9" ht="12.75" x14ac:dyDescent="0.2">
      <c r="A5065" s="10">
        <v>44146</v>
      </c>
      <c r="B5065" s="12">
        <f t="shared" si="241"/>
        <v>11</v>
      </c>
      <c r="C5065" s="12">
        <f t="shared" si="242"/>
        <v>2020</v>
      </c>
      <c r="D5065" s="13">
        <v>35750</v>
      </c>
      <c r="E5065" s="13">
        <v>77.010000000000005</v>
      </c>
      <c r="F5065" s="13">
        <f t="shared" si="243"/>
        <v>464.22542526944551</v>
      </c>
      <c r="G5065" s="13">
        <v>15250</v>
      </c>
      <c r="H5065" s="13">
        <v>28.1206</v>
      </c>
      <c r="I5065" s="13">
        <f t="shared" si="240"/>
        <v>542.30706314943495</v>
      </c>
    </row>
    <row r="5066" spans="1:9" ht="12.75" x14ac:dyDescent="0.2">
      <c r="A5066" s="10">
        <v>44147</v>
      </c>
      <c r="B5066" s="12">
        <f t="shared" si="241"/>
        <v>11</v>
      </c>
      <c r="C5066" s="12">
        <f t="shared" si="242"/>
        <v>2020</v>
      </c>
      <c r="D5066" s="13">
        <v>35750</v>
      </c>
      <c r="E5066" s="13">
        <v>77.085999999999999</v>
      </c>
      <c r="F5066" s="13">
        <f t="shared" si="243"/>
        <v>463.76773992683496</v>
      </c>
      <c r="G5066" s="13">
        <v>15250</v>
      </c>
      <c r="H5066" s="13">
        <v>28.161000000000001</v>
      </c>
      <c r="I5066" s="13">
        <f t="shared" si="240"/>
        <v>541.52906501899793</v>
      </c>
    </row>
    <row r="5067" spans="1:9" ht="12.75" x14ac:dyDescent="0.2">
      <c r="A5067" s="10">
        <v>44148</v>
      </c>
      <c r="B5067" s="12">
        <f t="shared" si="241"/>
        <v>11</v>
      </c>
      <c r="C5067" s="12">
        <f t="shared" si="242"/>
        <v>2020</v>
      </c>
      <c r="D5067" s="13">
        <v>35750</v>
      </c>
      <c r="E5067" s="13">
        <v>77.150999999999996</v>
      </c>
      <c r="F5067" s="13">
        <f t="shared" si="243"/>
        <v>463.37701390779125</v>
      </c>
      <c r="G5067" s="13">
        <v>15250</v>
      </c>
      <c r="H5067" s="13">
        <v>28.196300000000001</v>
      </c>
      <c r="I5067" s="13">
        <f t="shared" si="240"/>
        <v>540.85110457755093</v>
      </c>
    </row>
    <row r="5068" spans="1:9" ht="12.75" x14ac:dyDescent="0.2">
      <c r="A5068" s="10">
        <v>44151</v>
      </c>
      <c r="B5068" s="12">
        <f t="shared" si="241"/>
        <v>11</v>
      </c>
      <c r="C5068" s="12">
        <f t="shared" si="242"/>
        <v>2020</v>
      </c>
      <c r="D5068" s="13">
        <v>38500</v>
      </c>
      <c r="E5068" s="13">
        <v>76.105800000000002</v>
      </c>
      <c r="F5068" s="13">
        <f t="shared" si="243"/>
        <v>505.8747165130647</v>
      </c>
      <c r="G5068" s="13">
        <v>15250</v>
      </c>
      <c r="H5068" s="13">
        <v>28.1158</v>
      </c>
      <c r="I5068" s="13">
        <f t="shared" si="240"/>
        <v>542.39964717347539</v>
      </c>
    </row>
    <row r="5069" spans="1:9" ht="12.75" x14ac:dyDescent="0.2">
      <c r="A5069" s="10">
        <v>44152</v>
      </c>
      <c r="B5069" s="12">
        <f t="shared" si="241"/>
        <v>11</v>
      </c>
      <c r="C5069" s="12">
        <f t="shared" si="242"/>
        <v>2020</v>
      </c>
      <c r="D5069" s="13">
        <v>38500</v>
      </c>
      <c r="E5069" s="13">
        <v>76.159000000000006</v>
      </c>
      <c r="F5069" s="13">
        <f t="shared" si="243"/>
        <v>505.52134350503547</v>
      </c>
      <c r="G5069" s="13">
        <v>15250</v>
      </c>
      <c r="H5069" s="13">
        <v>28.111999999999998</v>
      </c>
      <c r="I5069" s="13">
        <f t="shared" si="240"/>
        <v>542.47296528173024</v>
      </c>
    </row>
    <row r="5070" spans="1:9" ht="12.75" x14ac:dyDescent="0.2">
      <c r="A5070" s="10">
        <v>44153</v>
      </c>
      <c r="B5070" s="12">
        <f t="shared" si="241"/>
        <v>11</v>
      </c>
      <c r="C5070" s="12">
        <f t="shared" si="242"/>
        <v>2020</v>
      </c>
      <c r="D5070" s="13">
        <v>38500</v>
      </c>
      <c r="E5070" s="13">
        <v>75.849299999999999</v>
      </c>
      <c r="F5070" s="13">
        <f t="shared" si="243"/>
        <v>507.58543585768098</v>
      </c>
      <c r="G5070" s="13">
        <v>15750</v>
      </c>
      <c r="H5070" s="13">
        <v>28.1067</v>
      </c>
      <c r="I5070" s="13">
        <f t="shared" si="240"/>
        <v>560.36461057327972</v>
      </c>
    </row>
    <row r="5071" spans="1:9" ht="12.75" x14ac:dyDescent="0.2">
      <c r="A5071" s="10">
        <v>44154</v>
      </c>
      <c r="B5071" s="12">
        <f t="shared" si="241"/>
        <v>11</v>
      </c>
      <c r="C5071" s="12">
        <f t="shared" si="242"/>
        <v>2020</v>
      </c>
      <c r="D5071" s="13">
        <v>38500</v>
      </c>
      <c r="E5071" s="13">
        <v>76.06</v>
      </c>
      <c r="F5071" s="13">
        <f t="shared" si="243"/>
        <v>506.17933210623193</v>
      </c>
      <c r="G5071" s="13">
        <v>16250</v>
      </c>
      <c r="H5071" s="13">
        <v>28.13</v>
      </c>
      <c r="I5071" s="13">
        <f t="shared" si="240"/>
        <v>577.67507998578037</v>
      </c>
    </row>
    <row r="5072" spans="1:9" ht="12.75" x14ac:dyDescent="0.2">
      <c r="A5072" s="10">
        <v>44155</v>
      </c>
      <c r="B5072" s="12">
        <f t="shared" si="241"/>
        <v>11</v>
      </c>
      <c r="C5072" s="12">
        <f t="shared" si="242"/>
        <v>2020</v>
      </c>
      <c r="D5072" s="13">
        <v>38500</v>
      </c>
      <c r="E5072" s="13">
        <v>76.05</v>
      </c>
      <c r="F5072" s="13">
        <f t="shared" si="243"/>
        <v>506.24589086127548</v>
      </c>
      <c r="G5072" s="13">
        <v>16250</v>
      </c>
      <c r="H5072" s="13">
        <v>28.257200000000001</v>
      </c>
      <c r="I5072" s="13">
        <f t="shared" si="240"/>
        <v>575.07467123423407</v>
      </c>
    </row>
    <row r="5073" spans="1:9" ht="12.75" x14ac:dyDescent="0.2">
      <c r="A5073" s="10">
        <v>44158</v>
      </c>
      <c r="B5073" s="12">
        <f t="shared" si="241"/>
        <v>11</v>
      </c>
      <c r="C5073" s="12">
        <f t="shared" si="242"/>
        <v>2020</v>
      </c>
      <c r="D5073" s="13">
        <v>39750</v>
      </c>
      <c r="E5073" s="13">
        <v>76.045000000000002</v>
      </c>
      <c r="F5073" s="13">
        <f t="shared" si="243"/>
        <v>522.71681241370243</v>
      </c>
      <c r="G5073" s="13">
        <v>15750</v>
      </c>
      <c r="H5073" s="13">
        <v>28.3553</v>
      </c>
      <c r="I5073" s="13">
        <f t="shared" si="240"/>
        <v>555.4517144942921</v>
      </c>
    </row>
    <row r="5074" spans="1:9" ht="12.75" x14ac:dyDescent="0.2">
      <c r="A5074" s="10">
        <v>44159</v>
      </c>
      <c r="B5074" s="12">
        <f t="shared" si="241"/>
        <v>11</v>
      </c>
      <c r="C5074" s="12">
        <f t="shared" si="242"/>
        <v>2020</v>
      </c>
      <c r="D5074" s="13">
        <v>39750</v>
      </c>
      <c r="E5074" s="13">
        <v>75.385000000000005</v>
      </c>
      <c r="F5074" s="13">
        <f t="shared" si="243"/>
        <v>527.29322809577502</v>
      </c>
      <c r="G5074" s="13">
        <v>15750</v>
      </c>
      <c r="H5074" s="13">
        <v>28.369399999999999</v>
      </c>
      <c r="I5074" s="13">
        <f t="shared" si="240"/>
        <v>555.17564699993659</v>
      </c>
    </row>
    <row r="5075" spans="1:9" ht="12.75" x14ac:dyDescent="0.2">
      <c r="A5075" s="10">
        <v>44160</v>
      </c>
      <c r="B5075" s="12">
        <f t="shared" si="241"/>
        <v>11</v>
      </c>
      <c r="C5075" s="12">
        <f t="shared" si="242"/>
        <v>2020</v>
      </c>
      <c r="D5075" s="13">
        <v>39750</v>
      </c>
      <c r="E5075" s="13">
        <v>75.460999999999999</v>
      </c>
      <c r="F5075" s="13">
        <f t="shared" si="243"/>
        <v>526.76216853739015</v>
      </c>
      <c r="G5075" s="13">
        <v>15750</v>
      </c>
      <c r="H5075" s="13">
        <v>28.374099999999999</v>
      </c>
      <c r="I5075" s="13">
        <f t="shared" si="240"/>
        <v>555.08368547372436</v>
      </c>
    </row>
    <row r="5076" spans="1:9" ht="12.75" x14ac:dyDescent="0.2">
      <c r="A5076" s="10">
        <v>44161</v>
      </c>
      <c r="B5076" s="12">
        <f t="shared" si="241"/>
        <v>11</v>
      </c>
      <c r="C5076" s="12">
        <f t="shared" si="242"/>
        <v>2020</v>
      </c>
      <c r="D5076" s="13">
        <v>39750</v>
      </c>
      <c r="E5076" s="13">
        <v>75.597700000000003</v>
      </c>
      <c r="F5076" s="13">
        <f t="shared" si="243"/>
        <v>525.80964764801047</v>
      </c>
      <c r="G5076" s="13">
        <v>15750</v>
      </c>
      <c r="H5076" s="13">
        <v>28.381599999999999</v>
      </c>
      <c r="I5076" s="13">
        <f t="shared" si="240"/>
        <v>554.93700143755109</v>
      </c>
    </row>
    <row r="5077" spans="1:9" ht="12.75" x14ac:dyDescent="0.2">
      <c r="A5077" s="10">
        <v>44162</v>
      </c>
      <c r="B5077" s="12">
        <f t="shared" si="241"/>
        <v>11</v>
      </c>
      <c r="C5077" s="12">
        <f t="shared" si="242"/>
        <v>2020</v>
      </c>
      <c r="D5077" s="13">
        <v>39750</v>
      </c>
      <c r="E5077" s="13">
        <v>75.805000000000007</v>
      </c>
      <c r="F5077" s="13">
        <f t="shared" si="243"/>
        <v>524.37174328870128</v>
      </c>
      <c r="G5077" s="13">
        <v>16250</v>
      </c>
      <c r="H5077" s="13">
        <v>28.442799999999998</v>
      </c>
      <c r="I5077" s="13">
        <f t="shared" si="240"/>
        <v>571.3220920584472</v>
      </c>
    </row>
    <row r="5078" spans="1:9" ht="12.75" x14ac:dyDescent="0.2">
      <c r="A5078" s="10">
        <v>44165</v>
      </c>
      <c r="B5078" s="12">
        <f t="shared" si="241"/>
        <v>11</v>
      </c>
      <c r="C5078" s="12">
        <f t="shared" si="242"/>
        <v>2020</v>
      </c>
      <c r="D5078" s="13">
        <v>40500</v>
      </c>
      <c r="E5078" s="13">
        <v>76.328199999999995</v>
      </c>
      <c r="F5078" s="13">
        <f t="shared" si="243"/>
        <v>530.6033680867622</v>
      </c>
      <c r="G5078" s="13">
        <v>16250</v>
      </c>
      <c r="H5078" s="13">
        <v>28.4681</v>
      </c>
      <c r="I5078" s="13">
        <f t="shared" si="240"/>
        <v>570.81435009712629</v>
      </c>
    </row>
    <row r="5079" spans="1:9" ht="12.75" x14ac:dyDescent="0.2">
      <c r="A5079" s="10">
        <v>44166</v>
      </c>
      <c r="B5079" s="12">
        <f t="shared" si="241"/>
        <v>12</v>
      </c>
      <c r="C5079" s="12">
        <f t="shared" si="242"/>
        <v>2020</v>
      </c>
      <c r="D5079" s="13">
        <v>40500</v>
      </c>
      <c r="E5079" s="13">
        <v>75.764700000000005</v>
      </c>
      <c r="F5079" s="13">
        <f t="shared" si="243"/>
        <v>534.54973094330205</v>
      </c>
      <c r="G5079" s="13">
        <v>16250</v>
      </c>
      <c r="H5079" s="13">
        <v>28.496200000000002</v>
      </c>
      <c r="I5079" s="13">
        <f t="shared" si="240"/>
        <v>570.25147212610796</v>
      </c>
    </row>
    <row r="5080" spans="1:9" ht="12.75" x14ac:dyDescent="0.2">
      <c r="A5080" s="10">
        <v>44167</v>
      </c>
      <c r="B5080" s="12">
        <f t="shared" si="241"/>
        <v>12</v>
      </c>
      <c r="C5080" s="12">
        <f t="shared" si="242"/>
        <v>2020</v>
      </c>
      <c r="D5080" s="13">
        <v>40500</v>
      </c>
      <c r="E5080" s="13">
        <v>74.962500000000006</v>
      </c>
      <c r="F5080" s="13">
        <f t="shared" si="243"/>
        <v>540.27013506753372</v>
      </c>
      <c r="G5080" s="13">
        <v>16250</v>
      </c>
      <c r="H5080" s="13">
        <v>28.558299999999999</v>
      </c>
      <c r="I5080" s="13">
        <f t="shared" si="240"/>
        <v>569.01146076622206</v>
      </c>
    </row>
    <row r="5081" spans="1:9" ht="12.75" x14ac:dyDescent="0.2">
      <c r="A5081" s="10">
        <v>44168</v>
      </c>
      <c r="B5081" s="12">
        <f t="shared" si="241"/>
        <v>12</v>
      </c>
      <c r="C5081" s="12">
        <f t="shared" si="242"/>
        <v>2020</v>
      </c>
      <c r="D5081" s="13">
        <v>40500</v>
      </c>
      <c r="E5081" s="13">
        <v>74.257499999999993</v>
      </c>
      <c r="F5081" s="13">
        <f t="shared" si="243"/>
        <v>545.39945460054548</v>
      </c>
      <c r="G5081" s="13">
        <v>16250</v>
      </c>
      <c r="H5081" s="13">
        <v>28.436699999999998</v>
      </c>
      <c r="I5081" s="13">
        <f t="shared" si="240"/>
        <v>571.44464723403212</v>
      </c>
    </row>
    <row r="5082" spans="1:9" ht="12.75" x14ac:dyDescent="0.2">
      <c r="A5082" s="10">
        <v>44169</v>
      </c>
      <c r="B5082" s="12">
        <f t="shared" si="241"/>
        <v>12</v>
      </c>
      <c r="C5082" s="12">
        <f t="shared" si="242"/>
        <v>2020</v>
      </c>
      <c r="D5082" s="13">
        <v>40500</v>
      </c>
      <c r="E5082" s="13">
        <v>73.998000000000005</v>
      </c>
      <c r="F5082" s="13">
        <f t="shared" si="243"/>
        <v>547.31208951593283</v>
      </c>
      <c r="G5082" s="13">
        <v>16250</v>
      </c>
      <c r="H5082" s="13">
        <v>28.303799999999999</v>
      </c>
      <c r="I5082" s="13">
        <f t="shared" si="240"/>
        <v>574.12785562362649</v>
      </c>
    </row>
    <row r="5083" spans="1:9" ht="12.75" x14ac:dyDescent="0.2">
      <c r="A5083" s="10">
        <v>44172</v>
      </c>
      <c r="B5083" s="12">
        <f t="shared" si="241"/>
        <v>12</v>
      </c>
      <c r="C5083" s="12">
        <f t="shared" si="242"/>
        <v>2020</v>
      </c>
      <c r="D5083" s="13">
        <v>39500</v>
      </c>
      <c r="E5083" s="13">
        <v>73.642499999999998</v>
      </c>
      <c r="F5083" s="13">
        <f t="shared" si="243"/>
        <v>536.37505516515603</v>
      </c>
      <c r="G5083" s="13">
        <v>16000</v>
      </c>
      <c r="H5083" s="13">
        <v>28.2913</v>
      </c>
      <c r="I5083" s="13">
        <f t="shared" si="240"/>
        <v>565.5448848232495</v>
      </c>
    </row>
    <row r="5084" spans="1:9" ht="12.75" x14ac:dyDescent="0.2">
      <c r="A5084" s="10">
        <v>44173</v>
      </c>
      <c r="B5084" s="12">
        <f t="shared" si="241"/>
        <v>12</v>
      </c>
      <c r="C5084" s="12">
        <f t="shared" si="242"/>
        <v>2020</v>
      </c>
      <c r="D5084" s="13">
        <v>39500</v>
      </c>
      <c r="E5084" s="13">
        <v>73.331999999999994</v>
      </c>
      <c r="F5084" s="13">
        <f t="shared" si="243"/>
        <v>538.64615720285826</v>
      </c>
      <c r="G5084" s="13">
        <v>16000</v>
      </c>
      <c r="H5084" s="13">
        <v>28.2394</v>
      </c>
      <c r="I5084" s="13">
        <f t="shared" si="240"/>
        <v>566.58427586988387</v>
      </c>
    </row>
    <row r="5085" spans="1:9" ht="12.75" x14ac:dyDescent="0.2">
      <c r="A5085" s="10">
        <v>44174</v>
      </c>
      <c r="B5085" s="12">
        <f t="shared" si="241"/>
        <v>12</v>
      </c>
      <c r="C5085" s="12">
        <f t="shared" si="242"/>
        <v>2020</v>
      </c>
      <c r="D5085" s="13">
        <v>39500</v>
      </c>
      <c r="E5085" s="13">
        <v>73.573999999999998</v>
      </c>
      <c r="F5085" s="13">
        <f t="shared" si="243"/>
        <v>536.87443933998429</v>
      </c>
      <c r="G5085" s="13">
        <v>16000</v>
      </c>
      <c r="H5085" s="13">
        <v>28.082799999999999</v>
      </c>
      <c r="I5085" s="13">
        <f t="shared" si="240"/>
        <v>569.74375774495422</v>
      </c>
    </row>
    <row r="5086" spans="1:9" ht="12.75" x14ac:dyDescent="0.2">
      <c r="A5086" s="10">
        <v>44175</v>
      </c>
      <c r="B5086" s="12">
        <f t="shared" si="241"/>
        <v>12</v>
      </c>
      <c r="C5086" s="12">
        <f t="shared" si="242"/>
        <v>2020</v>
      </c>
      <c r="D5086" s="13">
        <v>39500</v>
      </c>
      <c r="E5086" s="13">
        <v>73</v>
      </c>
      <c r="F5086" s="13">
        <f t="shared" si="243"/>
        <v>541.09589041095887</v>
      </c>
      <c r="G5086" s="13">
        <v>16000</v>
      </c>
      <c r="H5086" s="13">
        <v>28.040600000000001</v>
      </c>
      <c r="I5086" s="13">
        <f t="shared" si="240"/>
        <v>570.60119968902234</v>
      </c>
    </row>
    <row r="5087" spans="1:9" ht="12.75" x14ac:dyDescent="0.2">
      <c r="A5087" s="10">
        <v>44176</v>
      </c>
      <c r="B5087" s="12">
        <f t="shared" si="241"/>
        <v>12</v>
      </c>
      <c r="C5087" s="12">
        <f t="shared" si="242"/>
        <v>2020</v>
      </c>
      <c r="D5087" s="13">
        <v>39500</v>
      </c>
      <c r="E5087" s="13">
        <v>72.903099999999995</v>
      </c>
      <c r="F5087" s="13">
        <f t="shared" si="243"/>
        <v>541.81509428268487</v>
      </c>
      <c r="G5087" s="13">
        <v>16000</v>
      </c>
      <c r="H5087" s="13">
        <v>28.074999999999999</v>
      </c>
      <c r="I5087" s="13">
        <f t="shared" si="240"/>
        <v>569.90204808548538</v>
      </c>
    </row>
    <row r="5088" spans="1:9" ht="12.75" x14ac:dyDescent="0.2">
      <c r="A5088" s="10">
        <v>44179</v>
      </c>
      <c r="B5088" s="12">
        <f t="shared" si="241"/>
        <v>12</v>
      </c>
      <c r="C5088" s="12">
        <f t="shared" si="242"/>
        <v>2020</v>
      </c>
      <c r="D5088" s="13">
        <v>34500</v>
      </c>
      <c r="E5088" s="13">
        <v>73.645600000000002</v>
      </c>
      <c r="F5088" s="13">
        <f t="shared" si="243"/>
        <v>468.45975862780665</v>
      </c>
      <c r="G5088" s="13">
        <v>16000</v>
      </c>
      <c r="H5088" s="13">
        <v>27.9666</v>
      </c>
      <c r="I5088" s="13">
        <f t="shared" si="240"/>
        <v>572.11101814307062</v>
      </c>
    </row>
    <row r="5089" spans="1:9" ht="12.75" x14ac:dyDescent="0.2">
      <c r="A5089" s="10">
        <v>44180</v>
      </c>
      <c r="B5089" s="12">
        <f t="shared" si="241"/>
        <v>12</v>
      </c>
      <c r="C5089" s="12">
        <f t="shared" si="242"/>
        <v>2020</v>
      </c>
      <c r="D5089" s="13">
        <v>34500</v>
      </c>
      <c r="E5089" s="13">
        <v>72.838099999999997</v>
      </c>
      <c r="F5089" s="13">
        <f t="shared" si="243"/>
        <v>473.65321171200242</v>
      </c>
      <c r="G5089" s="13">
        <v>16250</v>
      </c>
      <c r="H5089" s="13">
        <v>27.866099999999999</v>
      </c>
      <c r="I5089" s="13">
        <f t="shared" si="240"/>
        <v>583.1458295204568</v>
      </c>
    </row>
    <row r="5090" spans="1:9" ht="12.75" x14ac:dyDescent="0.2">
      <c r="A5090" s="10">
        <v>44181</v>
      </c>
      <c r="B5090" s="12">
        <f t="shared" si="241"/>
        <v>12</v>
      </c>
      <c r="C5090" s="12">
        <f t="shared" si="242"/>
        <v>2020</v>
      </c>
      <c r="D5090" s="13">
        <v>34500</v>
      </c>
      <c r="E5090" s="13">
        <v>73.166700000000006</v>
      </c>
      <c r="F5090" s="13">
        <f t="shared" si="243"/>
        <v>471.52598108155757</v>
      </c>
      <c r="G5090" s="13">
        <v>16250</v>
      </c>
      <c r="H5090" s="13">
        <v>27.759</v>
      </c>
      <c r="I5090" s="13">
        <f t="shared" si="240"/>
        <v>585.39572751179799</v>
      </c>
    </row>
    <row r="5091" spans="1:9" ht="12.75" x14ac:dyDescent="0.2">
      <c r="A5091" s="10">
        <v>44182</v>
      </c>
      <c r="B5091" s="12">
        <f t="shared" si="241"/>
        <v>12</v>
      </c>
      <c r="C5091" s="12">
        <f t="shared" si="242"/>
        <v>2020</v>
      </c>
      <c r="D5091" s="13">
        <v>34500</v>
      </c>
      <c r="E5091" s="13">
        <v>72.855000000000004</v>
      </c>
      <c r="F5091" s="13">
        <f t="shared" si="243"/>
        <v>473.54333950998557</v>
      </c>
      <c r="G5091" s="13">
        <v>16500</v>
      </c>
      <c r="H5091" s="13">
        <v>27.737300000000001</v>
      </c>
      <c r="I5091" s="13">
        <f t="shared" si="240"/>
        <v>594.8668399591885</v>
      </c>
    </row>
    <row r="5092" spans="1:9" ht="12.75" x14ac:dyDescent="0.2">
      <c r="A5092" s="10">
        <v>44183</v>
      </c>
      <c r="B5092" s="12">
        <f t="shared" si="241"/>
        <v>12</v>
      </c>
      <c r="C5092" s="12">
        <f t="shared" si="242"/>
        <v>2020</v>
      </c>
      <c r="D5092" s="13">
        <v>34500</v>
      </c>
      <c r="E5092" s="13">
        <v>73.16</v>
      </c>
      <c r="F5092" s="13">
        <f t="shared" si="243"/>
        <v>471.56916347731004</v>
      </c>
      <c r="G5092" s="13">
        <v>16500</v>
      </c>
      <c r="H5092" s="13">
        <v>27.8184</v>
      </c>
      <c r="I5092" s="13">
        <f t="shared" si="240"/>
        <v>593.13260288154606</v>
      </c>
    </row>
    <row r="5093" spans="1:9" ht="12.75" x14ac:dyDescent="0.2">
      <c r="A5093" s="10">
        <v>44186</v>
      </c>
      <c r="B5093" s="12">
        <f t="shared" si="241"/>
        <v>12</v>
      </c>
      <c r="C5093" s="12">
        <f t="shared" si="242"/>
        <v>2020</v>
      </c>
      <c r="D5093" s="13">
        <v>34000</v>
      </c>
      <c r="E5093" s="13">
        <v>74.558000000000007</v>
      </c>
      <c r="F5093" s="13">
        <f t="shared" si="243"/>
        <v>456.02081600901306</v>
      </c>
      <c r="G5093" s="13">
        <v>16500</v>
      </c>
      <c r="H5093" s="13">
        <v>27.827999999999999</v>
      </c>
      <c r="I5093" s="13">
        <f t="shared" si="240"/>
        <v>592.92798620094868</v>
      </c>
    </row>
    <row r="5094" spans="1:9" ht="12.75" x14ac:dyDescent="0.2">
      <c r="A5094" s="10">
        <v>44187</v>
      </c>
      <c r="B5094" s="12">
        <f t="shared" si="241"/>
        <v>12</v>
      </c>
      <c r="C5094" s="12">
        <f t="shared" si="242"/>
        <v>2020</v>
      </c>
      <c r="D5094" s="13">
        <v>34000</v>
      </c>
      <c r="E5094" s="13">
        <v>75.841999999999999</v>
      </c>
      <c r="F5094" s="13">
        <f t="shared" si="243"/>
        <v>448.30041401861769</v>
      </c>
      <c r="G5094" s="13">
        <v>16500</v>
      </c>
      <c r="H5094" s="13">
        <v>28.039100000000001</v>
      </c>
      <c r="I5094" s="13">
        <f t="shared" si="240"/>
        <v>588.46396638979138</v>
      </c>
    </row>
    <row r="5095" spans="1:9" ht="12.75" x14ac:dyDescent="0.2">
      <c r="A5095" s="10">
        <v>44188</v>
      </c>
      <c r="B5095" s="12">
        <f t="shared" si="241"/>
        <v>12</v>
      </c>
      <c r="C5095" s="12">
        <f t="shared" si="242"/>
        <v>2020</v>
      </c>
      <c r="D5095" s="13">
        <v>34000</v>
      </c>
      <c r="E5095" s="13">
        <v>74.893000000000001</v>
      </c>
      <c r="F5095" s="13">
        <f t="shared" si="243"/>
        <v>453.98101291175408</v>
      </c>
      <c r="G5095" s="13">
        <v>16500</v>
      </c>
      <c r="H5095" s="13">
        <v>28.251300000000001</v>
      </c>
      <c r="I5095" s="13">
        <f t="shared" si="240"/>
        <v>584.04392010279173</v>
      </c>
    </row>
    <row r="5096" spans="1:9" ht="12.75" x14ac:dyDescent="0.2">
      <c r="A5096" s="10">
        <v>44189</v>
      </c>
      <c r="B5096" s="12">
        <f t="shared" si="241"/>
        <v>12</v>
      </c>
      <c r="C5096" s="12">
        <f t="shared" si="242"/>
        <v>2020</v>
      </c>
      <c r="D5096" s="13">
        <v>34000</v>
      </c>
      <c r="E5096" s="13">
        <v>73.816000000000003</v>
      </c>
      <c r="F5096" s="13">
        <f t="shared" si="243"/>
        <v>460.60474693833316</v>
      </c>
      <c r="G5096" s="13">
        <v>16500</v>
      </c>
      <c r="H5096" s="13">
        <v>28.455100000000002</v>
      </c>
      <c r="I5096" s="13">
        <f t="shared" si="240"/>
        <v>579.86090366928943</v>
      </c>
    </row>
    <row r="5097" spans="1:9" ht="12.75" x14ac:dyDescent="0.2">
      <c r="A5097" s="10">
        <v>44190</v>
      </c>
      <c r="B5097" s="12">
        <f t="shared" si="241"/>
        <v>12</v>
      </c>
      <c r="C5097" s="12">
        <f t="shared" si="242"/>
        <v>2020</v>
      </c>
      <c r="D5097" s="13">
        <v>34000</v>
      </c>
      <c r="E5097" s="13">
        <v>74.010000000000005</v>
      </c>
      <c r="F5097" s="13">
        <f t="shared" si="243"/>
        <v>459.39737873260367</v>
      </c>
      <c r="H5097" s="13">
        <f>AVERAGE(H5098,H5096)</f>
        <v>28.404900000000001</v>
      </c>
      <c r="I5097" s="13" t="str">
        <f t="shared" si="240"/>
        <v/>
      </c>
    </row>
    <row r="5098" spans="1:9" ht="12.75" x14ac:dyDescent="0.2">
      <c r="A5098" s="10">
        <v>44193</v>
      </c>
      <c r="B5098" s="12">
        <f t="shared" si="241"/>
        <v>12</v>
      </c>
      <c r="C5098" s="12">
        <f t="shared" si="242"/>
        <v>2020</v>
      </c>
      <c r="E5098" s="13">
        <v>73.484300000000005</v>
      </c>
      <c r="F5098" s="13" t="str">
        <f t="shared" si="243"/>
        <v/>
      </c>
      <c r="H5098" s="13">
        <v>28.354700000000001</v>
      </c>
      <c r="I5098" s="13" t="str">
        <f t="shared" si="240"/>
        <v/>
      </c>
    </row>
    <row r="5099" spans="1:9" ht="12.75" x14ac:dyDescent="0.2">
      <c r="A5099" s="10">
        <v>44194</v>
      </c>
      <c r="B5099" s="12">
        <f t="shared" si="241"/>
        <v>12</v>
      </c>
      <c r="C5099" s="12">
        <f t="shared" si="242"/>
        <v>2020</v>
      </c>
      <c r="E5099" s="13">
        <v>73.861000000000004</v>
      </c>
      <c r="F5099" s="13" t="str">
        <f t="shared" si="243"/>
        <v/>
      </c>
      <c r="G5099" s="13">
        <v>16500</v>
      </c>
      <c r="H5099" s="13">
        <v>28.366800000000001</v>
      </c>
      <c r="I5099" s="13">
        <f t="shared" si="240"/>
        <v>581.66589111214512</v>
      </c>
    </row>
    <row r="5100" spans="1:9" ht="12.75" x14ac:dyDescent="0.2">
      <c r="A5100" s="10">
        <v>44195</v>
      </c>
      <c r="B5100" s="12">
        <f t="shared" si="241"/>
        <v>12</v>
      </c>
      <c r="C5100" s="12">
        <f t="shared" si="242"/>
        <v>2020</v>
      </c>
      <c r="E5100" s="13">
        <v>74.137600000000006</v>
      </c>
      <c r="F5100" s="13" t="str">
        <f t="shared" si="243"/>
        <v/>
      </c>
      <c r="G5100" s="13">
        <v>16500</v>
      </c>
      <c r="H5100" s="13">
        <v>28.2605</v>
      </c>
      <c r="I5100" s="13">
        <f t="shared" ref="I5100:I5163" si="244">IF(G5100="","",G5100/H5100)</f>
        <v>583.8537888572389</v>
      </c>
    </row>
    <row r="5101" spans="1:9" ht="12.75" x14ac:dyDescent="0.2">
      <c r="A5101" s="10">
        <v>44196</v>
      </c>
      <c r="B5101" s="12">
        <f t="shared" si="241"/>
        <v>12</v>
      </c>
      <c r="C5101" s="12">
        <f t="shared" si="242"/>
        <v>2020</v>
      </c>
      <c r="E5101" s="13">
        <v>73.790000000000006</v>
      </c>
      <c r="F5101" s="13" t="str">
        <f t="shared" si="243"/>
        <v/>
      </c>
      <c r="G5101" s="13">
        <v>16750</v>
      </c>
      <c r="H5101" s="13">
        <f>AVERAGE(H5102,H5100)</f>
        <v>28.26755</v>
      </c>
      <c r="I5101" s="13">
        <f t="shared" si="244"/>
        <v>592.5522374595605</v>
      </c>
    </row>
    <row r="5102" spans="1:9" ht="12.75" x14ac:dyDescent="0.2">
      <c r="A5102" s="10">
        <v>44200</v>
      </c>
      <c r="B5102" s="12">
        <f t="shared" si="241"/>
        <v>1</v>
      </c>
      <c r="C5102" s="12">
        <f t="shared" si="242"/>
        <v>2021</v>
      </c>
      <c r="E5102" s="13">
        <v>74.281000000000006</v>
      </c>
      <c r="F5102" s="13" t="str">
        <f t="shared" si="243"/>
        <v/>
      </c>
      <c r="G5102" s="13">
        <v>19850</v>
      </c>
      <c r="H5102" s="13">
        <v>28.2746</v>
      </c>
      <c r="I5102" s="13">
        <f t="shared" si="244"/>
        <v>702.04353023561782</v>
      </c>
    </row>
    <row r="5103" spans="1:9" ht="12.75" x14ac:dyDescent="0.2">
      <c r="A5103" s="10">
        <v>44201</v>
      </c>
      <c r="B5103" s="12"/>
      <c r="C5103" s="12"/>
      <c r="G5103" s="13">
        <v>19850</v>
      </c>
      <c r="H5103" s="13">
        <v>28.431000000000001</v>
      </c>
      <c r="I5103" s="13">
        <f t="shared" si="244"/>
        <v>698.18156237909318</v>
      </c>
    </row>
    <row r="5104" spans="1:9" ht="12.75" x14ac:dyDescent="0.2">
      <c r="A5104" s="10">
        <v>44202</v>
      </c>
      <c r="B5104" s="12">
        <f t="shared" si="241"/>
        <v>1</v>
      </c>
      <c r="C5104" s="12">
        <f t="shared" si="242"/>
        <v>2021</v>
      </c>
      <c r="E5104" s="13">
        <v>73.707499999999996</v>
      </c>
      <c r="F5104" s="13" t="str">
        <f t="shared" si="243"/>
        <v/>
      </c>
      <c r="G5104" s="13">
        <v>19850</v>
      </c>
      <c r="H5104" s="13">
        <v>28.402799999999999</v>
      </c>
      <c r="I5104" s="13">
        <f t="shared" si="244"/>
        <v>698.87475882659453</v>
      </c>
    </row>
    <row r="5105" spans="1:9" ht="12.75" x14ac:dyDescent="0.2">
      <c r="A5105" s="10">
        <v>44203</v>
      </c>
      <c r="B5105" s="12">
        <f t="shared" si="241"/>
        <v>1</v>
      </c>
      <c r="C5105" s="12">
        <f t="shared" si="242"/>
        <v>2021</v>
      </c>
      <c r="E5105" s="13">
        <v>74.438100000000006</v>
      </c>
      <c r="F5105" s="13" t="str">
        <f t="shared" si="243"/>
        <v/>
      </c>
      <c r="G5105" s="13">
        <v>19850</v>
      </c>
      <c r="H5105" s="13">
        <f>(H$5107-H$5104)/3+H5104</f>
        <v>28.363433333333333</v>
      </c>
      <c r="I5105" s="13">
        <f t="shared" si="244"/>
        <v>699.84475316222881</v>
      </c>
    </row>
    <row r="5106" spans="1:9" ht="12.75" x14ac:dyDescent="0.2">
      <c r="A5106" s="10">
        <v>44204</v>
      </c>
      <c r="B5106" s="12">
        <f t="shared" si="241"/>
        <v>1</v>
      </c>
      <c r="C5106" s="12">
        <f t="shared" si="242"/>
        <v>2021</v>
      </c>
      <c r="E5106" s="13">
        <v>73.814999999999998</v>
      </c>
      <c r="F5106" s="13" t="str">
        <f t="shared" si="243"/>
        <v/>
      </c>
      <c r="G5106" s="13">
        <v>20000</v>
      </c>
      <c r="H5106" s="13">
        <f>(H$5107-H$5104)/3+H5105</f>
        <v>28.324066666666667</v>
      </c>
      <c r="I5106" s="13">
        <f t="shared" si="244"/>
        <v>706.11329352423502</v>
      </c>
    </row>
    <row r="5107" spans="1:9" ht="12.75" x14ac:dyDescent="0.2">
      <c r="A5107" s="10">
        <v>44207</v>
      </c>
      <c r="B5107" s="12">
        <f t="shared" si="241"/>
        <v>1</v>
      </c>
      <c r="C5107" s="12">
        <f t="shared" si="242"/>
        <v>2021</v>
      </c>
      <c r="D5107" s="13">
        <v>37500</v>
      </c>
      <c r="E5107" s="13">
        <v>74.567099999999996</v>
      </c>
      <c r="F5107" s="13">
        <f t="shared" si="243"/>
        <v>502.90275470012915</v>
      </c>
      <c r="G5107" s="13">
        <v>21500</v>
      </c>
      <c r="H5107" s="13">
        <v>28.284700000000001</v>
      </c>
      <c r="I5107" s="13">
        <f t="shared" si="244"/>
        <v>760.12826722574391</v>
      </c>
    </row>
    <row r="5108" spans="1:9" ht="12.75" x14ac:dyDescent="0.2">
      <c r="A5108" s="10">
        <v>44208</v>
      </c>
      <c r="B5108" s="12">
        <f t="shared" si="241"/>
        <v>1</v>
      </c>
      <c r="C5108" s="12">
        <f t="shared" si="242"/>
        <v>2021</v>
      </c>
      <c r="D5108" s="13">
        <v>37500</v>
      </c>
      <c r="E5108" s="13">
        <v>73.446600000000004</v>
      </c>
      <c r="F5108" s="13">
        <f t="shared" si="243"/>
        <v>510.57503002181176</v>
      </c>
      <c r="G5108" s="13">
        <v>21500</v>
      </c>
      <c r="H5108" s="13">
        <v>28.203800000000001</v>
      </c>
      <c r="I5108" s="13">
        <f t="shared" si="244"/>
        <v>762.30862507889003</v>
      </c>
    </row>
    <row r="5109" spans="1:9" ht="12.75" x14ac:dyDescent="0.2">
      <c r="A5109" s="10">
        <v>44209</v>
      </c>
      <c r="B5109" s="12">
        <f t="shared" si="241"/>
        <v>1</v>
      </c>
      <c r="C5109" s="12">
        <f t="shared" si="242"/>
        <v>2021</v>
      </c>
      <c r="D5109" s="13">
        <v>37500</v>
      </c>
      <c r="E5109" s="13">
        <v>73.737499999999997</v>
      </c>
      <c r="F5109" s="13">
        <f t="shared" si="243"/>
        <v>508.56077301237502</v>
      </c>
      <c r="G5109" s="13">
        <v>21800</v>
      </c>
      <c r="H5109" s="13">
        <v>28.045999999999999</v>
      </c>
      <c r="I5109" s="13">
        <f t="shared" si="244"/>
        <v>777.29444484061901</v>
      </c>
    </row>
    <row r="5110" spans="1:9" ht="12.75" x14ac:dyDescent="0.2">
      <c r="A5110" s="10">
        <v>44210</v>
      </c>
      <c r="B5110" s="12">
        <f t="shared" si="241"/>
        <v>1</v>
      </c>
      <c r="C5110" s="12">
        <f t="shared" si="242"/>
        <v>2021</v>
      </c>
      <c r="D5110" s="13">
        <v>37500</v>
      </c>
      <c r="E5110" s="13">
        <v>73.119600000000005</v>
      </c>
      <c r="F5110" s="13">
        <f t="shared" si="243"/>
        <v>512.85838543974523</v>
      </c>
      <c r="G5110" s="13">
        <v>22500</v>
      </c>
      <c r="H5110" s="13">
        <v>27.970500000000001</v>
      </c>
      <c r="I5110" s="13">
        <f t="shared" si="244"/>
        <v>804.41894138467308</v>
      </c>
    </row>
    <row r="5111" spans="1:9" ht="12.75" x14ac:dyDescent="0.2">
      <c r="A5111" s="10">
        <v>44211</v>
      </c>
      <c r="B5111" s="12">
        <f t="shared" si="241"/>
        <v>1</v>
      </c>
      <c r="C5111" s="12">
        <f t="shared" si="242"/>
        <v>2021</v>
      </c>
      <c r="D5111" s="13">
        <v>37500</v>
      </c>
      <c r="E5111" s="13">
        <v>73.31</v>
      </c>
      <c r="F5111" s="13">
        <f t="shared" si="243"/>
        <v>511.5263947619697</v>
      </c>
      <c r="G5111" s="13">
        <v>21750</v>
      </c>
      <c r="H5111" s="13">
        <v>28.0609</v>
      </c>
      <c r="I5111" s="13">
        <f t="shared" si="244"/>
        <v>775.09987206397511</v>
      </c>
    </row>
    <row r="5112" spans="1:9" ht="12.75" x14ac:dyDescent="0.2">
      <c r="A5112" s="10">
        <v>44214</v>
      </c>
      <c r="B5112" s="12">
        <f t="shared" si="241"/>
        <v>1</v>
      </c>
      <c r="C5112" s="12">
        <f t="shared" si="242"/>
        <v>2021</v>
      </c>
      <c r="D5112" s="13">
        <v>39000</v>
      </c>
      <c r="E5112" s="13">
        <v>73.802000000000007</v>
      </c>
      <c r="F5112" s="13">
        <f t="shared" si="243"/>
        <v>528.44096365952134</v>
      </c>
      <c r="G5112" s="13">
        <v>21700</v>
      </c>
      <c r="H5112" s="13">
        <v>28.052399999999999</v>
      </c>
      <c r="I5112" s="13">
        <f t="shared" si="244"/>
        <v>773.55235202692108</v>
      </c>
    </row>
    <row r="5113" spans="1:9" ht="12.75" x14ac:dyDescent="0.2">
      <c r="A5113" s="10">
        <v>44215</v>
      </c>
      <c r="B5113" s="12">
        <f t="shared" si="241"/>
        <v>1</v>
      </c>
      <c r="C5113" s="12">
        <f t="shared" si="242"/>
        <v>2021</v>
      </c>
      <c r="D5113" s="13">
        <v>39000</v>
      </c>
      <c r="E5113" s="13">
        <v>73.644999999999996</v>
      </c>
      <c r="F5113" s="13">
        <f t="shared" si="243"/>
        <v>529.56751985878202</v>
      </c>
      <c r="G5113" s="13">
        <v>21500</v>
      </c>
      <c r="H5113" s="13">
        <v>28.192599999999999</v>
      </c>
      <c r="I5113" s="13">
        <f t="shared" si="244"/>
        <v>762.61146542000381</v>
      </c>
    </row>
    <row r="5114" spans="1:9" ht="12.75" x14ac:dyDescent="0.2">
      <c r="A5114" s="10">
        <v>44216</v>
      </c>
      <c r="B5114" s="12">
        <f t="shared" si="241"/>
        <v>1</v>
      </c>
      <c r="C5114" s="12">
        <f t="shared" si="242"/>
        <v>2021</v>
      </c>
      <c r="D5114" s="13">
        <v>39000</v>
      </c>
      <c r="E5114" s="13">
        <v>73.379000000000005</v>
      </c>
      <c r="F5114" s="13">
        <f t="shared" si="243"/>
        <v>531.48721023726125</v>
      </c>
      <c r="G5114" s="13">
        <v>21500</v>
      </c>
      <c r="H5114" s="13">
        <v>28.154399999999999</v>
      </c>
      <c r="I5114" s="13">
        <f t="shared" si="244"/>
        <v>763.64617963799617</v>
      </c>
    </row>
    <row r="5115" spans="1:9" ht="12.75" x14ac:dyDescent="0.2">
      <c r="A5115" s="10">
        <v>44217</v>
      </c>
      <c r="B5115" s="12">
        <f t="shared" si="241"/>
        <v>1</v>
      </c>
      <c r="C5115" s="12">
        <f t="shared" si="242"/>
        <v>2021</v>
      </c>
      <c r="D5115" s="13">
        <v>39000</v>
      </c>
      <c r="E5115" s="13">
        <v>73.742500000000007</v>
      </c>
      <c r="F5115" s="13">
        <f t="shared" si="243"/>
        <v>528.86734244160414</v>
      </c>
      <c r="G5115" s="13">
        <v>21500</v>
      </c>
      <c r="H5115" s="13">
        <v>28.203499999999998</v>
      </c>
      <c r="I5115" s="13">
        <f t="shared" si="244"/>
        <v>762.31673373872047</v>
      </c>
    </row>
    <row r="5116" spans="1:9" ht="12.75" x14ac:dyDescent="0.2">
      <c r="A5116" s="10">
        <v>44218</v>
      </c>
      <c r="B5116" s="12">
        <f t="shared" si="241"/>
        <v>1</v>
      </c>
      <c r="C5116" s="12">
        <f t="shared" si="242"/>
        <v>2021</v>
      </c>
      <c r="D5116" s="13">
        <v>39000</v>
      </c>
      <c r="E5116" s="13">
        <v>75.150000000000006</v>
      </c>
      <c r="F5116" s="13">
        <f t="shared" si="243"/>
        <v>518.96207584830336</v>
      </c>
      <c r="G5116" s="13">
        <v>21500</v>
      </c>
      <c r="H5116" s="13">
        <v>28.2561</v>
      </c>
      <c r="I5116" s="13">
        <f t="shared" si="244"/>
        <v>760.89764687978879</v>
      </c>
    </row>
    <row r="5117" spans="1:9" ht="12.75" x14ac:dyDescent="0.2">
      <c r="A5117" s="10">
        <v>44221</v>
      </c>
      <c r="B5117" s="12">
        <f t="shared" si="241"/>
        <v>1</v>
      </c>
      <c r="C5117" s="12">
        <f t="shared" si="242"/>
        <v>2021</v>
      </c>
      <c r="D5117" s="13">
        <v>42000</v>
      </c>
      <c r="E5117" s="13">
        <v>75.337599999999995</v>
      </c>
      <c r="F5117" s="13">
        <f t="shared" si="243"/>
        <v>557.49054920783249</v>
      </c>
      <c r="G5117" s="13">
        <v>21500</v>
      </c>
      <c r="H5117" s="13">
        <v>28.1648</v>
      </c>
      <c r="I5117" s="13">
        <f t="shared" si="244"/>
        <v>763.36419928421287</v>
      </c>
    </row>
    <row r="5118" spans="1:9" ht="12.75" x14ac:dyDescent="0.2">
      <c r="A5118" s="10">
        <v>44222</v>
      </c>
      <c r="B5118" s="12">
        <f t="shared" si="241"/>
        <v>1</v>
      </c>
      <c r="C5118" s="12">
        <f t="shared" si="242"/>
        <v>2021</v>
      </c>
      <c r="D5118" s="13">
        <v>42000</v>
      </c>
      <c r="E5118" s="13">
        <v>75.004999999999995</v>
      </c>
      <c r="F5118" s="13">
        <f t="shared" si="243"/>
        <v>559.96266915538968</v>
      </c>
      <c r="G5118" s="13">
        <v>21700</v>
      </c>
      <c r="H5118" s="13">
        <v>28.166499999999999</v>
      </c>
      <c r="I5118" s="13">
        <f t="shared" si="244"/>
        <v>770.41875987431877</v>
      </c>
    </row>
    <row r="5119" spans="1:9" ht="12.75" x14ac:dyDescent="0.2">
      <c r="A5119" s="10">
        <v>44223</v>
      </c>
      <c r="B5119" s="12">
        <f t="shared" si="241"/>
        <v>1</v>
      </c>
      <c r="C5119" s="12">
        <f t="shared" si="242"/>
        <v>2021</v>
      </c>
      <c r="D5119" s="13">
        <v>42000</v>
      </c>
      <c r="E5119" s="13">
        <v>75.717299999999994</v>
      </c>
      <c r="F5119" s="13">
        <f t="shared" si="243"/>
        <v>554.69489799557039</v>
      </c>
      <c r="G5119" s="13">
        <v>21800</v>
      </c>
      <c r="H5119" s="13">
        <v>28.1524</v>
      </c>
      <c r="I5119" s="13">
        <f t="shared" si="244"/>
        <v>774.35671559085552</v>
      </c>
    </row>
    <row r="5120" spans="1:9" ht="12.75" x14ac:dyDescent="0.2">
      <c r="A5120" s="10">
        <v>44224</v>
      </c>
      <c r="B5120" s="12">
        <f t="shared" si="241"/>
        <v>1</v>
      </c>
      <c r="C5120" s="12">
        <f t="shared" si="242"/>
        <v>2021</v>
      </c>
      <c r="D5120" s="13">
        <v>42000</v>
      </c>
      <c r="E5120" s="13">
        <v>75.882000000000005</v>
      </c>
      <c r="F5120" s="13">
        <f t="shared" si="243"/>
        <v>553.49094646951846</v>
      </c>
      <c r="G5120" s="13">
        <v>21800</v>
      </c>
      <c r="H5120" s="13">
        <v>28.165199999999999</v>
      </c>
      <c r="I5120" s="13">
        <f t="shared" si="244"/>
        <v>774.00480024995386</v>
      </c>
    </row>
    <row r="5121" spans="1:9" ht="12.75" x14ac:dyDescent="0.2">
      <c r="A5121" s="10">
        <v>44225</v>
      </c>
      <c r="B5121" s="12">
        <f t="shared" si="241"/>
        <v>1</v>
      </c>
      <c r="C5121" s="12">
        <f t="shared" si="242"/>
        <v>2021</v>
      </c>
      <c r="D5121" s="13">
        <v>42000</v>
      </c>
      <c r="E5121" s="13">
        <v>75.75</v>
      </c>
      <c r="F5121" s="13">
        <f t="shared" si="243"/>
        <v>554.45544554455444</v>
      </c>
      <c r="G5121" s="13">
        <v>21800</v>
      </c>
      <c r="H5121" s="13">
        <v>28.192900000000002</v>
      </c>
      <c r="I5121" s="13">
        <f t="shared" si="244"/>
        <v>773.24432747251967</v>
      </c>
    </row>
    <row r="5122" spans="1:9" ht="12.75" x14ac:dyDescent="0.2">
      <c r="A5122" s="10">
        <v>44228</v>
      </c>
      <c r="B5122" s="12">
        <f t="shared" si="241"/>
        <v>2</v>
      </c>
      <c r="C5122" s="12">
        <f t="shared" si="242"/>
        <v>2021</v>
      </c>
      <c r="E5122" s="13">
        <v>76.007000000000005</v>
      </c>
      <c r="F5122" s="13" t="str">
        <f t="shared" si="243"/>
        <v/>
      </c>
      <c r="G5122" s="13">
        <v>22000</v>
      </c>
      <c r="H5122" s="13">
        <v>28.132400000000001</v>
      </c>
      <c r="I5122" s="13">
        <f t="shared" si="244"/>
        <v>782.01646500120853</v>
      </c>
    </row>
    <row r="5123" spans="1:9" ht="12.75" x14ac:dyDescent="0.2">
      <c r="A5123" s="10">
        <v>44229</v>
      </c>
      <c r="B5123" s="12">
        <f t="shared" si="241"/>
        <v>2</v>
      </c>
      <c r="C5123" s="12">
        <f t="shared" si="242"/>
        <v>2021</v>
      </c>
      <c r="E5123" s="13">
        <v>76.137</v>
      </c>
      <c r="F5123" s="13" t="str">
        <f t="shared" si="243"/>
        <v/>
      </c>
      <c r="G5123" s="13">
        <v>22500</v>
      </c>
      <c r="H5123" s="13">
        <v>28.060300000000002</v>
      </c>
      <c r="I5123" s="13">
        <f t="shared" si="244"/>
        <v>801.84459895296914</v>
      </c>
    </row>
    <row r="5124" spans="1:9" ht="12.75" x14ac:dyDescent="0.2">
      <c r="A5124" s="10">
        <v>44230</v>
      </c>
      <c r="B5124" s="12">
        <f t="shared" si="241"/>
        <v>2</v>
      </c>
      <c r="C5124" s="12">
        <f t="shared" si="242"/>
        <v>2021</v>
      </c>
      <c r="E5124" s="13">
        <v>75.835999999999999</v>
      </c>
      <c r="F5124" s="13" t="str">
        <f t="shared" si="243"/>
        <v/>
      </c>
      <c r="G5124" s="13">
        <v>22500</v>
      </c>
      <c r="H5124" s="13">
        <v>28.058900000000001</v>
      </c>
      <c r="I5124" s="13">
        <f t="shared" si="244"/>
        <v>801.8846070230835</v>
      </c>
    </row>
    <row r="5125" spans="1:9" ht="12.75" x14ac:dyDescent="0.2">
      <c r="A5125" s="10">
        <v>44231</v>
      </c>
      <c r="B5125" s="12">
        <f t="shared" si="241"/>
        <v>2</v>
      </c>
      <c r="C5125" s="12">
        <f t="shared" si="242"/>
        <v>2021</v>
      </c>
      <c r="E5125" s="13">
        <v>75.400199999999998</v>
      </c>
      <c r="F5125" s="13" t="str">
        <f t="shared" si="243"/>
        <v/>
      </c>
      <c r="G5125" s="13">
        <v>22000</v>
      </c>
      <c r="H5125" s="13">
        <v>27.995000000000001</v>
      </c>
      <c r="I5125" s="13">
        <f t="shared" si="244"/>
        <v>785.85461689587419</v>
      </c>
    </row>
    <row r="5126" spans="1:9" ht="12.75" x14ac:dyDescent="0.2">
      <c r="A5126" s="10">
        <v>44232</v>
      </c>
      <c r="B5126" s="12">
        <f t="shared" si="241"/>
        <v>2</v>
      </c>
      <c r="C5126" s="12">
        <f t="shared" si="242"/>
        <v>2021</v>
      </c>
      <c r="E5126" s="13">
        <v>74.552000000000007</v>
      </c>
      <c r="F5126" s="13" t="str">
        <f t="shared" si="243"/>
        <v/>
      </c>
      <c r="G5126" s="13">
        <v>21800</v>
      </c>
      <c r="H5126" s="13">
        <v>27.888500000000001</v>
      </c>
      <c r="I5126" s="13">
        <f t="shared" si="244"/>
        <v>781.68420675188702</v>
      </c>
    </row>
    <row r="5127" spans="1:9" ht="12.75" x14ac:dyDescent="0.2">
      <c r="A5127" s="10">
        <v>44235</v>
      </c>
      <c r="B5127" s="12">
        <f t="shared" ref="B5127:B5190" si="245">MONTH(A5127)</f>
        <v>2</v>
      </c>
      <c r="C5127" s="12">
        <f t="shared" ref="C5127:C5190" si="246">YEAR(A5127)</f>
        <v>2021</v>
      </c>
      <c r="D5127" s="13">
        <v>46000</v>
      </c>
      <c r="E5127" s="13">
        <v>74.251099999999994</v>
      </c>
      <c r="F5127" s="13">
        <f t="shared" ref="F5127:F5190" si="247">IF(D5127="","",D5127/E5127)</f>
        <v>619.51944146282017</v>
      </c>
      <c r="G5127" s="13">
        <v>21800</v>
      </c>
      <c r="H5127" s="13">
        <v>27.771100000000001</v>
      </c>
      <c r="I5127" s="13">
        <f t="shared" si="244"/>
        <v>784.98871128619317</v>
      </c>
    </row>
    <row r="5128" spans="1:9" ht="12.75" x14ac:dyDescent="0.2">
      <c r="A5128" s="10">
        <v>44236</v>
      </c>
      <c r="B5128" s="12">
        <f t="shared" si="245"/>
        <v>2</v>
      </c>
      <c r="C5128" s="12">
        <f t="shared" si="246"/>
        <v>2021</v>
      </c>
      <c r="D5128" s="13">
        <v>46000</v>
      </c>
      <c r="E5128" s="13">
        <v>73.801000000000002</v>
      </c>
      <c r="F5128" s="13">
        <f t="shared" si="247"/>
        <v>623.29778729285511</v>
      </c>
      <c r="G5128" s="13">
        <v>21800</v>
      </c>
      <c r="H5128" s="13">
        <v>27.665099999999999</v>
      </c>
      <c r="I5128" s="13">
        <f t="shared" si="244"/>
        <v>787.99642871343315</v>
      </c>
    </row>
    <row r="5129" spans="1:9" ht="12.75" x14ac:dyDescent="0.2">
      <c r="A5129" s="10">
        <v>44237</v>
      </c>
      <c r="B5129" s="12">
        <f t="shared" si="245"/>
        <v>2</v>
      </c>
      <c r="C5129" s="12">
        <f t="shared" si="246"/>
        <v>2021</v>
      </c>
      <c r="D5129" s="13">
        <v>46000</v>
      </c>
      <c r="E5129" s="13">
        <v>73.864999999999995</v>
      </c>
      <c r="F5129" s="13">
        <f t="shared" si="247"/>
        <v>622.75773370337788</v>
      </c>
      <c r="G5129" s="13">
        <v>21900</v>
      </c>
      <c r="H5129" s="13">
        <v>27.642600000000002</v>
      </c>
      <c r="I5129" s="13">
        <f t="shared" si="244"/>
        <v>792.2554318334744</v>
      </c>
    </row>
    <row r="5130" spans="1:9" ht="12.75" x14ac:dyDescent="0.2">
      <c r="A5130" s="10">
        <v>44238</v>
      </c>
      <c r="B5130" s="12">
        <f t="shared" si="245"/>
        <v>2</v>
      </c>
      <c r="C5130" s="12">
        <f t="shared" si="246"/>
        <v>2021</v>
      </c>
      <c r="D5130" s="13">
        <v>46000</v>
      </c>
      <c r="E5130" s="13">
        <v>73.563199999999995</v>
      </c>
      <c r="F5130" s="13">
        <f t="shared" si="247"/>
        <v>625.31265632816417</v>
      </c>
      <c r="G5130" s="13">
        <v>22000</v>
      </c>
      <c r="H5130" s="13">
        <v>27.766500000000001</v>
      </c>
      <c r="I5130" s="13">
        <f t="shared" si="244"/>
        <v>792.32168260313688</v>
      </c>
    </row>
    <row r="5131" spans="1:9" ht="12.75" x14ac:dyDescent="0.2">
      <c r="A5131" s="10">
        <v>44239</v>
      </c>
      <c r="B5131" s="12">
        <f t="shared" si="245"/>
        <v>2</v>
      </c>
      <c r="C5131" s="12">
        <f t="shared" si="246"/>
        <v>2021</v>
      </c>
      <c r="D5131" s="13">
        <v>46000</v>
      </c>
      <c r="E5131" s="13">
        <v>73.52</v>
      </c>
      <c r="F5131" s="13">
        <f t="shared" si="247"/>
        <v>625.68008705114255</v>
      </c>
      <c r="G5131" s="13">
        <v>22200</v>
      </c>
      <c r="H5131" s="13">
        <v>27.8384</v>
      </c>
      <c r="I5131" s="13">
        <f t="shared" si="244"/>
        <v>797.45962411632854</v>
      </c>
    </row>
    <row r="5132" spans="1:9" ht="12.75" x14ac:dyDescent="0.2">
      <c r="A5132" s="10">
        <v>44242</v>
      </c>
      <c r="B5132" s="12">
        <f t="shared" si="245"/>
        <v>2</v>
      </c>
      <c r="C5132" s="12">
        <f t="shared" si="246"/>
        <v>2021</v>
      </c>
      <c r="D5132" s="13">
        <v>43500</v>
      </c>
      <c r="E5132" s="13">
        <v>73.247900000000001</v>
      </c>
      <c r="F5132" s="13">
        <f t="shared" si="247"/>
        <v>593.87368102020673</v>
      </c>
      <c r="G5132" s="13">
        <v>22500</v>
      </c>
      <c r="H5132" s="13">
        <v>27.844000000000001</v>
      </c>
      <c r="I5132" s="13">
        <f t="shared" si="244"/>
        <v>808.07355265048125</v>
      </c>
    </row>
    <row r="5133" spans="1:9" ht="12.75" x14ac:dyDescent="0.2">
      <c r="A5133" s="10">
        <v>44243</v>
      </c>
      <c r="B5133" s="12">
        <f t="shared" si="245"/>
        <v>2</v>
      </c>
      <c r="C5133" s="12">
        <f t="shared" si="246"/>
        <v>2021</v>
      </c>
      <c r="D5133" s="13">
        <v>43500</v>
      </c>
      <c r="E5133" s="13">
        <v>73.572000000000003</v>
      </c>
      <c r="F5133" s="13">
        <f t="shared" si="247"/>
        <v>591.25754363072906</v>
      </c>
      <c r="G5133" s="13">
        <v>23500</v>
      </c>
      <c r="H5133" s="13">
        <v>27.967099999999999</v>
      </c>
      <c r="I5133" s="13">
        <f t="shared" si="244"/>
        <v>840.27303510195918</v>
      </c>
    </row>
    <row r="5134" spans="1:9" ht="12.75" x14ac:dyDescent="0.2">
      <c r="A5134" s="10">
        <v>44244</v>
      </c>
      <c r="B5134" s="12">
        <f t="shared" si="245"/>
        <v>2</v>
      </c>
      <c r="C5134" s="12">
        <f t="shared" si="246"/>
        <v>2021</v>
      </c>
      <c r="D5134" s="13">
        <v>43500</v>
      </c>
      <c r="E5134" s="13">
        <v>73.679000000000002</v>
      </c>
      <c r="F5134" s="13">
        <f t="shared" si="247"/>
        <v>590.39889249311204</v>
      </c>
      <c r="G5134" s="13">
        <v>23500</v>
      </c>
      <c r="H5134" s="13">
        <v>27.830400000000001</v>
      </c>
      <c r="I5134" s="13">
        <f t="shared" si="244"/>
        <v>844.40036794296884</v>
      </c>
    </row>
    <row r="5135" spans="1:9" ht="12.75" x14ac:dyDescent="0.2">
      <c r="A5135" s="10">
        <v>44245</v>
      </c>
      <c r="B5135" s="12">
        <f t="shared" si="245"/>
        <v>2</v>
      </c>
      <c r="C5135" s="12">
        <f t="shared" si="246"/>
        <v>2021</v>
      </c>
      <c r="D5135" s="13">
        <v>43500</v>
      </c>
      <c r="E5135" s="13">
        <v>73.819999999999993</v>
      </c>
      <c r="F5135" s="13">
        <f t="shared" si="247"/>
        <v>589.27120021674352</v>
      </c>
      <c r="G5135" s="13">
        <v>23500</v>
      </c>
      <c r="H5135" s="13">
        <v>27.9038</v>
      </c>
      <c r="I5135" s="13">
        <f t="shared" si="244"/>
        <v>842.17920139909256</v>
      </c>
    </row>
    <row r="5136" spans="1:9" ht="12.75" x14ac:dyDescent="0.2">
      <c r="A5136" s="10">
        <v>44246</v>
      </c>
      <c r="B5136" s="12">
        <f t="shared" si="245"/>
        <v>2</v>
      </c>
      <c r="C5136" s="12">
        <f t="shared" si="246"/>
        <v>2021</v>
      </c>
      <c r="D5136" s="13">
        <v>43500</v>
      </c>
      <c r="E5136" s="13">
        <v>73.95</v>
      </c>
      <c r="F5136" s="13">
        <f t="shared" si="247"/>
        <v>588.23529411764707</v>
      </c>
      <c r="G5136" s="13">
        <v>24000</v>
      </c>
      <c r="H5136" s="13">
        <v>27.8461</v>
      </c>
      <c r="I5136" s="13">
        <f t="shared" si="244"/>
        <v>861.88011965768999</v>
      </c>
    </row>
    <row r="5137" spans="1:9" ht="12.75" x14ac:dyDescent="0.2">
      <c r="A5137" s="10">
        <v>44249</v>
      </c>
      <c r="B5137" s="12">
        <f t="shared" si="245"/>
        <v>2</v>
      </c>
      <c r="C5137" s="12">
        <f t="shared" si="246"/>
        <v>2021</v>
      </c>
      <c r="D5137" s="13">
        <v>42000</v>
      </c>
      <c r="E5137" s="13">
        <v>74.269599999999997</v>
      </c>
      <c r="F5137" s="13">
        <f t="shared" si="247"/>
        <v>565.50728696532633</v>
      </c>
      <c r="G5137" s="13">
        <v>24000</v>
      </c>
      <c r="H5137" s="13">
        <v>27.846800000000002</v>
      </c>
      <c r="I5137" s="13">
        <f t="shared" si="244"/>
        <v>861.85845411321941</v>
      </c>
    </row>
    <row r="5138" spans="1:9" ht="12.75" x14ac:dyDescent="0.2">
      <c r="A5138" s="10">
        <v>44250</v>
      </c>
      <c r="B5138" s="12">
        <f t="shared" si="245"/>
        <v>2</v>
      </c>
      <c r="C5138" s="12">
        <f t="shared" si="246"/>
        <v>2021</v>
      </c>
      <c r="D5138" s="13">
        <v>42000</v>
      </c>
      <c r="E5138" s="13">
        <v>73.941999999999993</v>
      </c>
      <c r="F5138" s="13">
        <f t="shared" si="247"/>
        <v>568.01276676313876</v>
      </c>
      <c r="G5138" s="13">
        <v>24000</v>
      </c>
      <c r="H5138" s="13">
        <v>27.930399999999999</v>
      </c>
      <c r="I5138" s="13">
        <f t="shared" si="244"/>
        <v>859.27877867842926</v>
      </c>
    </row>
    <row r="5139" spans="1:9" ht="12.75" x14ac:dyDescent="0.2">
      <c r="A5139" s="10">
        <v>44251</v>
      </c>
      <c r="B5139" s="12">
        <f t="shared" si="245"/>
        <v>2</v>
      </c>
      <c r="C5139" s="12">
        <f t="shared" si="246"/>
        <v>2021</v>
      </c>
      <c r="D5139" s="13">
        <v>42000</v>
      </c>
      <c r="E5139" s="13">
        <v>73.418999999999997</v>
      </c>
      <c r="F5139" s="13">
        <f t="shared" si="247"/>
        <v>572.05900380010621</v>
      </c>
      <c r="G5139" s="13">
        <v>24000</v>
      </c>
      <c r="H5139" s="13">
        <v>27.897600000000001</v>
      </c>
      <c r="I5139" s="13">
        <f t="shared" si="244"/>
        <v>860.2890571231934</v>
      </c>
    </row>
    <row r="5140" spans="1:9" ht="12.75" x14ac:dyDescent="0.2">
      <c r="A5140" s="10">
        <v>44252</v>
      </c>
      <c r="B5140" s="12">
        <f t="shared" si="245"/>
        <v>2</v>
      </c>
      <c r="C5140" s="12">
        <f t="shared" si="246"/>
        <v>2021</v>
      </c>
      <c r="D5140" s="13">
        <v>42000</v>
      </c>
      <c r="E5140" s="13">
        <v>74.641999999999996</v>
      </c>
      <c r="F5140" s="13">
        <f t="shared" si="247"/>
        <v>562.68588730205522</v>
      </c>
      <c r="G5140" s="13">
        <v>24500</v>
      </c>
      <c r="H5140" s="13">
        <v>27.949200000000001</v>
      </c>
      <c r="I5140" s="13">
        <f t="shared" si="244"/>
        <v>876.59038541353596</v>
      </c>
    </row>
    <row r="5141" spans="1:9" ht="12.75" x14ac:dyDescent="0.2">
      <c r="A5141" s="10">
        <v>44253</v>
      </c>
      <c r="B5141" s="12">
        <f t="shared" si="245"/>
        <v>2</v>
      </c>
      <c r="C5141" s="12">
        <f t="shared" si="246"/>
        <v>2021</v>
      </c>
      <c r="D5141" s="13">
        <v>42000</v>
      </c>
      <c r="E5141" s="13">
        <v>74.156000000000006</v>
      </c>
      <c r="F5141" s="13">
        <f t="shared" si="247"/>
        <v>566.37359080856572</v>
      </c>
      <c r="G5141" s="13">
        <v>23500</v>
      </c>
      <c r="H5141" s="13">
        <v>27.930099999999999</v>
      </c>
      <c r="I5141" s="13">
        <f t="shared" si="244"/>
        <v>841.38617477202013</v>
      </c>
    </row>
    <row r="5142" spans="1:9" ht="12.75" x14ac:dyDescent="0.2">
      <c r="A5142" s="10">
        <v>44256</v>
      </c>
      <c r="B5142" s="12">
        <f t="shared" si="245"/>
        <v>3</v>
      </c>
      <c r="C5142" s="12">
        <f t="shared" si="246"/>
        <v>2021</v>
      </c>
      <c r="D5142" s="13">
        <v>42500</v>
      </c>
      <c r="E5142" s="13">
        <v>74.225999999999999</v>
      </c>
      <c r="F5142" s="13">
        <f t="shared" si="247"/>
        <v>572.57564734729067</v>
      </c>
      <c r="G5142" s="13">
        <v>23000</v>
      </c>
      <c r="H5142" s="13">
        <v>27.945599999999999</v>
      </c>
      <c r="I5142" s="13">
        <f t="shared" si="244"/>
        <v>823.02759647314781</v>
      </c>
    </row>
    <row r="5143" spans="1:9" ht="12.75" x14ac:dyDescent="0.2">
      <c r="A5143" s="10">
        <v>44257</v>
      </c>
      <c r="B5143" s="12">
        <f t="shared" si="245"/>
        <v>3</v>
      </c>
      <c r="C5143" s="12">
        <f t="shared" si="246"/>
        <v>2021</v>
      </c>
      <c r="D5143" s="13">
        <v>42500</v>
      </c>
      <c r="E5143" s="13">
        <v>73.704999999999998</v>
      </c>
      <c r="F5143" s="13">
        <f t="shared" si="247"/>
        <v>576.62302421816707</v>
      </c>
      <c r="G5143" s="13">
        <v>23000</v>
      </c>
      <c r="H5143" s="13">
        <v>28.000699999999998</v>
      </c>
      <c r="I5143" s="13">
        <f t="shared" si="244"/>
        <v>821.40803622766578</v>
      </c>
    </row>
    <row r="5144" spans="1:9" ht="12.75" x14ac:dyDescent="0.2">
      <c r="A5144" s="10">
        <v>44258</v>
      </c>
      <c r="B5144" s="12">
        <f t="shared" si="245"/>
        <v>3</v>
      </c>
      <c r="C5144" s="12">
        <f t="shared" si="246"/>
        <v>2021</v>
      </c>
      <c r="D5144" s="13">
        <v>42500</v>
      </c>
      <c r="E5144" s="13">
        <v>73.942999999999998</v>
      </c>
      <c r="F5144" s="13">
        <f t="shared" si="247"/>
        <v>574.76705029549794</v>
      </c>
      <c r="G5144" s="13">
        <v>23500</v>
      </c>
      <c r="H5144" s="13">
        <v>27.933</v>
      </c>
      <c r="I5144" s="13">
        <f t="shared" si="244"/>
        <v>841.29882218164892</v>
      </c>
    </row>
    <row r="5145" spans="1:9" ht="12.75" x14ac:dyDescent="0.2">
      <c r="A5145" s="10">
        <v>44259</v>
      </c>
      <c r="B5145" s="12">
        <f t="shared" si="245"/>
        <v>3</v>
      </c>
      <c r="C5145" s="12">
        <f t="shared" si="246"/>
        <v>2021</v>
      </c>
      <c r="D5145" s="13">
        <v>42500</v>
      </c>
      <c r="E5145" s="13">
        <v>74.532700000000006</v>
      </c>
      <c r="F5145" s="13">
        <f t="shared" si="247"/>
        <v>570.21951438764461</v>
      </c>
      <c r="G5145" s="13">
        <v>25000</v>
      </c>
      <c r="H5145" s="13">
        <v>27.8477</v>
      </c>
      <c r="I5145" s="13">
        <f t="shared" si="244"/>
        <v>897.74020834754754</v>
      </c>
    </row>
    <row r="5146" spans="1:9" ht="12.75" x14ac:dyDescent="0.2">
      <c r="A5146" s="10">
        <v>44260</v>
      </c>
      <c r="B5146" s="12">
        <f t="shared" si="245"/>
        <v>3</v>
      </c>
      <c r="C5146" s="12">
        <f t="shared" si="246"/>
        <v>2021</v>
      </c>
      <c r="D5146" s="13">
        <v>42500</v>
      </c>
      <c r="E5146" s="13">
        <v>74.11</v>
      </c>
      <c r="F5146" s="13">
        <f t="shared" si="247"/>
        <v>573.47186614491977</v>
      </c>
      <c r="G5146" s="13">
        <v>25000</v>
      </c>
      <c r="H5146" s="13">
        <v>27.756399999999999</v>
      </c>
      <c r="I5146" s="13">
        <f t="shared" si="244"/>
        <v>900.69317346629964</v>
      </c>
    </row>
    <row r="5147" spans="1:9" ht="12.75" x14ac:dyDescent="0.2">
      <c r="A5147" s="10">
        <v>44263</v>
      </c>
      <c r="B5147" s="12">
        <f t="shared" si="245"/>
        <v>3</v>
      </c>
      <c r="C5147" s="12">
        <f t="shared" si="246"/>
        <v>2021</v>
      </c>
      <c r="D5147" s="13">
        <v>46500</v>
      </c>
      <c r="E5147" s="13">
        <v>74.347499999999997</v>
      </c>
      <c r="F5147" s="13">
        <f t="shared" si="247"/>
        <v>625.4413396549985</v>
      </c>
      <c r="G5147" s="13">
        <v>25000</v>
      </c>
      <c r="H5147" s="13">
        <f>AVERAGE(H5148,H5146)</f>
        <v>27.732749999999999</v>
      </c>
      <c r="I5147" s="13">
        <f t="shared" si="244"/>
        <v>901.46126871658964</v>
      </c>
    </row>
    <row r="5148" spans="1:9" ht="12.75" x14ac:dyDescent="0.2">
      <c r="A5148" s="10">
        <v>44264</v>
      </c>
      <c r="B5148" s="12">
        <f t="shared" si="245"/>
        <v>3</v>
      </c>
      <c r="C5148" s="12">
        <f t="shared" si="246"/>
        <v>2021</v>
      </c>
      <c r="D5148" s="13">
        <v>46500</v>
      </c>
      <c r="E5148" s="13">
        <v>73.847999999999999</v>
      </c>
      <c r="F5148" s="13">
        <f t="shared" si="247"/>
        <v>629.67175820604484</v>
      </c>
      <c r="G5148" s="13">
        <v>25500</v>
      </c>
      <c r="H5148" s="13">
        <v>27.709099999999999</v>
      </c>
      <c r="I5148" s="13">
        <f t="shared" si="244"/>
        <v>920.27528862359304</v>
      </c>
    </row>
    <row r="5149" spans="1:9" ht="12.75" x14ac:dyDescent="0.2">
      <c r="A5149" s="10">
        <v>44265</v>
      </c>
      <c r="B5149" s="12">
        <f t="shared" si="245"/>
        <v>3</v>
      </c>
      <c r="C5149" s="12">
        <f t="shared" si="246"/>
        <v>2021</v>
      </c>
      <c r="D5149" s="13">
        <v>46500</v>
      </c>
      <c r="E5149" s="13">
        <v>73.41</v>
      </c>
      <c r="F5149" s="13">
        <f t="shared" si="247"/>
        <v>633.42868818961995</v>
      </c>
      <c r="G5149" s="13">
        <v>25500</v>
      </c>
      <c r="H5149" s="13">
        <v>27.743099999999998</v>
      </c>
      <c r="I5149" s="13">
        <f t="shared" si="244"/>
        <v>919.14746369367526</v>
      </c>
    </row>
    <row r="5150" spans="1:9" ht="12.75" x14ac:dyDescent="0.2">
      <c r="A5150" s="10">
        <v>44266</v>
      </c>
      <c r="B5150" s="12">
        <f t="shared" si="245"/>
        <v>3</v>
      </c>
      <c r="C5150" s="12">
        <f t="shared" si="246"/>
        <v>2021</v>
      </c>
      <c r="D5150" s="13">
        <v>46500</v>
      </c>
      <c r="E5150" s="13">
        <v>73.281000000000006</v>
      </c>
      <c r="F5150" s="13">
        <f t="shared" si="247"/>
        <v>634.54374257993197</v>
      </c>
      <c r="G5150" s="13">
        <v>26000</v>
      </c>
      <c r="H5150" s="13">
        <v>27.701599999999999</v>
      </c>
      <c r="I5150" s="13">
        <f t="shared" si="244"/>
        <v>938.57394518728165</v>
      </c>
    </row>
    <row r="5151" spans="1:9" ht="12.75" x14ac:dyDescent="0.2">
      <c r="A5151" s="10">
        <v>44267</v>
      </c>
      <c r="B5151" s="12">
        <f t="shared" si="245"/>
        <v>3</v>
      </c>
      <c r="C5151" s="12">
        <f t="shared" si="246"/>
        <v>2021</v>
      </c>
      <c r="D5151" s="13">
        <v>46500</v>
      </c>
      <c r="E5151" s="13">
        <v>72.957499999999996</v>
      </c>
      <c r="F5151" s="13">
        <f t="shared" si="247"/>
        <v>637.35736558955557</v>
      </c>
      <c r="G5151" s="13">
        <v>24500</v>
      </c>
      <c r="H5151" s="13">
        <v>27.7486</v>
      </c>
      <c r="I5151" s="13">
        <f t="shared" si="244"/>
        <v>882.9274269692886</v>
      </c>
    </row>
    <row r="5152" spans="1:9" ht="12.75" x14ac:dyDescent="0.2">
      <c r="A5152" s="10">
        <v>44270</v>
      </c>
      <c r="B5152" s="12">
        <f t="shared" si="245"/>
        <v>3</v>
      </c>
      <c r="C5152" s="12">
        <f t="shared" si="246"/>
        <v>2021</v>
      </c>
      <c r="D5152" s="13">
        <v>50500</v>
      </c>
      <c r="E5152" s="13">
        <v>72.702500000000001</v>
      </c>
      <c r="F5152" s="13">
        <f t="shared" si="247"/>
        <v>694.61160207695741</v>
      </c>
      <c r="G5152" s="13">
        <v>24500</v>
      </c>
      <c r="H5152" s="13">
        <v>27.730499999999999</v>
      </c>
      <c r="I5152" s="13">
        <f t="shared" si="244"/>
        <v>883.50372333711982</v>
      </c>
    </row>
    <row r="5153" spans="1:9" ht="12.75" x14ac:dyDescent="0.2">
      <c r="A5153" s="10">
        <v>44271</v>
      </c>
      <c r="B5153" s="12">
        <f t="shared" si="245"/>
        <v>3</v>
      </c>
      <c r="C5153" s="12">
        <f t="shared" si="246"/>
        <v>2021</v>
      </c>
      <c r="D5153" s="13">
        <v>50500</v>
      </c>
      <c r="E5153" s="13">
        <v>72.559399999999997</v>
      </c>
      <c r="F5153" s="13">
        <f t="shared" si="247"/>
        <v>695.98149929574947</v>
      </c>
      <c r="G5153" s="13">
        <v>23500</v>
      </c>
      <c r="H5153" s="13">
        <v>27.6434</v>
      </c>
      <c r="I5153" s="13">
        <f t="shared" si="244"/>
        <v>850.11250425056255</v>
      </c>
    </row>
    <row r="5154" spans="1:9" ht="12.75" x14ac:dyDescent="0.2">
      <c r="A5154" s="10">
        <v>44272</v>
      </c>
      <c r="B5154" s="12">
        <f t="shared" si="245"/>
        <v>3</v>
      </c>
      <c r="C5154" s="12">
        <f t="shared" si="246"/>
        <v>2021</v>
      </c>
      <c r="D5154" s="13">
        <v>50500</v>
      </c>
      <c r="E5154" s="13">
        <v>73.680000000000007</v>
      </c>
      <c r="F5154" s="13">
        <f t="shared" si="247"/>
        <v>685.39630836047763</v>
      </c>
      <c r="G5154" s="13">
        <v>22500</v>
      </c>
      <c r="H5154" s="13">
        <v>27.6525</v>
      </c>
      <c r="I5154" s="13">
        <f t="shared" si="244"/>
        <v>813.66965012205048</v>
      </c>
    </row>
    <row r="5155" spans="1:9" ht="12.75" x14ac:dyDescent="0.2">
      <c r="A5155" s="10">
        <v>44273</v>
      </c>
      <c r="B5155" s="12">
        <f t="shared" si="245"/>
        <v>3</v>
      </c>
      <c r="C5155" s="12">
        <f t="shared" si="246"/>
        <v>2021</v>
      </c>
      <c r="D5155" s="13">
        <v>50500</v>
      </c>
      <c r="E5155" s="13">
        <v>74.152500000000003</v>
      </c>
      <c r="F5155" s="13">
        <f t="shared" si="247"/>
        <v>681.02896058797739</v>
      </c>
      <c r="G5155" s="13">
        <v>22500</v>
      </c>
      <c r="H5155" s="13">
        <v>27.697800000000001</v>
      </c>
      <c r="I5155" s="13">
        <f t="shared" si="244"/>
        <v>812.33888612091937</v>
      </c>
    </row>
    <row r="5156" spans="1:9" ht="12.75" x14ac:dyDescent="0.2">
      <c r="A5156" s="10">
        <v>44274</v>
      </c>
      <c r="B5156" s="12">
        <f t="shared" si="245"/>
        <v>3</v>
      </c>
      <c r="C5156" s="12">
        <f t="shared" si="246"/>
        <v>2021</v>
      </c>
      <c r="D5156" s="13">
        <v>50500</v>
      </c>
      <c r="E5156" s="13">
        <v>74.070999999999998</v>
      </c>
      <c r="F5156" s="13">
        <f t="shared" si="247"/>
        <v>681.77829379919274</v>
      </c>
      <c r="G5156" s="13">
        <v>22500</v>
      </c>
      <c r="H5156" s="13">
        <v>27.6828</v>
      </c>
      <c r="I5156" s="13">
        <f t="shared" si="244"/>
        <v>812.77905414192207</v>
      </c>
    </row>
    <row r="5157" spans="1:9" ht="12.75" x14ac:dyDescent="0.2">
      <c r="A5157" s="10">
        <v>44277</v>
      </c>
      <c r="B5157" s="12">
        <f t="shared" si="245"/>
        <v>3</v>
      </c>
      <c r="C5157" s="12">
        <f t="shared" si="246"/>
        <v>2021</v>
      </c>
      <c r="D5157" s="13">
        <v>53000</v>
      </c>
      <c r="E5157" s="13">
        <v>74.632000000000005</v>
      </c>
      <c r="F5157" s="13">
        <f t="shared" si="247"/>
        <v>710.15114160145777</v>
      </c>
      <c r="G5157" s="13">
        <v>23000</v>
      </c>
      <c r="H5157" s="13">
        <v>27.718399999999999</v>
      </c>
      <c r="I5157" s="13">
        <f t="shared" si="244"/>
        <v>829.77372431309175</v>
      </c>
    </row>
    <row r="5158" spans="1:9" ht="12.75" x14ac:dyDescent="0.2">
      <c r="A5158" s="10">
        <v>44278</v>
      </c>
      <c r="B5158" s="12">
        <f t="shared" si="245"/>
        <v>3</v>
      </c>
      <c r="C5158" s="12">
        <f t="shared" si="246"/>
        <v>2021</v>
      </c>
      <c r="D5158" s="13">
        <v>53000</v>
      </c>
      <c r="E5158" s="13">
        <v>76.344499999999996</v>
      </c>
      <c r="F5158" s="13">
        <f t="shared" si="247"/>
        <v>694.22158767167252</v>
      </c>
      <c r="G5158" s="13">
        <v>23500</v>
      </c>
      <c r="H5158" s="13">
        <v>27.687100000000001</v>
      </c>
      <c r="I5158" s="13">
        <f t="shared" si="244"/>
        <v>848.77072716174678</v>
      </c>
    </row>
    <row r="5159" spans="1:9" ht="12.75" x14ac:dyDescent="0.2">
      <c r="A5159" s="10">
        <v>44279</v>
      </c>
      <c r="B5159" s="12">
        <f t="shared" si="245"/>
        <v>3</v>
      </c>
      <c r="C5159" s="12">
        <f t="shared" si="246"/>
        <v>2021</v>
      </c>
      <c r="D5159" s="13">
        <v>53000</v>
      </c>
      <c r="E5159" s="13">
        <v>76.536699999999996</v>
      </c>
      <c r="F5159" s="13">
        <f t="shared" si="247"/>
        <v>692.47824899688646</v>
      </c>
      <c r="G5159" s="13">
        <v>23500</v>
      </c>
      <c r="H5159" s="13">
        <v>27.729500000000002</v>
      </c>
      <c r="I5159" s="13">
        <f t="shared" si="244"/>
        <v>847.47290791395437</v>
      </c>
    </row>
    <row r="5160" spans="1:9" ht="12.75" x14ac:dyDescent="0.2">
      <c r="A5160" s="10">
        <v>44280</v>
      </c>
      <c r="B5160" s="12">
        <f t="shared" si="245"/>
        <v>3</v>
      </c>
      <c r="C5160" s="12">
        <f t="shared" si="246"/>
        <v>2021</v>
      </c>
      <c r="D5160" s="13">
        <v>53000</v>
      </c>
      <c r="E5160" s="13">
        <v>76.021600000000007</v>
      </c>
      <c r="F5160" s="13">
        <f t="shared" si="247"/>
        <v>697.17027792101192</v>
      </c>
      <c r="G5160" s="13">
        <v>23500</v>
      </c>
      <c r="H5160" s="13">
        <v>27.8706</v>
      </c>
      <c r="I5160" s="13">
        <f t="shared" si="244"/>
        <v>843.18242161991486</v>
      </c>
    </row>
    <row r="5161" spans="1:9" ht="12.75" x14ac:dyDescent="0.2">
      <c r="A5161" s="10">
        <v>44281</v>
      </c>
      <c r="B5161" s="12">
        <f t="shared" si="245"/>
        <v>3</v>
      </c>
      <c r="C5161" s="12">
        <f t="shared" si="246"/>
        <v>2021</v>
      </c>
      <c r="D5161" s="13">
        <v>53000</v>
      </c>
      <c r="E5161" s="13">
        <v>75.647999999999996</v>
      </c>
      <c r="F5161" s="13">
        <f t="shared" si="247"/>
        <v>700.61336717428094</v>
      </c>
      <c r="G5161" s="13">
        <v>23500</v>
      </c>
      <c r="H5161" s="13">
        <v>27.969799999999999</v>
      </c>
      <c r="I5161" s="13">
        <f t="shared" si="244"/>
        <v>840.19192128653049</v>
      </c>
    </row>
    <row r="5162" spans="1:9" ht="12.75" x14ac:dyDescent="0.2">
      <c r="A5162" s="10">
        <v>44284</v>
      </c>
      <c r="B5162" s="12">
        <f t="shared" si="245"/>
        <v>3</v>
      </c>
      <c r="C5162" s="12">
        <f t="shared" si="246"/>
        <v>2021</v>
      </c>
      <c r="D5162" s="13">
        <v>53500</v>
      </c>
      <c r="E5162" s="13">
        <v>75.483999999999995</v>
      </c>
      <c r="F5162" s="13">
        <f t="shared" si="247"/>
        <v>708.75947220603052</v>
      </c>
      <c r="G5162" s="13">
        <v>23500</v>
      </c>
      <c r="H5162" s="13">
        <v>27.9679</v>
      </c>
      <c r="I5162" s="13">
        <f t="shared" si="244"/>
        <v>840.24899974613754</v>
      </c>
    </row>
    <row r="5163" spans="1:9" ht="12.75" x14ac:dyDescent="0.2">
      <c r="A5163" s="10">
        <v>44285</v>
      </c>
      <c r="B5163" s="12">
        <f t="shared" si="245"/>
        <v>3</v>
      </c>
      <c r="C5163" s="12">
        <f t="shared" si="246"/>
        <v>2021</v>
      </c>
      <c r="D5163" s="13">
        <v>53500</v>
      </c>
      <c r="E5163" s="13">
        <v>75.722300000000004</v>
      </c>
      <c r="F5163" s="13">
        <f t="shared" si="247"/>
        <v>706.52898815804588</v>
      </c>
      <c r="G5163" s="13">
        <v>22700</v>
      </c>
      <c r="H5163" s="13">
        <v>27.9694</v>
      </c>
      <c r="I5163" s="13">
        <f t="shared" si="244"/>
        <v>811.60124993743159</v>
      </c>
    </row>
    <row r="5164" spans="1:9" ht="12.75" x14ac:dyDescent="0.2">
      <c r="A5164" s="10">
        <v>44286</v>
      </c>
      <c r="B5164" s="12">
        <f t="shared" si="245"/>
        <v>3</v>
      </c>
      <c r="C5164" s="12">
        <f t="shared" si="246"/>
        <v>2021</v>
      </c>
      <c r="D5164" s="13">
        <v>53500</v>
      </c>
      <c r="E5164" s="13">
        <v>75.590999999999994</v>
      </c>
      <c r="F5164" s="13">
        <f t="shared" si="247"/>
        <v>707.75621436414394</v>
      </c>
      <c r="G5164" s="13">
        <v>22700</v>
      </c>
      <c r="H5164" s="13">
        <v>27.885200000000001</v>
      </c>
      <c r="I5164" s="13">
        <f t="shared" ref="I5164:I5227" si="248">IF(G5164="","",G5164/H5164)</f>
        <v>814.05189849812803</v>
      </c>
    </row>
    <row r="5165" spans="1:9" ht="12.75" x14ac:dyDescent="0.2">
      <c r="A5165" s="10">
        <v>44287</v>
      </c>
      <c r="B5165" s="12">
        <f t="shared" si="245"/>
        <v>4</v>
      </c>
      <c r="C5165" s="12">
        <f t="shared" si="246"/>
        <v>2021</v>
      </c>
      <c r="D5165" s="13">
        <v>53500</v>
      </c>
      <c r="E5165" s="13">
        <v>76.204999999999998</v>
      </c>
      <c r="F5165" s="13">
        <f t="shared" si="247"/>
        <v>702.05367101896206</v>
      </c>
      <c r="G5165" s="13">
        <v>23000</v>
      </c>
      <c r="H5165" s="13">
        <v>27.822600000000001</v>
      </c>
      <c r="I5165" s="13">
        <f t="shared" si="248"/>
        <v>826.6660915946029</v>
      </c>
    </row>
    <row r="5166" spans="1:9" ht="12.75" x14ac:dyDescent="0.2">
      <c r="A5166" s="10">
        <v>44288</v>
      </c>
      <c r="B5166" s="12">
        <f t="shared" si="245"/>
        <v>4</v>
      </c>
      <c r="C5166" s="12">
        <f t="shared" si="246"/>
        <v>2021</v>
      </c>
      <c r="D5166" s="13">
        <v>53500</v>
      </c>
      <c r="E5166" s="13">
        <v>76.48</v>
      </c>
      <c r="F5166" s="13">
        <f t="shared" si="247"/>
        <v>699.52928870292885</v>
      </c>
      <c r="H5166" s="13">
        <v>27.8324</v>
      </c>
      <c r="I5166" s="13" t="str">
        <f t="shared" si="248"/>
        <v/>
      </c>
    </row>
    <row r="5167" spans="1:9" ht="12.75" x14ac:dyDescent="0.2">
      <c r="A5167" s="10">
        <v>44291</v>
      </c>
      <c r="B5167" s="12">
        <f t="shared" si="245"/>
        <v>4</v>
      </c>
      <c r="C5167" s="12">
        <f t="shared" si="246"/>
        <v>2021</v>
      </c>
      <c r="D5167" s="13">
        <v>52500</v>
      </c>
      <c r="E5167" s="13">
        <v>76.343400000000003</v>
      </c>
      <c r="F5167" s="13">
        <f t="shared" si="247"/>
        <v>687.68223579248502</v>
      </c>
      <c r="H5167" s="13">
        <v>27.955500000000001</v>
      </c>
      <c r="I5167" s="13" t="str">
        <f t="shared" si="248"/>
        <v/>
      </c>
    </row>
    <row r="5168" spans="1:9" ht="12.75" x14ac:dyDescent="0.2">
      <c r="A5168" s="10">
        <v>44292</v>
      </c>
      <c r="B5168" s="12">
        <f t="shared" si="245"/>
        <v>4</v>
      </c>
      <c r="C5168" s="12">
        <f t="shared" si="246"/>
        <v>2021</v>
      </c>
      <c r="D5168" s="13">
        <v>52500</v>
      </c>
      <c r="E5168" s="13">
        <v>77.08</v>
      </c>
      <c r="F5168" s="13">
        <f t="shared" si="247"/>
        <v>681.11053450960048</v>
      </c>
      <c r="G5168" s="13">
        <v>23500</v>
      </c>
      <c r="H5168" s="13">
        <v>27.939</v>
      </c>
      <c r="I5168" s="13">
        <f t="shared" si="248"/>
        <v>841.11815025591466</v>
      </c>
    </row>
    <row r="5169" spans="1:9" ht="12.75" x14ac:dyDescent="0.2">
      <c r="A5169" s="10">
        <v>44293</v>
      </c>
      <c r="B5169" s="12">
        <f t="shared" si="245"/>
        <v>4</v>
      </c>
      <c r="C5169" s="12">
        <f t="shared" si="246"/>
        <v>2021</v>
      </c>
      <c r="D5169" s="13">
        <v>52500</v>
      </c>
      <c r="E5169" s="13">
        <v>76.900000000000006</v>
      </c>
      <c r="F5169" s="13">
        <f t="shared" si="247"/>
        <v>682.70481144343296</v>
      </c>
      <c r="G5169" s="13">
        <v>23500</v>
      </c>
      <c r="H5169" s="13">
        <v>27.8384</v>
      </c>
      <c r="I5169" s="13">
        <f t="shared" si="248"/>
        <v>844.15771021323064</v>
      </c>
    </row>
    <row r="5170" spans="1:9" ht="12.75" x14ac:dyDescent="0.2">
      <c r="A5170" s="10">
        <v>44294</v>
      </c>
      <c r="B5170" s="12">
        <f t="shared" si="245"/>
        <v>4</v>
      </c>
      <c r="C5170" s="12">
        <f t="shared" si="246"/>
        <v>2021</v>
      </c>
      <c r="D5170" s="13">
        <v>52500</v>
      </c>
      <c r="E5170" s="13">
        <v>76.695999999999998</v>
      </c>
      <c r="F5170" s="13">
        <f t="shared" si="247"/>
        <v>684.52070512151874</v>
      </c>
      <c r="G5170" s="13">
        <v>24000</v>
      </c>
      <c r="H5170" s="13">
        <v>27.892299999999999</v>
      </c>
      <c r="I5170" s="13">
        <f t="shared" si="248"/>
        <v>860.45252632446955</v>
      </c>
    </row>
    <row r="5171" spans="1:9" ht="12.75" x14ac:dyDescent="0.2">
      <c r="A5171" s="10">
        <v>44295</v>
      </c>
      <c r="B5171" s="12">
        <f t="shared" si="245"/>
        <v>4</v>
      </c>
      <c r="C5171" s="12">
        <f t="shared" si="246"/>
        <v>2021</v>
      </c>
      <c r="D5171" s="13">
        <v>52500</v>
      </c>
      <c r="E5171" s="13">
        <v>77.349999999999994</v>
      </c>
      <c r="F5171" s="13">
        <f t="shared" si="247"/>
        <v>678.73303167420818</v>
      </c>
      <c r="G5171" s="13">
        <v>24500</v>
      </c>
      <c r="H5171" s="13">
        <v>27.976800000000001</v>
      </c>
      <c r="I5171" s="13">
        <f t="shared" si="248"/>
        <v>875.72560121243316</v>
      </c>
    </row>
    <row r="5172" spans="1:9" ht="12.75" x14ac:dyDescent="0.2">
      <c r="A5172" s="10">
        <v>44298</v>
      </c>
      <c r="B5172" s="12">
        <f t="shared" si="245"/>
        <v>4</v>
      </c>
      <c r="C5172" s="12">
        <f t="shared" si="246"/>
        <v>2021</v>
      </c>
      <c r="D5172" s="13">
        <v>52500</v>
      </c>
      <c r="E5172" s="13">
        <v>77.251999999999995</v>
      </c>
      <c r="F5172" s="13">
        <f t="shared" si="247"/>
        <v>679.59405581732517</v>
      </c>
      <c r="G5172" s="13">
        <v>24500</v>
      </c>
      <c r="H5172" s="13">
        <v>27.909400000000002</v>
      </c>
      <c r="I5172" s="13">
        <f t="shared" si="248"/>
        <v>877.84044085505241</v>
      </c>
    </row>
    <row r="5173" spans="1:9" ht="12.75" x14ac:dyDescent="0.2">
      <c r="A5173" s="10">
        <v>44299</v>
      </c>
      <c r="B5173" s="12">
        <f t="shared" si="245"/>
        <v>4</v>
      </c>
      <c r="C5173" s="12">
        <f t="shared" si="246"/>
        <v>2021</v>
      </c>
      <c r="D5173" s="13">
        <v>52500</v>
      </c>
      <c r="E5173" s="13">
        <v>75.900000000000006</v>
      </c>
      <c r="F5173" s="13">
        <f t="shared" si="247"/>
        <v>691.699604743083</v>
      </c>
      <c r="G5173" s="13">
        <v>24500</v>
      </c>
      <c r="H5173" s="13">
        <v>27.933499999999999</v>
      </c>
      <c r="I5173" s="13">
        <f t="shared" si="248"/>
        <v>877.0830722967047</v>
      </c>
    </row>
    <row r="5174" spans="1:9" ht="12.75" x14ac:dyDescent="0.2">
      <c r="A5174" s="10">
        <v>44300</v>
      </c>
      <c r="B5174" s="12">
        <f t="shared" si="245"/>
        <v>4</v>
      </c>
      <c r="C5174" s="12">
        <f t="shared" si="246"/>
        <v>2021</v>
      </c>
      <c r="D5174" s="13">
        <v>52500</v>
      </c>
      <c r="E5174" s="13">
        <v>75.628</v>
      </c>
      <c r="F5174" s="13">
        <f t="shared" si="247"/>
        <v>694.18733802295446</v>
      </c>
      <c r="G5174" s="13">
        <v>24500</v>
      </c>
      <c r="H5174" s="13">
        <v>28.015599999999999</v>
      </c>
      <c r="I5174" s="13">
        <f t="shared" si="248"/>
        <v>874.51277145590313</v>
      </c>
    </row>
    <row r="5175" spans="1:9" ht="12.75" x14ac:dyDescent="0.2">
      <c r="A5175" s="10">
        <v>44301</v>
      </c>
      <c r="B5175" s="12">
        <f t="shared" si="245"/>
        <v>4</v>
      </c>
      <c r="C5175" s="12">
        <f t="shared" si="246"/>
        <v>2021</v>
      </c>
      <c r="D5175" s="13">
        <v>52500</v>
      </c>
      <c r="E5175" s="13">
        <v>76.308000000000007</v>
      </c>
      <c r="F5175" s="13">
        <f t="shared" si="247"/>
        <v>688.00125805944322</v>
      </c>
      <c r="G5175" s="13">
        <v>24700</v>
      </c>
      <c r="H5175" s="13">
        <v>27.976500000000001</v>
      </c>
      <c r="I5175" s="13">
        <f t="shared" si="248"/>
        <v>882.88384894464991</v>
      </c>
    </row>
    <row r="5176" spans="1:9" ht="12.75" x14ac:dyDescent="0.2">
      <c r="A5176" s="10">
        <v>44302</v>
      </c>
      <c r="B5176" s="12">
        <f t="shared" si="245"/>
        <v>4</v>
      </c>
      <c r="C5176" s="12">
        <f t="shared" si="246"/>
        <v>2021</v>
      </c>
      <c r="D5176" s="13">
        <v>52500</v>
      </c>
      <c r="E5176" s="13">
        <v>75.802499999999995</v>
      </c>
      <c r="F5176" s="13">
        <f t="shared" si="247"/>
        <v>692.58929454833287</v>
      </c>
      <c r="G5176" s="13">
        <v>24700</v>
      </c>
      <c r="H5176" s="13">
        <v>27.959199999999999</v>
      </c>
      <c r="I5176" s="13">
        <f t="shared" si="248"/>
        <v>883.4301410626914</v>
      </c>
    </row>
    <row r="5177" spans="1:9" ht="12.75" x14ac:dyDescent="0.2">
      <c r="A5177" s="10">
        <v>44305</v>
      </c>
      <c r="B5177" s="12">
        <f t="shared" si="245"/>
        <v>4</v>
      </c>
      <c r="C5177" s="12">
        <f t="shared" si="246"/>
        <v>2021</v>
      </c>
      <c r="D5177" s="13">
        <v>52250</v>
      </c>
      <c r="E5177" s="13">
        <v>76.271000000000001</v>
      </c>
      <c r="F5177" s="13">
        <f t="shared" si="247"/>
        <v>685.05723013989586</v>
      </c>
      <c r="G5177" s="13">
        <v>24700</v>
      </c>
      <c r="H5177" s="13">
        <v>27.978300000000001</v>
      </c>
      <c r="I5177" s="13">
        <f t="shared" si="248"/>
        <v>882.8270481051386</v>
      </c>
    </row>
    <row r="5178" spans="1:9" ht="12.75" x14ac:dyDescent="0.2">
      <c r="A5178" s="10">
        <v>44306</v>
      </c>
      <c r="B5178" s="12">
        <f t="shared" si="245"/>
        <v>4</v>
      </c>
      <c r="C5178" s="12">
        <f t="shared" si="246"/>
        <v>2021</v>
      </c>
      <c r="D5178" s="13">
        <v>52250</v>
      </c>
      <c r="E5178" s="13">
        <v>76.763999999999996</v>
      </c>
      <c r="F5178" s="13">
        <f t="shared" si="247"/>
        <v>680.65759991662765</v>
      </c>
      <c r="G5178" s="13">
        <v>24700</v>
      </c>
      <c r="H5178" s="13">
        <v>28.008700000000001</v>
      </c>
      <c r="I5178" s="13">
        <f t="shared" si="248"/>
        <v>881.86884789369014</v>
      </c>
    </row>
    <row r="5179" spans="1:9" ht="12.75" x14ac:dyDescent="0.2">
      <c r="A5179" s="10">
        <v>44307</v>
      </c>
      <c r="B5179" s="12">
        <f t="shared" si="245"/>
        <v>4</v>
      </c>
      <c r="C5179" s="12">
        <f t="shared" si="246"/>
        <v>2021</v>
      </c>
      <c r="D5179" s="13">
        <v>52250</v>
      </c>
      <c r="E5179" s="13">
        <v>76.454999999999998</v>
      </c>
      <c r="F5179" s="13">
        <f t="shared" si="247"/>
        <v>683.40854097181352</v>
      </c>
      <c r="G5179" s="13">
        <v>25000</v>
      </c>
      <c r="H5179" s="13">
        <v>28.009599999999999</v>
      </c>
      <c r="I5179" s="13">
        <f t="shared" si="248"/>
        <v>892.55112532845885</v>
      </c>
    </row>
    <row r="5180" spans="1:9" ht="12.75" x14ac:dyDescent="0.2">
      <c r="A5180" s="10">
        <v>44308</v>
      </c>
      <c r="B5180" s="12">
        <f t="shared" si="245"/>
        <v>4</v>
      </c>
      <c r="C5180" s="12">
        <f t="shared" si="246"/>
        <v>2021</v>
      </c>
      <c r="D5180" s="13">
        <v>52250</v>
      </c>
      <c r="E5180" s="13">
        <v>75.215000000000003</v>
      </c>
      <c r="F5180" s="13">
        <f t="shared" si="247"/>
        <v>694.6752642425048</v>
      </c>
      <c r="G5180" s="13">
        <v>25000</v>
      </c>
      <c r="H5180" s="13">
        <v>28.057600000000001</v>
      </c>
      <c r="I5180" s="13">
        <f t="shared" si="248"/>
        <v>891.02417883211672</v>
      </c>
    </row>
    <row r="5181" spans="1:9" ht="12.75" x14ac:dyDescent="0.2">
      <c r="A5181" s="10">
        <v>44309</v>
      </c>
      <c r="B5181" s="12">
        <f t="shared" si="245"/>
        <v>4</v>
      </c>
      <c r="C5181" s="12">
        <f t="shared" si="246"/>
        <v>2021</v>
      </c>
      <c r="D5181" s="13">
        <v>52250</v>
      </c>
      <c r="E5181" s="13">
        <v>74.707999999999998</v>
      </c>
      <c r="F5181" s="13">
        <f t="shared" si="247"/>
        <v>699.38962360122082</v>
      </c>
      <c r="G5181" s="13">
        <v>25000</v>
      </c>
      <c r="H5181" s="13">
        <v>28.0642</v>
      </c>
      <c r="I5181" s="13">
        <f t="shared" si="248"/>
        <v>890.81463216482211</v>
      </c>
    </row>
    <row r="5182" spans="1:9" ht="12.75" x14ac:dyDescent="0.2">
      <c r="A5182" s="10">
        <v>44312</v>
      </c>
      <c r="B5182" s="12">
        <f t="shared" si="245"/>
        <v>4</v>
      </c>
      <c r="C5182" s="12">
        <f t="shared" si="246"/>
        <v>2021</v>
      </c>
      <c r="D5182" s="13">
        <v>52000</v>
      </c>
      <c r="E5182" s="13">
        <v>74.95</v>
      </c>
      <c r="F5182" s="13">
        <f t="shared" si="247"/>
        <v>693.79586390927284</v>
      </c>
      <c r="G5182" s="13">
        <v>25000</v>
      </c>
      <c r="H5182" s="13">
        <v>27.901399999999999</v>
      </c>
      <c r="I5182" s="13">
        <f t="shared" si="248"/>
        <v>896.01238647523064</v>
      </c>
    </row>
    <row r="5183" spans="1:9" ht="12.75" x14ac:dyDescent="0.2">
      <c r="A5183" s="10">
        <v>44313</v>
      </c>
      <c r="B5183" s="12">
        <f t="shared" si="245"/>
        <v>4</v>
      </c>
      <c r="C5183" s="12">
        <f t="shared" si="246"/>
        <v>2021</v>
      </c>
      <c r="D5183" s="13">
        <v>52000</v>
      </c>
      <c r="E5183" s="13">
        <v>74.887</v>
      </c>
      <c r="F5183" s="13">
        <f t="shared" si="247"/>
        <v>694.37953182795411</v>
      </c>
      <c r="G5183" s="13">
        <v>25000</v>
      </c>
      <c r="H5183" s="13">
        <v>27.855799999999999</v>
      </c>
      <c r="I5183" s="13">
        <f t="shared" si="248"/>
        <v>897.47916053389247</v>
      </c>
    </row>
    <row r="5184" spans="1:9" ht="12.75" x14ac:dyDescent="0.2">
      <c r="A5184" s="10">
        <v>44314</v>
      </c>
      <c r="B5184" s="12">
        <f t="shared" si="245"/>
        <v>4</v>
      </c>
      <c r="C5184" s="12">
        <f t="shared" si="246"/>
        <v>2021</v>
      </c>
      <c r="D5184" s="13">
        <v>52000</v>
      </c>
      <c r="E5184" s="13">
        <v>74.324600000000004</v>
      </c>
      <c r="F5184" s="13">
        <f t="shared" si="247"/>
        <v>699.63376863111273</v>
      </c>
      <c r="G5184" s="13">
        <v>24500</v>
      </c>
      <c r="H5184" s="13">
        <v>27.7715</v>
      </c>
      <c r="I5184" s="13">
        <f t="shared" si="248"/>
        <v>882.19937705921541</v>
      </c>
    </row>
    <row r="5185" spans="1:9" ht="12.75" x14ac:dyDescent="0.2">
      <c r="A5185" s="10">
        <v>44315</v>
      </c>
      <c r="B5185" s="12">
        <f t="shared" si="245"/>
        <v>4</v>
      </c>
      <c r="C5185" s="12">
        <f t="shared" si="246"/>
        <v>2021</v>
      </c>
      <c r="D5185" s="13">
        <v>52000</v>
      </c>
      <c r="E5185" s="13">
        <v>74.472499999999997</v>
      </c>
      <c r="F5185" s="13">
        <f t="shared" si="247"/>
        <v>698.24431837255361</v>
      </c>
      <c r="G5185" s="13">
        <v>24000</v>
      </c>
      <c r="H5185" s="13">
        <v>27.7867</v>
      </c>
      <c r="I5185" s="13">
        <f t="shared" si="248"/>
        <v>863.72257230977414</v>
      </c>
    </row>
    <row r="5186" spans="1:9" ht="12.75" x14ac:dyDescent="0.2">
      <c r="A5186" s="10">
        <v>44316</v>
      </c>
      <c r="B5186" s="12">
        <f t="shared" si="245"/>
        <v>4</v>
      </c>
      <c r="C5186" s="12">
        <f t="shared" si="246"/>
        <v>2021</v>
      </c>
      <c r="D5186" s="13">
        <v>52000</v>
      </c>
      <c r="E5186" s="13">
        <v>75.16</v>
      </c>
      <c r="F5186" s="13">
        <f t="shared" si="247"/>
        <v>691.85737094199044</v>
      </c>
      <c r="G5186" s="13">
        <v>24000</v>
      </c>
      <c r="H5186" s="13">
        <v>27.75</v>
      </c>
      <c r="I5186" s="13">
        <f t="shared" si="248"/>
        <v>864.8648648648649</v>
      </c>
    </row>
    <row r="5187" spans="1:9" ht="12.75" x14ac:dyDescent="0.2">
      <c r="A5187" s="10">
        <v>44319</v>
      </c>
      <c r="B5187" s="12">
        <f t="shared" si="245"/>
        <v>5</v>
      </c>
      <c r="C5187" s="12">
        <f t="shared" si="246"/>
        <v>2021</v>
      </c>
      <c r="D5187" s="13">
        <v>52000</v>
      </c>
      <c r="E5187" s="13">
        <v>74.852000000000004</v>
      </c>
      <c r="F5187" s="13">
        <f t="shared" si="247"/>
        <v>694.70421632020521</v>
      </c>
      <c r="H5187" s="13">
        <f>(H$5189-H$5186)/3+H5186</f>
        <v>27.744333333333334</v>
      </c>
      <c r="I5187" s="13" t="str">
        <f t="shared" si="248"/>
        <v/>
      </c>
    </row>
    <row r="5188" spans="1:9" ht="12.75" x14ac:dyDescent="0.2">
      <c r="A5188" s="10">
        <v>44320</v>
      </c>
      <c r="B5188" s="12">
        <f t="shared" si="245"/>
        <v>5</v>
      </c>
      <c r="C5188" s="12">
        <f t="shared" si="246"/>
        <v>2021</v>
      </c>
      <c r="D5188" s="13">
        <v>52000</v>
      </c>
      <c r="E5188" s="13">
        <v>74.555000000000007</v>
      </c>
      <c r="F5188" s="13">
        <f t="shared" si="247"/>
        <v>697.47166521360066</v>
      </c>
      <c r="G5188" s="13">
        <v>24000</v>
      </c>
      <c r="H5188" s="13">
        <f>(H$5189-H$5186)/3+H5187</f>
        <v>27.738666666666667</v>
      </c>
      <c r="I5188" s="13">
        <f t="shared" si="248"/>
        <v>865.21822726398773</v>
      </c>
    </row>
    <row r="5189" spans="1:9" ht="12.75" x14ac:dyDescent="0.2">
      <c r="A5189" s="10">
        <v>44321</v>
      </c>
      <c r="B5189" s="12">
        <f t="shared" si="245"/>
        <v>5</v>
      </c>
      <c r="C5189" s="12">
        <f t="shared" si="246"/>
        <v>2021</v>
      </c>
      <c r="D5189" s="13">
        <v>52000</v>
      </c>
      <c r="E5189" s="13">
        <v>74.701999999999998</v>
      </c>
      <c r="F5189" s="13">
        <f t="shared" si="247"/>
        <v>696.0991673583037</v>
      </c>
      <c r="G5189" s="13">
        <v>24000</v>
      </c>
      <c r="H5189" s="13">
        <v>27.733000000000001</v>
      </c>
      <c r="I5189" s="13">
        <f t="shared" si="248"/>
        <v>865.39501676702844</v>
      </c>
    </row>
    <row r="5190" spans="1:9" ht="12.75" x14ac:dyDescent="0.2">
      <c r="A5190" s="10">
        <v>44322</v>
      </c>
      <c r="B5190" s="12">
        <f t="shared" si="245"/>
        <v>5</v>
      </c>
      <c r="C5190" s="12">
        <f t="shared" si="246"/>
        <v>2021</v>
      </c>
      <c r="D5190" s="13">
        <v>52000</v>
      </c>
      <c r="E5190" s="13">
        <v>74.174000000000007</v>
      </c>
      <c r="F5190" s="13">
        <f t="shared" si="247"/>
        <v>701.05427777927571</v>
      </c>
      <c r="G5190" s="13">
        <v>24000</v>
      </c>
      <c r="H5190" s="13">
        <v>27.733899999999998</v>
      </c>
      <c r="I5190" s="13">
        <f t="shared" si="248"/>
        <v>865.36693360832771</v>
      </c>
    </row>
    <row r="5191" spans="1:9" ht="12.75" x14ac:dyDescent="0.2">
      <c r="A5191" s="10">
        <v>44323</v>
      </c>
      <c r="B5191" s="12">
        <f t="shared" ref="B5191:B5254" si="249">MONTH(A5191)</f>
        <v>5</v>
      </c>
      <c r="C5191" s="12">
        <f t="shared" ref="C5191:C5254" si="250">YEAR(A5191)</f>
        <v>2021</v>
      </c>
      <c r="D5191" s="13">
        <v>52000</v>
      </c>
      <c r="E5191" s="13">
        <v>73.56</v>
      </c>
      <c r="F5191" s="13">
        <f t="shared" ref="F5191:F5254" si="251">IF(D5191="","",D5191/E5191)</f>
        <v>706.90592713431215</v>
      </c>
      <c r="G5191" s="13">
        <v>24000</v>
      </c>
      <c r="H5191" s="13">
        <v>27.720500000000001</v>
      </c>
      <c r="I5191" s="13">
        <f t="shared" si="248"/>
        <v>865.78524918381697</v>
      </c>
    </row>
    <row r="5192" spans="1:9" ht="12.75" x14ac:dyDescent="0.2">
      <c r="A5192" s="10">
        <v>44326</v>
      </c>
      <c r="B5192" s="12">
        <f t="shared" si="249"/>
        <v>5</v>
      </c>
      <c r="C5192" s="12">
        <f t="shared" si="250"/>
        <v>2021</v>
      </c>
      <c r="D5192" s="13">
        <v>52000</v>
      </c>
      <c r="E5192" s="13">
        <v>74.232500000000002</v>
      </c>
      <c r="F5192" s="13">
        <f t="shared" si="251"/>
        <v>700.50180177146126</v>
      </c>
      <c r="G5192" s="13">
        <v>24000</v>
      </c>
      <c r="H5192" s="13">
        <f>AVERAGE(H5191,H5193)</f>
        <v>27.7423</v>
      </c>
      <c r="I5192" s="13">
        <f t="shared" si="248"/>
        <v>865.10491199359819</v>
      </c>
    </row>
    <row r="5193" spans="1:9" ht="12.75" x14ac:dyDescent="0.2">
      <c r="A5193" s="10">
        <v>44327</v>
      </c>
      <c r="B5193" s="12">
        <f t="shared" si="249"/>
        <v>5</v>
      </c>
      <c r="C5193" s="12">
        <f t="shared" si="250"/>
        <v>2021</v>
      </c>
      <c r="D5193" s="13">
        <v>52000</v>
      </c>
      <c r="E5193" s="13">
        <v>73.95</v>
      </c>
      <c r="F5193" s="13">
        <f t="shared" si="251"/>
        <v>703.17782285327917</v>
      </c>
      <c r="G5193" s="13">
        <v>24000</v>
      </c>
      <c r="H5193" s="13">
        <v>27.764099999999999</v>
      </c>
      <c r="I5193" s="13">
        <f t="shared" si="248"/>
        <v>864.4256431867052</v>
      </c>
    </row>
    <row r="5194" spans="1:9" ht="12.75" x14ac:dyDescent="0.2">
      <c r="A5194" s="10">
        <v>44328</v>
      </c>
      <c r="B5194" s="12">
        <f t="shared" si="249"/>
        <v>5</v>
      </c>
      <c r="C5194" s="12">
        <f t="shared" si="250"/>
        <v>2021</v>
      </c>
      <c r="D5194" s="13">
        <v>52000</v>
      </c>
      <c r="E5194" s="13">
        <v>74.48</v>
      </c>
      <c r="F5194" s="13">
        <f t="shared" si="251"/>
        <v>698.17400644468307</v>
      </c>
      <c r="G5194" s="13">
        <v>24000</v>
      </c>
      <c r="H5194" s="13">
        <v>27.674399999999999</v>
      </c>
      <c r="I5194" s="13">
        <f t="shared" si="248"/>
        <v>867.22747376636892</v>
      </c>
    </row>
    <row r="5195" spans="1:9" ht="12.75" x14ac:dyDescent="0.2">
      <c r="A5195" s="10">
        <v>44329</v>
      </c>
      <c r="B5195" s="12">
        <f t="shared" si="249"/>
        <v>5</v>
      </c>
      <c r="C5195" s="12">
        <f t="shared" si="250"/>
        <v>2021</v>
      </c>
      <c r="D5195" s="13">
        <v>52000</v>
      </c>
      <c r="E5195" s="13">
        <v>73.98</v>
      </c>
      <c r="F5195" s="13">
        <f t="shared" si="251"/>
        <v>702.89267369559332</v>
      </c>
      <c r="G5195" s="13">
        <v>24000</v>
      </c>
      <c r="H5195" s="13">
        <v>27.631799999999998</v>
      </c>
      <c r="I5195" s="13">
        <f t="shared" si="248"/>
        <v>868.56448005558821</v>
      </c>
    </row>
    <row r="5196" spans="1:9" ht="12.75" x14ac:dyDescent="0.2">
      <c r="A5196" s="10">
        <v>44330</v>
      </c>
      <c r="B5196" s="12">
        <f t="shared" si="249"/>
        <v>5</v>
      </c>
      <c r="C5196" s="12">
        <f t="shared" si="250"/>
        <v>2021</v>
      </c>
      <c r="D5196" s="13">
        <v>52000</v>
      </c>
      <c r="E5196" s="13">
        <v>73.852000000000004</v>
      </c>
      <c r="F5196" s="13">
        <f t="shared" si="251"/>
        <v>704.11092455180631</v>
      </c>
      <c r="G5196" s="13">
        <v>24000</v>
      </c>
      <c r="H5196" s="13">
        <v>27.627300000000002</v>
      </c>
      <c r="I5196" s="13">
        <f t="shared" si="248"/>
        <v>868.70595389343146</v>
      </c>
    </row>
    <row r="5197" spans="1:9" ht="12.75" x14ac:dyDescent="0.2">
      <c r="A5197" s="10">
        <v>44333</v>
      </c>
      <c r="B5197" s="12">
        <f t="shared" si="249"/>
        <v>5</v>
      </c>
      <c r="C5197" s="12">
        <f t="shared" si="250"/>
        <v>2021</v>
      </c>
      <c r="D5197" s="13">
        <v>52250</v>
      </c>
      <c r="E5197" s="13">
        <v>73.768000000000001</v>
      </c>
      <c r="F5197" s="13">
        <f t="shared" si="251"/>
        <v>708.30170263528896</v>
      </c>
      <c r="G5197" s="13">
        <v>24000</v>
      </c>
      <c r="H5197" s="13">
        <v>27.6142</v>
      </c>
      <c r="I5197" s="13">
        <f t="shared" si="248"/>
        <v>869.11806244613274</v>
      </c>
    </row>
    <row r="5198" spans="1:9" ht="12.75" x14ac:dyDescent="0.2">
      <c r="A5198" s="10">
        <v>44334</v>
      </c>
      <c r="B5198" s="12">
        <f t="shared" si="249"/>
        <v>5</v>
      </c>
      <c r="C5198" s="12">
        <f t="shared" si="250"/>
        <v>2021</v>
      </c>
      <c r="D5198" s="13">
        <v>52250</v>
      </c>
      <c r="E5198" s="13">
        <v>73.552000000000007</v>
      </c>
      <c r="F5198" s="13">
        <f t="shared" si="251"/>
        <v>710.38177072003475</v>
      </c>
      <c r="G5198" s="13">
        <v>23500</v>
      </c>
      <c r="H5198" s="13">
        <v>27.555</v>
      </c>
      <c r="I5198" s="13">
        <f t="shared" si="248"/>
        <v>852.83977499546359</v>
      </c>
    </row>
    <row r="5199" spans="1:9" ht="12.75" x14ac:dyDescent="0.2">
      <c r="A5199" s="10">
        <v>44335</v>
      </c>
      <c r="B5199" s="12">
        <f t="shared" si="249"/>
        <v>5</v>
      </c>
      <c r="C5199" s="12">
        <f t="shared" si="250"/>
        <v>2021</v>
      </c>
      <c r="D5199" s="13">
        <v>52250</v>
      </c>
      <c r="E5199" s="13">
        <v>73.697299999999998</v>
      </c>
      <c r="F5199" s="13">
        <f t="shared" si="251"/>
        <v>708.98119741157416</v>
      </c>
      <c r="G5199" s="13">
        <v>23500</v>
      </c>
      <c r="H5199" s="13">
        <v>27.436800000000002</v>
      </c>
      <c r="I5199" s="13">
        <f t="shared" si="248"/>
        <v>856.51387916958242</v>
      </c>
    </row>
    <row r="5200" spans="1:9" ht="12.75" x14ac:dyDescent="0.2">
      <c r="A5200" s="10">
        <v>44336</v>
      </c>
      <c r="B5200" s="12">
        <f t="shared" si="249"/>
        <v>5</v>
      </c>
      <c r="C5200" s="12">
        <f t="shared" si="250"/>
        <v>2021</v>
      </c>
      <c r="D5200" s="13">
        <v>52250</v>
      </c>
      <c r="E5200" s="13">
        <v>73.45</v>
      </c>
      <c r="F5200" s="13">
        <f t="shared" si="251"/>
        <v>711.36827773995913</v>
      </c>
      <c r="G5200" s="13">
        <v>22500</v>
      </c>
      <c r="H5200" s="13">
        <v>27.416599999999999</v>
      </c>
      <c r="I5200" s="13">
        <f t="shared" si="248"/>
        <v>820.67068856094488</v>
      </c>
    </row>
    <row r="5201" spans="1:9" ht="12.75" x14ac:dyDescent="0.2">
      <c r="A5201" s="10">
        <v>44337</v>
      </c>
      <c r="B5201" s="12">
        <f t="shared" si="249"/>
        <v>5</v>
      </c>
      <c r="C5201" s="12">
        <f t="shared" si="250"/>
        <v>2021</v>
      </c>
      <c r="D5201" s="13">
        <v>52250</v>
      </c>
      <c r="E5201" s="13">
        <v>73.503</v>
      </c>
      <c r="F5201" s="13">
        <f t="shared" si="251"/>
        <v>710.8553392378542</v>
      </c>
      <c r="G5201" s="13">
        <v>22500</v>
      </c>
      <c r="H5201" s="13">
        <v>27.4665</v>
      </c>
      <c r="I5201" s="13">
        <f t="shared" si="248"/>
        <v>819.17972803233033</v>
      </c>
    </row>
    <row r="5202" spans="1:9" ht="12.75" x14ac:dyDescent="0.2">
      <c r="A5202" s="10">
        <v>44340</v>
      </c>
      <c r="B5202" s="12">
        <f t="shared" si="249"/>
        <v>5</v>
      </c>
      <c r="C5202" s="12">
        <f t="shared" si="250"/>
        <v>2021</v>
      </c>
      <c r="D5202" s="13">
        <v>52500</v>
      </c>
      <c r="E5202" s="13">
        <v>73.402000000000001</v>
      </c>
      <c r="F5202" s="13">
        <f t="shared" si="251"/>
        <v>715.23936677474728</v>
      </c>
      <c r="G5202" s="13">
        <v>22000</v>
      </c>
      <c r="H5202" s="13">
        <v>27.4572</v>
      </c>
      <c r="I5202" s="13">
        <f t="shared" si="248"/>
        <v>801.24703174395063</v>
      </c>
    </row>
    <row r="5203" spans="1:9" ht="12.75" x14ac:dyDescent="0.2">
      <c r="A5203" s="10">
        <v>44341</v>
      </c>
      <c r="B5203" s="12">
        <f t="shared" si="249"/>
        <v>5</v>
      </c>
      <c r="C5203" s="12">
        <f t="shared" si="250"/>
        <v>2021</v>
      </c>
      <c r="D5203" s="13">
        <v>52500</v>
      </c>
      <c r="E5203" s="13">
        <v>73.449600000000004</v>
      </c>
      <c r="F5203" s="13">
        <f t="shared" si="251"/>
        <v>714.77584629460193</v>
      </c>
      <c r="G5203" s="13">
        <v>21500</v>
      </c>
      <c r="H5203" s="13">
        <v>27.428100000000001</v>
      </c>
      <c r="I5203" s="13">
        <f t="shared" si="248"/>
        <v>783.86763939171874</v>
      </c>
    </row>
    <row r="5204" spans="1:9" ht="12.75" x14ac:dyDescent="0.2">
      <c r="A5204" s="10">
        <v>44342</v>
      </c>
      <c r="B5204" s="12">
        <f t="shared" si="249"/>
        <v>5</v>
      </c>
      <c r="C5204" s="12">
        <f t="shared" si="250"/>
        <v>2021</v>
      </c>
      <c r="D5204" s="13">
        <v>52500</v>
      </c>
      <c r="E5204" s="13">
        <v>73.438999999999993</v>
      </c>
      <c r="F5204" s="13">
        <f t="shared" si="251"/>
        <v>714.8790152371356</v>
      </c>
      <c r="G5204" s="13">
        <v>21000</v>
      </c>
      <c r="H5204" s="13">
        <v>27.455300000000001</v>
      </c>
      <c r="I5204" s="13">
        <f t="shared" si="248"/>
        <v>764.8796407251059</v>
      </c>
    </row>
    <row r="5205" spans="1:9" ht="12.75" x14ac:dyDescent="0.2">
      <c r="A5205" s="10">
        <v>44343</v>
      </c>
      <c r="B5205" s="12">
        <f t="shared" si="249"/>
        <v>5</v>
      </c>
      <c r="C5205" s="12">
        <f t="shared" si="250"/>
        <v>2021</v>
      </c>
      <c r="D5205" s="13">
        <v>52500</v>
      </c>
      <c r="E5205" s="13">
        <v>73.322000000000003</v>
      </c>
      <c r="F5205" s="13">
        <f t="shared" si="251"/>
        <v>716.01974850658735</v>
      </c>
      <c r="G5205" s="13">
        <v>20500</v>
      </c>
      <c r="H5205" s="13">
        <v>27.546099999999999</v>
      </c>
      <c r="I5205" s="13">
        <f t="shared" si="248"/>
        <v>744.20698392875943</v>
      </c>
    </row>
    <row r="5206" spans="1:9" ht="12.75" x14ac:dyDescent="0.2">
      <c r="A5206" s="10">
        <v>44344</v>
      </c>
      <c r="B5206" s="12">
        <f t="shared" si="249"/>
        <v>5</v>
      </c>
      <c r="C5206" s="12">
        <f t="shared" si="250"/>
        <v>2021</v>
      </c>
      <c r="D5206" s="13">
        <v>52500</v>
      </c>
      <c r="E5206" s="13">
        <v>73.003</v>
      </c>
      <c r="F5206" s="13">
        <f t="shared" si="251"/>
        <v>719.14852814267908</v>
      </c>
      <c r="G5206" s="13">
        <v>18500</v>
      </c>
      <c r="H5206" s="13">
        <v>27.526</v>
      </c>
      <c r="I5206" s="13">
        <f t="shared" si="248"/>
        <v>672.09184044176413</v>
      </c>
    </row>
    <row r="5207" spans="1:9" ht="12.75" x14ac:dyDescent="0.2">
      <c r="A5207" s="10">
        <v>44347</v>
      </c>
      <c r="B5207" s="12">
        <f t="shared" si="249"/>
        <v>5</v>
      </c>
      <c r="C5207" s="12">
        <f t="shared" si="250"/>
        <v>2021</v>
      </c>
      <c r="D5207" s="13">
        <v>51500</v>
      </c>
      <c r="E5207" s="13">
        <v>73.25</v>
      </c>
      <c r="F5207" s="13">
        <f t="shared" si="251"/>
        <v>703.07167235494876</v>
      </c>
      <c r="H5207" s="13">
        <v>27.500399999999999</v>
      </c>
      <c r="I5207" s="13" t="str">
        <f t="shared" si="248"/>
        <v/>
      </c>
    </row>
    <row r="5208" spans="1:9" ht="12.75" x14ac:dyDescent="0.2">
      <c r="A5208" s="10">
        <v>44348</v>
      </c>
      <c r="B5208" s="12">
        <f t="shared" si="249"/>
        <v>6</v>
      </c>
      <c r="C5208" s="12">
        <f t="shared" si="250"/>
        <v>2021</v>
      </c>
      <c r="D5208" s="13">
        <v>51500</v>
      </c>
      <c r="E5208" s="13">
        <v>73.44</v>
      </c>
      <c r="F5208" s="13">
        <f t="shared" si="251"/>
        <v>701.2527233115469</v>
      </c>
      <c r="G5208" s="13">
        <v>18000</v>
      </c>
      <c r="H5208" s="13">
        <v>27.467400000000001</v>
      </c>
      <c r="I5208" s="13">
        <f t="shared" si="248"/>
        <v>655.32230935581811</v>
      </c>
    </row>
    <row r="5209" spans="1:9" ht="12.75" x14ac:dyDescent="0.2">
      <c r="A5209" s="10">
        <v>44349</v>
      </c>
      <c r="B5209" s="12">
        <f t="shared" si="249"/>
        <v>6</v>
      </c>
      <c r="C5209" s="12">
        <f t="shared" si="250"/>
        <v>2021</v>
      </c>
      <c r="D5209" s="13">
        <v>51500</v>
      </c>
      <c r="E5209" s="13">
        <v>73.052000000000007</v>
      </c>
      <c r="F5209" s="13">
        <f t="shared" si="251"/>
        <v>704.97727646060332</v>
      </c>
      <c r="G5209" s="13">
        <v>16500</v>
      </c>
      <c r="H5209" s="13">
        <v>27.438099999999999</v>
      </c>
      <c r="I5209" s="13">
        <f t="shared" si="248"/>
        <v>601.35359226768617</v>
      </c>
    </row>
    <row r="5210" spans="1:9" ht="12.75" x14ac:dyDescent="0.2">
      <c r="A5210" s="10">
        <v>44350</v>
      </c>
      <c r="B5210" s="12">
        <f t="shared" si="249"/>
        <v>6</v>
      </c>
      <c r="C5210" s="12">
        <f t="shared" si="250"/>
        <v>2021</v>
      </c>
      <c r="D5210" s="13">
        <v>51500</v>
      </c>
      <c r="E5210" s="13">
        <v>72.939599999999999</v>
      </c>
      <c r="F5210" s="13">
        <f t="shared" si="251"/>
        <v>706.06364718205202</v>
      </c>
      <c r="G5210" s="13">
        <v>17000</v>
      </c>
      <c r="H5210" s="13">
        <v>27.344899999999999</v>
      </c>
      <c r="I5210" s="13">
        <f t="shared" si="248"/>
        <v>621.68813928739917</v>
      </c>
    </row>
    <row r="5211" spans="1:9" ht="12.75" x14ac:dyDescent="0.2">
      <c r="A5211" s="10">
        <v>44351</v>
      </c>
      <c r="B5211" s="12">
        <f t="shared" si="249"/>
        <v>6</v>
      </c>
      <c r="C5211" s="12">
        <f t="shared" si="250"/>
        <v>2021</v>
      </c>
      <c r="D5211" s="13">
        <v>51500</v>
      </c>
      <c r="E5211" s="13">
        <v>72.739999999999995</v>
      </c>
      <c r="F5211" s="13">
        <f t="shared" si="251"/>
        <v>708.00109980753371</v>
      </c>
      <c r="G5211" s="13">
        <v>18000</v>
      </c>
      <c r="H5211" s="13">
        <v>27.34</v>
      </c>
      <c r="I5211" s="13">
        <f t="shared" si="248"/>
        <v>658.37600585223117</v>
      </c>
    </row>
    <row r="5212" spans="1:9" ht="12.75" x14ac:dyDescent="0.2">
      <c r="A5212" s="10">
        <v>44354</v>
      </c>
      <c r="B5212" s="12">
        <f t="shared" si="249"/>
        <v>6</v>
      </c>
      <c r="C5212" s="12">
        <f t="shared" si="250"/>
        <v>2021</v>
      </c>
      <c r="D5212" s="13">
        <v>46250</v>
      </c>
      <c r="E5212" s="13">
        <v>72.728300000000004</v>
      </c>
      <c r="F5212" s="13">
        <f t="shared" si="251"/>
        <v>635.9285175096901</v>
      </c>
      <c r="G5212" s="13">
        <v>18300</v>
      </c>
      <c r="H5212" s="13">
        <v>27.291399999999999</v>
      </c>
      <c r="I5212" s="13">
        <f t="shared" si="248"/>
        <v>670.54090299508266</v>
      </c>
    </row>
    <row r="5213" spans="1:9" ht="12.75" x14ac:dyDescent="0.2">
      <c r="A5213" s="10">
        <v>44355</v>
      </c>
      <c r="B5213" s="12">
        <f t="shared" si="249"/>
        <v>6</v>
      </c>
      <c r="C5213" s="12">
        <f t="shared" si="250"/>
        <v>2021</v>
      </c>
      <c r="D5213" s="13">
        <v>46250</v>
      </c>
      <c r="E5213" s="13">
        <v>72.210800000000006</v>
      </c>
      <c r="F5213" s="13">
        <f t="shared" si="251"/>
        <v>640.48591069479903</v>
      </c>
      <c r="G5213" s="13">
        <v>19000</v>
      </c>
      <c r="H5213" s="13">
        <v>27.192299999999999</v>
      </c>
      <c r="I5213" s="13">
        <f t="shared" si="248"/>
        <v>698.7272132184479</v>
      </c>
    </row>
    <row r="5214" spans="1:9" ht="12.75" x14ac:dyDescent="0.2">
      <c r="A5214" s="10">
        <v>44356</v>
      </c>
      <c r="B5214" s="12">
        <f t="shared" si="249"/>
        <v>6</v>
      </c>
      <c r="C5214" s="12">
        <f t="shared" si="250"/>
        <v>2021</v>
      </c>
      <c r="D5214" s="13">
        <v>46250</v>
      </c>
      <c r="E5214" s="13">
        <v>72.259</v>
      </c>
      <c r="F5214" s="13">
        <f t="shared" si="251"/>
        <v>640.0586778117605</v>
      </c>
      <c r="G5214" s="13">
        <v>19000</v>
      </c>
      <c r="H5214" s="13">
        <v>27.176400000000001</v>
      </c>
      <c r="I5214" s="13">
        <f t="shared" si="248"/>
        <v>699.1360150719006</v>
      </c>
    </row>
    <row r="5215" spans="1:9" ht="12.75" x14ac:dyDescent="0.2">
      <c r="A5215" s="10">
        <v>44357</v>
      </c>
      <c r="B5215" s="12">
        <f t="shared" si="249"/>
        <v>6</v>
      </c>
      <c r="C5215" s="12">
        <f t="shared" si="250"/>
        <v>2021</v>
      </c>
      <c r="D5215" s="13">
        <v>46250</v>
      </c>
      <c r="E5215" s="13">
        <v>71.73</v>
      </c>
      <c r="F5215" s="13">
        <f t="shared" si="251"/>
        <v>644.77903248292205</v>
      </c>
      <c r="G5215" s="13">
        <v>19000</v>
      </c>
      <c r="H5215" s="13">
        <v>27.090599999999998</v>
      </c>
      <c r="I5215" s="13">
        <f t="shared" si="248"/>
        <v>701.35028386229919</v>
      </c>
    </row>
    <row r="5216" spans="1:9" ht="12.75" x14ac:dyDescent="0.2">
      <c r="A5216" s="10">
        <v>44358</v>
      </c>
      <c r="B5216" s="12">
        <f t="shared" si="249"/>
        <v>6</v>
      </c>
      <c r="C5216" s="12">
        <f t="shared" si="250"/>
        <v>2021</v>
      </c>
      <c r="D5216" s="13">
        <v>46250</v>
      </c>
      <c r="E5216" s="13">
        <v>71.802999999999997</v>
      </c>
      <c r="F5216" s="13">
        <f t="shared" si="251"/>
        <v>644.1235045889448</v>
      </c>
      <c r="G5216" s="13">
        <v>19000</v>
      </c>
      <c r="H5216" s="13">
        <v>27.1068</v>
      </c>
      <c r="I5216" s="13">
        <f t="shared" si="248"/>
        <v>700.93113167175761</v>
      </c>
    </row>
    <row r="5217" spans="1:9" ht="12.75" x14ac:dyDescent="0.2">
      <c r="A5217" s="10">
        <v>44361</v>
      </c>
      <c r="B5217" s="12">
        <f t="shared" si="249"/>
        <v>6</v>
      </c>
      <c r="C5217" s="12">
        <f t="shared" si="250"/>
        <v>2021</v>
      </c>
      <c r="D5217" s="13">
        <v>45500</v>
      </c>
      <c r="E5217" s="13">
        <v>71.974000000000004</v>
      </c>
      <c r="F5217" s="13">
        <f t="shared" si="251"/>
        <v>632.17272904104254</v>
      </c>
      <c r="G5217" s="13">
        <v>18500</v>
      </c>
      <c r="H5217" s="13">
        <v>27.040400000000002</v>
      </c>
      <c r="I5217" s="13">
        <f t="shared" si="248"/>
        <v>684.16147690122921</v>
      </c>
    </row>
    <row r="5218" spans="1:9" ht="12.75" x14ac:dyDescent="0.2">
      <c r="A5218" s="10">
        <v>44362</v>
      </c>
      <c r="B5218" s="12">
        <f t="shared" si="249"/>
        <v>6</v>
      </c>
      <c r="C5218" s="12">
        <f t="shared" si="250"/>
        <v>2021</v>
      </c>
      <c r="D5218" s="13">
        <v>45500</v>
      </c>
      <c r="E5218" s="13">
        <v>72.174999999999997</v>
      </c>
      <c r="F5218" s="13">
        <f t="shared" si="251"/>
        <v>630.41219258746105</v>
      </c>
      <c r="G5218" s="13">
        <v>18000</v>
      </c>
      <c r="H5218" s="13">
        <v>26.995699999999999</v>
      </c>
      <c r="I5218" s="13">
        <f t="shared" si="248"/>
        <v>666.77285641787398</v>
      </c>
    </row>
    <row r="5219" spans="1:9" ht="12.75" x14ac:dyDescent="0.2">
      <c r="A5219" s="10">
        <v>44363</v>
      </c>
      <c r="B5219" s="12">
        <f t="shared" si="249"/>
        <v>6</v>
      </c>
      <c r="C5219" s="12">
        <f t="shared" si="250"/>
        <v>2021</v>
      </c>
      <c r="D5219" s="13">
        <v>45500</v>
      </c>
      <c r="E5219" s="13">
        <v>72.602400000000003</v>
      </c>
      <c r="F5219" s="13">
        <f t="shared" si="251"/>
        <v>626.70104569545913</v>
      </c>
      <c r="G5219" s="13">
        <v>18000</v>
      </c>
      <c r="H5219" s="13">
        <v>26.925799999999999</v>
      </c>
      <c r="I5219" s="13">
        <f t="shared" si="248"/>
        <v>668.50381418565098</v>
      </c>
    </row>
    <row r="5220" spans="1:9" ht="12.75" x14ac:dyDescent="0.2">
      <c r="A5220" s="10">
        <v>44364</v>
      </c>
      <c r="B5220" s="12">
        <f t="shared" si="249"/>
        <v>6</v>
      </c>
      <c r="C5220" s="12">
        <f t="shared" si="250"/>
        <v>2021</v>
      </c>
      <c r="D5220" s="13">
        <v>45500</v>
      </c>
      <c r="E5220" s="13">
        <v>72.251000000000005</v>
      </c>
      <c r="F5220" s="13">
        <f t="shared" si="251"/>
        <v>629.74906921703507</v>
      </c>
      <c r="G5220" s="13">
        <v>15500</v>
      </c>
      <c r="H5220" s="13">
        <v>27.0275</v>
      </c>
      <c r="I5220" s="13">
        <f t="shared" si="248"/>
        <v>573.48996392563129</v>
      </c>
    </row>
    <row r="5221" spans="1:9" ht="12.75" x14ac:dyDescent="0.2">
      <c r="A5221" s="10">
        <v>44365</v>
      </c>
      <c r="B5221" s="12">
        <f t="shared" si="249"/>
        <v>6</v>
      </c>
      <c r="C5221" s="12">
        <f t="shared" si="250"/>
        <v>2021</v>
      </c>
      <c r="D5221" s="13">
        <v>45500</v>
      </c>
      <c r="E5221" s="13">
        <v>72.688000000000002</v>
      </c>
      <c r="F5221" s="13">
        <f t="shared" si="251"/>
        <v>625.96302003081666</v>
      </c>
      <c r="G5221" s="13">
        <v>15500</v>
      </c>
      <c r="H5221" s="13">
        <v>27.171199999999999</v>
      </c>
      <c r="I5221" s="13">
        <f t="shared" si="248"/>
        <v>570.45695442232955</v>
      </c>
    </row>
    <row r="5222" spans="1:9" ht="12.75" x14ac:dyDescent="0.2">
      <c r="A5222" s="10">
        <v>44368</v>
      </c>
      <c r="B5222" s="12">
        <f t="shared" si="249"/>
        <v>6</v>
      </c>
      <c r="C5222" s="12">
        <f t="shared" si="250"/>
        <v>2021</v>
      </c>
      <c r="D5222" s="13">
        <v>44500</v>
      </c>
      <c r="E5222" s="13">
        <v>73.001999999999995</v>
      </c>
      <c r="F5222" s="13">
        <f t="shared" si="251"/>
        <v>609.57234048382236</v>
      </c>
      <c r="G5222" s="13">
        <v>15900</v>
      </c>
      <c r="H5222" s="13">
        <f>AVERAGE(H5221,H5223)</f>
        <v>27.18235</v>
      </c>
      <c r="I5222" s="13">
        <f t="shared" si="248"/>
        <v>584.93838832919153</v>
      </c>
    </row>
    <row r="5223" spans="1:9" ht="12.75" x14ac:dyDescent="0.2">
      <c r="A5223" s="10">
        <v>44369</v>
      </c>
      <c r="B5223" s="12">
        <f t="shared" si="249"/>
        <v>6</v>
      </c>
      <c r="C5223" s="12">
        <f t="shared" si="250"/>
        <v>2021</v>
      </c>
      <c r="D5223" s="13">
        <v>44500</v>
      </c>
      <c r="E5223" s="13">
        <v>72.77</v>
      </c>
      <c r="F5223" s="13">
        <f t="shared" si="251"/>
        <v>611.51573450597778</v>
      </c>
      <c r="G5223" s="13">
        <v>16000</v>
      </c>
      <c r="H5223" s="13">
        <v>27.1935</v>
      </c>
      <c r="I5223" s="13">
        <f t="shared" si="248"/>
        <v>588.37589865225141</v>
      </c>
    </row>
    <row r="5224" spans="1:9" ht="12.75" x14ac:dyDescent="0.2">
      <c r="A5224" s="10">
        <v>44370</v>
      </c>
      <c r="B5224" s="12">
        <f t="shared" si="249"/>
        <v>6</v>
      </c>
      <c r="C5224" s="12">
        <f t="shared" si="250"/>
        <v>2021</v>
      </c>
      <c r="D5224" s="13">
        <v>44500</v>
      </c>
      <c r="E5224" s="13">
        <v>72.436999999999998</v>
      </c>
      <c r="F5224" s="13">
        <f t="shared" si="251"/>
        <v>614.3269323688171</v>
      </c>
      <c r="G5224" s="13">
        <v>16500</v>
      </c>
      <c r="H5224" s="13">
        <v>27.305</v>
      </c>
      <c r="I5224" s="13">
        <f t="shared" si="248"/>
        <v>604.28492950009161</v>
      </c>
    </row>
    <row r="5225" spans="1:9" ht="12.75" x14ac:dyDescent="0.2">
      <c r="A5225" s="10">
        <v>44371</v>
      </c>
      <c r="B5225" s="12">
        <f t="shared" si="249"/>
        <v>6</v>
      </c>
      <c r="C5225" s="12">
        <f t="shared" si="250"/>
        <v>2021</v>
      </c>
      <c r="D5225" s="13">
        <v>44500</v>
      </c>
      <c r="E5225" s="13">
        <v>72.152500000000003</v>
      </c>
      <c r="F5225" s="13">
        <f t="shared" si="251"/>
        <v>616.74924638785899</v>
      </c>
      <c r="G5225" s="13">
        <v>17500</v>
      </c>
      <c r="H5225" s="13">
        <v>27.273700000000002</v>
      </c>
      <c r="I5225" s="13">
        <f t="shared" si="248"/>
        <v>641.64378137179767</v>
      </c>
    </row>
    <row r="5226" spans="1:9" ht="12.75" x14ac:dyDescent="0.2">
      <c r="A5226" s="10">
        <v>44372</v>
      </c>
      <c r="B5226" s="12">
        <f t="shared" si="249"/>
        <v>6</v>
      </c>
      <c r="C5226" s="12">
        <f t="shared" si="250"/>
        <v>2021</v>
      </c>
      <c r="D5226" s="13">
        <v>44500</v>
      </c>
      <c r="E5226" s="13">
        <v>72.087000000000003</v>
      </c>
      <c r="F5226" s="13">
        <f t="shared" si="251"/>
        <v>617.30963974086865</v>
      </c>
      <c r="G5226" s="13">
        <v>17500</v>
      </c>
      <c r="H5226" s="13">
        <v>27.4589</v>
      </c>
      <c r="I5226" s="13">
        <f t="shared" si="248"/>
        <v>637.31613429525578</v>
      </c>
    </row>
    <row r="5227" spans="1:9" ht="12.75" x14ac:dyDescent="0.2">
      <c r="A5227" s="10">
        <v>44375</v>
      </c>
      <c r="B5227" s="12">
        <f t="shared" si="249"/>
        <v>6</v>
      </c>
      <c r="C5227" s="12">
        <f t="shared" si="250"/>
        <v>2021</v>
      </c>
      <c r="D5227" s="13">
        <v>41000</v>
      </c>
      <c r="E5227" s="13">
        <v>72.103999999999999</v>
      </c>
      <c r="F5227" s="13">
        <f t="shared" si="251"/>
        <v>568.62309996671479</v>
      </c>
      <c r="G5227" s="13">
        <v>17500</v>
      </c>
      <c r="H5227" s="13">
        <f>AVERAGE(H5226,H5228)</f>
        <v>27.42765</v>
      </c>
      <c r="I5227" s="13">
        <f t="shared" si="248"/>
        <v>638.0422675657594</v>
      </c>
    </row>
    <row r="5228" spans="1:9" ht="12.75" x14ac:dyDescent="0.2">
      <c r="A5228" s="10">
        <v>44376</v>
      </c>
      <c r="B5228" s="12">
        <f t="shared" si="249"/>
        <v>6</v>
      </c>
      <c r="C5228" s="12">
        <f t="shared" si="250"/>
        <v>2021</v>
      </c>
      <c r="D5228" s="13">
        <v>41000</v>
      </c>
      <c r="E5228" s="13">
        <v>72.706000000000003</v>
      </c>
      <c r="F5228" s="13">
        <f t="shared" si="251"/>
        <v>563.914945121448</v>
      </c>
      <c r="G5228" s="13">
        <v>17500</v>
      </c>
      <c r="H5228" s="13">
        <v>27.3964</v>
      </c>
      <c r="I5228" s="13">
        <f t="shared" ref="I5228:I5255" si="252">IF(G5228="","",G5228/H5228)</f>
        <v>638.77005737980176</v>
      </c>
    </row>
    <row r="5229" spans="1:9" ht="12.75" x14ac:dyDescent="0.2">
      <c r="A5229" s="10">
        <v>44377</v>
      </c>
      <c r="B5229" s="12">
        <f t="shared" si="249"/>
        <v>6</v>
      </c>
      <c r="C5229" s="12">
        <f t="shared" si="250"/>
        <v>2021</v>
      </c>
      <c r="D5229" s="13">
        <v>41000</v>
      </c>
      <c r="E5229" s="13">
        <v>72.974999999999994</v>
      </c>
      <c r="F5229" s="13">
        <f t="shared" si="251"/>
        <v>561.83624528948269</v>
      </c>
      <c r="G5229" s="13">
        <v>17500</v>
      </c>
      <c r="H5229" s="13">
        <v>27.176300000000001</v>
      </c>
      <c r="I5229" s="13">
        <f t="shared" si="252"/>
        <v>643.94343600858099</v>
      </c>
    </row>
    <row r="5230" spans="1:9" ht="12.75" x14ac:dyDescent="0.2">
      <c r="A5230" s="10">
        <v>44378</v>
      </c>
      <c r="B5230" s="12">
        <f t="shared" si="249"/>
        <v>7</v>
      </c>
      <c r="C5230" s="12">
        <f t="shared" si="250"/>
        <v>2021</v>
      </c>
      <c r="D5230" s="13">
        <v>41000</v>
      </c>
      <c r="E5230" s="13">
        <v>73.296899999999994</v>
      </c>
      <c r="F5230" s="13">
        <f t="shared" si="251"/>
        <v>559.36881368789136</v>
      </c>
      <c r="G5230" s="13">
        <v>17500</v>
      </c>
      <c r="H5230" s="13">
        <v>27.227499999999999</v>
      </c>
      <c r="I5230" s="13">
        <f t="shared" si="252"/>
        <v>642.73253144798457</v>
      </c>
    </row>
    <row r="5231" spans="1:9" ht="12.75" x14ac:dyDescent="0.2">
      <c r="A5231" s="10">
        <v>44379</v>
      </c>
      <c r="B5231" s="12">
        <f t="shared" si="249"/>
        <v>7</v>
      </c>
      <c r="C5231" s="12">
        <f t="shared" si="250"/>
        <v>2021</v>
      </c>
      <c r="D5231" s="13">
        <v>41000</v>
      </c>
      <c r="E5231" s="13">
        <v>73.09</v>
      </c>
      <c r="F5231" s="13">
        <f t="shared" si="251"/>
        <v>560.95225064988369</v>
      </c>
      <c r="G5231" s="13">
        <v>17500</v>
      </c>
      <c r="H5231" s="13">
        <v>27.3841</v>
      </c>
      <c r="I5231" s="13">
        <f t="shared" si="252"/>
        <v>639.05697101602755</v>
      </c>
    </row>
    <row r="5232" spans="1:9" ht="12.75" x14ac:dyDescent="0.2">
      <c r="A5232" s="10">
        <v>44382</v>
      </c>
      <c r="B5232" s="12">
        <f t="shared" si="249"/>
        <v>7</v>
      </c>
      <c r="C5232" s="12">
        <f t="shared" si="250"/>
        <v>2021</v>
      </c>
      <c r="D5232" s="13">
        <v>38500</v>
      </c>
      <c r="E5232" s="13">
        <v>73.319000000000003</v>
      </c>
      <c r="F5232" s="13">
        <f t="shared" si="251"/>
        <v>525.10263369658617</v>
      </c>
      <c r="G5232" s="13">
        <v>17500</v>
      </c>
      <c r="H5232" s="13">
        <v>27.412099999999999</v>
      </c>
      <c r="I5232" s="13">
        <f t="shared" si="252"/>
        <v>638.40420836054159</v>
      </c>
    </row>
    <row r="5233" spans="1:9" ht="12.75" x14ac:dyDescent="0.2">
      <c r="A5233" s="10">
        <v>44383</v>
      </c>
      <c r="B5233" s="12">
        <f t="shared" si="249"/>
        <v>7</v>
      </c>
      <c r="C5233" s="12">
        <f t="shared" si="250"/>
        <v>2021</v>
      </c>
      <c r="D5233" s="13">
        <v>38500</v>
      </c>
      <c r="E5233" s="13">
        <v>74.334999999999994</v>
      </c>
      <c r="F5233" s="13">
        <f t="shared" si="251"/>
        <v>517.92560704916934</v>
      </c>
      <c r="G5233" s="13">
        <v>17500</v>
      </c>
      <c r="H5233" s="13">
        <v>27.290400000000002</v>
      </c>
      <c r="I5233" s="13">
        <f t="shared" si="252"/>
        <v>641.25113593058359</v>
      </c>
    </row>
    <row r="5234" spans="1:9" ht="12.75" x14ac:dyDescent="0.2">
      <c r="A5234" s="10">
        <v>44384</v>
      </c>
      <c r="B5234" s="12">
        <f t="shared" si="249"/>
        <v>7</v>
      </c>
      <c r="C5234" s="12">
        <f t="shared" si="250"/>
        <v>2021</v>
      </c>
      <c r="D5234" s="13">
        <v>38500</v>
      </c>
      <c r="E5234" s="13">
        <v>74.495000000000005</v>
      </c>
      <c r="F5234" s="13">
        <f t="shared" si="251"/>
        <v>516.81320894019734</v>
      </c>
      <c r="G5234" s="13">
        <v>17500</v>
      </c>
      <c r="H5234" s="13">
        <v>27.249700000000001</v>
      </c>
      <c r="I5234" s="13">
        <f t="shared" si="252"/>
        <v>642.20890505216573</v>
      </c>
    </row>
    <row r="5235" spans="1:9" ht="12.75" x14ac:dyDescent="0.2">
      <c r="A5235" s="10">
        <v>44385</v>
      </c>
      <c r="B5235" s="12">
        <f t="shared" si="249"/>
        <v>7</v>
      </c>
      <c r="C5235" s="12">
        <f t="shared" si="250"/>
        <v>2021</v>
      </c>
      <c r="D5235" s="13">
        <v>38500</v>
      </c>
      <c r="E5235" s="13">
        <v>74.58</v>
      </c>
      <c r="F5235" s="13">
        <f t="shared" si="251"/>
        <v>516.22418879056045</v>
      </c>
      <c r="G5235" s="13">
        <v>17500</v>
      </c>
      <c r="H5235" s="13">
        <v>27.299299999999999</v>
      </c>
      <c r="I5235" s="13">
        <f t="shared" si="252"/>
        <v>641.04207800200004</v>
      </c>
    </row>
    <row r="5236" spans="1:9" ht="12.75" x14ac:dyDescent="0.2">
      <c r="A5236" s="10">
        <v>44386</v>
      </c>
      <c r="B5236" s="12">
        <f t="shared" si="249"/>
        <v>7</v>
      </c>
      <c r="C5236" s="12">
        <f t="shared" si="250"/>
        <v>2021</v>
      </c>
      <c r="D5236" s="13">
        <v>38500</v>
      </c>
      <c r="E5236" s="13">
        <v>74.319400000000002</v>
      </c>
      <c r="F5236" s="13">
        <f t="shared" si="251"/>
        <v>518.0343221285425</v>
      </c>
      <c r="G5236" s="13">
        <v>17500</v>
      </c>
      <c r="H5236" s="13">
        <v>27.286200000000001</v>
      </c>
      <c r="I5236" s="13">
        <f t="shared" si="252"/>
        <v>641.34983984578287</v>
      </c>
    </row>
    <row r="5237" spans="1:9" ht="12.75" x14ac:dyDescent="0.2">
      <c r="A5237" s="10">
        <v>44389</v>
      </c>
      <c r="B5237" s="12">
        <f t="shared" si="249"/>
        <v>7</v>
      </c>
      <c r="C5237" s="12">
        <f t="shared" si="250"/>
        <v>2021</v>
      </c>
      <c r="D5237" s="13">
        <v>39000</v>
      </c>
      <c r="E5237" s="13">
        <v>74.343699999999998</v>
      </c>
      <c r="F5237" s="13">
        <f t="shared" si="251"/>
        <v>524.59051674856107</v>
      </c>
      <c r="G5237" s="13">
        <v>17500</v>
      </c>
      <c r="H5237" s="13">
        <v>27.323399999999999</v>
      </c>
      <c r="I5237" s="13">
        <f t="shared" si="252"/>
        <v>640.47666103047209</v>
      </c>
    </row>
    <row r="5238" spans="1:9" ht="12.75" x14ac:dyDescent="0.2">
      <c r="A5238" s="10">
        <v>44390</v>
      </c>
      <c r="B5238" s="12">
        <f t="shared" si="249"/>
        <v>7</v>
      </c>
      <c r="C5238" s="12">
        <f t="shared" si="250"/>
        <v>2021</v>
      </c>
      <c r="D5238" s="13">
        <v>39000</v>
      </c>
      <c r="E5238" s="13">
        <v>74.308000000000007</v>
      </c>
      <c r="F5238" s="13">
        <f t="shared" si="251"/>
        <v>524.84254723582922</v>
      </c>
      <c r="G5238" s="13">
        <v>17500</v>
      </c>
      <c r="H5238" s="13">
        <v>27.290400000000002</v>
      </c>
      <c r="I5238" s="13">
        <f t="shared" si="252"/>
        <v>641.25113593058359</v>
      </c>
    </row>
    <row r="5239" spans="1:9" ht="12.75" x14ac:dyDescent="0.2">
      <c r="A5239" s="10">
        <v>44391</v>
      </c>
      <c r="B5239" s="12">
        <f t="shared" si="249"/>
        <v>7</v>
      </c>
      <c r="C5239" s="12">
        <f t="shared" si="250"/>
        <v>2021</v>
      </c>
      <c r="D5239" s="13">
        <v>39000</v>
      </c>
      <c r="E5239" s="13">
        <v>74.040999999999997</v>
      </c>
      <c r="F5239" s="13">
        <f t="shared" si="251"/>
        <v>526.73518726111206</v>
      </c>
      <c r="G5239" s="13">
        <v>17500</v>
      </c>
      <c r="H5239" s="13">
        <v>27.3216</v>
      </c>
      <c r="I5239" s="13">
        <f t="shared" si="252"/>
        <v>640.51885687514641</v>
      </c>
    </row>
    <row r="5240" spans="1:9" ht="12.75" x14ac:dyDescent="0.2">
      <c r="A5240" s="10">
        <v>44392</v>
      </c>
      <c r="B5240" s="12">
        <f t="shared" si="249"/>
        <v>7</v>
      </c>
      <c r="C5240" s="12">
        <f t="shared" si="250"/>
        <v>2021</v>
      </c>
      <c r="D5240" s="13">
        <v>39000</v>
      </c>
      <c r="E5240" s="13">
        <v>74.218299999999999</v>
      </c>
      <c r="F5240" s="13">
        <f t="shared" si="251"/>
        <v>525.47687025976074</v>
      </c>
      <c r="G5240" s="13">
        <v>17500</v>
      </c>
      <c r="H5240" s="13">
        <v>27.3047</v>
      </c>
      <c r="I5240" s="13">
        <f t="shared" si="252"/>
        <v>640.91530029628598</v>
      </c>
    </row>
    <row r="5241" spans="1:9" ht="12.75" x14ac:dyDescent="0.2">
      <c r="A5241" s="10">
        <v>44393</v>
      </c>
      <c r="B5241" s="12">
        <f t="shared" si="249"/>
        <v>7</v>
      </c>
      <c r="C5241" s="12">
        <f t="shared" si="250"/>
        <v>2021</v>
      </c>
      <c r="D5241" s="13">
        <v>39000</v>
      </c>
      <c r="E5241" s="13">
        <v>73.992000000000004</v>
      </c>
      <c r="F5241" s="13">
        <f t="shared" si="251"/>
        <v>527.08400908206295</v>
      </c>
      <c r="G5241" s="13">
        <v>17500</v>
      </c>
      <c r="H5241" s="13">
        <v>27.290500000000002</v>
      </c>
      <c r="I5241" s="13">
        <f t="shared" si="252"/>
        <v>641.24878620765469</v>
      </c>
    </row>
    <row r="5242" spans="1:9" ht="12.75" x14ac:dyDescent="0.2">
      <c r="A5242" s="10">
        <v>44396</v>
      </c>
      <c r="B5242" s="12">
        <f t="shared" si="249"/>
        <v>7</v>
      </c>
      <c r="C5242" s="12">
        <f t="shared" si="250"/>
        <v>2021</v>
      </c>
      <c r="D5242" s="13">
        <v>39000</v>
      </c>
      <c r="E5242" s="13">
        <v>74.585999999999999</v>
      </c>
      <c r="F5242" s="13">
        <f t="shared" si="251"/>
        <v>522.88633255570755</v>
      </c>
      <c r="G5242" s="13">
        <v>17500</v>
      </c>
      <c r="H5242" s="13">
        <v>27.2301</v>
      </c>
      <c r="I5242" s="13">
        <f t="shared" si="252"/>
        <v>642.67116169239182</v>
      </c>
    </row>
    <row r="5243" spans="1:9" ht="12.75" x14ac:dyDescent="0.2">
      <c r="A5243" s="10">
        <v>44397</v>
      </c>
      <c r="B5243" s="12">
        <f t="shared" si="249"/>
        <v>7</v>
      </c>
      <c r="C5243" s="12">
        <f t="shared" si="250"/>
        <v>2021</v>
      </c>
      <c r="D5243" s="13">
        <v>39000</v>
      </c>
      <c r="E5243" s="13">
        <v>74.242999999999995</v>
      </c>
      <c r="F5243" s="13">
        <f t="shared" si="251"/>
        <v>525.30204867798989</v>
      </c>
      <c r="G5243" s="13">
        <v>17700</v>
      </c>
      <c r="H5243" s="13">
        <v>27.213200000000001</v>
      </c>
      <c r="I5243" s="13">
        <f t="shared" si="252"/>
        <v>650.41964928784557</v>
      </c>
    </row>
    <row r="5244" spans="1:9" ht="12.75" x14ac:dyDescent="0.2">
      <c r="A5244" s="10">
        <v>44398</v>
      </c>
      <c r="B5244" s="12">
        <f t="shared" si="249"/>
        <v>7</v>
      </c>
      <c r="C5244" s="12">
        <f t="shared" si="250"/>
        <v>2021</v>
      </c>
      <c r="D5244" s="13">
        <v>39000</v>
      </c>
      <c r="E5244" s="13">
        <v>73.87</v>
      </c>
      <c r="F5244" s="13">
        <f t="shared" si="251"/>
        <v>527.95451468796534</v>
      </c>
      <c r="G5244" s="13">
        <v>17700</v>
      </c>
      <c r="H5244" s="13">
        <v>27.220500000000001</v>
      </c>
      <c r="I5244" s="13">
        <f t="shared" si="252"/>
        <v>650.24521959552544</v>
      </c>
    </row>
    <row r="5245" spans="1:9" ht="12.75" x14ac:dyDescent="0.2">
      <c r="A5245" s="10">
        <v>44399</v>
      </c>
      <c r="B5245" s="12">
        <f t="shared" si="249"/>
        <v>7</v>
      </c>
      <c r="C5245" s="12">
        <f t="shared" si="250"/>
        <v>2021</v>
      </c>
      <c r="D5245" s="13">
        <v>39000</v>
      </c>
      <c r="E5245" s="13">
        <v>73.555999999999997</v>
      </c>
      <c r="F5245" s="13">
        <f t="shared" si="251"/>
        <v>530.20827668714992</v>
      </c>
      <c r="G5245" s="13">
        <v>18000</v>
      </c>
      <c r="H5245" s="13">
        <v>27.240500000000001</v>
      </c>
      <c r="I5245" s="13">
        <f t="shared" si="252"/>
        <v>660.78082267212426</v>
      </c>
    </row>
    <row r="5246" spans="1:9" ht="12.75" x14ac:dyDescent="0.2">
      <c r="A5246" s="10">
        <v>44400</v>
      </c>
      <c r="B5246" s="12">
        <f t="shared" si="249"/>
        <v>7</v>
      </c>
      <c r="C5246" s="12">
        <f t="shared" si="250"/>
        <v>2021</v>
      </c>
      <c r="D5246" s="13" t="e">
        <f ca="1">_xll.RHistory("SUN-EXWNC-P1","NDA_RAW.Nda_last","START:"&amp;$A5246&amp;" END:"&amp;$A5246&amp;" INTERVAL:1W",,,)</f>
        <v>#NAME?</v>
      </c>
      <c r="E5246" s="13" t="e">
        <f ca="1">_xll.RHistory("RUB=",".Close","START:"&amp;$A5246&amp;" END:"&amp;$A5246&amp;" INTERVAL:1D",,,)</f>
        <v>#NAME?</v>
      </c>
      <c r="F5246" s="13" t="e">
        <f t="shared" ca="1" si="251"/>
        <v>#NAME?</v>
      </c>
      <c r="G5246" s="13">
        <v>18000</v>
      </c>
      <c r="H5246" s="13" t="e">
        <f ca="1">_xll.RHistory("USDUAHFIX=",".Close","START:"&amp;$A5246&amp;" END:"&amp;$A5246&amp;" INTERVAL:1D",,,)</f>
        <v>#NAME?</v>
      </c>
      <c r="I5246" s="13" t="e">
        <f t="shared" ca="1" si="252"/>
        <v>#NAME?</v>
      </c>
    </row>
    <row r="5247" spans="1:9" ht="12.75" x14ac:dyDescent="0.2">
      <c r="A5247" s="10">
        <v>44403</v>
      </c>
      <c r="B5247" s="12">
        <f t="shared" si="249"/>
        <v>7</v>
      </c>
      <c r="C5247" s="12">
        <f t="shared" si="250"/>
        <v>2021</v>
      </c>
      <c r="D5247" s="13" t="e">
        <f ca="1">_xll.RHistory("SUN-EXWNC-P1","NDA_RAW.Nda_last","START:"&amp;$A5247&amp;" END:"&amp;$A5247&amp;" INTERVAL:1W",,,)</f>
        <v>#NAME?</v>
      </c>
      <c r="E5247" s="13" t="e">
        <f ca="1">_xll.RHistory("RUB=",".Close","START:"&amp;$A5247&amp;" END:"&amp;$A5247&amp;" INTERVAL:1D",,,)</f>
        <v>#NAME?</v>
      </c>
      <c r="F5247" s="13" t="e">
        <f t="shared" ca="1" si="251"/>
        <v>#NAME?</v>
      </c>
      <c r="G5247" s="13">
        <v>18000</v>
      </c>
      <c r="H5247" s="13" t="e">
        <f ca="1">_xll.RHistory("USDUAHFIX=",".Close","START:"&amp;$A5247&amp;" END:"&amp;$A5247&amp;" INTERVAL:1D",,,)</f>
        <v>#NAME?</v>
      </c>
      <c r="I5247" s="13" t="e">
        <f t="shared" ca="1" si="252"/>
        <v>#NAME?</v>
      </c>
    </row>
    <row r="5248" spans="1:9" ht="12.75" x14ac:dyDescent="0.2">
      <c r="A5248" s="10">
        <v>44404</v>
      </c>
      <c r="B5248" s="12">
        <f t="shared" si="249"/>
        <v>7</v>
      </c>
      <c r="C5248" s="12">
        <f t="shared" si="250"/>
        <v>2021</v>
      </c>
      <c r="D5248" s="13" t="e">
        <f ca="1">_xll.RHistory("SUN-EXWNC-P1","NDA_RAW.Nda_last","START:"&amp;$A5248&amp;" END:"&amp;$A5248&amp;" INTERVAL:1W",,,)</f>
        <v>#NAME?</v>
      </c>
      <c r="E5248" s="13" t="e">
        <f ca="1">_xll.RHistory("RUB=",".Close","START:"&amp;$A5248&amp;" END:"&amp;$A5248&amp;" INTERVAL:1D",,,)</f>
        <v>#NAME?</v>
      </c>
      <c r="F5248" s="13" t="e">
        <f t="shared" ca="1" si="251"/>
        <v>#NAME?</v>
      </c>
      <c r="G5248" s="13">
        <v>18000</v>
      </c>
      <c r="H5248" s="13" t="e">
        <f ca="1">_xll.RHistory("USDUAHFIX=",".Close","START:"&amp;$A5248&amp;" END:"&amp;$A5248&amp;" INTERVAL:1D",,,)</f>
        <v>#NAME?</v>
      </c>
      <c r="I5248" s="13" t="e">
        <f t="shared" ca="1" si="252"/>
        <v>#NAME?</v>
      </c>
    </row>
    <row r="5249" spans="1:9" ht="12.75" x14ac:dyDescent="0.2">
      <c r="A5249" s="10">
        <v>44405</v>
      </c>
      <c r="B5249" s="12">
        <f t="shared" si="249"/>
        <v>7</v>
      </c>
      <c r="C5249" s="12">
        <f t="shared" si="250"/>
        <v>2021</v>
      </c>
      <c r="D5249" s="13" t="e">
        <f ca="1">_xll.RHistory("SUN-EXWNC-P1","NDA_RAW.Nda_last","START:"&amp;$A5249&amp;" END:"&amp;$A5249&amp;" INTERVAL:1W",,,)</f>
        <v>#NAME?</v>
      </c>
      <c r="E5249" s="13" t="e">
        <f ca="1">_xll.RHistory("RUB=",".Close","START:"&amp;$A5249&amp;" END:"&amp;$A5249&amp;" INTERVAL:1D",,,)</f>
        <v>#NAME?</v>
      </c>
      <c r="F5249" s="13" t="e">
        <f t="shared" ca="1" si="251"/>
        <v>#NAME?</v>
      </c>
      <c r="G5249" s="13">
        <v>18200</v>
      </c>
      <c r="H5249" s="13" t="e">
        <f ca="1">_xll.RHistory("USDUAHFIX=",".Close","START:"&amp;$A5249&amp;" END:"&amp;$A5249&amp;" INTERVAL:1D",,,)</f>
        <v>#NAME?</v>
      </c>
      <c r="I5249" s="13" t="e">
        <f t="shared" ca="1" si="252"/>
        <v>#NAME?</v>
      </c>
    </row>
    <row r="5250" spans="1:9" ht="12.75" x14ac:dyDescent="0.2">
      <c r="A5250" s="10">
        <v>44406</v>
      </c>
      <c r="B5250" s="12">
        <f t="shared" si="249"/>
        <v>7</v>
      </c>
      <c r="C5250" s="12">
        <f t="shared" si="250"/>
        <v>2021</v>
      </c>
      <c r="D5250" s="13" t="e">
        <f ca="1">_xll.RHistory("SUN-EXWNC-P1","NDA_RAW.Nda_last","START:"&amp;$A5250&amp;" END:"&amp;$A5250&amp;" INTERVAL:1W",,,)</f>
        <v>#NAME?</v>
      </c>
      <c r="E5250" s="13" t="e">
        <f ca="1">_xll.RHistory("RUB=",".Close","START:"&amp;$A5250&amp;" END:"&amp;$A5250&amp;" INTERVAL:1D",,,)</f>
        <v>#NAME?</v>
      </c>
      <c r="F5250" s="13" t="e">
        <f t="shared" ca="1" si="251"/>
        <v>#NAME?</v>
      </c>
      <c r="G5250" s="13">
        <v>18000</v>
      </c>
      <c r="H5250" s="13" t="e">
        <f ca="1">_xll.RHistory("USDUAHFIX=",".Close","START:"&amp;$A5250&amp;" END:"&amp;$A5250&amp;" INTERVAL:1D",,,)</f>
        <v>#NAME?</v>
      </c>
      <c r="I5250" s="13" t="e">
        <f t="shared" ca="1" si="252"/>
        <v>#NAME?</v>
      </c>
    </row>
    <row r="5251" spans="1:9" ht="12.75" x14ac:dyDescent="0.2">
      <c r="A5251" s="10">
        <v>44407</v>
      </c>
      <c r="B5251" s="12">
        <f t="shared" si="249"/>
        <v>7</v>
      </c>
      <c r="C5251" s="12">
        <f t="shared" si="250"/>
        <v>2021</v>
      </c>
      <c r="D5251" s="13" t="e">
        <f ca="1">_xll.RHistory("SUN-EXWNC-P1","NDA_RAW.Nda_last","START:"&amp;$A5251&amp;" END:"&amp;$A5251&amp;" INTERVAL:1W",,,)</f>
        <v>#NAME?</v>
      </c>
      <c r="E5251" s="13" t="e">
        <f ca="1">_xll.RHistory("RUB=",".Close","START:"&amp;$A5251&amp;" END:"&amp;$A5251&amp;" INTERVAL:1D",,,)</f>
        <v>#NAME?</v>
      </c>
      <c r="F5251" s="13" t="e">
        <f t="shared" ca="1" si="251"/>
        <v>#NAME?</v>
      </c>
      <c r="G5251" s="13">
        <v>18000</v>
      </c>
      <c r="H5251" s="13" t="e">
        <f ca="1">_xll.RHistory("USDUAHFIX=",".Close","START:"&amp;$A5251&amp;" END:"&amp;$A5251&amp;" INTERVAL:1D",,,)</f>
        <v>#NAME?</v>
      </c>
      <c r="I5251" s="13" t="e">
        <f t="shared" ca="1" si="252"/>
        <v>#NAME?</v>
      </c>
    </row>
    <row r="5252" spans="1:9" ht="12.75" x14ac:dyDescent="0.2">
      <c r="A5252" s="10">
        <v>44410</v>
      </c>
      <c r="B5252" s="12">
        <f t="shared" si="249"/>
        <v>8</v>
      </c>
      <c r="C5252" s="12">
        <f t="shared" si="250"/>
        <v>2021</v>
      </c>
      <c r="D5252" s="13" t="e">
        <f ca="1">_xll.RHistory("SUN-EXWNC-P1","NDA_RAW.Nda_last","START:"&amp;$A5252&amp;" END:"&amp;$A5252&amp;" INTERVAL:1W",,,)</f>
        <v>#NAME?</v>
      </c>
      <c r="E5252" s="13" t="e">
        <f ca="1">_xll.RHistory("RUB=",".Close","START:"&amp;$A5252&amp;" END:"&amp;$A5252&amp;" INTERVAL:1D",,,)</f>
        <v>#NAME?</v>
      </c>
      <c r="F5252" s="13" t="e">
        <f t="shared" ca="1" si="251"/>
        <v>#NAME?</v>
      </c>
      <c r="G5252" s="13">
        <v>18000</v>
      </c>
      <c r="H5252" s="13" t="e">
        <f ca="1">_xll.RHistory("USDUAHFIX=",".Close","START:"&amp;$A5252&amp;" END:"&amp;$A5252&amp;" INTERVAL:1D",,,)</f>
        <v>#NAME?</v>
      </c>
      <c r="I5252" s="13" t="e">
        <f t="shared" ca="1" si="252"/>
        <v>#NAME?</v>
      </c>
    </row>
    <row r="5253" spans="1:9" ht="12.75" x14ac:dyDescent="0.2">
      <c r="A5253" s="10">
        <v>44411</v>
      </c>
      <c r="B5253" s="12">
        <f t="shared" si="249"/>
        <v>8</v>
      </c>
      <c r="C5253" s="12">
        <f t="shared" si="250"/>
        <v>2021</v>
      </c>
      <c r="D5253" s="13" t="e">
        <f ca="1">_xll.RHistory("SUN-EXWNC-P1","NDA_RAW.Nda_last","START:"&amp;$A5253&amp;" END:"&amp;$A5253&amp;" INTERVAL:1W",,,)</f>
        <v>#NAME?</v>
      </c>
      <c r="E5253" s="13" t="e">
        <f ca="1">_xll.RHistory("RUB=",".Close","START:"&amp;$A5253&amp;" END:"&amp;$A5253&amp;" INTERVAL:1D",,,)</f>
        <v>#NAME?</v>
      </c>
      <c r="F5253" s="13" t="e">
        <f t="shared" ca="1" si="251"/>
        <v>#NAME?</v>
      </c>
      <c r="G5253" s="13">
        <v>18000</v>
      </c>
      <c r="H5253" s="13" t="e">
        <f ca="1">_xll.RHistory("USDUAHFIX=",".Close","START:"&amp;$A5253&amp;" END:"&amp;$A5253&amp;" INTERVAL:1D",,,)</f>
        <v>#NAME?</v>
      </c>
      <c r="I5253" s="13" t="e">
        <f t="shared" ca="1" si="252"/>
        <v>#NAME?</v>
      </c>
    </row>
    <row r="5254" spans="1:9" ht="12.75" x14ac:dyDescent="0.2">
      <c r="A5254" s="10">
        <v>44412</v>
      </c>
      <c r="B5254" s="12">
        <f t="shared" si="249"/>
        <v>8</v>
      </c>
      <c r="C5254" s="12">
        <f t="shared" si="250"/>
        <v>2021</v>
      </c>
      <c r="D5254" s="13" t="e">
        <f ca="1">_xll.RHistory("SUN-EXWNC-P1","NDA_RAW.Nda_last","START:"&amp;$A5254&amp;" END:"&amp;$A5254&amp;" INTERVAL:1W",,,)</f>
        <v>#NAME?</v>
      </c>
      <c r="E5254" s="13" t="e">
        <f ca="1">_xll.RHistory("RUB=",".Close","START:"&amp;$A5254&amp;" END:"&amp;$A5254&amp;" INTERVAL:1D",,,)</f>
        <v>#NAME?</v>
      </c>
      <c r="F5254" s="13" t="e">
        <f t="shared" ca="1" si="251"/>
        <v>#NAME?</v>
      </c>
      <c r="G5254" s="13">
        <v>18000</v>
      </c>
      <c r="H5254" s="13" t="e">
        <f ca="1">_xll.RHistory("USDUAHFIX=",".Close","START:"&amp;$A5254&amp;" END:"&amp;$A5254&amp;" INTERVAL:1D",,,)</f>
        <v>#NAME?</v>
      </c>
      <c r="I5254" s="13" t="e">
        <f t="shared" ca="1" si="252"/>
        <v>#NAME?</v>
      </c>
    </row>
    <row r="5255" spans="1:9" ht="12.75" x14ac:dyDescent="0.2">
      <c r="A5255" s="10">
        <v>44413</v>
      </c>
      <c r="B5255" s="12">
        <f t="shared" ref="B5255" si="253">MONTH(A5255)</f>
        <v>8</v>
      </c>
      <c r="C5255" s="12">
        <f t="shared" ref="C5255" si="254">YEAR(A5255)</f>
        <v>2021</v>
      </c>
      <c r="D5255" s="13" t="e">
        <f ca="1">_xll.RHistory("SUN-EXWNC-P1","NDA_RAW.Nda_last","START:"&amp;$A5255&amp;" END:"&amp;$A5255&amp;" INTERVAL:1W",,,)</f>
        <v>#NAME?</v>
      </c>
      <c r="E5255" s="13" t="e">
        <f ca="1">_xll.RHistory("RUB=",".Close","START:"&amp;$A5255&amp;" END:"&amp;$A5255&amp;" INTERVAL:1D",,,)</f>
        <v>#NAME?</v>
      </c>
      <c r="F5255" s="13" t="e">
        <f t="shared" ref="F5255" ca="1" si="255">IF(D5255="","",D5255/E5255)</f>
        <v>#NAME?</v>
      </c>
      <c r="G5255" s="13">
        <v>18000</v>
      </c>
      <c r="H5255" s="13" t="e">
        <f ca="1">_xll.RHistory("USDUAHFIX=",".Close","START:"&amp;$A5255&amp;" END:"&amp;$A5255&amp;" INTERVAL:1D",,,)</f>
        <v>#NAME?</v>
      </c>
      <c r="I5255" s="13" t="e">
        <f t="shared" ca="1" si="252"/>
        <v>#NAME?</v>
      </c>
    </row>
    <row r="5256" spans="1:9" x14ac:dyDescent="0.25">
      <c r="G5256" s="13">
        <v>18000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C063-3F86-4F66-8B7E-FE0B0477070E}">
  <dimension ref="A1:K3174"/>
  <sheetViews>
    <sheetView workbookViewId="0">
      <pane xSplit="1" ySplit="1" topLeftCell="B72" activePane="bottomRight" state="frozen"/>
      <selection activeCell="D839" sqref="D839"/>
      <selection pane="topRight" activeCell="D839" sqref="D839"/>
      <selection pane="bottomLeft" activeCell="D839" sqref="D839"/>
      <selection pane="bottomRight" activeCell="D839" sqref="D839"/>
    </sheetView>
  </sheetViews>
  <sheetFormatPr defaultRowHeight="15.75" x14ac:dyDescent="0.25"/>
  <cols>
    <col min="1" max="1" width="9" style="14"/>
    <col min="2" max="3" width="4.75" style="14" customWidth="1"/>
    <col min="4" max="9" width="12.5" style="16" customWidth="1"/>
  </cols>
  <sheetData>
    <row r="1" spans="1:11" ht="31.5" x14ac:dyDescent="0.25">
      <c r="B1" s="10" t="s">
        <v>1</v>
      </c>
      <c r="C1" s="10" t="s">
        <v>2</v>
      </c>
      <c r="D1" s="3" t="s">
        <v>854</v>
      </c>
      <c r="E1" s="3" t="s">
        <v>855</v>
      </c>
      <c r="F1" s="3" t="s">
        <v>856</v>
      </c>
      <c r="G1" s="3" t="s">
        <v>857</v>
      </c>
      <c r="H1" s="3" t="s">
        <v>858</v>
      </c>
      <c r="I1" s="3" t="s">
        <v>859</v>
      </c>
      <c r="J1" s="3"/>
    </row>
    <row r="2" spans="1:11" x14ac:dyDescent="0.25">
      <c r="A2" s="10">
        <v>39826</v>
      </c>
      <c r="B2" s="15">
        <f>MONTH(A2)</f>
        <v>1</v>
      </c>
      <c r="C2" s="15">
        <f>YEAR(A2)</f>
        <v>2009</v>
      </c>
      <c r="D2" s="13">
        <v>40</v>
      </c>
      <c r="E2" s="13"/>
      <c r="F2" s="13"/>
      <c r="G2" s="13"/>
      <c r="H2" s="13"/>
      <c r="I2" s="13">
        <v>-87.1</v>
      </c>
      <c r="J2" s="13"/>
    </row>
    <row r="3" spans="1:11" x14ac:dyDescent="0.25">
      <c r="A3" s="10">
        <v>39827</v>
      </c>
      <c r="B3" s="15">
        <f t="shared" ref="B3:B66" si="0">MONTH(A3)</f>
        <v>1</v>
      </c>
      <c r="C3" s="15">
        <f t="shared" ref="C3:C66" si="1">YEAR(A3)</f>
        <v>2009</v>
      </c>
      <c r="D3" s="13">
        <v>40</v>
      </c>
      <c r="E3" s="13">
        <v>139.82220196033737</v>
      </c>
      <c r="F3" s="13"/>
      <c r="G3" s="13"/>
      <c r="H3" s="13">
        <v>108.8</v>
      </c>
      <c r="I3" s="13">
        <v>-87.1</v>
      </c>
      <c r="J3" s="13"/>
      <c r="K3" s="13"/>
    </row>
    <row r="4" spans="1:11" x14ac:dyDescent="0.25">
      <c r="A4" s="10">
        <v>39828</v>
      </c>
      <c r="B4" s="15">
        <f t="shared" si="0"/>
        <v>1</v>
      </c>
      <c r="C4" s="15">
        <f t="shared" si="1"/>
        <v>2009</v>
      </c>
      <c r="D4" s="13">
        <v>40</v>
      </c>
      <c r="E4" s="13">
        <v>139.90724549532428</v>
      </c>
      <c r="F4" s="13"/>
      <c r="G4" s="13"/>
      <c r="H4" s="13">
        <v>108.8</v>
      </c>
      <c r="I4" s="13">
        <v>-87.1</v>
      </c>
      <c r="J4" s="13"/>
      <c r="K4" s="13"/>
    </row>
    <row r="5" spans="1:11" x14ac:dyDescent="0.25">
      <c r="A5" s="10">
        <v>39829</v>
      </c>
      <c r="B5" s="15">
        <f t="shared" si="0"/>
        <v>1</v>
      </c>
      <c r="C5" s="15">
        <f t="shared" si="1"/>
        <v>2009</v>
      </c>
      <c r="D5" s="13">
        <v>40</v>
      </c>
      <c r="E5" s="13">
        <v>138.3297000676539</v>
      </c>
      <c r="F5" s="13"/>
      <c r="G5" s="13"/>
      <c r="H5" s="13">
        <v>108.8</v>
      </c>
      <c r="I5" s="13">
        <v>-87.1</v>
      </c>
      <c r="J5" s="13"/>
      <c r="K5" s="13"/>
    </row>
    <row r="6" spans="1:11" x14ac:dyDescent="0.25">
      <c r="A6" s="10">
        <v>39833</v>
      </c>
      <c r="B6" s="15">
        <f t="shared" si="0"/>
        <v>1</v>
      </c>
      <c r="C6" s="15">
        <f t="shared" si="1"/>
        <v>2009</v>
      </c>
      <c r="D6" s="13">
        <v>44.9</v>
      </c>
      <c r="E6" s="13">
        <v>147.03189260495071</v>
      </c>
      <c r="F6" s="13"/>
      <c r="G6" s="13"/>
      <c r="H6" s="13">
        <v>95.44</v>
      </c>
      <c r="I6" s="13">
        <v>-98.9</v>
      </c>
      <c r="J6" s="13"/>
      <c r="K6" s="13"/>
    </row>
    <row r="7" spans="1:11" x14ac:dyDescent="0.25">
      <c r="A7" s="10">
        <v>39834</v>
      </c>
      <c r="B7" s="15">
        <f t="shared" si="0"/>
        <v>1</v>
      </c>
      <c r="C7" s="15">
        <f t="shared" si="1"/>
        <v>2009</v>
      </c>
      <c r="D7" s="13">
        <v>44.9</v>
      </c>
      <c r="E7" s="13">
        <v>145.31789247641689</v>
      </c>
      <c r="F7" s="13"/>
      <c r="G7" s="13"/>
      <c r="H7" s="13">
        <v>95.44</v>
      </c>
      <c r="I7" s="13">
        <v>-98.9</v>
      </c>
      <c r="J7" s="13"/>
      <c r="K7" s="13"/>
    </row>
    <row r="8" spans="1:11" x14ac:dyDescent="0.25">
      <c r="A8" s="10">
        <v>39835</v>
      </c>
      <c r="B8" s="15">
        <f t="shared" si="0"/>
        <v>1</v>
      </c>
      <c r="C8" s="15">
        <f t="shared" si="1"/>
        <v>2009</v>
      </c>
      <c r="D8" s="13">
        <v>44.9</v>
      </c>
      <c r="E8" s="13">
        <v>145.93345656192236</v>
      </c>
      <c r="F8" s="13"/>
      <c r="G8" s="13"/>
      <c r="H8" s="13">
        <v>95.44</v>
      </c>
      <c r="I8" s="13">
        <v>-98.9</v>
      </c>
      <c r="J8" s="13"/>
      <c r="K8" s="13"/>
    </row>
    <row r="9" spans="1:11" x14ac:dyDescent="0.25">
      <c r="A9" s="10">
        <v>39836</v>
      </c>
      <c r="B9" s="15">
        <f t="shared" si="0"/>
        <v>1</v>
      </c>
      <c r="C9" s="15">
        <f t="shared" si="1"/>
        <v>2009</v>
      </c>
      <c r="D9" s="13">
        <v>44.9</v>
      </c>
      <c r="E9" s="13">
        <v>145.87728077604126</v>
      </c>
      <c r="F9" s="13"/>
      <c r="G9" s="13"/>
      <c r="H9" s="13">
        <v>95.44</v>
      </c>
      <c r="I9" s="13">
        <v>-98.9</v>
      </c>
      <c r="J9" s="13"/>
      <c r="K9" s="13"/>
    </row>
    <row r="10" spans="1:11" x14ac:dyDescent="0.25">
      <c r="A10" s="10">
        <v>39839</v>
      </c>
      <c r="B10" s="15">
        <f t="shared" si="0"/>
        <v>1</v>
      </c>
      <c r="C10" s="15">
        <f t="shared" si="1"/>
        <v>2009</v>
      </c>
      <c r="D10" s="13">
        <v>79.900000000000006</v>
      </c>
      <c r="E10" s="13">
        <v>151.27990884922141</v>
      </c>
      <c r="F10" s="13"/>
      <c r="G10" s="13"/>
      <c r="H10" s="13">
        <v>91.22</v>
      </c>
      <c r="I10" s="13">
        <v>-51.3</v>
      </c>
      <c r="J10" s="13"/>
      <c r="K10" s="13"/>
    </row>
    <row r="11" spans="1:11" x14ac:dyDescent="0.25">
      <c r="A11" s="10">
        <v>39840</v>
      </c>
      <c r="B11" s="15">
        <f t="shared" si="0"/>
        <v>1</v>
      </c>
      <c r="C11" s="15">
        <f t="shared" si="1"/>
        <v>2009</v>
      </c>
      <c r="D11" s="13">
        <v>79.900000000000006</v>
      </c>
      <c r="E11" s="13">
        <v>151.15361262902246</v>
      </c>
      <c r="F11" s="13"/>
      <c r="G11" s="13"/>
      <c r="H11" s="13">
        <v>91.22</v>
      </c>
      <c r="I11" s="13">
        <v>-51.3</v>
      </c>
      <c r="J11" s="13"/>
      <c r="K11" s="13"/>
    </row>
    <row r="12" spans="1:11" x14ac:dyDescent="0.25">
      <c r="A12" s="10">
        <v>39841</v>
      </c>
      <c r="B12" s="15">
        <f t="shared" si="0"/>
        <v>1</v>
      </c>
      <c r="C12" s="15">
        <f t="shared" si="1"/>
        <v>2009</v>
      </c>
      <c r="D12" s="13">
        <v>79.900000000000006</v>
      </c>
      <c r="E12" s="13">
        <v>151.62542824514657</v>
      </c>
      <c r="F12" s="13"/>
      <c r="G12" s="13"/>
      <c r="H12" s="13">
        <v>91.22</v>
      </c>
      <c r="I12" s="13">
        <v>-51.3</v>
      </c>
      <c r="J12" s="13"/>
      <c r="K12" s="13"/>
    </row>
    <row r="13" spans="1:11" x14ac:dyDescent="0.25">
      <c r="A13" s="10">
        <v>39842</v>
      </c>
      <c r="B13" s="15">
        <f t="shared" si="0"/>
        <v>1</v>
      </c>
      <c r="C13" s="15">
        <f t="shared" si="1"/>
        <v>2009</v>
      </c>
      <c r="D13" s="13">
        <v>79.900000000000006</v>
      </c>
      <c r="E13" s="13">
        <v>153.69655811081955</v>
      </c>
      <c r="F13" s="13"/>
      <c r="G13" s="13"/>
      <c r="H13" s="13">
        <v>91.22</v>
      </c>
      <c r="I13" s="13">
        <v>-51.3</v>
      </c>
      <c r="J13" s="13"/>
      <c r="K13" s="13"/>
    </row>
    <row r="14" spans="1:11" x14ac:dyDescent="0.25">
      <c r="A14" s="10">
        <v>39843</v>
      </c>
      <c r="B14" s="15">
        <f t="shared" si="0"/>
        <v>1</v>
      </c>
      <c r="C14" s="15">
        <f t="shared" si="1"/>
        <v>2009</v>
      </c>
      <c r="D14" s="13">
        <v>79.900000000000006</v>
      </c>
      <c r="E14" s="13">
        <v>155.83724569640063</v>
      </c>
      <c r="F14" s="13"/>
      <c r="G14" s="13"/>
      <c r="H14" s="13">
        <v>91.22</v>
      </c>
      <c r="I14" s="13">
        <v>-51.3</v>
      </c>
      <c r="J14" s="13"/>
      <c r="K14" s="13"/>
    </row>
    <row r="15" spans="1:11" x14ac:dyDescent="0.25">
      <c r="A15" s="10">
        <v>39846</v>
      </c>
      <c r="B15" s="15">
        <f t="shared" si="0"/>
        <v>2</v>
      </c>
      <c r="C15" s="15">
        <f t="shared" si="1"/>
        <v>2009</v>
      </c>
      <c r="D15" s="13">
        <v>84.6</v>
      </c>
      <c r="E15" s="13">
        <v>159.87236360806287</v>
      </c>
      <c r="F15" s="13"/>
      <c r="G15" s="13"/>
      <c r="H15" s="13">
        <v>66.989999999999995</v>
      </c>
      <c r="I15" s="13">
        <v>-57.4</v>
      </c>
      <c r="J15" s="13"/>
      <c r="K15" s="13"/>
    </row>
    <row r="16" spans="1:11" x14ac:dyDescent="0.25">
      <c r="A16" s="10">
        <v>39847</v>
      </c>
      <c r="B16" s="15">
        <f t="shared" si="0"/>
        <v>2</v>
      </c>
      <c r="C16" s="15">
        <f t="shared" si="1"/>
        <v>2009</v>
      </c>
      <c r="D16" s="13">
        <v>84.6</v>
      </c>
      <c r="E16" s="13">
        <v>157.57901196686097</v>
      </c>
      <c r="F16" s="13"/>
      <c r="G16" s="13"/>
      <c r="H16" s="13">
        <v>66.989999999999995</v>
      </c>
      <c r="I16" s="13">
        <v>-57.4</v>
      </c>
      <c r="J16" s="13"/>
      <c r="K16" s="13"/>
    </row>
    <row r="17" spans="1:11" x14ac:dyDescent="0.25">
      <c r="A17" s="10">
        <v>39848</v>
      </c>
      <c r="B17" s="15">
        <f t="shared" si="0"/>
        <v>2</v>
      </c>
      <c r="C17" s="15">
        <f t="shared" si="1"/>
        <v>2009</v>
      </c>
      <c r="D17" s="13">
        <v>84.6</v>
      </c>
      <c r="E17" s="13">
        <v>160.13408169628937</v>
      </c>
      <c r="F17" s="13"/>
      <c r="G17" s="13"/>
      <c r="H17" s="13">
        <v>66.989999999999995</v>
      </c>
      <c r="I17" s="13">
        <v>-57.4</v>
      </c>
      <c r="J17" s="13"/>
      <c r="K17" s="13"/>
    </row>
    <row r="18" spans="1:11" x14ac:dyDescent="0.25">
      <c r="A18" s="10">
        <v>39849</v>
      </c>
      <c r="B18" s="15">
        <f t="shared" si="0"/>
        <v>2</v>
      </c>
      <c r="C18" s="15">
        <f t="shared" si="1"/>
        <v>2009</v>
      </c>
      <c r="D18" s="13">
        <v>84.6</v>
      </c>
      <c r="E18" s="13">
        <v>160.69780176797309</v>
      </c>
      <c r="F18" s="13"/>
      <c r="G18" s="13"/>
      <c r="H18" s="13">
        <v>66.989999999999995</v>
      </c>
      <c r="I18" s="13">
        <v>-57.4</v>
      </c>
      <c r="J18" s="13"/>
      <c r="K18" s="13"/>
    </row>
    <row r="19" spans="1:11" x14ac:dyDescent="0.25">
      <c r="A19" s="10">
        <v>39850</v>
      </c>
      <c r="B19" s="15">
        <f t="shared" si="0"/>
        <v>2</v>
      </c>
      <c r="C19" s="15">
        <f t="shared" si="1"/>
        <v>2009</v>
      </c>
      <c r="D19" s="13">
        <v>84.6</v>
      </c>
      <c r="E19" s="13">
        <v>158.85855695615189</v>
      </c>
      <c r="F19" s="13"/>
      <c r="G19" s="13"/>
      <c r="H19" s="13">
        <v>66.989999999999995</v>
      </c>
      <c r="I19" s="13">
        <v>-57.4</v>
      </c>
      <c r="J19" s="13"/>
      <c r="K19" s="13"/>
    </row>
    <row r="20" spans="1:11" x14ac:dyDescent="0.25">
      <c r="A20" s="10">
        <v>39853</v>
      </c>
      <c r="B20" s="15">
        <f t="shared" si="0"/>
        <v>2</v>
      </c>
      <c r="C20" s="15">
        <f t="shared" si="1"/>
        <v>2009</v>
      </c>
      <c r="D20" s="13">
        <v>98.8</v>
      </c>
      <c r="E20" s="13">
        <v>155.16949803981859</v>
      </c>
      <c r="F20" s="13"/>
      <c r="G20" s="13"/>
      <c r="H20" s="13">
        <v>70.650000000000006</v>
      </c>
      <c r="I20" s="13">
        <v>-66.7</v>
      </c>
      <c r="J20" s="13"/>
      <c r="K20" s="13"/>
    </row>
    <row r="21" spans="1:11" x14ac:dyDescent="0.25">
      <c r="A21" s="10">
        <v>39854</v>
      </c>
      <c r="B21" s="15">
        <f t="shared" si="0"/>
        <v>2</v>
      </c>
      <c r="C21" s="15">
        <f t="shared" si="1"/>
        <v>2009</v>
      </c>
      <c r="D21" s="13">
        <v>98.8</v>
      </c>
      <c r="E21" s="13">
        <v>156.51701946189036</v>
      </c>
      <c r="F21" s="13"/>
      <c r="G21" s="13"/>
      <c r="H21" s="13">
        <v>70.650000000000006</v>
      </c>
      <c r="I21" s="13">
        <v>-66.7</v>
      </c>
      <c r="J21" s="13"/>
      <c r="K21" s="13"/>
    </row>
    <row r="22" spans="1:11" x14ac:dyDescent="0.25">
      <c r="A22" s="10">
        <v>39855</v>
      </c>
      <c r="B22" s="15">
        <f t="shared" si="0"/>
        <v>2</v>
      </c>
      <c r="C22" s="15">
        <f t="shared" si="1"/>
        <v>2009</v>
      </c>
      <c r="D22" s="13">
        <v>98.8</v>
      </c>
      <c r="E22" s="13">
        <v>156.54129507561069</v>
      </c>
      <c r="F22" s="13"/>
      <c r="G22" s="13"/>
      <c r="H22" s="13">
        <v>70.650000000000006</v>
      </c>
      <c r="I22" s="13">
        <v>-66.7</v>
      </c>
      <c r="J22" s="13"/>
      <c r="K22" s="13"/>
    </row>
    <row r="23" spans="1:11" x14ac:dyDescent="0.25">
      <c r="A23" s="10">
        <v>39856</v>
      </c>
      <c r="B23" s="15">
        <f t="shared" si="0"/>
        <v>2</v>
      </c>
      <c r="C23" s="15">
        <f t="shared" si="1"/>
        <v>2009</v>
      </c>
      <c r="D23" s="13">
        <v>98.8</v>
      </c>
      <c r="E23" s="13">
        <v>156.95513568151779</v>
      </c>
      <c r="F23" s="13"/>
      <c r="G23" s="13"/>
      <c r="H23" s="13">
        <v>70.650000000000006</v>
      </c>
      <c r="I23" s="13">
        <v>-66.7</v>
      </c>
      <c r="J23" s="13"/>
      <c r="K23" s="13"/>
    </row>
    <row r="24" spans="1:11" x14ac:dyDescent="0.25">
      <c r="A24" s="10">
        <v>39857</v>
      </c>
      <c r="B24" s="15">
        <f t="shared" si="0"/>
        <v>2</v>
      </c>
      <c r="C24" s="15">
        <f t="shared" si="1"/>
        <v>2009</v>
      </c>
      <c r="D24" s="13">
        <v>98.8</v>
      </c>
      <c r="E24" s="13">
        <v>156.9673405909798</v>
      </c>
      <c r="F24" s="13"/>
      <c r="G24" s="13"/>
      <c r="H24" s="13">
        <v>70.650000000000006</v>
      </c>
      <c r="I24" s="13">
        <v>-66.7</v>
      </c>
      <c r="J24" s="13"/>
      <c r="K24" s="13"/>
    </row>
    <row r="25" spans="1:11" x14ac:dyDescent="0.25">
      <c r="A25" s="10">
        <v>39861</v>
      </c>
      <c r="B25" s="15">
        <f t="shared" si="0"/>
        <v>2</v>
      </c>
      <c r="C25" s="15">
        <f t="shared" si="1"/>
        <v>2009</v>
      </c>
      <c r="D25" s="13">
        <v>80.3</v>
      </c>
      <c r="E25" s="13">
        <v>151.06450587861457</v>
      </c>
      <c r="F25" s="13"/>
      <c r="G25" s="13"/>
      <c r="H25" s="13">
        <v>74.78</v>
      </c>
      <c r="I25" s="13">
        <v>-65</v>
      </c>
      <c r="J25" s="13"/>
      <c r="K25" s="13"/>
    </row>
    <row r="26" spans="1:11" x14ac:dyDescent="0.25">
      <c r="A26" s="10">
        <v>39862</v>
      </c>
      <c r="B26" s="15">
        <f t="shared" si="0"/>
        <v>2</v>
      </c>
      <c r="C26" s="15">
        <f t="shared" si="1"/>
        <v>2009</v>
      </c>
      <c r="D26" s="13">
        <v>80.3</v>
      </c>
      <c r="E26" s="13">
        <v>151.67903007098985</v>
      </c>
      <c r="F26" s="13"/>
      <c r="G26" s="13"/>
      <c r="H26" s="13">
        <v>74.78</v>
      </c>
      <c r="I26" s="13">
        <v>-65</v>
      </c>
      <c r="J26" s="13"/>
      <c r="K26" s="13"/>
    </row>
    <row r="27" spans="1:11" x14ac:dyDescent="0.25">
      <c r="A27" s="10">
        <v>39863</v>
      </c>
      <c r="B27" s="15">
        <f t="shared" si="0"/>
        <v>2</v>
      </c>
      <c r="C27" s="15">
        <f t="shared" si="1"/>
        <v>2009</v>
      </c>
      <c r="D27" s="13">
        <v>80.3</v>
      </c>
      <c r="E27" s="13">
        <v>150.18164586953088</v>
      </c>
      <c r="F27" s="13"/>
      <c r="G27" s="13"/>
      <c r="H27" s="13">
        <v>74.78</v>
      </c>
      <c r="I27" s="13">
        <v>-65</v>
      </c>
      <c r="J27" s="13"/>
      <c r="K27" s="13"/>
    </row>
    <row r="28" spans="1:11" x14ac:dyDescent="0.25">
      <c r="A28" s="10">
        <v>39864</v>
      </c>
      <c r="B28" s="15">
        <f t="shared" si="0"/>
        <v>2</v>
      </c>
      <c r="C28" s="15">
        <f t="shared" si="1"/>
        <v>2009</v>
      </c>
      <c r="D28" s="13">
        <v>80.3</v>
      </c>
      <c r="E28" s="13">
        <v>148.09968847352025</v>
      </c>
      <c r="F28" s="13"/>
      <c r="G28" s="13"/>
      <c r="H28" s="13">
        <v>74.78</v>
      </c>
      <c r="I28" s="13">
        <v>-65</v>
      </c>
      <c r="J28" s="13"/>
      <c r="K28" s="13"/>
    </row>
    <row r="29" spans="1:11" x14ac:dyDescent="0.25">
      <c r="A29" s="10">
        <v>39867</v>
      </c>
      <c r="B29" s="15">
        <f t="shared" si="0"/>
        <v>2</v>
      </c>
      <c r="C29" s="15">
        <f t="shared" si="1"/>
        <v>2009</v>
      </c>
      <c r="D29" s="13">
        <v>81.3</v>
      </c>
      <c r="E29" s="13">
        <v>173.68959546670865</v>
      </c>
      <c r="F29" s="13"/>
      <c r="G29" s="13"/>
      <c r="H29" s="13">
        <v>76.19</v>
      </c>
      <c r="I29" s="13">
        <v>-43.6</v>
      </c>
      <c r="J29" s="13"/>
      <c r="K29" s="13"/>
    </row>
    <row r="30" spans="1:11" x14ac:dyDescent="0.25">
      <c r="A30" s="10">
        <v>39868</v>
      </c>
      <c r="B30" s="15">
        <f t="shared" si="0"/>
        <v>2</v>
      </c>
      <c r="C30" s="15">
        <f t="shared" si="1"/>
        <v>2009</v>
      </c>
      <c r="D30" s="13">
        <v>81.3</v>
      </c>
      <c r="E30" s="13">
        <v>171.89033413817276</v>
      </c>
      <c r="F30" s="13"/>
      <c r="G30" s="13"/>
      <c r="H30" s="13">
        <v>76.19</v>
      </c>
      <c r="I30" s="13">
        <v>-43.6</v>
      </c>
      <c r="J30" s="13"/>
      <c r="K30" s="13"/>
    </row>
    <row r="31" spans="1:11" x14ac:dyDescent="0.25">
      <c r="A31" s="10">
        <v>39869</v>
      </c>
      <c r="B31" s="15">
        <f t="shared" si="0"/>
        <v>2</v>
      </c>
      <c r="C31" s="15">
        <f t="shared" si="1"/>
        <v>2009</v>
      </c>
      <c r="D31" s="13">
        <v>81.3</v>
      </c>
      <c r="E31" s="13">
        <v>173.67592665459983</v>
      </c>
      <c r="F31" s="13"/>
      <c r="G31" s="13"/>
      <c r="H31" s="13">
        <v>76.19</v>
      </c>
      <c r="I31" s="13">
        <v>-43.6</v>
      </c>
      <c r="J31" s="13"/>
      <c r="K31" s="13"/>
    </row>
    <row r="32" spans="1:11" x14ac:dyDescent="0.25">
      <c r="A32" s="10">
        <v>39870</v>
      </c>
      <c r="B32" s="15">
        <f t="shared" si="0"/>
        <v>2</v>
      </c>
      <c r="C32" s="15">
        <f t="shared" si="1"/>
        <v>2009</v>
      </c>
      <c r="D32" s="13">
        <v>81.3</v>
      </c>
      <c r="E32" s="13">
        <v>173.36213668499607</v>
      </c>
      <c r="F32" s="13"/>
      <c r="G32" s="13"/>
      <c r="H32" s="13">
        <v>76.19</v>
      </c>
      <c r="I32" s="13">
        <v>-43.6</v>
      </c>
      <c r="J32" s="13"/>
      <c r="K32" s="13"/>
    </row>
    <row r="33" spans="1:11" x14ac:dyDescent="0.25">
      <c r="A33" s="10">
        <v>39871</v>
      </c>
      <c r="B33" s="15">
        <f t="shared" si="0"/>
        <v>2</v>
      </c>
      <c r="C33" s="15">
        <f t="shared" si="1"/>
        <v>2009</v>
      </c>
      <c r="D33" s="13">
        <v>81.3</v>
      </c>
      <c r="E33" s="13">
        <v>174.21060940953583</v>
      </c>
      <c r="F33" s="13"/>
      <c r="G33" s="13"/>
      <c r="H33" s="13">
        <v>76.19</v>
      </c>
      <c r="I33" s="13">
        <v>-43.6</v>
      </c>
      <c r="J33" s="13"/>
      <c r="K33" s="13"/>
    </row>
    <row r="34" spans="1:11" x14ac:dyDescent="0.25">
      <c r="A34" s="10">
        <v>39874</v>
      </c>
      <c r="B34" s="15">
        <f t="shared" si="0"/>
        <v>3</v>
      </c>
      <c r="C34" s="15">
        <f t="shared" si="1"/>
        <v>2009</v>
      </c>
      <c r="D34" s="13">
        <v>97.6</v>
      </c>
      <c r="E34" s="13">
        <v>169.74489390447431</v>
      </c>
      <c r="F34" s="13"/>
      <c r="G34" s="13"/>
      <c r="H34" s="13">
        <v>59.03</v>
      </c>
      <c r="I34" s="13">
        <v>-43.6</v>
      </c>
      <c r="J34" s="13"/>
      <c r="K34" s="13"/>
    </row>
    <row r="35" spans="1:11" x14ac:dyDescent="0.25">
      <c r="A35" s="10">
        <v>39875</v>
      </c>
      <c r="B35" s="15">
        <f t="shared" si="0"/>
        <v>3</v>
      </c>
      <c r="C35" s="15">
        <f t="shared" si="1"/>
        <v>2009</v>
      </c>
      <c r="D35" s="13">
        <v>97.6</v>
      </c>
      <c r="E35" s="13">
        <v>169.98806207719858</v>
      </c>
      <c r="F35" s="13"/>
      <c r="G35" s="13"/>
      <c r="H35" s="13">
        <v>59.03</v>
      </c>
      <c r="I35" s="13">
        <v>-43.6</v>
      </c>
      <c r="J35" s="13"/>
      <c r="K35" s="13"/>
    </row>
    <row r="36" spans="1:11" x14ac:dyDescent="0.25">
      <c r="A36" s="10">
        <v>39876</v>
      </c>
      <c r="B36" s="15">
        <f t="shared" si="0"/>
        <v>3</v>
      </c>
      <c r="C36" s="15">
        <f t="shared" si="1"/>
        <v>2009</v>
      </c>
      <c r="D36" s="13">
        <v>97.6</v>
      </c>
      <c r="E36" s="13">
        <v>169.04629996042738</v>
      </c>
      <c r="F36" s="13"/>
      <c r="G36" s="13"/>
      <c r="H36" s="13">
        <v>59.03</v>
      </c>
      <c r="I36" s="13">
        <v>-43.6</v>
      </c>
      <c r="J36" s="13"/>
      <c r="K36" s="13"/>
    </row>
    <row r="37" spans="1:11" x14ac:dyDescent="0.25">
      <c r="A37" s="10">
        <v>39877</v>
      </c>
      <c r="B37" s="15">
        <f t="shared" si="0"/>
        <v>3</v>
      </c>
      <c r="C37" s="15">
        <f t="shared" si="1"/>
        <v>2009</v>
      </c>
      <c r="D37" s="13">
        <v>97.6</v>
      </c>
      <c r="E37" s="13">
        <v>170.05573248407643</v>
      </c>
      <c r="F37" s="13"/>
      <c r="G37" s="13"/>
      <c r="H37" s="13">
        <v>59.03</v>
      </c>
      <c r="I37" s="13">
        <v>-43.6</v>
      </c>
      <c r="J37" s="13"/>
      <c r="K37" s="13"/>
    </row>
    <row r="38" spans="1:11" x14ac:dyDescent="0.25">
      <c r="A38" s="10">
        <v>39878</v>
      </c>
      <c r="B38" s="15">
        <f t="shared" si="0"/>
        <v>3</v>
      </c>
      <c r="C38" s="15">
        <f t="shared" si="1"/>
        <v>2009</v>
      </c>
      <c r="D38" s="13">
        <v>97.6</v>
      </c>
      <c r="E38" s="13">
        <v>168.97943037974684</v>
      </c>
      <c r="F38" s="13"/>
      <c r="G38" s="13"/>
      <c r="H38" s="13">
        <v>59.03</v>
      </c>
      <c r="I38" s="13">
        <v>-43.6</v>
      </c>
      <c r="J38" s="13"/>
      <c r="K38" s="13"/>
    </row>
    <row r="39" spans="1:11" x14ac:dyDescent="0.25">
      <c r="A39" s="10">
        <v>39881</v>
      </c>
      <c r="B39" s="15">
        <f t="shared" si="0"/>
        <v>3</v>
      </c>
      <c r="C39" s="15">
        <f t="shared" si="1"/>
        <v>2009</v>
      </c>
      <c r="D39" s="13">
        <v>81.900000000000006</v>
      </c>
      <c r="E39" s="13">
        <v>163.83822363203808</v>
      </c>
      <c r="F39" s="13"/>
      <c r="G39" s="13"/>
      <c r="H39" s="13">
        <v>47.73</v>
      </c>
      <c r="I39" s="13">
        <v>-64.2</v>
      </c>
      <c r="J39" s="13"/>
      <c r="K39" s="13"/>
    </row>
    <row r="40" spans="1:11" x14ac:dyDescent="0.25">
      <c r="A40" s="10">
        <v>39882</v>
      </c>
      <c r="B40" s="15">
        <f t="shared" si="0"/>
        <v>3</v>
      </c>
      <c r="C40" s="15">
        <f t="shared" si="1"/>
        <v>2009</v>
      </c>
      <c r="D40" s="13">
        <v>81.900000000000006</v>
      </c>
      <c r="E40" s="13">
        <v>163.06235201262825</v>
      </c>
      <c r="F40" s="13"/>
      <c r="G40" s="13"/>
      <c r="H40" s="13">
        <v>47.73</v>
      </c>
      <c r="I40" s="13">
        <v>-64.2</v>
      </c>
      <c r="J40" s="13"/>
      <c r="K40" s="13"/>
    </row>
    <row r="41" spans="1:11" x14ac:dyDescent="0.25">
      <c r="A41" s="10">
        <v>39883</v>
      </c>
      <c r="B41" s="15">
        <f t="shared" si="0"/>
        <v>3</v>
      </c>
      <c r="C41" s="15">
        <f t="shared" si="1"/>
        <v>2009</v>
      </c>
      <c r="D41" s="13">
        <v>81.900000000000006</v>
      </c>
      <c r="E41" s="13">
        <v>161.06650035082248</v>
      </c>
      <c r="F41" s="13"/>
      <c r="G41" s="13"/>
      <c r="H41" s="13">
        <v>47.73</v>
      </c>
      <c r="I41" s="13">
        <v>-64.2</v>
      </c>
      <c r="J41" s="13"/>
      <c r="K41" s="13"/>
    </row>
    <row r="42" spans="1:11" x14ac:dyDescent="0.25">
      <c r="A42" s="10">
        <v>39884</v>
      </c>
      <c r="B42" s="15">
        <f t="shared" si="0"/>
        <v>3</v>
      </c>
      <c r="C42" s="15">
        <f t="shared" si="1"/>
        <v>2009</v>
      </c>
      <c r="D42" s="13">
        <v>81.900000000000006</v>
      </c>
      <c r="E42" s="13">
        <v>160.04338058718724</v>
      </c>
      <c r="F42" s="13"/>
      <c r="G42" s="13"/>
      <c r="H42" s="13">
        <v>47.73</v>
      </c>
      <c r="I42" s="13">
        <v>-64.2</v>
      </c>
      <c r="J42" s="13"/>
      <c r="K42" s="13"/>
    </row>
    <row r="43" spans="1:11" x14ac:dyDescent="0.25">
      <c r="A43" s="10">
        <v>39885</v>
      </c>
      <c r="B43" s="15">
        <f t="shared" si="0"/>
        <v>3</v>
      </c>
      <c r="C43" s="15">
        <f t="shared" si="1"/>
        <v>2009</v>
      </c>
      <c r="D43" s="13">
        <v>81.900000000000006</v>
      </c>
      <c r="E43" s="13">
        <v>159.88237114997679</v>
      </c>
      <c r="F43" s="13"/>
      <c r="G43" s="13"/>
      <c r="H43" s="13">
        <v>47.73</v>
      </c>
      <c r="I43" s="13">
        <v>-64.2</v>
      </c>
      <c r="J43" s="13"/>
      <c r="K43" s="13"/>
    </row>
    <row r="44" spans="1:11" x14ac:dyDescent="0.25">
      <c r="A44" s="10">
        <v>39888</v>
      </c>
      <c r="B44" s="15">
        <f t="shared" si="0"/>
        <v>3</v>
      </c>
      <c r="C44" s="15">
        <f t="shared" si="1"/>
        <v>2009</v>
      </c>
      <c r="D44" s="13">
        <v>106.4</v>
      </c>
      <c r="E44" s="13">
        <v>159.35981488623219</v>
      </c>
      <c r="F44" s="13"/>
      <c r="G44" s="13"/>
      <c r="H44" s="13">
        <v>57.6</v>
      </c>
      <c r="I44" s="13">
        <v>-51.3</v>
      </c>
      <c r="J44" s="13"/>
      <c r="K44" s="13"/>
    </row>
    <row r="45" spans="1:11" x14ac:dyDescent="0.25">
      <c r="A45" s="10">
        <v>39889</v>
      </c>
      <c r="B45" s="15">
        <f t="shared" si="0"/>
        <v>3</v>
      </c>
      <c r="C45" s="15">
        <f t="shared" si="1"/>
        <v>2009</v>
      </c>
      <c r="D45" s="13">
        <v>106.4</v>
      </c>
      <c r="E45" s="13">
        <v>158.78419920073779</v>
      </c>
      <c r="F45" s="13"/>
      <c r="G45" s="13"/>
      <c r="H45" s="13">
        <v>57.6</v>
      </c>
      <c r="I45" s="13">
        <v>-51.3</v>
      </c>
      <c r="J45" s="13"/>
      <c r="K45" s="13"/>
    </row>
    <row r="46" spans="1:11" x14ac:dyDescent="0.25">
      <c r="A46" s="10">
        <v>39890</v>
      </c>
      <c r="B46" s="15">
        <f t="shared" si="0"/>
        <v>3</v>
      </c>
      <c r="C46" s="15">
        <f t="shared" si="1"/>
        <v>2009</v>
      </c>
      <c r="D46" s="13">
        <v>106.4</v>
      </c>
      <c r="E46" s="13">
        <v>152.9877823028508</v>
      </c>
      <c r="F46" s="13"/>
      <c r="G46" s="13"/>
      <c r="H46" s="13">
        <v>57.6</v>
      </c>
      <c r="I46" s="13">
        <v>-51.3</v>
      </c>
      <c r="J46" s="13"/>
      <c r="K46" s="13"/>
    </row>
    <row r="47" spans="1:11" x14ac:dyDescent="0.25">
      <c r="A47" s="10">
        <v>39891</v>
      </c>
      <c r="B47" s="15">
        <f t="shared" si="0"/>
        <v>3</v>
      </c>
      <c r="C47" s="15">
        <f t="shared" si="1"/>
        <v>2009</v>
      </c>
      <c r="D47" s="13">
        <v>106.4</v>
      </c>
      <c r="E47" s="13">
        <v>151.21861962965673</v>
      </c>
      <c r="F47" s="13"/>
      <c r="G47" s="13"/>
      <c r="H47" s="13">
        <v>57.6</v>
      </c>
      <c r="I47" s="13">
        <v>-51.3</v>
      </c>
      <c r="J47" s="13"/>
      <c r="K47" s="13"/>
    </row>
    <row r="48" spans="1:11" x14ac:dyDescent="0.25">
      <c r="A48" s="10">
        <v>39892</v>
      </c>
      <c r="B48" s="15">
        <f t="shared" si="0"/>
        <v>3</v>
      </c>
      <c r="C48" s="15">
        <f t="shared" si="1"/>
        <v>2009</v>
      </c>
      <c r="D48" s="13">
        <v>106.4</v>
      </c>
      <c r="E48" s="13">
        <v>152.14285714285714</v>
      </c>
      <c r="F48" s="13"/>
      <c r="G48" s="13"/>
      <c r="H48" s="13">
        <v>57.6</v>
      </c>
      <c r="I48" s="13">
        <v>-51.3</v>
      </c>
      <c r="J48" s="13"/>
      <c r="K48" s="13"/>
    </row>
    <row r="49" spans="1:11" x14ac:dyDescent="0.25">
      <c r="A49" s="10">
        <v>39895</v>
      </c>
      <c r="B49" s="15">
        <f t="shared" si="0"/>
        <v>3</v>
      </c>
      <c r="C49" s="15">
        <f t="shared" si="1"/>
        <v>2009</v>
      </c>
      <c r="D49" s="13">
        <v>102.6</v>
      </c>
      <c r="E49" s="13">
        <v>135.64458140729329</v>
      </c>
      <c r="F49" s="13"/>
      <c r="G49" s="13"/>
      <c r="H49" s="13">
        <v>61.17</v>
      </c>
      <c r="I49" s="13">
        <v>-73.599999999999994</v>
      </c>
      <c r="J49" s="13"/>
      <c r="K49" s="13"/>
    </row>
    <row r="50" spans="1:11" x14ac:dyDescent="0.25">
      <c r="A50" s="10">
        <v>39896</v>
      </c>
      <c r="B50" s="15">
        <f t="shared" si="0"/>
        <v>3</v>
      </c>
      <c r="C50" s="15">
        <f t="shared" si="1"/>
        <v>2009</v>
      </c>
      <c r="D50" s="13">
        <v>102.6</v>
      </c>
      <c r="E50" s="13">
        <v>137.3681081884381</v>
      </c>
      <c r="F50" s="13"/>
      <c r="G50" s="13"/>
      <c r="H50" s="13">
        <v>61.17</v>
      </c>
      <c r="I50" s="13">
        <v>-73.599999999999994</v>
      </c>
      <c r="J50" s="13"/>
      <c r="K50" s="13"/>
    </row>
    <row r="51" spans="1:11" x14ac:dyDescent="0.25">
      <c r="A51" s="10">
        <v>39897</v>
      </c>
      <c r="B51" s="15">
        <f t="shared" si="0"/>
        <v>3</v>
      </c>
      <c r="C51" s="15">
        <f t="shared" si="1"/>
        <v>2009</v>
      </c>
      <c r="D51" s="13">
        <v>102.6</v>
      </c>
      <c r="E51" s="13">
        <v>136.11397437785303</v>
      </c>
      <c r="F51" s="13"/>
      <c r="G51" s="13"/>
      <c r="H51" s="13">
        <v>61.17</v>
      </c>
      <c r="I51" s="13">
        <v>-73.599999999999994</v>
      </c>
      <c r="J51" s="13"/>
      <c r="K51" s="13"/>
    </row>
    <row r="52" spans="1:11" x14ac:dyDescent="0.25">
      <c r="A52" s="10">
        <v>39898</v>
      </c>
      <c r="B52" s="15">
        <f t="shared" si="0"/>
        <v>3</v>
      </c>
      <c r="C52" s="15">
        <f t="shared" si="1"/>
        <v>2009</v>
      </c>
      <c r="D52" s="13">
        <v>102.6</v>
      </c>
      <c r="E52" s="13">
        <v>136.61690806976057</v>
      </c>
      <c r="F52" s="13"/>
      <c r="G52" s="13"/>
      <c r="H52" s="13">
        <v>61.17</v>
      </c>
      <c r="I52" s="13">
        <v>-73.599999999999994</v>
      </c>
      <c r="J52" s="13"/>
      <c r="K52" s="13"/>
    </row>
    <row r="53" spans="1:11" x14ac:dyDescent="0.25">
      <c r="A53" s="10">
        <v>39899</v>
      </c>
      <c r="B53" s="15">
        <f t="shared" si="0"/>
        <v>3</v>
      </c>
      <c r="C53" s="15">
        <f t="shared" si="1"/>
        <v>2009</v>
      </c>
      <c r="D53" s="13">
        <v>102.6</v>
      </c>
      <c r="E53" s="13">
        <v>139.02090539930816</v>
      </c>
      <c r="F53" s="13"/>
      <c r="G53" s="13"/>
      <c r="H53" s="13">
        <v>61.17</v>
      </c>
      <c r="I53" s="13">
        <v>-73.599999999999994</v>
      </c>
      <c r="J53" s="13"/>
      <c r="K53" s="13"/>
    </row>
    <row r="54" spans="1:11" x14ac:dyDescent="0.25">
      <c r="A54" s="10">
        <v>39902</v>
      </c>
      <c r="B54" s="15">
        <f t="shared" si="0"/>
        <v>3</v>
      </c>
      <c r="C54" s="15">
        <f t="shared" si="1"/>
        <v>2009</v>
      </c>
      <c r="D54" s="13">
        <v>120.7</v>
      </c>
      <c r="E54" s="13">
        <v>148.23565046191123</v>
      </c>
      <c r="F54" s="13"/>
      <c r="G54" s="13"/>
      <c r="H54" s="13">
        <v>74.33</v>
      </c>
      <c r="I54" s="13">
        <v>-58</v>
      </c>
      <c r="J54" s="13"/>
      <c r="K54" s="13"/>
    </row>
    <row r="55" spans="1:11" x14ac:dyDescent="0.25">
      <c r="A55" s="10">
        <v>39903</v>
      </c>
      <c r="B55" s="15">
        <f t="shared" si="0"/>
        <v>3</v>
      </c>
      <c r="C55" s="15">
        <f t="shared" si="1"/>
        <v>2009</v>
      </c>
      <c r="D55" s="13">
        <v>120.7</v>
      </c>
      <c r="E55" s="13">
        <v>147.74339622641509</v>
      </c>
      <c r="F55" s="13"/>
      <c r="G55" s="13"/>
      <c r="H55" s="13">
        <v>74.33</v>
      </c>
      <c r="I55" s="13">
        <v>-58</v>
      </c>
      <c r="J55" s="13"/>
      <c r="K55" s="13"/>
    </row>
    <row r="56" spans="1:11" x14ac:dyDescent="0.25">
      <c r="A56" s="10">
        <v>39904</v>
      </c>
      <c r="B56" s="15">
        <f t="shared" si="0"/>
        <v>4</v>
      </c>
      <c r="C56" s="15">
        <f t="shared" si="1"/>
        <v>2009</v>
      </c>
      <c r="D56" s="13">
        <v>120.7</v>
      </c>
      <c r="E56" s="13">
        <v>147.95555891467009</v>
      </c>
      <c r="F56" s="13"/>
      <c r="G56" s="13"/>
      <c r="H56" s="13">
        <v>74.33</v>
      </c>
      <c r="I56" s="13">
        <v>-58</v>
      </c>
      <c r="J56" s="13"/>
      <c r="K56" s="13"/>
    </row>
    <row r="57" spans="1:11" x14ac:dyDescent="0.25">
      <c r="A57" s="10">
        <v>39905</v>
      </c>
      <c r="B57" s="15">
        <f t="shared" si="0"/>
        <v>4</v>
      </c>
      <c r="C57" s="15">
        <f t="shared" si="1"/>
        <v>2009</v>
      </c>
      <c r="D57" s="13">
        <v>120.7</v>
      </c>
      <c r="E57" s="13">
        <v>145.42753138696975</v>
      </c>
      <c r="F57" s="13"/>
      <c r="G57" s="13"/>
      <c r="H57" s="13">
        <v>74.33</v>
      </c>
      <c r="I57" s="13">
        <v>-58</v>
      </c>
      <c r="J57" s="13"/>
      <c r="K57" s="13"/>
    </row>
    <row r="58" spans="1:11" x14ac:dyDescent="0.25">
      <c r="A58" s="10">
        <v>39906</v>
      </c>
      <c r="B58" s="15">
        <f t="shared" si="0"/>
        <v>4</v>
      </c>
      <c r="C58" s="15">
        <f t="shared" si="1"/>
        <v>2009</v>
      </c>
      <c r="D58" s="13">
        <v>120.7</v>
      </c>
      <c r="E58" s="13">
        <v>145.22255192878336</v>
      </c>
      <c r="F58" s="13"/>
      <c r="G58" s="13"/>
      <c r="H58" s="13">
        <v>74.33</v>
      </c>
      <c r="I58" s="13">
        <v>-58</v>
      </c>
      <c r="J58" s="13"/>
      <c r="K58" s="13"/>
    </row>
    <row r="59" spans="1:11" x14ac:dyDescent="0.25">
      <c r="A59" s="10">
        <v>39909</v>
      </c>
      <c r="B59" s="15">
        <f t="shared" si="0"/>
        <v>4</v>
      </c>
      <c r="C59" s="15">
        <f t="shared" si="1"/>
        <v>2009</v>
      </c>
      <c r="D59" s="13">
        <v>122.1</v>
      </c>
      <c r="E59" s="13">
        <v>151.51424735193197</v>
      </c>
      <c r="F59" s="13"/>
      <c r="G59" s="13"/>
      <c r="H59" s="13">
        <v>68.680000000000007</v>
      </c>
      <c r="I59" s="13">
        <v>-66.900000000000006</v>
      </c>
      <c r="J59" s="13"/>
      <c r="K59" s="13"/>
    </row>
    <row r="60" spans="1:11" x14ac:dyDescent="0.25">
      <c r="A60" s="10">
        <v>39910</v>
      </c>
      <c r="B60" s="15">
        <f t="shared" si="0"/>
        <v>4</v>
      </c>
      <c r="C60" s="15">
        <f t="shared" si="1"/>
        <v>2009</v>
      </c>
      <c r="D60" s="13">
        <v>122.1</v>
      </c>
      <c r="E60" s="13">
        <v>153.1016808622899</v>
      </c>
      <c r="F60" s="13"/>
      <c r="G60" s="13"/>
      <c r="H60" s="13">
        <v>68.680000000000007</v>
      </c>
      <c r="I60" s="13">
        <v>-66.900000000000006</v>
      </c>
      <c r="J60" s="13"/>
      <c r="K60" s="13"/>
    </row>
    <row r="61" spans="1:11" x14ac:dyDescent="0.25">
      <c r="A61" s="10">
        <v>39911</v>
      </c>
      <c r="B61" s="15">
        <f t="shared" si="0"/>
        <v>4</v>
      </c>
      <c r="C61" s="15">
        <f t="shared" si="1"/>
        <v>2009</v>
      </c>
      <c r="D61" s="13">
        <v>122.1</v>
      </c>
      <c r="E61" s="13">
        <v>153.20561170613968</v>
      </c>
      <c r="F61" s="13"/>
      <c r="G61" s="13"/>
      <c r="H61" s="13">
        <v>68.680000000000007</v>
      </c>
      <c r="I61" s="13">
        <v>-66.900000000000006</v>
      </c>
      <c r="J61" s="13"/>
      <c r="K61" s="13"/>
    </row>
    <row r="62" spans="1:11" x14ac:dyDescent="0.25">
      <c r="A62" s="10">
        <v>39912</v>
      </c>
      <c r="B62" s="15">
        <f t="shared" si="0"/>
        <v>4</v>
      </c>
      <c r="C62" s="15">
        <f t="shared" si="1"/>
        <v>2009</v>
      </c>
      <c r="D62" s="13">
        <v>122.1</v>
      </c>
      <c r="E62" s="13">
        <v>154.29960498328776</v>
      </c>
      <c r="F62" s="13"/>
      <c r="G62" s="13"/>
      <c r="H62" s="13">
        <v>68.680000000000007</v>
      </c>
      <c r="I62" s="13">
        <v>-66.900000000000006</v>
      </c>
      <c r="J62" s="13"/>
      <c r="K62" s="13"/>
    </row>
    <row r="63" spans="1:11" x14ac:dyDescent="0.25">
      <c r="A63" s="10">
        <v>39916</v>
      </c>
      <c r="B63" s="15">
        <f t="shared" si="0"/>
        <v>4</v>
      </c>
      <c r="C63" s="15">
        <f t="shared" si="1"/>
        <v>2009</v>
      </c>
      <c r="D63" s="13">
        <v>133.19999999999999</v>
      </c>
      <c r="E63" s="13">
        <v>170.64281972610939</v>
      </c>
      <c r="F63" s="13"/>
      <c r="G63" s="13"/>
      <c r="H63" s="13">
        <v>68.69</v>
      </c>
      <c r="I63" s="13">
        <v>-86.2</v>
      </c>
      <c r="J63" s="13"/>
      <c r="K63" s="13"/>
    </row>
    <row r="64" spans="1:11" x14ac:dyDescent="0.25">
      <c r="A64" s="10">
        <v>39917</v>
      </c>
      <c r="B64" s="15">
        <f t="shared" si="0"/>
        <v>4</v>
      </c>
      <c r="C64" s="15">
        <f t="shared" si="1"/>
        <v>2009</v>
      </c>
      <c r="D64" s="13">
        <v>133.19999999999999</v>
      </c>
      <c r="E64" s="13">
        <v>172.07214005433144</v>
      </c>
      <c r="F64" s="13"/>
      <c r="G64" s="13"/>
      <c r="H64" s="13">
        <v>68.69</v>
      </c>
      <c r="I64" s="13">
        <v>-86.2</v>
      </c>
      <c r="J64" s="13"/>
      <c r="K64" s="13"/>
    </row>
    <row r="65" spans="1:11" x14ac:dyDescent="0.25">
      <c r="A65" s="10">
        <v>39918</v>
      </c>
      <c r="B65" s="15">
        <f t="shared" si="0"/>
        <v>4</v>
      </c>
      <c r="C65" s="15">
        <f t="shared" si="1"/>
        <v>2009</v>
      </c>
      <c r="D65" s="13">
        <v>133.19999999999999</v>
      </c>
      <c r="E65" s="13">
        <v>172.50170209546863</v>
      </c>
      <c r="F65" s="13"/>
      <c r="G65" s="13"/>
      <c r="H65" s="13">
        <v>68.69</v>
      </c>
      <c r="I65" s="13">
        <v>-86.2</v>
      </c>
      <c r="J65" s="13"/>
      <c r="K65" s="13"/>
    </row>
    <row r="66" spans="1:11" x14ac:dyDescent="0.25">
      <c r="A66" s="10">
        <v>39919</v>
      </c>
      <c r="B66" s="15">
        <f t="shared" si="0"/>
        <v>4</v>
      </c>
      <c r="C66" s="15">
        <f t="shared" si="1"/>
        <v>2009</v>
      </c>
      <c r="D66" s="13">
        <v>133.19999999999999</v>
      </c>
      <c r="E66" s="13">
        <v>173.03839732888147</v>
      </c>
      <c r="F66" s="13"/>
      <c r="G66" s="13"/>
      <c r="H66" s="13">
        <v>68.69</v>
      </c>
      <c r="I66" s="13">
        <v>-86.2</v>
      </c>
      <c r="J66" s="13"/>
      <c r="K66" s="13"/>
    </row>
    <row r="67" spans="1:11" x14ac:dyDescent="0.25">
      <c r="A67" s="10">
        <v>39920</v>
      </c>
      <c r="B67" s="15">
        <f t="shared" ref="B67:B130" si="2">MONTH(A67)</f>
        <v>4</v>
      </c>
      <c r="C67" s="15">
        <f t="shared" ref="C67:C130" si="3">YEAR(A67)</f>
        <v>2009</v>
      </c>
      <c r="D67" s="13">
        <v>133.19999999999999</v>
      </c>
      <c r="E67" s="13">
        <v>174.89645651173493</v>
      </c>
      <c r="F67" s="13"/>
      <c r="G67" s="13"/>
      <c r="H67" s="13">
        <v>68.69</v>
      </c>
      <c r="I67" s="13">
        <v>-86.2</v>
      </c>
      <c r="J67" s="13"/>
      <c r="K67" s="13"/>
    </row>
    <row r="68" spans="1:11" x14ac:dyDescent="0.25">
      <c r="A68" s="10">
        <v>39923</v>
      </c>
      <c r="B68" s="15">
        <f t="shared" si="2"/>
        <v>4</v>
      </c>
      <c r="C68" s="15">
        <f t="shared" si="3"/>
        <v>2009</v>
      </c>
      <c r="D68" s="13">
        <v>134.19999999999999</v>
      </c>
      <c r="E68" s="13">
        <v>175.42392566782809</v>
      </c>
      <c r="F68" s="13"/>
      <c r="G68" s="13"/>
      <c r="H68" s="13">
        <v>64.650000000000006</v>
      </c>
      <c r="I68" s="13">
        <v>-84.9</v>
      </c>
      <c r="J68" s="13"/>
      <c r="K68" s="13"/>
    </row>
    <row r="69" spans="1:11" x14ac:dyDescent="0.25">
      <c r="A69" s="10">
        <v>39924</v>
      </c>
      <c r="B69" s="15">
        <f t="shared" si="2"/>
        <v>4</v>
      </c>
      <c r="C69" s="15">
        <f t="shared" si="3"/>
        <v>2009</v>
      </c>
      <c r="D69" s="13">
        <v>134.19999999999999</v>
      </c>
      <c r="E69" s="13">
        <v>175.17977267455348</v>
      </c>
      <c r="F69" s="13"/>
      <c r="G69" s="13"/>
      <c r="H69" s="13">
        <v>64.650000000000006</v>
      </c>
      <c r="I69" s="13">
        <v>-84.9</v>
      </c>
      <c r="J69" s="13"/>
      <c r="K69" s="13"/>
    </row>
    <row r="70" spans="1:11" x14ac:dyDescent="0.25">
      <c r="A70" s="10">
        <v>39925</v>
      </c>
      <c r="B70" s="15">
        <f t="shared" si="2"/>
        <v>4</v>
      </c>
      <c r="C70" s="15">
        <f t="shared" si="3"/>
        <v>2009</v>
      </c>
      <c r="D70" s="13">
        <v>134.19999999999999</v>
      </c>
      <c r="E70" s="13">
        <v>174.31715011156419</v>
      </c>
      <c r="F70" s="13"/>
      <c r="G70" s="13"/>
      <c r="H70" s="13">
        <v>64.650000000000006</v>
      </c>
      <c r="I70" s="13">
        <v>-84.9</v>
      </c>
      <c r="J70" s="13"/>
      <c r="K70" s="13"/>
    </row>
    <row r="71" spans="1:11" x14ac:dyDescent="0.25">
      <c r="A71" s="10">
        <v>39926</v>
      </c>
      <c r="B71" s="15">
        <f t="shared" si="2"/>
        <v>4</v>
      </c>
      <c r="C71" s="15">
        <f t="shared" si="3"/>
        <v>2009</v>
      </c>
      <c r="D71" s="13">
        <v>134.19999999999999</v>
      </c>
      <c r="E71" s="13">
        <v>172.3413966225468</v>
      </c>
      <c r="F71" s="13"/>
      <c r="G71" s="13"/>
      <c r="H71" s="13">
        <v>64.650000000000006</v>
      </c>
      <c r="I71" s="13">
        <v>-84.9</v>
      </c>
      <c r="J71" s="13"/>
      <c r="K71" s="13"/>
    </row>
    <row r="72" spans="1:11" x14ac:dyDescent="0.25">
      <c r="A72" s="10">
        <v>39927</v>
      </c>
      <c r="B72" s="15">
        <f t="shared" si="2"/>
        <v>4</v>
      </c>
      <c r="C72" s="15">
        <f t="shared" si="3"/>
        <v>2009</v>
      </c>
      <c r="D72" s="13">
        <v>134.19999999999999</v>
      </c>
      <c r="E72" s="13">
        <v>170.962873528524</v>
      </c>
      <c r="F72" s="13"/>
      <c r="G72" s="13"/>
      <c r="H72" s="13">
        <v>64.650000000000006</v>
      </c>
      <c r="I72" s="13">
        <v>-84.9</v>
      </c>
      <c r="J72" s="13"/>
      <c r="K72" s="13"/>
    </row>
    <row r="73" spans="1:11" x14ac:dyDescent="0.25">
      <c r="A73" s="10">
        <v>39930</v>
      </c>
      <c r="B73" s="15">
        <f t="shared" si="2"/>
        <v>4</v>
      </c>
      <c r="C73" s="15">
        <f t="shared" si="3"/>
        <v>2009</v>
      </c>
      <c r="D73" s="13">
        <v>129.1</v>
      </c>
      <c r="E73" s="13">
        <v>180.2427408204025</v>
      </c>
      <c r="F73" s="13"/>
      <c r="G73" s="13"/>
      <c r="H73" s="13">
        <v>64.95</v>
      </c>
      <c r="I73" s="13">
        <v>-63</v>
      </c>
      <c r="J73" s="13"/>
      <c r="K73" s="13"/>
    </row>
    <row r="74" spans="1:11" x14ac:dyDescent="0.25">
      <c r="A74" s="10">
        <v>39931</v>
      </c>
      <c r="B74" s="15">
        <f t="shared" si="2"/>
        <v>4</v>
      </c>
      <c r="C74" s="15">
        <f t="shared" si="3"/>
        <v>2009</v>
      </c>
      <c r="D74" s="13">
        <v>129.1</v>
      </c>
      <c r="E74" s="13">
        <v>178.51491174680461</v>
      </c>
      <c r="F74" s="13"/>
      <c r="G74" s="13"/>
      <c r="H74" s="13">
        <v>64.95</v>
      </c>
      <c r="I74" s="13">
        <v>-63</v>
      </c>
      <c r="J74" s="13"/>
      <c r="K74" s="13"/>
    </row>
    <row r="75" spans="1:11" x14ac:dyDescent="0.25">
      <c r="A75" s="10">
        <v>39932</v>
      </c>
      <c r="B75" s="15">
        <f t="shared" si="2"/>
        <v>4</v>
      </c>
      <c r="C75" s="15">
        <f t="shared" si="3"/>
        <v>2009</v>
      </c>
      <c r="D75" s="13">
        <v>129.1</v>
      </c>
      <c r="E75" s="13">
        <v>176.91321722083993</v>
      </c>
      <c r="F75" s="13"/>
      <c r="G75" s="13"/>
      <c r="H75" s="13">
        <v>64.95</v>
      </c>
      <c r="I75" s="13">
        <v>-63</v>
      </c>
      <c r="J75" s="13"/>
      <c r="K75" s="13"/>
    </row>
    <row r="76" spans="1:11" x14ac:dyDescent="0.25">
      <c r="A76" s="10">
        <v>39933</v>
      </c>
      <c r="B76" s="15">
        <f t="shared" si="2"/>
        <v>4</v>
      </c>
      <c r="C76" s="15">
        <f t="shared" si="3"/>
        <v>2009</v>
      </c>
      <c r="D76" s="13">
        <v>129.1</v>
      </c>
      <c r="E76" s="13">
        <v>177.40813549070012</v>
      </c>
      <c r="F76" s="13"/>
      <c r="G76" s="13"/>
      <c r="H76" s="13">
        <v>64.95</v>
      </c>
      <c r="I76" s="13">
        <v>-63</v>
      </c>
      <c r="J76" s="13"/>
      <c r="K76" s="13"/>
    </row>
    <row r="77" spans="1:11" x14ac:dyDescent="0.25">
      <c r="A77" s="10">
        <v>39934</v>
      </c>
      <c r="B77" s="15">
        <f t="shared" si="2"/>
        <v>5</v>
      </c>
      <c r="C77" s="15">
        <f t="shared" si="3"/>
        <v>2009</v>
      </c>
      <c r="D77" s="13">
        <v>129.1</v>
      </c>
      <c r="E77" s="13">
        <v>176.91321722083993</v>
      </c>
      <c r="F77" s="13"/>
      <c r="G77" s="13"/>
      <c r="H77" s="13">
        <v>64.95</v>
      </c>
      <c r="I77" s="13">
        <v>-63</v>
      </c>
      <c r="J77" s="13"/>
      <c r="K77" s="13"/>
    </row>
    <row r="78" spans="1:11" x14ac:dyDescent="0.25">
      <c r="A78" s="10">
        <v>39937</v>
      </c>
      <c r="B78" s="15">
        <f t="shared" si="2"/>
        <v>5</v>
      </c>
      <c r="C78" s="15">
        <f t="shared" si="3"/>
        <v>2009</v>
      </c>
      <c r="D78" s="13">
        <v>124.3</v>
      </c>
      <c r="E78" s="13">
        <v>177.3168183853156</v>
      </c>
      <c r="F78" s="13"/>
      <c r="G78" s="13"/>
      <c r="H78" s="13">
        <v>40.6</v>
      </c>
      <c r="I78" s="13">
        <v>-92.4</v>
      </c>
      <c r="J78" s="13"/>
      <c r="K78" s="13"/>
    </row>
    <row r="79" spans="1:11" x14ac:dyDescent="0.25">
      <c r="A79" s="10">
        <v>39938</v>
      </c>
      <c r="B79" s="15">
        <f t="shared" si="2"/>
        <v>5</v>
      </c>
      <c r="C79" s="15">
        <f t="shared" si="3"/>
        <v>2009</v>
      </c>
      <c r="D79" s="13">
        <v>124.3</v>
      </c>
      <c r="E79" s="13">
        <v>178.38162438072359</v>
      </c>
      <c r="F79" s="13"/>
      <c r="G79" s="13"/>
      <c r="H79" s="13">
        <v>40.6</v>
      </c>
      <c r="I79" s="13">
        <v>-92.4</v>
      </c>
      <c r="J79" s="13"/>
      <c r="K79" s="13"/>
    </row>
    <row r="80" spans="1:11" x14ac:dyDescent="0.25">
      <c r="A80" s="10">
        <v>39939</v>
      </c>
      <c r="B80" s="15">
        <f t="shared" si="2"/>
        <v>5</v>
      </c>
      <c r="C80" s="15">
        <f t="shared" si="3"/>
        <v>2009</v>
      </c>
      <c r="D80" s="13">
        <v>124.3</v>
      </c>
      <c r="E80" s="13">
        <v>178.44859953442966</v>
      </c>
      <c r="F80" s="13"/>
      <c r="G80" s="13"/>
      <c r="H80" s="13">
        <v>40.6</v>
      </c>
      <c r="I80" s="13">
        <v>-92.4</v>
      </c>
      <c r="J80" s="13"/>
      <c r="K80" s="13"/>
    </row>
    <row r="81" spans="1:11" x14ac:dyDescent="0.25">
      <c r="A81" s="10">
        <v>39940</v>
      </c>
      <c r="B81" s="15">
        <f t="shared" si="2"/>
        <v>5</v>
      </c>
      <c r="C81" s="15">
        <f t="shared" si="3"/>
        <v>2009</v>
      </c>
      <c r="D81" s="13">
        <v>124.3</v>
      </c>
      <c r="E81" s="13">
        <v>177.36975668010149</v>
      </c>
      <c r="F81" s="13"/>
      <c r="G81" s="13"/>
      <c r="H81" s="13">
        <v>40.6</v>
      </c>
      <c r="I81" s="13">
        <v>-92.4</v>
      </c>
      <c r="J81" s="13"/>
      <c r="K81" s="13"/>
    </row>
    <row r="82" spans="1:11" x14ac:dyDescent="0.25">
      <c r="A82" s="10">
        <v>39941</v>
      </c>
      <c r="B82" s="15">
        <f t="shared" si="2"/>
        <v>5</v>
      </c>
      <c r="C82" s="15">
        <f t="shared" si="3"/>
        <v>2009</v>
      </c>
      <c r="D82" s="13">
        <v>124.3</v>
      </c>
      <c r="E82" s="13">
        <v>174.14626996922175</v>
      </c>
      <c r="F82" s="13"/>
      <c r="G82" s="13"/>
      <c r="H82" s="13">
        <v>40.6</v>
      </c>
      <c r="I82" s="13">
        <v>-92.4</v>
      </c>
      <c r="J82" s="13"/>
      <c r="K82" s="13"/>
    </row>
    <row r="83" spans="1:11" x14ac:dyDescent="0.25">
      <c r="A83" s="10">
        <v>39944</v>
      </c>
      <c r="B83" s="15">
        <f t="shared" si="2"/>
        <v>5</v>
      </c>
      <c r="C83" s="15">
        <f t="shared" si="3"/>
        <v>2009</v>
      </c>
      <c r="D83" s="13">
        <v>126.5</v>
      </c>
      <c r="E83" s="13">
        <v>177.58214233092679</v>
      </c>
      <c r="F83" s="13"/>
      <c r="G83" s="13"/>
      <c r="H83" s="13">
        <v>48.14</v>
      </c>
      <c r="I83" s="13">
        <v>-88.8</v>
      </c>
      <c r="J83" s="13"/>
      <c r="K83" s="13"/>
    </row>
    <row r="84" spans="1:11" x14ac:dyDescent="0.25">
      <c r="A84" s="10">
        <v>39945</v>
      </c>
      <c r="B84" s="15">
        <f t="shared" si="2"/>
        <v>5</v>
      </c>
      <c r="C84" s="15">
        <f t="shared" si="3"/>
        <v>2009</v>
      </c>
      <c r="D84" s="13">
        <v>126.5</v>
      </c>
      <c r="E84" s="13">
        <v>176.68401377996042</v>
      </c>
      <c r="F84" s="13"/>
      <c r="G84" s="13"/>
      <c r="H84" s="13">
        <v>48.14</v>
      </c>
      <c r="I84" s="13">
        <v>-88.8</v>
      </c>
      <c r="J84" s="13"/>
      <c r="K84" s="13"/>
    </row>
    <row r="85" spans="1:11" x14ac:dyDescent="0.25">
      <c r="A85" s="10">
        <v>39946</v>
      </c>
      <c r="B85" s="15">
        <f t="shared" si="2"/>
        <v>5</v>
      </c>
      <c r="C85" s="15">
        <f t="shared" si="3"/>
        <v>2009</v>
      </c>
      <c r="D85" s="13">
        <v>126.5</v>
      </c>
      <c r="E85" s="13">
        <v>177.26871598764527</v>
      </c>
      <c r="F85" s="13"/>
      <c r="G85" s="13"/>
      <c r="H85" s="13">
        <v>48.14</v>
      </c>
      <c r="I85" s="13">
        <v>-88.8</v>
      </c>
      <c r="J85" s="13"/>
      <c r="K85" s="13"/>
    </row>
    <row r="86" spans="1:11" x14ac:dyDescent="0.25">
      <c r="A86" s="10">
        <v>39947</v>
      </c>
      <c r="B86" s="15">
        <f t="shared" si="2"/>
        <v>5</v>
      </c>
      <c r="C86" s="15">
        <f t="shared" si="3"/>
        <v>2009</v>
      </c>
      <c r="D86" s="13">
        <v>126.5</v>
      </c>
      <c r="E86" s="13">
        <v>176.8136140247928</v>
      </c>
      <c r="F86" s="13"/>
      <c r="G86" s="13"/>
      <c r="H86" s="13">
        <v>48.14</v>
      </c>
      <c r="I86" s="13">
        <v>-88.8</v>
      </c>
      <c r="J86" s="13"/>
      <c r="K86" s="13"/>
    </row>
    <row r="87" spans="1:11" x14ac:dyDescent="0.25">
      <c r="A87" s="10">
        <v>39948</v>
      </c>
      <c r="B87" s="15">
        <f t="shared" si="2"/>
        <v>5</v>
      </c>
      <c r="C87" s="15">
        <f t="shared" si="3"/>
        <v>2009</v>
      </c>
      <c r="D87" s="13">
        <v>126.5</v>
      </c>
      <c r="E87" s="13">
        <v>178.66142899495998</v>
      </c>
      <c r="F87" s="13"/>
      <c r="G87" s="13"/>
      <c r="H87" s="13">
        <v>48.14</v>
      </c>
      <c r="I87" s="13">
        <v>-88.8</v>
      </c>
      <c r="J87" s="13"/>
      <c r="K87" s="13"/>
    </row>
    <row r="88" spans="1:11" x14ac:dyDescent="0.25">
      <c r="A88" s="10">
        <v>39951</v>
      </c>
      <c r="B88" s="15">
        <f t="shared" si="2"/>
        <v>5</v>
      </c>
      <c r="C88" s="15">
        <f t="shared" si="3"/>
        <v>2009</v>
      </c>
      <c r="D88" s="13">
        <v>110.3</v>
      </c>
      <c r="E88" s="13">
        <v>175.78753227591295</v>
      </c>
      <c r="F88" s="13"/>
      <c r="G88" s="13"/>
      <c r="H88" s="13">
        <v>24.61</v>
      </c>
      <c r="I88" s="13">
        <v>-94</v>
      </c>
      <c r="J88" s="13"/>
      <c r="K88" s="13"/>
    </row>
    <row r="89" spans="1:11" x14ac:dyDescent="0.25">
      <c r="A89" s="10">
        <v>39952</v>
      </c>
      <c r="B89" s="15">
        <f t="shared" si="2"/>
        <v>5</v>
      </c>
      <c r="C89" s="15">
        <f t="shared" si="3"/>
        <v>2009</v>
      </c>
      <c r="D89" s="13">
        <v>110.3</v>
      </c>
      <c r="E89" s="13">
        <v>174.91007854363943</v>
      </c>
      <c r="F89" s="13"/>
      <c r="G89" s="13"/>
      <c r="H89" s="13">
        <v>24.61</v>
      </c>
      <c r="I89" s="13">
        <v>-94</v>
      </c>
      <c r="J89" s="13"/>
      <c r="K89" s="13"/>
    </row>
    <row r="90" spans="1:11" x14ac:dyDescent="0.25">
      <c r="A90" s="10">
        <v>39953</v>
      </c>
      <c r="B90" s="15">
        <f t="shared" si="2"/>
        <v>5</v>
      </c>
      <c r="C90" s="15">
        <f t="shared" si="3"/>
        <v>2009</v>
      </c>
      <c r="D90" s="13">
        <v>110.3</v>
      </c>
      <c r="E90" s="13">
        <v>173.04284676833697</v>
      </c>
      <c r="F90" s="13"/>
      <c r="G90" s="13"/>
      <c r="H90" s="13">
        <v>24.61</v>
      </c>
      <c r="I90" s="13">
        <v>-94</v>
      </c>
      <c r="J90" s="13"/>
      <c r="K90" s="13"/>
    </row>
    <row r="91" spans="1:11" x14ac:dyDescent="0.25">
      <c r="A91" s="10">
        <v>39954</v>
      </c>
      <c r="B91" s="15">
        <f t="shared" si="2"/>
        <v>5</v>
      </c>
      <c r="C91" s="15">
        <f t="shared" si="3"/>
        <v>2009</v>
      </c>
      <c r="D91" s="13">
        <v>110.3</v>
      </c>
      <c r="E91" s="13">
        <v>171.52317880794703</v>
      </c>
      <c r="F91" s="13"/>
      <c r="G91" s="13"/>
      <c r="H91" s="13">
        <v>24.61</v>
      </c>
      <c r="I91" s="13">
        <v>-94</v>
      </c>
      <c r="J91" s="13"/>
      <c r="K91" s="13"/>
    </row>
    <row r="92" spans="1:11" x14ac:dyDescent="0.25">
      <c r="A92" s="10">
        <v>39955</v>
      </c>
      <c r="B92" s="15">
        <f t="shared" si="2"/>
        <v>5</v>
      </c>
      <c r="C92" s="15">
        <f t="shared" si="3"/>
        <v>2009</v>
      </c>
      <c r="D92" s="13">
        <v>110.3</v>
      </c>
      <c r="E92" s="13">
        <v>170.30948466871561</v>
      </c>
      <c r="F92" s="13"/>
      <c r="G92" s="13"/>
      <c r="H92" s="13">
        <v>24.61</v>
      </c>
      <c r="I92" s="13">
        <v>-94</v>
      </c>
      <c r="J92" s="13"/>
      <c r="K92" s="13"/>
    </row>
    <row r="93" spans="1:11" x14ac:dyDescent="0.25">
      <c r="A93" s="10">
        <v>39959</v>
      </c>
      <c r="B93" s="15">
        <f t="shared" si="2"/>
        <v>5</v>
      </c>
      <c r="C93" s="15">
        <f t="shared" si="3"/>
        <v>2009</v>
      </c>
      <c r="D93" s="13">
        <v>116.3</v>
      </c>
      <c r="E93" s="13">
        <v>169.11859318035599</v>
      </c>
      <c r="F93" s="13"/>
      <c r="G93" s="13"/>
      <c r="H93" s="13">
        <v>28.06</v>
      </c>
      <c r="I93" s="13">
        <v>-86.7</v>
      </c>
      <c r="J93" s="13"/>
      <c r="K93" s="13"/>
    </row>
    <row r="94" spans="1:11" x14ac:dyDescent="0.25">
      <c r="A94" s="10">
        <v>39960</v>
      </c>
      <c r="B94" s="15">
        <f t="shared" si="2"/>
        <v>5</v>
      </c>
      <c r="C94" s="15">
        <f t="shared" si="3"/>
        <v>2009</v>
      </c>
      <c r="D94" s="13">
        <v>116.3</v>
      </c>
      <c r="E94" s="13">
        <v>171.01344513517421</v>
      </c>
      <c r="F94" s="13"/>
      <c r="G94" s="13"/>
      <c r="H94" s="13">
        <v>28.06</v>
      </c>
      <c r="I94" s="13">
        <v>-86.7</v>
      </c>
      <c r="J94" s="13"/>
      <c r="K94" s="13"/>
    </row>
    <row r="95" spans="1:11" x14ac:dyDescent="0.25">
      <c r="A95" s="10">
        <v>39961</v>
      </c>
      <c r="B95" s="15">
        <f t="shared" si="2"/>
        <v>5</v>
      </c>
      <c r="C95" s="15">
        <f t="shared" si="3"/>
        <v>2009</v>
      </c>
      <c r="D95" s="13">
        <v>116.3</v>
      </c>
      <c r="E95" s="13">
        <v>169.76176808266362</v>
      </c>
      <c r="F95" s="13"/>
      <c r="G95" s="13"/>
      <c r="H95" s="13">
        <v>28.06</v>
      </c>
      <c r="I95" s="13">
        <v>-86.7</v>
      </c>
      <c r="J95" s="13"/>
      <c r="K95" s="13"/>
    </row>
    <row r="96" spans="1:11" x14ac:dyDescent="0.25">
      <c r="A96" s="10">
        <v>39962</v>
      </c>
      <c r="B96" s="15">
        <f t="shared" si="2"/>
        <v>5</v>
      </c>
      <c r="C96" s="15">
        <f t="shared" si="3"/>
        <v>2009</v>
      </c>
      <c r="D96" s="13">
        <v>116.3</v>
      </c>
      <c r="E96" s="13">
        <v>167.18253126987491</v>
      </c>
      <c r="F96" s="13"/>
      <c r="G96" s="13"/>
      <c r="H96" s="13">
        <v>28.06</v>
      </c>
      <c r="I96" s="13">
        <v>-86.7</v>
      </c>
      <c r="J96" s="13"/>
      <c r="K96" s="13"/>
    </row>
    <row r="97" spans="1:11" x14ac:dyDescent="0.25">
      <c r="A97" s="10">
        <v>39965</v>
      </c>
      <c r="B97" s="15">
        <f t="shared" si="2"/>
        <v>6</v>
      </c>
      <c r="C97" s="15">
        <f t="shared" si="3"/>
        <v>2009</v>
      </c>
      <c r="D97" s="13">
        <v>103.8</v>
      </c>
      <c r="E97" s="13">
        <v>181.10703191188927</v>
      </c>
      <c r="F97" s="13"/>
      <c r="G97" s="13"/>
      <c r="H97" s="13">
        <v>22.37</v>
      </c>
      <c r="I97" s="13">
        <v>-89.9</v>
      </c>
      <c r="J97" s="13"/>
      <c r="K97" s="13"/>
    </row>
    <row r="98" spans="1:11" x14ac:dyDescent="0.25">
      <c r="A98" s="10">
        <v>39966</v>
      </c>
      <c r="B98" s="15">
        <f t="shared" si="2"/>
        <v>6</v>
      </c>
      <c r="C98" s="15">
        <f t="shared" si="3"/>
        <v>2009</v>
      </c>
      <c r="D98" s="13">
        <v>103.8</v>
      </c>
      <c r="E98" s="13">
        <v>179.34699014192827</v>
      </c>
      <c r="F98" s="13"/>
      <c r="G98" s="13"/>
      <c r="H98" s="13">
        <v>22.37</v>
      </c>
      <c r="I98" s="13">
        <v>-89.9</v>
      </c>
      <c r="J98" s="13"/>
      <c r="K98" s="13"/>
    </row>
    <row r="99" spans="1:11" x14ac:dyDescent="0.25">
      <c r="A99" s="10">
        <v>39967</v>
      </c>
      <c r="B99" s="15">
        <f t="shared" si="2"/>
        <v>6</v>
      </c>
      <c r="C99" s="15">
        <f t="shared" si="3"/>
        <v>2009</v>
      </c>
      <c r="D99" s="13">
        <v>103.8</v>
      </c>
      <c r="E99" s="13">
        <v>181.27340823970036</v>
      </c>
      <c r="F99" s="13"/>
      <c r="G99" s="13"/>
      <c r="H99" s="13">
        <v>22.37</v>
      </c>
      <c r="I99" s="13">
        <v>-89.9</v>
      </c>
      <c r="J99" s="13"/>
      <c r="K99" s="13"/>
    </row>
    <row r="100" spans="1:11" x14ac:dyDescent="0.25">
      <c r="A100" s="10">
        <v>39968</v>
      </c>
      <c r="B100" s="15">
        <f t="shared" si="2"/>
        <v>6</v>
      </c>
      <c r="C100" s="15">
        <f t="shared" si="3"/>
        <v>2009</v>
      </c>
      <c r="D100" s="13">
        <v>103.8</v>
      </c>
      <c r="E100" s="13">
        <v>180.81342073729468</v>
      </c>
      <c r="F100" s="13"/>
      <c r="G100" s="13"/>
      <c r="H100" s="13">
        <v>22.37</v>
      </c>
      <c r="I100" s="13">
        <v>-89.9</v>
      </c>
      <c r="J100" s="13"/>
      <c r="K100" s="13"/>
    </row>
    <row r="101" spans="1:11" x14ac:dyDescent="0.25">
      <c r="A101" s="10">
        <v>39969</v>
      </c>
      <c r="B101" s="15">
        <f t="shared" si="2"/>
        <v>6</v>
      </c>
      <c r="C101" s="15">
        <f t="shared" si="3"/>
        <v>2009</v>
      </c>
      <c r="D101" s="13">
        <v>103.8</v>
      </c>
      <c r="E101" s="13">
        <v>183.59576295448036</v>
      </c>
      <c r="F101" s="13"/>
      <c r="G101" s="13"/>
      <c r="H101" s="13">
        <v>22.37</v>
      </c>
      <c r="I101" s="13">
        <v>-89.9</v>
      </c>
      <c r="J101" s="13"/>
      <c r="K101" s="13"/>
    </row>
    <row r="102" spans="1:11" x14ac:dyDescent="0.25">
      <c r="A102" s="10">
        <v>39972</v>
      </c>
      <c r="B102" s="15">
        <f t="shared" si="2"/>
        <v>6</v>
      </c>
      <c r="C102" s="15">
        <f t="shared" si="3"/>
        <v>2009</v>
      </c>
      <c r="D102" s="13">
        <v>79.3</v>
      </c>
      <c r="E102" s="13">
        <v>197.15725080964376</v>
      </c>
      <c r="F102" s="13"/>
      <c r="G102" s="13"/>
      <c r="H102" s="13">
        <v>17.09</v>
      </c>
      <c r="I102" s="13">
        <v>-122.2</v>
      </c>
      <c r="J102" s="13"/>
      <c r="K102" s="13"/>
    </row>
    <row r="103" spans="1:11" x14ac:dyDescent="0.25">
      <c r="A103" s="10">
        <v>39973</v>
      </c>
      <c r="B103" s="15">
        <f t="shared" si="2"/>
        <v>6</v>
      </c>
      <c r="C103" s="15">
        <f t="shared" si="3"/>
        <v>2009</v>
      </c>
      <c r="D103" s="13">
        <v>79.3</v>
      </c>
      <c r="E103" s="13">
        <v>194.77426235335938</v>
      </c>
      <c r="F103" s="13"/>
      <c r="G103" s="13"/>
      <c r="H103" s="13">
        <v>17.09</v>
      </c>
      <c r="I103" s="13">
        <v>-122.2</v>
      </c>
      <c r="J103" s="13"/>
      <c r="K103" s="13"/>
    </row>
    <row r="104" spans="1:11" x14ac:dyDescent="0.25">
      <c r="A104" s="10">
        <v>39974</v>
      </c>
      <c r="B104" s="15">
        <f t="shared" si="2"/>
        <v>6</v>
      </c>
      <c r="C104" s="15">
        <f t="shared" si="3"/>
        <v>2009</v>
      </c>
      <c r="D104" s="13">
        <v>79.3</v>
      </c>
      <c r="E104" s="13">
        <v>196.15494773020191</v>
      </c>
      <c r="F104" s="13"/>
      <c r="G104" s="13"/>
      <c r="H104" s="13">
        <v>17.09</v>
      </c>
      <c r="I104" s="13">
        <v>-122.2</v>
      </c>
      <c r="J104" s="13"/>
      <c r="K104" s="13"/>
    </row>
    <row r="105" spans="1:11" x14ac:dyDescent="0.25">
      <c r="A105" s="10">
        <v>39975</v>
      </c>
      <c r="B105" s="15">
        <f t="shared" si="2"/>
        <v>6</v>
      </c>
      <c r="C105" s="15">
        <f t="shared" si="3"/>
        <v>2009</v>
      </c>
      <c r="D105" s="13">
        <v>79.3</v>
      </c>
      <c r="E105" s="13">
        <v>194.23567782189448</v>
      </c>
      <c r="F105" s="13"/>
      <c r="G105" s="13"/>
      <c r="H105" s="13">
        <v>17.09</v>
      </c>
      <c r="I105" s="13">
        <v>-122.2</v>
      </c>
      <c r="J105" s="13"/>
      <c r="K105" s="13"/>
    </row>
    <row r="106" spans="1:11" x14ac:dyDescent="0.25">
      <c r="A106" s="10">
        <v>39976</v>
      </c>
      <c r="B106" s="15">
        <f t="shared" si="2"/>
        <v>6</v>
      </c>
      <c r="C106" s="15">
        <f t="shared" si="3"/>
        <v>2009</v>
      </c>
      <c r="D106" s="13">
        <v>79.3</v>
      </c>
      <c r="E106" s="13">
        <v>195.38549318878825</v>
      </c>
      <c r="F106" s="13"/>
      <c r="G106" s="13"/>
      <c r="H106" s="13">
        <v>17.09</v>
      </c>
      <c r="I106" s="13">
        <v>-122.2</v>
      </c>
      <c r="J106" s="13"/>
      <c r="K106" s="13"/>
    </row>
    <row r="107" spans="1:11" x14ac:dyDescent="0.25">
      <c r="A107" s="10">
        <v>39979</v>
      </c>
      <c r="B107" s="15">
        <f t="shared" si="2"/>
        <v>6</v>
      </c>
      <c r="C107" s="15">
        <f t="shared" si="3"/>
        <v>2009</v>
      </c>
      <c r="D107" s="13">
        <v>25.3</v>
      </c>
      <c r="E107" s="13">
        <v>181.94937994053231</v>
      </c>
      <c r="F107" s="13"/>
      <c r="G107" s="13"/>
      <c r="H107" s="13">
        <v>27.33</v>
      </c>
      <c r="I107" s="13">
        <v>-110.8</v>
      </c>
      <c r="J107" s="13"/>
      <c r="K107" s="13"/>
    </row>
    <row r="108" spans="1:11" x14ac:dyDescent="0.25">
      <c r="A108" s="10">
        <v>39980</v>
      </c>
      <c r="B108" s="15">
        <f t="shared" si="2"/>
        <v>6</v>
      </c>
      <c r="C108" s="15">
        <f t="shared" si="3"/>
        <v>2009</v>
      </c>
      <c r="D108" s="13">
        <v>25.3</v>
      </c>
      <c r="E108" s="13">
        <v>181.34441633538128</v>
      </c>
      <c r="F108" s="13"/>
      <c r="G108" s="13"/>
      <c r="H108" s="13">
        <v>27.33</v>
      </c>
      <c r="I108" s="13">
        <v>-110.8</v>
      </c>
      <c r="J108" s="13"/>
      <c r="K108" s="13"/>
    </row>
    <row r="109" spans="1:11" x14ac:dyDescent="0.25">
      <c r="A109" s="10">
        <v>39981</v>
      </c>
      <c r="B109" s="15">
        <f t="shared" si="2"/>
        <v>6</v>
      </c>
      <c r="C109" s="15">
        <f t="shared" si="3"/>
        <v>2009</v>
      </c>
      <c r="D109" s="13">
        <v>25.3</v>
      </c>
      <c r="E109" s="13">
        <v>179.97847919655666</v>
      </c>
      <c r="F109" s="13"/>
      <c r="G109" s="13"/>
      <c r="H109" s="13">
        <v>27.33</v>
      </c>
      <c r="I109" s="13">
        <v>-110.8</v>
      </c>
      <c r="J109" s="13"/>
      <c r="K109" s="13"/>
    </row>
    <row r="110" spans="1:11" x14ac:dyDescent="0.25">
      <c r="A110" s="10">
        <v>39982</v>
      </c>
      <c r="B110" s="15">
        <f t="shared" si="2"/>
        <v>6</v>
      </c>
      <c r="C110" s="15">
        <f t="shared" si="3"/>
        <v>2009</v>
      </c>
      <c r="D110" s="13">
        <v>25.3</v>
      </c>
      <c r="E110" s="13">
        <v>180.45745522549089</v>
      </c>
      <c r="F110" s="13"/>
      <c r="G110" s="13"/>
      <c r="H110" s="13">
        <v>27.33</v>
      </c>
      <c r="I110" s="13">
        <v>-110.8</v>
      </c>
      <c r="J110" s="13"/>
      <c r="K110" s="13"/>
    </row>
    <row r="111" spans="1:11" x14ac:dyDescent="0.25">
      <c r="A111" s="10">
        <v>39983</v>
      </c>
      <c r="B111" s="15">
        <f t="shared" si="2"/>
        <v>6</v>
      </c>
      <c r="C111" s="15">
        <f t="shared" si="3"/>
        <v>2009</v>
      </c>
      <c r="D111" s="13">
        <v>25.3</v>
      </c>
      <c r="E111" s="13">
        <v>179.97847919655666</v>
      </c>
      <c r="F111" s="13"/>
      <c r="G111" s="13"/>
      <c r="H111" s="13">
        <v>27.33</v>
      </c>
      <c r="I111" s="13">
        <v>-110.8</v>
      </c>
      <c r="J111" s="13"/>
      <c r="K111" s="13"/>
    </row>
    <row r="112" spans="1:11" x14ac:dyDescent="0.25">
      <c r="A112" s="10">
        <v>39986</v>
      </c>
      <c r="B112" s="15">
        <f t="shared" si="2"/>
        <v>6</v>
      </c>
      <c r="C112" s="15">
        <f t="shared" si="3"/>
        <v>2009</v>
      </c>
      <c r="D112" s="13">
        <v>15.2</v>
      </c>
      <c r="E112" s="13">
        <v>183.68686868686871</v>
      </c>
      <c r="F112" s="13"/>
      <c r="G112" s="13"/>
      <c r="H112" s="13">
        <v>39.03</v>
      </c>
      <c r="I112" s="13">
        <v>-106.4</v>
      </c>
      <c r="J112" s="13"/>
      <c r="K112" s="13"/>
    </row>
    <row r="113" spans="1:11" x14ac:dyDescent="0.25">
      <c r="A113" s="10">
        <v>39987</v>
      </c>
      <c r="B113" s="15">
        <f t="shared" si="2"/>
        <v>6</v>
      </c>
      <c r="C113" s="15">
        <f t="shared" si="3"/>
        <v>2009</v>
      </c>
      <c r="D113" s="13">
        <v>15.2</v>
      </c>
      <c r="E113" s="13">
        <v>180.85529587270017</v>
      </c>
      <c r="F113" s="13"/>
      <c r="G113" s="13"/>
      <c r="H113" s="13">
        <v>39.03</v>
      </c>
      <c r="I113" s="13">
        <v>-106.4</v>
      </c>
      <c r="J113" s="13"/>
      <c r="K113" s="13"/>
    </row>
    <row r="114" spans="1:11" x14ac:dyDescent="0.25">
      <c r="A114" s="10">
        <v>39988</v>
      </c>
      <c r="B114" s="15">
        <f t="shared" si="2"/>
        <v>6</v>
      </c>
      <c r="C114" s="15">
        <f t="shared" si="3"/>
        <v>2009</v>
      </c>
      <c r="D114" s="13">
        <v>15.2</v>
      </c>
      <c r="E114" s="13">
        <v>182.84257397299626</v>
      </c>
      <c r="F114" s="13"/>
      <c r="G114" s="13"/>
      <c r="H114" s="13">
        <v>39.03</v>
      </c>
      <c r="I114" s="13">
        <v>-106.4</v>
      </c>
      <c r="J114" s="13"/>
      <c r="K114" s="13"/>
    </row>
    <row r="115" spans="1:11" x14ac:dyDescent="0.25">
      <c r="A115" s="10">
        <v>39989</v>
      </c>
      <c r="B115" s="15">
        <f t="shared" si="2"/>
        <v>6</v>
      </c>
      <c r="C115" s="15">
        <f t="shared" si="3"/>
        <v>2009</v>
      </c>
      <c r="D115" s="13">
        <v>15.2</v>
      </c>
      <c r="E115" s="13">
        <v>182.04504826599927</v>
      </c>
      <c r="F115" s="13"/>
      <c r="G115" s="13"/>
      <c r="H115" s="13">
        <v>39.03</v>
      </c>
      <c r="I115" s="13">
        <v>-106.4</v>
      </c>
      <c r="J115" s="13"/>
      <c r="K115" s="13"/>
    </row>
    <row r="116" spans="1:11" x14ac:dyDescent="0.25">
      <c r="A116" s="10">
        <v>39990</v>
      </c>
      <c r="B116" s="15">
        <f t="shared" si="2"/>
        <v>6</v>
      </c>
      <c r="C116" s="15">
        <f t="shared" si="3"/>
        <v>2009</v>
      </c>
      <c r="D116" s="13">
        <v>15.2</v>
      </c>
      <c r="E116" s="13">
        <v>181.18995089317485</v>
      </c>
      <c r="F116" s="13"/>
      <c r="G116" s="13"/>
      <c r="H116" s="13">
        <v>39.03</v>
      </c>
      <c r="I116" s="13">
        <v>-106.4</v>
      </c>
      <c r="J116" s="13"/>
      <c r="K116" s="13"/>
    </row>
    <row r="117" spans="1:11" x14ac:dyDescent="0.25">
      <c r="A117" s="10">
        <v>39993</v>
      </c>
      <c r="B117" s="15">
        <f t="shared" si="2"/>
        <v>6</v>
      </c>
      <c r="C117" s="15">
        <f t="shared" si="3"/>
        <v>2009</v>
      </c>
      <c r="D117" s="13">
        <v>14.7</v>
      </c>
      <c r="E117" s="13">
        <v>189.49200710479573</v>
      </c>
      <c r="F117" s="13"/>
      <c r="G117" s="13"/>
      <c r="H117" s="13">
        <v>26.74</v>
      </c>
      <c r="I117" s="13">
        <v>-125.7</v>
      </c>
      <c r="J117" s="13"/>
      <c r="K117" s="13"/>
    </row>
    <row r="118" spans="1:11" x14ac:dyDescent="0.25">
      <c r="A118" s="10">
        <v>39994</v>
      </c>
      <c r="B118" s="15">
        <f t="shared" si="2"/>
        <v>6</v>
      </c>
      <c r="C118" s="15">
        <f t="shared" si="3"/>
        <v>2009</v>
      </c>
      <c r="D118" s="13">
        <v>14.7</v>
      </c>
      <c r="E118" s="13">
        <v>190.05914629801183</v>
      </c>
      <c r="F118" s="13"/>
      <c r="G118" s="13"/>
      <c r="H118" s="13">
        <v>26.74</v>
      </c>
      <c r="I118" s="13">
        <v>-125.7</v>
      </c>
      <c r="J118" s="13"/>
      <c r="K118" s="13"/>
    </row>
    <row r="119" spans="1:11" x14ac:dyDescent="0.25">
      <c r="A119" s="10">
        <v>39995</v>
      </c>
      <c r="B119" s="15">
        <f t="shared" si="2"/>
        <v>7</v>
      </c>
      <c r="C119" s="15">
        <f t="shared" si="3"/>
        <v>2009</v>
      </c>
      <c r="D119" s="13">
        <v>14.7</v>
      </c>
      <c r="E119" s="13">
        <v>188.48763250883391</v>
      </c>
      <c r="F119" s="13"/>
      <c r="G119" s="13"/>
      <c r="H119" s="13">
        <v>26.74</v>
      </c>
      <c r="I119" s="13">
        <v>-125.7</v>
      </c>
      <c r="J119" s="13"/>
      <c r="K119" s="13"/>
    </row>
    <row r="120" spans="1:11" x14ac:dyDescent="0.25">
      <c r="A120" s="10">
        <v>39996</v>
      </c>
      <c r="B120" s="15">
        <f t="shared" si="2"/>
        <v>7</v>
      </c>
      <c r="C120" s="15">
        <f t="shared" si="3"/>
        <v>2009</v>
      </c>
      <c r="D120" s="13">
        <v>14.7</v>
      </c>
      <c r="E120" s="13">
        <v>191.34084224119377</v>
      </c>
      <c r="F120" s="13"/>
      <c r="G120" s="13"/>
      <c r="H120" s="13">
        <v>26.74</v>
      </c>
      <c r="I120" s="13">
        <v>-125.7</v>
      </c>
      <c r="J120" s="13"/>
      <c r="K120" s="13"/>
    </row>
    <row r="121" spans="1:11" x14ac:dyDescent="0.25">
      <c r="A121" s="10">
        <v>40000</v>
      </c>
      <c r="B121" s="15">
        <f t="shared" si="2"/>
        <v>7</v>
      </c>
      <c r="C121" s="15">
        <f t="shared" si="3"/>
        <v>2009</v>
      </c>
      <c r="D121" s="13">
        <v>38.6</v>
      </c>
      <c r="E121" s="13">
        <v>173.52941176470588</v>
      </c>
      <c r="F121" s="13"/>
      <c r="G121" s="13"/>
      <c r="H121" s="13">
        <v>45.69</v>
      </c>
      <c r="I121" s="13">
        <v>-90.5</v>
      </c>
      <c r="J121" s="13"/>
      <c r="K121" s="13"/>
    </row>
    <row r="122" spans="1:11" x14ac:dyDescent="0.25">
      <c r="A122" s="10">
        <v>40001</v>
      </c>
      <c r="B122" s="15">
        <f t="shared" si="2"/>
        <v>7</v>
      </c>
      <c r="C122" s="15">
        <f t="shared" si="3"/>
        <v>2009</v>
      </c>
      <c r="D122" s="13">
        <v>38.6</v>
      </c>
      <c r="E122" s="13">
        <v>174.20258620689657</v>
      </c>
      <c r="F122" s="13"/>
      <c r="G122" s="13"/>
      <c r="H122" s="13">
        <v>45.69</v>
      </c>
      <c r="I122" s="13">
        <v>-90.5</v>
      </c>
      <c r="J122" s="13"/>
      <c r="K122" s="13"/>
    </row>
    <row r="123" spans="1:11" x14ac:dyDescent="0.25">
      <c r="A123" s="10">
        <v>40002</v>
      </c>
      <c r="B123" s="15">
        <f t="shared" si="2"/>
        <v>7</v>
      </c>
      <c r="C123" s="15">
        <f t="shared" si="3"/>
        <v>2009</v>
      </c>
      <c r="D123" s="13">
        <v>38.6</v>
      </c>
      <c r="E123" s="13">
        <v>174.75497261458634</v>
      </c>
      <c r="F123" s="13"/>
      <c r="G123" s="13"/>
      <c r="H123" s="13">
        <v>45.69</v>
      </c>
      <c r="I123" s="13">
        <v>-90.5</v>
      </c>
      <c r="J123" s="13"/>
      <c r="K123" s="13"/>
    </row>
    <row r="124" spans="1:11" x14ac:dyDescent="0.25">
      <c r="A124" s="10">
        <v>40003</v>
      </c>
      <c r="B124" s="15">
        <f t="shared" si="2"/>
        <v>7</v>
      </c>
      <c r="C124" s="15">
        <f t="shared" si="3"/>
        <v>2009</v>
      </c>
      <c r="D124" s="13">
        <v>38.6</v>
      </c>
      <c r="E124" s="13">
        <v>172.91072447233313</v>
      </c>
      <c r="F124" s="13"/>
      <c r="G124" s="13"/>
      <c r="H124" s="13">
        <v>45.69</v>
      </c>
      <c r="I124" s="13">
        <v>-90.5</v>
      </c>
      <c r="J124" s="13"/>
      <c r="K124" s="13"/>
    </row>
    <row r="125" spans="1:11" x14ac:dyDescent="0.25">
      <c r="A125" s="10">
        <v>40004</v>
      </c>
      <c r="B125" s="15">
        <f t="shared" si="2"/>
        <v>7</v>
      </c>
      <c r="C125" s="15">
        <f t="shared" si="3"/>
        <v>2009</v>
      </c>
      <c r="D125" s="13">
        <v>38.6</v>
      </c>
      <c r="E125" s="13">
        <v>174.07753050969131</v>
      </c>
      <c r="F125" s="13"/>
      <c r="G125" s="13"/>
      <c r="H125" s="13">
        <v>45.69</v>
      </c>
      <c r="I125" s="13">
        <v>-90.5</v>
      </c>
      <c r="J125" s="13"/>
      <c r="K125" s="13"/>
    </row>
    <row r="126" spans="1:11" x14ac:dyDescent="0.25">
      <c r="A126" s="10">
        <v>40007</v>
      </c>
      <c r="B126" s="15">
        <f t="shared" si="2"/>
        <v>7</v>
      </c>
      <c r="C126" s="15">
        <f t="shared" si="3"/>
        <v>2009</v>
      </c>
      <c r="D126" s="13">
        <v>60.6</v>
      </c>
      <c r="E126" s="13">
        <v>148.55834585390284</v>
      </c>
      <c r="F126" s="13"/>
      <c r="G126" s="13"/>
      <c r="H126" s="13">
        <v>27.38</v>
      </c>
      <c r="I126" s="13">
        <v>-102.7</v>
      </c>
      <c r="J126" s="13"/>
      <c r="K126" s="13"/>
    </row>
    <row r="127" spans="1:11" x14ac:dyDescent="0.25">
      <c r="A127" s="10">
        <v>40008</v>
      </c>
      <c r="B127" s="15">
        <f t="shared" si="2"/>
        <v>7</v>
      </c>
      <c r="C127" s="15">
        <f t="shared" si="3"/>
        <v>2009</v>
      </c>
      <c r="D127" s="13">
        <v>60.6</v>
      </c>
      <c r="E127" s="13">
        <v>148.65406643757157</v>
      </c>
      <c r="F127" s="13"/>
      <c r="G127" s="13"/>
      <c r="H127" s="13">
        <v>27.38</v>
      </c>
      <c r="I127" s="13">
        <v>-102.7</v>
      </c>
      <c r="J127" s="13"/>
      <c r="K127" s="13"/>
    </row>
    <row r="128" spans="1:11" x14ac:dyDescent="0.25">
      <c r="A128" s="10">
        <v>40009</v>
      </c>
      <c r="B128" s="15">
        <f t="shared" si="2"/>
        <v>7</v>
      </c>
      <c r="C128" s="15">
        <f t="shared" si="3"/>
        <v>2009</v>
      </c>
      <c r="D128" s="13">
        <v>60.6</v>
      </c>
      <c r="E128" s="13">
        <v>147.22064662507088</v>
      </c>
      <c r="F128" s="13"/>
      <c r="G128" s="13"/>
      <c r="H128" s="13">
        <v>27.38</v>
      </c>
      <c r="I128" s="13">
        <v>-102.7</v>
      </c>
      <c r="J128" s="13"/>
      <c r="K128" s="13"/>
    </row>
    <row r="129" spans="1:11" x14ac:dyDescent="0.25">
      <c r="A129" s="10">
        <v>40010</v>
      </c>
      <c r="B129" s="15">
        <f t="shared" si="2"/>
        <v>7</v>
      </c>
      <c r="C129" s="15">
        <f t="shared" si="3"/>
        <v>2009</v>
      </c>
      <c r="D129" s="13">
        <v>60.6</v>
      </c>
      <c r="E129" s="13">
        <v>146.78354305103915</v>
      </c>
      <c r="F129" s="13"/>
      <c r="G129" s="13"/>
      <c r="H129" s="13">
        <v>27.38</v>
      </c>
      <c r="I129" s="13">
        <v>-102.7</v>
      </c>
      <c r="J129" s="13"/>
      <c r="K129" s="13"/>
    </row>
    <row r="130" spans="1:11" x14ac:dyDescent="0.25">
      <c r="A130" s="10">
        <v>40011</v>
      </c>
      <c r="B130" s="15">
        <f t="shared" si="2"/>
        <v>7</v>
      </c>
      <c r="C130" s="15">
        <f t="shared" si="3"/>
        <v>2009</v>
      </c>
      <c r="D130" s="13">
        <v>60.6</v>
      </c>
      <c r="E130" s="13">
        <v>147.30419977298524</v>
      </c>
      <c r="F130" s="13"/>
      <c r="G130" s="13"/>
      <c r="H130" s="13">
        <v>27.38</v>
      </c>
      <c r="I130" s="13">
        <v>-102.7</v>
      </c>
      <c r="J130" s="13"/>
      <c r="K130" s="13"/>
    </row>
    <row r="131" spans="1:11" x14ac:dyDescent="0.25">
      <c r="A131" s="10">
        <v>40014</v>
      </c>
      <c r="B131" s="15">
        <f t="shared" ref="B131:B194" si="4">MONTH(A131)</f>
        <v>7</v>
      </c>
      <c r="C131" s="15">
        <f t="shared" ref="C131:C194" si="5">YEAR(A131)</f>
        <v>2009</v>
      </c>
      <c r="D131" s="13">
        <v>26.8</v>
      </c>
      <c r="E131" s="13">
        <v>146.56263180092787</v>
      </c>
      <c r="F131" s="13"/>
      <c r="G131" s="13"/>
      <c r="H131" s="13">
        <v>44.62</v>
      </c>
      <c r="I131" s="13">
        <v>-111.8</v>
      </c>
      <c r="J131" s="13"/>
      <c r="K131" s="13"/>
    </row>
    <row r="132" spans="1:11" x14ac:dyDescent="0.25">
      <c r="A132" s="10">
        <v>40015</v>
      </c>
      <c r="B132" s="15">
        <f t="shared" si="4"/>
        <v>7</v>
      </c>
      <c r="C132" s="15">
        <f t="shared" si="5"/>
        <v>2009</v>
      </c>
      <c r="D132" s="13">
        <v>26.8</v>
      </c>
      <c r="E132" s="13">
        <v>146.71733164450075</v>
      </c>
      <c r="F132" s="13"/>
      <c r="G132" s="13"/>
      <c r="H132" s="13">
        <v>44.62</v>
      </c>
      <c r="I132" s="13">
        <v>-111.8</v>
      </c>
      <c r="J132" s="13"/>
      <c r="K132" s="13"/>
    </row>
    <row r="133" spans="1:11" x14ac:dyDescent="0.25">
      <c r="A133" s="10">
        <v>40016</v>
      </c>
      <c r="B133" s="15">
        <f t="shared" si="4"/>
        <v>7</v>
      </c>
      <c r="C133" s="15">
        <f t="shared" si="5"/>
        <v>2009</v>
      </c>
      <c r="D133" s="13">
        <v>26.8</v>
      </c>
      <c r="E133" s="13">
        <v>146.74831081081081</v>
      </c>
      <c r="F133" s="13"/>
      <c r="G133" s="13"/>
      <c r="H133" s="13">
        <v>44.62</v>
      </c>
      <c r="I133" s="13">
        <v>-111.8</v>
      </c>
      <c r="J133" s="13"/>
      <c r="K133" s="13"/>
    </row>
    <row r="134" spans="1:11" x14ac:dyDescent="0.25">
      <c r="A134" s="10">
        <v>40017</v>
      </c>
      <c r="B134" s="15">
        <f t="shared" si="4"/>
        <v>7</v>
      </c>
      <c r="C134" s="15">
        <f t="shared" si="5"/>
        <v>2009</v>
      </c>
      <c r="D134" s="13">
        <v>26.8</v>
      </c>
      <c r="E134" s="13">
        <v>147.25616215834452</v>
      </c>
      <c r="F134" s="13"/>
      <c r="G134" s="13"/>
      <c r="H134" s="13">
        <v>44.62</v>
      </c>
      <c r="I134" s="13">
        <v>-111.8</v>
      </c>
      <c r="J134" s="13"/>
      <c r="K134" s="13"/>
    </row>
    <row r="135" spans="1:11" x14ac:dyDescent="0.25">
      <c r="A135" s="10">
        <v>40018</v>
      </c>
      <c r="B135" s="15">
        <f t="shared" si="4"/>
        <v>7</v>
      </c>
      <c r="C135" s="15">
        <f t="shared" si="5"/>
        <v>2009</v>
      </c>
      <c r="D135" s="13">
        <v>26.8</v>
      </c>
      <c r="E135" s="13">
        <v>146.8103084072666</v>
      </c>
      <c r="F135" s="13"/>
      <c r="G135" s="13"/>
      <c r="H135" s="13">
        <v>44.62</v>
      </c>
      <c r="I135" s="13">
        <v>-111.8</v>
      </c>
      <c r="J135" s="13"/>
      <c r="K135" s="13"/>
    </row>
    <row r="136" spans="1:11" x14ac:dyDescent="0.25">
      <c r="A136" s="10">
        <v>40021</v>
      </c>
      <c r="B136" s="15">
        <f t="shared" si="4"/>
        <v>7</v>
      </c>
      <c r="C136" s="15">
        <f t="shared" si="5"/>
        <v>2009</v>
      </c>
      <c r="D136" s="13">
        <v>32.799999999999997</v>
      </c>
      <c r="E136" s="13">
        <v>111.45745577085087</v>
      </c>
      <c r="F136" s="13"/>
      <c r="G136" s="13"/>
      <c r="H136" s="13">
        <v>36.450000000000003</v>
      </c>
      <c r="I136" s="13">
        <v>-87.4</v>
      </c>
      <c r="J136" s="13"/>
      <c r="K136" s="13"/>
    </row>
    <row r="137" spans="1:11" x14ac:dyDescent="0.25">
      <c r="A137" s="10">
        <v>40022</v>
      </c>
      <c r="B137" s="15">
        <f t="shared" si="4"/>
        <v>7</v>
      </c>
      <c r="C137" s="15">
        <f t="shared" si="5"/>
        <v>2009</v>
      </c>
      <c r="D137" s="13">
        <v>32.799999999999997</v>
      </c>
      <c r="E137" s="13">
        <v>111.98419976017493</v>
      </c>
      <c r="F137" s="13"/>
      <c r="G137" s="13"/>
      <c r="H137" s="13">
        <v>36.450000000000003</v>
      </c>
      <c r="I137" s="13">
        <v>-87.4</v>
      </c>
      <c r="J137" s="13"/>
      <c r="K137" s="13"/>
    </row>
    <row r="138" spans="1:11" x14ac:dyDescent="0.25">
      <c r="A138" s="10">
        <v>40023</v>
      </c>
      <c r="B138" s="15">
        <f t="shared" si="4"/>
        <v>7</v>
      </c>
      <c r="C138" s="15">
        <f t="shared" si="5"/>
        <v>2009</v>
      </c>
      <c r="D138" s="13">
        <v>32.799999999999997</v>
      </c>
      <c r="E138" s="13">
        <v>113.11720698254364</v>
      </c>
      <c r="F138" s="13"/>
      <c r="G138" s="13"/>
      <c r="H138" s="13">
        <v>36.450000000000003</v>
      </c>
      <c r="I138" s="13">
        <v>-87.4</v>
      </c>
      <c r="J138" s="13"/>
      <c r="K138" s="13"/>
    </row>
    <row r="139" spans="1:11" x14ac:dyDescent="0.25">
      <c r="A139" s="10">
        <v>40024</v>
      </c>
      <c r="B139" s="15">
        <f t="shared" si="4"/>
        <v>7</v>
      </c>
      <c r="C139" s="15">
        <f t="shared" si="5"/>
        <v>2009</v>
      </c>
      <c r="D139" s="13">
        <v>32.799999999999997</v>
      </c>
      <c r="E139" s="13">
        <v>112.82780186198563</v>
      </c>
      <c r="F139" s="13"/>
      <c r="G139" s="13"/>
      <c r="H139" s="13">
        <v>36.450000000000003</v>
      </c>
      <c r="I139" s="13">
        <v>-87.4</v>
      </c>
      <c r="J139" s="13"/>
      <c r="K139" s="13"/>
    </row>
    <row r="140" spans="1:11" x14ac:dyDescent="0.25">
      <c r="A140" s="10">
        <v>40025</v>
      </c>
      <c r="B140" s="15">
        <f t="shared" si="4"/>
        <v>7</v>
      </c>
      <c r="C140" s="15">
        <f t="shared" si="5"/>
        <v>2009</v>
      </c>
      <c r="D140" s="13">
        <v>32.799999999999997</v>
      </c>
      <c r="E140" s="13">
        <v>111.43398610233733</v>
      </c>
      <c r="F140" s="13"/>
      <c r="G140" s="13"/>
      <c r="H140" s="13">
        <v>36.450000000000003</v>
      </c>
      <c r="I140" s="13">
        <v>-87.4</v>
      </c>
      <c r="J140" s="13"/>
      <c r="K140" s="13"/>
    </row>
    <row r="141" spans="1:11" x14ac:dyDescent="0.25">
      <c r="A141" s="10">
        <v>40028</v>
      </c>
      <c r="B141" s="15">
        <f t="shared" si="4"/>
        <v>8</v>
      </c>
      <c r="C141" s="15">
        <f t="shared" si="5"/>
        <v>2009</v>
      </c>
      <c r="D141" s="13">
        <v>37.200000000000003</v>
      </c>
      <c r="E141" s="13">
        <v>155.75749167591565</v>
      </c>
      <c r="F141" s="13"/>
      <c r="G141" s="13"/>
      <c r="H141" s="13">
        <v>40.24</v>
      </c>
      <c r="I141" s="13">
        <v>-105.4</v>
      </c>
      <c r="J141" s="13"/>
      <c r="K141" s="13"/>
    </row>
    <row r="142" spans="1:11" x14ac:dyDescent="0.25">
      <c r="A142" s="10">
        <v>40029</v>
      </c>
      <c r="B142" s="15">
        <f t="shared" si="4"/>
        <v>8</v>
      </c>
      <c r="C142" s="15">
        <f t="shared" si="5"/>
        <v>2009</v>
      </c>
      <c r="D142" s="13">
        <v>37.200000000000003</v>
      </c>
      <c r="E142" s="13">
        <v>155.94138481839016</v>
      </c>
      <c r="F142" s="13"/>
      <c r="G142" s="13"/>
      <c r="H142" s="13">
        <v>40.24</v>
      </c>
      <c r="I142" s="13">
        <v>-105.4</v>
      </c>
      <c r="J142" s="13"/>
      <c r="K142" s="13"/>
    </row>
    <row r="143" spans="1:11" x14ac:dyDescent="0.25">
      <c r="A143" s="10">
        <v>40030</v>
      </c>
      <c r="B143" s="15">
        <f t="shared" si="4"/>
        <v>8</v>
      </c>
      <c r="C143" s="15">
        <f t="shared" si="5"/>
        <v>2009</v>
      </c>
      <c r="D143" s="13">
        <v>37.200000000000003</v>
      </c>
      <c r="E143" s="13">
        <v>155.83315983066137</v>
      </c>
      <c r="F143" s="13"/>
      <c r="G143" s="13"/>
      <c r="H143" s="13">
        <v>40.24</v>
      </c>
      <c r="I143" s="13">
        <v>-105.4</v>
      </c>
      <c r="J143" s="13"/>
      <c r="K143" s="13"/>
    </row>
    <row r="144" spans="1:11" x14ac:dyDescent="0.25">
      <c r="A144" s="10">
        <v>40031</v>
      </c>
      <c r="B144" s="15">
        <f t="shared" si="4"/>
        <v>8</v>
      </c>
      <c r="C144" s="15">
        <f t="shared" si="5"/>
        <v>2009</v>
      </c>
      <c r="D144" s="13">
        <v>37.200000000000003</v>
      </c>
      <c r="E144" s="13">
        <v>156.51749616617872</v>
      </c>
      <c r="F144" s="13"/>
      <c r="G144" s="13"/>
      <c r="H144" s="13">
        <v>40.24</v>
      </c>
      <c r="I144" s="13">
        <v>-105.4</v>
      </c>
      <c r="J144" s="13"/>
      <c r="K144" s="13"/>
    </row>
    <row r="145" spans="1:11" x14ac:dyDescent="0.25">
      <c r="A145" s="10">
        <v>40032</v>
      </c>
      <c r="B145" s="15">
        <f t="shared" si="4"/>
        <v>8</v>
      </c>
      <c r="C145" s="15">
        <f t="shared" si="5"/>
        <v>2009</v>
      </c>
      <c r="D145" s="13">
        <v>37.200000000000003</v>
      </c>
      <c r="E145" s="13">
        <v>158.29397250616847</v>
      </c>
      <c r="F145" s="13"/>
      <c r="G145" s="13"/>
      <c r="H145" s="13">
        <v>40.24</v>
      </c>
      <c r="I145" s="13">
        <v>-105.4</v>
      </c>
      <c r="J145" s="13"/>
      <c r="K145" s="13"/>
    </row>
    <row r="146" spans="1:11" x14ac:dyDescent="0.25">
      <c r="A146" s="10">
        <v>40035</v>
      </c>
      <c r="B146" s="15">
        <f t="shared" si="4"/>
        <v>8</v>
      </c>
      <c r="C146" s="15">
        <f t="shared" si="5"/>
        <v>2009</v>
      </c>
      <c r="D146" s="13">
        <v>9.6</v>
      </c>
      <c r="E146" s="13">
        <v>170.94881221719456</v>
      </c>
      <c r="F146" s="13"/>
      <c r="G146" s="13"/>
      <c r="H146" s="13">
        <v>32.67</v>
      </c>
      <c r="I146" s="13">
        <v>-117.5</v>
      </c>
      <c r="J146" s="13"/>
      <c r="K146" s="13"/>
    </row>
    <row r="147" spans="1:11" x14ac:dyDescent="0.25">
      <c r="A147" s="10">
        <v>40036</v>
      </c>
      <c r="B147" s="15">
        <f t="shared" si="4"/>
        <v>8</v>
      </c>
      <c r="C147" s="15">
        <f t="shared" si="5"/>
        <v>2009</v>
      </c>
      <c r="D147" s="13">
        <v>9.6</v>
      </c>
      <c r="E147" s="13">
        <v>170.93672675857192</v>
      </c>
      <c r="F147" s="13"/>
      <c r="G147" s="13"/>
      <c r="H147" s="13">
        <v>32.67</v>
      </c>
      <c r="I147" s="13">
        <v>-117.5</v>
      </c>
      <c r="J147" s="13"/>
      <c r="K147" s="13"/>
    </row>
    <row r="148" spans="1:11" x14ac:dyDescent="0.25">
      <c r="A148" s="10">
        <v>40037</v>
      </c>
      <c r="B148" s="15">
        <f t="shared" si="4"/>
        <v>8</v>
      </c>
      <c r="C148" s="15">
        <f t="shared" si="5"/>
        <v>2009</v>
      </c>
      <c r="D148" s="13">
        <v>9.6</v>
      </c>
      <c r="E148" s="13">
        <v>170.26265755932681</v>
      </c>
      <c r="F148" s="13"/>
      <c r="G148" s="13"/>
      <c r="H148" s="13">
        <v>32.67</v>
      </c>
      <c r="I148" s="13">
        <v>-117.5</v>
      </c>
      <c r="J148" s="13"/>
      <c r="K148" s="13"/>
    </row>
    <row r="149" spans="1:11" x14ac:dyDescent="0.25">
      <c r="A149" s="10">
        <v>40038</v>
      </c>
      <c r="B149" s="15">
        <f t="shared" si="4"/>
        <v>8</v>
      </c>
      <c r="C149" s="15">
        <f t="shared" si="5"/>
        <v>2009</v>
      </c>
      <c r="D149" s="13">
        <v>9.6</v>
      </c>
      <c r="E149" s="13">
        <v>169.24961500769982</v>
      </c>
      <c r="F149" s="13"/>
      <c r="G149" s="13"/>
      <c r="H149" s="13">
        <v>32.67</v>
      </c>
      <c r="I149" s="13">
        <v>-117.5</v>
      </c>
      <c r="J149" s="13"/>
      <c r="K149" s="13"/>
    </row>
    <row r="150" spans="1:11" x14ac:dyDescent="0.25">
      <c r="A150" s="10">
        <v>40039</v>
      </c>
      <c r="B150" s="15">
        <f t="shared" si="4"/>
        <v>8</v>
      </c>
      <c r="C150" s="15">
        <f t="shared" si="5"/>
        <v>2009</v>
      </c>
      <c r="D150" s="13">
        <v>9.6</v>
      </c>
      <c r="E150" s="13">
        <v>170.25066891987044</v>
      </c>
      <c r="F150" s="13"/>
      <c r="G150" s="13"/>
      <c r="H150" s="13">
        <v>32.67</v>
      </c>
      <c r="I150" s="13">
        <v>-117.5</v>
      </c>
      <c r="J150" s="13"/>
      <c r="K150" s="13"/>
    </row>
    <row r="151" spans="1:11" x14ac:dyDescent="0.25">
      <c r="A151" s="10">
        <v>40042</v>
      </c>
      <c r="B151" s="15">
        <f t="shared" si="4"/>
        <v>8</v>
      </c>
      <c r="C151" s="15">
        <f t="shared" si="5"/>
        <v>2009</v>
      </c>
      <c r="D151" s="13">
        <v>27.9</v>
      </c>
      <c r="E151" s="13">
        <v>152.17360420514277</v>
      </c>
      <c r="F151" s="13"/>
      <c r="G151" s="13"/>
      <c r="H151" s="13">
        <v>37</v>
      </c>
      <c r="I151" s="13">
        <v>-107</v>
      </c>
      <c r="J151" s="13"/>
      <c r="K151" s="13"/>
    </row>
    <row r="152" spans="1:11" x14ac:dyDescent="0.25">
      <c r="A152" s="10">
        <v>40043</v>
      </c>
      <c r="B152" s="15">
        <f t="shared" si="4"/>
        <v>8</v>
      </c>
      <c r="C152" s="15">
        <f t="shared" si="5"/>
        <v>2009</v>
      </c>
      <c r="D152" s="13">
        <v>27.9</v>
      </c>
      <c r="E152" s="13">
        <v>151.60285896256457</v>
      </c>
      <c r="F152" s="13"/>
      <c r="G152" s="13"/>
      <c r="H152" s="13">
        <v>37</v>
      </c>
      <c r="I152" s="13">
        <v>-107</v>
      </c>
      <c r="J152" s="13"/>
      <c r="K152" s="13"/>
    </row>
    <row r="153" spans="1:11" x14ac:dyDescent="0.25">
      <c r="A153" s="10">
        <v>40044</v>
      </c>
      <c r="B153" s="15">
        <f t="shared" si="4"/>
        <v>8</v>
      </c>
      <c r="C153" s="15">
        <f t="shared" si="5"/>
        <v>2009</v>
      </c>
      <c r="D153" s="13">
        <v>27.9</v>
      </c>
      <c r="E153" s="13">
        <v>150.50583110861317</v>
      </c>
      <c r="F153" s="13"/>
      <c r="G153" s="13"/>
      <c r="H153" s="13">
        <v>37</v>
      </c>
      <c r="I153" s="13">
        <v>-107</v>
      </c>
      <c r="J153" s="13"/>
      <c r="K153" s="13"/>
    </row>
    <row r="154" spans="1:11" x14ac:dyDescent="0.25">
      <c r="A154" s="10">
        <v>40045</v>
      </c>
      <c r="B154" s="15">
        <f t="shared" si="4"/>
        <v>8</v>
      </c>
      <c r="C154" s="15">
        <f t="shared" si="5"/>
        <v>2009</v>
      </c>
      <c r="D154" s="13">
        <v>27.9</v>
      </c>
      <c r="E154" s="13">
        <v>150.35794497473327</v>
      </c>
      <c r="F154" s="13"/>
      <c r="G154" s="13"/>
      <c r="H154" s="13">
        <v>37</v>
      </c>
      <c r="I154" s="13">
        <v>-107</v>
      </c>
      <c r="J154" s="13"/>
      <c r="K154" s="13"/>
    </row>
    <row r="155" spans="1:11" x14ac:dyDescent="0.25">
      <c r="A155" s="10">
        <v>40046</v>
      </c>
      <c r="B155" s="15">
        <f t="shared" si="4"/>
        <v>8</v>
      </c>
      <c r="C155" s="15">
        <f t="shared" si="5"/>
        <v>2009</v>
      </c>
      <c r="D155" s="13">
        <v>27.9</v>
      </c>
      <c r="E155" s="13">
        <v>149.60195530726256</v>
      </c>
      <c r="F155" s="13"/>
      <c r="G155" s="13"/>
      <c r="H155" s="13">
        <v>37</v>
      </c>
      <c r="I155" s="13">
        <v>-107</v>
      </c>
      <c r="J155" s="13"/>
      <c r="K155" s="13"/>
    </row>
    <row r="156" spans="1:11" x14ac:dyDescent="0.25">
      <c r="A156" s="10">
        <v>40049</v>
      </c>
      <c r="B156" s="15">
        <f t="shared" si="4"/>
        <v>8</v>
      </c>
      <c r="C156" s="15">
        <f t="shared" si="5"/>
        <v>2009</v>
      </c>
      <c r="D156" s="13">
        <v>7.8</v>
      </c>
      <c r="E156" s="13">
        <v>166.5944055944056</v>
      </c>
      <c r="F156" s="13"/>
      <c r="G156" s="13"/>
      <c r="H156" s="13">
        <v>3.69</v>
      </c>
      <c r="I156" s="13">
        <v>-123.4</v>
      </c>
      <c r="J156" s="13"/>
      <c r="K156" s="13"/>
    </row>
    <row r="157" spans="1:11" x14ac:dyDescent="0.25">
      <c r="A157" s="10">
        <v>40050</v>
      </c>
      <c r="B157" s="15">
        <f t="shared" si="4"/>
        <v>8</v>
      </c>
      <c r="C157" s="15">
        <f t="shared" si="5"/>
        <v>2009</v>
      </c>
      <c r="D157" s="13">
        <v>7.8</v>
      </c>
      <c r="E157" s="13">
        <v>166.6526757607555</v>
      </c>
      <c r="F157" s="13"/>
      <c r="G157" s="13"/>
      <c r="H157" s="13">
        <v>3.69</v>
      </c>
      <c r="I157" s="13">
        <v>-123.4</v>
      </c>
      <c r="J157" s="13"/>
      <c r="K157" s="13"/>
    </row>
    <row r="158" spans="1:11" x14ac:dyDescent="0.25">
      <c r="A158" s="10">
        <v>40051</v>
      </c>
      <c r="B158" s="15">
        <f t="shared" si="4"/>
        <v>8</v>
      </c>
      <c r="C158" s="15">
        <f t="shared" si="5"/>
        <v>2009</v>
      </c>
      <c r="D158" s="13">
        <v>7.8</v>
      </c>
      <c r="E158" s="13">
        <v>167.20241437394719</v>
      </c>
      <c r="F158" s="13"/>
      <c r="G158" s="13"/>
      <c r="H158" s="13">
        <v>3.69</v>
      </c>
      <c r="I158" s="13">
        <v>-123.4</v>
      </c>
      <c r="J158" s="13"/>
      <c r="K158" s="13"/>
    </row>
    <row r="159" spans="1:11" x14ac:dyDescent="0.25">
      <c r="A159" s="10">
        <v>40052</v>
      </c>
      <c r="B159" s="15">
        <f t="shared" si="4"/>
        <v>8</v>
      </c>
      <c r="C159" s="15">
        <f t="shared" si="5"/>
        <v>2009</v>
      </c>
      <c r="D159" s="13">
        <v>7.8</v>
      </c>
      <c r="E159" s="13">
        <v>166.01393728222996</v>
      </c>
      <c r="F159" s="13"/>
      <c r="G159" s="13"/>
      <c r="H159" s="13">
        <v>3.69</v>
      </c>
      <c r="I159" s="13">
        <v>-123.4</v>
      </c>
      <c r="J159" s="13"/>
      <c r="K159" s="13"/>
    </row>
    <row r="160" spans="1:11" x14ac:dyDescent="0.25">
      <c r="A160" s="10">
        <v>40053</v>
      </c>
      <c r="B160" s="15">
        <f t="shared" si="4"/>
        <v>8</v>
      </c>
      <c r="C160" s="15">
        <f t="shared" si="5"/>
        <v>2009</v>
      </c>
      <c r="D160" s="13">
        <v>7.8</v>
      </c>
      <c r="E160" s="13">
        <v>166.64101846670397</v>
      </c>
      <c r="F160" s="13"/>
      <c r="G160" s="13"/>
      <c r="H160" s="13">
        <v>3.69</v>
      </c>
      <c r="I160" s="13">
        <v>-123.4</v>
      </c>
      <c r="J160" s="13"/>
      <c r="K160" s="13"/>
    </row>
    <row r="161" spans="1:11" x14ac:dyDescent="0.25">
      <c r="A161" s="10">
        <v>40056</v>
      </c>
      <c r="B161" s="15">
        <f t="shared" si="4"/>
        <v>8</v>
      </c>
      <c r="C161" s="15">
        <f t="shared" si="5"/>
        <v>2009</v>
      </c>
      <c r="D161" s="13">
        <v>3</v>
      </c>
      <c r="E161" s="13">
        <v>149.88484890780933</v>
      </c>
      <c r="F161" s="13"/>
      <c r="G161" s="13"/>
      <c r="H161" s="13">
        <v>45.51</v>
      </c>
      <c r="I161" s="13">
        <v>-137.5</v>
      </c>
      <c r="J161" s="13"/>
      <c r="K161" s="13"/>
    </row>
    <row r="162" spans="1:11" x14ac:dyDescent="0.25">
      <c r="A162" s="10">
        <v>40057</v>
      </c>
      <c r="B162" s="15">
        <f t="shared" si="4"/>
        <v>9</v>
      </c>
      <c r="C162" s="15">
        <f t="shared" si="5"/>
        <v>2009</v>
      </c>
      <c r="D162" s="13">
        <v>3</v>
      </c>
      <c r="E162" s="13">
        <v>151.04437724171885</v>
      </c>
      <c r="F162" s="13"/>
      <c r="G162" s="13"/>
      <c r="H162" s="13">
        <v>45.51</v>
      </c>
      <c r="I162" s="13">
        <v>-137.5</v>
      </c>
      <c r="J162" s="13"/>
      <c r="K162" s="13"/>
    </row>
    <row r="163" spans="1:11" x14ac:dyDescent="0.25">
      <c r="A163" s="10">
        <v>40058</v>
      </c>
      <c r="B163" s="15">
        <f t="shared" si="4"/>
        <v>9</v>
      </c>
      <c r="C163" s="15">
        <f t="shared" si="5"/>
        <v>2009</v>
      </c>
      <c r="D163" s="13">
        <v>3</v>
      </c>
      <c r="E163" s="13">
        <v>150.58897770298697</v>
      </c>
      <c r="F163" s="13"/>
      <c r="G163" s="13"/>
      <c r="H163" s="13">
        <v>45.51</v>
      </c>
      <c r="I163" s="13">
        <v>-137.5</v>
      </c>
      <c r="J163" s="13"/>
      <c r="K163" s="13"/>
    </row>
    <row r="164" spans="1:11" x14ac:dyDescent="0.25">
      <c r="A164" s="10">
        <v>40059</v>
      </c>
      <c r="B164" s="15">
        <f t="shared" si="4"/>
        <v>9</v>
      </c>
      <c r="C164" s="15">
        <f t="shared" si="5"/>
        <v>2009</v>
      </c>
      <c r="D164" s="13">
        <v>3</v>
      </c>
      <c r="E164" s="13">
        <v>150.69463934886332</v>
      </c>
      <c r="F164" s="13"/>
      <c r="G164" s="13"/>
      <c r="H164" s="13">
        <v>45.51</v>
      </c>
      <c r="I164" s="13">
        <v>-137.5</v>
      </c>
      <c r="J164" s="13"/>
      <c r="K164" s="13"/>
    </row>
    <row r="165" spans="1:11" x14ac:dyDescent="0.25">
      <c r="A165" s="10">
        <v>40060</v>
      </c>
      <c r="B165" s="15">
        <f t="shared" si="4"/>
        <v>9</v>
      </c>
      <c r="C165" s="15">
        <f t="shared" si="5"/>
        <v>2009</v>
      </c>
      <c r="D165" s="13">
        <v>3</v>
      </c>
      <c r="E165" s="13">
        <v>150.29391182645207</v>
      </c>
      <c r="F165" s="13"/>
      <c r="G165" s="13"/>
      <c r="H165" s="13">
        <v>45.51</v>
      </c>
      <c r="I165" s="13">
        <v>-137.5</v>
      </c>
      <c r="J165" s="13"/>
      <c r="K165" s="13"/>
    </row>
    <row r="166" spans="1:11" x14ac:dyDescent="0.25">
      <c r="A166" s="10">
        <v>40064</v>
      </c>
      <c r="B166" s="15">
        <f t="shared" si="4"/>
        <v>9</v>
      </c>
      <c r="C166" s="15">
        <f t="shared" si="5"/>
        <v>2009</v>
      </c>
      <c r="D166" s="13">
        <v>5.9</v>
      </c>
      <c r="E166" s="13">
        <v>146.48529208672835</v>
      </c>
      <c r="F166" s="13"/>
      <c r="G166" s="13"/>
      <c r="H166" s="13">
        <v>25.95</v>
      </c>
      <c r="I166" s="13">
        <v>-133.69999999999999</v>
      </c>
      <c r="J166" s="13"/>
      <c r="K166" s="13"/>
    </row>
    <row r="167" spans="1:11" x14ac:dyDescent="0.25">
      <c r="A167" s="10">
        <v>40065</v>
      </c>
      <c r="B167" s="15">
        <f t="shared" si="4"/>
        <v>9</v>
      </c>
      <c r="C167" s="15">
        <f t="shared" si="5"/>
        <v>2009</v>
      </c>
      <c r="D167" s="13">
        <v>5.9</v>
      </c>
      <c r="E167" s="13">
        <v>145.710557043753</v>
      </c>
      <c r="F167" s="13"/>
      <c r="G167" s="13"/>
      <c r="H167" s="13">
        <v>25.95</v>
      </c>
      <c r="I167" s="13">
        <v>-133.69999999999999</v>
      </c>
      <c r="J167" s="13"/>
      <c r="K167" s="13"/>
    </row>
    <row r="168" spans="1:11" x14ac:dyDescent="0.25">
      <c r="A168" s="10">
        <v>40066</v>
      </c>
      <c r="B168" s="15">
        <f t="shared" si="4"/>
        <v>9</v>
      </c>
      <c r="C168" s="15">
        <f t="shared" si="5"/>
        <v>2009</v>
      </c>
      <c r="D168" s="13">
        <v>5.9</v>
      </c>
      <c r="E168" s="13">
        <v>145.5306304452219</v>
      </c>
      <c r="F168" s="13"/>
      <c r="G168" s="13"/>
      <c r="H168" s="13">
        <v>25.95</v>
      </c>
      <c r="I168" s="13">
        <v>-133.69999999999999</v>
      </c>
      <c r="J168" s="13"/>
      <c r="K168" s="13"/>
    </row>
    <row r="169" spans="1:11" x14ac:dyDescent="0.25">
      <c r="A169" s="10">
        <v>40067</v>
      </c>
      <c r="B169" s="15">
        <f t="shared" si="4"/>
        <v>9</v>
      </c>
      <c r="C169" s="15">
        <f t="shared" si="5"/>
        <v>2009</v>
      </c>
      <c r="D169" s="13">
        <v>5.9</v>
      </c>
      <c r="E169" s="13">
        <v>145.63053477037136</v>
      </c>
      <c r="F169" s="13"/>
      <c r="G169" s="13"/>
      <c r="H169" s="13">
        <v>25.95</v>
      </c>
      <c r="I169" s="13">
        <v>-133.69999999999999</v>
      </c>
      <c r="J169" s="13"/>
      <c r="K169" s="13"/>
    </row>
    <row r="170" spans="1:11" x14ac:dyDescent="0.25">
      <c r="A170" s="10">
        <v>40070</v>
      </c>
      <c r="B170" s="15">
        <f t="shared" si="4"/>
        <v>9</v>
      </c>
      <c r="C170" s="15">
        <f t="shared" si="5"/>
        <v>2009</v>
      </c>
      <c r="D170" s="13">
        <v>24.1</v>
      </c>
      <c r="E170" s="13">
        <v>133.15325172673187</v>
      </c>
      <c r="F170" s="13"/>
      <c r="G170" s="13"/>
      <c r="H170" s="13">
        <v>60.74</v>
      </c>
      <c r="I170" s="13">
        <v>-94.1</v>
      </c>
      <c r="J170" s="13"/>
      <c r="K170" s="13"/>
    </row>
    <row r="171" spans="1:11" x14ac:dyDescent="0.25">
      <c r="A171" s="10">
        <v>40071</v>
      </c>
      <c r="B171" s="15">
        <f t="shared" si="4"/>
        <v>9</v>
      </c>
      <c r="C171" s="15">
        <f t="shared" si="5"/>
        <v>2009</v>
      </c>
      <c r="D171" s="13">
        <v>24.1</v>
      </c>
      <c r="E171" s="13">
        <v>132.82625008527185</v>
      </c>
      <c r="F171" s="13"/>
      <c r="G171" s="13"/>
      <c r="H171" s="13">
        <v>60.74</v>
      </c>
      <c r="I171" s="13">
        <v>-94.1</v>
      </c>
      <c r="J171" s="13"/>
      <c r="K171" s="13"/>
    </row>
    <row r="172" spans="1:11" x14ac:dyDescent="0.25">
      <c r="A172" s="10">
        <v>40072</v>
      </c>
      <c r="B172" s="15">
        <f t="shared" si="4"/>
        <v>9</v>
      </c>
      <c r="C172" s="15">
        <f t="shared" si="5"/>
        <v>2009</v>
      </c>
      <c r="D172" s="13">
        <v>24.1</v>
      </c>
      <c r="E172" s="13">
        <v>132.36573759347382</v>
      </c>
      <c r="F172" s="13"/>
      <c r="G172" s="13"/>
      <c r="H172" s="13">
        <v>60.74</v>
      </c>
      <c r="I172" s="13">
        <v>-94.1</v>
      </c>
      <c r="J172" s="13"/>
      <c r="K172" s="13"/>
    </row>
    <row r="173" spans="1:11" x14ac:dyDescent="0.25">
      <c r="A173" s="10">
        <v>40073</v>
      </c>
      <c r="B173" s="15">
        <f t="shared" si="4"/>
        <v>9</v>
      </c>
      <c r="C173" s="15">
        <f t="shared" si="5"/>
        <v>2009</v>
      </c>
      <c r="D173" s="13">
        <v>24.1</v>
      </c>
      <c r="E173" s="13">
        <v>132.11426245080744</v>
      </c>
      <c r="F173" s="13"/>
      <c r="G173" s="13"/>
      <c r="H173" s="13">
        <v>60.74</v>
      </c>
      <c r="I173" s="13">
        <v>-94.1</v>
      </c>
      <c r="J173" s="13"/>
      <c r="K173" s="13"/>
    </row>
    <row r="174" spans="1:11" x14ac:dyDescent="0.25">
      <c r="A174" s="10">
        <v>40074</v>
      </c>
      <c r="B174" s="15">
        <f t="shared" si="4"/>
        <v>9</v>
      </c>
      <c r="C174" s="15">
        <f t="shared" si="5"/>
        <v>2009</v>
      </c>
      <c r="D174" s="13">
        <v>24.1</v>
      </c>
      <c r="E174" s="13">
        <v>132.39273815190046</v>
      </c>
      <c r="F174" s="13"/>
      <c r="G174" s="13"/>
      <c r="H174" s="13">
        <v>60.74</v>
      </c>
      <c r="I174" s="13">
        <v>-94.1</v>
      </c>
      <c r="J174" s="13"/>
      <c r="K174" s="13"/>
    </row>
    <row r="175" spans="1:11" x14ac:dyDescent="0.25">
      <c r="A175" s="10">
        <v>40077</v>
      </c>
      <c r="B175" s="15">
        <f t="shared" si="4"/>
        <v>9</v>
      </c>
      <c r="C175" s="15">
        <f t="shared" si="5"/>
        <v>2009</v>
      </c>
      <c r="D175" s="13">
        <v>44.8</v>
      </c>
      <c r="E175" s="13">
        <v>131.68188632956247</v>
      </c>
      <c r="F175" s="13"/>
      <c r="G175" s="13"/>
      <c r="H175" s="13">
        <v>57.87</v>
      </c>
      <c r="I175" s="13">
        <v>-272.3</v>
      </c>
      <c r="J175" s="13"/>
      <c r="K175" s="13"/>
    </row>
    <row r="176" spans="1:11" x14ac:dyDescent="0.25">
      <c r="A176" s="10">
        <v>40078</v>
      </c>
      <c r="B176" s="15">
        <f t="shared" si="4"/>
        <v>9</v>
      </c>
      <c r="C176" s="15">
        <f t="shared" si="5"/>
        <v>2009</v>
      </c>
      <c r="D176" s="13">
        <v>44.8</v>
      </c>
      <c r="E176" s="13">
        <v>130.67559342665857</v>
      </c>
      <c r="F176" s="13"/>
      <c r="G176" s="13"/>
      <c r="H176" s="13">
        <v>57.87</v>
      </c>
      <c r="I176" s="13">
        <v>-272.3</v>
      </c>
      <c r="J176" s="13"/>
      <c r="K176" s="13"/>
    </row>
    <row r="177" spans="1:11" x14ac:dyDescent="0.25">
      <c r="A177" s="10">
        <v>40079</v>
      </c>
      <c r="B177" s="15">
        <f t="shared" si="4"/>
        <v>9</v>
      </c>
      <c r="C177" s="15">
        <f t="shared" si="5"/>
        <v>2009</v>
      </c>
      <c r="D177" s="13">
        <v>44.8</v>
      </c>
      <c r="E177" s="13">
        <v>131.1901690542467</v>
      </c>
      <c r="F177" s="13"/>
      <c r="G177" s="13"/>
      <c r="H177" s="13">
        <v>57.87</v>
      </c>
      <c r="I177" s="13">
        <v>-272.3</v>
      </c>
      <c r="J177" s="13"/>
      <c r="K177" s="13"/>
    </row>
    <row r="178" spans="1:11" x14ac:dyDescent="0.25">
      <c r="A178" s="10">
        <v>40080</v>
      </c>
      <c r="B178" s="15">
        <f t="shared" si="4"/>
        <v>9</v>
      </c>
      <c r="C178" s="15">
        <f t="shared" si="5"/>
        <v>2009</v>
      </c>
      <c r="D178" s="13">
        <v>44.8</v>
      </c>
      <c r="E178" s="13">
        <v>131.82562423250101</v>
      </c>
      <c r="F178" s="13"/>
      <c r="G178" s="13"/>
      <c r="H178" s="13">
        <v>57.87</v>
      </c>
      <c r="I178" s="13">
        <v>-272.3</v>
      </c>
      <c r="J178" s="13"/>
      <c r="K178" s="13"/>
    </row>
    <row r="179" spans="1:11" x14ac:dyDescent="0.25">
      <c r="A179" s="10">
        <v>40081</v>
      </c>
      <c r="B179" s="15">
        <f t="shared" si="4"/>
        <v>9</v>
      </c>
      <c r="C179" s="15">
        <f t="shared" si="5"/>
        <v>2009</v>
      </c>
      <c r="D179" s="13">
        <v>44.8</v>
      </c>
      <c r="E179" s="13">
        <v>131.57428843796814</v>
      </c>
      <c r="F179" s="13"/>
      <c r="G179" s="13"/>
      <c r="H179" s="13">
        <v>57.87</v>
      </c>
      <c r="I179" s="13">
        <v>-272.3</v>
      </c>
      <c r="J179" s="13"/>
      <c r="K179" s="13"/>
    </row>
    <row r="180" spans="1:11" x14ac:dyDescent="0.25">
      <c r="A180" s="10">
        <v>40084</v>
      </c>
      <c r="B180" s="15">
        <f t="shared" si="4"/>
        <v>9</v>
      </c>
      <c r="C180" s="15">
        <f t="shared" si="5"/>
        <v>2009</v>
      </c>
      <c r="D180" s="13">
        <v>34.299999999999997</v>
      </c>
      <c r="E180" s="13">
        <v>128.32615089951432</v>
      </c>
      <c r="F180" s="13"/>
      <c r="G180" s="13"/>
      <c r="H180" s="13">
        <v>59.43</v>
      </c>
      <c r="I180" s="13">
        <v>-91.6</v>
      </c>
      <c r="J180" s="13"/>
      <c r="K180" s="13"/>
    </row>
    <row r="181" spans="1:11" x14ac:dyDescent="0.25">
      <c r="A181" s="10">
        <v>40085</v>
      </c>
      <c r="B181" s="15">
        <f t="shared" si="4"/>
        <v>9</v>
      </c>
      <c r="C181" s="15">
        <f t="shared" si="5"/>
        <v>2009</v>
      </c>
      <c r="D181" s="13">
        <v>34.299999999999997</v>
      </c>
      <c r="E181" s="13">
        <v>128.64294041006653</v>
      </c>
      <c r="F181" s="13"/>
      <c r="G181" s="13"/>
      <c r="H181" s="13">
        <v>59.43</v>
      </c>
      <c r="I181" s="13">
        <v>-91.6</v>
      </c>
      <c r="J181" s="13"/>
      <c r="K181" s="13"/>
    </row>
    <row r="182" spans="1:11" x14ac:dyDescent="0.25">
      <c r="A182" s="10">
        <v>40086</v>
      </c>
      <c r="B182" s="15">
        <f t="shared" si="4"/>
        <v>9</v>
      </c>
      <c r="C182" s="15">
        <f t="shared" si="5"/>
        <v>2009</v>
      </c>
      <c r="D182" s="13">
        <v>34.299999999999997</v>
      </c>
      <c r="E182" s="13">
        <v>128.18585582507686</v>
      </c>
      <c r="F182" s="13"/>
      <c r="G182" s="13"/>
      <c r="H182" s="13">
        <v>59.43</v>
      </c>
      <c r="I182" s="13">
        <v>-91.6</v>
      </c>
      <c r="J182" s="13"/>
      <c r="K182" s="13"/>
    </row>
    <row r="183" spans="1:11" x14ac:dyDescent="0.25">
      <c r="A183" s="10">
        <v>40087</v>
      </c>
      <c r="B183" s="15">
        <f t="shared" si="4"/>
        <v>10</v>
      </c>
      <c r="C183" s="15">
        <f t="shared" si="5"/>
        <v>2009</v>
      </c>
      <c r="D183" s="13">
        <v>34.299999999999997</v>
      </c>
      <c r="E183" s="13">
        <v>129.11218169304885</v>
      </c>
      <c r="F183" s="13"/>
      <c r="G183" s="13"/>
      <c r="H183" s="13">
        <v>59.43</v>
      </c>
      <c r="I183" s="13">
        <v>-91.6</v>
      </c>
      <c r="J183" s="13"/>
      <c r="K183" s="13"/>
    </row>
    <row r="184" spans="1:11" x14ac:dyDescent="0.25">
      <c r="A184" s="10">
        <v>40088</v>
      </c>
      <c r="B184" s="15">
        <f t="shared" si="4"/>
        <v>10</v>
      </c>
      <c r="C184" s="15">
        <f t="shared" si="5"/>
        <v>2009</v>
      </c>
      <c r="D184" s="13">
        <v>34.299999999999997</v>
      </c>
      <c r="E184" s="13">
        <v>128.76655913240441</v>
      </c>
      <c r="F184" s="13"/>
      <c r="G184" s="13"/>
      <c r="H184" s="13">
        <v>59.43</v>
      </c>
      <c r="I184" s="13">
        <v>-91.6</v>
      </c>
      <c r="J184" s="13"/>
      <c r="K184" s="13"/>
    </row>
    <row r="185" spans="1:11" x14ac:dyDescent="0.25">
      <c r="A185" s="10">
        <v>40091</v>
      </c>
      <c r="B185" s="15">
        <f t="shared" si="4"/>
        <v>10</v>
      </c>
      <c r="C185" s="15">
        <f t="shared" si="5"/>
        <v>2009</v>
      </c>
      <c r="D185" s="13">
        <v>45.1</v>
      </c>
      <c r="E185" s="13">
        <v>136.4418350628072</v>
      </c>
      <c r="F185" s="13"/>
      <c r="G185" s="13"/>
      <c r="H185" s="13">
        <v>43.96</v>
      </c>
      <c r="I185" s="13">
        <v>-93.4</v>
      </c>
      <c r="J185" s="13"/>
      <c r="K185" s="13"/>
    </row>
    <row r="186" spans="1:11" x14ac:dyDescent="0.25">
      <c r="A186" s="10">
        <v>40092</v>
      </c>
      <c r="B186" s="15">
        <f t="shared" si="4"/>
        <v>10</v>
      </c>
      <c r="C186" s="15">
        <f t="shared" si="5"/>
        <v>2009</v>
      </c>
      <c r="D186" s="13">
        <v>45.1</v>
      </c>
      <c r="E186" s="13">
        <v>135.80213358700823</v>
      </c>
      <c r="F186" s="13"/>
      <c r="G186" s="13"/>
      <c r="H186" s="13">
        <v>43.96</v>
      </c>
      <c r="I186" s="13">
        <v>-93.4</v>
      </c>
      <c r="J186" s="13"/>
      <c r="K186" s="13"/>
    </row>
    <row r="187" spans="1:11" x14ac:dyDescent="0.25">
      <c r="A187" s="10">
        <v>40093</v>
      </c>
      <c r="B187" s="15">
        <f t="shared" si="4"/>
        <v>10</v>
      </c>
      <c r="C187" s="15">
        <f t="shared" si="5"/>
        <v>2009</v>
      </c>
      <c r="D187" s="13">
        <v>45.1</v>
      </c>
      <c r="E187" s="13">
        <v>136.09805924412669</v>
      </c>
      <c r="F187" s="13"/>
      <c r="G187" s="13"/>
      <c r="H187" s="13">
        <v>43.96</v>
      </c>
      <c r="I187" s="13">
        <v>-93.4</v>
      </c>
      <c r="J187" s="13"/>
      <c r="K187" s="13"/>
    </row>
    <row r="188" spans="1:11" x14ac:dyDescent="0.25">
      <c r="A188" s="10">
        <v>40094</v>
      </c>
      <c r="B188" s="15">
        <f t="shared" si="4"/>
        <v>10</v>
      </c>
      <c r="C188" s="15">
        <f t="shared" si="5"/>
        <v>2009</v>
      </c>
      <c r="D188" s="13">
        <v>45.1</v>
      </c>
      <c r="E188" s="13">
        <v>135.14098316316182</v>
      </c>
      <c r="F188" s="13"/>
      <c r="G188" s="13"/>
      <c r="H188" s="13">
        <v>43.96</v>
      </c>
      <c r="I188" s="13">
        <v>-93.4</v>
      </c>
      <c r="J188" s="13"/>
      <c r="K188" s="13"/>
    </row>
    <row r="189" spans="1:11" x14ac:dyDescent="0.25">
      <c r="A189" s="10">
        <v>40095</v>
      </c>
      <c r="B189" s="15">
        <f t="shared" si="4"/>
        <v>10</v>
      </c>
      <c r="C189" s="15">
        <f t="shared" si="5"/>
        <v>2009</v>
      </c>
      <c r="D189" s="13">
        <v>45.1</v>
      </c>
      <c r="E189" s="13">
        <v>135.70992055408436</v>
      </c>
      <c r="F189" s="13"/>
      <c r="G189" s="13"/>
      <c r="H189" s="13">
        <v>43.96</v>
      </c>
      <c r="I189" s="13">
        <v>-93.4</v>
      </c>
      <c r="J189" s="13"/>
      <c r="K189" s="13"/>
    </row>
    <row r="190" spans="1:11" x14ac:dyDescent="0.25">
      <c r="A190" s="10">
        <v>40098</v>
      </c>
      <c r="B190" s="15">
        <f t="shared" si="4"/>
        <v>10</v>
      </c>
      <c r="C190" s="15">
        <f t="shared" si="5"/>
        <v>2009</v>
      </c>
      <c r="D190" s="13">
        <v>40.1</v>
      </c>
      <c r="E190" s="13">
        <v>122.72019497664343</v>
      </c>
      <c r="F190" s="13"/>
      <c r="G190" s="13"/>
      <c r="H190" s="13">
        <v>60.33</v>
      </c>
      <c r="I190" s="13">
        <v>-106</v>
      </c>
      <c r="J190" s="13"/>
      <c r="K190" s="13"/>
    </row>
    <row r="191" spans="1:11" x14ac:dyDescent="0.25">
      <c r="A191" s="10">
        <v>40099</v>
      </c>
      <c r="B191" s="15">
        <f t="shared" si="4"/>
        <v>10</v>
      </c>
      <c r="C191" s="15">
        <f t="shared" si="5"/>
        <v>2009</v>
      </c>
      <c r="D191" s="13">
        <v>40.1</v>
      </c>
      <c r="E191" s="13">
        <v>122.01803984921918</v>
      </c>
      <c r="F191" s="13"/>
      <c r="G191" s="13"/>
      <c r="H191" s="13">
        <v>60.33</v>
      </c>
      <c r="I191" s="13">
        <v>-106</v>
      </c>
      <c r="J191" s="13"/>
      <c r="K191" s="13"/>
    </row>
    <row r="192" spans="1:11" x14ac:dyDescent="0.25">
      <c r="A192" s="10">
        <v>40100</v>
      </c>
      <c r="B192" s="15">
        <f t="shared" si="4"/>
        <v>10</v>
      </c>
      <c r="C192" s="15">
        <f t="shared" si="5"/>
        <v>2009</v>
      </c>
      <c r="D192" s="13">
        <v>40.1</v>
      </c>
      <c r="E192" s="13">
        <v>121.462074510855</v>
      </c>
      <c r="F192" s="13"/>
      <c r="G192" s="13"/>
      <c r="H192" s="13">
        <v>60.33</v>
      </c>
      <c r="I192" s="13">
        <v>-106</v>
      </c>
      <c r="J192" s="13"/>
      <c r="K192" s="13"/>
    </row>
    <row r="193" spans="1:11" x14ac:dyDescent="0.25">
      <c r="A193" s="10">
        <v>40101</v>
      </c>
      <c r="B193" s="15">
        <f t="shared" si="4"/>
        <v>10</v>
      </c>
      <c r="C193" s="15">
        <f t="shared" si="5"/>
        <v>2009</v>
      </c>
      <c r="D193" s="13">
        <v>40.1</v>
      </c>
      <c r="E193" s="13">
        <v>121.30763568225926</v>
      </c>
      <c r="F193" s="13"/>
      <c r="G193" s="13"/>
      <c r="H193" s="13">
        <v>60.33</v>
      </c>
      <c r="I193" s="13">
        <v>-106</v>
      </c>
      <c r="J193" s="13"/>
      <c r="K193" s="13"/>
    </row>
    <row r="194" spans="1:11" x14ac:dyDescent="0.25">
      <c r="A194" s="10">
        <v>40102</v>
      </c>
      <c r="B194" s="15">
        <f t="shared" si="4"/>
        <v>10</v>
      </c>
      <c r="C194" s="15">
        <f t="shared" si="5"/>
        <v>2009</v>
      </c>
      <c r="D194" s="13">
        <v>40.1</v>
      </c>
      <c r="E194" s="13">
        <v>121.63322820908543</v>
      </c>
      <c r="F194" s="13"/>
      <c r="G194" s="13"/>
      <c r="H194" s="13">
        <v>60.33</v>
      </c>
      <c r="I194" s="13">
        <v>-106</v>
      </c>
      <c r="J194" s="13"/>
      <c r="K194" s="13"/>
    </row>
    <row r="195" spans="1:11" x14ac:dyDescent="0.25">
      <c r="A195" s="10">
        <v>40105</v>
      </c>
      <c r="B195" s="15">
        <f t="shared" ref="B195:B258" si="6">MONTH(A195)</f>
        <v>10</v>
      </c>
      <c r="C195" s="15">
        <f t="shared" ref="C195:C258" si="7">YEAR(A195)</f>
        <v>2009</v>
      </c>
      <c r="D195" s="13">
        <v>27.7</v>
      </c>
      <c r="E195" s="13">
        <v>133.56947136269466</v>
      </c>
      <c r="F195" s="13"/>
      <c r="G195" s="13"/>
      <c r="H195" s="13">
        <v>17.66</v>
      </c>
      <c r="I195" s="13">
        <v>-112</v>
      </c>
      <c r="J195" s="13"/>
      <c r="K195" s="13"/>
    </row>
    <row r="196" spans="1:11" x14ac:dyDescent="0.25">
      <c r="A196" s="10">
        <v>40106</v>
      </c>
      <c r="B196" s="15">
        <f t="shared" si="6"/>
        <v>10</v>
      </c>
      <c r="C196" s="15">
        <f t="shared" si="7"/>
        <v>2009</v>
      </c>
      <c r="D196" s="13">
        <v>27.7</v>
      </c>
      <c r="E196" s="13">
        <v>133.78405515764109</v>
      </c>
      <c r="F196" s="13"/>
      <c r="G196" s="13"/>
      <c r="H196" s="13">
        <v>17.66</v>
      </c>
      <c r="I196" s="13">
        <v>-112</v>
      </c>
      <c r="J196" s="13"/>
      <c r="K196" s="13"/>
    </row>
    <row r="197" spans="1:11" x14ac:dyDescent="0.25">
      <c r="A197" s="10">
        <v>40107</v>
      </c>
      <c r="B197" s="15">
        <f t="shared" si="6"/>
        <v>10</v>
      </c>
      <c r="C197" s="15">
        <f t="shared" si="7"/>
        <v>2009</v>
      </c>
      <c r="D197" s="13">
        <v>27.7</v>
      </c>
      <c r="E197" s="13">
        <v>133.16897654584224</v>
      </c>
      <c r="F197" s="13"/>
      <c r="G197" s="13"/>
      <c r="H197" s="13">
        <v>17.66</v>
      </c>
      <c r="I197" s="13">
        <v>-112</v>
      </c>
      <c r="J197" s="13"/>
      <c r="K197" s="13"/>
    </row>
    <row r="198" spans="1:11" x14ac:dyDescent="0.25">
      <c r="A198" s="10">
        <v>40108</v>
      </c>
      <c r="B198" s="15">
        <f t="shared" si="6"/>
        <v>10</v>
      </c>
      <c r="C198" s="15">
        <f t="shared" si="7"/>
        <v>2009</v>
      </c>
      <c r="D198" s="13">
        <v>27.7</v>
      </c>
      <c r="E198" s="13">
        <v>133.04486752762617</v>
      </c>
      <c r="F198" s="13"/>
      <c r="G198" s="13"/>
      <c r="H198" s="13">
        <v>17.66</v>
      </c>
      <c r="I198" s="13">
        <v>-112</v>
      </c>
      <c r="J198" s="13"/>
      <c r="K198" s="13"/>
    </row>
    <row r="199" spans="1:11" x14ac:dyDescent="0.25">
      <c r="A199" s="10">
        <v>40109</v>
      </c>
      <c r="B199" s="15">
        <f t="shared" si="6"/>
        <v>10</v>
      </c>
      <c r="C199" s="15">
        <f t="shared" si="7"/>
        <v>2009</v>
      </c>
      <c r="D199" s="13">
        <v>27.7</v>
      </c>
      <c r="E199" s="13">
        <v>133.24</v>
      </c>
      <c r="F199" s="13"/>
      <c r="G199" s="13"/>
      <c r="H199" s="13">
        <v>17.66</v>
      </c>
      <c r="I199" s="13">
        <v>-112</v>
      </c>
      <c r="J199" s="13"/>
      <c r="K199" s="13"/>
    </row>
    <row r="200" spans="1:11" x14ac:dyDescent="0.25">
      <c r="A200" s="10">
        <v>40112</v>
      </c>
      <c r="B200" s="15">
        <f t="shared" si="6"/>
        <v>10</v>
      </c>
      <c r="C200" s="15">
        <f t="shared" si="7"/>
        <v>2009</v>
      </c>
      <c r="D200" s="13">
        <v>32.299999999999997</v>
      </c>
      <c r="E200" s="13">
        <v>122.95379648934022</v>
      </c>
      <c r="F200" s="13"/>
      <c r="G200" s="13"/>
      <c r="H200" s="13">
        <v>21.1</v>
      </c>
      <c r="I200" s="13">
        <v>-90.3</v>
      </c>
      <c r="J200" s="13"/>
      <c r="K200" s="13"/>
    </row>
    <row r="201" spans="1:11" x14ac:dyDescent="0.25">
      <c r="A201" s="10">
        <v>40113</v>
      </c>
      <c r="B201" s="15">
        <f t="shared" si="6"/>
        <v>10</v>
      </c>
      <c r="C201" s="15">
        <f t="shared" si="7"/>
        <v>2009</v>
      </c>
      <c r="D201" s="13">
        <v>32.299999999999997</v>
      </c>
      <c r="E201" s="13">
        <v>123.46029173419774</v>
      </c>
      <c r="F201" s="13"/>
      <c r="G201" s="13"/>
      <c r="H201" s="13">
        <v>21.1</v>
      </c>
      <c r="I201" s="13">
        <v>-90.3</v>
      </c>
      <c r="J201" s="13"/>
      <c r="K201" s="13"/>
    </row>
    <row r="202" spans="1:11" x14ac:dyDescent="0.25">
      <c r="A202" s="10">
        <v>40114</v>
      </c>
      <c r="B202" s="15">
        <f t="shared" si="6"/>
        <v>10</v>
      </c>
      <c r="C202" s="15">
        <f t="shared" si="7"/>
        <v>2009</v>
      </c>
      <c r="D202" s="13">
        <v>32.299999999999997</v>
      </c>
      <c r="E202" s="13">
        <v>124.29125025494594</v>
      </c>
      <c r="F202" s="13"/>
      <c r="G202" s="13"/>
      <c r="H202" s="13">
        <v>21.1</v>
      </c>
      <c r="I202" s="13">
        <v>-90.3</v>
      </c>
      <c r="J202" s="13"/>
      <c r="K202" s="13"/>
    </row>
    <row r="203" spans="1:11" x14ac:dyDescent="0.25">
      <c r="A203" s="10">
        <v>40115</v>
      </c>
      <c r="B203" s="15">
        <f t="shared" si="6"/>
        <v>10</v>
      </c>
      <c r="C203" s="15">
        <f t="shared" si="7"/>
        <v>2009</v>
      </c>
      <c r="D203" s="13">
        <v>32.299999999999997</v>
      </c>
      <c r="E203" s="13">
        <v>123.26051779935274</v>
      </c>
      <c r="F203" s="13"/>
      <c r="G203" s="13"/>
      <c r="H203" s="13">
        <v>21.1</v>
      </c>
      <c r="I203" s="13">
        <v>-90.3</v>
      </c>
      <c r="J203" s="13"/>
      <c r="K203" s="13"/>
    </row>
    <row r="204" spans="1:11" x14ac:dyDescent="0.25">
      <c r="A204" s="10">
        <v>40116</v>
      </c>
      <c r="B204" s="15">
        <f t="shared" si="6"/>
        <v>10</v>
      </c>
      <c r="C204" s="15">
        <f t="shared" si="7"/>
        <v>2009</v>
      </c>
      <c r="D204" s="13">
        <v>32.299999999999997</v>
      </c>
      <c r="E204" s="13">
        <v>124.24057084607543</v>
      </c>
      <c r="F204" s="13"/>
      <c r="G204" s="13"/>
      <c r="H204" s="13">
        <v>21.1</v>
      </c>
      <c r="I204" s="13">
        <v>-90.3</v>
      </c>
      <c r="J204" s="13"/>
      <c r="K204" s="13"/>
    </row>
    <row r="205" spans="1:11" x14ac:dyDescent="0.25">
      <c r="A205" s="10">
        <v>40119</v>
      </c>
      <c r="B205" s="15">
        <f t="shared" si="6"/>
        <v>11</v>
      </c>
      <c r="C205" s="15">
        <f t="shared" si="7"/>
        <v>2009</v>
      </c>
      <c r="D205" s="13">
        <v>19.7</v>
      </c>
      <c r="E205" s="13">
        <v>124.3228602383532</v>
      </c>
      <c r="F205" s="13"/>
      <c r="G205" s="13"/>
      <c r="H205" s="13">
        <v>19.13</v>
      </c>
      <c r="I205" s="13">
        <v>-115.3</v>
      </c>
      <c r="J205" s="13"/>
      <c r="K205" s="13"/>
    </row>
    <row r="206" spans="1:11" x14ac:dyDescent="0.25">
      <c r="A206" s="10">
        <v>40120</v>
      </c>
      <c r="B206" s="15">
        <f t="shared" si="6"/>
        <v>11</v>
      </c>
      <c r="C206" s="15">
        <f t="shared" si="7"/>
        <v>2009</v>
      </c>
      <c r="D206" s="13">
        <v>19.7</v>
      </c>
      <c r="E206" s="13">
        <v>124.77912192469756</v>
      </c>
      <c r="F206" s="13"/>
      <c r="G206" s="13"/>
      <c r="H206" s="13">
        <v>19.13</v>
      </c>
      <c r="I206" s="13">
        <v>-115.3</v>
      </c>
      <c r="J206" s="13"/>
      <c r="K206" s="13"/>
    </row>
    <row r="207" spans="1:11" x14ac:dyDescent="0.25">
      <c r="A207" s="10">
        <v>40121</v>
      </c>
      <c r="B207" s="15">
        <f t="shared" si="6"/>
        <v>11</v>
      </c>
      <c r="C207" s="15">
        <f t="shared" si="7"/>
        <v>2009</v>
      </c>
      <c r="D207" s="13">
        <v>19.7</v>
      </c>
      <c r="E207" s="13">
        <v>123.42027426727614</v>
      </c>
      <c r="F207" s="13"/>
      <c r="G207" s="13"/>
      <c r="H207" s="13">
        <v>19.13</v>
      </c>
      <c r="I207" s="13">
        <v>-115.3</v>
      </c>
      <c r="J207" s="13"/>
      <c r="K207" s="13"/>
    </row>
    <row r="208" spans="1:11" x14ac:dyDescent="0.25">
      <c r="A208" s="10">
        <v>40122</v>
      </c>
      <c r="B208" s="15">
        <f t="shared" si="6"/>
        <v>11</v>
      </c>
      <c r="C208" s="15">
        <f t="shared" si="7"/>
        <v>2009</v>
      </c>
      <c r="D208" s="13">
        <v>19.7</v>
      </c>
      <c r="E208" s="13">
        <v>123.38709677419355</v>
      </c>
      <c r="F208" s="13"/>
      <c r="G208" s="13"/>
      <c r="H208" s="13">
        <v>19.13</v>
      </c>
      <c r="I208" s="13">
        <v>-115.3</v>
      </c>
      <c r="J208" s="13"/>
      <c r="K208" s="13"/>
    </row>
    <row r="209" spans="1:11" x14ac:dyDescent="0.25">
      <c r="A209" s="10">
        <v>40123</v>
      </c>
      <c r="B209" s="15">
        <f t="shared" si="6"/>
        <v>11</v>
      </c>
      <c r="C209" s="15">
        <f t="shared" si="7"/>
        <v>2009</v>
      </c>
      <c r="D209" s="13">
        <v>19.7</v>
      </c>
      <c r="E209" s="13">
        <v>123.66134572640938</v>
      </c>
      <c r="F209" s="13"/>
      <c r="G209" s="13"/>
      <c r="H209" s="13">
        <v>19.13</v>
      </c>
      <c r="I209" s="13">
        <v>-115.3</v>
      </c>
      <c r="J209" s="13"/>
      <c r="K209" s="13"/>
    </row>
    <row r="210" spans="1:11" x14ac:dyDescent="0.25">
      <c r="A210" s="10">
        <v>40126</v>
      </c>
      <c r="B210" s="15">
        <f t="shared" si="6"/>
        <v>11</v>
      </c>
      <c r="C210" s="15">
        <f t="shared" si="7"/>
        <v>2009</v>
      </c>
      <c r="D210" s="13">
        <v>28.7</v>
      </c>
      <c r="E210" s="13">
        <v>116.55439204962315</v>
      </c>
      <c r="F210" s="13"/>
      <c r="G210" s="13"/>
      <c r="H210" s="13">
        <v>11.87</v>
      </c>
      <c r="I210" s="13">
        <v>-102.5</v>
      </c>
      <c r="J210" s="13"/>
      <c r="K210" s="13"/>
    </row>
    <row r="211" spans="1:11" x14ac:dyDescent="0.25">
      <c r="A211" s="10">
        <v>40127</v>
      </c>
      <c r="B211" s="15">
        <f t="shared" si="6"/>
        <v>11</v>
      </c>
      <c r="C211" s="15">
        <f t="shared" si="7"/>
        <v>2009</v>
      </c>
      <c r="D211" s="13">
        <v>28.7</v>
      </c>
      <c r="E211" s="13">
        <v>116.63996796155386</v>
      </c>
      <c r="F211" s="13"/>
      <c r="G211" s="13"/>
      <c r="H211" s="13">
        <v>11.87</v>
      </c>
      <c r="I211" s="13">
        <v>-102.5</v>
      </c>
      <c r="J211" s="13"/>
      <c r="K211" s="13"/>
    </row>
    <row r="212" spans="1:11" x14ac:dyDescent="0.25">
      <c r="A212" s="10">
        <v>40128</v>
      </c>
      <c r="B212" s="15">
        <f t="shared" si="6"/>
        <v>11</v>
      </c>
      <c r="C212" s="15">
        <f t="shared" si="7"/>
        <v>2009</v>
      </c>
      <c r="D212" s="13">
        <v>28.7</v>
      </c>
      <c r="E212" s="13">
        <v>116.64775382150724</v>
      </c>
      <c r="F212" s="13"/>
      <c r="G212" s="13"/>
      <c r="H212" s="13">
        <v>11.87</v>
      </c>
      <c r="I212" s="13">
        <v>-102.5</v>
      </c>
      <c r="J212" s="13"/>
      <c r="K212" s="13"/>
    </row>
    <row r="213" spans="1:11" x14ac:dyDescent="0.25">
      <c r="A213" s="10">
        <v>40129</v>
      </c>
      <c r="B213" s="15">
        <f t="shared" si="6"/>
        <v>11</v>
      </c>
      <c r="C213" s="15">
        <f t="shared" si="7"/>
        <v>2009</v>
      </c>
      <c r="D213" s="13">
        <v>28.7</v>
      </c>
      <c r="E213" s="13">
        <v>117.74019673898397</v>
      </c>
      <c r="F213" s="13"/>
      <c r="G213" s="13"/>
      <c r="H213" s="13">
        <v>11.87</v>
      </c>
      <c r="I213" s="13">
        <v>-102.5</v>
      </c>
      <c r="J213" s="13"/>
      <c r="K213" s="13"/>
    </row>
    <row r="214" spans="1:11" x14ac:dyDescent="0.25">
      <c r="A214" s="10">
        <v>40130</v>
      </c>
      <c r="B214" s="15">
        <f t="shared" si="6"/>
        <v>11</v>
      </c>
      <c r="C214" s="15">
        <f t="shared" si="7"/>
        <v>2009</v>
      </c>
      <c r="D214" s="13">
        <v>28.7</v>
      </c>
      <c r="E214" s="13">
        <v>117.17178490009387</v>
      </c>
      <c r="F214" s="13"/>
      <c r="G214" s="13"/>
      <c r="H214" s="13">
        <v>11.87</v>
      </c>
      <c r="I214" s="13">
        <v>-102.5</v>
      </c>
      <c r="J214" s="13"/>
      <c r="K214" s="13"/>
    </row>
    <row r="215" spans="1:11" x14ac:dyDescent="0.25">
      <c r="A215" s="10">
        <v>40133</v>
      </c>
      <c r="B215" s="15">
        <f t="shared" si="6"/>
        <v>11</v>
      </c>
      <c r="C215" s="15">
        <f t="shared" si="7"/>
        <v>2009</v>
      </c>
      <c r="D215" s="13">
        <v>41.1</v>
      </c>
      <c r="E215" s="13">
        <v>117.15316278137732</v>
      </c>
      <c r="F215" s="13"/>
      <c r="G215" s="13"/>
      <c r="H215" s="13">
        <v>25.95</v>
      </c>
      <c r="I215" s="13">
        <v>-97.1</v>
      </c>
      <c r="J215" s="13"/>
      <c r="K215" s="13"/>
    </row>
    <row r="216" spans="1:11" x14ac:dyDescent="0.25">
      <c r="A216" s="10">
        <v>40134</v>
      </c>
      <c r="B216" s="15">
        <f t="shared" si="6"/>
        <v>11</v>
      </c>
      <c r="C216" s="15">
        <f t="shared" si="7"/>
        <v>2009</v>
      </c>
      <c r="D216" s="13">
        <v>41.1</v>
      </c>
      <c r="E216" s="13">
        <v>117.97269119526467</v>
      </c>
      <c r="F216" s="13"/>
      <c r="G216" s="13"/>
      <c r="H216" s="13">
        <v>25.95</v>
      </c>
      <c r="I216" s="13">
        <v>-97.1</v>
      </c>
      <c r="J216" s="13"/>
      <c r="K216" s="13"/>
    </row>
    <row r="217" spans="1:11" x14ac:dyDescent="0.25">
      <c r="A217" s="10">
        <v>40135</v>
      </c>
      <c r="B217" s="15">
        <f t="shared" si="6"/>
        <v>11</v>
      </c>
      <c r="C217" s="15">
        <f t="shared" si="7"/>
        <v>2009</v>
      </c>
      <c r="D217" s="13">
        <v>41.1</v>
      </c>
      <c r="E217" s="13">
        <v>117.20796578454959</v>
      </c>
      <c r="F217" s="13"/>
      <c r="G217" s="13"/>
      <c r="H217" s="13">
        <v>25.95</v>
      </c>
      <c r="I217" s="13">
        <v>-97.1</v>
      </c>
      <c r="J217" s="13"/>
      <c r="K217" s="13"/>
    </row>
    <row r="218" spans="1:11" x14ac:dyDescent="0.25">
      <c r="A218" s="10">
        <v>40136</v>
      </c>
      <c r="B218" s="15">
        <f t="shared" si="6"/>
        <v>11</v>
      </c>
      <c r="C218" s="15">
        <f t="shared" si="7"/>
        <v>2009</v>
      </c>
      <c r="D218" s="13">
        <v>41.1</v>
      </c>
      <c r="E218" s="13">
        <v>117.56937927336104</v>
      </c>
      <c r="F218" s="13"/>
      <c r="G218" s="13"/>
      <c r="H218" s="13">
        <v>25.95</v>
      </c>
      <c r="I218" s="13">
        <v>-97.1</v>
      </c>
      <c r="J218" s="13"/>
      <c r="K218" s="13"/>
    </row>
    <row r="219" spans="1:11" x14ac:dyDescent="0.25">
      <c r="A219" s="10">
        <v>40137</v>
      </c>
      <c r="B219" s="15">
        <f t="shared" si="6"/>
        <v>11</v>
      </c>
      <c r="C219" s="15">
        <f t="shared" si="7"/>
        <v>2009</v>
      </c>
      <c r="D219" s="13">
        <v>41.1</v>
      </c>
      <c r="E219" s="13">
        <v>118.02826379542395</v>
      </c>
      <c r="F219" s="13"/>
      <c r="G219" s="13"/>
      <c r="H219" s="13">
        <v>25.95</v>
      </c>
      <c r="I219" s="13">
        <v>-97.1</v>
      </c>
      <c r="J219" s="13"/>
      <c r="K219" s="13"/>
    </row>
    <row r="220" spans="1:11" x14ac:dyDescent="0.25">
      <c r="A220" s="10">
        <v>40140</v>
      </c>
      <c r="B220" s="15">
        <f t="shared" si="6"/>
        <v>11</v>
      </c>
      <c r="C220" s="15">
        <f t="shared" si="7"/>
        <v>2009</v>
      </c>
      <c r="D220" s="13">
        <v>43.7</v>
      </c>
      <c r="E220" s="13">
        <v>118.36952890076846</v>
      </c>
      <c r="F220" s="13"/>
      <c r="G220" s="13"/>
      <c r="H220" s="13">
        <v>1.65</v>
      </c>
      <c r="I220" s="13">
        <v>-97.6</v>
      </c>
      <c r="J220" s="13"/>
      <c r="K220" s="13"/>
    </row>
    <row r="221" spans="1:11" x14ac:dyDescent="0.25">
      <c r="A221" s="10">
        <v>40141</v>
      </c>
      <c r="B221" s="15">
        <f t="shared" si="6"/>
        <v>11</v>
      </c>
      <c r="C221" s="15">
        <f t="shared" si="7"/>
        <v>2009</v>
      </c>
      <c r="D221" s="13">
        <v>43.7</v>
      </c>
      <c r="E221" s="13">
        <v>118.40909090909091</v>
      </c>
      <c r="F221" s="13"/>
      <c r="G221" s="13"/>
      <c r="H221" s="13">
        <v>1.65</v>
      </c>
      <c r="I221" s="13">
        <v>-97.6</v>
      </c>
      <c r="J221" s="13"/>
      <c r="K221" s="13"/>
    </row>
    <row r="222" spans="1:11" x14ac:dyDescent="0.25">
      <c r="A222" s="10">
        <v>40142</v>
      </c>
      <c r="B222" s="15">
        <f t="shared" si="6"/>
        <v>11</v>
      </c>
      <c r="C222" s="15">
        <f t="shared" si="7"/>
        <v>2009</v>
      </c>
      <c r="D222" s="13">
        <v>43.7</v>
      </c>
      <c r="E222" s="13">
        <v>117.00904947486623</v>
      </c>
      <c r="F222" s="13"/>
      <c r="G222" s="13"/>
      <c r="H222" s="13">
        <v>1.65</v>
      </c>
      <c r="I222" s="13">
        <v>-97.6</v>
      </c>
      <c r="J222" s="13"/>
      <c r="K222" s="13"/>
    </row>
    <row r="223" spans="1:11" x14ac:dyDescent="0.25">
      <c r="A223" s="10">
        <v>40144</v>
      </c>
      <c r="B223" s="15">
        <f t="shared" si="6"/>
        <v>11</v>
      </c>
      <c r="C223" s="15">
        <f t="shared" si="7"/>
        <v>2009</v>
      </c>
      <c r="D223" s="13">
        <v>43.7</v>
      </c>
      <c r="E223" s="13">
        <v>118.36952890076846</v>
      </c>
      <c r="F223" s="13"/>
      <c r="G223" s="13"/>
      <c r="H223" s="13">
        <v>1.65</v>
      </c>
      <c r="I223" s="13">
        <v>-97.6</v>
      </c>
      <c r="J223" s="13"/>
      <c r="K223" s="13"/>
    </row>
    <row r="224" spans="1:11" x14ac:dyDescent="0.25">
      <c r="A224" s="10">
        <v>40147</v>
      </c>
      <c r="B224" s="15">
        <f t="shared" si="6"/>
        <v>11</v>
      </c>
      <c r="C224" s="15">
        <f t="shared" si="7"/>
        <v>2009</v>
      </c>
      <c r="D224" s="13">
        <v>38.799999999999997</v>
      </c>
      <c r="E224" s="13">
        <v>112.2476177783701</v>
      </c>
      <c r="F224" s="13"/>
      <c r="G224" s="13"/>
      <c r="H224" s="13">
        <v>15.6</v>
      </c>
      <c r="I224" s="13">
        <v>-117.2</v>
      </c>
      <c r="J224" s="13"/>
      <c r="K224" s="13"/>
    </row>
    <row r="225" spans="1:11" x14ac:dyDescent="0.25">
      <c r="A225" s="10">
        <v>40148</v>
      </c>
      <c r="B225" s="15">
        <f t="shared" si="6"/>
        <v>12</v>
      </c>
      <c r="C225" s="15">
        <f t="shared" si="7"/>
        <v>2009</v>
      </c>
      <c r="D225" s="13">
        <v>38.799999999999997</v>
      </c>
      <c r="E225" s="13">
        <v>111.65241598727381</v>
      </c>
      <c r="F225" s="13"/>
      <c r="G225" s="13"/>
      <c r="H225" s="13">
        <v>15.6</v>
      </c>
      <c r="I225" s="13">
        <v>-117.2</v>
      </c>
      <c r="J225" s="13"/>
      <c r="K225" s="13"/>
    </row>
    <row r="226" spans="1:11" x14ac:dyDescent="0.25">
      <c r="A226" s="10">
        <v>40149</v>
      </c>
      <c r="B226" s="15">
        <f t="shared" si="6"/>
        <v>12</v>
      </c>
      <c r="C226" s="15">
        <f t="shared" si="7"/>
        <v>2009</v>
      </c>
      <c r="D226" s="13">
        <v>38.799999999999997</v>
      </c>
      <c r="E226" s="13">
        <v>111.97155011964902</v>
      </c>
      <c r="F226" s="13"/>
      <c r="G226" s="13"/>
      <c r="H226" s="13">
        <v>15.6</v>
      </c>
      <c r="I226" s="13">
        <v>-117.2</v>
      </c>
      <c r="J226" s="13"/>
      <c r="K226" s="13"/>
    </row>
    <row r="227" spans="1:11" x14ac:dyDescent="0.25">
      <c r="A227" s="10">
        <v>40150</v>
      </c>
      <c r="B227" s="15">
        <f t="shared" si="6"/>
        <v>12</v>
      </c>
      <c r="C227" s="15">
        <f t="shared" si="7"/>
        <v>2009</v>
      </c>
      <c r="D227" s="13">
        <v>38.799999999999997</v>
      </c>
      <c r="E227" s="13">
        <v>111.79320414122644</v>
      </c>
      <c r="F227" s="13"/>
      <c r="G227" s="13"/>
      <c r="H227" s="13">
        <v>15.6</v>
      </c>
      <c r="I227" s="13">
        <v>-117.2</v>
      </c>
      <c r="J227" s="13"/>
      <c r="K227" s="13"/>
    </row>
    <row r="228" spans="1:11" x14ac:dyDescent="0.25">
      <c r="A228" s="10">
        <v>40151</v>
      </c>
      <c r="B228" s="15">
        <f t="shared" si="6"/>
        <v>12</v>
      </c>
      <c r="C228" s="15">
        <f t="shared" si="7"/>
        <v>2009</v>
      </c>
      <c r="D228" s="13">
        <v>38.799999999999997</v>
      </c>
      <c r="E228" s="13">
        <v>113.43434343434342</v>
      </c>
      <c r="F228" s="13"/>
      <c r="G228" s="13"/>
      <c r="H228" s="13">
        <v>15.6</v>
      </c>
      <c r="I228" s="13">
        <v>-117.2</v>
      </c>
      <c r="J228" s="13"/>
      <c r="K228" s="13"/>
    </row>
    <row r="229" spans="1:11" x14ac:dyDescent="0.25">
      <c r="A229" s="10">
        <v>40154</v>
      </c>
      <c r="B229" s="15">
        <f t="shared" si="6"/>
        <v>12</v>
      </c>
      <c r="C229" s="15">
        <f t="shared" si="7"/>
        <v>2009</v>
      </c>
      <c r="D229" s="13">
        <v>30.2</v>
      </c>
      <c r="E229" s="13">
        <v>115.60834064376813</v>
      </c>
      <c r="F229" s="13"/>
      <c r="G229" s="13"/>
      <c r="H229" s="13">
        <v>13.59</v>
      </c>
      <c r="I229" s="13">
        <v>-119</v>
      </c>
      <c r="J229" s="13"/>
      <c r="K229" s="13"/>
    </row>
    <row r="230" spans="1:11" x14ac:dyDescent="0.25">
      <c r="A230" s="10">
        <v>40155</v>
      </c>
      <c r="B230" s="15">
        <f t="shared" si="6"/>
        <v>12</v>
      </c>
      <c r="C230" s="15">
        <f t="shared" si="7"/>
        <v>2009</v>
      </c>
      <c r="D230" s="13">
        <v>30.2</v>
      </c>
      <c r="E230" s="13">
        <v>116.56007620084365</v>
      </c>
      <c r="F230" s="13"/>
      <c r="G230" s="13"/>
      <c r="H230" s="13">
        <v>13.59</v>
      </c>
      <c r="I230" s="13">
        <v>-119</v>
      </c>
      <c r="J230" s="13"/>
      <c r="K230" s="13"/>
    </row>
    <row r="231" spans="1:11" x14ac:dyDescent="0.25">
      <c r="A231" s="10">
        <v>40156</v>
      </c>
      <c r="B231" s="15">
        <f t="shared" si="6"/>
        <v>12</v>
      </c>
      <c r="C231" s="15">
        <f t="shared" si="7"/>
        <v>2009</v>
      </c>
      <c r="D231" s="13">
        <v>30.2</v>
      </c>
      <c r="E231" s="13">
        <v>116.35425156207552</v>
      </c>
      <c r="F231" s="13"/>
      <c r="G231" s="13"/>
      <c r="H231" s="13">
        <v>13.59</v>
      </c>
      <c r="I231" s="13">
        <v>-119</v>
      </c>
      <c r="J231" s="13"/>
      <c r="K231" s="13"/>
    </row>
    <row r="232" spans="1:11" x14ac:dyDescent="0.25">
      <c r="A232" s="10">
        <v>40157</v>
      </c>
      <c r="B232" s="15">
        <f t="shared" si="6"/>
        <v>12</v>
      </c>
      <c r="C232" s="15">
        <f t="shared" si="7"/>
        <v>2009</v>
      </c>
      <c r="D232" s="13">
        <v>30.2</v>
      </c>
      <c r="E232" s="13">
        <v>116.27528166146327</v>
      </c>
      <c r="F232" s="13"/>
      <c r="G232" s="13"/>
      <c r="H232" s="13">
        <v>13.59</v>
      </c>
      <c r="I232" s="13">
        <v>-119</v>
      </c>
      <c r="J232" s="13"/>
      <c r="K232" s="13"/>
    </row>
    <row r="233" spans="1:11" x14ac:dyDescent="0.25">
      <c r="A233" s="10">
        <v>40158</v>
      </c>
      <c r="B233" s="15">
        <f t="shared" si="6"/>
        <v>12</v>
      </c>
      <c r="C233" s="15">
        <f t="shared" si="7"/>
        <v>2009</v>
      </c>
      <c r="D233" s="13">
        <v>30.2</v>
      </c>
      <c r="E233" s="13">
        <v>117.17392791190753</v>
      </c>
      <c r="F233" s="13"/>
      <c r="G233" s="13"/>
      <c r="H233" s="13">
        <v>13.59</v>
      </c>
      <c r="I233" s="13">
        <v>-119</v>
      </c>
      <c r="J233" s="13"/>
      <c r="K233" s="13"/>
    </row>
    <row r="234" spans="1:11" x14ac:dyDescent="0.25">
      <c r="A234" s="10">
        <v>40161</v>
      </c>
      <c r="B234" s="15">
        <f t="shared" si="6"/>
        <v>12</v>
      </c>
      <c r="C234" s="15">
        <f t="shared" si="7"/>
        <v>2009</v>
      </c>
      <c r="D234" s="13">
        <v>21.1</v>
      </c>
      <c r="E234" s="13">
        <v>114.28863868986694</v>
      </c>
      <c r="F234" s="13"/>
      <c r="G234" s="13"/>
      <c r="H234" s="13">
        <v>23.95</v>
      </c>
      <c r="I234" s="13">
        <v>-127</v>
      </c>
      <c r="J234" s="13"/>
      <c r="K234" s="13"/>
    </row>
    <row r="235" spans="1:11" x14ac:dyDescent="0.25">
      <c r="A235" s="10">
        <v>40162</v>
      </c>
      <c r="B235" s="15">
        <f t="shared" si="6"/>
        <v>12</v>
      </c>
      <c r="C235" s="15">
        <f t="shared" si="7"/>
        <v>2009</v>
      </c>
      <c r="D235" s="13">
        <v>21.1</v>
      </c>
      <c r="E235" s="13">
        <v>115.2480561480768</v>
      </c>
      <c r="F235" s="13"/>
      <c r="G235" s="13"/>
      <c r="H235" s="13">
        <v>23.95</v>
      </c>
      <c r="I235" s="13">
        <v>-127</v>
      </c>
      <c r="J235" s="13"/>
      <c r="K235" s="13"/>
    </row>
    <row r="236" spans="1:11" x14ac:dyDescent="0.25">
      <c r="A236" s="10">
        <v>40163</v>
      </c>
      <c r="B236" s="15">
        <f t="shared" si="6"/>
        <v>12</v>
      </c>
      <c r="C236" s="15">
        <f t="shared" si="7"/>
        <v>2009</v>
      </c>
      <c r="D236" s="13">
        <v>21.1</v>
      </c>
      <c r="E236" s="13">
        <v>115.2242707760044</v>
      </c>
      <c r="F236" s="13"/>
      <c r="G236" s="13"/>
      <c r="H236" s="13">
        <v>23.95</v>
      </c>
      <c r="I236" s="13">
        <v>-127</v>
      </c>
      <c r="J236" s="13"/>
      <c r="K236" s="13"/>
    </row>
    <row r="237" spans="1:11" x14ac:dyDescent="0.25">
      <c r="A237" s="10">
        <v>40164</v>
      </c>
      <c r="B237" s="15">
        <f t="shared" si="6"/>
        <v>12</v>
      </c>
      <c r="C237" s="15">
        <f t="shared" si="7"/>
        <v>2009</v>
      </c>
      <c r="D237" s="13">
        <v>21.1</v>
      </c>
      <c r="E237" s="13">
        <v>116.76659230340213</v>
      </c>
      <c r="F237" s="13"/>
      <c r="G237" s="13"/>
      <c r="H237" s="13">
        <v>23.95</v>
      </c>
      <c r="I237" s="13">
        <v>-127</v>
      </c>
      <c r="J237" s="13"/>
      <c r="K237" s="13"/>
    </row>
    <row r="238" spans="1:11" x14ac:dyDescent="0.25">
      <c r="A238" s="10">
        <v>40165</v>
      </c>
      <c r="B238" s="15">
        <f t="shared" si="6"/>
        <v>12</v>
      </c>
      <c r="C238" s="15">
        <f t="shared" si="7"/>
        <v>2009</v>
      </c>
      <c r="D238" s="13">
        <v>21.1</v>
      </c>
      <c r="E238" s="13">
        <v>116.79101875740884</v>
      </c>
      <c r="F238" s="13"/>
      <c r="G238" s="13"/>
      <c r="H238" s="13">
        <v>23.95</v>
      </c>
      <c r="I238" s="13">
        <v>-127</v>
      </c>
      <c r="J238" s="13"/>
      <c r="K238" s="13"/>
    </row>
    <row r="239" spans="1:11" x14ac:dyDescent="0.25">
      <c r="A239" s="10">
        <v>40168</v>
      </c>
      <c r="B239" s="15">
        <f t="shared" si="6"/>
        <v>12</v>
      </c>
      <c r="C239" s="15">
        <f t="shared" si="7"/>
        <v>2009</v>
      </c>
      <c r="D239" s="13">
        <v>18.5</v>
      </c>
      <c r="E239" s="13">
        <v>116.73317930406778</v>
      </c>
      <c r="F239" s="13"/>
      <c r="G239" s="13"/>
      <c r="H239" s="13">
        <v>25.4</v>
      </c>
      <c r="I239" s="13">
        <v>-108.2</v>
      </c>
      <c r="J239" s="13"/>
      <c r="K239" s="13"/>
    </row>
    <row r="240" spans="1:11" x14ac:dyDescent="0.25">
      <c r="A240" s="10">
        <v>40169</v>
      </c>
      <c r="B240" s="15">
        <f t="shared" si="6"/>
        <v>12</v>
      </c>
      <c r="C240" s="15">
        <f t="shared" si="7"/>
        <v>2009</v>
      </c>
      <c r="D240" s="13">
        <v>18.5</v>
      </c>
      <c r="E240" s="13">
        <v>117.01172012071021</v>
      </c>
      <c r="F240" s="13"/>
      <c r="G240" s="13"/>
      <c r="H240" s="13">
        <v>25.4</v>
      </c>
      <c r="I240" s="13">
        <v>-108.2</v>
      </c>
      <c r="J240" s="13"/>
      <c r="K240" s="13"/>
    </row>
    <row r="241" spans="1:11" x14ac:dyDescent="0.25">
      <c r="A241" s="10">
        <v>40170</v>
      </c>
      <c r="B241" s="15">
        <f t="shared" si="6"/>
        <v>12</v>
      </c>
      <c r="C241" s="15">
        <f t="shared" si="7"/>
        <v>2009</v>
      </c>
      <c r="D241" s="13">
        <v>18.5</v>
      </c>
      <c r="E241" s="13">
        <v>116.3828005025827</v>
      </c>
      <c r="F241" s="13"/>
      <c r="G241" s="13"/>
      <c r="H241" s="13">
        <v>25.4</v>
      </c>
      <c r="I241" s="13">
        <v>-108.2</v>
      </c>
      <c r="J241" s="13"/>
      <c r="K241" s="13"/>
    </row>
    <row r="242" spans="1:11" x14ac:dyDescent="0.25">
      <c r="A242" s="10">
        <v>40171</v>
      </c>
      <c r="B242" s="15">
        <f t="shared" si="6"/>
        <v>12</v>
      </c>
      <c r="C242" s="15">
        <f t="shared" si="7"/>
        <v>2009</v>
      </c>
      <c r="D242" s="13">
        <v>18.5</v>
      </c>
      <c r="E242" s="13">
        <v>115.994156115208</v>
      </c>
      <c r="F242" s="13"/>
      <c r="G242" s="13"/>
      <c r="H242" s="13">
        <v>25.4</v>
      </c>
      <c r="I242" s="13">
        <v>-108.2</v>
      </c>
      <c r="J242" s="13"/>
      <c r="K242" s="13"/>
    </row>
    <row r="243" spans="1:11" x14ac:dyDescent="0.25">
      <c r="A243" s="10">
        <v>40175</v>
      </c>
      <c r="B243" s="15">
        <f t="shared" si="6"/>
        <v>12</v>
      </c>
      <c r="C243" s="15">
        <f t="shared" si="7"/>
        <v>2009</v>
      </c>
      <c r="D243" s="13">
        <v>12.6</v>
      </c>
      <c r="E243" s="13">
        <v>117.57057432902239</v>
      </c>
      <c r="F243" s="13"/>
      <c r="G243" s="13"/>
      <c r="H243" s="13">
        <v>22.92</v>
      </c>
      <c r="I243" s="13">
        <v>-114.3</v>
      </c>
      <c r="J243" s="13"/>
      <c r="K243" s="13"/>
    </row>
    <row r="244" spans="1:11" x14ac:dyDescent="0.25">
      <c r="A244" s="10">
        <v>40176</v>
      </c>
      <c r="B244" s="15">
        <f t="shared" si="6"/>
        <v>12</v>
      </c>
      <c r="C244" s="15">
        <f t="shared" si="7"/>
        <v>2009</v>
      </c>
      <c r="D244" s="13">
        <v>12.6</v>
      </c>
      <c r="E244" s="13">
        <v>117.81633221850613</v>
      </c>
      <c r="F244" s="13"/>
      <c r="G244" s="13"/>
      <c r="H244" s="13">
        <v>22.92</v>
      </c>
      <c r="I244" s="13">
        <v>-114.3</v>
      </c>
      <c r="J244" s="13"/>
      <c r="K244" s="13"/>
    </row>
    <row r="245" spans="1:11" x14ac:dyDescent="0.25">
      <c r="A245" s="10">
        <v>40177</v>
      </c>
      <c r="B245" s="15">
        <f t="shared" si="6"/>
        <v>12</v>
      </c>
      <c r="C245" s="15">
        <f t="shared" si="7"/>
        <v>2009</v>
      </c>
      <c r="D245" s="13">
        <v>12.6</v>
      </c>
      <c r="E245" s="13">
        <v>117.98074239464137</v>
      </c>
      <c r="F245" s="13"/>
      <c r="G245" s="13"/>
      <c r="H245" s="13">
        <v>22.92</v>
      </c>
      <c r="I245" s="13">
        <v>-114.3</v>
      </c>
      <c r="J245" s="13"/>
      <c r="K245" s="13"/>
    </row>
    <row r="246" spans="1:11" x14ac:dyDescent="0.25">
      <c r="A246" s="10">
        <v>40178</v>
      </c>
      <c r="B246" s="15">
        <f t="shared" si="6"/>
        <v>12</v>
      </c>
      <c r="C246" s="15">
        <f t="shared" si="7"/>
        <v>2009</v>
      </c>
      <c r="D246" s="13">
        <v>12.6</v>
      </c>
      <c r="E246" s="13">
        <v>118.11260128527522</v>
      </c>
      <c r="F246" s="13"/>
      <c r="G246" s="13"/>
      <c r="H246" s="13">
        <v>22.92</v>
      </c>
      <c r="I246" s="13">
        <v>-114.3</v>
      </c>
      <c r="J246" s="13"/>
      <c r="K246" s="13"/>
    </row>
    <row r="247" spans="1:11" x14ac:dyDescent="0.25">
      <c r="A247" s="10">
        <v>40182</v>
      </c>
      <c r="B247" s="15">
        <f t="shared" si="6"/>
        <v>1</v>
      </c>
      <c r="C247" s="15">
        <f t="shared" si="7"/>
        <v>2010</v>
      </c>
      <c r="D247" s="13">
        <v>26.2</v>
      </c>
      <c r="E247" s="13">
        <v>124.32169870238012</v>
      </c>
      <c r="F247" s="13"/>
      <c r="G247" s="13"/>
      <c r="H247" s="13">
        <v>38.03</v>
      </c>
      <c r="I247" s="13">
        <v>-114.7</v>
      </c>
      <c r="J247" s="13"/>
      <c r="K247" s="13"/>
    </row>
    <row r="248" spans="1:11" x14ac:dyDescent="0.25">
      <c r="A248" s="10">
        <v>40183</v>
      </c>
      <c r="B248" s="15">
        <f t="shared" si="6"/>
        <v>1</v>
      </c>
      <c r="C248" s="15">
        <f t="shared" si="7"/>
        <v>2010</v>
      </c>
      <c r="D248" s="13">
        <v>26.2</v>
      </c>
      <c r="E248" s="13">
        <v>124.69376391982182</v>
      </c>
      <c r="F248" s="13"/>
      <c r="G248" s="13"/>
      <c r="H248" s="13">
        <v>38.03</v>
      </c>
      <c r="I248" s="13">
        <v>-114.7</v>
      </c>
      <c r="J248" s="13"/>
      <c r="K248" s="13"/>
    </row>
    <row r="249" spans="1:11" x14ac:dyDescent="0.25">
      <c r="A249" s="10">
        <v>40184</v>
      </c>
      <c r="B249" s="15">
        <f t="shared" si="6"/>
        <v>1</v>
      </c>
      <c r="C249" s="15">
        <f t="shared" si="7"/>
        <v>2010</v>
      </c>
      <c r="D249" s="13">
        <v>26.2</v>
      </c>
      <c r="E249" s="13">
        <v>124.31307243963363</v>
      </c>
      <c r="F249" s="13"/>
      <c r="G249" s="13"/>
      <c r="H249" s="13">
        <v>38.03</v>
      </c>
      <c r="I249" s="13">
        <v>-114.7</v>
      </c>
      <c r="J249" s="13"/>
      <c r="K249" s="13"/>
    </row>
    <row r="250" spans="1:11" x14ac:dyDescent="0.25">
      <c r="A250" s="10">
        <v>40185</v>
      </c>
      <c r="B250" s="15">
        <f t="shared" si="6"/>
        <v>1</v>
      </c>
      <c r="C250" s="15">
        <f t="shared" si="7"/>
        <v>2010</v>
      </c>
      <c r="D250" s="13">
        <v>26.2</v>
      </c>
      <c r="E250" s="13">
        <v>125.12920798994273</v>
      </c>
      <c r="F250" s="13"/>
      <c r="G250" s="13"/>
      <c r="H250" s="13">
        <v>38.03</v>
      </c>
      <c r="I250" s="13">
        <v>-114.7</v>
      </c>
      <c r="J250" s="13"/>
      <c r="K250" s="13"/>
    </row>
    <row r="251" spans="1:11" x14ac:dyDescent="0.25">
      <c r="A251" s="10">
        <v>40186</v>
      </c>
      <c r="B251" s="15">
        <f t="shared" si="6"/>
        <v>1</v>
      </c>
      <c r="C251" s="15">
        <f t="shared" si="7"/>
        <v>2010</v>
      </c>
      <c r="D251" s="13">
        <v>26.2</v>
      </c>
      <c r="E251" s="13">
        <v>124.31307243963363</v>
      </c>
      <c r="F251" s="13"/>
      <c r="G251" s="13"/>
      <c r="H251" s="13">
        <v>38.03</v>
      </c>
      <c r="I251" s="13">
        <v>-114.7</v>
      </c>
      <c r="J251" s="13"/>
      <c r="K251" s="13"/>
    </row>
    <row r="252" spans="1:11" x14ac:dyDescent="0.25">
      <c r="A252" s="10">
        <v>40189</v>
      </c>
      <c r="B252" s="15">
        <f t="shared" si="6"/>
        <v>1</v>
      </c>
      <c r="C252" s="15">
        <f t="shared" si="7"/>
        <v>2010</v>
      </c>
      <c r="D252" s="13">
        <v>19.899999999999999</v>
      </c>
      <c r="E252" s="13">
        <v>115.66871081099704</v>
      </c>
      <c r="F252" s="13"/>
      <c r="G252" s="13"/>
      <c r="H252" s="13">
        <v>35.26</v>
      </c>
      <c r="I252" s="13">
        <v>-105.8</v>
      </c>
      <c r="J252" s="13"/>
      <c r="K252" s="13"/>
    </row>
    <row r="253" spans="1:11" x14ac:dyDescent="0.25">
      <c r="A253" s="10">
        <v>40190</v>
      </c>
      <c r="B253" s="15">
        <f t="shared" si="6"/>
        <v>1</v>
      </c>
      <c r="C253" s="15">
        <f t="shared" si="7"/>
        <v>2010</v>
      </c>
      <c r="D253" s="13">
        <v>19.899999999999999</v>
      </c>
      <c r="E253" s="13">
        <v>115.82033945080723</v>
      </c>
      <c r="F253" s="13"/>
      <c r="G253" s="13"/>
      <c r="H253" s="13">
        <v>35.26</v>
      </c>
      <c r="I253" s="13">
        <v>-105.8</v>
      </c>
      <c r="J253" s="13"/>
      <c r="K253" s="13"/>
    </row>
    <row r="254" spans="1:11" x14ac:dyDescent="0.25">
      <c r="A254" s="10">
        <v>40191</v>
      </c>
      <c r="B254" s="15">
        <f t="shared" si="6"/>
        <v>1</v>
      </c>
      <c r="C254" s="15">
        <f t="shared" si="7"/>
        <v>2010</v>
      </c>
      <c r="D254" s="13">
        <v>19.899999999999999</v>
      </c>
      <c r="E254" s="13">
        <v>115.69262577532736</v>
      </c>
      <c r="F254" s="13"/>
      <c r="G254" s="13"/>
      <c r="H254" s="13">
        <v>35.26</v>
      </c>
      <c r="I254" s="13">
        <v>-105.8</v>
      </c>
      <c r="J254" s="13"/>
      <c r="K254" s="13"/>
    </row>
    <row r="255" spans="1:11" x14ac:dyDescent="0.25">
      <c r="A255" s="10">
        <v>40192</v>
      </c>
      <c r="B255" s="15">
        <f t="shared" si="6"/>
        <v>1</v>
      </c>
      <c r="C255" s="15">
        <f t="shared" si="7"/>
        <v>2010</v>
      </c>
      <c r="D255" s="13">
        <v>19.899999999999999</v>
      </c>
      <c r="E255" s="13">
        <v>115.75644738656737</v>
      </c>
      <c r="F255" s="13"/>
      <c r="G255" s="13"/>
      <c r="H255" s="13">
        <v>35.26</v>
      </c>
      <c r="I255" s="13">
        <v>-105.8</v>
      </c>
      <c r="J255" s="13"/>
      <c r="K255" s="13"/>
    </row>
    <row r="256" spans="1:11" x14ac:dyDescent="0.25">
      <c r="A256" s="10">
        <v>40193</v>
      </c>
      <c r="B256" s="15">
        <f t="shared" si="6"/>
        <v>1</v>
      </c>
      <c r="C256" s="15">
        <f t="shared" si="7"/>
        <v>2010</v>
      </c>
      <c r="D256" s="13">
        <v>19.899999999999999</v>
      </c>
      <c r="E256" s="13">
        <v>116.72229175358088</v>
      </c>
      <c r="F256" s="13"/>
      <c r="G256" s="13"/>
      <c r="H256" s="13">
        <v>35.26</v>
      </c>
      <c r="I256" s="13">
        <v>-105.8</v>
      </c>
      <c r="J256" s="13"/>
      <c r="K256" s="13"/>
    </row>
    <row r="257" spans="1:11" x14ac:dyDescent="0.25">
      <c r="A257" s="10">
        <v>40197</v>
      </c>
      <c r="B257" s="15">
        <f t="shared" si="6"/>
        <v>1</v>
      </c>
      <c r="C257" s="15">
        <f t="shared" si="7"/>
        <v>2010</v>
      </c>
      <c r="D257" s="13">
        <v>43.9</v>
      </c>
      <c r="E257" s="13">
        <v>121.24772695481887</v>
      </c>
      <c r="F257" s="13"/>
      <c r="G257" s="13"/>
      <c r="H257" s="13">
        <v>40.71</v>
      </c>
      <c r="I257" s="13">
        <v>-92.9</v>
      </c>
      <c r="J257" s="13"/>
      <c r="K257" s="13"/>
    </row>
    <row r="258" spans="1:11" x14ac:dyDescent="0.25">
      <c r="A258" s="10">
        <v>40198</v>
      </c>
      <c r="B258" s="15">
        <f t="shared" si="6"/>
        <v>1</v>
      </c>
      <c r="C258" s="15">
        <f t="shared" si="7"/>
        <v>2010</v>
      </c>
      <c r="D258" s="13">
        <v>43.9</v>
      </c>
      <c r="E258" s="13">
        <v>122.94163534501101</v>
      </c>
      <c r="F258" s="13"/>
      <c r="G258" s="13"/>
      <c r="H258" s="13">
        <v>40.71</v>
      </c>
      <c r="I258" s="13">
        <v>-92.9</v>
      </c>
      <c r="J258" s="13"/>
      <c r="K258" s="13"/>
    </row>
    <row r="259" spans="1:11" x14ac:dyDescent="0.25">
      <c r="A259" s="10">
        <v>40199</v>
      </c>
      <c r="B259" s="15">
        <f t="shared" ref="B259:B322" si="8">MONTH(A259)</f>
        <v>1</v>
      </c>
      <c r="C259" s="15">
        <f t="shared" ref="C259:C322" si="9">YEAR(A259)</f>
        <v>2010</v>
      </c>
      <c r="D259" s="13">
        <v>43.9</v>
      </c>
      <c r="E259" s="13">
        <v>123.0376153300213</v>
      </c>
      <c r="F259" s="13"/>
      <c r="G259" s="13"/>
      <c r="H259" s="13">
        <v>40.71</v>
      </c>
      <c r="I259" s="13">
        <v>-92.9</v>
      </c>
      <c r="J259" s="13"/>
      <c r="K259" s="13"/>
    </row>
    <row r="260" spans="1:11" x14ac:dyDescent="0.25">
      <c r="A260" s="10">
        <v>40200</v>
      </c>
      <c r="B260" s="15">
        <f t="shared" si="8"/>
        <v>1</v>
      </c>
      <c r="C260" s="15">
        <f t="shared" si="9"/>
        <v>2010</v>
      </c>
      <c r="D260" s="13">
        <v>43.9</v>
      </c>
      <c r="E260" s="13">
        <v>122.62856334441538</v>
      </c>
      <c r="F260" s="13"/>
      <c r="G260" s="13"/>
      <c r="H260" s="13">
        <v>40.71</v>
      </c>
      <c r="I260" s="13">
        <v>-92.9</v>
      </c>
      <c r="J260" s="13"/>
      <c r="K260" s="13"/>
    </row>
    <row r="261" spans="1:11" x14ac:dyDescent="0.25">
      <c r="A261" s="10">
        <v>40203</v>
      </c>
      <c r="B261" s="15">
        <f t="shared" si="8"/>
        <v>1</v>
      </c>
      <c r="C261" s="15">
        <f t="shared" si="9"/>
        <v>2010</v>
      </c>
      <c r="D261" s="13">
        <v>44.1</v>
      </c>
      <c r="E261" s="13">
        <v>119.46289752650176</v>
      </c>
      <c r="F261" s="13"/>
      <c r="G261" s="13"/>
      <c r="H261" s="13">
        <v>55.48</v>
      </c>
      <c r="I261" s="13">
        <v>-107.2</v>
      </c>
      <c r="J261" s="13"/>
      <c r="K261" s="13"/>
    </row>
    <row r="262" spans="1:11" x14ac:dyDescent="0.25">
      <c r="A262" s="10">
        <v>40204</v>
      </c>
      <c r="B262" s="15">
        <f t="shared" si="8"/>
        <v>1</v>
      </c>
      <c r="C262" s="15">
        <f t="shared" si="9"/>
        <v>2010</v>
      </c>
      <c r="D262" s="13">
        <v>44.1</v>
      </c>
      <c r="E262" s="13">
        <v>120.11653520926596</v>
      </c>
      <c r="F262" s="13"/>
      <c r="G262" s="13"/>
      <c r="H262" s="13">
        <v>55.48</v>
      </c>
      <c r="I262" s="13">
        <v>-107.2</v>
      </c>
      <c r="J262" s="13"/>
      <c r="K262" s="13"/>
    </row>
    <row r="263" spans="1:11" x14ac:dyDescent="0.25">
      <c r="A263" s="10">
        <v>40205</v>
      </c>
      <c r="B263" s="15">
        <f t="shared" si="8"/>
        <v>1</v>
      </c>
      <c r="C263" s="15">
        <f t="shared" si="9"/>
        <v>2010</v>
      </c>
      <c r="D263" s="13">
        <v>44.1</v>
      </c>
      <c r="E263" s="13">
        <v>120.59641863451523</v>
      </c>
      <c r="F263" s="13"/>
      <c r="G263" s="13"/>
      <c r="H263" s="13">
        <v>55.48</v>
      </c>
      <c r="I263" s="13">
        <v>-107.2</v>
      </c>
      <c r="J263" s="13"/>
      <c r="K263" s="13"/>
    </row>
    <row r="264" spans="1:11" x14ac:dyDescent="0.25">
      <c r="A264" s="10">
        <v>40206</v>
      </c>
      <c r="B264" s="15">
        <f t="shared" si="8"/>
        <v>1</v>
      </c>
      <c r="C264" s="15">
        <f t="shared" si="9"/>
        <v>2010</v>
      </c>
      <c r="D264" s="13">
        <v>44.1</v>
      </c>
      <c r="E264" s="13">
        <v>121.07147973069759</v>
      </c>
      <c r="F264" s="13"/>
      <c r="G264" s="13"/>
      <c r="H264" s="13">
        <v>55.48</v>
      </c>
      <c r="I264" s="13">
        <v>-107.2</v>
      </c>
      <c r="J264" s="13"/>
      <c r="K264" s="13"/>
    </row>
    <row r="265" spans="1:11" x14ac:dyDescent="0.25">
      <c r="A265" s="10">
        <v>40207</v>
      </c>
      <c r="B265" s="15">
        <f t="shared" si="8"/>
        <v>1</v>
      </c>
      <c r="C265" s="15">
        <f t="shared" si="9"/>
        <v>2010</v>
      </c>
      <c r="D265" s="13">
        <v>44.1</v>
      </c>
      <c r="E265" s="13">
        <v>121.94488529793679</v>
      </c>
      <c r="F265" s="13"/>
      <c r="G265" s="13"/>
      <c r="H265" s="13">
        <v>55.48</v>
      </c>
      <c r="I265" s="13">
        <v>-107.2</v>
      </c>
      <c r="J265" s="13"/>
      <c r="K265" s="13"/>
    </row>
    <row r="266" spans="1:11" x14ac:dyDescent="0.25">
      <c r="A266" s="10">
        <v>40210</v>
      </c>
      <c r="B266" s="15">
        <f t="shared" si="8"/>
        <v>2</v>
      </c>
      <c r="C266" s="15">
        <f t="shared" si="9"/>
        <v>2010</v>
      </c>
      <c r="D266" s="13">
        <v>47.1</v>
      </c>
      <c r="E266" s="13">
        <v>120.93774682271847</v>
      </c>
      <c r="F266" s="13"/>
      <c r="G266" s="13"/>
      <c r="H266" s="13">
        <v>49.81</v>
      </c>
      <c r="I266" s="13">
        <v>-98.1</v>
      </c>
      <c r="J266" s="13"/>
      <c r="K266" s="13"/>
    </row>
    <row r="267" spans="1:11" x14ac:dyDescent="0.25">
      <c r="A267" s="10">
        <v>40211</v>
      </c>
      <c r="B267" s="15">
        <f t="shared" si="8"/>
        <v>2</v>
      </c>
      <c r="C267" s="15">
        <f t="shared" si="9"/>
        <v>2010</v>
      </c>
      <c r="D267" s="13">
        <v>47.1</v>
      </c>
      <c r="E267" s="13">
        <v>120.64322039968485</v>
      </c>
      <c r="F267" s="13"/>
      <c r="G267" s="13"/>
      <c r="H267" s="13">
        <v>49.81</v>
      </c>
      <c r="I267" s="13">
        <v>-98.1</v>
      </c>
      <c r="J267" s="13"/>
      <c r="K267" s="13"/>
    </row>
    <row r="268" spans="1:11" x14ac:dyDescent="0.25">
      <c r="A268" s="10">
        <v>40212</v>
      </c>
      <c r="B268" s="15">
        <f t="shared" si="8"/>
        <v>2</v>
      </c>
      <c r="C268" s="15">
        <f t="shared" si="9"/>
        <v>2010</v>
      </c>
      <c r="D268" s="13">
        <v>47.1</v>
      </c>
      <c r="E268" s="13">
        <v>121.19009929486258</v>
      </c>
      <c r="F268" s="13"/>
      <c r="G268" s="13"/>
      <c r="H268" s="13">
        <v>49.81</v>
      </c>
      <c r="I268" s="13">
        <v>-98.1</v>
      </c>
      <c r="J268" s="13"/>
      <c r="K268" s="13"/>
    </row>
    <row r="269" spans="1:11" x14ac:dyDescent="0.25">
      <c r="A269" s="10">
        <v>40213</v>
      </c>
      <c r="B269" s="15">
        <f t="shared" si="8"/>
        <v>2</v>
      </c>
      <c r="C269" s="15">
        <f t="shared" si="9"/>
        <v>2010</v>
      </c>
      <c r="D269" s="13">
        <v>47.1</v>
      </c>
      <c r="E269" s="13">
        <v>122.637250618902</v>
      </c>
      <c r="F269" s="13"/>
      <c r="G269" s="13"/>
      <c r="H269" s="13">
        <v>49.81</v>
      </c>
      <c r="I269" s="13">
        <v>-98.1</v>
      </c>
      <c r="J269" s="13"/>
      <c r="K269" s="13"/>
    </row>
    <row r="270" spans="1:11" x14ac:dyDescent="0.25">
      <c r="A270" s="10">
        <v>40214</v>
      </c>
      <c r="B270" s="15">
        <f t="shared" si="8"/>
        <v>2</v>
      </c>
      <c r="C270" s="15">
        <f t="shared" si="9"/>
        <v>2010</v>
      </c>
      <c r="D270" s="13">
        <v>47.1</v>
      </c>
      <c r="E270" s="13">
        <v>123.28356024008198</v>
      </c>
      <c r="F270" s="13"/>
      <c r="G270" s="13"/>
      <c r="H270" s="13">
        <v>49.81</v>
      </c>
      <c r="I270" s="13">
        <v>-98.1</v>
      </c>
      <c r="J270" s="13"/>
      <c r="K270" s="13"/>
    </row>
    <row r="271" spans="1:11" x14ac:dyDescent="0.25">
      <c r="A271" s="10">
        <v>40217</v>
      </c>
      <c r="B271" s="15">
        <f t="shared" si="8"/>
        <v>2</v>
      </c>
      <c r="C271" s="15">
        <f t="shared" si="9"/>
        <v>2010</v>
      </c>
      <c r="D271" s="13">
        <v>45.9</v>
      </c>
      <c r="E271" s="13">
        <v>126.12071491356579</v>
      </c>
      <c r="F271" s="13"/>
      <c r="G271" s="13"/>
      <c r="H271" s="13">
        <v>54.33</v>
      </c>
      <c r="I271" s="13">
        <v>-117.5</v>
      </c>
      <c r="J271" s="13"/>
      <c r="K271" s="13"/>
    </row>
    <row r="272" spans="1:11" x14ac:dyDescent="0.25">
      <c r="A272" s="10">
        <v>40218</v>
      </c>
      <c r="B272" s="15">
        <f t="shared" si="8"/>
        <v>2</v>
      </c>
      <c r="C272" s="15">
        <f t="shared" si="9"/>
        <v>2010</v>
      </c>
      <c r="D272" s="13">
        <v>45.9</v>
      </c>
      <c r="E272" s="13">
        <v>124.86764812531729</v>
      </c>
      <c r="F272" s="13"/>
      <c r="G272" s="13"/>
      <c r="H272" s="13">
        <v>54.33</v>
      </c>
      <c r="I272" s="13">
        <v>-117.5</v>
      </c>
      <c r="J272" s="13"/>
      <c r="K272" s="13"/>
    </row>
    <row r="273" spans="1:11" x14ac:dyDescent="0.25">
      <c r="A273" s="10">
        <v>40219</v>
      </c>
      <c r="B273" s="15">
        <f t="shared" si="8"/>
        <v>2</v>
      </c>
      <c r="C273" s="15">
        <f t="shared" si="9"/>
        <v>2010</v>
      </c>
      <c r="D273" s="13">
        <v>45.9</v>
      </c>
      <c r="E273" s="13">
        <v>125.44076934285297</v>
      </c>
      <c r="F273" s="13"/>
      <c r="G273" s="13"/>
      <c r="H273" s="13">
        <v>54.33</v>
      </c>
      <c r="I273" s="13">
        <v>-117.5</v>
      </c>
      <c r="J273" s="13"/>
      <c r="K273" s="13"/>
    </row>
    <row r="274" spans="1:11" x14ac:dyDescent="0.25">
      <c r="A274" s="10">
        <v>40220</v>
      </c>
      <c r="B274" s="15">
        <f t="shared" si="8"/>
        <v>2</v>
      </c>
      <c r="C274" s="15">
        <f t="shared" si="9"/>
        <v>2010</v>
      </c>
      <c r="D274" s="13">
        <v>45.9</v>
      </c>
      <c r="E274" s="13">
        <v>125.85337329142607</v>
      </c>
      <c r="F274" s="13"/>
      <c r="G274" s="13"/>
      <c r="H274" s="13">
        <v>54.33</v>
      </c>
      <c r="I274" s="13">
        <v>-117.5</v>
      </c>
      <c r="J274" s="13"/>
      <c r="K274" s="13"/>
    </row>
    <row r="275" spans="1:11" x14ac:dyDescent="0.25">
      <c r="A275" s="10">
        <v>40221</v>
      </c>
      <c r="B275" s="15">
        <f t="shared" si="8"/>
        <v>2</v>
      </c>
      <c r="C275" s="15">
        <f t="shared" si="9"/>
        <v>2010</v>
      </c>
      <c r="D275" s="13">
        <v>45.9</v>
      </c>
      <c r="E275" s="13">
        <v>126.46345941975763</v>
      </c>
      <c r="F275" s="13"/>
      <c r="G275" s="13"/>
      <c r="H275" s="13">
        <v>54.33</v>
      </c>
      <c r="I275" s="13">
        <v>-117.5</v>
      </c>
      <c r="J275" s="13"/>
      <c r="K275" s="13"/>
    </row>
    <row r="276" spans="1:11" x14ac:dyDescent="0.25">
      <c r="A276" s="10">
        <v>40225</v>
      </c>
      <c r="B276" s="15">
        <f t="shared" si="8"/>
        <v>2</v>
      </c>
      <c r="C276" s="15">
        <f t="shared" si="9"/>
        <v>2010</v>
      </c>
      <c r="D276" s="13">
        <v>42</v>
      </c>
      <c r="E276" s="13">
        <v>117.75857059848924</v>
      </c>
      <c r="F276" s="13"/>
      <c r="G276" s="13"/>
      <c r="H276" s="13">
        <v>42.66</v>
      </c>
      <c r="I276" s="13">
        <v>-125.6</v>
      </c>
      <c r="J276" s="13"/>
      <c r="K276" s="13"/>
    </row>
    <row r="277" spans="1:11" x14ac:dyDescent="0.25">
      <c r="A277" s="10">
        <v>40226</v>
      </c>
      <c r="B277" s="15">
        <f t="shared" si="8"/>
        <v>2</v>
      </c>
      <c r="C277" s="15">
        <f t="shared" si="9"/>
        <v>2010</v>
      </c>
      <c r="D277" s="13">
        <v>42</v>
      </c>
      <c r="E277" s="13">
        <v>119.1694230062477</v>
      </c>
      <c r="F277" s="13"/>
      <c r="G277" s="13"/>
      <c r="H277" s="13">
        <v>42.66</v>
      </c>
      <c r="I277" s="13">
        <v>-125.6</v>
      </c>
      <c r="J277" s="13"/>
      <c r="K277" s="13"/>
    </row>
    <row r="278" spans="1:11" x14ac:dyDescent="0.25">
      <c r="A278" s="10">
        <v>40227</v>
      </c>
      <c r="B278" s="15">
        <f t="shared" si="8"/>
        <v>2</v>
      </c>
      <c r="C278" s="15">
        <f t="shared" si="9"/>
        <v>2010</v>
      </c>
      <c r="D278" s="13">
        <v>42</v>
      </c>
      <c r="E278" s="13">
        <v>119.09064198619069</v>
      </c>
      <c r="F278" s="13"/>
      <c r="G278" s="13"/>
      <c r="H278" s="13">
        <v>42.66</v>
      </c>
      <c r="I278" s="13">
        <v>-125.6</v>
      </c>
      <c r="J278" s="13"/>
      <c r="K278" s="13"/>
    </row>
    <row r="279" spans="1:11" x14ac:dyDescent="0.25">
      <c r="A279" s="10">
        <v>40228</v>
      </c>
      <c r="B279" s="15">
        <f t="shared" si="8"/>
        <v>2</v>
      </c>
      <c r="C279" s="15">
        <f t="shared" si="9"/>
        <v>2010</v>
      </c>
      <c r="D279" s="13">
        <v>42</v>
      </c>
      <c r="E279" s="13">
        <v>119.08189496878443</v>
      </c>
      <c r="F279" s="13"/>
      <c r="G279" s="13"/>
      <c r="H279" s="13">
        <v>42.66</v>
      </c>
      <c r="I279" s="13">
        <v>-125.6</v>
      </c>
      <c r="J279" s="13"/>
      <c r="K279" s="13"/>
    </row>
    <row r="280" spans="1:11" x14ac:dyDescent="0.25">
      <c r="A280" s="10">
        <v>40231</v>
      </c>
      <c r="B280" s="15">
        <f t="shared" si="8"/>
        <v>2</v>
      </c>
      <c r="C280" s="15">
        <f t="shared" si="9"/>
        <v>2010</v>
      </c>
      <c r="D280" s="13">
        <v>45</v>
      </c>
      <c r="E280" s="13">
        <v>117.15819666102819</v>
      </c>
      <c r="F280" s="13"/>
      <c r="G280" s="13"/>
      <c r="H280" s="13">
        <v>34.07</v>
      </c>
      <c r="I280" s="13">
        <v>-122.4</v>
      </c>
      <c r="J280" s="13"/>
      <c r="K280" s="13"/>
    </row>
    <row r="281" spans="1:11" x14ac:dyDescent="0.25">
      <c r="A281" s="10">
        <v>40232</v>
      </c>
      <c r="B281" s="15">
        <f t="shared" si="8"/>
        <v>2</v>
      </c>
      <c r="C281" s="15">
        <f t="shared" si="9"/>
        <v>2010</v>
      </c>
      <c r="D281" s="13">
        <v>45</v>
      </c>
      <c r="E281" s="13">
        <v>117.95631247686043</v>
      </c>
      <c r="F281" s="13"/>
      <c r="G281" s="13"/>
      <c r="H281" s="13">
        <v>34.07</v>
      </c>
      <c r="I281" s="13">
        <v>-122.4</v>
      </c>
      <c r="J281" s="13"/>
      <c r="K281" s="13"/>
    </row>
    <row r="282" spans="1:11" x14ac:dyDescent="0.25">
      <c r="A282" s="10">
        <v>40233</v>
      </c>
      <c r="B282" s="15">
        <f t="shared" si="8"/>
        <v>2</v>
      </c>
      <c r="C282" s="15">
        <f t="shared" si="9"/>
        <v>2010</v>
      </c>
      <c r="D282" s="13">
        <v>45</v>
      </c>
      <c r="E282" s="13">
        <v>117.73835920177385</v>
      </c>
      <c r="F282" s="13"/>
      <c r="G282" s="13"/>
      <c r="H282" s="13">
        <v>34.07</v>
      </c>
      <c r="I282" s="13">
        <v>-122.4</v>
      </c>
      <c r="J282" s="13"/>
      <c r="K282" s="13"/>
    </row>
    <row r="283" spans="1:11" x14ac:dyDescent="0.25">
      <c r="A283" s="10">
        <v>40234</v>
      </c>
      <c r="B283" s="15">
        <f t="shared" si="8"/>
        <v>2</v>
      </c>
      <c r="C283" s="15">
        <f t="shared" si="9"/>
        <v>2010</v>
      </c>
      <c r="D283" s="13">
        <v>45</v>
      </c>
      <c r="E283" s="13">
        <v>117.52120988565106</v>
      </c>
      <c r="F283" s="13"/>
      <c r="G283" s="13"/>
      <c r="H283" s="13">
        <v>34.07</v>
      </c>
      <c r="I283" s="13">
        <v>-122.4</v>
      </c>
      <c r="J283" s="13"/>
      <c r="K283" s="13"/>
    </row>
    <row r="284" spans="1:11" x14ac:dyDescent="0.25">
      <c r="A284" s="10">
        <v>40235</v>
      </c>
      <c r="B284" s="15">
        <f t="shared" si="8"/>
        <v>2</v>
      </c>
      <c r="C284" s="15">
        <f t="shared" si="9"/>
        <v>2010</v>
      </c>
      <c r="D284" s="13">
        <v>45</v>
      </c>
      <c r="E284" s="13">
        <v>116.91743119266056</v>
      </c>
      <c r="F284" s="13"/>
      <c r="G284" s="13"/>
      <c r="H284" s="13">
        <v>34.07</v>
      </c>
      <c r="I284" s="13">
        <v>-122.4</v>
      </c>
      <c r="J284" s="13"/>
      <c r="K284" s="13"/>
    </row>
    <row r="285" spans="1:11" x14ac:dyDescent="0.25">
      <c r="A285" s="10">
        <v>40238</v>
      </c>
      <c r="B285" s="15">
        <f t="shared" si="8"/>
        <v>3</v>
      </c>
      <c r="C285" s="15">
        <f t="shared" si="9"/>
        <v>2010</v>
      </c>
      <c r="D285" s="13">
        <v>13.1</v>
      </c>
      <c r="E285" s="13">
        <v>107.80973451327432</v>
      </c>
      <c r="F285" s="13"/>
      <c r="G285" s="13"/>
      <c r="H285" s="13">
        <v>32.840000000000003</v>
      </c>
      <c r="I285" s="13">
        <v>-129.19999999999999</v>
      </c>
      <c r="J285" s="13"/>
      <c r="K285" s="13"/>
    </row>
    <row r="286" spans="1:11" x14ac:dyDescent="0.25">
      <c r="A286" s="10">
        <v>40239</v>
      </c>
      <c r="B286" s="15">
        <f t="shared" si="8"/>
        <v>3</v>
      </c>
      <c r="C286" s="15">
        <f t="shared" si="9"/>
        <v>2010</v>
      </c>
      <c r="D286" s="13">
        <v>13.1</v>
      </c>
      <c r="E286" s="13">
        <v>107.46104087033225</v>
      </c>
      <c r="F286" s="13"/>
      <c r="G286" s="13"/>
      <c r="H286" s="13">
        <v>32.840000000000003</v>
      </c>
      <c r="I286" s="13">
        <v>-129.19999999999999</v>
      </c>
      <c r="J286" s="13"/>
      <c r="K286" s="13"/>
    </row>
    <row r="287" spans="1:11" x14ac:dyDescent="0.25">
      <c r="A287" s="10">
        <v>40240</v>
      </c>
      <c r="B287" s="15">
        <f t="shared" si="8"/>
        <v>3</v>
      </c>
      <c r="C287" s="15">
        <f t="shared" si="9"/>
        <v>2010</v>
      </c>
      <c r="D287" s="13">
        <v>13.1</v>
      </c>
      <c r="E287" s="13">
        <v>106.72360928602717</v>
      </c>
      <c r="F287" s="13"/>
      <c r="G287" s="13"/>
      <c r="H287" s="13">
        <v>32.840000000000003</v>
      </c>
      <c r="I287" s="13">
        <v>-129.19999999999999</v>
      </c>
      <c r="J287" s="13"/>
      <c r="K287" s="13"/>
    </row>
    <row r="288" spans="1:11" x14ac:dyDescent="0.25">
      <c r="A288" s="10">
        <v>40241</v>
      </c>
      <c r="B288" s="15">
        <f t="shared" si="8"/>
        <v>3</v>
      </c>
      <c r="C288" s="15">
        <f t="shared" si="9"/>
        <v>2010</v>
      </c>
      <c r="D288" s="13">
        <v>13.1</v>
      </c>
      <c r="E288" s="13">
        <v>107.65888504308121</v>
      </c>
      <c r="F288" s="13"/>
      <c r="G288" s="13"/>
      <c r="H288" s="13">
        <v>32.840000000000003</v>
      </c>
      <c r="I288" s="13">
        <v>-129.19999999999999</v>
      </c>
      <c r="J288" s="13"/>
      <c r="K288" s="13"/>
    </row>
    <row r="289" spans="1:11" x14ac:dyDescent="0.25">
      <c r="A289" s="10">
        <v>40242</v>
      </c>
      <c r="B289" s="15">
        <f t="shared" si="8"/>
        <v>3</v>
      </c>
      <c r="C289" s="15">
        <f t="shared" si="9"/>
        <v>2010</v>
      </c>
      <c r="D289" s="13">
        <v>13.1</v>
      </c>
      <c r="E289" s="13">
        <v>107.32692166507597</v>
      </c>
      <c r="F289" s="13"/>
      <c r="G289" s="13"/>
      <c r="H289" s="13">
        <v>32.840000000000003</v>
      </c>
      <c r="I289" s="13">
        <v>-129.19999999999999</v>
      </c>
      <c r="J289" s="13"/>
      <c r="K289" s="13"/>
    </row>
    <row r="290" spans="1:11" x14ac:dyDescent="0.25">
      <c r="A290" s="10">
        <v>40245</v>
      </c>
      <c r="B290" s="15">
        <f t="shared" si="8"/>
        <v>3</v>
      </c>
      <c r="C290" s="15">
        <f t="shared" si="9"/>
        <v>2010</v>
      </c>
      <c r="D290" s="13">
        <v>15.3</v>
      </c>
      <c r="E290" s="13">
        <v>105.18051071323745</v>
      </c>
      <c r="F290" s="13"/>
      <c r="G290" s="13"/>
      <c r="H290" s="13">
        <v>30.22</v>
      </c>
      <c r="I290" s="13">
        <v>-134.5</v>
      </c>
      <c r="J290" s="13"/>
      <c r="K290" s="13"/>
    </row>
    <row r="291" spans="1:11" x14ac:dyDescent="0.25">
      <c r="A291" s="10">
        <v>40246</v>
      </c>
      <c r="B291" s="15">
        <f t="shared" si="8"/>
        <v>3</v>
      </c>
      <c r="C291" s="15">
        <f t="shared" si="9"/>
        <v>2010</v>
      </c>
      <c r="D291" s="13">
        <v>15.3</v>
      </c>
      <c r="E291" s="13">
        <v>105.39705882352941</v>
      </c>
      <c r="F291" s="13"/>
      <c r="G291" s="13"/>
      <c r="H291" s="13">
        <v>30.22</v>
      </c>
      <c r="I291" s="13">
        <v>-134.5</v>
      </c>
      <c r="J291" s="13"/>
      <c r="K291" s="13"/>
    </row>
    <row r="292" spans="1:11" x14ac:dyDescent="0.25">
      <c r="A292" s="10">
        <v>40247</v>
      </c>
      <c r="B292" s="15">
        <f t="shared" si="8"/>
        <v>3</v>
      </c>
      <c r="C292" s="15">
        <f t="shared" si="9"/>
        <v>2010</v>
      </c>
      <c r="D292" s="13">
        <v>15.3</v>
      </c>
      <c r="E292" s="13">
        <v>104.94179661761477</v>
      </c>
      <c r="F292" s="13"/>
      <c r="G292" s="13"/>
      <c r="H292" s="13">
        <v>30.22</v>
      </c>
      <c r="I292" s="13">
        <v>-134.5</v>
      </c>
      <c r="J292" s="13"/>
      <c r="K292" s="13"/>
    </row>
    <row r="293" spans="1:11" x14ac:dyDescent="0.25">
      <c r="A293" s="10">
        <v>40248</v>
      </c>
      <c r="B293" s="15">
        <f t="shared" si="8"/>
        <v>3</v>
      </c>
      <c r="C293" s="15">
        <f t="shared" si="9"/>
        <v>2010</v>
      </c>
      <c r="D293" s="13">
        <v>15.3</v>
      </c>
      <c r="E293" s="13">
        <v>104.80368501864444</v>
      </c>
      <c r="F293" s="13"/>
      <c r="G293" s="13"/>
      <c r="H293" s="13">
        <v>30.22</v>
      </c>
      <c r="I293" s="13">
        <v>-134.5</v>
      </c>
      <c r="J293" s="13"/>
      <c r="K293" s="13"/>
    </row>
    <row r="294" spans="1:11" x14ac:dyDescent="0.25">
      <c r="A294" s="10">
        <v>40249</v>
      </c>
      <c r="B294" s="15">
        <f t="shared" si="8"/>
        <v>3</v>
      </c>
      <c r="C294" s="15">
        <f t="shared" si="9"/>
        <v>2010</v>
      </c>
      <c r="D294" s="13">
        <v>15.3</v>
      </c>
      <c r="E294" s="13">
        <v>104.16394157401351</v>
      </c>
      <c r="F294" s="13"/>
      <c r="G294" s="13"/>
      <c r="H294" s="13">
        <v>30.22</v>
      </c>
      <c r="I294" s="13">
        <v>-134.5</v>
      </c>
      <c r="J294" s="13"/>
      <c r="K294" s="13"/>
    </row>
    <row r="295" spans="1:11" x14ac:dyDescent="0.25">
      <c r="A295" s="10">
        <v>40252</v>
      </c>
      <c r="B295" s="15">
        <f t="shared" si="8"/>
        <v>3</v>
      </c>
      <c r="C295" s="15">
        <f t="shared" si="9"/>
        <v>2010</v>
      </c>
      <c r="D295" s="13">
        <v>28.3</v>
      </c>
      <c r="E295" s="13">
        <v>109.08359540700651</v>
      </c>
      <c r="F295" s="13"/>
      <c r="G295" s="13"/>
      <c r="H295" s="13">
        <v>21.31</v>
      </c>
      <c r="I295" s="13">
        <v>-126</v>
      </c>
      <c r="J295" s="13"/>
      <c r="K295" s="13"/>
    </row>
    <row r="296" spans="1:11" x14ac:dyDescent="0.25">
      <c r="A296" s="10">
        <v>40253</v>
      </c>
      <c r="B296" s="15">
        <f t="shared" si="8"/>
        <v>3</v>
      </c>
      <c r="C296" s="15">
        <f t="shared" si="9"/>
        <v>2010</v>
      </c>
      <c r="D296" s="13">
        <v>28.3</v>
      </c>
      <c r="E296" s="13">
        <v>108.32304452029922</v>
      </c>
      <c r="F296" s="13"/>
      <c r="G296" s="13"/>
      <c r="H296" s="13">
        <v>21.31</v>
      </c>
      <c r="I296" s="13">
        <v>-126</v>
      </c>
      <c r="J296" s="13"/>
      <c r="K296" s="13"/>
    </row>
    <row r="297" spans="1:11" x14ac:dyDescent="0.25">
      <c r="A297" s="10">
        <v>40254</v>
      </c>
      <c r="B297" s="15">
        <f t="shared" si="8"/>
        <v>3</v>
      </c>
      <c r="C297" s="15">
        <f t="shared" si="9"/>
        <v>2010</v>
      </c>
      <c r="D297" s="13">
        <v>28.3</v>
      </c>
      <c r="E297" s="13">
        <v>108.57538035961274</v>
      </c>
      <c r="F297" s="13"/>
      <c r="G297" s="13"/>
      <c r="H297" s="13">
        <v>21.31</v>
      </c>
      <c r="I297" s="13">
        <v>-126</v>
      </c>
      <c r="J297" s="13"/>
      <c r="K297" s="13"/>
    </row>
    <row r="298" spans="1:11" x14ac:dyDescent="0.25">
      <c r="A298" s="10">
        <v>40255</v>
      </c>
      <c r="B298" s="15">
        <f t="shared" si="8"/>
        <v>3</v>
      </c>
      <c r="C298" s="15">
        <f t="shared" si="9"/>
        <v>2010</v>
      </c>
      <c r="D298" s="13">
        <v>28.3</v>
      </c>
      <c r="E298" s="13">
        <v>109.62075554902249</v>
      </c>
      <c r="F298" s="13"/>
      <c r="G298" s="13"/>
      <c r="H298" s="13">
        <v>21.31</v>
      </c>
      <c r="I298" s="13">
        <v>-126</v>
      </c>
      <c r="J298" s="13"/>
      <c r="K298" s="13"/>
    </row>
    <row r="299" spans="1:11" x14ac:dyDescent="0.25">
      <c r="A299" s="10">
        <v>40256</v>
      </c>
      <c r="B299" s="15">
        <f t="shared" si="8"/>
        <v>3</v>
      </c>
      <c r="C299" s="15">
        <f t="shared" si="9"/>
        <v>2010</v>
      </c>
      <c r="D299" s="13">
        <v>28.3</v>
      </c>
      <c r="E299" s="13">
        <v>110.22836449634174</v>
      </c>
      <c r="F299" s="13"/>
      <c r="G299" s="13"/>
      <c r="H299" s="13">
        <v>21.31</v>
      </c>
      <c r="I299" s="13">
        <v>-126</v>
      </c>
      <c r="J299" s="13"/>
      <c r="K299" s="13"/>
    </row>
    <row r="300" spans="1:11" x14ac:dyDescent="0.25">
      <c r="A300" s="10">
        <v>40259</v>
      </c>
      <c r="B300" s="15">
        <f t="shared" si="8"/>
        <v>3</v>
      </c>
      <c r="C300" s="15">
        <f t="shared" si="9"/>
        <v>2010</v>
      </c>
      <c r="D300" s="13">
        <v>33</v>
      </c>
      <c r="E300" s="13">
        <v>106.95684249354481</v>
      </c>
      <c r="F300" s="13"/>
      <c r="G300" s="13"/>
      <c r="H300" s="13">
        <v>23.96</v>
      </c>
      <c r="I300" s="13">
        <v>-130.80000000000001</v>
      </c>
      <c r="J300" s="13"/>
      <c r="K300" s="13"/>
    </row>
    <row r="301" spans="1:11" x14ac:dyDescent="0.25">
      <c r="A301" s="10">
        <v>40260</v>
      </c>
      <c r="B301" s="15">
        <f t="shared" si="8"/>
        <v>3</v>
      </c>
      <c r="C301" s="15">
        <f t="shared" si="9"/>
        <v>2010</v>
      </c>
      <c r="D301" s="13">
        <v>33</v>
      </c>
      <c r="E301" s="13">
        <v>107.40850496369831</v>
      </c>
      <c r="F301" s="13"/>
      <c r="G301" s="13"/>
      <c r="H301" s="13">
        <v>23.96</v>
      </c>
      <c r="I301" s="13">
        <v>-130.80000000000001</v>
      </c>
      <c r="J301" s="13"/>
      <c r="K301" s="13"/>
    </row>
    <row r="302" spans="1:11" x14ac:dyDescent="0.25">
      <c r="A302" s="10">
        <v>40261</v>
      </c>
      <c r="B302" s="15">
        <f t="shared" si="8"/>
        <v>3</v>
      </c>
      <c r="C302" s="15">
        <f t="shared" si="9"/>
        <v>2010</v>
      </c>
      <c r="D302" s="13">
        <v>33</v>
      </c>
      <c r="E302" s="13">
        <v>108.90107413806054</v>
      </c>
      <c r="F302" s="13"/>
      <c r="G302" s="13"/>
      <c r="H302" s="13">
        <v>23.96</v>
      </c>
      <c r="I302" s="13">
        <v>-130.80000000000001</v>
      </c>
      <c r="J302" s="13"/>
      <c r="K302" s="13"/>
    </row>
    <row r="303" spans="1:11" x14ac:dyDescent="0.25">
      <c r="A303" s="10">
        <v>40262</v>
      </c>
      <c r="B303" s="15">
        <f t="shared" si="8"/>
        <v>3</v>
      </c>
      <c r="C303" s="15">
        <f t="shared" si="9"/>
        <v>2010</v>
      </c>
      <c r="D303" s="13">
        <v>33</v>
      </c>
      <c r="E303" s="13">
        <v>109.18813074258171</v>
      </c>
      <c r="F303" s="13"/>
      <c r="G303" s="13"/>
      <c r="H303" s="13">
        <v>23.96</v>
      </c>
      <c r="I303" s="13">
        <v>-130.80000000000001</v>
      </c>
      <c r="J303" s="13"/>
      <c r="K303" s="13"/>
    </row>
    <row r="304" spans="1:11" x14ac:dyDescent="0.25">
      <c r="A304" s="10">
        <v>40263</v>
      </c>
      <c r="B304" s="15">
        <f t="shared" si="8"/>
        <v>3</v>
      </c>
      <c r="C304" s="15">
        <f t="shared" si="9"/>
        <v>2010</v>
      </c>
      <c r="D304" s="13">
        <v>33</v>
      </c>
      <c r="E304" s="13">
        <v>108.11334824757643</v>
      </c>
      <c r="F304" s="13"/>
      <c r="G304" s="13"/>
      <c r="H304" s="13">
        <v>23.96</v>
      </c>
      <c r="I304" s="13">
        <v>-130.80000000000001</v>
      </c>
      <c r="J304" s="13"/>
      <c r="K304" s="13"/>
    </row>
    <row r="305" spans="1:11" x14ac:dyDescent="0.25">
      <c r="A305" s="10">
        <v>40266</v>
      </c>
      <c r="B305" s="15">
        <f t="shared" si="8"/>
        <v>3</v>
      </c>
      <c r="C305" s="15">
        <f t="shared" si="9"/>
        <v>2010</v>
      </c>
      <c r="D305" s="13">
        <v>8</v>
      </c>
      <c r="E305" s="13">
        <v>95.035987237515783</v>
      </c>
      <c r="F305" s="13"/>
      <c r="G305" s="13"/>
      <c r="H305" s="13">
        <v>21.38</v>
      </c>
      <c r="I305" s="13">
        <v>-148.1</v>
      </c>
      <c r="J305" s="13"/>
      <c r="K305" s="13"/>
    </row>
    <row r="306" spans="1:11" x14ac:dyDescent="0.25">
      <c r="A306" s="10">
        <v>40267</v>
      </c>
      <c r="B306" s="15">
        <f t="shared" si="8"/>
        <v>3</v>
      </c>
      <c r="C306" s="15">
        <f t="shared" si="9"/>
        <v>2010</v>
      </c>
      <c r="D306" s="13">
        <v>8</v>
      </c>
      <c r="E306" s="13">
        <v>95.503690999925453</v>
      </c>
      <c r="F306" s="13"/>
      <c r="G306" s="13"/>
      <c r="H306" s="13">
        <v>21.38</v>
      </c>
      <c r="I306" s="13">
        <v>-148.1</v>
      </c>
      <c r="J306" s="13"/>
      <c r="K306" s="13"/>
    </row>
    <row r="307" spans="1:11" x14ac:dyDescent="0.25">
      <c r="A307" s="10">
        <v>40268</v>
      </c>
      <c r="B307" s="15">
        <f t="shared" si="8"/>
        <v>3</v>
      </c>
      <c r="C307" s="15">
        <f t="shared" si="9"/>
        <v>2010</v>
      </c>
      <c r="D307" s="13">
        <v>8</v>
      </c>
      <c r="E307" s="13">
        <v>94.8038490007402</v>
      </c>
      <c r="F307" s="13"/>
      <c r="G307" s="13"/>
      <c r="H307" s="13">
        <v>21.38</v>
      </c>
      <c r="I307" s="13">
        <v>-148.1</v>
      </c>
      <c r="J307" s="13"/>
      <c r="K307" s="13"/>
    </row>
    <row r="308" spans="1:11" x14ac:dyDescent="0.25">
      <c r="A308" s="10">
        <v>40269</v>
      </c>
      <c r="B308" s="15">
        <f t="shared" si="8"/>
        <v>4</v>
      </c>
      <c r="C308" s="15">
        <f t="shared" si="9"/>
        <v>2010</v>
      </c>
      <c r="D308" s="13">
        <v>8</v>
      </c>
      <c r="E308" s="13">
        <v>94.308224725719754</v>
      </c>
      <c r="F308" s="13"/>
      <c r="G308" s="13"/>
      <c r="H308" s="13">
        <v>21.38</v>
      </c>
      <c r="I308" s="13">
        <v>-148.1</v>
      </c>
      <c r="J308" s="13"/>
      <c r="K308" s="13"/>
    </row>
    <row r="309" spans="1:11" x14ac:dyDescent="0.25">
      <c r="A309" s="10">
        <v>40273</v>
      </c>
      <c r="B309" s="15">
        <f t="shared" si="8"/>
        <v>4</v>
      </c>
      <c r="C309" s="15">
        <f t="shared" si="9"/>
        <v>2010</v>
      </c>
      <c r="D309" s="13">
        <v>12</v>
      </c>
      <c r="E309" s="13">
        <v>93.451012385967516</v>
      </c>
      <c r="F309" s="13"/>
      <c r="G309" s="13"/>
      <c r="H309" s="13">
        <v>19.850000000000001</v>
      </c>
      <c r="I309" s="13">
        <v>-141.9</v>
      </c>
      <c r="J309" s="13"/>
      <c r="K309" s="13"/>
    </row>
    <row r="310" spans="1:11" x14ac:dyDescent="0.25">
      <c r="A310" s="10">
        <v>40274</v>
      </c>
      <c r="B310" s="15">
        <f t="shared" si="8"/>
        <v>4</v>
      </c>
      <c r="C310" s="15">
        <f t="shared" si="9"/>
        <v>2010</v>
      </c>
      <c r="D310" s="13">
        <v>12</v>
      </c>
      <c r="E310" s="13">
        <v>94.043887147335411</v>
      </c>
      <c r="F310" s="13"/>
      <c r="G310" s="13"/>
      <c r="H310" s="13">
        <v>19.850000000000001</v>
      </c>
      <c r="I310" s="13">
        <v>-141.9</v>
      </c>
      <c r="J310" s="13"/>
      <c r="K310" s="13"/>
    </row>
    <row r="311" spans="1:11" x14ac:dyDescent="0.25">
      <c r="A311" s="10">
        <v>40275</v>
      </c>
      <c r="B311" s="15">
        <f t="shared" si="8"/>
        <v>4</v>
      </c>
      <c r="C311" s="15">
        <f t="shared" si="9"/>
        <v>2010</v>
      </c>
      <c r="D311" s="13">
        <v>12</v>
      </c>
      <c r="E311" s="13">
        <v>94.452773613193401</v>
      </c>
      <c r="F311" s="13"/>
      <c r="G311" s="13"/>
      <c r="H311" s="13">
        <v>19.850000000000001</v>
      </c>
      <c r="I311" s="13">
        <v>-141.9</v>
      </c>
      <c r="J311" s="13"/>
      <c r="K311" s="13"/>
    </row>
    <row r="312" spans="1:11" x14ac:dyDescent="0.25">
      <c r="A312" s="10">
        <v>40276</v>
      </c>
      <c r="B312" s="15">
        <f t="shared" si="8"/>
        <v>4</v>
      </c>
      <c r="C312" s="15">
        <f t="shared" si="9"/>
        <v>2010</v>
      </c>
      <c r="D312" s="13">
        <v>12</v>
      </c>
      <c r="E312" s="13">
        <v>94.325497829016314</v>
      </c>
      <c r="F312" s="13"/>
      <c r="G312" s="13"/>
      <c r="H312" s="13">
        <v>19.850000000000001</v>
      </c>
      <c r="I312" s="13">
        <v>-141.9</v>
      </c>
      <c r="J312" s="13"/>
      <c r="K312" s="13"/>
    </row>
    <row r="313" spans="1:11" x14ac:dyDescent="0.25">
      <c r="A313" s="10">
        <v>40277</v>
      </c>
      <c r="B313" s="15">
        <f t="shared" si="8"/>
        <v>4</v>
      </c>
      <c r="C313" s="15">
        <f t="shared" si="9"/>
        <v>2010</v>
      </c>
      <c r="D313" s="13">
        <v>12</v>
      </c>
      <c r="E313" s="13">
        <v>93.360995850622416</v>
      </c>
      <c r="F313" s="13"/>
      <c r="G313" s="13"/>
      <c r="H313" s="13">
        <v>19.850000000000001</v>
      </c>
      <c r="I313" s="13">
        <v>-141.9</v>
      </c>
      <c r="J313" s="13"/>
      <c r="K313" s="13"/>
    </row>
    <row r="314" spans="1:11" x14ac:dyDescent="0.25">
      <c r="A314" s="10">
        <v>40280</v>
      </c>
      <c r="B314" s="15">
        <f t="shared" si="8"/>
        <v>4</v>
      </c>
      <c r="C314" s="15">
        <f t="shared" si="9"/>
        <v>2010</v>
      </c>
      <c r="D314" s="13">
        <v>13.66</v>
      </c>
      <c r="E314" s="13">
        <v>103.94581861012955</v>
      </c>
      <c r="F314" s="13"/>
      <c r="G314" s="13"/>
      <c r="H314" s="13">
        <v>31.28</v>
      </c>
      <c r="I314" s="13">
        <v>-127.71</v>
      </c>
      <c r="J314" s="13"/>
      <c r="K314" s="13"/>
    </row>
    <row r="315" spans="1:11" x14ac:dyDescent="0.25">
      <c r="A315" s="10">
        <v>40281</v>
      </c>
      <c r="B315" s="15">
        <f t="shared" si="8"/>
        <v>4</v>
      </c>
      <c r="C315" s="15">
        <f t="shared" si="9"/>
        <v>2010</v>
      </c>
      <c r="D315" s="13">
        <v>13.66</v>
      </c>
      <c r="E315" s="13">
        <v>103.77774511245038</v>
      </c>
      <c r="F315" s="13"/>
      <c r="G315" s="13"/>
      <c r="H315" s="13">
        <v>31.28</v>
      </c>
      <c r="I315" s="13">
        <v>-127.71</v>
      </c>
      <c r="J315" s="13"/>
      <c r="K315" s="13"/>
    </row>
    <row r="316" spans="1:11" x14ac:dyDescent="0.25">
      <c r="A316" s="10">
        <v>40282</v>
      </c>
      <c r="B316" s="15">
        <f t="shared" si="8"/>
        <v>4</v>
      </c>
      <c r="C316" s="15">
        <f t="shared" si="9"/>
        <v>2010</v>
      </c>
      <c r="D316" s="13">
        <v>13.66</v>
      </c>
      <c r="E316" s="13">
        <v>103.4356457402388</v>
      </c>
      <c r="F316" s="13"/>
      <c r="G316" s="13"/>
      <c r="H316" s="13">
        <v>31.28</v>
      </c>
      <c r="I316" s="13">
        <v>-127.71</v>
      </c>
      <c r="J316" s="13"/>
      <c r="K316" s="13"/>
    </row>
    <row r="317" spans="1:11" x14ac:dyDescent="0.25">
      <c r="A317" s="10">
        <v>40283</v>
      </c>
      <c r="B317" s="15">
        <f t="shared" si="8"/>
        <v>4</v>
      </c>
      <c r="C317" s="15">
        <f t="shared" si="9"/>
        <v>2010</v>
      </c>
      <c r="D317" s="13">
        <v>13.66</v>
      </c>
      <c r="E317" s="13">
        <v>103.98409308491051</v>
      </c>
      <c r="F317" s="13"/>
      <c r="G317" s="13"/>
      <c r="H317" s="13">
        <v>31.28</v>
      </c>
      <c r="I317" s="13">
        <v>-127.71</v>
      </c>
      <c r="J317" s="13"/>
      <c r="K317" s="13"/>
    </row>
    <row r="318" spans="1:11" x14ac:dyDescent="0.25">
      <c r="A318" s="10">
        <v>40284</v>
      </c>
      <c r="B318" s="15">
        <f t="shared" si="8"/>
        <v>4</v>
      </c>
      <c r="C318" s="15">
        <f t="shared" si="9"/>
        <v>2010</v>
      </c>
      <c r="D318" s="13">
        <v>13.66</v>
      </c>
      <c r="E318" s="13">
        <v>104.62359217545939</v>
      </c>
      <c r="F318" s="13"/>
      <c r="G318" s="13"/>
      <c r="H318" s="13">
        <v>31.28</v>
      </c>
      <c r="I318" s="13">
        <v>-127.71</v>
      </c>
      <c r="J318" s="13"/>
      <c r="K318" s="13"/>
    </row>
    <row r="319" spans="1:11" x14ac:dyDescent="0.25">
      <c r="A319" s="10">
        <v>40287</v>
      </c>
      <c r="B319" s="15">
        <f t="shared" si="8"/>
        <v>4</v>
      </c>
      <c r="C319" s="15">
        <f t="shared" si="9"/>
        <v>2010</v>
      </c>
      <c r="D319" s="13">
        <v>15.84</v>
      </c>
      <c r="E319" s="13">
        <v>108.89943636902996</v>
      </c>
      <c r="F319" s="13"/>
      <c r="G319" s="13"/>
      <c r="H319" s="13">
        <v>15.35</v>
      </c>
      <c r="I319" s="13">
        <v>-131.28</v>
      </c>
      <c r="J319" s="13"/>
      <c r="K319" s="13"/>
    </row>
    <row r="320" spans="1:11" x14ac:dyDescent="0.25">
      <c r="A320" s="10">
        <v>40288</v>
      </c>
      <c r="B320" s="15">
        <f t="shared" si="8"/>
        <v>4</v>
      </c>
      <c r="C320" s="15">
        <f t="shared" si="9"/>
        <v>2010</v>
      </c>
      <c r="D320" s="13">
        <v>15.84</v>
      </c>
      <c r="E320" s="13">
        <v>109.28847871390296</v>
      </c>
      <c r="F320" s="13"/>
      <c r="G320" s="13"/>
      <c r="H320" s="13">
        <v>15.35</v>
      </c>
      <c r="I320" s="13">
        <v>-131.28</v>
      </c>
      <c r="J320" s="13"/>
      <c r="K320" s="13"/>
    </row>
    <row r="321" spans="1:11" x14ac:dyDescent="0.25">
      <c r="A321" s="10">
        <v>40289</v>
      </c>
      <c r="B321" s="15">
        <f t="shared" si="8"/>
        <v>4</v>
      </c>
      <c r="C321" s="15">
        <f t="shared" si="9"/>
        <v>2010</v>
      </c>
      <c r="D321" s="13">
        <v>15.84</v>
      </c>
      <c r="E321" s="13">
        <v>109.69669804273121</v>
      </c>
      <c r="F321" s="13"/>
      <c r="G321" s="13"/>
      <c r="H321" s="13">
        <v>15.35</v>
      </c>
      <c r="I321" s="13">
        <v>-131.28</v>
      </c>
      <c r="J321" s="13"/>
      <c r="K321" s="13"/>
    </row>
    <row r="322" spans="1:11" x14ac:dyDescent="0.25">
      <c r="A322" s="10">
        <v>40290</v>
      </c>
      <c r="B322" s="15">
        <f t="shared" si="8"/>
        <v>4</v>
      </c>
      <c r="C322" s="15">
        <f t="shared" si="9"/>
        <v>2010</v>
      </c>
      <c r="D322" s="13">
        <v>15.84</v>
      </c>
      <c r="E322" s="13">
        <v>110.4724646403852</v>
      </c>
      <c r="F322" s="13"/>
      <c r="G322" s="13"/>
      <c r="H322" s="13">
        <v>15.35</v>
      </c>
      <c r="I322" s="13">
        <v>-131.28</v>
      </c>
      <c r="J322" s="13"/>
      <c r="K322" s="13"/>
    </row>
    <row r="323" spans="1:11" x14ac:dyDescent="0.25">
      <c r="A323" s="10">
        <v>40291</v>
      </c>
      <c r="B323" s="15">
        <f t="shared" ref="B323:B386" si="10">MONTH(A323)</f>
        <v>4</v>
      </c>
      <c r="C323" s="15">
        <f t="shared" ref="C323:C386" si="11">YEAR(A323)</f>
        <v>2010</v>
      </c>
      <c r="D323" s="13">
        <v>15.84</v>
      </c>
      <c r="E323" s="13">
        <v>109.7212882014496</v>
      </c>
      <c r="F323" s="13"/>
      <c r="G323" s="13"/>
      <c r="H323" s="13">
        <v>15.35</v>
      </c>
      <c r="I323" s="13">
        <v>-131.28</v>
      </c>
      <c r="J323" s="13"/>
      <c r="K323" s="13"/>
    </row>
    <row r="324" spans="1:11" x14ac:dyDescent="0.25">
      <c r="A324" s="10">
        <v>40294</v>
      </c>
      <c r="B324" s="15">
        <f t="shared" si="10"/>
        <v>4</v>
      </c>
      <c r="C324" s="15">
        <f t="shared" si="11"/>
        <v>2010</v>
      </c>
      <c r="D324" s="13">
        <v>15.15</v>
      </c>
      <c r="E324" s="13">
        <v>111.83277342291902</v>
      </c>
      <c r="F324" s="13"/>
      <c r="G324" s="13"/>
      <c r="H324" s="13">
        <v>21</v>
      </c>
      <c r="I324" s="13">
        <v>-138.28</v>
      </c>
      <c r="J324" s="13"/>
      <c r="K324" s="13"/>
    </row>
    <row r="325" spans="1:11" x14ac:dyDescent="0.25">
      <c r="A325" s="10">
        <v>40295</v>
      </c>
      <c r="B325" s="15">
        <f t="shared" si="10"/>
        <v>4</v>
      </c>
      <c r="C325" s="15">
        <f t="shared" si="11"/>
        <v>2010</v>
      </c>
      <c r="D325" s="13">
        <v>15.15</v>
      </c>
      <c r="E325" s="13">
        <v>113.80384410848592</v>
      </c>
      <c r="F325" s="13"/>
      <c r="G325" s="13"/>
      <c r="H325" s="13">
        <v>21</v>
      </c>
      <c r="I325" s="13">
        <v>-138.28</v>
      </c>
      <c r="J325" s="13"/>
      <c r="K325" s="13"/>
    </row>
    <row r="326" spans="1:11" x14ac:dyDescent="0.25">
      <c r="A326" s="10">
        <v>40296</v>
      </c>
      <c r="B326" s="15">
        <f t="shared" si="10"/>
        <v>4</v>
      </c>
      <c r="C326" s="15">
        <f t="shared" si="11"/>
        <v>2010</v>
      </c>
      <c r="D326" s="13">
        <v>15.15</v>
      </c>
      <c r="E326" s="13">
        <v>113.39035652108093</v>
      </c>
      <c r="F326" s="13"/>
      <c r="G326" s="13"/>
      <c r="H326" s="13">
        <v>21</v>
      </c>
      <c r="I326" s="13">
        <v>-138.28</v>
      </c>
      <c r="J326" s="13"/>
      <c r="K326" s="13"/>
    </row>
    <row r="327" spans="1:11" x14ac:dyDescent="0.25">
      <c r="A327" s="10">
        <v>40297</v>
      </c>
      <c r="B327" s="15">
        <f t="shared" si="10"/>
        <v>4</v>
      </c>
      <c r="C327" s="15">
        <f t="shared" si="11"/>
        <v>2010</v>
      </c>
      <c r="D327" s="13">
        <v>15.15</v>
      </c>
      <c r="E327" s="13">
        <v>113.2788868723533</v>
      </c>
      <c r="F327" s="13"/>
      <c r="G327" s="13"/>
      <c r="H327" s="13">
        <v>21</v>
      </c>
      <c r="I327" s="13">
        <v>-138.28</v>
      </c>
      <c r="J327" s="13"/>
      <c r="K327" s="13"/>
    </row>
    <row r="328" spans="1:11" x14ac:dyDescent="0.25">
      <c r="A328" s="10">
        <v>40298</v>
      </c>
      <c r="B328" s="15">
        <f t="shared" si="10"/>
        <v>4</v>
      </c>
      <c r="C328" s="15">
        <f t="shared" si="11"/>
        <v>2010</v>
      </c>
      <c r="D328" s="13">
        <v>15.15</v>
      </c>
      <c r="E328" s="13">
        <v>112.67393757051525</v>
      </c>
      <c r="F328" s="13"/>
      <c r="G328" s="13"/>
      <c r="H328" s="13">
        <v>21</v>
      </c>
      <c r="I328" s="13">
        <v>-138.28</v>
      </c>
      <c r="J328" s="13"/>
      <c r="K328" s="13"/>
    </row>
    <row r="329" spans="1:11" x14ac:dyDescent="0.25">
      <c r="A329" s="10">
        <v>40301</v>
      </c>
      <c r="B329" s="15">
        <f t="shared" si="10"/>
        <v>5</v>
      </c>
      <c r="C329" s="15">
        <f t="shared" si="11"/>
        <v>2010</v>
      </c>
      <c r="D329" s="13">
        <v>14.38</v>
      </c>
      <c r="E329" s="13">
        <v>108.41419041843542</v>
      </c>
      <c r="F329" s="13"/>
      <c r="G329" s="13"/>
      <c r="H329" s="13">
        <v>41.79</v>
      </c>
      <c r="I329" s="13">
        <v>-137.71</v>
      </c>
      <c r="J329" s="13"/>
      <c r="K329" s="13"/>
    </row>
    <row r="330" spans="1:11" x14ac:dyDescent="0.25">
      <c r="A330" s="10">
        <v>40302</v>
      </c>
      <c r="B330" s="15">
        <f t="shared" si="10"/>
        <v>5</v>
      </c>
      <c r="C330" s="15">
        <f t="shared" si="11"/>
        <v>2010</v>
      </c>
      <c r="D330" s="13">
        <v>14.38</v>
      </c>
      <c r="E330" s="13">
        <v>110.1848998459168</v>
      </c>
      <c r="F330" s="13"/>
      <c r="G330" s="13"/>
      <c r="H330" s="13">
        <v>41.79</v>
      </c>
      <c r="I330" s="13">
        <v>-137.71</v>
      </c>
      <c r="J330" s="13"/>
      <c r="K330" s="13"/>
    </row>
    <row r="331" spans="1:11" x14ac:dyDescent="0.25">
      <c r="A331" s="10">
        <v>40303</v>
      </c>
      <c r="B331" s="15">
        <f t="shared" si="10"/>
        <v>5</v>
      </c>
      <c r="C331" s="15">
        <f t="shared" si="11"/>
        <v>2010</v>
      </c>
      <c r="D331" s="13">
        <v>14.38</v>
      </c>
      <c r="E331" s="13">
        <v>111.62972213549799</v>
      </c>
      <c r="F331" s="13"/>
      <c r="G331" s="13"/>
      <c r="H331" s="13">
        <v>41.79</v>
      </c>
      <c r="I331" s="13">
        <v>-137.71</v>
      </c>
      <c r="J331" s="13"/>
      <c r="K331" s="13"/>
    </row>
    <row r="332" spans="1:11" x14ac:dyDescent="0.25">
      <c r="A332" s="10">
        <v>40304</v>
      </c>
      <c r="B332" s="15">
        <f t="shared" si="10"/>
        <v>5</v>
      </c>
      <c r="C332" s="15">
        <f t="shared" si="11"/>
        <v>2010</v>
      </c>
      <c r="D332" s="13">
        <v>14.38</v>
      </c>
      <c r="E332" s="13">
        <v>113.00568900126423</v>
      </c>
      <c r="F332" s="13"/>
      <c r="G332" s="13"/>
      <c r="H332" s="13">
        <v>41.79</v>
      </c>
      <c r="I332" s="13">
        <v>-137.71</v>
      </c>
      <c r="J332" s="13"/>
      <c r="K332" s="13"/>
    </row>
    <row r="333" spans="1:11" x14ac:dyDescent="0.25">
      <c r="A333" s="10">
        <v>40305</v>
      </c>
      <c r="B333" s="15">
        <f t="shared" si="10"/>
        <v>5</v>
      </c>
      <c r="C333" s="15">
        <f t="shared" si="11"/>
        <v>2010</v>
      </c>
      <c r="D333" s="13">
        <v>14.38</v>
      </c>
      <c r="E333" s="13">
        <v>112.09342424954934</v>
      </c>
      <c r="F333" s="13"/>
      <c r="G333" s="13"/>
      <c r="H333" s="13">
        <v>41.79</v>
      </c>
      <c r="I333" s="13">
        <v>-137.71</v>
      </c>
      <c r="J333" s="13"/>
      <c r="K333" s="13"/>
    </row>
    <row r="334" spans="1:11" x14ac:dyDescent="0.25">
      <c r="A334" s="10">
        <v>40308</v>
      </c>
      <c r="B334" s="15">
        <f t="shared" si="10"/>
        <v>5</v>
      </c>
      <c r="C334" s="15">
        <f t="shared" si="11"/>
        <v>2010</v>
      </c>
      <c r="D334" s="13">
        <v>8.1199999999999992</v>
      </c>
      <c r="E334" s="13">
        <v>120.36616853141382</v>
      </c>
      <c r="F334" s="13"/>
      <c r="G334" s="13"/>
      <c r="H334" s="13">
        <v>27.91</v>
      </c>
      <c r="I334" s="13">
        <v>-137.85</v>
      </c>
      <c r="J334" s="13"/>
      <c r="K334" s="13"/>
    </row>
    <row r="335" spans="1:11" x14ac:dyDescent="0.25">
      <c r="A335" s="10">
        <v>40309</v>
      </c>
      <c r="B335" s="15">
        <f t="shared" si="10"/>
        <v>5</v>
      </c>
      <c r="C335" s="15">
        <f t="shared" si="11"/>
        <v>2010</v>
      </c>
      <c r="D335" s="13">
        <v>8.1199999999999992</v>
      </c>
      <c r="E335" s="13">
        <v>121.58381411522959</v>
      </c>
      <c r="F335" s="13"/>
      <c r="G335" s="13"/>
      <c r="H335" s="13">
        <v>27.91</v>
      </c>
      <c r="I335" s="13">
        <v>-137.85</v>
      </c>
      <c r="J335" s="13"/>
      <c r="K335" s="13"/>
    </row>
    <row r="336" spans="1:11" x14ac:dyDescent="0.25">
      <c r="A336" s="10">
        <v>40310</v>
      </c>
      <c r="B336" s="15">
        <f t="shared" si="10"/>
        <v>5</v>
      </c>
      <c r="C336" s="15">
        <f t="shared" si="11"/>
        <v>2010</v>
      </c>
      <c r="D336" s="13">
        <v>8.1199999999999992</v>
      </c>
      <c r="E336" s="13">
        <v>121.89208462086998</v>
      </c>
      <c r="F336" s="13"/>
      <c r="G336" s="13"/>
      <c r="H336" s="13">
        <v>27.91</v>
      </c>
      <c r="I336" s="13">
        <v>-137.85</v>
      </c>
      <c r="J336" s="13"/>
      <c r="K336" s="13"/>
    </row>
    <row r="337" spans="1:11" x14ac:dyDescent="0.25">
      <c r="A337" s="10">
        <v>40311</v>
      </c>
      <c r="B337" s="15">
        <f t="shared" si="10"/>
        <v>5</v>
      </c>
      <c r="C337" s="15">
        <f t="shared" si="11"/>
        <v>2010</v>
      </c>
      <c r="D337" s="13">
        <v>8.1199999999999992</v>
      </c>
      <c r="E337" s="13">
        <v>122.7969348659004</v>
      </c>
      <c r="F337" s="13"/>
      <c r="G337" s="13"/>
      <c r="H337" s="13">
        <v>27.91</v>
      </c>
      <c r="I337" s="13">
        <v>-137.85</v>
      </c>
      <c r="J337" s="13"/>
      <c r="K337" s="13"/>
    </row>
    <row r="338" spans="1:11" x14ac:dyDescent="0.25">
      <c r="A338" s="10">
        <v>40312</v>
      </c>
      <c r="B338" s="15">
        <f t="shared" si="10"/>
        <v>5</v>
      </c>
      <c r="C338" s="15">
        <f t="shared" si="11"/>
        <v>2010</v>
      </c>
      <c r="D338" s="13">
        <v>8.1199999999999992</v>
      </c>
      <c r="E338" s="13">
        <v>124.46601941747574</v>
      </c>
      <c r="F338" s="13"/>
      <c r="G338" s="13"/>
      <c r="H338" s="13">
        <v>27.91</v>
      </c>
      <c r="I338" s="13">
        <v>-137.85</v>
      </c>
      <c r="J338" s="13"/>
      <c r="K338" s="13"/>
    </row>
    <row r="339" spans="1:11" x14ac:dyDescent="0.25">
      <c r="A339" s="10">
        <v>40315</v>
      </c>
      <c r="B339" s="15">
        <f t="shared" si="10"/>
        <v>5</v>
      </c>
      <c r="C339" s="15">
        <f t="shared" si="11"/>
        <v>2010</v>
      </c>
      <c r="D339" s="13">
        <v>11.26</v>
      </c>
      <c r="E339" s="13">
        <v>122.40781086096989</v>
      </c>
      <c r="F339" s="13"/>
      <c r="G339" s="13"/>
      <c r="H339" s="13">
        <v>30.21</v>
      </c>
      <c r="I339" s="13">
        <v>-112.77</v>
      </c>
      <c r="J339" s="13"/>
      <c r="K339" s="13"/>
    </row>
    <row r="340" spans="1:11" x14ac:dyDescent="0.25">
      <c r="A340" s="10">
        <v>40316</v>
      </c>
      <c r="B340" s="15">
        <f t="shared" si="10"/>
        <v>5</v>
      </c>
      <c r="C340" s="15">
        <f t="shared" si="11"/>
        <v>2010</v>
      </c>
      <c r="D340" s="13">
        <v>11.26</v>
      </c>
      <c r="E340" s="13">
        <v>124.54844006568143</v>
      </c>
      <c r="F340" s="13"/>
      <c r="G340" s="13"/>
      <c r="H340" s="13">
        <v>30.21</v>
      </c>
      <c r="I340" s="13">
        <v>-112.77</v>
      </c>
      <c r="J340" s="13"/>
      <c r="K340" s="13"/>
    </row>
    <row r="341" spans="1:11" x14ac:dyDescent="0.25">
      <c r="A341" s="10">
        <v>40317</v>
      </c>
      <c r="B341" s="15">
        <f t="shared" si="10"/>
        <v>5</v>
      </c>
      <c r="C341" s="15">
        <f t="shared" si="11"/>
        <v>2010</v>
      </c>
      <c r="D341" s="13">
        <v>11.26</v>
      </c>
      <c r="E341" s="13">
        <v>122.07290576969501</v>
      </c>
      <c r="F341" s="13"/>
      <c r="G341" s="13"/>
      <c r="H341" s="13">
        <v>30.21</v>
      </c>
      <c r="I341" s="13">
        <v>-112.77</v>
      </c>
      <c r="J341" s="13"/>
      <c r="K341" s="13"/>
    </row>
    <row r="342" spans="1:11" x14ac:dyDescent="0.25">
      <c r="A342" s="10">
        <v>40318</v>
      </c>
      <c r="B342" s="15">
        <f t="shared" si="10"/>
        <v>5</v>
      </c>
      <c r="C342" s="15">
        <f t="shared" si="11"/>
        <v>2010</v>
      </c>
      <c r="D342" s="13">
        <v>11.26</v>
      </c>
      <c r="E342" s="13">
        <v>121.70076213397513</v>
      </c>
      <c r="F342" s="13"/>
      <c r="G342" s="13"/>
      <c r="H342" s="13">
        <v>30.21</v>
      </c>
      <c r="I342" s="13">
        <v>-112.77</v>
      </c>
      <c r="J342" s="13"/>
      <c r="K342" s="13"/>
    </row>
    <row r="343" spans="1:11" x14ac:dyDescent="0.25">
      <c r="A343" s="10">
        <v>40319</v>
      </c>
      <c r="B343" s="15">
        <f t="shared" si="10"/>
        <v>5</v>
      </c>
      <c r="C343" s="15">
        <f t="shared" si="11"/>
        <v>2010</v>
      </c>
      <c r="D343" s="13">
        <v>11.26</v>
      </c>
      <c r="E343" s="13">
        <v>120.68416865552904</v>
      </c>
      <c r="F343" s="13"/>
      <c r="G343" s="13"/>
      <c r="H343" s="13">
        <v>30.21</v>
      </c>
      <c r="I343" s="13">
        <v>-112.77</v>
      </c>
      <c r="J343" s="13"/>
      <c r="K343" s="13"/>
    </row>
    <row r="344" spans="1:11" x14ac:dyDescent="0.25">
      <c r="A344" s="10">
        <v>40322</v>
      </c>
      <c r="B344" s="15">
        <f t="shared" si="10"/>
        <v>5</v>
      </c>
      <c r="C344" s="15">
        <f t="shared" si="11"/>
        <v>2010</v>
      </c>
      <c r="D344" s="13">
        <v>3.91</v>
      </c>
      <c r="E344" s="13">
        <v>122.16824548619543</v>
      </c>
      <c r="F344" s="13"/>
      <c r="G344" s="13"/>
      <c r="H344" s="13">
        <v>34.15</v>
      </c>
      <c r="I344" s="13">
        <v>-117.36</v>
      </c>
      <c r="J344" s="13"/>
      <c r="K344" s="13"/>
    </row>
    <row r="345" spans="1:11" x14ac:dyDescent="0.25">
      <c r="A345" s="10">
        <v>40323</v>
      </c>
      <c r="B345" s="15">
        <f t="shared" si="10"/>
        <v>5</v>
      </c>
      <c r="C345" s="15">
        <f t="shared" si="11"/>
        <v>2010</v>
      </c>
      <c r="D345" s="13">
        <v>3.91</v>
      </c>
      <c r="E345" s="13">
        <v>122.02992317023858</v>
      </c>
      <c r="F345" s="13"/>
      <c r="G345" s="13"/>
      <c r="H345" s="13">
        <v>34.15</v>
      </c>
      <c r="I345" s="13">
        <v>-117.36</v>
      </c>
      <c r="J345" s="13"/>
      <c r="K345" s="13"/>
    </row>
    <row r="346" spans="1:11" x14ac:dyDescent="0.25">
      <c r="A346" s="10">
        <v>40324</v>
      </c>
      <c r="B346" s="15">
        <f t="shared" si="10"/>
        <v>5</v>
      </c>
      <c r="C346" s="15">
        <f t="shared" si="11"/>
        <v>2010</v>
      </c>
      <c r="D346" s="13">
        <v>3.91</v>
      </c>
      <c r="E346" s="13">
        <v>124.01578038957837</v>
      </c>
      <c r="F346" s="13"/>
      <c r="G346" s="13"/>
      <c r="H346" s="13">
        <v>34.15</v>
      </c>
      <c r="I346" s="13">
        <v>-117.36</v>
      </c>
      <c r="J346" s="13"/>
      <c r="K346" s="13"/>
    </row>
    <row r="347" spans="1:11" x14ac:dyDescent="0.25">
      <c r="A347" s="10">
        <v>40325</v>
      </c>
      <c r="B347" s="15">
        <f t="shared" si="10"/>
        <v>5</v>
      </c>
      <c r="C347" s="15">
        <f t="shared" si="11"/>
        <v>2010</v>
      </c>
      <c r="D347" s="13">
        <v>3.91</v>
      </c>
      <c r="E347" s="13">
        <v>122.0003234152652</v>
      </c>
      <c r="F347" s="13"/>
      <c r="G347" s="13"/>
      <c r="H347" s="13">
        <v>34.15</v>
      </c>
      <c r="I347" s="13">
        <v>-117.36</v>
      </c>
      <c r="J347" s="13"/>
      <c r="K347" s="13"/>
    </row>
    <row r="348" spans="1:11" x14ac:dyDescent="0.25">
      <c r="A348" s="10">
        <v>40326</v>
      </c>
      <c r="B348" s="15">
        <f t="shared" si="10"/>
        <v>5</v>
      </c>
      <c r="C348" s="15">
        <f t="shared" si="11"/>
        <v>2010</v>
      </c>
      <c r="D348" s="13">
        <v>3.91</v>
      </c>
      <c r="E348" s="13">
        <v>123.00480965191163</v>
      </c>
      <c r="F348" s="13"/>
      <c r="G348" s="13"/>
      <c r="H348" s="13">
        <v>34.15</v>
      </c>
      <c r="I348" s="13">
        <v>-117.36</v>
      </c>
      <c r="J348" s="13"/>
      <c r="K348" s="13"/>
    </row>
    <row r="349" spans="1:11" x14ac:dyDescent="0.25">
      <c r="A349" s="10">
        <v>40330</v>
      </c>
      <c r="B349" s="15">
        <f t="shared" si="10"/>
        <v>6</v>
      </c>
      <c r="C349" s="15">
        <f t="shared" si="11"/>
        <v>2010</v>
      </c>
      <c r="D349" s="13">
        <v>1</v>
      </c>
      <c r="E349" s="13">
        <v>118.96932515337424</v>
      </c>
      <c r="F349" s="13"/>
      <c r="G349" s="13"/>
      <c r="H349" s="13">
        <v>32.76</v>
      </c>
      <c r="I349" s="13">
        <v>-116.24</v>
      </c>
      <c r="J349" s="13"/>
      <c r="K349" s="13"/>
    </row>
    <row r="350" spans="1:11" x14ac:dyDescent="0.25">
      <c r="A350" s="10">
        <v>40331</v>
      </c>
      <c r="B350" s="15">
        <f t="shared" si="10"/>
        <v>6</v>
      </c>
      <c r="C350" s="15">
        <f t="shared" si="11"/>
        <v>2010</v>
      </c>
      <c r="D350" s="13">
        <v>1</v>
      </c>
      <c r="E350" s="13">
        <v>118.73622336517266</v>
      </c>
      <c r="F350" s="13"/>
      <c r="G350" s="13"/>
      <c r="H350" s="13">
        <v>32.76</v>
      </c>
      <c r="I350" s="13">
        <v>-116.24</v>
      </c>
      <c r="J350" s="13"/>
      <c r="K350" s="13"/>
    </row>
    <row r="351" spans="1:11" x14ac:dyDescent="0.25">
      <c r="A351" s="10">
        <v>40332</v>
      </c>
      <c r="B351" s="15">
        <f t="shared" si="10"/>
        <v>6</v>
      </c>
      <c r="C351" s="15">
        <f t="shared" si="11"/>
        <v>2010</v>
      </c>
      <c r="D351" s="13">
        <v>1</v>
      </c>
      <c r="E351" s="13">
        <v>119.634778317019</v>
      </c>
      <c r="F351" s="13"/>
      <c r="G351" s="13"/>
      <c r="H351" s="13">
        <v>32.76</v>
      </c>
      <c r="I351" s="13">
        <v>-116.24</v>
      </c>
      <c r="J351" s="13"/>
      <c r="K351" s="13"/>
    </row>
    <row r="352" spans="1:11" x14ac:dyDescent="0.25">
      <c r="A352" s="10">
        <v>40333</v>
      </c>
      <c r="B352" s="15">
        <f t="shared" si="10"/>
        <v>6</v>
      </c>
      <c r="C352" s="15">
        <f t="shared" si="11"/>
        <v>2010</v>
      </c>
      <c r="D352" s="13">
        <v>1</v>
      </c>
      <c r="E352" s="13">
        <v>121.47331495865697</v>
      </c>
      <c r="F352" s="13"/>
      <c r="G352" s="13"/>
      <c r="H352" s="13">
        <v>32.76</v>
      </c>
      <c r="I352" s="13">
        <v>-116.24</v>
      </c>
      <c r="J352" s="13"/>
      <c r="K352" s="13"/>
    </row>
    <row r="353" spans="1:11" x14ac:dyDescent="0.25">
      <c r="A353" s="10">
        <v>40336</v>
      </c>
      <c r="B353" s="15">
        <f t="shared" si="10"/>
        <v>6</v>
      </c>
      <c r="C353" s="15">
        <f t="shared" si="11"/>
        <v>2010</v>
      </c>
      <c r="D353" s="13">
        <v>1.54</v>
      </c>
      <c r="E353" s="13">
        <v>132.9947960382743</v>
      </c>
      <c r="F353" s="13"/>
      <c r="G353" s="13"/>
      <c r="H353" s="13">
        <v>49.21</v>
      </c>
      <c r="I353" s="13">
        <v>-108.71</v>
      </c>
      <c r="J353" s="13"/>
      <c r="K353" s="13"/>
    </row>
    <row r="354" spans="1:11" x14ac:dyDescent="0.25">
      <c r="A354" s="10">
        <v>40337</v>
      </c>
      <c r="B354" s="15">
        <f t="shared" si="10"/>
        <v>6</v>
      </c>
      <c r="C354" s="15">
        <f t="shared" si="11"/>
        <v>2010</v>
      </c>
      <c r="D354" s="13">
        <v>1.54</v>
      </c>
      <c r="E354" s="13">
        <v>132.35048446374873</v>
      </c>
      <c r="F354" s="13"/>
      <c r="G354" s="13"/>
      <c r="H354" s="13">
        <v>49.21</v>
      </c>
      <c r="I354" s="13">
        <v>-108.71</v>
      </c>
      <c r="J354" s="13"/>
      <c r="K354" s="13"/>
    </row>
    <row r="355" spans="1:11" x14ac:dyDescent="0.25">
      <c r="A355" s="10">
        <v>40338</v>
      </c>
      <c r="B355" s="15">
        <f t="shared" si="10"/>
        <v>6</v>
      </c>
      <c r="C355" s="15">
        <f t="shared" si="11"/>
        <v>2010</v>
      </c>
      <c r="D355" s="13">
        <v>1.54</v>
      </c>
      <c r="E355" s="13">
        <v>132.20692532332083</v>
      </c>
      <c r="F355" s="13"/>
      <c r="G355" s="13"/>
      <c r="H355" s="13">
        <v>49.21</v>
      </c>
      <c r="I355" s="13">
        <v>-108.71</v>
      </c>
      <c r="J355" s="13"/>
      <c r="K355" s="13"/>
    </row>
    <row r="356" spans="1:11" x14ac:dyDescent="0.25">
      <c r="A356" s="10">
        <v>40339</v>
      </c>
      <c r="B356" s="15">
        <f t="shared" si="10"/>
        <v>6</v>
      </c>
      <c r="C356" s="15">
        <f t="shared" si="11"/>
        <v>2010</v>
      </c>
      <c r="D356" s="13">
        <v>1.54</v>
      </c>
      <c r="E356" s="13">
        <v>130.86389164188964</v>
      </c>
      <c r="F356" s="13"/>
      <c r="G356" s="13"/>
      <c r="H356" s="13">
        <v>49.21</v>
      </c>
      <c r="I356" s="13">
        <v>-108.71</v>
      </c>
      <c r="J356" s="13"/>
      <c r="K356" s="13"/>
    </row>
    <row r="357" spans="1:11" x14ac:dyDescent="0.25">
      <c r="A357" s="10">
        <v>40340</v>
      </c>
      <c r="B357" s="15">
        <f t="shared" si="10"/>
        <v>6</v>
      </c>
      <c r="C357" s="15">
        <f t="shared" si="11"/>
        <v>2010</v>
      </c>
      <c r="D357" s="13">
        <v>1.54</v>
      </c>
      <c r="E357" s="13">
        <v>130.84227910817503</v>
      </c>
      <c r="F357" s="13"/>
      <c r="G357" s="13"/>
      <c r="H357" s="13">
        <v>49.21</v>
      </c>
      <c r="I357" s="13">
        <v>-108.71</v>
      </c>
      <c r="J357" s="13"/>
      <c r="K357" s="13"/>
    </row>
    <row r="358" spans="1:11" x14ac:dyDescent="0.25">
      <c r="A358" s="10">
        <v>40343</v>
      </c>
      <c r="B358" s="15">
        <f t="shared" si="10"/>
        <v>6</v>
      </c>
      <c r="C358" s="15">
        <f t="shared" si="11"/>
        <v>2010</v>
      </c>
      <c r="D358" s="13">
        <v>-2.39</v>
      </c>
      <c r="E358" s="13">
        <v>126.96242940165344</v>
      </c>
      <c r="F358" s="13"/>
      <c r="G358" s="13"/>
      <c r="H358" s="13">
        <v>33.07</v>
      </c>
      <c r="I358" s="13">
        <v>-138.04</v>
      </c>
      <c r="J358" s="13"/>
      <c r="K358" s="13"/>
    </row>
    <row r="359" spans="1:11" x14ac:dyDescent="0.25">
      <c r="A359" s="10">
        <v>40344</v>
      </c>
      <c r="B359" s="15">
        <f t="shared" si="10"/>
        <v>6</v>
      </c>
      <c r="C359" s="15">
        <f t="shared" si="11"/>
        <v>2010</v>
      </c>
      <c r="D359" s="13">
        <v>-2.39</v>
      </c>
      <c r="E359" s="13">
        <v>125.87032378479267</v>
      </c>
      <c r="F359" s="13"/>
      <c r="G359" s="13"/>
      <c r="H359" s="13">
        <v>33.07</v>
      </c>
      <c r="I359" s="13">
        <v>-138.04</v>
      </c>
      <c r="J359" s="13"/>
      <c r="K359" s="13"/>
    </row>
    <row r="360" spans="1:11" x14ac:dyDescent="0.25">
      <c r="A360" s="10">
        <v>40345</v>
      </c>
      <c r="B360" s="15">
        <f t="shared" si="10"/>
        <v>6</v>
      </c>
      <c r="C360" s="15">
        <f t="shared" si="11"/>
        <v>2010</v>
      </c>
      <c r="D360" s="13">
        <v>-2.39</v>
      </c>
      <c r="E360" s="13">
        <v>126.04420607833579</v>
      </c>
      <c r="F360" s="13"/>
      <c r="G360" s="13"/>
      <c r="H360" s="13">
        <v>33.07</v>
      </c>
      <c r="I360" s="13">
        <v>-138.04</v>
      </c>
      <c r="J360" s="13"/>
      <c r="K360" s="13"/>
    </row>
    <row r="361" spans="1:11" x14ac:dyDescent="0.25">
      <c r="A361" s="10">
        <v>40346</v>
      </c>
      <c r="B361" s="15">
        <f t="shared" si="10"/>
        <v>6</v>
      </c>
      <c r="C361" s="15">
        <f t="shared" si="11"/>
        <v>2010</v>
      </c>
      <c r="D361" s="13">
        <v>-2.39</v>
      </c>
      <c r="E361" s="13">
        <v>125.31103570851512</v>
      </c>
      <c r="F361" s="13"/>
      <c r="G361" s="13"/>
      <c r="H361" s="13">
        <v>33.07</v>
      </c>
      <c r="I361" s="13">
        <v>-138.04</v>
      </c>
      <c r="J361" s="13"/>
      <c r="K361" s="13"/>
    </row>
    <row r="362" spans="1:11" x14ac:dyDescent="0.25">
      <c r="A362" s="10">
        <v>40347</v>
      </c>
      <c r="B362" s="15">
        <f t="shared" si="10"/>
        <v>6</v>
      </c>
      <c r="C362" s="15">
        <f t="shared" si="11"/>
        <v>2010</v>
      </c>
      <c r="D362" s="13">
        <v>-2.39</v>
      </c>
      <c r="E362" s="13">
        <v>125.25032299741603</v>
      </c>
      <c r="F362" s="13"/>
      <c r="G362" s="13"/>
      <c r="H362" s="13">
        <v>33.07</v>
      </c>
      <c r="I362" s="13">
        <v>-138.04</v>
      </c>
      <c r="J362" s="13"/>
      <c r="K362" s="13"/>
    </row>
    <row r="363" spans="1:11" x14ac:dyDescent="0.25">
      <c r="A363" s="10">
        <v>40350</v>
      </c>
      <c r="B363" s="15">
        <f t="shared" si="10"/>
        <v>6</v>
      </c>
      <c r="C363" s="15">
        <f t="shared" si="11"/>
        <v>2010</v>
      </c>
      <c r="D363" s="13">
        <v>-0.18</v>
      </c>
      <c r="E363" s="13">
        <v>126.27986348122869</v>
      </c>
      <c r="F363" s="13"/>
      <c r="G363" s="13"/>
      <c r="H363" s="13">
        <v>44.9</v>
      </c>
      <c r="I363" s="13">
        <v>-134.63999999999999</v>
      </c>
      <c r="J363" s="13"/>
      <c r="K363" s="13"/>
    </row>
    <row r="364" spans="1:11" x14ac:dyDescent="0.25">
      <c r="A364" s="10">
        <v>40351</v>
      </c>
      <c r="B364" s="15">
        <f t="shared" si="10"/>
        <v>6</v>
      </c>
      <c r="C364" s="15">
        <f t="shared" si="11"/>
        <v>2010</v>
      </c>
      <c r="D364" s="13">
        <v>-0.18</v>
      </c>
      <c r="E364" s="13">
        <v>126.69166802543617</v>
      </c>
      <c r="F364" s="13"/>
      <c r="G364" s="13"/>
      <c r="H364" s="13">
        <v>44.9</v>
      </c>
      <c r="I364" s="13">
        <v>-134.63999999999999</v>
      </c>
      <c r="J364" s="13"/>
      <c r="K364" s="13"/>
    </row>
    <row r="365" spans="1:11" x14ac:dyDescent="0.25">
      <c r="A365" s="10">
        <v>40352</v>
      </c>
      <c r="B365" s="15">
        <f t="shared" si="10"/>
        <v>6</v>
      </c>
      <c r="C365" s="15">
        <f t="shared" si="11"/>
        <v>2010</v>
      </c>
      <c r="D365" s="13">
        <v>-0.18</v>
      </c>
      <c r="E365" s="13">
        <v>126.20807276861854</v>
      </c>
      <c r="F365" s="13"/>
      <c r="G365" s="13"/>
      <c r="H365" s="13">
        <v>44.9</v>
      </c>
      <c r="I365" s="13">
        <v>-134.63999999999999</v>
      </c>
      <c r="J365" s="13"/>
      <c r="K365" s="13"/>
    </row>
    <row r="366" spans="1:11" x14ac:dyDescent="0.25">
      <c r="A366" s="10">
        <v>40353</v>
      </c>
      <c r="B366" s="15">
        <f t="shared" si="10"/>
        <v>6</v>
      </c>
      <c r="C366" s="15">
        <f t="shared" si="11"/>
        <v>2010</v>
      </c>
      <c r="D366" s="13">
        <v>-0.18</v>
      </c>
      <c r="E366" s="13">
        <v>126.00340549744587</v>
      </c>
      <c r="F366" s="13"/>
      <c r="G366" s="13"/>
      <c r="H366" s="13">
        <v>44.9</v>
      </c>
      <c r="I366" s="13">
        <v>-134.63999999999999</v>
      </c>
      <c r="J366" s="13"/>
      <c r="K366" s="13"/>
    </row>
    <row r="367" spans="1:11" x14ac:dyDescent="0.25">
      <c r="A367" s="10">
        <v>40354</v>
      </c>
      <c r="B367" s="15">
        <f t="shared" si="10"/>
        <v>6</v>
      </c>
      <c r="C367" s="15">
        <f t="shared" si="11"/>
        <v>2010</v>
      </c>
      <c r="D367" s="13">
        <v>-0.18</v>
      </c>
      <c r="E367" s="13">
        <v>125.58590593179247</v>
      </c>
      <c r="F367" s="13"/>
      <c r="G367" s="13"/>
      <c r="H367" s="13">
        <v>44.9</v>
      </c>
      <c r="I367" s="13">
        <v>-134.63999999999999</v>
      </c>
      <c r="J367" s="13"/>
      <c r="K367" s="13"/>
    </row>
    <row r="368" spans="1:11" x14ac:dyDescent="0.25">
      <c r="A368" s="10">
        <v>40357</v>
      </c>
      <c r="B368" s="15">
        <f t="shared" si="10"/>
        <v>6</v>
      </c>
      <c r="C368" s="15">
        <f t="shared" si="11"/>
        <v>2010</v>
      </c>
      <c r="D368" s="13">
        <v>11.02</v>
      </c>
      <c r="E368" s="13">
        <v>130.1865276533355</v>
      </c>
      <c r="F368" s="13"/>
      <c r="G368" s="13"/>
      <c r="H368" s="13">
        <v>50.9</v>
      </c>
      <c r="I368" s="13">
        <v>-134.66999999999999</v>
      </c>
      <c r="J368" s="13"/>
      <c r="K368" s="13"/>
    </row>
    <row r="369" spans="1:11" x14ac:dyDescent="0.25">
      <c r="A369" s="10">
        <v>40358</v>
      </c>
      <c r="B369" s="15">
        <f t="shared" si="10"/>
        <v>6</v>
      </c>
      <c r="C369" s="15">
        <f t="shared" si="11"/>
        <v>2010</v>
      </c>
      <c r="D369" s="13">
        <v>11.02</v>
      </c>
      <c r="E369" s="13">
        <v>131.23409146892192</v>
      </c>
      <c r="F369" s="13"/>
      <c r="G369" s="13"/>
      <c r="H369" s="13">
        <v>50.9</v>
      </c>
      <c r="I369" s="13">
        <v>-134.66999999999999</v>
      </c>
      <c r="J369" s="13"/>
      <c r="K369" s="13"/>
    </row>
    <row r="370" spans="1:11" x14ac:dyDescent="0.25">
      <c r="A370" s="10">
        <v>40359</v>
      </c>
      <c r="B370" s="15">
        <f t="shared" si="10"/>
        <v>6</v>
      </c>
      <c r="C370" s="15">
        <f t="shared" si="11"/>
        <v>2010</v>
      </c>
      <c r="D370" s="13">
        <v>11.02</v>
      </c>
      <c r="E370" s="13">
        <v>130.64410658819682</v>
      </c>
      <c r="F370" s="13"/>
      <c r="G370" s="13"/>
      <c r="H370" s="13">
        <v>50.9</v>
      </c>
      <c r="I370" s="13">
        <v>-134.66999999999999</v>
      </c>
      <c r="J370" s="13"/>
      <c r="K370" s="13"/>
    </row>
    <row r="371" spans="1:11" x14ac:dyDescent="0.25">
      <c r="A371" s="10">
        <v>40360</v>
      </c>
      <c r="B371" s="15">
        <f t="shared" si="10"/>
        <v>7</v>
      </c>
      <c r="C371" s="15">
        <f t="shared" si="11"/>
        <v>2010</v>
      </c>
      <c r="D371" s="13">
        <v>11.02</v>
      </c>
      <c r="E371" s="13">
        <v>127.69034113605497</v>
      </c>
      <c r="F371" s="13"/>
      <c r="G371" s="13"/>
      <c r="H371" s="13">
        <v>50.9</v>
      </c>
      <c r="I371" s="13">
        <v>-134.66999999999999</v>
      </c>
      <c r="J371" s="13"/>
      <c r="K371" s="13"/>
    </row>
    <row r="372" spans="1:11" x14ac:dyDescent="0.25">
      <c r="A372" s="10">
        <v>40361</v>
      </c>
      <c r="B372" s="15">
        <f t="shared" si="10"/>
        <v>7</v>
      </c>
      <c r="C372" s="15">
        <f t="shared" si="11"/>
        <v>2010</v>
      </c>
      <c r="D372" s="13">
        <v>11.02</v>
      </c>
      <c r="E372" s="13">
        <v>127.2531847133758</v>
      </c>
      <c r="F372" s="13"/>
      <c r="G372" s="13"/>
      <c r="H372" s="13">
        <v>50.9</v>
      </c>
      <c r="I372" s="13">
        <v>-134.66999999999999</v>
      </c>
      <c r="J372" s="13"/>
      <c r="K372" s="13"/>
    </row>
    <row r="373" spans="1:11" x14ac:dyDescent="0.25">
      <c r="A373" s="10">
        <v>40365</v>
      </c>
      <c r="B373" s="15">
        <f t="shared" si="10"/>
        <v>7</v>
      </c>
      <c r="C373" s="15">
        <f t="shared" si="11"/>
        <v>2010</v>
      </c>
      <c r="D373" s="13">
        <v>25.27</v>
      </c>
      <c r="E373" s="13">
        <v>135.39570625049512</v>
      </c>
      <c r="F373" s="13"/>
      <c r="G373" s="13"/>
      <c r="H373" s="13">
        <v>46.57</v>
      </c>
      <c r="I373" s="13">
        <v>-129.52000000000001</v>
      </c>
      <c r="J373" s="13"/>
      <c r="K373" s="13"/>
    </row>
    <row r="374" spans="1:11" x14ac:dyDescent="0.25">
      <c r="A374" s="10">
        <v>40366</v>
      </c>
      <c r="B374" s="15">
        <f t="shared" si="10"/>
        <v>7</v>
      </c>
      <c r="C374" s="15">
        <f t="shared" si="11"/>
        <v>2010</v>
      </c>
      <c r="D374" s="13">
        <v>25.27</v>
      </c>
      <c r="E374" s="13">
        <v>135.27782175083107</v>
      </c>
      <c r="F374" s="13"/>
      <c r="G374" s="13"/>
      <c r="H374" s="13">
        <v>46.57</v>
      </c>
      <c r="I374" s="13">
        <v>-129.52000000000001</v>
      </c>
      <c r="J374" s="13"/>
      <c r="K374" s="13"/>
    </row>
    <row r="375" spans="1:11" x14ac:dyDescent="0.25">
      <c r="A375" s="10">
        <v>40367</v>
      </c>
      <c r="B375" s="15">
        <f t="shared" si="10"/>
        <v>7</v>
      </c>
      <c r="C375" s="15">
        <f t="shared" si="11"/>
        <v>2010</v>
      </c>
      <c r="D375" s="13">
        <v>25.27</v>
      </c>
      <c r="E375" s="13">
        <v>134.64901914441029</v>
      </c>
      <c r="F375" s="13"/>
      <c r="G375" s="13"/>
      <c r="H375" s="13">
        <v>46.57</v>
      </c>
      <c r="I375" s="13">
        <v>-129.52000000000001</v>
      </c>
      <c r="J375" s="13"/>
      <c r="K375" s="13"/>
    </row>
    <row r="376" spans="1:11" x14ac:dyDescent="0.25">
      <c r="A376" s="10">
        <v>40368</v>
      </c>
      <c r="B376" s="15">
        <f t="shared" si="10"/>
        <v>7</v>
      </c>
      <c r="C376" s="15">
        <f t="shared" si="11"/>
        <v>2010</v>
      </c>
      <c r="D376" s="13">
        <v>25.27</v>
      </c>
      <c r="E376" s="13">
        <v>135.27782175083107</v>
      </c>
      <c r="F376" s="13"/>
      <c r="G376" s="13"/>
      <c r="H376" s="13">
        <v>46.57</v>
      </c>
      <c r="I376" s="13">
        <v>-129.52000000000001</v>
      </c>
      <c r="J376" s="13"/>
      <c r="K376" s="13"/>
    </row>
    <row r="377" spans="1:11" x14ac:dyDescent="0.25">
      <c r="A377" s="10">
        <v>40371</v>
      </c>
      <c r="B377" s="15">
        <f t="shared" si="10"/>
        <v>7</v>
      </c>
      <c r="C377" s="15">
        <f t="shared" si="11"/>
        <v>2010</v>
      </c>
      <c r="D377" s="13">
        <v>30.97</v>
      </c>
      <c r="E377" s="13">
        <v>135.4674716021924</v>
      </c>
      <c r="F377" s="13"/>
      <c r="G377" s="13"/>
      <c r="H377" s="13">
        <v>44.39</v>
      </c>
      <c r="I377" s="13">
        <v>-136.37</v>
      </c>
      <c r="J377" s="13"/>
      <c r="K377" s="13"/>
    </row>
    <row r="378" spans="1:11" x14ac:dyDescent="0.25">
      <c r="A378" s="10">
        <v>40372</v>
      </c>
      <c r="B378" s="15">
        <f t="shared" si="10"/>
        <v>7</v>
      </c>
      <c r="C378" s="15">
        <f t="shared" si="11"/>
        <v>2010</v>
      </c>
      <c r="D378" s="13">
        <v>30.97</v>
      </c>
      <c r="E378" s="13">
        <v>134.009115197234</v>
      </c>
      <c r="F378" s="13"/>
      <c r="G378" s="13"/>
      <c r="H378" s="13">
        <v>44.39</v>
      </c>
      <c r="I378" s="13">
        <v>-136.37</v>
      </c>
      <c r="J378" s="13"/>
      <c r="K378" s="13"/>
    </row>
    <row r="379" spans="1:11" x14ac:dyDescent="0.25">
      <c r="A379" s="10">
        <v>40373</v>
      </c>
      <c r="B379" s="15">
        <f t="shared" si="10"/>
        <v>7</v>
      </c>
      <c r="C379" s="15">
        <f t="shared" si="11"/>
        <v>2010</v>
      </c>
      <c r="D379" s="13">
        <v>30.97</v>
      </c>
      <c r="E379" s="13">
        <v>133.861852433281</v>
      </c>
      <c r="F379" s="13"/>
      <c r="G379" s="13"/>
      <c r="H379" s="13">
        <v>44.39</v>
      </c>
      <c r="I379" s="13">
        <v>-136.37</v>
      </c>
      <c r="J379" s="13"/>
      <c r="K379" s="13"/>
    </row>
    <row r="380" spans="1:11" x14ac:dyDescent="0.25">
      <c r="A380" s="10">
        <v>40374</v>
      </c>
      <c r="B380" s="15">
        <f t="shared" si="10"/>
        <v>7</v>
      </c>
      <c r="C380" s="15">
        <f t="shared" si="11"/>
        <v>2010</v>
      </c>
      <c r="D380" s="13">
        <v>30.97</v>
      </c>
      <c r="E380" s="13">
        <v>131.81326325552635</v>
      </c>
      <c r="F380" s="13"/>
      <c r="G380" s="13"/>
      <c r="H380" s="13">
        <v>44.39</v>
      </c>
      <c r="I380" s="13">
        <v>-136.37</v>
      </c>
      <c r="J380" s="13"/>
      <c r="K380" s="13"/>
    </row>
    <row r="381" spans="1:11" x14ac:dyDescent="0.25">
      <c r="A381" s="10">
        <v>40375</v>
      </c>
      <c r="B381" s="15">
        <f t="shared" si="10"/>
        <v>7</v>
      </c>
      <c r="C381" s="15">
        <f t="shared" si="11"/>
        <v>2010</v>
      </c>
      <c r="D381" s="13">
        <v>30.97</v>
      </c>
      <c r="E381" s="13">
        <v>131.89481825212684</v>
      </c>
      <c r="F381" s="13"/>
      <c r="G381" s="13"/>
      <c r="H381" s="13">
        <v>44.39</v>
      </c>
      <c r="I381" s="13">
        <v>-136.37</v>
      </c>
      <c r="J381" s="13"/>
      <c r="K381" s="13"/>
    </row>
    <row r="382" spans="1:11" x14ac:dyDescent="0.25">
      <c r="A382" s="10">
        <v>40378</v>
      </c>
      <c r="B382" s="15">
        <f t="shared" si="10"/>
        <v>7</v>
      </c>
      <c r="C382" s="15">
        <f t="shared" si="11"/>
        <v>2010</v>
      </c>
      <c r="D382" s="13">
        <v>24.71</v>
      </c>
      <c r="E382" s="13">
        <v>128.04482225656878</v>
      </c>
      <c r="F382" s="13"/>
      <c r="G382" s="13"/>
      <c r="H382" s="13">
        <v>28.17</v>
      </c>
      <c r="I382" s="13">
        <v>-141.94999999999999</v>
      </c>
      <c r="J382" s="13"/>
      <c r="K382" s="13"/>
    </row>
    <row r="383" spans="1:11" x14ac:dyDescent="0.25">
      <c r="A383" s="10">
        <v>40379</v>
      </c>
      <c r="B383" s="15">
        <f t="shared" si="10"/>
        <v>7</v>
      </c>
      <c r="C383" s="15">
        <f t="shared" si="11"/>
        <v>2010</v>
      </c>
      <c r="D383" s="13">
        <v>24.71</v>
      </c>
      <c r="E383" s="13">
        <v>128.60136603539274</v>
      </c>
      <c r="F383" s="13"/>
      <c r="G383" s="13"/>
      <c r="H383" s="13">
        <v>28.17</v>
      </c>
      <c r="I383" s="13">
        <v>-141.94999999999999</v>
      </c>
      <c r="J383" s="13"/>
      <c r="K383" s="13"/>
    </row>
    <row r="384" spans="1:11" x14ac:dyDescent="0.25">
      <c r="A384" s="10">
        <v>40380</v>
      </c>
      <c r="B384" s="15">
        <f t="shared" si="10"/>
        <v>7</v>
      </c>
      <c r="C384" s="15">
        <f t="shared" si="11"/>
        <v>2010</v>
      </c>
      <c r="D384" s="13">
        <v>24.71</v>
      </c>
      <c r="E384" s="13">
        <v>129.89181561618062</v>
      </c>
      <c r="F384" s="13"/>
      <c r="G384" s="13"/>
      <c r="H384" s="13">
        <v>28.17</v>
      </c>
      <c r="I384" s="13">
        <v>-141.94999999999999</v>
      </c>
      <c r="J384" s="13"/>
      <c r="K384" s="13"/>
    </row>
    <row r="385" spans="1:11" x14ac:dyDescent="0.25">
      <c r="A385" s="10">
        <v>40381</v>
      </c>
      <c r="B385" s="15">
        <f t="shared" si="10"/>
        <v>7</v>
      </c>
      <c r="C385" s="15">
        <f t="shared" si="11"/>
        <v>2010</v>
      </c>
      <c r="D385" s="13">
        <v>24.71</v>
      </c>
      <c r="E385" s="13">
        <v>128.56145251396649</v>
      </c>
      <c r="F385" s="13"/>
      <c r="G385" s="13"/>
      <c r="H385" s="13">
        <v>28.17</v>
      </c>
      <c r="I385" s="13">
        <v>-141.94999999999999</v>
      </c>
      <c r="J385" s="13"/>
      <c r="K385" s="13"/>
    </row>
    <row r="386" spans="1:11" x14ac:dyDescent="0.25">
      <c r="A386" s="10">
        <v>40382</v>
      </c>
      <c r="B386" s="15">
        <f t="shared" si="10"/>
        <v>7</v>
      </c>
      <c r="C386" s="15">
        <f t="shared" si="11"/>
        <v>2010</v>
      </c>
      <c r="D386" s="13">
        <v>24.71</v>
      </c>
      <c r="E386" s="13">
        <v>128.40204587724736</v>
      </c>
      <c r="F386" s="13"/>
      <c r="G386" s="13"/>
      <c r="H386" s="13">
        <v>28.17</v>
      </c>
      <c r="I386" s="13">
        <v>-141.94999999999999</v>
      </c>
      <c r="J386" s="13"/>
      <c r="K386" s="13"/>
    </row>
    <row r="387" spans="1:11" x14ac:dyDescent="0.25">
      <c r="A387" s="10">
        <v>40385</v>
      </c>
      <c r="B387" s="15">
        <f t="shared" ref="B387:B450" si="12">MONTH(A387)</f>
        <v>7</v>
      </c>
      <c r="C387" s="15">
        <f t="shared" ref="C387:C450" si="13">YEAR(A387)</f>
        <v>2010</v>
      </c>
      <c r="D387" s="13">
        <v>21.56</v>
      </c>
      <c r="E387" s="13">
        <v>134.27735878097582</v>
      </c>
      <c r="F387" s="13"/>
      <c r="G387" s="13"/>
      <c r="H387" s="13">
        <v>28.71</v>
      </c>
      <c r="I387" s="13">
        <v>-142.22</v>
      </c>
      <c r="J387" s="13"/>
      <c r="K387" s="13"/>
    </row>
    <row r="388" spans="1:11" x14ac:dyDescent="0.25">
      <c r="A388" s="10">
        <v>40386</v>
      </c>
      <c r="B388" s="15">
        <f t="shared" si="12"/>
        <v>7</v>
      </c>
      <c r="C388" s="15">
        <f t="shared" si="13"/>
        <v>2010</v>
      </c>
      <c r="D388" s="13">
        <v>21.56</v>
      </c>
      <c r="E388" s="13">
        <v>134.2876933733549</v>
      </c>
      <c r="F388" s="13"/>
      <c r="G388" s="13"/>
      <c r="H388" s="13">
        <v>28.71</v>
      </c>
      <c r="I388" s="13">
        <v>-142.22</v>
      </c>
      <c r="J388" s="13"/>
      <c r="K388" s="13"/>
    </row>
    <row r="389" spans="1:11" x14ac:dyDescent="0.25">
      <c r="A389" s="10">
        <v>40387</v>
      </c>
      <c r="B389" s="15">
        <f t="shared" si="12"/>
        <v>7</v>
      </c>
      <c r="C389" s="15">
        <f t="shared" si="13"/>
        <v>2010</v>
      </c>
      <c r="D389" s="13">
        <v>21.56</v>
      </c>
      <c r="E389" s="13">
        <v>134.29802955665025</v>
      </c>
      <c r="F389" s="13"/>
      <c r="G389" s="13"/>
      <c r="H389" s="13">
        <v>28.71</v>
      </c>
      <c r="I389" s="13">
        <v>-142.22</v>
      </c>
      <c r="J389" s="13"/>
      <c r="K389" s="13"/>
    </row>
    <row r="390" spans="1:11" x14ac:dyDescent="0.25">
      <c r="A390" s="10">
        <v>40388</v>
      </c>
      <c r="B390" s="15">
        <f t="shared" si="12"/>
        <v>7</v>
      </c>
      <c r="C390" s="15">
        <f t="shared" si="13"/>
        <v>2010</v>
      </c>
      <c r="D390" s="13">
        <v>21.56</v>
      </c>
      <c r="E390" s="13">
        <v>133.42509749942647</v>
      </c>
      <c r="F390" s="13"/>
      <c r="G390" s="13"/>
      <c r="H390" s="13">
        <v>28.71</v>
      </c>
      <c r="I390" s="13">
        <v>-142.22</v>
      </c>
      <c r="J390" s="13"/>
      <c r="K390" s="13"/>
    </row>
    <row r="391" spans="1:11" x14ac:dyDescent="0.25">
      <c r="A391" s="10">
        <v>40389</v>
      </c>
      <c r="B391" s="15">
        <f t="shared" si="12"/>
        <v>7</v>
      </c>
      <c r="C391" s="15">
        <f t="shared" si="13"/>
        <v>2010</v>
      </c>
      <c r="D391" s="13">
        <v>21.56</v>
      </c>
      <c r="E391" s="13">
        <v>133.75239555385204</v>
      </c>
      <c r="F391" s="13"/>
      <c r="G391" s="13"/>
      <c r="H391" s="13">
        <v>28.71</v>
      </c>
      <c r="I391" s="13">
        <v>-142.22</v>
      </c>
      <c r="J391" s="13"/>
      <c r="K391" s="13"/>
    </row>
    <row r="392" spans="1:11" x14ac:dyDescent="0.25">
      <c r="A392" s="10">
        <v>40392</v>
      </c>
      <c r="B392" s="15">
        <f t="shared" si="12"/>
        <v>8</v>
      </c>
      <c r="C392" s="15">
        <f t="shared" si="13"/>
        <v>2010</v>
      </c>
      <c r="D392" s="13">
        <v>31.91</v>
      </c>
      <c r="E392" s="13">
        <v>133.23975720789076</v>
      </c>
      <c r="F392" s="13"/>
      <c r="G392" s="13"/>
      <c r="H392" s="13">
        <v>27.93</v>
      </c>
      <c r="I392" s="13">
        <v>-149.22999999999999</v>
      </c>
      <c r="J392" s="13"/>
      <c r="K392" s="13"/>
    </row>
    <row r="393" spans="1:11" x14ac:dyDescent="0.25">
      <c r="A393" s="10">
        <v>40393</v>
      </c>
      <c r="B393" s="15">
        <f t="shared" si="12"/>
        <v>8</v>
      </c>
      <c r="C393" s="15">
        <f t="shared" si="13"/>
        <v>2010</v>
      </c>
      <c r="D393" s="13">
        <v>31.91</v>
      </c>
      <c r="E393" s="13">
        <v>132.77634961439588</v>
      </c>
      <c r="F393" s="13"/>
      <c r="G393" s="13"/>
      <c r="H393" s="13">
        <v>27.93</v>
      </c>
      <c r="I393" s="13">
        <v>-149.22999999999999</v>
      </c>
      <c r="J393" s="13"/>
      <c r="K393" s="13"/>
    </row>
    <row r="394" spans="1:11" x14ac:dyDescent="0.25">
      <c r="A394" s="10">
        <v>40394</v>
      </c>
      <c r="B394" s="15">
        <f t="shared" si="12"/>
        <v>8</v>
      </c>
      <c r="C394" s="15">
        <f t="shared" si="13"/>
        <v>2010</v>
      </c>
      <c r="D394" s="13">
        <v>31.91</v>
      </c>
      <c r="E394" s="13">
        <v>133.46253229974161</v>
      </c>
      <c r="F394" s="13"/>
      <c r="G394" s="13"/>
      <c r="H394" s="13">
        <v>27.93</v>
      </c>
      <c r="I394" s="13">
        <v>-149.22999999999999</v>
      </c>
      <c r="J394" s="13"/>
      <c r="K394" s="13"/>
    </row>
    <row r="395" spans="1:11" x14ac:dyDescent="0.25">
      <c r="A395" s="10">
        <v>40395</v>
      </c>
      <c r="B395" s="15">
        <f t="shared" si="12"/>
        <v>8</v>
      </c>
      <c r="C395" s="15">
        <f t="shared" si="13"/>
        <v>2010</v>
      </c>
      <c r="D395" s="13">
        <v>31.91</v>
      </c>
      <c r="E395" s="13">
        <v>133.12864832082482</v>
      </c>
      <c r="F395" s="13"/>
      <c r="G395" s="13"/>
      <c r="H395" s="13">
        <v>27.93</v>
      </c>
      <c r="I395" s="13">
        <v>-149.22999999999999</v>
      </c>
      <c r="J395" s="13"/>
      <c r="K395" s="13"/>
    </row>
    <row r="396" spans="1:11" x14ac:dyDescent="0.25">
      <c r="A396" s="10">
        <v>40396</v>
      </c>
      <c r="B396" s="15">
        <f t="shared" si="12"/>
        <v>8</v>
      </c>
      <c r="C396" s="15">
        <f t="shared" si="13"/>
        <v>2010</v>
      </c>
      <c r="D396" s="13">
        <v>31.91</v>
      </c>
      <c r="E396" s="13">
        <v>132.2165336545701</v>
      </c>
      <c r="F396" s="13"/>
      <c r="G396" s="13"/>
      <c r="H396" s="13">
        <v>27.93</v>
      </c>
      <c r="I396" s="13">
        <v>-149.22999999999999</v>
      </c>
      <c r="J396" s="13"/>
      <c r="K396" s="13"/>
    </row>
    <row r="397" spans="1:11" x14ac:dyDescent="0.25">
      <c r="A397" s="10">
        <v>40399</v>
      </c>
      <c r="B397" s="15">
        <f t="shared" si="12"/>
        <v>8</v>
      </c>
      <c r="C397" s="15">
        <f t="shared" si="13"/>
        <v>2010</v>
      </c>
      <c r="D397" s="13">
        <v>35.75</v>
      </c>
      <c r="E397" s="13">
        <v>154.74607013301087</v>
      </c>
      <c r="F397" s="13"/>
      <c r="G397" s="13"/>
      <c r="H397" s="13">
        <v>25.47</v>
      </c>
      <c r="I397" s="13">
        <v>-148.88999999999999</v>
      </c>
      <c r="J397" s="13"/>
      <c r="K397" s="13"/>
    </row>
    <row r="398" spans="1:11" x14ac:dyDescent="0.25">
      <c r="A398" s="10">
        <v>40400</v>
      </c>
      <c r="B398" s="15">
        <f t="shared" si="12"/>
        <v>8</v>
      </c>
      <c r="C398" s="15">
        <f t="shared" si="13"/>
        <v>2010</v>
      </c>
      <c r="D398" s="13">
        <v>35.75</v>
      </c>
      <c r="E398" s="13">
        <v>155.3919708583137</v>
      </c>
      <c r="F398" s="13"/>
      <c r="G398" s="13"/>
      <c r="H398" s="13">
        <v>25.47</v>
      </c>
      <c r="I398" s="13">
        <v>-148.88999999999999</v>
      </c>
      <c r="J398" s="13"/>
      <c r="K398" s="13"/>
    </row>
    <row r="399" spans="1:11" x14ac:dyDescent="0.25">
      <c r="A399" s="10">
        <v>40401</v>
      </c>
      <c r="B399" s="15">
        <f t="shared" si="12"/>
        <v>8</v>
      </c>
      <c r="C399" s="15">
        <f t="shared" si="13"/>
        <v>2010</v>
      </c>
      <c r="D399" s="13">
        <v>35.75</v>
      </c>
      <c r="E399" s="13">
        <v>159.56982543640899</v>
      </c>
      <c r="F399" s="13"/>
      <c r="G399" s="13"/>
      <c r="H399" s="13">
        <v>25.47</v>
      </c>
      <c r="I399" s="13">
        <v>-148.88999999999999</v>
      </c>
      <c r="J399" s="13"/>
      <c r="K399" s="13"/>
    </row>
    <row r="400" spans="1:11" x14ac:dyDescent="0.25">
      <c r="A400" s="10">
        <v>40402</v>
      </c>
      <c r="B400" s="15">
        <f t="shared" si="12"/>
        <v>8</v>
      </c>
      <c r="C400" s="15">
        <f t="shared" si="13"/>
        <v>2010</v>
      </c>
      <c r="D400" s="13">
        <v>35.75</v>
      </c>
      <c r="E400" s="13">
        <v>159.68182172658504</v>
      </c>
      <c r="F400" s="13"/>
      <c r="G400" s="13"/>
      <c r="H400" s="13">
        <v>25.47</v>
      </c>
      <c r="I400" s="13">
        <v>-148.88999999999999</v>
      </c>
      <c r="J400" s="13"/>
      <c r="K400" s="13"/>
    </row>
    <row r="401" spans="1:11" x14ac:dyDescent="0.25">
      <c r="A401" s="10">
        <v>40403</v>
      </c>
      <c r="B401" s="15">
        <f t="shared" si="12"/>
        <v>8</v>
      </c>
      <c r="C401" s="15">
        <f t="shared" si="13"/>
        <v>2010</v>
      </c>
      <c r="D401" s="13">
        <v>35.75</v>
      </c>
      <c r="E401" s="13">
        <v>160.59607843137255</v>
      </c>
      <c r="F401" s="13"/>
      <c r="G401" s="13"/>
      <c r="H401" s="13">
        <v>25.47</v>
      </c>
      <c r="I401" s="13">
        <v>-148.88999999999999</v>
      </c>
      <c r="J401" s="13"/>
      <c r="K401" s="13"/>
    </row>
    <row r="402" spans="1:11" x14ac:dyDescent="0.25">
      <c r="A402" s="10">
        <v>40406</v>
      </c>
      <c r="B402" s="15">
        <f t="shared" si="12"/>
        <v>8</v>
      </c>
      <c r="C402" s="15">
        <f t="shared" si="13"/>
        <v>2010</v>
      </c>
      <c r="D402" s="13">
        <v>-19.3</v>
      </c>
      <c r="E402" s="13">
        <v>156.7495905794276</v>
      </c>
      <c r="F402" s="13"/>
      <c r="G402" s="13"/>
      <c r="H402" s="13">
        <v>16.07</v>
      </c>
      <c r="I402" s="13">
        <v>-143.07</v>
      </c>
      <c r="J402" s="13"/>
      <c r="K402" s="13"/>
    </row>
    <row r="403" spans="1:11" x14ac:dyDescent="0.25">
      <c r="A403" s="10">
        <v>40407</v>
      </c>
      <c r="B403" s="15">
        <f t="shared" si="12"/>
        <v>8</v>
      </c>
      <c r="C403" s="15">
        <f t="shared" si="13"/>
        <v>2010</v>
      </c>
      <c r="D403" s="13">
        <v>-19.3</v>
      </c>
      <c r="E403" s="13">
        <v>156.06801770323781</v>
      </c>
      <c r="F403" s="13"/>
      <c r="G403" s="13"/>
      <c r="H403" s="13">
        <v>16.07</v>
      </c>
      <c r="I403" s="13">
        <v>-143.07</v>
      </c>
      <c r="J403" s="13"/>
      <c r="K403" s="13"/>
    </row>
    <row r="404" spans="1:11" x14ac:dyDescent="0.25">
      <c r="A404" s="10">
        <v>40408</v>
      </c>
      <c r="B404" s="15">
        <f t="shared" si="12"/>
        <v>8</v>
      </c>
      <c r="C404" s="15">
        <f t="shared" si="13"/>
        <v>2010</v>
      </c>
      <c r="D404" s="13">
        <v>-19.3</v>
      </c>
      <c r="E404" s="13">
        <v>156.35939323220535</v>
      </c>
      <c r="F404" s="13"/>
      <c r="G404" s="13"/>
      <c r="H404" s="13">
        <v>16.07</v>
      </c>
      <c r="I404" s="13">
        <v>-143.07</v>
      </c>
      <c r="J404" s="13"/>
      <c r="K404" s="13"/>
    </row>
    <row r="405" spans="1:11" x14ac:dyDescent="0.25">
      <c r="A405" s="10">
        <v>40409</v>
      </c>
      <c r="B405" s="15">
        <f t="shared" si="12"/>
        <v>8</v>
      </c>
      <c r="C405" s="15">
        <f t="shared" si="13"/>
        <v>2010</v>
      </c>
      <c r="D405" s="13">
        <v>-19.3</v>
      </c>
      <c r="E405" s="13">
        <v>156.78627145085804</v>
      </c>
      <c r="F405" s="13"/>
      <c r="G405" s="13"/>
      <c r="H405" s="13">
        <v>16.07</v>
      </c>
      <c r="I405" s="13">
        <v>-143.07</v>
      </c>
      <c r="J405" s="13"/>
      <c r="K405" s="13"/>
    </row>
    <row r="406" spans="1:11" x14ac:dyDescent="0.25">
      <c r="A406" s="10">
        <v>40410</v>
      </c>
      <c r="B406" s="15">
        <f t="shared" si="12"/>
        <v>8</v>
      </c>
      <c r="C406" s="15">
        <f t="shared" si="13"/>
        <v>2010</v>
      </c>
      <c r="D406" s="13">
        <v>-19.3</v>
      </c>
      <c r="E406" s="13">
        <v>158.20543093270368</v>
      </c>
      <c r="F406" s="13"/>
      <c r="G406" s="13"/>
      <c r="H406" s="13">
        <v>16.07</v>
      </c>
      <c r="I406" s="13">
        <v>-143.07</v>
      </c>
      <c r="J406" s="13"/>
      <c r="K406" s="13"/>
    </row>
    <row r="407" spans="1:11" x14ac:dyDescent="0.25">
      <c r="A407" s="10">
        <v>40413</v>
      </c>
      <c r="B407" s="15">
        <f t="shared" si="12"/>
        <v>8</v>
      </c>
      <c r="C407" s="15">
        <f t="shared" si="13"/>
        <v>2010</v>
      </c>
      <c r="D407" s="13">
        <v>-15.18</v>
      </c>
      <c r="E407" s="13">
        <v>167.77531995575922</v>
      </c>
      <c r="F407" s="13"/>
      <c r="G407" s="13"/>
      <c r="H407" s="13">
        <v>26.01</v>
      </c>
      <c r="I407" s="13">
        <v>-125.63</v>
      </c>
      <c r="J407" s="13"/>
      <c r="K407" s="13"/>
    </row>
    <row r="408" spans="1:11" x14ac:dyDescent="0.25">
      <c r="A408" s="10">
        <v>40414</v>
      </c>
      <c r="B408" s="15">
        <f t="shared" si="12"/>
        <v>8</v>
      </c>
      <c r="C408" s="15">
        <f t="shared" si="13"/>
        <v>2010</v>
      </c>
      <c r="D408" s="13">
        <v>-15.18</v>
      </c>
      <c r="E408" s="13">
        <v>168.22718631178708</v>
      </c>
      <c r="F408" s="13"/>
      <c r="G408" s="13"/>
      <c r="H408" s="13">
        <v>26.01</v>
      </c>
      <c r="I408" s="13">
        <v>-125.63</v>
      </c>
      <c r="J408" s="13"/>
      <c r="K408" s="13"/>
    </row>
    <row r="409" spans="1:11" x14ac:dyDescent="0.25">
      <c r="A409" s="10">
        <v>40415</v>
      </c>
      <c r="B409" s="15">
        <f t="shared" si="12"/>
        <v>8</v>
      </c>
      <c r="C409" s="15">
        <f t="shared" si="13"/>
        <v>2010</v>
      </c>
      <c r="D409" s="13">
        <v>-15.18</v>
      </c>
      <c r="E409" s="13">
        <v>167.78857549182271</v>
      </c>
      <c r="F409" s="13"/>
      <c r="G409" s="13"/>
      <c r="H409" s="13">
        <v>26.01</v>
      </c>
      <c r="I409" s="13">
        <v>-125.63</v>
      </c>
      <c r="J409" s="13"/>
      <c r="K409" s="13"/>
    </row>
    <row r="410" spans="1:11" x14ac:dyDescent="0.25">
      <c r="A410" s="10">
        <v>40416</v>
      </c>
      <c r="B410" s="15">
        <f t="shared" si="12"/>
        <v>8</v>
      </c>
      <c r="C410" s="15">
        <f t="shared" si="13"/>
        <v>2010</v>
      </c>
      <c r="D410" s="13">
        <v>-15.18</v>
      </c>
      <c r="E410" s="13">
        <v>166.97067379510969</v>
      </c>
      <c r="F410" s="13"/>
      <c r="G410" s="13"/>
      <c r="H410" s="13">
        <v>26.01</v>
      </c>
      <c r="I410" s="13">
        <v>-125.63</v>
      </c>
      <c r="J410" s="13"/>
      <c r="K410" s="13"/>
    </row>
    <row r="411" spans="1:11" x14ac:dyDescent="0.25">
      <c r="A411" s="10">
        <v>40417</v>
      </c>
      <c r="B411" s="15">
        <f t="shared" si="12"/>
        <v>8</v>
      </c>
      <c r="C411" s="15">
        <f t="shared" si="13"/>
        <v>2010</v>
      </c>
      <c r="D411" s="13">
        <v>-15.18</v>
      </c>
      <c r="E411" s="13">
        <v>166.40808650681711</v>
      </c>
      <c r="F411" s="13"/>
      <c r="G411" s="13"/>
      <c r="H411" s="13">
        <v>26.01</v>
      </c>
      <c r="I411" s="13">
        <v>-125.63</v>
      </c>
      <c r="J411" s="13"/>
      <c r="K411" s="13"/>
    </row>
    <row r="412" spans="1:11" x14ac:dyDescent="0.25">
      <c r="A412" s="10">
        <v>40420</v>
      </c>
      <c r="B412" s="15">
        <f t="shared" si="12"/>
        <v>8</v>
      </c>
      <c r="C412" s="15">
        <f t="shared" si="13"/>
        <v>2010</v>
      </c>
      <c r="D412" s="13">
        <v>-16.559999999999999</v>
      </c>
      <c r="E412" s="13">
        <v>158.50114506830926</v>
      </c>
      <c r="F412" s="13"/>
      <c r="G412" s="13"/>
      <c r="H412" s="13">
        <v>28.49</v>
      </c>
      <c r="I412" s="13">
        <v>-143.91</v>
      </c>
      <c r="J412" s="13"/>
      <c r="K412" s="13"/>
    </row>
    <row r="413" spans="1:11" x14ac:dyDescent="0.25">
      <c r="A413" s="10">
        <v>40421</v>
      </c>
      <c r="B413" s="15">
        <f t="shared" si="12"/>
        <v>8</v>
      </c>
      <c r="C413" s="15">
        <f t="shared" si="13"/>
        <v>2010</v>
      </c>
      <c r="D413" s="13">
        <v>-16.559999999999999</v>
      </c>
      <c r="E413" s="13">
        <v>158.22625147812377</v>
      </c>
      <c r="F413" s="13"/>
      <c r="G413" s="13"/>
      <c r="H413" s="13">
        <v>28.49</v>
      </c>
      <c r="I413" s="13">
        <v>-143.91</v>
      </c>
      <c r="J413" s="13"/>
      <c r="K413" s="13"/>
    </row>
    <row r="414" spans="1:11" x14ac:dyDescent="0.25">
      <c r="A414" s="10">
        <v>40422</v>
      </c>
      <c r="B414" s="15">
        <f t="shared" si="12"/>
        <v>9</v>
      </c>
      <c r="C414" s="15">
        <f t="shared" si="13"/>
        <v>2010</v>
      </c>
      <c r="D414" s="13">
        <v>-16.559999999999999</v>
      </c>
      <c r="E414" s="13">
        <v>156.67004917648896</v>
      </c>
      <c r="F414" s="13"/>
      <c r="G414" s="13"/>
      <c r="H414" s="13">
        <v>28.49</v>
      </c>
      <c r="I414" s="13">
        <v>-143.91</v>
      </c>
      <c r="J414" s="13"/>
      <c r="K414" s="13"/>
    </row>
    <row r="415" spans="1:11" x14ac:dyDescent="0.25">
      <c r="A415" s="10">
        <v>40423</v>
      </c>
      <c r="B415" s="15">
        <f t="shared" si="12"/>
        <v>9</v>
      </c>
      <c r="C415" s="15">
        <f t="shared" si="13"/>
        <v>2010</v>
      </c>
      <c r="D415" s="13">
        <v>-16.559999999999999</v>
      </c>
      <c r="E415" s="13">
        <v>156.49902534113062</v>
      </c>
      <c r="F415" s="13"/>
      <c r="G415" s="13"/>
      <c r="H415" s="13">
        <v>28.49</v>
      </c>
      <c r="I415" s="13">
        <v>-143.91</v>
      </c>
      <c r="J415" s="13"/>
      <c r="K415" s="13"/>
    </row>
    <row r="416" spans="1:11" x14ac:dyDescent="0.25">
      <c r="A416" s="10">
        <v>40424</v>
      </c>
      <c r="B416" s="15">
        <f t="shared" si="12"/>
        <v>9</v>
      </c>
      <c r="C416" s="15">
        <f t="shared" si="13"/>
        <v>2010</v>
      </c>
      <c r="D416" s="13">
        <v>-16.559999999999999</v>
      </c>
      <c r="E416" s="13">
        <v>155.67362134491586</v>
      </c>
      <c r="F416" s="13"/>
      <c r="G416" s="13"/>
      <c r="H416" s="13">
        <v>28.49</v>
      </c>
      <c r="I416" s="13">
        <v>-143.91</v>
      </c>
      <c r="J416" s="13"/>
      <c r="K416" s="13"/>
    </row>
    <row r="417" spans="1:11" x14ac:dyDescent="0.25">
      <c r="A417" s="10">
        <v>40428</v>
      </c>
      <c r="B417" s="15">
        <f t="shared" si="12"/>
        <v>9</v>
      </c>
      <c r="C417" s="15">
        <f t="shared" si="13"/>
        <v>2010</v>
      </c>
      <c r="D417" s="13">
        <v>-14.14</v>
      </c>
      <c r="E417" s="13">
        <v>153.16984702728277</v>
      </c>
      <c r="F417" s="13"/>
      <c r="G417" s="13"/>
      <c r="H417" s="13">
        <v>18.14</v>
      </c>
      <c r="I417" s="13">
        <v>-168.56</v>
      </c>
      <c r="J417" s="13"/>
      <c r="K417" s="13"/>
    </row>
    <row r="418" spans="1:11" x14ac:dyDescent="0.25">
      <c r="A418" s="10">
        <v>40429</v>
      </c>
      <c r="B418" s="15">
        <f t="shared" si="12"/>
        <v>9</v>
      </c>
      <c r="C418" s="15">
        <f t="shared" si="13"/>
        <v>2010</v>
      </c>
      <c r="D418" s="13">
        <v>-14.14</v>
      </c>
      <c r="E418" s="13">
        <v>152.71226415094338</v>
      </c>
      <c r="F418" s="13"/>
      <c r="G418" s="13"/>
      <c r="H418" s="13">
        <v>18.14</v>
      </c>
      <c r="I418" s="13">
        <v>-168.56</v>
      </c>
      <c r="J418" s="13"/>
      <c r="K418" s="13"/>
    </row>
    <row r="419" spans="1:11" x14ac:dyDescent="0.25">
      <c r="A419" s="10">
        <v>40430</v>
      </c>
      <c r="B419" s="15">
        <f t="shared" si="12"/>
        <v>9</v>
      </c>
      <c r="C419" s="15">
        <f t="shared" si="13"/>
        <v>2010</v>
      </c>
      <c r="D419" s="13">
        <v>-14.14</v>
      </c>
      <c r="E419" s="13">
        <v>153.02505120529383</v>
      </c>
      <c r="F419" s="13"/>
      <c r="G419" s="13"/>
      <c r="H419" s="13">
        <v>18.14</v>
      </c>
      <c r="I419" s="13">
        <v>-168.56</v>
      </c>
      <c r="J419" s="13"/>
      <c r="K419" s="13"/>
    </row>
    <row r="420" spans="1:11" x14ac:dyDescent="0.25">
      <c r="A420" s="10">
        <v>40431</v>
      </c>
      <c r="B420" s="15">
        <f t="shared" si="12"/>
        <v>9</v>
      </c>
      <c r="C420" s="15">
        <f t="shared" si="13"/>
        <v>2010</v>
      </c>
      <c r="D420" s="13">
        <v>-14.14</v>
      </c>
      <c r="E420" s="13">
        <v>153.23025952512424</v>
      </c>
      <c r="F420" s="13"/>
      <c r="G420" s="13"/>
      <c r="H420" s="13">
        <v>18.14</v>
      </c>
      <c r="I420" s="13">
        <v>-168.56</v>
      </c>
      <c r="J420" s="13"/>
      <c r="K420" s="13"/>
    </row>
    <row r="421" spans="1:11" x14ac:dyDescent="0.25">
      <c r="A421" s="10">
        <v>40434</v>
      </c>
      <c r="B421" s="15">
        <f t="shared" si="12"/>
        <v>9</v>
      </c>
      <c r="C421" s="15">
        <f t="shared" si="13"/>
        <v>2010</v>
      </c>
      <c r="D421" s="13">
        <v>-11.56</v>
      </c>
      <c r="E421" s="13">
        <v>151.87140860382047</v>
      </c>
      <c r="F421" s="13"/>
      <c r="G421" s="13"/>
      <c r="H421" s="13">
        <v>33.880000000000003</v>
      </c>
      <c r="I421" s="13">
        <v>-171.13</v>
      </c>
      <c r="J421" s="13"/>
      <c r="K421" s="13"/>
    </row>
    <row r="422" spans="1:11" x14ac:dyDescent="0.25">
      <c r="A422" s="10">
        <v>40435</v>
      </c>
      <c r="B422" s="15">
        <f t="shared" si="12"/>
        <v>9</v>
      </c>
      <c r="C422" s="15">
        <f t="shared" si="13"/>
        <v>2010</v>
      </c>
      <c r="D422" s="13">
        <v>-11.56</v>
      </c>
      <c r="E422" s="13">
        <v>150.50404001539053</v>
      </c>
      <c r="F422" s="13"/>
      <c r="G422" s="13"/>
      <c r="H422" s="13">
        <v>33.880000000000003</v>
      </c>
      <c r="I422" s="13">
        <v>-171.13</v>
      </c>
      <c r="J422" s="13"/>
      <c r="K422" s="13"/>
    </row>
    <row r="423" spans="1:11" x14ac:dyDescent="0.25">
      <c r="A423" s="10">
        <v>40436</v>
      </c>
      <c r="B423" s="15">
        <f t="shared" si="12"/>
        <v>9</v>
      </c>
      <c r="C423" s="15">
        <f t="shared" si="13"/>
        <v>2010</v>
      </c>
      <c r="D423" s="13">
        <v>-11.56</v>
      </c>
      <c r="E423" s="13">
        <v>150.3998769609351</v>
      </c>
      <c r="F423" s="13"/>
      <c r="G423" s="13"/>
      <c r="H423" s="13">
        <v>33.880000000000003</v>
      </c>
      <c r="I423" s="13">
        <v>-171.13</v>
      </c>
      <c r="J423" s="13"/>
      <c r="K423" s="13"/>
    </row>
    <row r="424" spans="1:11" x14ac:dyDescent="0.25">
      <c r="A424" s="10">
        <v>40437</v>
      </c>
      <c r="B424" s="15">
        <f t="shared" si="12"/>
        <v>9</v>
      </c>
      <c r="C424" s="15">
        <f t="shared" si="13"/>
        <v>2010</v>
      </c>
      <c r="D424" s="13">
        <v>-11.56</v>
      </c>
      <c r="E424" s="13">
        <v>149.59461526694204</v>
      </c>
      <c r="F424" s="13"/>
      <c r="G424" s="13"/>
      <c r="H424" s="13">
        <v>33.880000000000003</v>
      </c>
      <c r="I424" s="13">
        <v>-171.13</v>
      </c>
      <c r="J424" s="13"/>
      <c r="K424" s="13"/>
    </row>
    <row r="425" spans="1:11" x14ac:dyDescent="0.25">
      <c r="A425" s="10">
        <v>40438</v>
      </c>
      <c r="B425" s="15">
        <f t="shared" si="12"/>
        <v>9</v>
      </c>
      <c r="C425" s="15">
        <f t="shared" si="13"/>
        <v>2010</v>
      </c>
      <c r="D425" s="13">
        <v>-11.56</v>
      </c>
      <c r="E425" s="13">
        <v>149.92717516289767</v>
      </c>
      <c r="F425" s="13"/>
      <c r="G425" s="13"/>
      <c r="H425" s="13">
        <v>33.880000000000003</v>
      </c>
      <c r="I425" s="13">
        <v>-171.13</v>
      </c>
      <c r="J425" s="13"/>
      <c r="K425" s="13"/>
    </row>
    <row r="426" spans="1:11" x14ac:dyDescent="0.25">
      <c r="A426" s="10">
        <v>40441</v>
      </c>
      <c r="B426" s="15">
        <f t="shared" si="12"/>
        <v>9</v>
      </c>
      <c r="C426" s="15">
        <f t="shared" si="13"/>
        <v>2010</v>
      </c>
      <c r="D426" s="13"/>
      <c r="E426" s="13">
        <v>150.54347826086956</v>
      </c>
      <c r="F426" s="13"/>
      <c r="G426" s="13"/>
      <c r="H426" s="13">
        <v>38.479999999999997</v>
      </c>
      <c r="I426" s="13"/>
      <c r="J426" s="13"/>
      <c r="K426" s="13"/>
    </row>
    <row r="427" spans="1:11" x14ac:dyDescent="0.25">
      <c r="A427" s="10">
        <v>40442</v>
      </c>
      <c r="B427" s="15">
        <f t="shared" si="12"/>
        <v>9</v>
      </c>
      <c r="C427" s="15">
        <f t="shared" si="13"/>
        <v>2010</v>
      </c>
      <c r="D427" s="13"/>
      <c r="E427" s="13">
        <v>148.41898724624556</v>
      </c>
      <c r="F427" s="13"/>
      <c r="G427" s="13"/>
      <c r="H427" s="13">
        <v>38.479999999999997</v>
      </c>
      <c r="I427" s="13"/>
      <c r="J427" s="13"/>
      <c r="K427" s="13"/>
    </row>
    <row r="428" spans="1:11" x14ac:dyDescent="0.25">
      <c r="A428" s="10">
        <v>40443</v>
      </c>
      <c r="B428" s="15">
        <f t="shared" si="12"/>
        <v>9</v>
      </c>
      <c r="C428" s="15">
        <f t="shared" si="13"/>
        <v>2010</v>
      </c>
      <c r="D428" s="13"/>
      <c r="E428" s="13">
        <v>146.77961041868795</v>
      </c>
      <c r="F428" s="13"/>
      <c r="G428" s="13"/>
      <c r="H428" s="13">
        <v>38.479999999999997</v>
      </c>
      <c r="I428" s="13"/>
      <c r="J428" s="13"/>
      <c r="K428" s="13"/>
    </row>
    <row r="429" spans="1:11" x14ac:dyDescent="0.25">
      <c r="A429" s="10">
        <v>40444</v>
      </c>
      <c r="B429" s="15">
        <f t="shared" si="12"/>
        <v>9</v>
      </c>
      <c r="C429" s="15">
        <f t="shared" si="13"/>
        <v>2010</v>
      </c>
      <c r="D429" s="13"/>
      <c r="E429" s="13">
        <v>147.7610818933133</v>
      </c>
      <c r="F429" s="13"/>
      <c r="G429" s="13"/>
      <c r="H429" s="13">
        <v>38.479999999999997</v>
      </c>
      <c r="I429" s="13"/>
      <c r="J429" s="13"/>
      <c r="K429" s="13"/>
    </row>
    <row r="430" spans="1:11" x14ac:dyDescent="0.25">
      <c r="A430" s="10">
        <v>40445</v>
      </c>
      <c r="B430" s="15">
        <f t="shared" si="12"/>
        <v>9</v>
      </c>
      <c r="C430" s="15">
        <f t="shared" si="13"/>
        <v>2010</v>
      </c>
      <c r="D430" s="13"/>
      <c r="E430" s="13">
        <v>145.81109134045076</v>
      </c>
      <c r="F430" s="13"/>
      <c r="G430" s="13"/>
      <c r="H430" s="13">
        <v>38.479999999999997</v>
      </c>
      <c r="I430" s="13"/>
      <c r="J430" s="13"/>
      <c r="K430" s="13"/>
    </row>
    <row r="431" spans="1:11" x14ac:dyDescent="0.25">
      <c r="A431" s="10">
        <v>40448</v>
      </c>
      <c r="B431" s="15">
        <f t="shared" si="12"/>
        <v>9</v>
      </c>
      <c r="C431" s="15">
        <f t="shared" si="13"/>
        <v>2010</v>
      </c>
      <c r="D431" s="13">
        <v>-51.45</v>
      </c>
      <c r="E431" s="13">
        <v>138.88063029582281</v>
      </c>
      <c r="F431" s="13"/>
      <c r="G431" s="13"/>
      <c r="H431" s="13">
        <v>38.22</v>
      </c>
      <c r="I431" s="13">
        <v>-173.17</v>
      </c>
      <c r="J431" s="13"/>
      <c r="K431" s="13"/>
    </row>
    <row r="432" spans="1:11" x14ac:dyDescent="0.25">
      <c r="A432" s="10">
        <v>40449</v>
      </c>
      <c r="B432" s="15">
        <f t="shared" si="12"/>
        <v>9</v>
      </c>
      <c r="C432" s="15">
        <f t="shared" si="13"/>
        <v>2010</v>
      </c>
      <c r="D432" s="13">
        <v>-51.45</v>
      </c>
      <c r="E432" s="13">
        <v>137.60217983651225</v>
      </c>
      <c r="F432" s="13"/>
      <c r="G432" s="13"/>
      <c r="H432" s="13">
        <v>38.22</v>
      </c>
      <c r="I432" s="13">
        <v>-173.17</v>
      </c>
      <c r="J432" s="13"/>
      <c r="K432" s="13"/>
    </row>
    <row r="433" spans="1:11" x14ac:dyDescent="0.25">
      <c r="A433" s="10">
        <v>40450</v>
      </c>
      <c r="B433" s="15">
        <f t="shared" si="12"/>
        <v>9</v>
      </c>
      <c r="C433" s="15">
        <f t="shared" si="13"/>
        <v>2010</v>
      </c>
      <c r="D433" s="13">
        <v>-51.45</v>
      </c>
      <c r="E433" s="13">
        <v>137.10742588787789</v>
      </c>
      <c r="F433" s="13"/>
      <c r="G433" s="13"/>
      <c r="H433" s="13">
        <v>38.22</v>
      </c>
      <c r="I433" s="13">
        <v>-173.17</v>
      </c>
      <c r="J433" s="13"/>
      <c r="K433" s="13"/>
    </row>
    <row r="434" spans="1:11" x14ac:dyDescent="0.25">
      <c r="A434" s="10">
        <v>40451</v>
      </c>
      <c r="B434" s="15">
        <f t="shared" si="12"/>
        <v>9</v>
      </c>
      <c r="C434" s="15">
        <f t="shared" si="13"/>
        <v>2010</v>
      </c>
      <c r="D434" s="13">
        <v>-51.45</v>
      </c>
      <c r="E434" s="13">
        <v>137.08730741012471</v>
      </c>
      <c r="F434" s="13"/>
      <c r="G434" s="13"/>
      <c r="H434" s="13">
        <v>38.22</v>
      </c>
      <c r="I434" s="13">
        <v>-173.17</v>
      </c>
      <c r="J434" s="13"/>
      <c r="K434" s="13"/>
    </row>
    <row r="435" spans="1:11" x14ac:dyDescent="0.25">
      <c r="A435" s="10">
        <v>40452</v>
      </c>
      <c r="B435" s="15">
        <f t="shared" si="12"/>
        <v>10</v>
      </c>
      <c r="C435" s="15">
        <f t="shared" si="13"/>
        <v>2010</v>
      </c>
      <c r="D435" s="13">
        <v>-51.45</v>
      </c>
      <c r="E435" s="13">
        <v>135.50656320255274</v>
      </c>
      <c r="F435" s="13"/>
      <c r="G435" s="13"/>
      <c r="H435" s="13">
        <v>38.22</v>
      </c>
      <c r="I435" s="13">
        <v>-173.17</v>
      </c>
      <c r="J435" s="13"/>
      <c r="K435" s="13"/>
    </row>
    <row r="436" spans="1:11" x14ac:dyDescent="0.25">
      <c r="A436" s="10">
        <v>40455</v>
      </c>
      <c r="B436" s="15">
        <f t="shared" si="12"/>
        <v>10</v>
      </c>
      <c r="C436" s="15">
        <f t="shared" si="13"/>
        <v>2010</v>
      </c>
      <c r="D436" s="13">
        <v>-7.27</v>
      </c>
      <c r="E436" s="13">
        <v>147.11988304093566</v>
      </c>
      <c r="F436" s="13"/>
      <c r="G436" s="13"/>
      <c r="H436" s="13">
        <v>26.89</v>
      </c>
      <c r="I436" s="13">
        <v>-144.69999999999999</v>
      </c>
      <c r="J436" s="13"/>
      <c r="K436" s="13"/>
    </row>
    <row r="437" spans="1:11" x14ac:dyDescent="0.25">
      <c r="A437" s="10">
        <v>40456</v>
      </c>
      <c r="B437" s="15">
        <f t="shared" si="12"/>
        <v>10</v>
      </c>
      <c r="C437" s="15">
        <f t="shared" si="13"/>
        <v>2010</v>
      </c>
      <c r="D437" s="13">
        <v>-7.27</v>
      </c>
      <c r="E437" s="13">
        <v>145.5031810294968</v>
      </c>
      <c r="F437" s="13"/>
      <c r="G437" s="13"/>
      <c r="H437" s="13">
        <v>26.89</v>
      </c>
      <c r="I437" s="13">
        <v>-144.69999999999999</v>
      </c>
      <c r="J437" s="13"/>
      <c r="K437" s="13"/>
    </row>
    <row r="438" spans="1:11" x14ac:dyDescent="0.25">
      <c r="A438" s="10">
        <v>40457</v>
      </c>
      <c r="B438" s="15">
        <f t="shared" si="12"/>
        <v>10</v>
      </c>
      <c r="C438" s="15">
        <f t="shared" si="13"/>
        <v>2010</v>
      </c>
      <c r="D438" s="13">
        <v>-7.27</v>
      </c>
      <c r="E438" s="13">
        <v>144.41733639494834</v>
      </c>
      <c r="F438" s="13"/>
      <c r="G438" s="13"/>
      <c r="H438" s="13">
        <v>26.89</v>
      </c>
      <c r="I438" s="13">
        <v>-144.69999999999999</v>
      </c>
      <c r="J438" s="13"/>
      <c r="K438" s="13"/>
    </row>
    <row r="439" spans="1:11" x14ac:dyDescent="0.25">
      <c r="A439" s="10">
        <v>40458</v>
      </c>
      <c r="B439" s="15">
        <f t="shared" si="12"/>
        <v>10</v>
      </c>
      <c r="C439" s="15">
        <f t="shared" si="13"/>
        <v>2010</v>
      </c>
      <c r="D439" s="13">
        <v>-7.27</v>
      </c>
      <c r="E439" s="13">
        <v>144.52103978170328</v>
      </c>
      <c r="F439" s="13"/>
      <c r="G439" s="13"/>
      <c r="H439" s="13">
        <v>26.89</v>
      </c>
      <c r="I439" s="13">
        <v>-144.69999999999999</v>
      </c>
      <c r="J439" s="13"/>
      <c r="K439" s="13"/>
    </row>
    <row r="440" spans="1:11" x14ac:dyDescent="0.25">
      <c r="A440" s="10">
        <v>40459</v>
      </c>
      <c r="B440" s="15">
        <f t="shared" si="12"/>
        <v>10</v>
      </c>
      <c r="C440" s="15">
        <f t="shared" si="13"/>
        <v>2010</v>
      </c>
      <c r="D440" s="13">
        <v>-7.27</v>
      </c>
      <c r="E440" s="13">
        <v>144.37589670014347</v>
      </c>
      <c r="F440" s="13"/>
      <c r="G440" s="13"/>
      <c r="H440" s="13">
        <v>26.89</v>
      </c>
      <c r="I440" s="13">
        <v>-144.69999999999999</v>
      </c>
      <c r="J440" s="13"/>
      <c r="K440" s="13"/>
    </row>
    <row r="441" spans="1:11" x14ac:dyDescent="0.25">
      <c r="A441" s="10">
        <v>40462</v>
      </c>
      <c r="B441" s="15">
        <f t="shared" si="12"/>
        <v>10</v>
      </c>
      <c r="C441" s="15">
        <f t="shared" si="13"/>
        <v>2010</v>
      </c>
      <c r="D441" s="13">
        <v>-7.96</v>
      </c>
      <c r="E441" s="13">
        <v>151.23621422907806</v>
      </c>
      <c r="F441" s="13"/>
      <c r="G441" s="13"/>
      <c r="H441" s="13">
        <v>8.65</v>
      </c>
      <c r="I441" s="13">
        <v>-154.03</v>
      </c>
      <c r="J441" s="13"/>
      <c r="K441" s="13"/>
    </row>
    <row r="442" spans="1:11" x14ac:dyDescent="0.25">
      <c r="A442" s="10">
        <v>40463</v>
      </c>
      <c r="B442" s="15">
        <f t="shared" si="12"/>
        <v>10</v>
      </c>
      <c r="C442" s="15">
        <f t="shared" si="13"/>
        <v>2010</v>
      </c>
      <c r="D442" s="13">
        <v>-7.96</v>
      </c>
      <c r="E442" s="13">
        <v>150.68227520827347</v>
      </c>
      <c r="F442" s="13"/>
      <c r="G442" s="13"/>
      <c r="H442" s="13">
        <v>8.65</v>
      </c>
      <c r="I442" s="13">
        <v>-154.03</v>
      </c>
      <c r="J442" s="13"/>
      <c r="K442" s="13"/>
    </row>
    <row r="443" spans="1:11" x14ac:dyDescent="0.25">
      <c r="A443" s="10">
        <v>40464</v>
      </c>
      <c r="B443" s="15">
        <f t="shared" si="12"/>
        <v>10</v>
      </c>
      <c r="C443" s="15">
        <f t="shared" si="13"/>
        <v>2010</v>
      </c>
      <c r="D443" s="13">
        <v>-7.96</v>
      </c>
      <c r="E443" s="13">
        <v>150.27216731127345</v>
      </c>
      <c r="F443" s="13"/>
      <c r="G443" s="13"/>
      <c r="H443" s="13">
        <v>8.65</v>
      </c>
      <c r="I443" s="13">
        <v>-154.03</v>
      </c>
      <c r="J443" s="13"/>
      <c r="K443" s="13"/>
    </row>
    <row r="444" spans="1:11" x14ac:dyDescent="0.25">
      <c r="A444" s="10">
        <v>40465</v>
      </c>
      <c r="B444" s="15">
        <f t="shared" si="12"/>
        <v>10</v>
      </c>
      <c r="C444" s="15">
        <f t="shared" si="13"/>
        <v>2010</v>
      </c>
      <c r="D444" s="13">
        <v>-7.96</v>
      </c>
      <c r="E444" s="13">
        <v>149.03395368660321</v>
      </c>
      <c r="F444" s="13"/>
      <c r="G444" s="13"/>
      <c r="H444" s="13">
        <v>8.65</v>
      </c>
      <c r="I444" s="13">
        <v>-154.03</v>
      </c>
      <c r="J444" s="13"/>
      <c r="K444" s="13"/>
    </row>
    <row r="445" spans="1:11" x14ac:dyDescent="0.25">
      <c r="A445" s="10">
        <v>40466</v>
      </c>
      <c r="B445" s="15">
        <f t="shared" si="12"/>
        <v>10</v>
      </c>
      <c r="C445" s="15">
        <f t="shared" si="13"/>
        <v>2010</v>
      </c>
      <c r="D445" s="13">
        <v>-7.96</v>
      </c>
      <c r="E445" s="13">
        <v>150.12163709215798</v>
      </c>
      <c r="F445" s="13"/>
      <c r="G445" s="13"/>
      <c r="H445" s="13">
        <v>8.65</v>
      </c>
      <c r="I445" s="13">
        <v>-154.03</v>
      </c>
      <c r="J445" s="13"/>
      <c r="K445" s="13"/>
    </row>
    <row r="446" spans="1:11" x14ac:dyDescent="0.25">
      <c r="A446" s="10">
        <v>40469</v>
      </c>
      <c r="B446" s="15">
        <f t="shared" si="12"/>
        <v>10</v>
      </c>
      <c r="C446" s="15">
        <f t="shared" si="13"/>
        <v>2010</v>
      </c>
      <c r="D446" s="13">
        <v>-28.94</v>
      </c>
      <c r="E446" s="13">
        <v>158.02079598422372</v>
      </c>
      <c r="F446" s="13"/>
      <c r="G446" s="13"/>
      <c r="H446" s="13">
        <v>10.89</v>
      </c>
      <c r="I446" s="13">
        <v>-179.96</v>
      </c>
      <c r="J446" s="13"/>
      <c r="K446" s="13"/>
    </row>
    <row r="447" spans="1:11" x14ac:dyDescent="0.25">
      <c r="A447" s="10">
        <v>40470</v>
      </c>
      <c r="B447" s="15">
        <f t="shared" si="12"/>
        <v>10</v>
      </c>
      <c r="C447" s="15">
        <f t="shared" si="13"/>
        <v>2010</v>
      </c>
      <c r="D447" s="13">
        <v>-28.94</v>
      </c>
      <c r="E447" s="13">
        <v>160.47189047480339</v>
      </c>
      <c r="F447" s="13"/>
      <c r="G447" s="13"/>
      <c r="H447" s="13">
        <v>10.89</v>
      </c>
      <c r="I447" s="13">
        <v>-179.96</v>
      </c>
      <c r="J447" s="13"/>
      <c r="K447" s="13"/>
    </row>
    <row r="448" spans="1:11" x14ac:dyDescent="0.25">
      <c r="A448" s="10">
        <v>40471</v>
      </c>
      <c r="B448" s="15">
        <f t="shared" si="12"/>
        <v>10</v>
      </c>
      <c r="C448" s="15">
        <f t="shared" si="13"/>
        <v>2010</v>
      </c>
      <c r="D448" s="13">
        <v>-28.94</v>
      </c>
      <c r="E448" s="13">
        <v>157.80578630764825</v>
      </c>
      <c r="F448" s="13"/>
      <c r="G448" s="13"/>
      <c r="H448" s="13">
        <v>10.89</v>
      </c>
      <c r="I448" s="13">
        <v>-179.96</v>
      </c>
      <c r="J448" s="13"/>
      <c r="K448" s="13"/>
    </row>
    <row r="449" spans="1:11" x14ac:dyDescent="0.25">
      <c r="A449" s="10">
        <v>40472</v>
      </c>
      <c r="B449" s="15">
        <f t="shared" si="12"/>
        <v>10</v>
      </c>
      <c r="C449" s="15">
        <f t="shared" si="13"/>
        <v>2010</v>
      </c>
      <c r="D449" s="13">
        <v>-28.94</v>
      </c>
      <c r="E449" s="13">
        <v>158.30459770114945</v>
      </c>
      <c r="F449" s="13"/>
      <c r="G449" s="13"/>
      <c r="H449" s="13">
        <v>10.89</v>
      </c>
      <c r="I449" s="13">
        <v>-179.96</v>
      </c>
      <c r="J449" s="13"/>
      <c r="K449" s="13"/>
    </row>
    <row r="450" spans="1:11" x14ac:dyDescent="0.25">
      <c r="A450" s="10">
        <v>40473</v>
      </c>
      <c r="B450" s="15">
        <f t="shared" si="12"/>
        <v>10</v>
      </c>
      <c r="C450" s="15">
        <f t="shared" si="13"/>
        <v>2010</v>
      </c>
      <c r="D450" s="13">
        <v>-28.94</v>
      </c>
      <c r="E450" s="13">
        <v>157.97548211341316</v>
      </c>
      <c r="F450" s="13"/>
      <c r="G450" s="13"/>
      <c r="H450" s="13">
        <v>10.89</v>
      </c>
      <c r="I450" s="13">
        <v>-179.96</v>
      </c>
      <c r="J450" s="13"/>
      <c r="K450" s="13"/>
    </row>
    <row r="451" spans="1:11" x14ac:dyDescent="0.25">
      <c r="A451" s="10">
        <v>40476</v>
      </c>
      <c r="B451" s="15">
        <f t="shared" ref="B451:B514" si="14">MONTH(A451)</f>
        <v>10</v>
      </c>
      <c r="C451" s="15">
        <f t="shared" ref="C451:C514" si="15">YEAR(A451)</f>
        <v>2010</v>
      </c>
      <c r="D451" s="13">
        <v>-35.19</v>
      </c>
      <c r="E451" s="13">
        <v>155.18155124256964</v>
      </c>
      <c r="F451" s="13"/>
      <c r="G451" s="13"/>
      <c r="H451" s="13">
        <v>6.78</v>
      </c>
      <c r="I451" s="13">
        <v>-177.49</v>
      </c>
      <c r="J451" s="13"/>
      <c r="K451" s="13"/>
    </row>
    <row r="452" spans="1:11" x14ac:dyDescent="0.25">
      <c r="A452" s="10">
        <v>40477</v>
      </c>
      <c r="B452" s="15">
        <f t="shared" si="14"/>
        <v>10</v>
      </c>
      <c r="C452" s="15">
        <f t="shared" si="15"/>
        <v>2010</v>
      </c>
      <c r="D452" s="13">
        <v>-35.19</v>
      </c>
      <c r="E452" s="13">
        <v>156.34605671404864</v>
      </c>
      <c r="F452" s="13"/>
      <c r="G452" s="13"/>
      <c r="H452" s="13">
        <v>6.78</v>
      </c>
      <c r="I452" s="13">
        <v>-177.49</v>
      </c>
      <c r="J452" s="13"/>
      <c r="K452" s="13"/>
    </row>
    <row r="453" spans="1:11" x14ac:dyDescent="0.25">
      <c r="A453" s="10">
        <v>40478</v>
      </c>
      <c r="B453" s="15">
        <f t="shared" si="14"/>
        <v>10</v>
      </c>
      <c r="C453" s="15">
        <f t="shared" si="15"/>
        <v>2010</v>
      </c>
      <c r="D453" s="13">
        <v>-35.19</v>
      </c>
      <c r="E453" s="13">
        <v>157.37943056362579</v>
      </c>
      <c r="F453" s="13"/>
      <c r="G453" s="13"/>
      <c r="H453" s="13">
        <v>6.78</v>
      </c>
      <c r="I453" s="13">
        <v>-177.49</v>
      </c>
      <c r="J453" s="13"/>
      <c r="K453" s="13"/>
    </row>
    <row r="454" spans="1:11" x14ac:dyDescent="0.25">
      <c r="A454" s="10">
        <v>40479</v>
      </c>
      <c r="B454" s="15">
        <f t="shared" si="14"/>
        <v>10</v>
      </c>
      <c r="C454" s="15">
        <f t="shared" si="15"/>
        <v>2010</v>
      </c>
      <c r="D454" s="13">
        <v>-35.19</v>
      </c>
      <c r="E454" s="13">
        <v>155.53800875744741</v>
      </c>
      <c r="F454" s="13"/>
      <c r="G454" s="13"/>
      <c r="H454" s="13">
        <v>6.78</v>
      </c>
      <c r="I454" s="13">
        <v>-177.49</v>
      </c>
      <c r="J454" s="13"/>
      <c r="K454" s="13"/>
    </row>
    <row r="455" spans="1:11" x14ac:dyDescent="0.25">
      <c r="A455" s="10">
        <v>40480</v>
      </c>
      <c r="B455" s="15">
        <f t="shared" si="14"/>
        <v>10</v>
      </c>
      <c r="C455" s="15">
        <f t="shared" si="15"/>
        <v>2010</v>
      </c>
      <c r="D455" s="13">
        <v>-35.19</v>
      </c>
      <c r="E455" s="13">
        <v>155.35957553595756</v>
      </c>
      <c r="F455" s="13"/>
      <c r="G455" s="13"/>
      <c r="H455" s="13">
        <v>6.78</v>
      </c>
      <c r="I455" s="13">
        <v>-177.49</v>
      </c>
      <c r="J455" s="13"/>
      <c r="K455" s="13"/>
    </row>
    <row r="456" spans="1:11" x14ac:dyDescent="0.25">
      <c r="A456" s="10">
        <v>40483</v>
      </c>
      <c r="B456" s="15">
        <f t="shared" si="14"/>
        <v>11</v>
      </c>
      <c r="C456" s="15">
        <f t="shared" si="15"/>
        <v>2010</v>
      </c>
      <c r="D456" s="13">
        <v>-56.37</v>
      </c>
      <c r="E456" s="13">
        <v>165.95147238822091</v>
      </c>
      <c r="F456" s="13"/>
      <c r="G456" s="13"/>
      <c r="H456" s="13">
        <v>23.63</v>
      </c>
      <c r="I456" s="13">
        <v>-190.11</v>
      </c>
      <c r="J456" s="13"/>
      <c r="K456" s="13"/>
    </row>
    <row r="457" spans="1:11" x14ac:dyDescent="0.25">
      <c r="A457" s="10">
        <v>40484</v>
      </c>
      <c r="B457" s="15">
        <f t="shared" si="14"/>
        <v>11</v>
      </c>
      <c r="C457" s="15">
        <f t="shared" si="15"/>
        <v>2010</v>
      </c>
      <c r="D457" s="13">
        <v>-56.37</v>
      </c>
      <c r="E457" s="13">
        <v>164.20175251122035</v>
      </c>
      <c r="F457" s="13"/>
      <c r="G457" s="13"/>
      <c r="H457" s="13">
        <v>23.63</v>
      </c>
      <c r="I457" s="13">
        <v>-190.11</v>
      </c>
      <c r="J457" s="13"/>
      <c r="K457" s="13"/>
    </row>
    <row r="458" spans="1:11" x14ac:dyDescent="0.25">
      <c r="A458" s="10">
        <v>40485</v>
      </c>
      <c r="B458" s="15">
        <f t="shared" si="14"/>
        <v>11</v>
      </c>
      <c r="C458" s="15">
        <f t="shared" si="15"/>
        <v>2010</v>
      </c>
      <c r="D458" s="13">
        <v>-56.37</v>
      </c>
      <c r="E458" s="13">
        <v>162.97108110019093</v>
      </c>
      <c r="F458" s="13"/>
      <c r="G458" s="13"/>
      <c r="H458" s="13">
        <v>23.63</v>
      </c>
      <c r="I458" s="13">
        <v>-190.11</v>
      </c>
      <c r="J458" s="13"/>
      <c r="K458" s="13"/>
    </row>
    <row r="459" spans="1:11" x14ac:dyDescent="0.25">
      <c r="A459" s="10">
        <v>40486</v>
      </c>
      <c r="B459" s="15">
        <f t="shared" si="14"/>
        <v>11</v>
      </c>
      <c r="C459" s="15">
        <f t="shared" si="15"/>
        <v>2010</v>
      </c>
      <c r="D459" s="13">
        <v>-56.37</v>
      </c>
      <c r="E459" s="13">
        <v>162.33976616424849</v>
      </c>
      <c r="F459" s="13"/>
      <c r="G459" s="13"/>
      <c r="H459" s="13">
        <v>23.63</v>
      </c>
      <c r="I459" s="13">
        <v>-190.11</v>
      </c>
      <c r="J459" s="13"/>
      <c r="K459" s="13"/>
    </row>
    <row r="460" spans="1:11" x14ac:dyDescent="0.25">
      <c r="A460" s="10">
        <v>40487</v>
      </c>
      <c r="B460" s="15">
        <f t="shared" si="14"/>
        <v>11</v>
      </c>
      <c r="C460" s="15">
        <f t="shared" si="15"/>
        <v>2010</v>
      </c>
      <c r="D460" s="13">
        <v>-56.37</v>
      </c>
      <c r="E460" s="13">
        <v>164.27196921103271</v>
      </c>
      <c r="F460" s="13"/>
      <c r="G460" s="13"/>
      <c r="H460" s="13">
        <v>23.63</v>
      </c>
      <c r="I460" s="13">
        <v>-190.11</v>
      </c>
      <c r="J460" s="13"/>
      <c r="K460" s="13"/>
    </row>
    <row r="461" spans="1:11" x14ac:dyDescent="0.25">
      <c r="A461" s="10">
        <v>40490</v>
      </c>
      <c r="B461" s="15">
        <f t="shared" si="14"/>
        <v>11</v>
      </c>
      <c r="C461" s="15">
        <f t="shared" si="15"/>
        <v>2010</v>
      </c>
      <c r="D461" s="13">
        <v>-8.51</v>
      </c>
      <c r="E461" s="13">
        <v>183.5141153652755</v>
      </c>
      <c r="F461" s="13"/>
      <c r="G461" s="13"/>
      <c r="H461" s="13">
        <v>22.25</v>
      </c>
      <c r="I461" s="13">
        <v>-170.87</v>
      </c>
      <c r="J461" s="13"/>
      <c r="K461" s="13"/>
    </row>
    <row r="462" spans="1:11" x14ac:dyDescent="0.25">
      <c r="A462" s="10">
        <v>40491</v>
      </c>
      <c r="B462" s="15">
        <f t="shared" si="14"/>
        <v>11</v>
      </c>
      <c r="C462" s="15">
        <f t="shared" si="15"/>
        <v>2010</v>
      </c>
      <c r="D462" s="13">
        <v>-8.51</v>
      </c>
      <c r="E462" s="13">
        <v>185.43224214270163</v>
      </c>
      <c r="F462" s="13"/>
      <c r="G462" s="13"/>
      <c r="H462" s="13">
        <v>22.25</v>
      </c>
      <c r="I462" s="13">
        <v>-170.87</v>
      </c>
      <c r="J462" s="13"/>
      <c r="K462" s="13"/>
    </row>
    <row r="463" spans="1:11" x14ac:dyDescent="0.25">
      <c r="A463" s="10">
        <v>40492</v>
      </c>
      <c r="B463" s="15">
        <f t="shared" si="14"/>
        <v>11</v>
      </c>
      <c r="C463" s="15">
        <f t="shared" si="15"/>
        <v>2010</v>
      </c>
      <c r="D463" s="13">
        <v>-8.51</v>
      </c>
      <c r="E463" s="13">
        <v>185.36496879988388</v>
      </c>
      <c r="F463" s="13"/>
      <c r="G463" s="13"/>
      <c r="H463" s="13">
        <v>22.25</v>
      </c>
      <c r="I463" s="13">
        <v>-170.87</v>
      </c>
      <c r="J463" s="13"/>
      <c r="K463" s="13"/>
    </row>
    <row r="464" spans="1:11" x14ac:dyDescent="0.25">
      <c r="A464" s="10">
        <v>40493</v>
      </c>
      <c r="B464" s="15">
        <f t="shared" si="14"/>
        <v>11</v>
      </c>
      <c r="C464" s="15">
        <f t="shared" si="15"/>
        <v>2010</v>
      </c>
      <c r="D464" s="13">
        <v>-8.51</v>
      </c>
      <c r="E464" s="13">
        <v>187.08897839619189</v>
      </c>
      <c r="F464" s="13"/>
      <c r="G464" s="13"/>
      <c r="H464" s="13">
        <v>22.25</v>
      </c>
      <c r="I464" s="13">
        <v>-170.87</v>
      </c>
      <c r="J464" s="13"/>
      <c r="K464" s="13"/>
    </row>
    <row r="465" spans="1:11" x14ac:dyDescent="0.25">
      <c r="A465" s="10">
        <v>40494</v>
      </c>
      <c r="B465" s="15">
        <f t="shared" si="14"/>
        <v>11</v>
      </c>
      <c r="C465" s="15">
        <f t="shared" si="15"/>
        <v>2010</v>
      </c>
      <c r="D465" s="13">
        <v>-8.51</v>
      </c>
      <c r="E465" s="13">
        <v>186.59703454824339</v>
      </c>
      <c r="F465" s="13"/>
      <c r="G465" s="13"/>
      <c r="H465" s="13">
        <v>22.25</v>
      </c>
      <c r="I465" s="13">
        <v>-170.87</v>
      </c>
      <c r="J465" s="13"/>
      <c r="K465" s="13"/>
    </row>
    <row r="466" spans="1:11" x14ac:dyDescent="0.25">
      <c r="A466" s="10">
        <v>40497</v>
      </c>
      <c r="B466" s="15">
        <f t="shared" si="14"/>
        <v>11</v>
      </c>
      <c r="C466" s="15">
        <f t="shared" si="15"/>
        <v>2010</v>
      </c>
      <c r="D466" s="13">
        <v>2.57</v>
      </c>
      <c r="E466" s="13">
        <v>187.55061473901199</v>
      </c>
      <c r="F466" s="13"/>
      <c r="G466" s="13"/>
      <c r="H466" s="13">
        <v>42.58</v>
      </c>
      <c r="I466" s="13">
        <v>-353.61</v>
      </c>
      <c r="J466" s="13"/>
      <c r="K466" s="13"/>
    </row>
    <row r="467" spans="1:11" x14ac:dyDescent="0.25">
      <c r="A467" s="10">
        <v>40498</v>
      </c>
      <c r="B467" s="15">
        <f t="shared" si="14"/>
        <v>11</v>
      </c>
      <c r="C467" s="15">
        <f t="shared" si="15"/>
        <v>2010</v>
      </c>
      <c r="D467" s="13">
        <v>2.57</v>
      </c>
      <c r="E467" s="13">
        <v>188.81559442632673</v>
      </c>
      <c r="F467" s="13"/>
      <c r="G467" s="13"/>
      <c r="H467" s="13">
        <v>42.58</v>
      </c>
      <c r="I467" s="13">
        <v>-353.61</v>
      </c>
      <c r="J467" s="13"/>
      <c r="K467" s="13"/>
    </row>
    <row r="468" spans="1:11" x14ac:dyDescent="0.25">
      <c r="A468" s="10">
        <v>40499</v>
      </c>
      <c r="B468" s="15">
        <f t="shared" si="14"/>
        <v>11</v>
      </c>
      <c r="C468" s="15">
        <f t="shared" si="15"/>
        <v>2010</v>
      </c>
      <c r="D468" s="13">
        <v>2.57</v>
      </c>
      <c r="E468" s="13">
        <v>188.45243379198106</v>
      </c>
      <c r="F468" s="13"/>
      <c r="G468" s="13"/>
      <c r="H468" s="13">
        <v>42.58</v>
      </c>
      <c r="I468" s="13">
        <v>-353.61</v>
      </c>
      <c r="J468" s="13"/>
      <c r="K468" s="13"/>
    </row>
    <row r="469" spans="1:11" x14ac:dyDescent="0.25">
      <c r="A469" s="10">
        <v>40500</v>
      </c>
      <c r="B469" s="15">
        <f t="shared" si="14"/>
        <v>11</v>
      </c>
      <c r="C469" s="15">
        <f t="shared" si="15"/>
        <v>2010</v>
      </c>
      <c r="D469" s="13">
        <v>2.57</v>
      </c>
      <c r="E469" s="13">
        <v>186.71210788625035</v>
      </c>
      <c r="F469" s="13"/>
      <c r="G469" s="13"/>
      <c r="H469" s="13">
        <v>42.58</v>
      </c>
      <c r="I469" s="13">
        <v>-353.61</v>
      </c>
      <c r="J469" s="13"/>
      <c r="K469" s="13"/>
    </row>
    <row r="470" spans="1:11" x14ac:dyDescent="0.25">
      <c r="A470" s="10">
        <v>40501</v>
      </c>
      <c r="B470" s="15">
        <f t="shared" si="14"/>
        <v>11</v>
      </c>
      <c r="C470" s="15">
        <f t="shared" si="15"/>
        <v>2010</v>
      </c>
      <c r="D470" s="13">
        <v>2.57</v>
      </c>
      <c r="E470" s="13">
        <v>186.166325635779</v>
      </c>
      <c r="F470" s="13"/>
      <c r="G470" s="13"/>
      <c r="H470" s="13">
        <v>42.58</v>
      </c>
      <c r="I470" s="13">
        <v>-353.61</v>
      </c>
      <c r="J470" s="13"/>
      <c r="K470" s="13"/>
    </row>
    <row r="471" spans="1:11" x14ac:dyDescent="0.25">
      <c r="A471" s="10">
        <v>40504</v>
      </c>
      <c r="B471" s="15">
        <f t="shared" si="14"/>
        <v>11</v>
      </c>
      <c r="C471" s="15">
        <f t="shared" si="15"/>
        <v>2010</v>
      </c>
      <c r="D471" s="13">
        <v>-11.07</v>
      </c>
      <c r="E471" s="13">
        <v>197.08623853211006</v>
      </c>
      <c r="F471" s="13"/>
      <c r="G471" s="13"/>
      <c r="H471" s="13">
        <v>36.24</v>
      </c>
      <c r="I471" s="13">
        <v>-152.99</v>
      </c>
      <c r="J471" s="13"/>
      <c r="K471" s="13"/>
    </row>
    <row r="472" spans="1:11" x14ac:dyDescent="0.25">
      <c r="A472" s="10">
        <v>40505</v>
      </c>
      <c r="B472" s="15">
        <f t="shared" si="14"/>
        <v>11</v>
      </c>
      <c r="C472" s="15">
        <f t="shared" si="15"/>
        <v>2010</v>
      </c>
      <c r="D472" s="13">
        <v>-11.07</v>
      </c>
      <c r="E472" s="13">
        <v>200.83015481265423</v>
      </c>
      <c r="F472" s="13"/>
      <c r="G472" s="13"/>
      <c r="H472" s="13">
        <v>36.24</v>
      </c>
      <c r="I472" s="13">
        <v>-152.99</v>
      </c>
      <c r="J472" s="13"/>
      <c r="K472" s="13"/>
    </row>
    <row r="473" spans="1:11" x14ac:dyDescent="0.25">
      <c r="A473" s="10">
        <v>40506</v>
      </c>
      <c r="B473" s="15">
        <f t="shared" si="14"/>
        <v>11</v>
      </c>
      <c r="C473" s="15">
        <f t="shared" si="15"/>
        <v>2010</v>
      </c>
      <c r="D473" s="13">
        <v>-11.07</v>
      </c>
      <c r="E473" s="13">
        <v>201.46297546702678</v>
      </c>
      <c r="F473" s="13"/>
      <c r="G473" s="13"/>
      <c r="H473" s="13">
        <v>36.24</v>
      </c>
      <c r="I473" s="13">
        <v>-152.99</v>
      </c>
      <c r="J473" s="13"/>
      <c r="K473" s="13"/>
    </row>
    <row r="474" spans="1:11" x14ac:dyDescent="0.25">
      <c r="A474" s="10">
        <v>40508</v>
      </c>
      <c r="B474" s="15">
        <f t="shared" si="14"/>
        <v>11</v>
      </c>
      <c r="C474" s="15">
        <f t="shared" si="15"/>
        <v>2010</v>
      </c>
      <c r="D474" s="13">
        <v>-11.07</v>
      </c>
      <c r="E474" s="13">
        <v>202.81722054380663</v>
      </c>
      <c r="F474" s="13"/>
      <c r="G474" s="13"/>
      <c r="H474" s="13">
        <v>36.24</v>
      </c>
      <c r="I474" s="13">
        <v>-152.99</v>
      </c>
      <c r="J474" s="13"/>
      <c r="K474" s="13"/>
    </row>
    <row r="475" spans="1:11" x14ac:dyDescent="0.25">
      <c r="A475" s="10">
        <v>40511</v>
      </c>
      <c r="B475" s="15">
        <f t="shared" si="14"/>
        <v>11</v>
      </c>
      <c r="C475" s="15">
        <f t="shared" si="15"/>
        <v>2010</v>
      </c>
      <c r="D475" s="13">
        <v>-31.57</v>
      </c>
      <c r="E475" s="13">
        <v>218.80622046043601</v>
      </c>
      <c r="F475" s="13"/>
      <c r="G475" s="13"/>
      <c r="H475" s="13">
        <v>27.55</v>
      </c>
      <c r="I475" s="13">
        <v>-188.97</v>
      </c>
      <c r="J475" s="13"/>
      <c r="K475" s="13"/>
    </row>
    <row r="476" spans="1:11" x14ac:dyDescent="0.25">
      <c r="A476" s="10">
        <v>40512</v>
      </c>
      <c r="B476" s="15">
        <f t="shared" si="14"/>
        <v>11</v>
      </c>
      <c r="C476" s="15">
        <f t="shared" si="15"/>
        <v>2010</v>
      </c>
      <c r="D476" s="13">
        <v>-31.57</v>
      </c>
      <c r="E476" s="13">
        <v>221.18363258071969</v>
      </c>
      <c r="F476" s="13"/>
      <c r="G476" s="13"/>
      <c r="H476" s="13">
        <v>27.55</v>
      </c>
      <c r="I476" s="13">
        <v>-188.97</v>
      </c>
      <c r="J476" s="13"/>
      <c r="K476" s="13"/>
    </row>
    <row r="477" spans="1:11" x14ac:dyDescent="0.25">
      <c r="A477" s="10">
        <v>40513</v>
      </c>
      <c r="B477" s="15">
        <f t="shared" si="14"/>
        <v>12</v>
      </c>
      <c r="C477" s="15">
        <f t="shared" si="15"/>
        <v>2010</v>
      </c>
      <c r="D477" s="13">
        <v>-31.57</v>
      </c>
      <c r="E477" s="13">
        <v>218.40663521534012</v>
      </c>
      <c r="F477" s="13"/>
      <c r="G477" s="13"/>
      <c r="H477" s="13">
        <v>27.55</v>
      </c>
      <c r="I477" s="13">
        <v>-188.97</v>
      </c>
      <c r="J477" s="13"/>
      <c r="K477" s="13"/>
    </row>
    <row r="478" spans="1:11" x14ac:dyDescent="0.25">
      <c r="A478" s="10">
        <v>40514</v>
      </c>
      <c r="B478" s="15">
        <f t="shared" si="14"/>
        <v>12</v>
      </c>
      <c r="C478" s="15">
        <f t="shared" si="15"/>
        <v>2010</v>
      </c>
      <c r="D478" s="13">
        <v>-31.57</v>
      </c>
      <c r="E478" s="13">
        <v>217.05232909860857</v>
      </c>
      <c r="F478" s="13"/>
      <c r="G478" s="13"/>
      <c r="H478" s="13">
        <v>27.55</v>
      </c>
      <c r="I478" s="13">
        <v>-188.97</v>
      </c>
      <c r="J478" s="13"/>
      <c r="K478" s="13"/>
    </row>
    <row r="479" spans="1:11" x14ac:dyDescent="0.25">
      <c r="A479" s="10">
        <v>40515</v>
      </c>
      <c r="B479" s="15">
        <f t="shared" si="14"/>
        <v>12</v>
      </c>
      <c r="C479" s="15">
        <f t="shared" si="15"/>
        <v>2010</v>
      </c>
      <c r="D479" s="13">
        <v>-31.57</v>
      </c>
      <c r="E479" s="13">
        <v>213.977933502311</v>
      </c>
      <c r="F479" s="13"/>
      <c r="G479" s="13"/>
      <c r="H479" s="13">
        <v>27.55</v>
      </c>
      <c r="I479" s="13">
        <v>-188.97</v>
      </c>
      <c r="J479" s="13"/>
      <c r="K479" s="13"/>
    </row>
    <row r="480" spans="1:11" x14ac:dyDescent="0.25">
      <c r="A480" s="10">
        <v>40518</v>
      </c>
      <c r="B480" s="15">
        <f t="shared" si="14"/>
        <v>12</v>
      </c>
      <c r="C480" s="15">
        <f t="shared" si="15"/>
        <v>2010</v>
      </c>
      <c r="D480" s="13">
        <v>-51.37</v>
      </c>
      <c r="E480" s="13">
        <v>213.91957910559941</v>
      </c>
      <c r="F480" s="13"/>
      <c r="G480" s="13"/>
      <c r="H480" s="13">
        <v>21.67</v>
      </c>
      <c r="I480" s="13">
        <v>-199.29</v>
      </c>
      <c r="J480" s="13"/>
      <c r="K480" s="13"/>
    </row>
    <row r="481" spans="1:11" x14ac:dyDescent="0.25">
      <c r="A481" s="10">
        <v>40519</v>
      </c>
      <c r="B481" s="15">
        <f t="shared" si="14"/>
        <v>12</v>
      </c>
      <c r="C481" s="15">
        <f t="shared" si="15"/>
        <v>2010</v>
      </c>
      <c r="D481" s="13">
        <v>-51.37</v>
      </c>
      <c r="E481" s="13">
        <v>214.59699917062505</v>
      </c>
      <c r="F481" s="13"/>
      <c r="G481" s="13"/>
      <c r="H481" s="13">
        <v>21.67</v>
      </c>
      <c r="I481" s="13">
        <v>-199.29</v>
      </c>
      <c r="J481" s="13"/>
      <c r="K481" s="13"/>
    </row>
    <row r="482" spans="1:11" x14ac:dyDescent="0.25">
      <c r="A482" s="10">
        <v>40520</v>
      </c>
      <c r="B482" s="15">
        <f t="shared" si="14"/>
        <v>12</v>
      </c>
      <c r="C482" s="15">
        <f t="shared" si="15"/>
        <v>2010</v>
      </c>
      <c r="D482" s="13">
        <v>-51.37</v>
      </c>
      <c r="E482" s="13">
        <v>214.71031985515995</v>
      </c>
      <c r="F482" s="13"/>
      <c r="G482" s="13"/>
      <c r="H482" s="13">
        <v>21.67</v>
      </c>
      <c r="I482" s="13">
        <v>-199.29</v>
      </c>
      <c r="J482" s="13"/>
      <c r="K482" s="13"/>
    </row>
    <row r="483" spans="1:11" x14ac:dyDescent="0.25">
      <c r="A483" s="10">
        <v>40521</v>
      </c>
      <c r="B483" s="15">
        <f t="shared" si="14"/>
        <v>12</v>
      </c>
      <c r="C483" s="15">
        <f t="shared" si="15"/>
        <v>2010</v>
      </c>
      <c r="D483" s="13">
        <v>-51.37</v>
      </c>
      <c r="E483" s="13">
        <v>214.93732064642802</v>
      </c>
      <c r="F483" s="13"/>
      <c r="G483" s="13"/>
      <c r="H483" s="13">
        <v>21.67</v>
      </c>
      <c r="I483" s="13">
        <v>-199.29</v>
      </c>
      <c r="J483" s="13"/>
      <c r="K483" s="13"/>
    </row>
    <row r="484" spans="1:11" x14ac:dyDescent="0.25">
      <c r="A484" s="10">
        <v>40522</v>
      </c>
      <c r="B484" s="15">
        <f t="shared" si="14"/>
        <v>12</v>
      </c>
      <c r="C484" s="15">
        <f t="shared" si="15"/>
        <v>2010</v>
      </c>
      <c r="D484" s="13">
        <v>-51.37</v>
      </c>
      <c r="E484" s="13">
        <v>215.08350336280512</v>
      </c>
      <c r="F484" s="13"/>
      <c r="G484" s="13"/>
      <c r="H484" s="13">
        <v>21.67</v>
      </c>
      <c r="I484" s="13">
        <v>-199.29</v>
      </c>
      <c r="J484" s="13"/>
      <c r="K484" s="13"/>
    </row>
    <row r="485" spans="1:11" x14ac:dyDescent="0.25">
      <c r="A485" s="10">
        <v>40525</v>
      </c>
      <c r="B485" s="15">
        <f t="shared" si="14"/>
        <v>12</v>
      </c>
      <c r="C485" s="15">
        <f t="shared" si="15"/>
        <v>2010</v>
      </c>
      <c r="D485" s="13">
        <v>-17.96</v>
      </c>
      <c r="E485" s="13">
        <v>219.67286578534618</v>
      </c>
      <c r="F485" s="13"/>
      <c r="G485" s="13"/>
      <c r="H485" s="13">
        <v>32.090000000000003</v>
      </c>
      <c r="I485" s="13">
        <v>-421.9</v>
      </c>
      <c r="J485" s="13"/>
      <c r="K485" s="13"/>
    </row>
    <row r="486" spans="1:11" x14ac:dyDescent="0.25">
      <c r="A486" s="10">
        <v>40526</v>
      </c>
      <c r="B486" s="15">
        <f t="shared" si="14"/>
        <v>12</v>
      </c>
      <c r="C486" s="15">
        <f t="shared" si="15"/>
        <v>2010</v>
      </c>
      <c r="D486" s="13">
        <v>-17.96</v>
      </c>
      <c r="E486" s="13">
        <v>219.75493126120742</v>
      </c>
      <c r="F486" s="13"/>
      <c r="G486" s="13"/>
      <c r="H486" s="13">
        <v>32.090000000000003</v>
      </c>
      <c r="I486" s="13">
        <v>-421.9</v>
      </c>
      <c r="J486" s="13"/>
      <c r="K486" s="13"/>
    </row>
    <row r="487" spans="1:11" x14ac:dyDescent="0.25">
      <c r="A487" s="10">
        <v>40527</v>
      </c>
      <c r="B487" s="15">
        <f t="shared" si="14"/>
        <v>12</v>
      </c>
      <c r="C487" s="15">
        <f t="shared" si="15"/>
        <v>2010</v>
      </c>
      <c r="D487" s="13">
        <v>-17.96</v>
      </c>
      <c r="E487" s="13">
        <v>222.63265460601016</v>
      </c>
      <c r="F487" s="13"/>
      <c r="G487" s="13"/>
      <c r="H487" s="13">
        <v>32.090000000000003</v>
      </c>
      <c r="I487" s="13">
        <v>-421.9</v>
      </c>
      <c r="J487" s="13"/>
      <c r="K487" s="13"/>
    </row>
    <row r="488" spans="1:11" x14ac:dyDescent="0.25">
      <c r="A488" s="10">
        <v>40528</v>
      </c>
      <c r="B488" s="15">
        <f t="shared" si="14"/>
        <v>12</v>
      </c>
      <c r="C488" s="15">
        <f t="shared" si="15"/>
        <v>2010</v>
      </c>
      <c r="D488" s="13">
        <v>-17.96</v>
      </c>
      <c r="E488" s="13">
        <v>222.21214868540343</v>
      </c>
      <c r="F488" s="13"/>
      <c r="G488" s="13"/>
      <c r="H488" s="13">
        <v>32.090000000000003</v>
      </c>
      <c r="I488" s="13">
        <v>-421.9</v>
      </c>
      <c r="J488" s="13"/>
      <c r="K488" s="13"/>
    </row>
    <row r="489" spans="1:11" x14ac:dyDescent="0.25">
      <c r="A489" s="10">
        <v>40529</v>
      </c>
      <c r="B489" s="15">
        <f t="shared" si="14"/>
        <v>12</v>
      </c>
      <c r="C489" s="15">
        <f t="shared" si="15"/>
        <v>2010</v>
      </c>
      <c r="D489" s="13">
        <v>-17.96</v>
      </c>
      <c r="E489" s="13">
        <v>223.15629742033383</v>
      </c>
      <c r="F489" s="13"/>
      <c r="G489" s="13"/>
      <c r="H489" s="13">
        <v>32.090000000000003</v>
      </c>
      <c r="I489" s="13">
        <v>-421.9</v>
      </c>
      <c r="J489" s="13"/>
      <c r="K489" s="13"/>
    </row>
    <row r="490" spans="1:11" x14ac:dyDescent="0.25">
      <c r="A490" s="10">
        <v>40532</v>
      </c>
      <c r="B490" s="15">
        <f t="shared" si="14"/>
        <v>12</v>
      </c>
      <c r="C490" s="15">
        <f t="shared" si="15"/>
        <v>2010</v>
      </c>
      <c r="D490" s="13">
        <v>-38.58</v>
      </c>
      <c r="E490" s="13">
        <v>231.52157341058086</v>
      </c>
      <c r="F490" s="13"/>
      <c r="G490" s="13"/>
      <c r="H490" s="13">
        <v>32.42</v>
      </c>
      <c r="I490" s="13">
        <v>-182.94</v>
      </c>
      <c r="J490" s="13"/>
      <c r="K490" s="13"/>
    </row>
    <row r="491" spans="1:11" x14ac:dyDescent="0.25">
      <c r="A491" s="10">
        <v>40533</v>
      </c>
      <c r="B491" s="15">
        <f t="shared" si="14"/>
        <v>12</v>
      </c>
      <c r="C491" s="15">
        <f t="shared" si="15"/>
        <v>2010</v>
      </c>
      <c r="D491" s="13">
        <v>-38.58</v>
      </c>
      <c r="E491" s="13">
        <v>231.92821687667046</v>
      </c>
      <c r="F491" s="13"/>
      <c r="G491" s="13"/>
      <c r="H491" s="13">
        <v>32.42</v>
      </c>
      <c r="I491" s="13">
        <v>-182.94</v>
      </c>
      <c r="J491" s="13"/>
      <c r="K491" s="13"/>
    </row>
    <row r="492" spans="1:11" x14ac:dyDescent="0.25">
      <c r="A492" s="10">
        <v>40534</v>
      </c>
      <c r="B492" s="15">
        <f t="shared" si="14"/>
        <v>12</v>
      </c>
      <c r="C492" s="15">
        <f t="shared" si="15"/>
        <v>2010</v>
      </c>
      <c r="D492" s="13">
        <v>-38.58</v>
      </c>
      <c r="E492" s="13">
        <v>231.8573936941751</v>
      </c>
      <c r="F492" s="13"/>
      <c r="G492" s="13"/>
      <c r="H492" s="13">
        <v>32.42</v>
      </c>
      <c r="I492" s="13">
        <v>-182.94</v>
      </c>
      <c r="J492" s="13"/>
      <c r="K492" s="13"/>
    </row>
    <row r="493" spans="1:11" x14ac:dyDescent="0.25">
      <c r="A493" s="10">
        <v>40535</v>
      </c>
      <c r="B493" s="15">
        <f t="shared" si="14"/>
        <v>12</v>
      </c>
      <c r="C493" s="15">
        <f t="shared" si="15"/>
        <v>2010</v>
      </c>
      <c r="D493" s="13">
        <v>-38.58</v>
      </c>
      <c r="E493" s="13">
        <v>231.50392560408565</v>
      </c>
      <c r="F493" s="13"/>
      <c r="G493" s="13"/>
      <c r="H493" s="13">
        <v>32.42</v>
      </c>
      <c r="I493" s="13">
        <v>-182.94</v>
      </c>
      <c r="J493" s="13"/>
      <c r="K493" s="13"/>
    </row>
    <row r="494" spans="1:11" x14ac:dyDescent="0.25">
      <c r="A494" s="10">
        <v>40540</v>
      </c>
      <c r="B494" s="15">
        <f t="shared" si="14"/>
        <v>12</v>
      </c>
      <c r="C494" s="15">
        <f t="shared" si="15"/>
        <v>2010</v>
      </c>
      <c r="D494" s="13">
        <v>-31.22</v>
      </c>
      <c r="E494" s="13">
        <v>230.1822062971716</v>
      </c>
      <c r="F494" s="13"/>
      <c r="G494" s="13"/>
      <c r="H494" s="13">
        <v>38.4</v>
      </c>
      <c r="I494" s="13">
        <v>-205.46</v>
      </c>
      <c r="J494" s="13"/>
      <c r="K494" s="13"/>
    </row>
    <row r="495" spans="1:11" x14ac:dyDescent="0.25">
      <c r="A495" s="10">
        <v>40541</v>
      </c>
      <c r="B495" s="15">
        <f t="shared" si="14"/>
        <v>12</v>
      </c>
      <c r="C495" s="15">
        <f t="shared" si="15"/>
        <v>2010</v>
      </c>
      <c r="D495" s="13">
        <v>-31.22</v>
      </c>
      <c r="E495" s="13">
        <v>228.33698858050366</v>
      </c>
      <c r="F495" s="13"/>
      <c r="G495" s="13"/>
      <c r="H495" s="13">
        <v>38.4</v>
      </c>
      <c r="I495" s="13">
        <v>-205.46</v>
      </c>
      <c r="J495" s="13"/>
      <c r="K495" s="13"/>
    </row>
    <row r="496" spans="1:11" x14ac:dyDescent="0.25">
      <c r="A496" s="10">
        <v>40542</v>
      </c>
      <c r="B496" s="15">
        <f t="shared" si="14"/>
        <v>12</v>
      </c>
      <c r="C496" s="15">
        <f t="shared" si="15"/>
        <v>2010</v>
      </c>
      <c r="D496" s="13">
        <v>-31.22</v>
      </c>
      <c r="E496" s="13">
        <v>227.33980874934116</v>
      </c>
      <c r="F496" s="13"/>
      <c r="G496" s="13"/>
      <c r="H496" s="13">
        <v>38.4</v>
      </c>
      <c r="I496" s="13">
        <v>-205.46</v>
      </c>
      <c r="J496" s="13"/>
      <c r="K496" s="13"/>
    </row>
    <row r="497" spans="1:11" x14ac:dyDescent="0.25">
      <c r="A497" s="10">
        <v>40543</v>
      </c>
      <c r="B497" s="15">
        <f t="shared" si="14"/>
        <v>12</v>
      </c>
      <c r="C497" s="15">
        <f t="shared" si="15"/>
        <v>2010</v>
      </c>
      <c r="D497" s="13">
        <v>-31.22</v>
      </c>
      <c r="E497" s="13">
        <v>225.70830530014206</v>
      </c>
      <c r="F497" s="13"/>
      <c r="G497" s="13"/>
      <c r="H497" s="13">
        <v>38.4</v>
      </c>
      <c r="I497" s="13">
        <v>-205.46</v>
      </c>
      <c r="J497" s="13"/>
      <c r="K497" s="13"/>
    </row>
    <row r="498" spans="1:11" x14ac:dyDescent="0.25">
      <c r="A498" s="10">
        <v>40547</v>
      </c>
      <c r="B498" s="15">
        <f t="shared" si="14"/>
        <v>1</v>
      </c>
      <c r="C498" s="15">
        <f t="shared" si="15"/>
        <v>2011</v>
      </c>
      <c r="D498" s="13">
        <v>11.37</v>
      </c>
      <c r="E498" s="13">
        <v>230.86234117735506</v>
      </c>
      <c r="F498" s="13"/>
      <c r="G498" s="13"/>
      <c r="H498" s="13">
        <v>30.1</v>
      </c>
      <c r="I498" s="13">
        <v>-159.84</v>
      </c>
      <c r="J498" s="13"/>
      <c r="K498" s="13"/>
    </row>
    <row r="499" spans="1:11" x14ac:dyDescent="0.25">
      <c r="A499" s="10">
        <v>40548</v>
      </c>
      <c r="B499" s="15">
        <f t="shared" si="14"/>
        <v>1</v>
      </c>
      <c r="C499" s="15">
        <f t="shared" si="15"/>
        <v>2011</v>
      </c>
      <c r="D499" s="13">
        <v>11.37</v>
      </c>
      <c r="E499" s="13">
        <v>233.49555166907462</v>
      </c>
      <c r="F499" s="13"/>
      <c r="G499" s="13"/>
      <c r="H499" s="13">
        <v>30.1</v>
      </c>
      <c r="I499" s="13">
        <v>-159.84</v>
      </c>
      <c r="J499" s="13"/>
      <c r="K499" s="13"/>
    </row>
    <row r="500" spans="1:11" x14ac:dyDescent="0.25">
      <c r="A500" s="10">
        <v>40549</v>
      </c>
      <c r="B500" s="15">
        <f t="shared" si="14"/>
        <v>1</v>
      </c>
      <c r="C500" s="15">
        <f t="shared" si="15"/>
        <v>2011</v>
      </c>
      <c r="D500" s="13">
        <v>11.37</v>
      </c>
      <c r="E500" s="13">
        <v>236.18952388277825</v>
      </c>
      <c r="F500" s="13"/>
      <c r="G500" s="13"/>
      <c r="H500" s="13">
        <v>30.1</v>
      </c>
      <c r="I500" s="13">
        <v>-159.84</v>
      </c>
      <c r="J500" s="13"/>
      <c r="K500" s="13"/>
    </row>
    <row r="501" spans="1:11" x14ac:dyDescent="0.25">
      <c r="A501" s="10">
        <v>40550</v>
      </c>
      <c r="B501" s="15">
        <f t="shared" si="14"/>
        <v>1</v>
      </c>
      <c r="C501" s="15">
        <f t="shared" si="15"/>
        <v>2011</v>
      </c>
      <c r="D501" s="13">
        <v>11.37</v>
      </c>
      <c r="E501" s="13">
        <v>237.74388355528026</v>
      </c>
      <c r="F501" s="13"/>
      <c r="G501" s="13"/>
      <c r="H501" s="13">
        <v>30.1</v>
      </c>
      <c r="I501" s="13">
        <v>-159.84</v>
      </c>
      <c r="J501" s="13"/>
      <c r="K501" s="13"/>
    </row>
    <row r="502" spans="1:11" x14ac:dyDescent="0.25">
      <c r="A502" s="10">
        <v>40553</v>
      </c>
      <c r="B502" s="15">
        <f t="shared" si="14"/>
        <v>1</v>
      </c>
      <c r="C502" s="15">
        <f t="shared" si="15"/>
        <v>2011</v>
      </c>
      <c r="D502" s="13">
        <v>0.08</v>
      </c>
      <c r="E502" s="13">
        <v>97.990881693841274</v>
      </c>
      <c r="F502" s="13"/>
      <c r="G502" s="13"/>
      <c r="H502" s="13">
        <v>40.06</v>
      </c>
      <c r="I502" s="13">
        <v>-147.43</v>
      </c>
      <c r="J502" s="13"/>
      <c r="K502" s="13"/>
    </row>
    <row r="503" spans="1:11" x14ac:dyDescent="0.25">
      <c r="A503" s="10">
        <v>40554</v>
      </c>
      <c r="B503" s="15">
        <f t="shared" si="14"/>
        <v>1</v>
      </c>
      <c r="C503" s="15">
        <f t="shared" si="15"/>
        <v>2011</v>
      </c>
      <c r="D503" s="13">
        <v>0.08</v>
      </c>
      <c r="E503" s="13">
        <v>97.734104046242763</v>
      </c>
      <c r="F503" s="13"/>
      <c r="G503" s="13"/>
      <c r="H503" s="13">
        <v>40.06</v>
      </c>
      <c r="I503" s="13">
        <v>-147.43</v>
      </c>
      <c r="J503" s="13"/>
      <c r="K503" s="13"/>
    </row>
    <row r="504" spans="1:11" x14ac:dyDescent="0.25">
      <c r="A504" s="10">
        <v>40555</v>
      </c>
      <c r="B504" s="15">
        <f t="shared" si="14"/>
        <v>1</v>
      </c>
      <c r="C504" s="15">
        <f t="shared" si="15"/>
        <v>2011</v>
      </c>
      <c r="D504" s="13">
        <v>0.08</v>
      </c>
      <c r="E504" s="13">
        <v>96.543585839360503</v>
      </c>
      <c r="F504" s="13"/>
      <c r="G504" s="13"/>
      <c r="H504" s="13">
        <v>40.06</v>
      </c>
      <c r="I504" s="13">
        <v>-147.43</v>
      </c>
      <c r="J504" s="13"/>
      <c r="K504" s="13"/>
    </row>
    <row r="505" spans="1:11" x14ac:dyDescent="0.25">
      <c r="A505" s="10">
        <v>40556</v>
      </c>
      <c r="B505" s="15">
        <f t="shared" si="14"/>
        <v>1</v>
      </c>
      <c r="C505" s="15">
        <f t="shared" si="15"/>
        <v>2011</v>
      </c>
      <c r="D505" s="13">
        <v>0.08</v>
      </c>
      <c r="E505" s="13">
        <v>94.960311517148426</v>
      </c>
      <c r="F505" s="13"/>
      <c r="G505" s="13"/>
      <c r="H505" s="13">
        <v>40.06</v>
      </c>
      <c r="I505" s="13">
        <v>-147.43</v>
      </c>
      <c r="J505" s="13"/>
      <c r="K505" s="13"/>
    </row>
    <row r="506" spans="1:11" x14ac:dyDescent="0.25">
      <c r="A506" s="10">
        <v>40557</v>
      </c>
      <c r="B506" s="15">
        <f t="shared" si="14"/>
        <v>1</v>
      </c>
      <c r="C506" s="15">
        <f t="shared" si="15"/>
        <v>2011</v>
      </c>
      <c r="D506" s="13">
        <v>0.08</v>
      </c>
      <c r="E506" s="13">
        <v>94.811214953271033</v>
      </c>
      <c r="F506" s="13"/>
      <c r="G506" s="13"/>
      <c r="H506" s="13">
        <v>40.06</v>
      </c>
      <c r="I506" s="13">
        <v>-147.43</v>
      </c>
      <c r="J506" s="13"/>
      <c r="K506" s="13"/>
    </row>
    <row r="507" spans="1:11" x14ac:dyDescent="0.25">
      <c r="A507" s="10">
        <v>40561</v>
      </c>
      <c r="B507" s="15">
        <f t="shared" si="14"/>
        <v>1</v>
      </c>
      <c r="C507" s="15">
        <f t="shared" si="15"/>
        <v>2011</v>
      </c>
      <c r="D507" s="13">
        <v>24.38</v>
      </c>
      <c r="E507" s="13">
        <v>100.50078481201884</v>
      </c>
      <c r="F507" s="13"/>
      <c r="G507" s="13"/>
      <c r="H507" s="13">
        <v>22.43</v>
      </c>
      <c r="I507" s="13">
        <v>-152.08000000000001</v>
      </c>
      <c r="J507" s="13"/>
      <c r="K507" s="13"/>
    </row>
    <row r="508" spans="1:11" x14ac:dyDescent="0.25">
      <c r="A508" s="10">
        <v>40562</v>
      </c>
      <c r="B508" s="15">
        <f t="shared" si="14"/>
        <v>1</v>
      </c>
      <c r="C508" s="15">
        <f t="shared" si="15"/>
        <v>2011</v>
      </c>
      <c r="D508" s="13">
        <v>24.38</v>
      </c>
      <c r="E508" s="13">
        <v>99.851477795930492</v>
      </c>
      <c r="F508" s="13"/>
      <c r="G508" s="13"/>
      <c r="H508" s="13">
        <v>22.43</v>
      </c>
      <c r="I508" s="13">
        <v>-152.08000000000001</v>
      </c>
      <c r="J508" s="13"/>
      <c r="K508" s="13"/>
    </row>
    <row r="509" spans="1:11" x14ac:dyDescent="0.25">
      <c r="A509" s="10">
        <v>40563</v>
      </c>
      <c r="B509" s="15">
        <f t="shared" si="14"/>
        <v>1</v>
      </c>
      <c r="C509" s="15">
        <f t="shared" si="15"/>
        <v>2011</v>
      </c>
      <c r="D509" s="13">
        <v>24.38</v>
      </c>
      <c r="E509" s="13">
        <v>99.777382012466617</v>
      </c>
      <c r="F509" s="13"/>
      <c r="G509" s="13"/>
      <c r="H509" s="13">
        <v>22.43</v>
      </c>
      <c r="I509" s="13">
        <v>-152.08000000000001</v>
      </c>
      <c r="J509" s="13"/>
      <c r="K509" s="13"/>
    </row>
    <row r="510" spans="1:11" x14ac:dyDescent="0.25">
      <c r="A510" s="10">
        <v>40564</v>
      </c>
      <c r="B510" s="15">
        <f t="shared" si="14"/>
        <v>1</v>
      </c>
      <c r="C510" s="15">
        <f t="shared" si="15"/>
        <v>2011</v>
      </c>
      <c r="D510" s="13">
        <v>24.38</v>
      </c>
      <c r="E510" s="13">
        <v>98.758721997796556</v>
      </c>
      <c r="F510" s="13"/>
      <c r="G510" s="13"/>
      <c r="H510" s="13">
        <v>22.43</v>
      </c>
      <c r="I510" s="13">
        <v>-152.08000000000001</v>
      </c>
      <c r="J510" s="13"/>
      <c r="K510" s="13"/>
    </row>
    <row r="511" spans="1:11" x14ac:dyDescent="0.25">
      <c r="A511" s="10">
        <v>40567</v>
      </c>
      <c r="B511" s="15">
        <f t="shared" si="14"/>
        <v>1</v>
      </c>
      <c r="C511" s="15">
        <f t="shared" si="15"/>
        <v>2011</v>
      </c>
      <c r="D511" s="13">
        <v>36.58</v>
      </c>
      <c r="E511" s="13">
        <v>50.70732243641428</v>
      </c>
      <c r="F511" s="13"/>
      <c r="G511" s="13"/>
      <c r="H511" s="13">
        <v>18.649999999999999</v>
      </c>
      <c r="I511" s="13">
        <v>-306</v>
      </c>
      <c r="J511" s="13"/>
      <c r="K511" s="13"/>
    </row>
    <row r="512" spans="1:11" x14ac:dyDescent="0.25">
      <c r="A512" s="10">
        <v>40568</v>
      </c>
      <c r="B512" s="15">
        <f t="shared" si="14"/>
        <v>1</v>
      </c>
      <c r="C512" s="15">
        <f t="shared" si="15"/>
        <v>2011</v>
      </c>
      <c r="D512" s="13">
        <v>36.58</v>
      </c>
      <c r="E512" s="13">
        <v>50.536927460004385</v>
      </c>
      <c r="F512" s="13"/>
      <c r="G512" s="13"/>
      <c r="H512" s="13">
        <v>18.649999999999999</v>
      </c>
      <c r="I512" s="13">
        <v>-306</v>
      </c>
      <c r="J512" s="13"/>
      <c r="K512" s="13"/>
    </row>
    <row r="513" spans="1:11" x14ac:dyDescent="0.25">
      <c r="A513" s="10">
        <v>40569</v>
      </c>
      <c r="B513" s="15">
        <f t="shared" si="14"/>
        <v>1</v>
      </c>
      <c r="C513" s="15">
        <f t="shared" si="15"/>
        <v>2011</v>
      </c>
      <c r="D513" s="13">
        <v>36.58</v>
      </c>
      <c r="E513" s="13">
        <v>50.507410381835449</v>
      </c>
      <c r="F513" s="13"/>
      <c r="G513" s="13"/>
      <c r="H513" s="13">
        <v>18.649999999999999</v>
      </c>
      <c r="I513" s="13">
        <v>-306</v>
      </c>
      <c r="J513" s="13"/>
      <c r="K513" s="13"/>
    </row>
    <row r="514" spans="1:11" x14ac:dyDescent="0.25">
      <c r="A514" s="10">
        <v>40570</v>
      </c>
      <c r="B514" s="15">
        <f t="shared" si="14"/>
        <v>1</v>
      </c>
      <c r="C514" s="15">
        <f t="shared" si="15"/>
        <v>2011</v>
      </c>
      <c r="D514" s="13">
        <v>36.58</v>
      </c>
      <c r="E514" s="13">
        <v>50.400699402593624</v>
      </c>
      <c r="F514" s="13"/>
      <c r="G514" s="13"/>
      <c r="H514" s="13">
        <v>18.649999999999999</v>
      </c>
      <c r="I514" s="13">
        <v>-306</v>
      </c>
      <c r="J514" s="13"/>
      <c r="K514" s="13"/>
    </row>
    <row r="515" spans="1:11" x14ac:dyDescent="0.25">
      <c r="A515" s="10">
        <v>40571</v>
      </c>
      <c r="B515" s="15">
        <f t="shared" ref="B515:B578" si="16">MONTH(A515)</f>
        <v>1</v>
      </c>
      <c r="C515" s="15">
        <f t="shared" ref="C515:C578" si="17">YEAR(A515)</f>
        <v>2011</v>
      </c>
      <c r="D515" s="13">
        <v>36.58</v>
      </c>
      <c r="E515" s="13">
        <v>50.819070006611334</v>
      </c>
      <c r="F515" s="13"/>
      <c r="G515" s="13"/>
      <c r="H515" s="13">
        <v>18.649999999999999</v>
      </c>
      <c r="I515" s="13">
        <v>-306</v>
      </c>
      <c r="J515" s="13"/>
      <c r="K515" s="13"/>
    </row>
    <row r="516" spans="1:11" x14ac:dyDescent="0.25">
      <c r="A516" s="10">
        <v>40574</v>
      </c>
      <c r="B516" s="15">
        <f t="shared" si="16"/>
        <v>1</v>
      </c>
      <c r="C516" s="15">
        <f t="shared" si="17"/>
        <v>2011</v>
      </c>
      <c r="D516" s="13">
        <v>37.42</v>
      </c>
      <c r="E516" s="13">
        <v>47.20496894409937</v>
      </c>
      <c r="F516" s="13"/>
      <c r="G516" s="13"/>
      <c r="H516" s="13">
        <v>5.32</v>
      </c>
      <c r="I516" s="13">
        <v>-317.01</v>
      </c>
      <c r="J516" s="13"/>
      <c r="K516" s="13"/>
    </row>
    <row r="517" spans="1:11" x14ac:dyDescent="0.25">
      <c r="A517" s="10">
        <v>40575</v>
      </c>
      <c r="B517" s="15">
        <f t="shared" si="16"/>
        <v>2</v>
      </c>
      <c r="C517" s="15">
        <f t="shared" si="17"/>
        <v>2011</v>
      </c>
      <c r="D517" s="13">
        <v>37.42</v>
      </c>
      <c r="E517" s="13">
        <v>46.699920480011563</v>
      </c>
      <c r="F517" s="13"/>
      <c r="G517" s="13"/>
      <c r="H517" s="13">
        <v>5.32</v>
      </c>
      <c r="I517" s="13">
        <v>-317.01</v>
      </c>
      <c r="J517" s="13"/>
      <c r="K517" s="13"/>
    </row>
    <row r="518" spans="1:11" x14ac:dyDescent="0.25">
      <c r="A518" s="10">
        <v>40576</v>
      </c>
      <c r="B518" s="15">
        <f t="shared" si="16"/>
        <v>2</v>
      </c>
      <c r="C518" s="15">
        <f t="shared" si="17"/>
        <v>2011</v>
      </c>
      <c r="D518" s="13">
        <v>37.42</v>
      </c>
      <c r="E518" s="13">
        <v>46.801419981163505</v>
      </c>
      <c r="F518" s="13"/>
      <c r="G518" s="13"/>
      <c r="H518" s="13">
        <v>5.32</v>
      </c>
      <c r="I518" s="13">
        <v>-317.01</v>
      </c>
      <c r="J518" s="13"/>
      <c r="K518" s="13"/>
    </row>
    <row r="519" spans="1:11" x14ac:dyDescent="0.25">
      <c r="A519" s="10">
        <v>40577</v>
      </c>
      <c r="B519" s="15">
        <f t="shared" si="16"/>
        <v>2</v>
      </c>
      <c r="C519" s="15">
        <f t="shared" si="17"/>
        <v>2011</v>
      </c>
      <c r="D519" s="13">
        <v>37.42</v>
      </c>
      <c r="E519" s="13">
        <v>47.395451210564929</v>
      </c>
      <c r="F519" s="13"/>
      <c r="G519" s="13"/>
      <c r="H519" s="13">
        <v>5.32</v>
      </c>
      <c r="I519" s="13">
        <v>-317.01</v>
      </c>
      <c r="J519" s="13"/>
      <c r="K519" s="13"/>
    </row>
    <row r="520" spans="1:11" x14ac:dyDescent="0.25">
      <c r="A520" s="10">
        <v>40578</v>
      </c>
      <c r="B520" s="15">
        <f t="shared" si="16"/>
        <v>2</v>
      </c>
      <c r="C520" s="15">
        <f t="shared" si="17"/>
        <v>2011</v>
      </c>
      <c r="D520" s="13">
        <v>37.42</v>
      </c>
      <c r="E520" s="13">
        <v>47.552447552447546</v>
      </c>
      <c r="F520" s="13"/>
      <c r="G520" s="13"/>
      <c r="H520" s="13">
        <v>5.32</v>
      </c>
      <c r="I520" s="13">
        <v>-317.01</v>
      </c>
      <c r="J520" s="13"/>
      <c r="K520" s="13"/>
    </row>
    <row r="521" spans="1:11" x14ac:dyDescent="0.25">
      <c r="A521" s="10">
        <v>40581</v>
      </c>
      <c r="B521" s="15">
        <f t="shared" si="16"/>
        <v>2</v>
      </c>
      <c r="C521" s="15">
        <f t="shared" si="17"/>
        <v>2011</v>
      </c>
      <c r="D521" s="13">
        <v>22.97</v>
      </c>
      <c r="E521" s="13">
        <v>36.736346238775205</v>
      </c>
      <c r="F521" s="13"/>
      <c r="G521" s="13"/>
      <c r="H521" s="13">
        <v>3.67</v>
      </c>
      <c r="I521" s="13">
        <v>-145.80000000000001</v>
      </c>
      <c r="J521" s="13"/>
      <c r="K521" s="13"/>
    </row>
    <row r="522" spans="1:11" x14ac:dyDescent="0.25">
      <c r="A522" s="10">
        <v>40582</v>
      </c>
      <c r="B522" s="15">
        <f t="shared" si="16"/>
        <v>2</v>
      </c>
      <c r="C522" s="15">
        <f t="shared" si="17"/>
        <v>2011</v>
      </c>
      <c r="D522" s="13">
        <v>22.97</v>
      </c>
      <c r="E522" s="13">
        <v>36.609697058607786</v>
      </c>
      <c r="F522" s="13"/>
      <c r="G522" s="13"/>
      <c r="H522" s="13">
        <v>3.67</v>
      </c>
      <c r="I522" s="13">
        <v>-145.80000000000001</v>
      </c>
      <c r="J522" s="13"/>
      <c r="K522" s="13"/>
    </row>
    <row r="523" spans="1:11" x14ac:dyDescent="0.25">
      <c r="A523" s="10">
        <v>40583</v>
      </c>
      <c r="B523" s="15">
        <f t="shared" si="16"/>
        <v>2</v>
      </c>
      <c r="C523" s="15">
        <f t="shared" si="17"/>
        <v>2011</v>
      </c>
      <c r="D523" s="13">
        <v>22.97</v>
      </c>
      <c r="E523" s="13">
        <v>36.351056081573198</v>
      </c>
      <c r="F523" s="13"/>
      <c r="G523" s="13"/>
      <c r="H523" s="13">
        <v>3.67</v>
      </c>
      <c r="I523" s="13">
        <v>-145.80000000000001</v>
      </c>
      <c r="J523" s="13"/>
      <c r="K523" s="13"/>
    </row>
    <row r="524" spans="1:11" x14ac:dyDescent="0.25">
      <c r="A524" s="10">
        <v>40584</v>
      </c>
      <c r="B524" s="15">
        <f t="shared" si="16"/>
        <v>2</v>
      </c>
      <c r="C524" s="15">
        <f t="shared" si="17"/>
        <v>2011</v>
      </c>
      <c r="D524" s="13">
        <v>22.97</v>
      </c>
      <c r="E524" s="13">
        <v>36.717428087986463</v>
      </c>
      <c r="F524" s="13"/>
      <c r="G524" s="13"/>
      <c r="H524" s="13">
        <v>3.67</v>
      </c>
      <c r="I524" s="13">
        <v>-145.80000000000001</v>
      </c>
      <c r="J524" s="13"/>
      <c r="K524" s="13"/>
    </row>
    <row r="525" spans="1:11" x14ac:dyDescent="0.25">
      <c r="A525" s="10">
        <v>40585</v>
      </c>
      <c r="B525" s="15">
        <f t="shared" si="16"/>
        <v>2</v>
      </c>
      <c r="C525" s="15">
        <f t="shared" si="17"/>
        <v>2011</v>
      </c>
      <c r="D525" s="13">
        <v>22.97</v>
      </c>
      <c r="E525" s="13">
        <v>36.844825040602387</v>
      </c>
      <c r="F525" s="13"/>
      <c r="G525" s="13"/>
      <c r="H525" s="13">
        <v>3.67</v>
      </c>
      <c r="I525" s="13">
        <v>-145.80000000000001</v>
      </c>
      <c r="J525" s="13"/>
      <c r="K525" s="13"/>
    </row>
    <row r="526" spans="1:11" x14ac:dyDescent="0.25">
      <c r="A526" s="10">
        <v>40588</v>
      </c>
      <c r="B526" s="15">
        <f t="shared" si="16"/>
        <v>2</v>
      </c>
      <c r="C526" s="15">
        <f t="shared" si="17"/>
        <v>2011</v>
      </c>
      <c r="D526" s="13">
        <v>21.31</v>
      </c>
      <c r="E526" s="13">
        <v>29.563153600830674</v>
      </c>
      <c r="F526" s="13"/>
      <c r="G526" s="13"/>
      <c r="H526" s="13">
        <v>12.81</v>
      </c>
      <c r="I526" s="13">
        <v>-133.88999999999999</v>
      </c>
      <c r="J526" s="13"/>
      <c r="K526" s="13"/>
    </row>
    <row r="527" spans="1:11" x14ac:dyDescent="0.25">
      <c r="A527" s="10">
        <v>40589</v>
      </c>
      <c r="B527" s="15">
        <f t="shared" si="16"/>
        <v>2</v>
      </c>
      <c r="C527" s="15">
        <f t="shared" si="17"/>
        <v>2011</v>
      </c>
      <c r="D527" s="13">
        <v>21.31</v>
      </c>
      <c r="E527" s="13">
        <v>29.550003706723999</v>
      </c>
      <c r="F527" s="13"/>
      <c r="G527" s="13"/>
      <c r="H527" s="13">
        <v>12.81</v>
      </c>
      <c r="I527" s="13">
        <v>-133.88999999999999</v>
      </c>
      <c r="J527" s="13"/>
      <c r="K527" s="13"/>
    </row>
    <row r="528" spans="1:11" x14ac:dyDescent="0.25">
      <c r="A528" s="10">
        <v>40590</v>
      </c>
      <c r="B528" s="15">
        <f t="shared" si="16"/>
        <v>2</v>
      </c>
      <c r="C528" s="15">
        <f t="shared" si="17"/>
        <v>2011</v>
      </c>
      <c r="D528" s="13">
        <v>21.31</v>
      </c>
      <c r="E528" s="13">
        <v>29.382279227480463</v>
      </c>
      <c r="F528" s="13"/>
      <c r="G528" s="13"/>
      <c r="H528" s="13">
        <v>12.81</v>
      </c>
      <c r="I528" s="13">
        <v>-133.88999999999999</v>
      </c>
      <c r="J528" s="13"/>
      <c r="K528" s="13"/>
    </row>
    <row r="529" spans="1:11" x14ac:dyDescent="0.25">
      <c r="A529" s="10">
        <v>40591</v>
      </c>
      <c r="B529" s="15">
        <f t="shared" si="16"/>
        <v>2</v>
      </c>
      <c r="C529" s="15">
        <f t="shared" si="17"/>
        <v>2011</v>
      </c>
      <c r="D529" s="13">
        <v>21.31</v>
      </c>
      <c r="E529" s="13">
        <v>29.306668627306813</v>
      </c>
      <c r="F529" s="13"/>
      <c r="G529" s="13"/>
      <c r="H529" s="13">
        <v>12.81</v>
      </c>
      <c r="I529" s="13">
        <v>-133.88999999999999</v>
      </c>
      <c r="J529" s="13"/>
      <c r="K529" s="13"/>
    </row>
    <row r="530" spans="1:11" x14ac:dyDescent="0.25">
      <c r="A530" s="10">
        <v>40592</v>
      </c>
      <c r="B530" s="15">
        <f t="shared" si="16"/>
        <v>2</v>
      </c>
      <c r="C530" s="15">
        <f t="shared" si="17"/>
        <v>2011</v>
      </c>
      <c r="D530" s="13">
        <v>21.31</v>
      </c>
      <c r="E530" s="13">
        <v>29.10763838177304</v>
      </c>
      <c r="F530" s="13"/>
      <c r="G530" s="13"/>
      <c r="H530" s="13">
        <v>12.81</v>
      </c>
      <c r="I530" s="13">
        <v>-133.88999999999999</v>
      </c>
      <c r="J530" s="13"/>
      <c r="K530" s="13"/>
    </row>
    <row r="531" spans="1:11" x14ac:dyDescent="0.25">
      <c r="A531" s="10">
        <v>40596</v>
      </c>
      <c r="B531" s="15">
        <f t="shared" si="16"/>
        <v>2</v>
      </c>
      <c r="C531" s="15">
        <f t="shared" si="17"/>
        <v>2011</v>
      </c>
      <c r="D531" s="13">
        <v>60.17</v>
      </c>
      <c r="E531" s="13">
        <v>27.788764374130228</v>
      </c>
      <c r="F531" s="13"/>
      <c r="G531" s="13"/>
      <c r="H531" s="13">
        <v>43.09</v>
      </c>
      <c r="I531" s="13">
        <v>122.34</v>
      </c>
      <c r="J531" s="13"/>
      <c r="K531" s="13"/>
    </row>
    <row r="532" spans="1:11" x14ac:dyDescent="0.25">
      <c r="A532" s="10">
        <v>40597</v>
      </c>
      <c r="B532" s="15">
        <f t="shared" si="16"/>
        <v>2</v>
      </c>
      <c r="C532" s="15">
        <f t="shared" si="17"/>
        <v>2011</v>
      </c>
      <c r="D532" s="13">
        <v>60.17</v>
      </c>
      <c r="E532" s="13">
        <v>27.600756583733446</v>
      </c>
      <c r="F532" s="13"/>
      <c r="G532" s="13"/>
      <c r="H532" s="13">
        <v>43.09</v>
      </c>
      <c r="I532" s="13">
        <v>122.34</v>
      </c>
      <c r="J532" s="13"/>
      <c r="K532" s="13"/>
    </row>
    <row r="533" spans="1:11" x14ac:dyDescent="0.25">
      <c r="A533" s="10">
        <v>40598</v>
      </c>
      <c r="B533" s="15">
        <f t="shared" si="16"/>
        <v>2</v>
      </c>
      <c r="C533" s="15">
        <f t="shared" si="17"/>
        <v>2011</v>
      </c>
      <c r="D533" s="13">
        <v>60.17</v>
      </c>
      <c r="E533" s="13">
        <v>27.486778236615226</v>
      </c>
      <c r="F533" s="13"/>
      <c r="G533" s="13"/>
      <c r="H533" s="13">
        <v>43.09</v>
      </c>
      <c r="I533" s="13">
        <v>122.34</v>
      </c>
      <c r="J533" s="13"/>
      <c r="K533" s="13"/>
    </row>
    <row r="534" spans="1:11" x14ac:dyDescent="0.25">
      <c r="A534" s="10">
        <v>40599</v>
      </c>
      <c r="B534" s="15">
        <f t="shared" si="16"/>
        <v>2</v>
      </c>
      <c r="C534" s="15">
        <f t="shared" si="17"/>
        <v>2011</v>
      </c>
      <c r="D534" s="13">
        <v>60.17</v>
      </c>
      <c r="E534" s="13">
        <v>27.59272727272727</v>
      </c>
      <c r="F534" s="13"/>
      <c r="G534" s="13"/>
      <c r="H534" s="13">
        <v>43.09</v>
      </c>
      <c r="I534" s="13">
        <v>122.34</v>
      </c>
      <c r="J534" s="13"/>
      <c r="K534" s="13"/>
    </row>
    <row r="535" spans="1:11" x14ac:dyDescent="0.25">
      <c r="A535" s="10">
        <v>40602</v>
      </c>
      <c r="B535" s="15">
        <f t="shared" si="16"/>
        <v>2</v>
      </c>
      <c r="C535" s="15">
        <f t="shared" si="17"/>
        <v>2011</v>
      </c>
      <c r="D535" s="13">
        <v>38.880000000000003</v>
      </c>
      <c r="E535" s="13">
        <v>26.114049706543003</v>
      </c>
      <c r="F535" s="13"/>
      <c r="G535" s="13"/>
      <c r="H535" s="13">
        <v>34.6</v>
      </c>
      <c r="I535" s="13">
        <v>54.38</v>
      </c>
      <c r="J535" s="13"/>
      <c r="K535" s="13"/>
    </row>
    <row r="536" spans="1:11" x14ac:dyDescent="0.25">
      <c r="A536" s="10">
        <v>40603</v>
      </c>
      <c r="B536" s="15">
        <f t="shared" si="16"/>
        <v>3</v>
      </c>
      <c r="C536" s="15">
        <f t="shared" si="17"/>
        <v>2011</v>
      </c>
      <c r="D536" s="13">
        <v>38.880000000000003</v>
      </c>
      <c r="E536" s="13">
        <v>26.163339382940109</v>
      </c>
      <c r="F536" s="13"/>
      <c r="G536" s="13"/>
      <c r="H536" s="13">
        <v>34.6</v>
      </c>
      <c r="I536" s="13">
        <v>54.38</v>
      </c>
      <c r="J536" s="13"/>
      <c r="K536" s="13"/>
    </row>
    <row r="537" spans="1:11" x14ac:dyDescent="0.25">
      <c r="A537" s="10">
        <v>40604</v>
      </c>
      <c r="B537" s="15">
        <f t="shared" si="16"/>
        <v>3</v>
      </c>
      <c r="C537" s="15">
        <f t="shared" si="17"/>
        <v>2011</v>
      </c>
      <c r="D537" s="13">
        <v>38.880000000000003</v>
      </c>
      <c r="E537" s="13">
        <v>25.997258890572024</v>
      </c>
      <c r="F537" s="13"/>
      <c r="G537" s="13"/>
      <c r="H537" s="13">
        <v>34.6</v>
      </c>
      <c r="I537" s="13">
        <v>54.38</v>
      </c>
      <c r="J537" s="13"/>
      <c r="K537" s="13"/>
    </row>
    <row r="538" spans="1:11" x14ac:dyDescent="0.25">
      <c r="A538" s="10">
        <v>40605</v>
      </c>
      <c r="B538" s="15">
        <f t="shared" si="16"/>
        <v>3</v>
      </c>
      <c r="C538" s="15">
        <f t="shared" si="17"/>
        <v>2011</v>
      </c>
      <c r="D538" s="13">
        <v>38.880000000000003</v>
      </c>
      <c r="E538" s="13">
        <v>25.811072119172096</v>
      </c>
      <c r="F538" s="13"/>
      <c r="G538" s="13"/>
      <c r="H538" s="13">
        <v>34.6</v>
      </c>
      <c r="I538" s="13">
        <v>54.38</v>
      </c>
      <c r="J538" s="13"/>
      <c r="K538" s="13"/>
    </row>
    <row r="539" spans="1:11" x14ac:dyDescent="0.25">
      <c r="A539" s="10">
        <v>40606</v>
      </c>
      <c r="B539" s="15">
        <f t="shared" si="16"/>
        <v>3</v>
      </c>
      <c r="C539" s="15">
        <f t="shared" si="17"/>
        <v>2011</v>
      </c>
      <c r="D539" s="13">
        <v>38.880000000000003</v>
      </c>
      <c r="E539" s="13">
        <v>25.775997711343152</v>
      </c>
      <c r="F539" s="13"/>
      <c r="G539" s="13"/>
      <c r="H539" s="13">
        <v>34.6</v>
      </c>
      <c r="I539" s="13">
        <v>54.38</v>
      </c>
      <c r="J539" s="13"/>
      <c r="K539" s="13"/>
    </row>
    <row r="540" spans="1:11" x14ac:dyDescent="0.25">
      <c r="A540" s="10">
        <v>40609</v>
      </c>
      <c r="B540" s="15">
        <f t="shared" si="16"/>
        <v>3</v>
      </c>
      <c r="C540" s="15">
        <f t="shared" si="17"/>
        <v>2011</v>
      </c>
      <c r="D540" s="13">
        <v>31.96</v>
      </c>
      <c r="E540" s="13">
        <v>22.208703120526767</v>
      </c>
      <c r="F540" s="13"/>
      <c r="G540" s="13"/>
      <c r="H540" s="13">
        <v>47.25</v>
      </c>
      <c r="I540" s="13">
        <v>112.22</v>
      </c>
      <c r="J540" s="13"/>
      <c r="K540" s="13"/>
    </row>
    <row r="541" spans="1:11" x14ac:dyDescent="0.25">
      <c r="A541" s="10">
        <v>40610</v>
      </c>
      <c r="B541" s="15">
        <f t="shared" si="16"/>
        <v>3</v>
      </c>
      <c r="C541" s="15">
        <f t="shared" si="17"/>
        <v>2011</v>
      </c>
      <c r="D541" s="13">
        <v>31.96</v>
      </c>
      <c r="E541" s="13">
        <v>22.318923973243184</v>
      </c>
      <c r="F541" s="13"/>
      <c r="G541" s="13"/>
      <c r="H541" s="13">
        <v>47.25</v>
      </c>
      <c r="I541" s="13">
        <v>112.22</v>
      </c>
      <c r="J541" s="13"/>
      <c r="K541" s="13"/>
    </row>
    <row r="542" spans="1:11" x14ac:dyDescent="0.25">
      <c r="A542" s="10">
        <v>40611</v>
      </c>
      <c r="B542" s="15">
        <f t="shared" si="16"/>
        <v>3</v>
      </c>
      <c r="C542" s="15">
        <f t="shared" si="17"/>
        <v>2011</v>
      </c>
      <c r="D542" s="13">
        <v>31.96</v>
      </c>
      <c r="E542" s="13">
        <v>22.312504494139642</v>
      </c>
      <c r="F542" s="13"/>
      <c r="G542" s="13"/>
      <c r="H542" s="13">
        <v>47.25</v>
      </c>
      <c r="I542" s="13">
        <v>112.22</v>
      </c>
      <c r="J542" s="13"/>
      <c r="K542" s="13"/>
    </row>
    <row r="543" spans="1:11" x14ac:dyDescent="0.25">
      <c r="A543" s="10">
        <v>40612</v>
      </c>
      <c r="B543" s="15">
        <f t="shared" si="16"/>
        <v>3</v>
      </c>
      <c r="C543" s="15">
        <f t="shared" si="17"/>
        <v>2011</v>
      </c>
      <c r="D543" s="13">
        <v>31.96</v>
      </c>
      <c r="E543" s="13">
        <v>22.498549883990719</v>
      </c>
      <c r="F543" s="13"/>
      <c r="G543" s="13"/>
      <c r="H543" s="13">
        <v>47.25</v>
      </c>
      <c r="I543" s="13">
        <v>112.22</v>
      </c>
      <c r="J543" s="13"/>
      <c r="K543" s="13"/>
    </row>
    <row r="544" spans="1:11" x14ac:dyDescent="0.25">
      <c r="A544" s="10">
        <v>40613</v>
      </c>
      <c r="B544" s="15">
        <f t="shared" si="16"/>
        <v>3</v>
      </c>
      <c r="C544" s="15">
        <f t="shared" si="17"/>
        <v>2011</v>
      </c>
      <c r="D544" s="13">
        <v>31.96</v>
      </c>
      <c r="E544" s="13">
        <v>22.312504494139642</v>
      </c>
      <c r="F544" s="13"/>
      <c r="G544" s="13"/>
      <c r="H544" s="13">
        <v>47.25</v>
      </c>
      <c r="I544" s="13">
        <v>112.22</v>
      </c>
      <c r="J544" s="13"/>
      <c r="K544" s="13"/>
    </row>
    <row r="545" spans="1:11" x14ac:dyDescent="0.25">
      <c r="A545" s="10">
        <v>40616</v>
      </c>
      <c r="B545" s="15">
        <f t="shared" si="16"/>
        <v>3</v>
      </c>
      <c r="C545" s="15">
        <f t="shared" si="17"/>
        <v>2011</v>
      </c>
      <c r="D545" s="13">
        <v>52.07</v>
      </c>
      <c r="E545" s="13">
        <v>34.203002144388847</v>
      </c>
      <c r="F545" s="13"/>
      <c r="G545" s="13"/>
      <c r="H545" s="13">
        <v>36.770000000000003</v>
      </c>
      <c r="I545" s="13">
        <v>122.88</v>
      </c>
      <c r="J545" s="13"/>
      <c r="K545" s="13"/>
    </row>
    <row r="546" spans="1:11" x14ac:dyDescent="0.25">
      <c r="A546" s="10">
        <v>40617</v>
      </c>
      <c r="B546" s="15">
        <f t="shared" si="16"/>
        <v>3</v>
      </c>
      <c r="C546" s="15">
        <f t="shared" si="17"/>
        <v>2011</v>
      </c>
      <c r="D546" s="13">
        <v>52.07</v>
      </c>
      <c r="E546" s="13">
        <v>34.188339525578741</v>
      </c>
      <c r="F546" s="13"/>
      <c r="G546" s="13"/>
      <c r="H546" s="13">
        <v>36.770000000000003</v>
      </c>
      <c r="I546" s="13">
        <v>122.88</v>
      </c>
      <c r="J546" s="13"/>
      <c r="K546" s="13"/>
    </row>
    <row r="547" spans="1:11" x14ac:dyDescent="0.25">
      <c r="A547" s="10">
        <v>40618</v>
      </c>
      <c r="B547" s="15">
        <f t="shared" si="16"/>
        <v>3</v>
      </c>
      <c r="C547" s="15">
        <f t="shared" si="17"/>
        <v>2011</v>
      </c>
      <c r="D547" s="13">
        <v>52.07</v>
      </c>
      <c r="E547" s="13">
        <v>34.421984029925909</v>
      </c>
      <c r="F547" s="13"/>
      <c r="G547" s="13"/>
      <c r="H547" s="13">
        <v>36.770000000000003</v>
      </c>
      <c r="I547" s="13">
        <v>122.88</v>
      </c>
      <c r="J547" s="13"/>
      <c r="K547" s="13"/>
    </row>
    <row r="548" spans="1:11" x14ac:dyDescent="0.25">
      <c r="A548" s="10">
        <v>40619</v>
      </c>
      <c r="B548" s="15">
        <f t="shared" si="16"/>
        <v>3</v>
      </c>
      <c r="C548" s="15">
        <f t="shared" si="17"/>
        <v>2011</v>
      </c>
      <c r="D548" s="13">
        <v>52.07</v>
      </c>
      <c r="E548" s="13">
        <v>34.124946512623026</v>
      </c>
      <c r="F548" s="13"/>
      <c r="G548" s="13"/>
      <c r="H548" s="13">
        <v>36.770000000000003</v>
      </c>
      <c r="I548" s="13">
        <v>122.88</v>
      </c>
      <c r="J548" s="13"/>
      <c r="K548" s="13"/>
    </row>
    <row r="549" spans="1:11" x14ac:dyDescent="0.25">
      <c r="A549" s="10">
        <v>40620</v>
      </c>
      <c r="B549" s="15">
        <f t="shared" si="16"/>
        <v>3</v>
      </c>
      <c r="C549" s="15">
        <f t="shared" si="17"/>
        <v>2011</v>
      </c>
      <c r="D549" s="13">
        <v>52.07</v>
      </c>
      <c r="E549" s="13">
        <v>33.754232505643344</v>
      </c>
      <c r="F549" s="13"/>
      <c r="G549" s="13"/>
      <c r="H549" s="13">
        <v>36.770000000000003</v>
      </c>
      <c r="I549" s="13">
        <v>122.88</v>
      </c>
      <c r="J549" s="13"/>
      <c r="K549" s="13"/>
    </row>
    <row r="550" spans="1:11" x14ac:dyDescent="0.25">
      <c r="A550" s="10">
        <v>40623</v>
      </c>
      <c r="B550" s="15">
        <f t="shared" si="16"/>
        <v>3</v>
      </c>
      <c r="C550" s="15">
        <f t="shared" si="17"/>
        <v>2011</v>
      </c>
      <c r="D550" s="13">
        <v>56.54</v>
      </c>
      <c r="E550" s="13">
        <v>23.653873189933922</v>
      </c>
      <c r="F550" s="13"/>
      <c r="G550" s="13"/>
      <c r="H550" s="13">
        <v>21.77</v>
      </c>
      <c r="I550" s="13">
        <v>98.03</v>
      </c>
      <c r="J550" s="13"/>
      <c r="K550" s="13"/>
    </row>
    <row r="551" spans="1:11" x14ac:dyDescent="0.25">
      <c r="A551" s="10">
        <v>40624</v>
      </c>
      <c r="B551" s="15">
        <f t="shared" si="16"/>
        <v>3</v>
      </c>
      <c r="C551" s="15">
        <f t="shared" si="17"/>
        <v>2011</v>
      </c>
      <c r="D551" s="13">
        <v>56.54</v>
      </c>
      <c r="E551" s="13">
        <v>23.695514400394337</v>
      </c>
      <c r="F551" s="13"/>
      <c r="G551" s="13"/>
      <c r="H551" s="13">
        <v>21.77</v>
      </c>
      <c r="I551" s="13">
        <v>98.03</v>
      </c>
      <c r="J551" s="13"/>
      <c r="K551" s="13"/>
    </row>
    <row r="552" spans="1:11" x14ac:dyDescent="0.25">
      <c r="A552" s="10">
        <v>40625</v>
      </c>
      <c r="B552" s="15">
        <f t="shared" si="16"/>
        <v>3</v>
      </c>
      <c r="C552" s="15">
        <f t="shared" si="17"/>
        <v>2011</v>
      </c>
      <c r="D552" s="13">
        <v>56.54</v>
      </c>
      <c r="E552" s="13">
        <v>23.895753444113051</v>
      </c>
      <c r="F552" s="13"/>
      <c r="G552" s="13"/>
      <c r="H552" s="13">
        <v>21.77</v>
      </c>
      <c r="I552" s="13">
        <v>98.03</v>
      </c>
      <c r="J552" s="13"/>
      <c r="K552" s="13"/>
    </row>
    <row r="553" spans="1:11" x14ac:dyDescent="0.25">
      <c r="A553" s="10">
        <v>40626</v>
      </c>
      <c r="B553" s="15">
        <f t="shared" si="16"/>
        <v>3</v>
      </c>
      <c r="C553" s="15">
        <f t="shared" si="17"/>
        <v>2011</v>
      </c>
      <c r="D553" s="13">
        <v>56.54</v>
      </c>
      <c r="E553" s="13">
        <v>23.742326959712127</v>
      </c>
      <c r="F553" s="13"/>
      <c r="G553" s="13"/>
      <c r="H553" s="13">
        <v>21.77</v>
      </c>
      <c r="I553" s="13">
        <v>98.03</v>
      </c>
      <c r="J553" s="13"/>
      <c r="K553" s="13"/>
    </row>
    <row r="554" spans="1:11" x14ac:dyDescent="0.25">
      <c r="A554" s="10">
        <v>40627</v>
      </c>
      <c r="B554" s="15">
        <f t="shared" si="16"/>
        <v>3</v>
      </c>
      <c r="C554" s="15">
        <f t="shared" si="17"/>
        <v>2011</v>
      </c>
      <c r="D554" s="13">
        <v>56.54</v>
      </c>
      <c r="E554" s="13">
        <v>23.897450465165829</v>
      </c>
      <c r="F554" s="13"/>
      <c r="G554" s="13"/>
      <c r="H554" s="13">
        <v>21.77</v>
      </c>
      <c r="I554" s="13">
        <v>98.03</v>
      </c>
      <c r="J554" s="13"/>
      <c r="K554" s="13"/>
    </row>
    <row r="555" spans="1:11" x14ac:dyDescent="0.25">
      <c r="A555" s="10">
        <v>40630</v>
      </c>
      <c r="B555" s="15">
        <f t="shared" si="16"/>
        <v>3</v>
      </c>
      <c r="C555" s="15">
        <f t="shared" si="17"/>
        <v>2011</v>
      </c>
      <c r="D555" s="13">
        <v>25.76</v>
      </c>
      <c r="E555" s="13">
        <v>5.9784152229480254</v>
      </c>
      <c r="F555" s="13"/>
      <c r="G555" s="13"/>
      <c r="H555" s="13">
        <v>6.46</v>
      </c>
      <c r="I555" s="13">
        <v>79.38</v>
      </c>
      <c r="J555" s="13"/>
      <c r="K555" s="13"/>
    </row>
    <row r="556" spans="1:11" x14ac:dyDescent="0.25">
      <c r="A556" s="10">
        <v>40631</v>
      </c>
      <c r="B556" s="15">
        <f t="shared" si="16"/>
        <v>3</v>
      </c>
      <c r="C556" s="15">
        <f t="shared" si="17"/>
        <v>2011</v>
      </c>
      <c r="D556" s="13">
        <v>25.76</v>
      </c>
      <c r="E556" s="13">
        <v>5.9678219576157057</v>
      </c>
      <c r="F556" s="13"/>
      <c r="G556" s="13"/>
      <c r="H556" s="13">
        <v>6.46</v>
      </c>
      <c r="I556" s="13">
        <v>79.38</v>
      </c>
      <c r="J556" s="13"/>
      <c r="K556" s="13"/>
    </row>
    <row r="557" spans="1:11" x14ac:dyDescent="0.25">
      <c r="A557" s="10">
        <v>40632</v>
      </c>
      <c r="B557" s="15">
        <f t="shared" si="16"/>
        <v>3</v>
      </c>
      <c r="C557" s="15">
        <f t="shared" si="17"/>
        <v>2011</v>
      </c>
      <c r="D557" s="13">
        <v>25.76</v>
      </c>
      <c r="E557" s="13">
        <v>5.961061946902654</v>
      </c>
      <c r="F557" s="13"/>
      <c r="G557" s="13"/>
      <c r="H557" s="13">
        <v>6.46</v>
      </c>
      <c r="I557" s="13">
        <v>79.38</v>
      </c>
      <c r="J557" s="13"/>
      <c r="K557" s="13"/>
    </row>
    <row r="558" spans="1:11" x14ac:dyDescent="0.25">
      <c r="A558" s="10">
        <v>40633</v>
      </c>
      <c r="B558" s="15">
        <f t="shared" si="16"/>
        <v>3</v>
      </c>
      <c r="C558" s="15">
        <f t="shared" si="17"/>
        <v>2011</v>
      </c>
      <c r="D558" s="13">
        <v>25.76</v>
      </c>
      <c r="E558" s="13">
        <v>5.9442287327920926</v>
      </c>
      <c r="F558" s="13"/>
      <c r="G558" s="13"/>
      <c r="H558" s="13">
        <v>6.46</v>
      </c>
      <c r="I558" s="13">
        <v>79.38</v>
      </c>
      <c r="J558" s="13"/>
      <c r="K558" s="13"/>
    </row>
    <row r="559" spans="1:11" x14ac:dyDescent="0.25">
      <c r="A559" s="10">
        <v>40634</v>
      </c>
      <c r="B559" s="15">
        <f t="shared" si="16"/>
        <v>4</v>
      </c>
      <c r="C559" s="15">
        <f t="shared" si="17"/>
        <v>2011</v>
      </c>
      <c r="D559" s="13">
        <v>25.76</v>
      </c>
      <c r="E559" s="13">
        <v>5.9179083497329206</v>
      </c>
      <c r="F559" s="13"/>
      <c r="G559" s="13"/>
      <c r="H559" s="13">
        <v>6.46</v>
      </c>
      <c r="I559" s="13">
        <v>79.38</v>
      </c>
      <c r="J559" s="13"/>
      <c r="K559" s="13"/>
    </row>
    <row r="560" spans="1:11" x14ac:dyDescent="0.25">
      <c r="A560" s="10">
        <v>40637</v>
      </c>
      <c r="B560" s="15">
        <f t="shared" si="16"/>
        <v>4</v>
      </c>
      <c r="C560" s="15">
        <f t="shared" si="17"/>
        <v>2011</v>
      </c>
      <c r="D560" s="13">
        <v>51.49</v>
      </c>
      <c r="E560" s="13">
        <v>12.667041778027853</v>
      </c>
      <c r="F560" s="13"/>
      <c r="G560" s="13"/>
      <c r="H560" s="13">
        <v>7.09</v>
      </c>
      <c r="I560" s="13">
        <v>63.3</v>
      </c>
      <c r="J560" s="13"/>
      <c r="K560" s="13"/>
    </row>
    <row r="561" spans="1:11" x14ac:dyDescent="0.25">
      <c r="A561" s="10">
        <v>40638</v>
      </c>
      <c r="B561" s="15">
        <f t="shared" si="16"/>
        <v>4</v>
      </c>
      <c r="C561" s="15">
        <f t="shared" si="17"/>
        <v>2011</v>
      </c>
      <c r="D561" s="13">
        <v>51.49</v>
      </c>
      <c r="E561" s="13">
        <v>12.665260196905768</v>
      </c>
      <c r="F561" s="13"/>
      <c r="G561" s="13"/>
      <c r="H561" s="13">
        <v>7.09</v>
      </c>
      <c r="I561" s="13">
        <v>63.3</v>
      </c>
      <c r="J561" s="13"/>
      <c r="K561" s="13"/>
    </row>
    <row r="562" spans="1:11" x14ac:dyDescent="0.25">
      <c r="A562" s="10">
        <v>40639</v>
      </c>
      <c r="B562" s="15">
        <f t="shared" si="16"/>
        <v>4</v>
      </c>
      <c r="C562" s="15">
        <f t="shared" si="17"/>
        <v>2011</v>
      </c>
      <c r="D562" s="13">
        <v>51.49</v>
      </c>
      <c r="E562" s="13">
        <v>12.566285235835892</v>
      </c>
      <c r="F562" s="13"/>
      <c r="G562" s="13"/>
      <c r="H562" s="13">
        <v>7.09</v>
      </c>
      <c r="I562" s="13">
        <v>63.3</v>
      </c>
      <c r="J562" s="13"/>
      <c r="K562" s="13"/>
    </row>
    <row r="563" spans="1:11" x14ac:dyDescent="0.25">
      <c r="A563" s="10">
        <v>40640</v>
      </c>
      <c r="B563" s="15">
        <f t="shared" si="16"/>
        <v>4</v>
      </c>
      <c r="C563" s="15">
        <f t="shared" si="17"/>
        <v>2011</v>
      </c>
      <c r="D563" s="13">
        <v>51.49</v>
      </c>
      <c r="E563" s="13">
        <v>12.592644385400645</v>
      </c>
      <c r="F563" s="13"/>
      <c r="G563" s="13"/>
      <c r="H563" s="13">
        <v>7.09</v>
      </c>
      <c r="I563" s="13">
        <v>63.3</v>
      </c>
      <c r="J563" s="13"/>
      <c r="K563" s="13"/>
    </row>
    <row r="564" spans="1:11" x14ac:dyDescent="0.25">
      <c r="A564" s="10">
        <v>40641</v>
      </c>
      <c r="B564" s="15">
        <f t="shared" si="16"/>
        <v>4</v>
      </c>
      <c r="C564" s="15">
        <f t="shared" si="17"/>
        <v>2011</v>
      </c>
      <c r="D564" s="13">
        <v>51.49</v>
      </c>
      <c r="E564" s="13">
        <v>12.439563475618181</v>
      </c>
      <c r="F564" s="13"/>
      <c r="G564" s="13"/>
      <c r="H564" s="13">
        <v>7.09</v>
      </c>
      <c r="I564" s="13">
        <v>63.3</v>
      </c>
      <c r="J564" s="13"/>
      <c r="K564" s="13"/>
    </row>
    <row r="565" spans="1:11" x14ac:dyDescent="0.25">
      <c r="A565" s="10">
        <v>40644</v>
      </c>
      <c r="B565" s="15">
        <f t="shared" si="16"/>
        <v>4</v>
      </c>
      <c r="C565" s="15">
        <f t="shared" si="17"/>
        <v>2011</v>
      </c>
      <c r="D565" s="13">
        <v>57.2</v>
      </c>
      <c r="E565" s="13">
        <v>15.42192046556741</v>
      </c>
      <c r="F565" s="13"/>
      <c r="G565" s="13"/>
      <c r="H565" s="13">
        <v>12.11</v>
      </c>
      <c r="I565" s="13">
        <v>86.63</v>
      </c>
      <c r="J565" s="13"/>
      <c r="K565" s="13"/>
    </row>
    <row r="566" spans="1:11" x14ac:dyDescent="0.25">
      <c r="A566" s="10">
        <v>40645</v>
      </c>
      <c r="B566" s="15">
        <f t="shared" si="16"/>
        <v>4</v>
      </c>
      <c r="C566" s="15">
        <f t="shared" si="17"/>
        <v>2011</v>
      </c>
      <c r="D566" s="13">
        <v>57.2</v>
      </c>
      <c r="E566" s="13">
        <v>15.377176015473889</v>
      </c>
      <c r="F566" s="13"/>
      <c r="G566" s="13"/>
      <c r="H566" s="13">
        <v>12.11</v>
      </c>
      <c r="I566" s="13">
        <v>86.63</v>
      </c>
      <c r="J566" s="13"/>
      <c r="K566" s="13"/>
    </row>
    <row r="567" spans="1:11" x14ac:dyDescent="0.25">
      <c r="A567" s="10">
        <v>40646</v>
      </c>
      <c r="B567" s="15">
        <f t="shared" si="16"/>
        <v>4</v>
      </c>
      <c r="C567" s="15">
        <f t="shared" si="17"/>
        <v>2011</v>
      </c>
      <c r="D567" s="13">
        <v>57.2</v>
      </c>
      <c r="E567" s="13">
        <v>15.415512465373963</v>
      </c>
      <c r="F567" s="13"/>
      <c r="G567" s="13"/>
      <c r="H567" s="13">
        <v>12.11</v>
      </c>
      <c r="I567" s="13">
        <v>86.63</v>
      </c>
      <c r="J567" s="13"/>
      <c r="K567" s="13"/>
    </row>
    <row r="568" spans="1:11" x14ac:dyDescent="0.25">
      <c r="A568" s="10">
        <v>40647</v>
      </c>
      <c r="B568" s="15">
        <f t="shared" si="16"/>
        <v>4</v>
      </c>
      <c r="C568" s="15">
        <f t="shared" si="17"/>
        <v>2011</v>
      </c>
      <c r="D568" s="13">
        <v>57.2</v>
      </c>
      <c r="E568" s="13">
        <v>15.364439536167863</v>
      </c>
      <c r="F568" s="13"/>
      <c r="G568" s="13"/>
      <c r="H568" s="13">
        <v>12.11</v>
      </c>
      <c r="I568" s="13">
        <v>86.63</v>
      </c>
      <c r="J568" s="13"/>
      <c r="K568" s="13"/>
    </row>
    <row r="569" spans="1:11" x14ac:dyDescent="0.25">
      <c r="A569" s="10">
        <v>40648</v>
      </c>
      <c r="B569" s="15">
        <f t="shared" si="16"/>
        <v>4</v>
      </c>
      <c r="C569" s="15">
        <f t="shared" si="17"/>
        <v>2011</v>
      </c>
      <c r="D569" s="13">
        <v>57.2</v>
      </c>
      <c r="E569" s="13">
        <v>15.42726453669693</v>
      </c>
      <c r="F569" s="13"/>
      <c r="G569" s="13"/>
      <c r="H569" s="13">
        <v>12.11</v>
      </c>
      <c r="I569" s="13">
        <v>86.63</v>
      </c>
      <c r="J569" s="13"/>
      <c r="K569" s="13"/>
    </row>
    <row r="570" spans="1:11" x14ac:dyDescent="0.25">
      <c r="A570" s="10">
        <v>40651</v>
      </c>
      <c r="B570" s="15">
        <f t="shared" si="16"/>
        <v>4</v>
      </c>
      <c r="C570" s="15">
        <f t="shared" si="17"/>
        <v>2011</v>
      </c>
      <c r="D570" s="13">
        <v>51.77</v>
      </c>
      <c r="E570" s="13">
        <v>14.917088251826868</v>
      </c>
      <c r="F570" s="13"/>
      <c r="G570" s="13"/>
      <c r="H570" s="13">
        <v>0.81</v>
      </c>
      <c r="I570" s="13">
        <v>74.88</v>
      </c>
      <c r="J570" s="13"/>
      <c r="K570" s="13"/>
    </row>
    <row r="571" spans="1:11" x14ac:dyDescent="0.25">
      <c r="A571" s="10">
        <v>40652</v>
      </c>
      <c r="B571" s="15">
        <f t="shared" si="16"/>
        <v>4</v>
      </c>
      <c r="C571" s="15">
        <f t="shared" si="17"/>
        <v>2011</v>
      </c>
      <c r="D571" s="13">
        <v>51.77</v>
      </c>
      <c r="E571" s="13">
        <v>14.809905824904082</v>
      </c>
      <c r="F571" s="13"/>
      <c r="G571" s="13"/>
      <c r="H571" s="13">
        <v>0.81</v>
      </c>
      <c r="I571" s="13">
        <v>74.88</v>
      </c>
      <c r="J571" s="13"/>
      <c r="K571" s="13"/>
    </row>
    <row r="572" spans="1:11" x14ac:dyDescent="0.25">
      <c r="A572" s="10">
        <v>40653</v>
      </c>
      <c r="B572" s="15">
        <f t="shared" si="16"/>
        <v>4</v>
      </c>
      <c r="C572" s="15">
        <f t="shared" si="17"/>
        <v>2011</v>
      </c>
      <c r="D572" s="13">
        <v>51.77</v>
      </c>
      <c r="E572" s="13">
        <v>14.623226339716215</v>
      </c>
      <c r="F572" s="13"/>
      <c r="G572" s="13"/>
      <c r="H572" s="13">
        <v>0.81</v>
      </c>
      <c r="I572" s="13">
        <v>74.88</v>
      </c>
      <c r="J572" s="13"/>
      <c r="K572" s="13"/>
    </row>
    <row r="573" spans="1:11" x14ac:dyDescent="0.25">
      <c r="A573" s="10">
        <v>40654</v>
      </c>
      <c r="B573" s="15">
        <f t="shared" si="16"/>
        <v>4</v>
      </c>
      <c r="C573" s="15">
        <f t="shared" si="17"/>
        <v>2011</v>
      </c>
      <c r="D573" s="13">
        <v>51.77</v>
      </c>
      <c r="E573" s="13">
        <v>14.590062538657136</v>
      </c>
      <c r="F573" s="13"/>
      <c r="G573" s="13"/>
      <c r="H573" s="13">
        <v>0.81</v>
      </c>
      <c r="I573" s="13">
        <v>74.88</v>
      </c>
      <c r="J573" s="13"/>
      <c r="K573" s="13"/>
    </row>
    <row r="574" spans="1:11" x14ac:dyDescent="0.25">
      <c r="A574" s="10">
        <v>40658</v>
      </c>
      <c r="B574" s="15">
        <f t="shared" si="16"/>
        <v>4</v>
      </c>
      <c r="C574" s="15">
        <f t="shared" si="17"/>
        <v>2011</v>
      </c>
      <c r="D574" s="13">
        <v>55.85</v>
      </c>
      <c r="E574" s="13">
        <v>15.392002194937925</v>
      </c>
      <c r="F574" s="13"/>
      <c r="G574" s="13"/>
      <c r="H574" s="13">
        <v>10.039999999999999</v>
      </c>
      <c r="I574" s="13">
        <v>71.95</v>
      </c>
      <c r="J574" s="13"/>
      <c r="K574" s="13"/>
    </row>
    <row r="575" spans="1:11" x14ac:dyDescent="0.25">
      <c r="A575" s="10">
        <v>40659</v>
      </c>
      <c r="B575" s="15">
        <f t="shared" si="16"/>
        <v>4</v>
      </c>
      <c r="C575" s="15">
        <f t="shared" si="17"/>
        <v>2011</v>
      </c>
      <c r="D575" s="13">
        <v>55.85</v>
      </c>
      <c r="E575" s="13">
        <v>15.325775167326869</v>
      </c>
      <c r="F575" s="13"/>
      <c r="G575" s="13"/>
      <c r="H575" s="13">
        <v>10.039999999999999</v>
      </c>
      <c r="I575" s="13">
        <v>71.95</v>
      </c>
      <c r="J575" s="13"/>
      <c r="K575" s="13"/>
    </row>
    <row r="576" spans="1:11" x14ac:dyDescent="0.25">
      <c r="A576" s="10">
        <v>40660</v>
      </c>
      <c r="B576" s="15">
        <f t="shared" si="16"/>
        <v>4</v>
      </c>
      <c r="C576" s="15">
        <f t="shared" si="17"/>
        <v>2011</v>
      </c>
      <c r="D576" s="13">
        <v>55.85</v>
      </c>
      <c r="E576" s="13">
        <v>15.186789388197077</v>
      </c>
      <c r="F576" s="13"/>
      <c r="G576" s="13"/>
      <c r="H576" s="13">
        <v>10.039999999999999</v>
      </c>
      <c r="I576" s="13">
        <v>71.95</v>
      </c>
      <c r="J576" s="13"/>
      <c r="K576" s="13"/>
    </row>
    <row r="577" spans="1:11" x14ac:dyDescent="0.25">
      <c r="A577" s="10">
        <v>40661</v>
      </c>
      <c r="B577" s="15">
        <f t="shared" si="16"/>
        <v>4</v>
      </c>
      <c r="C577" s="15">
        <f t="shared" si="17"/>
        <v>2011</v>
      </c>
      <c r="D577" s="13">
        <v>55.85</v>
      </c>
      <c r="E577" s="13">
        <v>15.139657266225882</v>
      </c>
      <c r="F577" s="13"/>
      <c r="G577" s="13"/>
      <c r="H577" s="13">
        <v>10.039999999999999</v>
      </c>
      <c r="I577" s="13">
        <v>71.95</v>
      </c>
      <c r="J577" s="13"/>
      <c r="K577" s="13"/>
    </row>
    <row r="578" spans="1:11" x14ac:dyDescent="0.25">
      <c r="A578" s="10">
        <v>40662</v>
      </c>
      <c r="B578" s="15">
        <f t="shared" si="16"/>
        <v>4</v>
      </c>
      <c r="C578" s="15">
        <f t="shared" si="17"/>
        <v>2011</v>
      </c>
      <c r="D578" s="13">
        <v>55.85</v>
      </c>
      <c r="E578" s="13">
        <v>15.163186701804177</v>
      </c>
      <c r="F578" s="13"/>
      <c r="G578" s="13"/>
      <c r="H578" s="13">
        <v>10.039999999999999</v>
      </c>
      <c r="I578" s="13">
        <v>71.95</v>
      </c>
      <c r="J578" s="13"/>
      <c r="K578" s="13"/>
    </row>
    <row r="579" spans="1:11" x14ac:dyDescent="0.25">
      <c r="A579" s="10">
        <v>40665</v>
      </c>
      <c r="B579" s="15">
        <f t="shared" ref="B579:B642" si="18">MONTH(A579)</f>
        <v>5</v>
      </c>
      <c r="C579" s="15">
        <f t="shared" ref="C579:C642" si="19">YEAR(A579)</f>
        <v>2011</v>
      </c>
      <c r="D579" s="13">
        <v>46.01</v>
      </c>
      <c r="E579" s="13">
        <v>7.0628710199676208</v>
      </c>
      <c r="F579" s="13"/>
      <c r="G579" s="13"/>
      <c r="H579" s="13">
        <v>11.98</v>
      </c>
      <c r="I579" s="13">
        <v>80.28</v>
      </c>
      <c r="J579" s="13"/>
      <c r="K579" s="13"/>
    </row>
    <row r="580" spans="1:11" x14ac:dyDescent="0.25">
      <c r="A580" s="10">
        <v>40666</v>
      </c>
      <c r="B580" s="15">
        <f t="shared" si="18"/>
        <v>5</v>
      </c>
      <c r="C580" s="15">
        <f t="shared" si="19"/>
        <v>2011</v>
      </c>
      <c r="D580" s="13">
        <v>46.01</v>
      </c>
      <c r="E580" s="13">
        <v>7.0619182517199519</v>
      </c>
      <c r="F580" s="13"/>
      <c r="G580" s="13"/>
      <c r="H580" s="13">
        <v>11.98</v>
      </c>
      <c r="I580" s="13">
        <v>80.28</v>
      </c>
      <c r="J580" s="13"/>
      <c r="K580" s="13"/>
    </row>
    <row r="581" spans="1:11" x14ac:dyDescent="0.25">
      <c r="A581" s="10">
        <v>40667</v>
      </c>
      <c r="B581" s="15">
        <f t="shared" si="18"/>
        <v>5</v>
      </c>
      <c r="C581" s="15">
        <f t="shared" si="19"/>
        <v>2011</v>
      </c>
      <c r="D581" s="13">
        <v>46.01</v>
      </c>
      <c r="E581" s="13">
        <v>7.0643006544767566</v>
      </c>
      <c r="F581" s="13"/>
      <c r="G581" s="13"/>
      <c r="H581" s="13">
        <v>11.98</v>
      </c>
      <c r="I581" s="13">
        <v>80.28</v>
      </c>
      <c r="J581" s="13"/>
      <c r="K581" s="13"/>
    </row>
    <row r="582" spans="1:11" x14ac:dyDescent="0.25">
      <c r="A582" s="10">
        <v>40668</v>
      </c>
      <c r="B582" s="15">
        <f t="shared" si="18"/>
        <v>5</v>
      </c>
      <c r="C582" s="15">
        <f t="shared" si="19"/>
        <v>2011</v>
      </c>
      <c r="D582" s="13">
        <v>46.01</v>
      </c>
      <c r="E582" s="13">
        <v>7.2018159306644662</v>
      </c>
      <c r="F582" s="13"/>
      <c r="G582" s="13"/>
      <c r="H582" s="13">
        <v>11.98</v>
      </c>
      <c r="I582" s="13">
        <v>80.28</v>
      </c>
      <c r="J582" s="13"/>
      <c r="K582" s="13"/>
    </row>
    <row r="583" spans="1:11" x14ac:dyDescent="0.25">
      <c r="A583" s="10">
        <v>40669</v>
      </c>
      <c r="B583" s="15">
        <f t="shared" si="18"/>
        <v>5</v>
      </c>
      <c r="C583" s="15">
        <f t="shared" si="19"/>
        <v>2011</v>
      </c>
      <c r="D583" s="13">
        <v>46.01</v>
      </c>
      <c r="E583" s="13">
        <v>7.317584568073805</v>
      </c>
      <c r="F583" s="13"/>
      <c r="G583" s="13"/>
      <c r="H583" s="13">
        <v>11.98</v>
      </c>
      <c r="I583" s="13">
        <v>80.28</v>
      </c>
      <c r="J583" s="13"/>
      <c r="K583" s="13"/>
    </row>
    <row r="584" spans="1:11" x14ac:dyDescent="0.25">
      <c r="A584" s="10">
        <v>40672</v>
      </c>
      <c r="B584" s="15">
        <f t="shared" si="18"/>
        <v>5</v>
      </c>
      <c r="C584" s="15">
        <f t="shared" si="19"/>
        <v>2011</v>
      </c>
      <c r="D584" s="13">
        <v>45.49</v>
      </c>
      <c r="E584" s="13">
        <v>-3.2446734438100546</v>
      </c>
      <c r="F584" s="13"/>
      <c r="G584" s="13"/>
      <c r="H584" s="13">
        <v>-9.2799999999999994</v>
      </c>
      <c r="I584" s="13">
        <v>67.64</v>
      </c>
      <c r="J584" s="13"/>
      <c r="K584" s="13"/>
    </row>
    <row r="585" spans="1:11" x14ac:dyDescent="0.25">
      <c r="A585" s="10">
        <v>40673</v>
      </c>
      <c r="B585" s="15">
        <f t="shared" si="18"/>
        <v>5</v>
      </c>
      <c r="C585" s="15">
        <f t="shared" si="19"/>
        <v>2011</v>
      </c>
      <c r="D585" s="13">
        <v>45.49</v>
      </c>
      <c r="E585" s="13">
        <v>-3.2347632930723309</v>
      </c>
      <c r="F585" s="13"/>
      <c r="G585" s="13"/>
      <c r="H585" s="13">
        <v>-9.2799999999999994</v>
      </c>
      <c r="I585" s="13">
        <v>67.64</v>
      </c>
      <c r="J585" s="13"/>
      <c r="K585" s="13"/>
    </row>
    <row r="586" spans="1:11" x14ac:dyDescent="0.25">
      <c r="A586" s="10">
        <v>40674</v>
      </c>
      <c r="B586" s="15">
        <f t="shared" si="18"/>
        <v>5</v>
      </c>
      <c r="C586" s="15">
        <f t="shared" si="19"/>
        <v>2011</v>
      </c>
      <c r="D586" s="13">
        <v>45.49</v>
      </c>
      <c r="E586" s="13">
        <v>-3.2828460725607611</v>
      </c>
      <c r="F586" s="13"/>
      <c r="G586" s="13"/>
      <c r="H586" s="13">
        <v>-9.2799999999999994</v>
      </c>
      <c r="I586" s="13">
        <v>67.64</v>
      </c>
      <c r="J586" s="13"/>
      <c r="K586" s="13"/>
    </row>
    <row r="587" spans="1:11" x14ac:dyDescent="0.25">
      <c r="A587" s="10">
        <v>40675</v>
      </c>
      <c r="B587" s="15">
        <f t="shared" si="18"/>
        <v>5</v>
      </c>
      <c r="C587" s="15">
        <f t="shared" si="19"/>
        <v>2011</v>
      </c>
      <c r="D587" s="13">
        <v>45.49</v>
      </c>
      <c r="E587" s="13">
        <v>-3.2722421178288044</v>
      </c>
      <c r="F587" s="13"/>
      <c r="G587" s="13"/>
      <c r="H587" s="13">
        <v>-9.2799999999999994</v>
      </c>
      <c r="I587" s="13">
        <v>67.64</v>
      </c>
      <c r="J587" s="13"/>
      <c r="K587" s="13"/>
    </row>
    <row r="588" spans="1:11" x14ac:dyDescent="0.25">
      <c r="A588" s="10">
        <v>40676</v>
      </c>
      <c r="B588" s="15">
        <f t="shared" si="18"/>
        <v>5</v>
      </c>
      <c r="C588" s="15">
        <f t="shared" si="19"/>
        <v>2011</v>
      </c>
      <c r="D588" s="13">
        <v>45.49</v>
      </c>
      <c r="E588" s="13">
        <v>-3.3007508145629694</v>
      </c>
      <c r="F588" s="13"/>
      <c r="G588" s="13"/>
      <c r="H588" s="13">
        <v>-9.2799999999999994</v>
      </c>
      <c r="I588" s="13">
        <v>67.64</v>
      </c>
      <c r="J588" s="13"/>
      <c r="K588" s="13"/>
    </row>
    <row r="589" spans="1:11" x14ac:dyDescent="0.25">
      <c r="A589" s="10">
        <v>40679</v>
      </c>
      <c r="B589" s="15">
        <f t="shared" si="18"/>
        <v>5</v>
      </c>
      <c r="C589" s="15">
        <f t="shared" si="19"/>
        <v>2011</v>
      </c>
      <c r="D589" s="13">
        <v>49.99</v>
      </c>
      <c r="E589" s="13">
        <v>-3.3771372050303805</v>
      </c>
      <c r="F589" s="13"/>
      <c r="G589" s="13"/>
      <c r="H589" s="13">
        <v>3.46</v>
      </c>
      <c r="I589" s="13">
        <v>64.67</v>
      </c>
      <c r="J589" s="13"/>
      <c r="K589" s="13"/>
    </row>
    <row r="590" spans="1:11" x14ac:dyDescent="0.25">
      <c r="A590" s="10">
        <v>40680</v>
      </c>
      <c r="B590" s="15">
        <f t="shared" si="18"/>
        <v>5</v>
      </c>
      <c r="C590" s="15">
        <f t="shared" si="19"/>
        <v>2011</v>
      </c>
      <c r="D590" s="13">
        <v>49.99</v>
      </c>
      <c r="E590" s="13">
        <v>-3.3574489007515629</v>
      </c>
      <c r="F590" s="13"/>
      <c r="G590" s="13"/>
      <c r="H590" s="13">
        <v>3.46</v>
      </c>
      <c r="I590" s="13">
        <v>64.67</v>
      </c>
      <c r="J590" s="13"/>
      <c r="K590" s="13"/>
    </row>
    <row r="591" spans="1:11" x14ac:dyDescent="0.25">
      <c r="A591" s="10">
        <v>40681</v>
      </c>
      <c r="B591" s="15">
        <f t="shared" si="18"/>
        <v>5</v>
      </c>
      <c r="C591" s="15">
        <f t="shared" si="19"/>
        <v>2011</v>
      </c>
      <c r="D591" s="13">
        <v>49.99</v>
      </c>
      <c r="E591" s="13">
        <v>-3.3555633555633557</v>
      </c>
      <c r="F591" s="13"/>
      <c r="G591" s="13"/>
      <c r="H591" s="13">
        <v>3.46</v>
      </c>
      <c r="I591" s="13">
        <v>64.67</v>
      </c>
      <c r="J591" s="13"/>
      <c r="K591" s="13"/>
    </row>
    <row r="592" spans="1:11" x14ac:dyDescent="0.25">
      <c r="A592" s="10">
        <v>40682</v>
      </c>
      <c r="B592" s="15">
        <f t="shared" si="18"/>
        <v>5</v>
      </c>
      <c r="C592" s="15">
        <f t="shared" si="19"/>
        <v>2011</v>
      </c>
      <c r="D592" s="13">
        <v>49.99</v>
      </c>
      <c r="E592" s="13">
        <v>-3.339854667411962</v>
      </c>
      <c r="F592" s="13"/>
      <c r="G592" s="13"/>
      <c r="H592" s="13">
        <v>3.46</v>
      </c>
      <c r="I592" s="13">
        <v>64.67</v>
      </c>
      <c r="J592" s="13"/>
      <c r="K592" s="13"/>
    </row>
    <row r="593" spans="1:11" x14ac:dyDescent="0.25">
      <c r="A593" s="10">
        <v>40683</v>
      </c>
      <c r="B593" s="15">
        <f t="shared" si="18"/>
        <v>5</v>
      </c>
      <c r="C593" s="15">
        <f t="shared" si="19"/>
        <v>2011</v>
      </c>
      <c r="D593" s="13">
        <v>49.99</v>
      </c>
      <c r="E593" s="13">
        <v>-3.3776144714527985</v>
      </c>
      <c r="F593" s="13"/>
      <c r="G593" s="13"/>
      <c r="H593" s="13">
        <v>3.46</v>
      </c>
      <c r="I593" s="13">
        <v>64.67</v>
      </c>
      <c r="J593" s="13"/>
      <c r="K593" s="13"/>
    </row>
    <row r="594" spans="1:11" x14ac:dyDescent="0.25">
      <c r="A594" s="10">
        <v>40686</v>
      </c>
      <c r="B594" s="15">
        <f t="shared" si="18"/>
        <v>5</v>
      </c>
      <c r="C594" s="15">
        <f t="shared" si="19"/>
        <v>2011</v>
      </c>
      <c r="D594" s="13">
        <v>55.2</v>
      </c>
      <c r="E594" s="13">
        <v>-3.0177935943060499</v>
      </c>
      <c r="F594" s="13"/>
      <c r="G594" s="13"/>
      <c r="H594" s="13">
        <v>-9.31</v>
      </c>
      <c r="I594" s="13">
        <v>32.840000000000003</v>
      </c>
      <c r="J594" s="13"/>
      <c r="K594" s="13"/>
    </row>
    <row r="595" spans="1:11" x14ac:dyDescent="0.25">
      <c r="A595" s="10">
        <v>40687</v>
      </c>
      <c r="B595" s="15">
        <f t="shared" si="18"/>
        <v>5</v>
      </c>
      <c r="C595" s="15">
        <f t="shared" si="19"/>
        <v>2011</v>
      </c>
      <c r="D595" s="13">
        <v>55.2</v>
      </c>
      <c r="E595" s="13">
        <v>-3.006452527830958</v>
      </c>
      <c r="F595" s="13"/>
      <c r="G595" s="13"/>
      <c r="H595" s="13">
        <v>-9.31</v>
      </c>
      <c r="I595" s="13">
        <v>32.840000000000003</v>
      </c>
      <c r="J595" s="13"/>
      <c r="K595" s="13"/>
    </row>
    <row r="596" spans="1:11" x14ac:dyDescent="0.25">
      <c r="A596" s="10">
        <v>40688</v>
      </c>
      <c r="B596" s="15">
        <f t="shared" si="18"/>
        <v>5</v>
      </c>
      <c r="C596" s="15">
        <f t="shared" si="19"/>
        <v>2011</v>
      </c>
      <c r="D596" s="13">
        <v>55.2</v>
      </c>
      <c r="E596" s="13">
        <v>-3.0102946396876109</v>
      </c>
      <c r="F596" s="13"/>
      <c r="G596" s="13"/>
      <c r="H596" s="13">
        <v>-9.31</v>
      </c>
      <c r="I596" s="13">
        <v>32.840000000000003</v>
      </c>
      <c r="J596" s="13"/>
      <c r="K596" s="13"/>
    </row>
    <row r="597" spans="1:11" x14ac:dyDescent="0.25">
      <c r="A597" s="10">
        <v>40689</v>
      </c>
      <c r="B597" s="15">
        <f t="shared" si="18"/>
        <v>5</v>
      </c>
      <c r="C597" s="15">
        <f t="shared" si="19"/>
        <v>2011</v>
      </c>
      <c r="D597" s="13">
        <v>55.2</v>
      </c>
      <c r="E597" s="13">
        <v>-2.9990097609279958</v>
      </c>
      <c r="F597" s="13"/>
      <c r="G597" s="13"/>
      <c r="H597" s="13">
        <v>-9.31</v>
      </c>
      <c r="I597" s="13">
        <v>32.840000000000003</v>
      </c>
      <c r="J597" s="13"/>
      <c r="K597" s="13"/>
    </row>
    <row r="598" spans="1:11" x14ac:dyDescent="0.25">
      <c r="A598" s="10">
        <v>40690</v>
      </c>
      <c r="B598" s="15">
        <f t="shared" si="18"/>
        <v>5</v>
      </c>
      <c r="C598" s="15">
        <f t="shared" si="19"/>
        <v>2011</v>
      </c>
      <c r="D598" s="13">
        <v>55.2</v>
      </c>
      <c r="E598" s="13">
        <v>-2.9606871028559461</v>
      </c>
      <c r="F598" s="13"/>
      <c r="G598" s="13"/>
      <c r="H598" s="13">
        <v>-9.31</v>
      </c>
      <c r="I598" s="13">
        <v>32.840000000000003</v>
      </c>
      <c r="J598" s="13"/>
      <c r="K598" s="13"/>
    </row>
    <row r="599" spans="1:11" x14ac:dyDescent="0.25">
      <c r="A599" s="10">
        <v>40694</v>
      </c>
      <c r="B599" s="15">
        <f t="shared" si="18"/>
        <v>5</v>
      </c>
      <c r="C599" s="15">
        <f t="shared" si="19"/>
        <v>2011</v>
      </c>
      <c r="D599" s="13">
        <v>54</v>
      </c>
      <c r="E599" s="13">
        <v>2.0980964290676671</v>
      </c>
      <c r="F599" s="13"/>
      <c r="G599" s="13"/>
      <c r="H599" s="13">
        <v>-6.02</v>
      </c>
      <c r="I599" s="13">
        <v>35.19</v>
      </c>
      <c r="J599" s="13"/>
      <c r="K599" s="13"/>
    </row>
    <row r="600" spans="1:11" x14ac:dyDescent="0.25">
      <c r="A600" s="10">
        <v>40695</v>
      </c>
      <c r="B600" s="15">
        <f t="shared" si="18"/>
        <v>6</v>
      </c>
      <c r="C600" s="15">
        <f t="shared" si="19"/>
        <v>2011</v>
      </c>
      <c r="D600" s="13">
        <v>54</v>
      </c>
      <c r="E600" s="13">
        <v>2.1101173840134151</v>
      </c>
      <c r="F600" s="13"/>
      <c r="G600" s="13"/>
      <c r="H600" s="13">
        <v>-6.02</v>
      </c>
      <c r="I600" s="13">
        <v>35.19</v>
      </c>
      <c r="J600" s="13"/>
      <c r="K600" s="13"/>
    </row>
    <row r="601" spans="1:11" x14ac:dyDescent="0.25">
      <c r="A601" s="10">
        <v>40696</v>
      </c>
      <c r="B601" s="15">
        <f t="shared" si="18"/>
        <v>6</v>
      </c>
      <c r="C601" s="15">
        <f t="shared" si="19"/>
        <v>2011</v>
      </c>
      <c r="D601" s="13">
        <v>54</v>
      </c>
      <c r="E601" s="13">
        <v>2.0841959972394752</v>
      </c>
      <c r="F601" s="13"/>
      <c r="G601" s="13"/>
      <c r="H601" s="13">
        <v>-6.02</v>
      </c>
      <c r="I601" s="13">
        <v>35.19</v>
      </c>
      <c r="J601" s="13"/>
      <c r="K601" s="13"/>
    </row>
    <row r="602" spans="1:11" x14ac:dyDescent="0.25">
      <c r="A602" s="10">
        <v>40697</v>
      </c>
      <c r="B602" s="15">
        <f t="shared" si="18"/>
        <v>6</v>
      </c>
      <c r="C602" s="15">
        <f t="shared" si="19"/>
        <v>2011</v>
      </c>
      <c r="D602" s="13">
        <v>54</v>
      </c>
      <c r="E602" s="13">
        <v>2.0636873035397021</v>
      </c>
      <c r="F602" s="13"/>
      <c r="G602" s="13"/>
      <c r="H602" s="13">
        <v>-6.02</v>
      </c>
      <c r="I602" s="13">
        <v>35.19</v>
      </c>
      <c r="J602" s="13"/>
      <c r="K602" s="13"/>
    </row>
    <row r="603" spans="1:11" x14ac:dyDescent="0.25">
      <c r="A603" s="10">
        <v>40700</v>
      </c>
      <c r="B603" s="15">
        <f t="shared" si="18"/>
        <v>6</v>
      </c>
      <c r="C603" s="15">
        <f t="shared" si="19"/>
        <v>2011</v>
      </c>
      <c r="D603" s="13">
        <v>59.1</v>
      </c>
      <c r="E603" s="13">
        <v>2.1130625686059274</v>
      </c>
      <c r="F603" s="13"/>
      <c r="G603" s="13"/>
      <c r="H603" s="13">
        <v>-13.2</v>
      </c>
      <c r="I603" s="13">
        <v>49.48</v>
      </c>
      <c r="J603" s="13"/>
      <c r="K603" s="13"/>
    </row>
    <row r="604" spans="1:11" x14ac:dyDescent="0.25">
      <c r="A604" s="10">
        <v>40701</v>
      </c>
      <c r="B604" s="15">
        <f t="shared" si="18"/>
        <v>6</v>
      </c>
      <c r="C604" s="15">
        <f t="shared" si="19"/>
        <v>2011</v>
      </c>
      <c r="D604" s="13">
        <v>59.1</v>
      </c>
      <c r="E604" s="13">
        <v>2.0968071345905099</v>
      </c>
      <c r="F604" s="13"/>
      <c r="G604" s="13"/>
      <c r="H604" s="13">
        <v>-13.2</v>
      </c>
      <c r="I604" s="13">
        <v>49.48</v>
      </c>
      <c r="J604" s="13"/>
      <c r="K604" s="13"/>
    </row>
    <row r="605" spans="1:11" x14ac:dyDescent="0.25">
      <c r="A605" s="10">
        <v>40702</v>
      </c>
      <c r="B605" s="15">
        <f t="shared" si="18"/>
        <v>6</v>
      </c>
      <c r="C605" s="15">
        <f t="shared" si="19"/>
        <v>2011</v>
      </c>
      <c r="D605" s="13">
        <v>59.1</v>
      </c>
      <c r="E605" s="13">
        <v>2.1130625686059274</v>
      </c>
      <c r="F605" s="13"/>
      <c r="G605" s="13"/>
      <c r="H605" s="13">
        <v>-13.2</v>
      </c>
      <c r="I605" s="13">
        <v>49.48</v>
      </c>
      <c r="J605" s="13"/>
      <c r="K605" s="13"/>
    </row>
    <row r="606" spans="1:11" x14ac:dyDescent="0.25">
      <c r="A606" s="10">
        <v>40703</v>
      </c>
      <c r="B606" s="15">
        <f t="shared" si="18"/>
        <v>6</v>
      </c>
      <c r="C606" s="15">
        <f t="shared" si="19"/>
        <v>2011</v>
      </c>
      <c r="D606" s="13">
        <v>59.1</v>
      </c>
      <c r="E606" s="13">
        <v>2.1229666390956714</v>
      </c>
      <c r="F606" s="13"/>
      <c r="G606" s="13"/>
      <c r="H606" s="13">
        <v>-13.2</v>
      </c>
      <c r="I606" s="13">
        <v>49.48</v>
      </c>
      <c r="J606" s="13"/>
      <c r="K606" s="13"/>
    </row>
    <row r="607" spans="1:11" x14ac:dyDescent="0.25">
      <c r="A607" s="10">
        <v>40704</v>
      </c>
      <c r="B607" s="15">
        <f t="shared" si="18"/>
        <v>6</v>
      </c>
      <c r="C607" s="15">
        <f t="shared" si="19"/>
        <v>2011</v>
      </c>
      <c r="D607" s="13">
        <v>59.1</v>
      </c>
      <c r="E607" s="13">
        <v>2.1470895782502613</v>
      </c>
      <c r="F607" s="13"/>
      <c r="G607" s="13"/>
      <c r="H607" s="13">
        <v>-13.2</v>
      </c>
      <c r="I607" s="13">
        <v>49.48</v>
      </c>
      <c r="J607" s="13"/>
      <c r="K607" s="13"/>
    </row>
    <row r="608" spans="1:11" x14ac:dyDescent="0.25">
      <c r="A608" s="10">
        <v>40707</v>
      </c>
      <c r="B608" s="15">
        <f t="shared" si="18"/>
        <v>6</v>
      </c>
      <c r="C608" s="15">
        <f t="shared" si="19"/>
        <v>2011</v>
      </c>
      <c r="D608" s="13">
        <v>61.67</v>
      </c>
      <c r="E608" s="13">
        <v>9.5872355185570584</v>
      </c>
      <c r="F608" s="13"/>
      <c r="G608" s="13"/>
      <c r="H608" s="13">
        <v>-7.1</v>
      </c>
      <c r="I608" s="13">
        <v>37.15</v>
      </c>
      <c r="J608" s="13"/>
      <c r="K608" s="13"/>
    </row>
    <row r="609" spans="1:11" x14ac:dyDescent="0.25">
      <c r="A609" s="10">
        <v>40708</v>
      </c>
      <c r="B609" s="15">
        <f t="shared" si="18"/>
        <v>6</v>
      </c>
      <c r="C609" s="15">
        <f t="shared" si="19"/>
        <v>2011</v>
      </c>
      <c r="D609" s="13">
        <v>61.67</v>
      </c>
      <c r="E609" s="13">
        <v>9.5719628757445641</v>
      </c>
      <c r="F609" s="13"/>
      <c r="G609" s="13"/>
      <c r="H609" s="13">
        <v>-7.1</v>
      </c>
      <c r="I609" s="13">
        <v>37.15</v>
      </c>
      <c r="J609" s="13"/>
      <c r="K609" s="13"/>
    </row>
    <row r="610" spans="1:11" x14ac:dyDescent="0.25">
      <c r="A610" s="10">
        <v>40709</v>
      </c>
      <c r="B610" s="15">
        <f t="shared" si="18"/>
        <v>6</v>
      </c>
      <c r="C610" s="15">
        <f t="shared" si="19"/>
        <v>2011</v>
      </c>
      <c r="D610" s="13">
        <v>61.67</v>
      </c>
      <c r="E610" s="13">
        <v>9.7557532119158541</v>
      </c>
      <c r="F610" s="13"/>
      <c r="G610" s="13"/>
      <c r="H610" s="13">
        <v>-7.1</v>
      </c>
      <c r="I610" s="13">
        <v>37.15</v>
      </c>
      <c r="J610" s="13"/>
      <c r="K610" s="13"/>
    </row>
    <row r="611" spans="1:11" x14ac:dyDescent="0.25">
      <c r="A611" s="10">
        <v>40710</v>
      </c>
      <c r="B611" s="15">
        <f t="shared" si="18"/>
        <v>6</v>
      </c>
      <c r="C611" s="15">
        <f t="shared" si="19"/>
        <v>2011</v>
      </c>
      <c r="D611" s="13">
        <v>61.67</v>
      </c>
      <c r="E611" s="13">
        <v>9.7255453905700211</v>
      </c>
      <c r="F611" s="13"/>
      <c r="G611" s="13"/>
      <c r="H611" s="13">
        <v>-7.1</v>
      </c>
      <c r="I611" s="13">
        <v>37.15</v>
      </c>
      <c r="J611" s="13"/>
      <c r="K611" s="13"/>
    </row>
    <row r="612" spans="1:11" x14ac:dyDescent="0.25">
      <c r="A612" s="10">
        <v>40711</v>
      </c>
      <c r="B612" s="15">
        <f t="shared" si="18"/>
        <v>6</v>
      </c>
      <c r="C612" s="15">
        <f t="shared" si="19"/>
        <v>2011</v>
      </c>
      <c r="D612" s="13">
        <v>61.67</v>
      </c>
      <c r="E612" s="13">
        <v>9.6589320659770763</v>
      </c>
      <c r="F612" s="13"/>
      <c r="G612" s="13"/>
      <c r="H612" s="13">
        <v>-7.1</v>
      </c>
      <c r="I612" s="13">
        <v>37.15</v>
      </c>
      <c r="J612" s="13"/>
      <c r="K612" s="13"/>
    </row>
    <row r="613" spans="1:11" x14ac:dyDescent="0.25">
      <c r="A613" s="10">
        <v>40714</v>
      </c>
      <c r="B613" s="15">
        <f t="shared" si="18"/>
        <v>6</v>
      </c>
      <c r="C613" s="15">
        <f t="shared" si="19"/>
        <v>2011</v>
      </c>
      <c r="D613" s="13">
        <v>70.64</v>
      </c>
      <c r="E613" s="13">
        <v>11.959180820577339</v>
      </c>
      <c r="F613" s="13"/>
      <c r="G613" s="13"/>
      <c r="H613" s="13">
        <v>0.04</v>
      </c>
      <c r="I613" s="13">
        <v>48.85</v>
      </c>
      <c r="J613" s="13"/>
      <c r="K613" s="13"/>
    </row>
    <row r="614" spans="1:11" x14ac:dyDescent="0.25">
      <c r="A614" s="10">
        <v>40715</v>
      </c>
      <c r="B614" s="15">
        <f t="shared" si="18"/>
        <v>6</v>
      </c>
      <c r="C614" s="15">
        <f t="shared" si="19"/>
        <v>2011</v>
      </c>
      <c r="D614" s="13">
        <v>70.64</v>
      </c>
      <c r="E614" s="13">
        <v>11.876995696237678</v>
      </c>
      <c r="F614" s="13"/>
      <c r="G614" s="13"/>
      <c r="H614" s="13">
        <v>0.04</v>
      </c>
      <c r="I614" s="13">
        <v>48.85</v>
      </c>
      <c r="J614" s="13"/>
      <c r="K614" s="13"/>
    </row>
    <row r="615" spans="1:11" x14ac:dyDescent="0.25">
      <c r="A615" s="10">
        <v>40716</v>
      </c>
      <c r="B615" s="15">
        <f t="shared" si="18"/>
        <v>6</v>
      </c>
      <c r="C615" s="15">
        <f t="shared" si="19"/>
        <v>2011</v>
      </c>
      <c r="D615" s="13">
        <v>70.64</v>
      </c>
      <c r="E615" s="13">
        <v>11.920852783390231</v>
      </c>
      <c r="F615" s="13"/>
      <c r="G615" s="13"/>
      <c r="H615" s="13">
        <v>0.04</v>
      </c>
      <c r="I615" s="13">
        <v>48.85</v>
      </c>
      <c r="J615" s="13"/>
      <c r="K615" s="13"/>
    </row>
    <row r="616" spans="1:11" x14ac:dyDescent="0.25">
      <c r="A616" s="10">
        <v>40717</v>
      </c>
      <c r="B616" s="15">
        <f t="shared" si="18"/>
        <v>6</v>
      </c>
      <c r="C616" s="15">
        <f t="shared" si="19"/>
        <v>2011</v>
      </c>
      <c r="D616" s="13">
        <v>70.64</v>
      </c>
      <c r="E616" s="13">
        <v>12.001122255734025</v>
      </c>
      <c r="F616" s="13"/>
      <c r="G616" s="13"/>
      <c r="H616" s="13">
        <v>0.04</v>
      </c>
      <c r="I616" s="13">
        <v>48.85</v>
      </c>
      <c r="J616" s="13"/>
      <c r="K616" s="13"/>
    </row>
    <row r="617" spans="1:11" x14ac:dyDescent="0.25">
      <c r="A617" s="10">
        <v>40718</v>
      </c>
      <c r="B617" s="15">
        <f t="shared" si="18"/>
        <v>6</v>
      </c>
      <c r="C617" s="15">
        <f t="shared" si="19"/>
        <v>2011</v>
      </c>
      <c r="D617" s="13">
        <v>70.64</v>
      </c>
      <c r="E617" s="13">
        <v>12.057787174066243</v>
      </c>
      <c r="F617" s="13"/>
      <c r="G617" s="13"/>
      <c r="H617" s="13">
        <v>0.04</v>
      </c>
      <c r="I617" s="13">
        <v>48.85</v>
      </c>
      <c r="J617" s="13"/>
      <c r="K617" s="13"/>
    </row>
    <row r="618" spans="1:11" x14ac:dyDescent="0.25">
      <c r="A618" s="10">
        <v>40721</v>
      </c>
      <c r="B618" s="15">
        <f t="shared" si="18"/>
        <v>6</v>
      </c>
      <c r="C618" s="15">
        <f t="shared" si="19"/>
        <v>2011</v>
      </c>
      <c r="D618" s="13">
        <v>59.86</v>
      </c>
      <c r="E618" s="13">
        <v>14.997899453858006</v>
      </c>
      <c r="F618" s="13"/>
      <c r="G618" s="13"/>
      <c r="H618" s="13">
        <v>1.82</v>
      </c>
      <c r="I618" s="13">
        <v>50.69</v>
      </c>
      <c r="J618" s="13"/>
      <c r="K618" s="13"/>
    </row>
    <row r="619" spans="1:11" x14ac:dyDescent="0.25">
      <c r="A619" s="10">
        <v>40722</v>
      </c>
      <c r="B619" s="15">
        <f t="shared" si="18"/>
        <v>6</v>
      </c>
      <c r="C619" s="15">
        <f t="shared" si="19"/>
        <v>2011</v>
      </c>
      <c r="D619" s="13">
        <v>59.86</v>
      </c>
      <c r="E619" s="13">
        <v>14.908129175946549</v>
      </c>
      <c r="F619" s="13"/>
      <c r="G619" s="13"/>
      <c r="H619" s="13">
        <v>1.82</v>
      </c>
      <c r="I619" s="13">
        <v>50.69</v>
      </c>
      <c r="J619" s="13"/>
      <c r="K619" s="13"/>
    </row>
    <row r="620" spans="1:11" x14ac:dyDescent="0.25">
      <c r="A620" s="10">
        <v>40723</v>
      </c>
      <c r="B620" s="15">
        <f t="shared" si="18"/>
        <v>6</v>
      </c>
      <c r="C620" s="15">
        <f t="shared" si="19"/>
        <v>2011</v>
      </c>
      <c r="D620" s="13">
        <v>59.86</v>
      </c>
      <c r="E620" s="13">
        <v>14.839961202715811</v>
      </c>
      <c r="F620" s="13"/>
      <c r="G620" s="13"/>
      <c r="H620" s="13">
        <v>1.82</v>
      </c>
      <c r="I620" s="13">
        <v>50.69</v>
      </c>
      <c r="J620" s="13"/>
      <c r="K620" s="13"/>
    </row>
    <row r="621" spans="1:11" x14ac:dyDescent="0.25">
      <c r="A621" s="10">
        <v>40724</v>
      </c>
      <c r="B621" s="15">
        <f t="shared" si="18"/>
        <v>6</v>
      </c>
      <c r="C621" s="15">
        <f t="shared" si="19"/>
        <v>2011</v>
      </c>
      <c r="D621" s="13">
        <v>59.86</v>
      </c>
      <c r="E621" s="13">
        <v>14.76833976833977</v>
      </c>
      <c r="F621" s="13"/>
      <c r="G621" s="13"/>
      <c r="H621" s="13">
        <v>1.82</v>
      </c>
      <c r="I621" s="13">
        <v>50.69</v>
      </c>
      <c r="J621" s="13"/>
      <c r="K621" s="13"/>
    </row>
    <row r="622" spans="1:11" x14ac:dyDescent="0.25">
      <c r="A622" s="10">
        <v>40725</v>
      </c>
      <c r="B622" s="15">
        <f t="shared" si="18"/>
        <v>7</v>
      </c>
      <c r="C622" s="15">
        <f t="shared" si="19"/>
        <v>2011</v>
      </c>
      <c r="D622" s="13">
        <v>59.86</v>
      </c>
      <c r="E622" s="13">
        <v>14.750034430519214</v>
      </c>
      <c r="F622" s="13"/>
      <c r="G622" s="13"/>
      <c r="H622" s="13">
        <v>1.82</v>
      </c>
      <c r="I622" s="13">
        <v>50.69</v>
      </c>
      <c r="J622" s="13"/>
      <c r="K622" s="13"/>
    </row>
    <row r="623" spans="1:11" x14ac:dyDescent="0.25">
      <c r="A623" s="10">
        <v>40729</v>
      </c>
      <c r="B623" s="15">
        <f t="shared" si="18"/>
        <v>7</v>
      </c>
      <c r="C623" s="15">
        <f t="shared" si="19"/>
        <v>2011</v>
      </c>
      <c r="D623" s="13">
        <v>45.27</v>
      </c>
      <c r="E623" s="13">
        <v>14.52641797254195</v>
      </c>
      <c r="F623" s="13"/>
      <c r="G623" s="13"/>
      <c r="H623" s="13">
        <v>2.31</v>
      </c>
      <c r="I623" s="13">
        <v>144.4</v>
      </c>
      <c r="J623" s="13"/>
      <c r="K623" s="13"/>
    </row>
    <row r="624" spans="1:11" x14ac:dyDescent="0.25">
      <c r="A624" s="10">
        <v>40730</v>
      </c>
      <c r="B624" s="15">
        <f t="shared" si="18"/>
        <v>7</v>
      </c>
      <c r="C624" s="15">
        <f t="shared" si="19"/>
        <v>2011</v>
      </c>
      <c r="D624" s="13">
        <v>45.27</v>
      </c>
      <c r="E624" s="13">
        <v>14.633975970941604</v>
      </c>
      <c r="F624" s="13"/>
      <c r="G624" s="13"/>
      <c r="H624" s="13">
        <v>2.31</v>
      </c>
      <c r="I624" s="13">
        <v>144.4</v>
      </c>
      <c r="J624" s="13"/>
      <c r="K624" s="13"/>
    </row>
    <row r="625" spans="1:11" x14ac:dyDescent="0.25">
      <c r="A625" s="10">
        <v>40731</v>
      </c>
      <c r="B625" s="15">
        <f t="shared" si="18"/>
        <v>7</v>
      </c>
      <c r="C625" s="15">
        <f t="shared" si="19"/>
        <v>2011</v>
      </c>
      <c r="D625" s="13">
        <v>45.27</v>
      </c>
      <c r="E625" s="13">
        <v>14.590152517584791</v>
      </c>
      <c r="F625" s="13"/>
      <c r="G625" s="13"/>
      <c r="H625" s="13">
        <v>2.31</v>
      </c>
      <c r="I625" s="13">
        <v>144.4</v>
      </c>
      <c r="J625" s="13"/>
      <c r="K625" s="13"/>
    </row>
    <row r="626" spans="1:11" x14ac:dyDescent="0.25">
      <c r="A626" s="10">
        <v>40732</v>
      </c>
      <c r="B626" s="15">
        <f t="shared" si="18"/>
        <v>7</v>
      </c>
      <c r="C626" s="15">
        <f t="shared" si="19"/>
        <v>2011</v>
      </c>
      <c r="D626" s="13">
        <v>45.27</v>
      </c>
      <c r="E626" s="13">
        <v>14.684236349617999</v>
      </c>
      <c r="F626" s="13"/>
      <c r="G626" s="13"/>
      <c r="H626" s="13">
        <v>2.31</v>
      </c>
      <c r="I626" s="13">
        <v>144.4</v>
      </c>
      <c r="J626" s="13"/>
      <c r="K626" s="13"/>
    </row>
    <row r="627" spans="1:11" x14ac:dyDescent="0.25">
      <c r="A627" s="10">
        <v>40735</v>
      </c>
      <c r="B627" s="15">
        <f t="shared" si="18"/>
        <v>7</v>
      </c>
      <c r="C627" s="15">
        <f t="shared" si="19"/>
        <v>2011</v>
      </c>
      <c r="D627" s="13">
        <v>63.44</v>
      </c>
      <c r="E627" s="13">
        <v>15.831848949055932</v>
      </c>
      <c r="F627" s="13"/>
      <c r="G627" s="13"/>
      <c r="H627" s="13">
        <v>11.4</v>
      </c>
      <c r="I627" s="13">
        <v>144.87</v>
      </c>
      <c r="J627" s="13"/>
      <c r="K627" s="13"/>
    </row>
    <row r="628" spans="1:11" x14ac:dyDescent="0.25">
      <c r="A628" s="10">
        <v>40736</v>
      </c>
      <c r="B628" s="15">
        <f t="shared" si="18"/>
        <v>7</v>
      </c>
      <c r="C628" s="15">
        <f t="shared" si="19"/>
        <v>2011</v>
      </c>
      <c r="D628" s="13">
        <v>63.44</v>
      </c>
      <c r="E628" s="13">
        <v>15.898683457355466</v>
      </c>
      <c r="F628" s="13"/>
      <c r="G628" s="13"/>
      <c r="H628" s="13">
        <v>11.4</v>
      </c>
      <c r="I628" s="13">
        <v>144.87</v>
      </c>
      <c r="J628" s="13"/>
      <c r="K628" s="13"/>
    </row>
    <row r="629" spans="1:11" x14ac:dyDescent="0.25">
      <c r="A629" s="10">
        <v>40737</v>
      </c>
      <c r="B629" s="15">
        <f t="shared" si="18"/>
        <v>7</v>
      </c>
      <c r="C629" s="15">
        <f t="shared" si="19"/>
        <v>2011</v>
      </c>
      <c r="D629" s="13">
        <v>63.44</v>
      </c>
      <c r="E629" s="13">
        <v>15.668852690219307</v>
      </c>
      <c r="F629" s="13"/>
      <c r="G629" s="13"/>
      <c r="H629" s="13">
        <v>11.4</v>
      </c>
      <c r="I629" s="13">
        <v>144.87</v>
      </c>
      <c r="J629" s="13"/>
      <c r="K629" s="13"/>
    </row>
    <row r="630" spans="1:11" x14ac:dyDescent="0.25">
      <c r="A630" s="10">
        <v>40738</v>
      </c>
      <c r="B630" s="15">
        <f t="shared" si="18"/>
        <v>7</v>
      </c>
      <c r="C630" s="15">
        <f t="shared" si="19"/>
        <v>2011</v>
      </c>
      <c r="D630" s="13">
        <v>63.44</v>
      </c>
      <c r="E630" s="13">
        <v>15.712063357375195</v>
      </c>
      <c r="F630" s="13"/>
      <c r="G630" s="13"/>
      <c r="H630" s="13">
        <v>11.4</v>
      </c>
      <c r="I630" s="13">
        <v>144.87</v>
      </c>
      <c r="J630" s="13"/>
      <c r="K630" s="13"/>
    </row>
    <row r="631" spans="1:11" x14ac:dyDescent="0.25">
      <c r="A631" s="10">
        <v>40739</v>
      </c>
      <c r="B631" s="15">
        <f t="shared" si="18"/>
        <v>7</v>
      </c>
      <c r="C631" s="15">
        <f t="shared" si="19"/>
        <v>2011</v>
      </c>
      <c r="D631" s="13">
        <v>63.44</v>
      </c>
      <c r="E631" s="13">
        <v>15.703180212014134</v>
      </c>
      <c r="F631" s="13"/>
      <c r="G631" s="13"/>
      <c r="H631" s="13">
        <v>11.4</v>
      </c>
      <c r="I631" s="13">
        <v>144.87</v>
      </c>
      <c r="J631" s="13"/>
      <c r="K631" s="13"/>
    </row>
    <row r="632" spans="1:11" x14ac:dyDescent="0.25">
      <c r="A632" s="10">
        <v>40742</v>
      </c>
      <c r="B632" s="15">
        <f t="shared" si="18"/>
        <v>7</v>
      </c>
      <c r="C632" s="15">
        <f t="shared" si="19"/>
        <v>2011</v>
      </c>
      <c r="D632" s="13">
        <v>58.08</v>
      </c>
      <c r="E632" s="13">
        <v>13.034233467999149</v>
      </c>
      <c r="F632" s="13"/>
      <c r="G632" s="13"/>
      <c r="H632" s="13">
        <v>22.7</v>
      </c>
      <c r="I632" s="13">
        <v>122.06</v>
      </c>
      <c r="J632" s="13"/>
      <c r="K632" s="13"/>
    </row>
    <row r="633" spans="1:11" x14ac:dyDescent="0.25">
      <c r="A633" s="10">
        <v>40743</v>
      </c>
      <c r="B633" s="15">
        <f t="shared" si="18"/>
        <v>7</v>
      </c>
      <c r="C633" s="15">
        <f t="shared" si="19"/>
        <v>2011</v>
      </c>
      <c r="D633" s="13">
        <v>58.08</v>
      </c>
      <c r="E633" s="13">
        <v>12.991875662310138</v>
      </c>
      <c r="F633" s="13"/>
      <c r="G633" s="13"/>
      <c r="H633" s="13">
        <v>22.7</v>
      </c>
      <c r="I633" s="13">
        <v>122.06</v>
      </c>
      <c r="J633" s="13"/>
      <c r="K633" s="13"/>
    </row>
    <row r="634" spans="1:11" x14ac:dyDescent="0.25">
      <c r="A634" s="10">
        <v>40744</v>
      </c>
      <c r="B634" s="15">
        <f t="shared" si="18"/>
        <v>7</v>
      </c>
      <c r="C634" s="15">
        <f t="shared" si="19"/>
        <v>2011</v>
      </c>
      <c r="D634" s="13">
        <v>58.08</v>
      </c>
      <c r="E634" s="13">
        <v>12.935218400506436</v>
      </c>
      <c r="F634" s="13"/>
      <c r="G634" s="13"/>
      <c r="H634" s="13">
        <v>22.7</v>
      </c>
      <c r="I634" s="13">
        <v>122.06</v>
      </c>
      <c r="J634" s="13"/>
      <c r="K634" s="13"/>
    </row>
    <row r="635" spans="1:11" x14ac:dyDescent="0.25">
      <c r="A635" s="10">
        <v>40745</v>
      </c>
      <c r="B635" s="15">
        <f t="shared" si="18"/>
        <v>7</v>
      </c>
      <c r="C635" s="15">
        <f t="shared" si="19"/>
        <v>2011</v>
      </c>
      <c r="D635" s="13">
        <v>58.08</v>
      </c>
      <c r="E635" s="13">
        <v>12.752236322030374</v>
      </c>
      <c r="F635" s="13"/>
      <c r="G635" s="13"/>
      <c r="H635" s="13">
        <v>22.7</v>
      </c>
      <c r="I635" s="13">
        <v>122.06</v>
      </c>
      <c r="J635" s="13"/>
      <c r="K635" s="13"/>
    </row>
    <row r="636" spans="1:11" x14ac:dyDescent="0.25">
      <c r="A636" s="10">
        <v>40746</v>
      </c>
      <c r="B636" s="15">
        <f t="shared" si="18"/>
        <v>7</v>
      </c>
      <c r="C636" s="15">
        <f t="shared" si="19"/>
        <v>2011</v>
      </c>
      <c r="D636" s="13">
        <v>58.08</v>
      </c>
      <c r="E636" s="13">
        <v>12.812652407162266</v>
      </c>
      <c r="F636" s="13"/>
      <c r="G636" s="13"/>
      <c r="H636" s="13">
        <v>22.7</v>
      </c>
      <c r="I636" s="13">
        <v>122.06</v>
      </c>
      <c r="J636" s="13"/>
      <c r="K636" s="13"/>
    </row>
    <row r="637" spans="1:11" x14ac:dyDescent="0.25">
      <c r="A637" s="10">
        <v>40749</v>
      </c>
      <c r="B637" s="15">
        <f t="shared" si="18"/>
        <v>7</v>
      </c>
      <c r="C637" s="15">
        <f t="shared" si="19"/>
        <v>2011</v>
      </c>
      <c r="D637" s="13">
        <v>30.78</v>
      </c>
      <c r="E637" s="13">
        <v>13.246138861833867</v>
      </c>
      <c r="F637" s="13"/>
      <c r="G637" s="13"/>
      <c r="H637" s="13">
        <v>30.79</v>
      </c>
      <c r="I637" s="13">
        <v>111.46</v>
      </c>
      <c r="J637" s="13"/>
      <c r="K637" s="13"/>
    </row>
    <row r="638" spans="1:11" x14ac:dyDescent="0.25">
      <c r="A638" s="10">
        <v>40750</v>
      </c>
      <c r="B638" s="15">
        <f t="shared" si="18"/>
        <v>7</v>
      </c>
      <c r="C638" s="15">
        <f t="shared" si="19"/>
        <v>2011</v>
      </c>
      <c r="D638" s="13">
        <v>30.78</v>
      </c>
      <c r="E638" s="13">
        <v>13.120176405733185</v>
      </c>
      <c r="F638" s="13"/>
      <c r="G638" s="13"/>
      <c r="H638" s="13">
        <v>30.79</v>
      </c>
      <c r="I638" s="13">
        <v>111.46</v>
      </c>
      <c r="J638" s="13"/>
      <c r="K638" s="13"/>
    </row>
    <row r="639" spans="1:11" x14ac:dyDescent="0.25">
      <c r="A639" s="10">
        <v>40751</v>
      </c>
      <c r="B639" s="15">
        <f t="shared" si="18"/>
        <v>7</v>
      </c>
      <c r="C639" s="15">
        <f t="shared" si="19"/>
        <v>2011</v>
      </c>
      <c r="D639" s="13">
        <v>30.78</v>
      </c>
      <c r="E639" s="13">
        <v>13.254437869822484</v>
      </c>
      <c r="F639" s="13"/>
      <c r="G639" s="13"/>
      <c r="H639" s="13">
        <v>30.79</v>
      </c>
      <c r="I639" s="13">
        <v>111.46</v>
      </c>
      <c r="J639" s="13"/>
      <c r="K639" s="13"/>
    </row>
    <row r="640" spans="1:11" x14ac:dyDescent="0.25">
      <c r="A640" s="10">
        <v>40752</v>
      </c>
      <c r="B640" s="15">
        <f t="shared" si="18"/>
        <v>7</v>
      </c>
      <c r="C640" s="15">
        <f t="shared" si="19"/>
        <v>2011</v>
      </c>
      <c r="D640" s="13">
        <v>30.78</v>
      </c>
      <c r="E640" s="13">
        <v>13.287738153395212</v>
      </c>
      <c r="F640" s="13"/>
      <c r="G640" s="13"/>
      <c r="H640" s="13">
        <v>30.79</v>
      </c>
      <c r="I640" s="13">
        <v>111.46</v>
      </c>
      <c r="J640" s="13"/>
      <c r="K640" s="13"/>
    </row>
    <row r="641" spans="1:11" x14ac:dyDescent="0.25">
      <c r="A641" s="10">
        <v>40753</v>
      </c>
      <c r="B641" s="15">
        <f t="shared" si="18"/>
        <v>7</v>
      </c>
      <c r="C641" s="15">
        <f t="shared" si="19"/>
        <v>2011</v>
      </c>
      <c r="D641" s="13">
        <v>30.78</v>
      </c>
      <c r="E641" s="13">
        <v>13.226814866273012</v>
      </c>
      <c r="F641" s="13"/>
      <c r="G641" s="13"/>
      <c r="H641" s="13">
        <v>30.79</v>
      </c>
      <c r="I641" s="13">
        <v>111.46</v>
      </c>
      <c r="J641" s="13"/>
      <c r="K641" s="13"/>
    </row>
    <row r="642" spans="1:11" x14ac:dyDescent="0.25">
      <c r="A642" s="10">
        <v>40756</v>
      </c>
      <c r="B642" s="15">
        <f t="shared" si="18"/>
        <v>8</v>
      </c>
      <c r="C642" s="15">
        <f t="shared" si="19"/>
        <v>2011</v>
      </c>
      <c r="D642" s="13">
        <v>27.94</v>
      </c>
      <c r="E642" s="13">
        <v>4.3652186118324092</v>
      </c>
      <c r="F642" s="13"/>
      <c r="G642" s="13"/>
      <c r="H642" s="13">
        <v>39.909999999999997</v>
      </c>
      <c r="I642" s="13">
        <v>120.38</v>
      </c>
      <c r="J642" s="13"/>
      <c r="K642" s="13"/>
    </row>
    <row r="643" spans="1:11" x14ac:dyDescent="0.25">
      <c r="A643" s="10">
        <v>40757</v>
      </c>
      <c r="B643" s="15">
        <f t="shared" ref="B643:B706" si="20">MONTH(A643)</f>
        <v>8</v>
      </c>
      <c r="C643" s="15">
        <f t="shared" ref="C643:C706" si="21">YEAR(A643)</f>
        <v>2011</v>
      </c>
      <c r="D643" s="13">
        <v>27.94</v>
      </c>
      <c r="E643" s="13">
        <v>4.382750845546787</v>
      </c>
      <c r="F643" s="13"/>
      <c r="G643" s="13"/>
      <c r="H643" s="13">
        <v>39.909999999999997</v>
      </c>
      <c r="I643" s="13">
        <v>120.38</v>
      </c>
      <c r="J643" s="13"/>
      <c r="K643" s="13"/>
    </row>
    <row r="644" spans="1:11" x14ac:dyDescent="0.25">
      <c r="A644" s="10">
        <v>40758</v>
      </c>
      <c r="B644" s="15">
        <f t="shared" si="20"/>
        <v>8</v>
      </c>
      <c r="C644" s="15">
        <f t="shared" si="21"/>
        <v>2011</v>
      </c>
      <c r="D644" s="13">
        <v>27.94</v>
      </c>
      <c r="E644" s="13">
        <v>4.3420593368237341</v>
      </c>
      <c r="F644" s="13"/>
      <c r="G644" s="13"/>
      <c r="H644" s="13">
        <v>39.909999999999997</v>
      </c>
      <c r="I644" s="13">
        <v>120.38</v>
      </c>
      <c r="J644" s="13"/>
      <c r="K644" s="13"/>
    </row>
    <row r="645" spans="1:11" x14ac:dyDescent="0.25">
      <c r="A645" s="10">
        <v>40759</v>
      </c>
      <c r="B645" s="15">
        <f t="shared" si="20"/>
        <v>8</v>
      </c>
      <c r="C645" s="15">
        <f t="shared" si="21"/>
        <v>2011</v>
      </c>
      <c r="D645" s="13">
        <v>27.94</v>
      </c>
      <c r="E645" s="13">
        <v>4.4094711470296319</v>
      </c>
      <c r="F645" s="13"/>
      <c r="G645" s="13"/>
      <c r="H645" s="13">
        <v>39.909999999999997</v>
      </c>
      <c r="I645" s="13">
        <v>120.38</v>
      </c>
      <c r="J645" s="13"/>
      <c r="K645" s="13"/>
    </row>
    <row r="646" spans="1:11" x14ac:dyDescent="0.25">
      <c r="A646" s="10">
        <v>40760</v>
      </c>
      <c r="B646" s="15">
        <f t="shared" si="20"/>
        <v>8</v>
      </c>
      <c r="C646" s="15">
        <f t="shared" si="21"/>
        <v>2011</v>
      </c>
      <c r="D646" s="13">
        <v>27.94</v>
      </c>
      <c r="E646" s="13">
        <v>4.3557422969187671</v>
      </c>
      <c r="F646" s="13"/>
      <c r="G646" s="13"/>
      <c r="H646" s="13">
        <v>39.909999999999997</v>
      </c>
      <c r="I646" s="13">
        <v>120.38</v>
      </c>
      <c r="J646" s="13"/>
      <c r="K646" s="13"/>
    </row>
    <row r="647" spans="1:11" x14ac:dyDescent="0.25">
      <c r="A647" s="10">
        <v>40763</v>
      </c>
      <c r="B647" s="15">
        <f t="shared" si="20"/>
        <v>8</v>
      </c>
      <c r="C647" s="15">
        <f t="shared" si="21"/>
        <v>2011</v>
      </c>
      <c r="D647" s="13">
        <v>37.04</v>
      </c>
      <c r="E647" s="13">
        <v>2.8291237477070692</v>
      </c>
      <c r="F647" s="13"/>
      <c r="G647" s="13"/>
      <c r="H647" s="13">
        <v>73.599999999999994</v>
      </c>
      <c r="I647" s="13">
        <v>124.62</v>
      </c>
      <c r="J647" s="13"/>
      <c r="K647" s="13"/>
    </row>
    <row r="648" spans="1:11" x14ac:dyDescent="0.25">
      <c r="A648" s="10">
        <v>40764</v>
      </c>
      <c r="B648" s="15">
        <f t="shared" si="20"/>
        <v>8</v>
      </c>
      <c r="C648" s="15">
        <f t="shared" si="21"/>
        <v>2011</v>
      </c>
      <c r="D648" s="13">
        <v>37.04</v>
      </c>
      <c r="E648" s="13">
        <v>2.7909242761692648</v>
      </c>
      <c r="F648" s="13"/>
      <c r="G648" s="13"/>
      <c r="H648" s="13">
        <v>73.599999999999994</v>
      </c>
      <c r="I648" s="13">
        <v>124.62</v>
      </c>
      <c r="J648" s="13"/>
      <c r="K648" s="13"/>
    </row>
    <row r="649" spans="1:11" x14ac:dyDescent="0.25">
      <c r="A649" s="10">
        <v>40765</v>
      </c>
      <c r="B649" s="15">
        <f t="shared" si="20"/>
        <v>8</v>
      </c>
      <c r="C649" s="15">
        <f t="shared" si="21"/>
        <v>2011</v>
      </c>
      <c r="D649" s="13">
        <v>37.04</v>
      </c>
      <c r="E649" s="13">
        <v>2.8295230031047134</v>
      </c>
      <c r="F649" s="13"/>
      <c r="G649" s="13"/>
      <c r="H649" s="13">
        <v>73.599999999999994</v>
      </c>
      <c r="I649" s="13">
        <v>124.62</v>
      </c>
      <c r="J649" s="13"/>
      <c r="K649" s="13"/>
    </row>
    <row r="650" spans="1:11" x14ac:dyDescent="0.25">
      <c r="A650" s="10">
        <v>40766</v>
      </c>
      <c r="B650" s="15">
        <f t="shared" si="20"/>
        <v>8</v>
      </c>
      <c r="C650" s="15">
        <f t="shared" si="21"/>
        <v>2011</v>
      </c>
      <c r="D650" s="13">
        <v>37.04</v>
      </c>
      <c r="E650" s="13">
        <v>2.8158134962432415</v>
      </c>
      <c r="F650" s="13"/>
      <c r="G650" s="13"/>
      <c r="H650" s="13">
        <v>73.599999999999994</v>
      </c>
      <c r="I650" s="13">
        <v>124.62</v>
      </c>
      <c r="J650" s="13"/>
      <c r="K650" s="13"/>
    </row>
    <row r="651" spans="1:11" x14ac:dyDescent="0.25">
      <c r="A651" s="10">
        <v>40767</v>
      </c>
      <c r="B651" s="15">
        <f t="shared" si="20"/>
        <v>8</v>
      </c>
      <c r="C651" s="15">
        <f t="shared" si="21"/>
        <v>2011</v>
      </c>
      <c r="D651" s="13">
        <v>37.04</v>
      </c>
      <c r="E651" s="13">
        <v>2.8144300954519932</v>
      </c>
      <c r="F651" s="13"/>
      <c r="G651" s="13"/>
      <c r="H651" s="13">
        <v>73.599999999999994</v>
      </c>
      <c r="I651" s="13">
        <v>124.62</v>
      </c>
      <c r="J651" s="13"/>
      <c r="K651" s="13"/>
    </row>
    <row r="652" spans="1:11" x14ac:dyDescent="0.25">
      <c r="A652" s="10">
        <v>40770</v>
      </c>
      <c r="B652" s="15">
        <f t="shared" si="20"/>
        <v>8</v>
      </c>
      <c r="C652" s="15">
        <f t="shared" si="21"/>
        <v>2011</v>
      </c>
      <c r="D652" s="13">
        <v>39.520000000000003</v>
      </c>
      <c r="E652" s="13">
        <v>-9.0487399612295771</v>
      </c>
      <c r="F652" s="13"/>
      <c r="G652" s="13"/>
      <c r="H652" s="13">
        <v>70.25</v>
      </c>
      <c r="I652" s="13">
        <v>139.56</v>
      </c>
      <c r="J652" s="13"/>
      <c r="K652" s="13"/>
    </row>
    <row r="653" spans="1:11" x14ac:dyDescent="0.25">
      <c r="A653" s="10">
        <v>40771</v>
      </c>
      <c r="B653" s="15">
        <f t="shared" si="20"/>
        <v>8</v>
      </c>
      <c r="C653" s="15">
        <f t="shared" si="21"/>
        <v>2011</v>
      </c>
      <c r="D653" s="13">
        <v>39.520000000000003</v>
      </c>
      <c r="E653" s="13">
        <v>-9.0719788991462487</v>
      </c>
      <c r="F653" s="13"/>
      <c r="G653" s="13"/>
      <c r="H653" s="13">
        <v>70.25</v>
      </c>
      <c r="I653" s="13">
        <v>139.56</v>
      </c>
      <c r="J653" s="13"/>
      <c r="K653" s="13"/>
    </row>
    <row r="654" spans="1:11" x14ac:dyDescent="0.25">
      <c r="A654" s="10">
        <v>40772</v>
      </c>
      <c r="B654" s="15">
        <f t="shared" si="20"/>
        <v>8</v>
      </c>
      <c r="C654" s="15">
        <f t="shared" si="21"/>
        <v>2011</v>
      </c>
      <c r="D654" s="13">
        <v>39.520000000000003</v>
      </c>
      <c r="E654" s="13">
        <v>-9.0619149968799846</v>
      </c>
      <c r="F654" s="13"/>
      <c r="G654" s="13"/>
      <c r="H654" s="13">
        <v>70.25</v>
      </c>
      <c r="I654" s="13">
        <v>139.56</v>
      </c>
      <c r="J654" s="13"/>
      <c r="K654" s="13"/>
    </row>
    <row r="655" spans="1:11" x14ac:dyDescent="0.25">
      <c r="A655" s="10">
        <v>40773</v>
      </c>
      <c r="B655" s="15">
        <f t="shared" si="20"/>
        <v>8</v>
      </c>
      <c r="C655" s="15">
        <f t="shared" si="21"/>
        <v>2011</v>
      </c>
      <c r="D655" s="13">
        <v>39.520000000000003</v>
      </c>
      <c r="E655" s="13">
        <v>-9.1207257501744596</v>
      </c>
      <c r="F655" s="13"/>
      <c r="G655" s="13"/>
      <c r="H655" s="13">
        <v>70.25</v>
      </c>
      <c r="I655" s="13">
        <v>139.56</v>
      </c>
      <c r="J655" s="13"/>
      <c r="K655" s="13"/>
    </row>
    <row r="656" spans="1:11" x14ac:dyDescent="0.25">
      <c r="A656" s="10">
        <v>40774</v>
      </c>
      <c r="B656" s="15">
        <f t="shared" si="20"/>
        <v>8</v>
      </c>
      <c r="C656" s="15">
        <f t="shared" si="21"/>
        <v>2011</v>
      </c>
      <c r="D656" s="13">
        <v>39.520000000000003</v>
      </c>
      <c r="E656" s="13">
        <v>-9.0795415074678711</v>
      </c>
      <c r="F656" s="13"/>
      <c r="G656" s="13"/>
      <c r="H656" s="13">
        <v>70.25</v>
      </c>
      <c r="I656" s="13">
        <v>139.56</v>
      </c>
      <c r="J656" s="13"/>
      <c r="K656" s="13"/>
    </row>
    <row r="657" spans="1:11" x14ac:dyDescent="0.25">
      <c r="A657" s="10">
        <v>40777</v>
      </c>
      <c r="B657" s="15">
        <f t="shared" si="20"/>
        <v>8</v>
      </c>
      <c r="C657" s="15">
        <f t="shared" si="21"/>
        <v>2011</v>
      </c>
      <c r="D657" s="13">
        <v>45.61</v>
      </c>
      <c r="E657" s="13">
        <v>-7.8144588382783127</v>
      </c>
      <c r="F657" s="13"/>
      <c r="G657" s="13"/>
      <c r="H657" s="13">
        <v>58.48</v>
      </c>
      <c r="I657" s="13">
        <v>138.72999999999999</v>
      </c>
      <c r="J657" s="13"/>
      <c r="K657" s="13"/>
    </row>
    <row r="658" spans="1:11" x14ac:dyDescent="0.25">
      <c r="A658" s="10">
        <v>40778</v>
      </c>
      <c r="B658" s="15">
        <f t="shared" si="20"/>
        <v>8</v>
      </c>
      <c r="C658" s="15">
        <f t="shared" si="21"/>
        <v>2011</v>
      </c>
      <c r="D658" s="13">
        <v>45.61</v>
      </c>
      <c r="E658" s="13">
        <v>-7.7711594403657021</v>
      </c>
      <c r="F658" s="13"/>
      <c r="G658" s="13"/>
      <c r="H658" s="13">
        <v>58.48</v>
      </c>
      <c r="I658" s="13">
        <v>138.72999999999999</v>
      </c>
      <c r="J658" s="13"/>
      <c r="K658" s="13"/>
    </row>
    <row r="659" spans="1:11" x14ac:dyDescent="0.25">
      <c r="A659" s="10">
        <v>40779</v>
      </c>
      <c r="B659" s="15">
        <f t="shared" si="20"/>
        <v>8</v>
      </c>
      <c r="C659" s="15">
        <f t="shared" si="21"/>
        <v>2011</v>
      </c>
      <c r="D659" s="13">
        <v>45.61</v>
      </c>
      <c r="E659" s="13">
        <v>-7.7851790174854294</v>
      </c>
      <c r="F659" s="13"/>
      <c r="G659" s="13"/>
      <c r="H659" s="13">
        <v>58.48</v>
      </c>
      <c r="I659" s="13">
        <v>138.72999999999999</v>
      </c>
      <c r="J659" s="13"/>
      <c r="K659" s="13"/>
    </row>
    <row r="660" spans="1:11" x14ac:dyDescent="0.25">
      <c r="A660" s="10">
        <v>40780</v>
      </c>
      <c r="B660" s="15">
        <f t="shared" si="20"/>
        <v>8</v>
      </c>
      <c r="C660" s="15">
        <f t="shared" si="21"/>
        <v>2011</v>
      </c>
      <c r="D660" s="13">
        <v>45.61</v>
      </c>
      <c r="E660" s="13">
        <v>-7.8035888162470446</v>
      </c>
      <c r="F660" s="13"/>
      <c r="G660" s="13"/>
      <c r="H660" s="13">
        <v>58.48</v>
      </c>
      <c r="I660" s="13">
        <v>138.72999999999999</v>
      </c>
      <c r="J660" s="13"/>
      <c r="K660" s="13"/>
    </row>
    <row r="661" spans="1:11" x14ac:dyDescent="0.25">
      <c r="A661" s="10">
        <v>40781</v>
      </c>
      <c r="B661" s="15">
        <f t="shared" si="20"/>
        <v>8</v>
      </c>
      <c r="C661" s="15">
        <f t="shared" si="21"/>
        <v>2011</v>
      </c>
      <c r="D661" s="13">
        <v>45.61</v>
      </c>
      <c r="E661" s="13">
        <v>-7.7395323170311103</v>
      </c>
      <c r="F661" s="13"/>
      <c r="G661" s="13"/>
      <c r="H661" s="13">
        <v>58.48</v>
      </c>
      <c r="I661" s="13">
        <v>138.72999999999999</v>
      </c>
      <c r="J661" s="13"/>
      <c r="K661" s="13"/>
    </row>
    <row r="662" spans="1:11" x14ac:dyDescent="0.25">
      <c r="A662" s="10">
        <v>40784</v>
      </c>
      <c r="B662" s="15">
        <f t="shared" si="20"/>
        <v>8</v>
      </c>
      <c r="C662" s="15">
        <f t="shared" si="21"/>
        <v>2011</v>
      </c>
      <c r="D662" s="13">
        <v>54.99</v>
      </c>
      <c r="E662" s="13">
        <v>30.086848635235729</v>
      </c>
      <c r="F662" s="13"/>
      <c r="G662" s="13"/>
      <c r="H662" s="13">
        <v>54.78</v>
      </c>
      <c r="I662" s="13">
        <v>129.47999999999999</v>
      </c>
      <c r="J662" s="13"/>
      <c r="K662" s="13"/>
    </row>
    <row r="663" spans="1:11" x14ac:dyDescent="0.25">
      <c r="A663" s="10">
        <v>40785</v>
      </c>
      <c r="B663" s="15">
        <f t="shared" si="20"/>
        <v>8</v>
      </c>
      <c r="C663" s="15">
        <f t="shared" si="21"/>
        <v>2011</v>
      </c>
      <c r="D663" s="13">
        <v>54.99</v>
      </c>
      <c r="E663" s="13">
        <v>30.218068535825548</v>
      </c>
      <c r="F663" s="13"/>
      <c r="G663" s="13"/>
      <c r="H663" s="13">
        <v>54.78</v>
      </c>
      <c r="I663" s="13">
        <v>129.47999999999999</v>
      </c>
      <c r="J663" s="13"/>
      <c r="K663" s="13"/>
    </row>
    <row r="664" spans="1:11" x14ac:dyDescent="0.25">
      <c r="A664" s="10">
        <v>40786</v>
      </c>
      <c r="B664" s="15">
        <f t="shared" si="20"/>
        <v>8</v>
      </c>
      <c r="C664" s="15">
        <f t="shared" si="21"/>
        <v>2011</v>
      </c>
      <c r="D664" s="13">
        <v>54.99</v>
      </c>
      <c r="E664" s="13">
        <v>30.360993253112611</v>
      </c>
      <c r="F664" s="13"/>
      <c r="G664" s="13"/>
      <c r="H664" s="13">
        <v>54.78</v>
      </c>
      <c r="I664" s="13">
        <v>129.47999999999999</v>
      </c>
      <c r="J664" s="13"/>
      <c r="K664" s="13"/>
    </row>
    <row r="665" spans="1:11" x14ac:dyDescent="0.25">
      <c r="A665" s="10">
        <v>40787</v>
      </c>
      <c r="B665" s="15">
        <f t="shared" si="20"/>
        <v>9</v>
      </c>
      <c r="C665" s="15">
        <f t="shared" si="21"/>
        <v>2011</v>
      </c>
      <c r="D665" s="13">
        <v>54.99</v>
      </c>
      <c r="E665" s="13">
        <v>30.614391920325431</v>
      </c>
      <c r="F665" s="13"/>
      <c r="G665" s="13"/>
      <c r="H665" s="13">
        <v>54.78</v>
      </c>
      <c r="I665" s="13">
        <v>129.47999999999999</v>
      </c>
      <c r="J665" s="13"/>
      <c r="K665" s="13"/>
    </row>
    <row r="666" spans="1:11" x14ac:dyDescent="0.25">
      <c r="A666" s="10">
        <v>40788</v>
      </c>
      <c r="B666" s="15">
        <f t="shared" si="20"/>
        <v>9</v>
      </c>
      <c r="C666" s="15">
        <f t="shared" si="21"/>
        <v>2011</v>
      </c>
      <c r="D666" s="13">
        <v>54.99</v>
      </c>
      <c r="E666" s="13">
        <v>30.732943744279378</v>
      </c>
      <c r="F666" s="13"/>
      <c r="G666" s="13"/>
      <c r="H666" s="13">
        <v>54.78</v>
      </c>
      <c r="I666" s="13">
        <v>129.47999999999999</v>
      </c>
      <c r="J666" s="13"/>
      <c r="K666" s="13"/>
    </row>
    <row r="667" spans="1:11" x14ac:dyDescent="0.25">
      <c r="A667" s="10">
        <v>40792</v>
      </c>
      <c r="B667" s="15">
        <f t="shared" si="20"/>
        <v>9</v>
      </c>
      <c r="C667" s="15">
        <f t="shared" si="21"/>
        <v>2011</v>
      </c>
      <c r="D667" s="13">
        <v>53.08</v>
      </c>
      <c r="E667" s="13">
        <v>18.809829975710816</v>
      </c>
      <c r="F667" s="13"/>
      <c r="G667" s="13"/>
      <c r="H667" s="13">
        <v>50.21</v>
      </c>
      <c r="I667" s="13">
        <v>139.65</v>
      </c>
      <c r="J667" s="13"/>
      <c r="K667" s="13"/>
    </row>
    <row r="668" spans="1:11" x14ac:dyDescent="0.25">
      <c r="A668" s="10">
        <v>40793</v>
      </c>
      <c r="B668" s="15">
        <f t="shared" si="20"/>
        <v>9</v>
      </c>
      <c r="C668" s="15">
        <f t="shared" si="21"/>
        <v>2011</v>
      </c>
      <c r="D668" s="13">
        <v>53.08</v>
      </c>
      <c r="E668" s="13">
        <v>18.677732850961196</v>
      </c>
      <c r="F668" s="13"/>
      <c r="G668" s="13"/>
      <c r="H668" s="13">
        <v>50.21</v>
      </c>
      <c r="I668" s="13">
        <v>139.65</v>
      </c>
      <c r="J668" s="13"/>
      <c r="K668" s="13"/>
    </row>
    <row r="669" spans="1:11" x14ac:dyDescent="0.25">
      <c r="A669" s="10">
        <v>40794</v>
      </c>
      <c r="B669" s="15">
        <f t="shared" si="20"/>
        <v>9</v>
      </c>
      <c r="C669" s="15">
        <f t="shared" si="21"/>
        <v>2011</v>
      </c>
      <c r="D669" s="13">
        <v>53.08</v>
      </c>
      <c r="E669" s="13">
        <v>18.968374036452705</v>
      </c>
      <c r="F669" s="13"/>
      <c r="G669" s="13"/>
      <c r="H669" s="13">
        <v>50.21</v>
      </c>
      <c r="I669" s="13">
        <v>139.65</v>
      </c>
      <c r="J669" s="13"/>
      <c r="K669" s="13"/>
    </row>
    <row r="670" spans="1:11" x14ac:dyDescent="0.25">
      <c r="A670" s="10">
        <v>40795</v>
      </c>
      <c r="B670" s="15">
        <f t="shared" si="20"/>
        <v>9</v>
      </c>
      <c r="C670" s="15">
        <f t="shared" si="21"/>
        <v>2011</v>
      </c>
      <c r="D670" s="13">
        <v>53.08</v>
      </c>
      <c r="E670" s="13">
        <v>19.287964251703173</v>
      </c>
      <c r="F670" s="13"/>
      <c r="G670" s="13"/>
      <c r="H670" s="13">
        <v>50.21</v>
      </c>
      <c r="I670" s="13">
        <v>139.65</v>
      </c>
      <c r="J670" s="13"/>
      <c r="K670" s="13"/>
    </row>
    <row r="671" spans="1:11" x14ac:dyDescent="0.25">
      <c r="A671" s="10">
        <v>40798</v>
      </c>
      <c r="B671" s="15">
        <f t="shared" si="20"/>
        <v>9</v>
      </c>
      <c r="C671" s="15">
        <f t="shared" si="21"/>
        <v>2011</v>
      </c>
      <c r="D671" s="13">
        <v>41.2</v>
      </c>
      <c r="E671" s="13">
        <v>13.202165008777063</v>
      </c>
      <c r="F671" s="13"/>
      <c r="G671" s="13"/>
      <c r="H671" s="13">
        <v>46.62</v>
      </c>
      <c r="I671" s="13">
        <v>110.54</v>
      </c>
      <c r="J671" s="13"/>
      <c r="K671" s="13"/>
    </row>
    <row r="672" spans="1:11" x14ac:dyDescent="0.25">
      <c r="A672" s="10">
        <v>40799</v>
      </c>
      <c r="B672" s="15">
        <f t="shared" si="20"/>
        <v>9</v>
      </c>
      <c r="C672" s="15">
        <f t="shared" si="21"/>
        <v>2011</v>
      </c>
      <c r="D672" s="13">
        <v>41.2</v>
      </c>
      <c r="E672" s="13">
        <v>13.194444444444445</v>
      </c>
      <c r="F672" s="13"/>
      <c r="G672" s="13"/>
      <c r="H672" s="13">
        <v>46.62</v>
      </c>
      <c r="I672" s="13">
        <v>110.54</v>
      </c>
      <c r="J672" s="13"/>
      <c r="K672" s="13"/>
    </row>
    <row r="673" spans="1:11" x14ac:dyDescent="0.25">
      <c r="A673" s="10">
        <v>40800</v>
      </c>
      <c r="B673" s="15">
        <f t="shared" si="20"/>
        <v>9</v>
      </c>
      <c r="C673" s="15">
        <f t="shared" si="21"/>
        <v>2011</v>
      </c>
      <c r="D673" s="13">
        <v>41.2</v>
      </c>
      <c r="E673" s="13">
        <v>13.132048017460894</v>
      </c>
      <c r="F673" s="13"/>
      <c r="G673" s="13"/>
      <c r="H673" s="13">
        <v>46.62</v>
      </c>
      <c r="I673" s="13">
        <v>110.54</v>
      </c>
      <c r="J673" s="13"/>
      <c r="K673" s="13"/>
    </row>
    <row r="674" spans="1:11" x14ac:dyDescent="0.25">
      <c r="A674" s="10">
        <v>40801</v>
      </c>
      <c r="B674" s="15">
        <f t="shared" si="20"/>
        <v>9</v>
      </c>
      <c r="C674" s="15">
        <f t="shared" si="21"/>
        <v>2011</v>
      </c>
      <c r="D674" s="13">
        <v>41.2</v>
      </c>
      <c r="E674" s="13">
        <v>13.00807149034304</v>
      </c>
      <c r="F674" s="13"/>
      <c r="G674" s="13"/>
      <c r="H674" s="13">
        <v>46.62</v>
      </c>
      <c r="I674" s="13">
        <v>110.54</v>
      </c>
      <c r="J674" s="13"/>
      <c r="K674" s="13"/>
    </row>
    <row r="675" spans="1:11" x14ac:dyDescent="0.25">
      <c r="A675" s="10">
        <v>40802</v>
      </c>
      <c r="B675" s="15">
        <f t="shared" si="20"/>
        <v>9</v>
      </c>
      <c r="C675" s="15">
        <f t="shared" si="21"/>
        <v>2011</v>
      </c>
      <c r="D675" s="13">
        <v>41.2</v>
      </c>
      <c r="E675" s="13">
        <v>13.082554178444591</v>
      </c>
      <c r="F675" s="13"/>
      <c r="G675" s="13"/>
      <c r="H675" s="13">
        <v>46.62</v>
      </c>
      <c r="I675" s="13">
        <v>110.54</v>
      </c>
      <c r="J675" s="13"/>
      <c r="K675" s="13"/>
    </row>
    <row r="676" spans="1:11" x14ac:dyDescent="0.25">
      <c r="A676" s="10">
        <v>40805</v>
      </c>
      <c r="B676" s="15">
        <f t="shared" si="20"/>
        <v>9</v>
      </c>
      <c r="C676" s="15">
        <f t="shared" si="21"/>
        <v>2011</v>
      </c>
      <c r="D676" s="13">
        <v>26.2</v>
      </c>
      <c r="E676" s="13">
        <v>-4.750420229481839</v>
      </c>
      <c r="F676" s="13"/>
      <c r="G676" s="13"/>
      <c r="H676" s="13">
        <v>56.85</v>
      </c>
      <c r="I676" s="13">
        <v>79.09</v>
      </c>
      <c r="J676" s="13"/>
      <c r="K676" s="13"/>
    </row>
    <row r="677" spans="1:11" x14ac:dyDescent="0.25">
      <c r="A677" s="10">
        <v>40806</v>
      </c>
      <c r="B677" s="15">
        <f t="shared" si="20"/>
        <v>9</v>
      </c>
      <c r="C677" s="15">
        <f t="shared" si="21"/>
        <v>2011</v>
      </c>
      <c r="D677" s="13">
        <v>26.2</v>
      </c>
      <c r="E677" s="13">
        <v>-4.7431406888499703</v>
      </c>
      <c r="F677" s="13"/>
      <c r="G677" s="13"/>
      <c r="H677" s="13">
        <v>56.85</v>
      </c>
      <c r="I677" s="13">
        <v>79.09</v>
      </c>
      <c r="J677" s="13"/>
      <c r="K677" s="13"/>
    </row>
    <row r="678" spans="1:11" x14ac:dyDescent="0.25">
      <c r="A678" s="10">
        <v>40807</v>
      </c>
      <c r="B678" s="15">
        <f t="shared" si="20"/>
        <v>9</v>
      </c>
      <c r="C678" s="15">
        <f t="shared" si="21"/>
        <v>2011</v>
      </c>
      <c r="D678" s="13">
        <v>26.2</v>
      </c>
      <c r="E678" s="13">
        <v>-4.7920967266293131</v>
      </c>
      <c r="F678" s="13"/>
      <c r="G678" s="13"/>
      <c r="H678" s="13">
        <v>56.85</v>
      </c>
      <c r="I678" s="13">
        <v>79.09</v>
      </c>
      <c r="J678" s="13"/>
      <c r="K678" s="13"/>
    </row>
    <row r="679" spans="1:11" x14ac:dyDescent="0.25">
      <c r="A679" s="10">
        <v>40808</v>
      </c>
      <c r="B679" s="15">
        <f t="shared" si="20"/>
        <v>9</v>
      </c>
      <c r="C679" s="15">
        <f t="shared" si="21"/>
        <v>2011</v>
      </c>
      <c r="D679" s="13">
        <v>26.2</v>
      </c>
      <c r="E679" s="13">
        <v>-4.829123328380386</v>
      </c>
      <c r="F679" s="13"/>
      <c r="G679" s="13"/>
      <c r="H679" s="13">
        <v>56.85</v>
      </c>
      <c r="I679" s="13">
        <v>79.09</v>
      </c>
      <c r="J679" s="13"/>
      <c r="K679" s="13"/>
    </row>
    <row r="680" spans="1:11" x14ac:dyDescent="0.25">
      <c r="A680" s="10">
        <v>40809</v>
      </c>
      <c r="B680" s="15">
        <f t="shared" si="20"/>
        <v>9</v>
      </c>
      <c r="C680" s="15">
        <f t="shared" si="21"/>
        <v>2011</v>
      </c>
      <c r="D680" s="13">
        <v>26.2</v>
      </c>
      <c r="E680" s="13">
        <v>-4.8162418494368708</v>
      </c>
      <c r="F680" s="13"/>
      <c r="G680" s="13"/>
      <c r="H680" s="13">
        <v>56.85</v>
      </c>
      <c r="I680" s="13">
        <v>79.09</v>
      </c>
      <c r="J680" s="13"/>
      <c r="K680" s="13"/>
    </row>
    <row r="681" spans="1:11" x14ac:dyDescent="0.25">
      <c r="A681" s="10">
        <v>40812</v>
      </c>
      <c r="B681" s="15">
        <f t="shared" si="20"/>
        <v>9</v>
      </c>
      <c r="C681" s="15">
        <f t="shared" si="21"/>
        <v>2011</v>
      </c>
      <c r="D681" s="13">
        <v>24.88</v>
      </c>
      <c r="E681" s="13">
        <v>7.9923179199290892</v>
      </c>
      <c r="F681" s="13"/>
      <c r="G681" s="13"/>
      <c r="H681" s="13">
        <v>52.96</v>
      </c>
      <c r="I681" s="13">
        <v>93.2</v>
      </c>
      <c r="J681" s="13"/>
      <c r="K681" s="13"/>
    </row>
    <row r="682" spans="1:11" x14ac:dyDescent="0.25">
      <c r="A682" s="10">
        <v>40813</v>
      </c>
      <c r="B682" s="15">
        <f t="shared" si="20"/>
        <v>9</v>
      </c>
      <c r="C682" s="15">
        <f t="shared" si="21"/>
        <v>2011</v>
      </c>
      <c r="D682" s="13">
        <v>24.88</v>
      </c>
      <c r="E682" s="13">
        <v>7.9611507615333679</v>
      </c>
      <c r="F682" s="13"/>
      <c r="G682" s="13"/>
      <c r="H682" s="13">
        <v>52.96</v>
      </c>
      <c r="I682" s="13">
        <v>93.2</v>
      </c>
      <c r="J682" s="13"/>
      <c r="K682" s="13"/>
    </row>
    <row r="683" spans="1:11" x14ac:dyDescent="0.25">
      <c r="A683" s="10">
        <v>40814</v>
      </c>
      <c r="B683" s="15">
        <f t="shared" si="20"/>
        <v>9</v>
      </c>
      <c r="C683" s="15">
        <f t="shared" si="21"/>
        <v>2011</v>
      </c>
      <c r="D683" s="13">
        <v>24.88</v>
      </c>
      <c r="E683" s="13">
        <v>7.9905472269404028</v>
      </c>
      <c r="F683" s="13"/>
      <c r="G683" s="13"/>
      <c r="H683" s="13">
        <v>52.96</v>
      </c>
      <c r="I683" s="13">
        <v>93.2</v>
      </c>
      <c r="J683" s="13"/>
      <c r="K683" s="13"/>
    </row>
    <row r="684" spans="1:11" x14ac:dyDescent="0.25">
      <c r="A684" s="10">
        <v>40815</v>
      </c>
      <c r="B684" s="15">
        <f t="shared" si="20"/>
        <v>9</v>
      </c>
      <c r="C684" s="15">
        <f t="shared" si="21"/>
        <v>2011</v>
      </c>
      <c r="D684" s="13">
        <v>24.88</v>
      </c>
      <c r="E684" s="13">
        <v>7.9611507615333679</v>
      </c>
      <c r="F684" s="13"/>
      <c r="G684" s="13"/>
      <c r="H684" s="13">
        <v>52.96</v>
      </c>
      <c r="I684" s="13">
        <v>93.2</v>
      </c>
      <c r="J684" s="13"/>
      <c r="K684" s="13"/>
    </row>
    <row r="685" spans="1:11" x14ac:dyDescent="0.25">
      <c r="A685" s="10">
        <v>40816</v>
      </c>
      <c r="B685" s="15">
        <f t="shared" si="20"/>
        <v>9</v>
      </c>
      <c r="C685" s="15">
        <f t="shared" si="21"/>
        <v>2011</v>
      </c>
      <c r="D685" s="13">
        <v>24.88</v>
      </c>
      <c r="E685" s="13">
        <v>8.0842797369994024</v>
      </c>
      <c r="F685" s="13"/>
      <c r="G685" s="13"/>
      <c r="H685" s="13">
        <v>52.96</v>
      </c>
      <c r="I685" s="13">
        <v>93.2</v>
      </c>
      <c r="J685" s="13"/>
      <c r="K685" s="13"/>
    </row>
    <row r="686" spans="1:11" x14ac:dyDescent="0.25">
      <c r="A686" s="10">
        <v>40819</v>
      </c>
      <c r="B686" s="15">
        <f t="shared" si="20"/>
        <v>10</v>
      </c>
      <c r="C686" s="15">
        <f t="shared" si="21"/>
        <v>2011</v>
      </c>
      <c r="D686" s="13">
        <v>40.5</v>
      </c>
      <c r="E686" s="13">
        <v>12.096590477636875</v>
      </c>
      <c r="F686" s="13"/>
      <c r="G686" s="13"/>
      <c r="H686" s="13">
        <v>59.01</v>
      </c>
      <c r="I686" s="13">
        <v>103.59</v>
      </c>
      <c r="J686" s="13"/>
      <c r="K686" s="13"/>
    </row>
    <row r="687" spans="1:11" x14ac:dyDescent="0.25">
      <c r="A687" s="10">
        <v>40820</v>
      </c>
      <c r="B687" s="15">
        <f t="shared" si="20"/>
        <v>10</v>
      </c>
      <c r="C687" s="15">
        <f t="shared" si="21"/>
        <v>2011</v>
      </c>
      <c r="D687" s="13">
        <v>40.5</v>
      </c>
      <c r="E687" s="13">
        <v>11.943319838056679</v>
      </c>
      <c r="F687" s="13"/>
      <c r="G687" s="13"/>
      <c r="H687" s="13">
        <v>59.01</v>
      </c>
      <c r="I687" s="13">
        <v>103.59</v>
      </c>
      <c r="J687" s="13"/>
      <c r="K687" s="13"/>
    </row>
    <row r="688" spans="1:11" x14ac:dyDescent="0.25">
      <c r="A688" s="10">
        <v>40821</v>
      </c>
      <c r="B688" s="15">
        <f t="shared" si="20"/>
        <v>10</v>
      </c>
      <c r="C688" s="15">
        <f t="shared" si="21"/>
        <v>2011</v>
      </c>
      <c r="D688" s="13">
        <v>40.5</v>
      </c>
      <c r="E688" s="13">
        <v>11.936160647384984</v>
      </c>
      <c r="F688" s="13"/>
      <c r="G688" s="13"/>
      <c r="H688" s="13">
        <v>59.01</v>
      </c>
      <c r="I688" s="13">
        <v>103.59</v>
      </c>
      <c r="J688" s="13"/>
      <c r="K688" s="13"/>
    </row>
    <row r="689" spans="1:11" x14ac:dyDescent="0.25">
      <c r="A689" s="10">
        <v>40822</v>
      </c>
      <c r="B689" s="15">
        <f t="shared" si="20"/>
        <v>10</v>
      </c>
      <c r="C689" s="15">
        <f t="shared" si="21"/>
        <v>2011</v>
      </c>
      <c r="D689" s="13">
        <v>40.5</v>
      </c>
      <c r="E689" s="13">
        <v>11.860620951530043</v>
      </c>
      <c r="F689" s="13"/>
      <c r="G689" s="13"/>
      <c r="H689" s="13">
        <v>59.01</v>
      </c>
      <c r="I689" s="13">
        <v>103.59</v>
      </c>
      <c r="J689" s="13"/>
      <c r="K689" s="13"/>
    </row>
    <row r="690" spans="1:11" x14ac:dyDescent="0.25">
      <c r="A690" s="10">
        <v>40823</v>
      </c>
      <c r="B690" s="15">
        <f t="shared" si="20"/>
        <v>10</v>
      </c>
      <c r="C690" s="15">
        <f t="shared" si="21"/>
        <v>2011</v>
      </c>
      <c r="D690" s="13">
        <v>40.5</v>
      </c>
      <c r="E690" s="13">
        <v>11.910280373831776</v>
      </c>
      <c r="F690" s="13"/>
      <c r="G690" s="13"/>
      <c r="H690" s="13">
        <v>59.01</v>
      </c>
      <c r="I690" s="13">
        <v>103.59</v>
      </c>
      <c r="J690" s="13"/>
      <c r="K690" s="13"/>
    </row>
    <row r="691" spans="1:11" x14ac:dyDescent="0.25">
      <c r="A691" s="10">
        <v>40826</v>
      </c>
      <c r="B691" s="15">
        <f t="shared" si="20"/>
        <v>10</v>
      </c>
      <c r="C691" s="15">
        <f t="shared" si="21"/>
        <v>2011</v>
      </c>
      <c r="D691" s="13">
        <v>47.79</v>
      </c>
      <c r="E691" s="13">
        <v>52.243072863216533</v>
      </c>
      <c r="F691" s="13"/>
      <c r="G691" s="13"/>
      <c r="H691" s="13">
        <v>44.85</v>
      </c>
      <c r="I691" s="13">
        <v>103.61</v>
      </c>
      <c r="J691" s="13"/>
      <c r="K691" s="13"/>
    </row>
    <row r="692" spans="1:11" x14ac:dyDescent="0.25">
      <c r="A692" s="10">
        <v>40827</v>
      </c>
      <c r="B692" s="15">
        <f t="shared" si="20"/>
        <v>10</v>
      </c>
      <c r="C692" s="15">
        <f t="shared" si="21"/>
        <v>2011</v>
      </c>
      <c r="D692" s="13">
        <v>47.79</v>
      </c>
      <c r="E692" s="13">
        <v>52.239243568130171</v>
      </c>
      <c r="F692" s="13"/>
      <c r="G692" s="13"/>
      <c r="H692" s="13">
        <v>44.85</v>
      </c>
      <c r="I692" s="13">
        <v>103.61</v>
      </c>
      <c r="J692" s="13"/>
      <c r="K692" s="13"/>
    </row>
    <row r="693" spans="1:11" x14ac:dyDescent="0.25">
      <c r="A693" s="10">
        <v>40828</v>
      </c>
      <c r="B693" s="15">
        <f t="shared" si="20"/>
        <v>10</v>
      </c>
      <c r="C693" s="15">
        <f t="shared" si="21"/>
        <v>2011</v>
      </c>
      <c r="D693" s="13">
        <v>47.79</v>
      </c>
      <c r="E693" s="13">
        <v>51.697374147686055</v>
      </c>
      <c r="F693" s="13"/>
      <c r="G693" s="13"/>
      <c r="H693" s="13">
        <v>44.85</v>
      </c>
      <c r="I693" s="13">
        <v>103.61</v>
      </c>
      <c r="J693" s="13"/>
      <c r="K693" s="13"/>
    </row>
    <row r="694" spans="1:11" x14ac:dyDescent="0.25">
      <c r="A694" s="10">
        <v>40829</v>
      </c>
      <c r="B694" s="15">
        <f t="shared" si="20"/>
        <v>10</v>
      </c>
      <c r="C694" s="15">
        <f t="shared" si="21"/>
        <v>2011</v>
      </c>
      <c r="D694" s="13">
        <v>47.79</v>
      </c>
      <c r="E694" s="13">
        <v>51.742413242340639</v>
      </c>
      <c r="F694" s="13"/>
      <c r="G694" s="13"/>
      <c r="H694" s="13">
        <v>44.85</v>
      </c>
      <c r="I694" s="13">
        <v>103.61</v>
      </c>
      <c r="J694" s="13"/>
      <c r="K694" s="13"/>
    </row>
    <row r="695" spans="1:11" x14ac:dyDescent="0.25">
      <c r="A695" s="10">
        <v>40830</v>
      </c>
      <c r="B695" s="15">
        <f t="shared" si="20"/>
        <v>10</v>
      </c>
      <c r="C695" s="15">
        <f t="shared" si="21"/>
        <v>2011</v>
      </c>
      <c r="D695" s="13">
        <v>47.79</v>
      </c>
      <c r="E695" s="13">
        <v>51.365765765765765</v>
      </c>
      <c r="F695" s="13"/>
      <c r="G695" s="13"/>
      <c r="H695" s="13">
        <v>44.85</v>
      </c>
      <c r="I695" s="13">
        <v>103.61</v>
      </c>
      <c r="J695" s="13"/>
      <c r="K695" s="13"/>
    </row>
    <row r="696" spans="1:11" x14ac:dyDescent="0.25">
      <c r="A696" s="10">
        <v>40833</v>
      </c>
      <c r="B696" s="15">
        <f t="shared" si="20"/>
        <v>10</v>
      </c>
      <c r="C696" s="15">
        <f t="shared" si="21"/>
        <v>2011</v>
      </c>
      <c r="D696" s="13">
        <v>19.75</v>
      </c>
      <c r="E696" s="13">
        <v>55.786026200873366</v>
      </c>
      <c r="F696" s="13"/>
      <c r="G696" s="13"/>
      <c r="H696" s="13">
        <v>35.11</v>
      </c>
      <c r="I696" s="13">
        <v>79.260000000000005</v>
      </c>
      <c r="J696" s="13"/>
      <c r="K696" s="13"/>
    </row>
    <row r="697" spans="1:11" x14ac:dyDescent="0.25">
      <c r="A697" s="10">
        <v>40834</v>
      </c>
      <c r="B697" s="15">
        <f t="shared" si="20"/>
        <v>10</v>
      </c>
      <c r="C697" s="15">
        <f t="shared" si="21"/>
        <v>2011</v>
      </c>
      <c r="D697" s="13">
        <v>19.75</v>
      </c>
      <c r="E697" s="13">
        <v>55.798209215986027</v>
      </c>
      <c r="F697" s="13"/>
      <c r="G697" s="13"/>
      <c r="H697" s="13">
        <v>35.11</v>
      </c>
      <c r="I697" s="13">
        <v>79.260000000000005</v>
      </c>
      <c r="J697" s="13"/>
      <c r="K697" s="13"/>
    </row>
    <row r="698" spans="1:11" x14ac:dyDescent="0.25">
      <c r="A698" s="10">
        <v>40835</v>
      </c>
      <c r="B698" s="15">
        <f t="shared" si="20"/>
        <v>10</v>
      </c>
      <c r="C698" s="15">
        <f t="shared" si="21"/>
        <v>2011</v>
      </c>
      <c r="D698" s="13">
        <v>19.75</v>
      </c>
      <c r="E698" s="13">
        <v>55.729242402210275</v>
      </c>
      <c r="F698" s="13"/>
      <c r="G698" s="13"/>
      <c r="H698" s="13">
        <v>35.11</v>
      </c>
      <c r="I698" s="13">
        <v>79.260000000000005</v>
      </c>
      <c r="J698" s="13"/>
      <c r="K698" s="13"/>
    </row>
    <row r="699" spans="1:11" x14ac:dyDescent="0.25">
      <c r="A699" s="10">
        <v>40836</v>
      </c>
      <c r="B699" s="15">
        <f t="shared" si="20"/>
        <v>10</v>
      </c>
      <c r="C699" s="15">
        <f t="shared" si="21"/>
        <v>2011</v>
      </c>
      <c r="D699" s="13">
        <v>19.75</v>
      </c>
      <c r="E699" s="13">
        <v>55.644283121597105</v>
      </c>
      <c r="F699" s="13"/>
      <c r="G699" s="13"/>
      <c r="H699" s="13">
        <v>35.11</v>
      </c>
      <c r="I699" s="13">
        <v>79.260000000000005</v>
      </c>
      <c r="J699" s="13"/>
      <c r="K699" s="13"/>
    </row>
    <row r="700" spans="1:11" x14ac:dyDescent="0.25">
      <c r="A700" s="10">
        <v>40837</v>
      </c>
      <c r="B700" s="15">
        <f t="shared" si="20"/>
        <v>10</v>
      </c>
      <c r="C700" s="15">
        <f t="shared" si="21"/>
        <v>2011</v>
      </c>
      <c r="D700" s="13">
        <v>19.75</v>
      </c>
      <c r="E700" s="13">
        <v>55.167698287030376</v>
      </c>
      <c r="F700" s="13"/>
      <c r="G700" s="13"/>
      <c r="H700" s="13">
        <v>35.11</v>
      </c>
      <c r="I700" s="13">
        <v>79.260000000000005</v>
      </c>
      <c r="J700" s="13"/>
      <c r="K700" s="13"/>
    </row>
    <row r="701" spans="1:11" x14ac:dyDescent="0.25">
      <c r="A701" s="10">
        <v>40840</v>
      </c>
      <c r="B701" s="15">
        <f t="shared" si="20"/>
        <v>10</v>
      </c>
      <c r="C701" s="15">
        <f t="shared" si="21"/>
        <v>2011</v>
      </c>
      <c r="D701" s="13">
        <v>26.13</v>
      </c>
      <c r="E701" s="13">
        <v>51.41113105924596</v>
      </c>
      <c r="F701" s="13"/>
      <c r="G701" s="13"/>
      <c r="H701" s="13">
        <v>25.59</v>
      </c>
      <c r="I701" s="13">
        <v>42.84</v>
      </c>
      <c r="J701" s="13"/>
      <c r="K701" s="13"/>
    </row>
    <row r="702" spans="1:11" x14ac:dyDescent="0.25">
      <c r="A702" s="10">
        <v>40841</v>
      </c>
      <c r="B702" s="15">
        <f t="shared" si="20"/>
        <v>10</v>
      </c>
      <c r="C702" s="15">
        <f t="shared" si="21"/>
        <v>2011</v>
      </c>
      <c r="D702" s="13">
        <v>26.13</v>
      </c>
      <c r="E702" s="13">
        <v>51.488780207134639</v>
      </c>
      <c r="F702" s="13"/>
      <c r="G702" s="13"/>
      <c r="H702" s="13">
        <v>25.59</v>
      </c>
      <c r="I702" s="13">
        <v>42.84</v>
      </c>
      <c r="J702" s="13"/>
      <c r="K702" s="13"/>
    </row>
    <row r="703" spans="1:11" x14ac:dyDescent="0.25">
      <c r="A703" s="10">
        <v>40842</v>
      </c>
      <c r="B703" s="15">
        <f t="shared" si="20"/>
        <v>10</v>
      </c>
      <c r="C703" s="15">
        <f t="shared" si="21"/>
        <v>2011</v>
      </c>
      <c r="D703" s="13">
        <v>26.13</v>
      </c>
      <c r="E703" s="13">
        <v>51.503597122302168</v>
      </c>
      <c r="F703" s="13"/>
      <c r="G703" s="13"/>
      <c r="H703" s="13">
        <v>25.59</v>
      </c>
      <c r="I703" s="13">
        <v>42.84</v>
      </c>
      <c r="J703" s="13"/>
      <c r="K703" s="13"/>
    </row>
    <row r="704" spans="1:11" x14ac:dyDescent="0.25">
      <c r="A704" s="10">
        <v>40843</v>
      </c>
      <c r="B704" s="15">
        <f t="shared" si="20"/>
        <v>10</v>
      </c>
      <c r="C704" s="15">
        <f t="shared" si="21"/>
        <v>2011</v>
      </c>
      <c r="D704" s="13">
        <v>26.13</v>
      </c>
      <c r="E704" s="13">
        <v>50.451021846370686</v>
      </c>
      <c r="F704" s="13"/>
      <c r="G704" s="13"/>
      <c r="H704" s="13">
        <v>25.59</v>
      </c>
      <c r="I704" s="13">
        <v>42.84</v>
      </c>
      <c r="J704" s="13"/>
      <c r="K704" s="13"/>
    </row>
    <row r="705" spans="1:11" x14ac:dyDescent="0.25">
      <c r="A705" s="10">
        <v>40844</v>
      </c>
      <c r="B705" s="15">
        <f t="shared" si="20"/>
        <v>10</v>
      </c>
      <c r="C705" s="15">
        <f t="shared" si="21"/>
        <v>2011</v>
      </c>
      <c r="D705" s="13">
        <v>26.13</v>
      </c>
      <c r="E705" s="13">
        <v>50.607945709034354</v>
      </c>
      <c r="F705" s="13"/>
      <c r="G705" s="13"/>
      <c r="H705" s="13">
        <v>25.59</v>
      </c>
      <c r="I705" s="13">
        <v>42.84</v>
      </c>
      <c r="J705" s="13"/>
      <c r="K705" s="13"/>
    </row>
    <row r="706" spans="1:11" x14ac:dyDescent="0.25">
      <c r="A706" s="10">
        <v>40847</v>
      </c>
      <c r="B706" s="15">
        <f t="shared" si="20"/>
        <v>10</v>
      </c>
      <c r="C706" s="15">
        <f t="shared" si="21"/>
        <v>2011</v>
      </c>
      <c r="D706" s="13">
        <v>25.65</v>
      </c>
      <c r="E706" s="13">
        <v>52.879618937644338</v>
      </c>
      <c r="F706" s="13"/>
      <c r="G706" s="13"/>
      <c r="H706" s="13">
        <v>26.92</v>
      </c>
      <c r="I706" s="13">
        <v>56.63</v>
      </c>
      <c r="J706" s="13"/>
      <c r="K706" s="13"/>
    </row>
    <row r="707" spans="1:11" x14ac:dyDescent="0.25">
      <c r="A707" s="10">
        <v>40848</v>
      </c>
      <c r="B707" s="15">
        <f t="shared" ref="B707:B770" si="22">MONTH(A707)</f>
        <v>11</v>
      </c>
      <c r="C707" s="15">
        <f t="shared" ref="C707:C770" si="23">YEAR(A707)</f>
        <v>2011</v>
      </c>
      <c r="D707" s="13">
        <v>25.65</v>
      </c>
      <c r="E707" s="13">
        <v>53.505184752446326</v>
      </c>
      <c r="F707" s="13"/>
      <c r="G707" s="13"/>
      <c r="H707" s="13">
        <v>26.92</v>
      </c>
      <c r="I707" s="13">
        <v>56.63</v>
      </c>
      <c r="J707" s="13"/>
      <c r="K707" s="13"/>
    </row>
    <row r="708" spans="1:11" x14ac:dyDescent="0.25">
      <c r="A708" s="10">
        <v>40849</v>
      </c>
      <c r="B708" s="15">
        <f t="shared" si="22"/>
        <v>11</v>
      </c>
      <c r="C708" s="15">
        <f t="shared" si="23"/>
        <v>2011</v>
      </c>
      <c r="D708" s="13">
        <v>25.65</v>
      </c>
      <c r="E708" s="13">
        <v>53.302778990251703</v>
      </c>
      <c r="F708" s="13"/>
      <c r="G708" s="13"/>
      <c r="H708" s="13">
        <v>26.92</v>
      </c>
      <c r="I708" s="13">
        <v>56.63</v>
      </c>
      <c r="J708" s="13"/>
      <c r="K708" s="13"/>
    </row>
    <row r="709" spans="1:11" x14ac:dyDescent="0.25">
      <c r="A709" s="10">
        <v>40850</v>
      </c>
      <c r="B709" s="15">
        <f t="shared" si="22"/>
        <v>11</v>
      </c>
      <c r="C709" s="15">
        <f t="shared" si="23"/>
        <v>2011</v>
      </c>
      <c r="D709" s="13">
        <v>25.65</v>
      </c>
      <c r="E709" s="13">
        <v>53.04423369289799</v>
      </c>
      <c r="F709" s="13"/>
      <c r="G709" s="13"/>
      <c r="H709" s="13">
        <v>26.92</v>
      </c>
      <c r="I709" s="13">
        <v>56.63</v>
      </c>
      <c r="J709" s="13"/>
      <c r="K709" s="13"/>
    </row>
    <row r="710" spans="1:11" x14ac:dyDescent="0.25">
      <c r="A710" s="10">
        <v>40851</v>
      </c>
      <c r="B710" s="15">
        <f t="shared" si="22"/>
        <v>11</v>
      </c>
      <c r="C710" s="15">
        <f t="shared" si="23"/>
        <v>2011</v>
      </c>
      <c r="D710" s="13">
        <v>25.65</v>
      </c>
      <c r="E710" s="13">
        <v>53.117297375670582</v>
      </c>
      <c r="F710" s="13"/>
      <c r="G710" s="13"/>
      <c r="H710" s="13">
        <v>26.92</v>
      </c>
      <c r="I710" s="13">
        <v>56.63</v>
      </c>
      <c r="J710" s="13"/>
      <c r="K710" s="13"/>
    </row>
    <row r="711" spans="1:11" x14ac:dyDescent="0.25">
      <c r="A711" s="10">
        <v>40854</v>
      </c>
      <c r="B711" s="15">
        <f t="shared" si="22"/>
        <v>11</v>
      </c>
      <c r="C711" s="15">
        <f t="shared" si="23"/>
        <v>2011</v>
      </c>
      <c r="D711" s="13">
        <v>34.86</v>
      </c>
      <c r="E711" s="13">
        <v>42.373865698729581</v>
      </c>
      <c r="F711" s="13"/>
      <c r="G711" s="13"/>
      <c r="H711" s="13">
        <v>13.06</v>
      </c>
      <c r="I711" s="13">
        <v>-347</v>
      </c>
      <c r="J711" s="13"/>
      <c r="K711" s="13"/>
    </row>
    <row r="712" spans="1:11" x14ac:dyDescent="0.25">
      <c r="A712" s="10">
        <v>40855</v>
      </c>
      <c r="B712" s="15">
        <f t="shared" si="22"/>
        <v>11</v>
      </c>
      <c r="C712" s="15">
        <f t="shared" si="23"/>
        <v>2011</v>
      </c>
      <c r="D712" s="13">
        <v>34.86</v>
      </c>
      <c r="E712" s="13">
        <v>42.183999421839992</v>
      </c>
      <c r="F712" s="13"/>
      <c r="G712" s="13"/>
      <c r="H712" s="13">
        <v>13.06</v>
      </c>
      <c r="I712" s="13">
        <v>-347</v>
      </c>
      <c r="J712" s="13"/>
      <c r="K712" s="13"/>
    </row>
    <row r="713" spans="1:11" x14ac:dyDescent="0.25">
      <c r="A713" s="10">
        <v>40856</v>
      </c>
      <c r="B713" s="15">
        <f t="shared" si="22"/>
        <v>11</v>
      </c>
      <c r="C713" s="15">
        <f t="shared" si="23"/>
        <v>2011</v>
      </c>
      <c r="D713" s="13">
        <v>34.86</v>
      </c>
      <c r="E713" s="13">
        <v>43.090211132437616</v>
      </c>
      <c r="F713" s="13"/>
      <c r="G713" s="13"/>
      <c r="H713" s="13">
        <v>13.06</v>
      </c>
      <c r="I713" s="13">
        <v>-347</v>
      </c>
      <c r="J713" s="13"/>
      <c r="K713" s="13"/>
    </row>
    <row r="714" spans="1:11" x14ac:dyDescent="0.25">
      <c r="A714" s="10">
        <v>40857</v>
      </c>
      <c r="B714" s="15">
        <f t="shared" si="22"/>
        <v>11</v>
      </c>
      <c r="C714" s="15">
        <f t="shared" si="23"/>
        <v>2011</v>
      </c>
      <c r="D714" s="13">
        <v>34.86</v>
      </c>
      <c r="E714" s="13">
        <v>42.915962061613115</v>
      </c>
      <c r="F714" s="13"/>
      <c r="G714" s="13"/>
      <c r="H714" s="13">
        <v>13.06</v>
      </c>
      <c r="I714" s="13">
        <v>-347</v>
      </c>
      <c r="J714" s="13"/>
      <c r="K714" s="13"/>
    </row>
    <row r="715" spans="1:11" x14ac:dyDescent="0.25">
      <c r="A715" s="10">
        <v>40858</v>
      </c>
      <c r="B715" s="15">
        <f t="shared" si="22"/>
        <v>11</v>
      </c>
      <c r="C715" s="15">
        <f t="shared" si="23"/>
        <v>2011</v>
      </c>
      <c r="D715" s="13">
        <v>34.86</v>
      </c>
      <c r="E715" s="13">
        <v>42.450909090909086</v>
      </c>
      <c r="F715" s="13"/>
      <c r="G715" s="13"/>
      <c r="H715" s="13">
        <v>13.06</v>
      </c>
      <c r="I715" s="13">
        <v>-347</v>
      </c>
      <c r="J715" s="13"/>
      <c r="K715" s="13"/>
    </row>
    <row r="716" spans="1:11" x14ac:dyDescent="0.25">
      <c r="A716" s="10">
        <v>40861</v>
      </c>
      <c r="B716" s="15">
        <f t="shared" si="22"/>
        <v>11</v>
      </c>
      <c r="C716" s="15">
        <f t="shared" si="23"/>
        <v>2011</v>
      </c>
      <c r="D716" s="13">
        <v>22.1</v>
      </c>
      <c r="E716" s="13">
        <v>45.393819276224036</v>
      </c>
      <c r="F716" s="13"/>
      <c r="G716" s="13"/>
      <c r="H716" s="13">
        <v>21.93</v>
      </c>
      <c r="I716" s="13">
        <v>53.22</v>
      </c>
      <c r="J716" s="13"/>
      <c r="K716" s="13"/>
    </row>
    <row r="717" spans="1:11" x14ac:dyDescent="0.25">
      <c r="A717" s="10">
        <v>40862</v>
      </c>
      <c r="B717" s="15">
        <f t="shared" si="22"/>
        <v>11</v>
      </c>
      <c r="C717" s="15">
        <f t="shared" si="23"/>
        <v>2011</v>
      </c>
      <c r="D717" s="13">
        <v>22.1</v>
      </c>
      <c r="E717" s="13">
        <v>45.702461015446019</v>
      </c>
      <c r="F717" s="13"/>
      <c r="G717" s="13"/>
      <c r="H717" s="13">
        <v>21.93</v>
      </c>
      <c r="I717" s="13">
        <v>53.22</v>
      </c>
      <c r="J717" s="13"/>
      <c r="K717" s="13"/>
    </row>
    <row r="718" spans="1:11" x14ac:dyDescent="0.25">
      <c r="A718" s="10">
        <v>40863</v>
      </c>
      <c r="B718" s="15">
        <f t="shared" si="22"/>
        <v>11</v>
      </c>
      <c r="C718" s="15">
        <f t="shared" si="23"/>
        <v>2011</v>
      </c>
      <c r="D718" s="13">
        <v>22.1</v>
      </c>
      <c r="E718" s="13">
        <v>45.936710741346012</v>
      </c>
      <c r="F718" s="13"/>
      <c r="G718" s="13"/>
      <c r="H718" s="13">
        <v>21.93</v>
      </c>
      <c r="I718" s="13">
        <v>53.22</v>
      </c>
      <c r="J718" s="13"/>
      <c r="K718" s="13"/>
    </row>
    <row r="719" spans="1:11" x14ac:dyDescent="0.25">
      <c r="A719" s="10">
        <v>40864</v>
      </c>
      <c r="B719" s="15">
        <f t="shared" si="22"/>
        <v>11</v>
      </c>
      <c r="C719" s="15">
        <f t="shared" si="23"/>
        <v>2011</v>
      </c>
      <c r="D719" s="13">
        <v>22.1</v>
      </c>
      <c r="E719" s="13">
        <v>45.946949996285014</v>
      </c>
      <c r="F719" s="13"/>
      <c r="G719" s="13"/>
      <c r="H719" s="13">
        <v>21.93</v>
      </c>
      <c r="I719" s="13">
        <v>53.22</v>
      </c>
      <c r="J719" s="13"/>
      <c r="K719" s="13"/>
    </row>
    <row r="720" spans="1:11" x14ac:dyDescent="0.25">
      <c r="A720" s="10">
        <v>40865</v>
      </c>
      <c r="B720" s="15">
        <f t="shared" si="22"/>
        <v>11</v>
      </c>
      <c r="C720" s="15">
        <f t="shared" si="23"/>
        <v>2011</v>
      </c>
      <c r="D720" s="13">
        <v>22.1</v>
      </c>
      <c r="E720" s="13">
        <v>45.776889481086684</v>
      </c>
      <c r="F720" s="13"/>
      <c r="G720" s="13"/>
      <c r="H720" s="13">
        <v>21.93</v>
      </c>
      <c r="I720" s="13">
        <v>53.22</v>
      </c>
      <c r="J720" s="13"/>
      <c r="K720" s="13"/>
    </row>
    <row r="721" spans="1:11" x14ac:dyDescent="0.25">
      <c r="A721" s="10">
        <v>40868</v>
      </c>
      <c r="B721" s="15">
        <f t="shared" si="22"/>
        <v>11</v>
      </c>
      <c r="C721" s="15">
        <f t="shared" si="23"/>
        <v>2011</v>
      </c>
      <c r="D721" s="13">
        <v>24.78</v>
      </c>
      <c r="E721" s="13">
        <v>43.671261301319106</v>
      </c>
      <c r="F721" s="13"/>
      <c r="G721" s="13"/>
      <c r="H721" s="13">
        <v>21.96</v>
      </c>
      <c r="I721" s="13">
        <v>70.41</v>
      </c>
      <c r="J721" s="13"/>
      <c r="K721" s="13"/>
    </row>
    <row r="722" spans="1:11" x14ac:dyDescent="0.25">
      <c r="A722" s="10">
        <v>40869</v>
      </c>
      <c r="B722" s="15">
        <f t="shared" si="22"/>
        <v>11</v>
      </c>
      <c r="C722" s="15">
        <f t="shared" si="23"/>
        <v>2011</v>
      </c>
      <c r="D722" s="13">
        <v>24.78</v>
      </c>
      <c r="E722" s="13">
        <v>43.609857174572632</v>
      </c>
      <c r="F722" s="13"/>
      <c r="G722" s="13"/>
      <c r="H722" s="13">
        <v>21.96</v>
      </c>
      <c r="I722" s="13">
        <v>70.41</v>
      </c>
      <c r="J722" s="13"/>
      <c r="K722" s="13"/>
    </row>
    <row r="723" spans="1:11" x14ac:dyDescent="0.25">
      <c r="A723" s="10">
        <v>40870</v>
      </c>
      <c r="B723" s="15">
        <f t="shared" si="22"/>
        <v>11</v>
      </c>
      <c r="C723" s="15">
        <f t="shared" si="23"/>
        <v>2011</v>
      </c>
      <c r="D723" s="13">
        <v>24.78</v>
      </c>
      <c r="E723" s="13">
        <v>44.198604965124133</v>
      </c>
      <c r="F723" s="13"/>
      <c r="G723" s="13"/>
      <c r="H723" s="13">
        <v>21.96</v>
      </c>
      <c r="I723" s="13">
        <v>70.41</v>
      </c>
      <c r="J723" s="13"/>
      <c r="K723" s="13"/>
    </row>
    <row r="724" spans="1:11" x14ac:dyDescent="0.25">
      <c r="A724" s="10">
        <v>40872</v>
      </c>
      <c r="B724" s="15">
        <f t="shared" si="22"/>
        <v>11</v>
      </c>
      <c r="C724" s="15">
        <f t="shared" si="23"/>
        <v>2011</v>
      </c>
      <c r="D724" s="13">
        <v>24.78</v>
      </c>
      <c r="E724" s="13">
        <v>44.532607874253763</v>
      </c>
      <c r="F724" s="13"/>
      <c r="G724" s="13"/>
      <c r="H724" s="13">
        <v>21.96</v>
      </c>
      <c r="I724" s="13">
        <v>70.41</v>
      </c>
      <c r="J724" s="13"/>
      <c r="K724" s="13"/>
    </row>
    <row r="725" spans="1:11" x14ac:dyDescent="0.25">
      <c r="A725" s="10">
        <v>40875</v>
      </c>
      <c r="B725" s="15">
        <f t="shared" si="22"/>
        <v>11</v>
      </c>
      <c r="C725" s="15">
        <f t="shared" si="23"/>
        <v>2011</v>
      </c>
      <c r="D725" s="13">
        <v>14.12</v>
      </c>
      <c r="E725" s="13">
        <v>36.128644424406374</v>
      </c>
      <c r="F725" s="13"/>
      <c r="G725" s="13"/>
      <c r="H725" s="13">
        <v>18.07</v>
      </c>
      <c r="I725" s="13">
        <v>51.81</v>
      </c>
      <c r="J725" s="13"/>
      <c r="K725" s="13"/>
    </row>
    <row r="726" spans="1:11" x14ac:dyDescent="0.25">
      <c r="A726" s="10">
        <v>40876</v>
      </c>
      <c r="B726" s="15">
        <f t="shared" si="22"/>
        <v>11</v>
      </c>
      <c r="C726" s="15">
        <f t="shared" si="23"/>
        <v>2011</v>
      </c>
      <c r="D726" s="13">
        <v>14.12</v>
      </c>
      <c r="E726" s="13">
        <v>36.071723310075775</v>
      </c>
      <c r="F726" s="13"/>
      <c r="G726" s="13"/>
      <c r="H726" s="13">
        <v>18.07</v>
      </c>
      <c r="I726" s="13">
        <v>51.81</v>
      </c>
      <c r="J726" s="13"/>
      <c r="K726" s="13"/>
    </row>
    <row r="727" spans="1:11" x14ac:dyDescent="0.25">
      <c r="A727" s="10">
        <v>40877</v>
      </c>
      <c r="B727" s="15">
        <f t="shared" si="22"/>
        <v>11</v>
      </c>
      <c r="C727" s="15">
        <f t="shared" si="23"/>
        <v>2011</v>
      </c>
      <c r="D727" s="13">
        <v>14.12</v>
      </c>
      <c r="E727" s="13">
        <v>35.771147980061002</v>
      </c>
      <c r="F727" s="13"/>
      <c r="G727" s="13"/>
      <c r="H727" s="13">
        <v>18.07</v>
      </c>
      <c r="I727" s="13">
        <v>51.81</v>
      </c>
      <c r="J727" s="13"/>
      <c r="K727" s="13"/>
    </row>
    <row r="728" spans="1:11" x14ac:dyDescent="0.25">
      <c r="A728" s="10">
        <v>40878</v>
      </c>
      <c r="B728" s="15">
        <f t="shared" si="22"/>
        <v>12</v>
      </c>
      <c r="C728" s="15">
        <f t="shared" si="23"/>
        <v>2011</v>
      </c>
      <c r="D728" s="13">
        <v>14.12</v>
      </c>
      <c r="E728" s="13">
        <v>35.712694050360241</v>
      </c>
      <c r="F728" s="13"/>
      <c r="G728" s="13"/>
      <c r="H728" s="13">
        <v>18.07</v>
      </c>
      <c r="I728" s="13">
        <v>51.81</v>
      </c>
      <c r="J728" s="13"/>
      <c r="K728" s="13"/>
    </row>
    <row r="729" spans="1:11" x14ac:dyDescent="0.25">
      <c r="A729" s="10">
        <v>40879</v>
      </c>
      <c r="B729" s="15">
        <f t="shared" si="22"/>
        <v>12</v>
      </c>
      <c r="C729" s="15">
        <f t="shared" si="23"/>
        <v>2011</v>
      </c>
      <c r="D729" s="13">
        <v>14.12</v>
      </c>
      <c r="E729" s="13">
        <v>35.875242501119232</v>
      </c>
      <c r="F729" s="13"/>
      <c r="G729" s="13"/>
      <c r="H729" s="13">
        <v>18.07</v>
      </c>
      <c r="I729" s="13">
        <v>51.81</v>
      </c>
      <c r="J729" s="13"/>
      <c r="K729" s="13"/>
    </row>
    <row r="730" spans="1:11" x14ac:dyDescent="0.25">
      <c r="A730" s="10">
        <v>40882</v>
      </c>
      <c r="B730" s="15">
        <f t="shared" si="22"/>
        <v>12</v>
      </c>
      <c r="C730" s="15">
        <f t="shared" si="23"/>
        <v>2011</v>
      </c>
      <c r="D730" s="13">
        <v>-2.11</v>
      </c>
      <c r="E730" s="13">
        <v>43.384822028206848</v>
      </c>
      <c r="F730" s="13"/>
      <c r="G730" s="13"/>
      <c r="H730" s="13">
        <v>7.5</v>
      </c>
      <c r="I730" s="13">
        <v>42.08</v>
      </c>
      <c r="J730" s="13"/>
      <c r="K730" s="13"/>
    </row>
    <row r="731" spans="1:11" x14ac:dyDescent="0.25">
      <c r="A731" s="10">
        <v>40883</v>
      </c>
      <c r="B731" s="15">
        <f t="shared" si="22"/>
        <v>12</v>
      </c>
      <c r="C731" s="15">
        <f t="shared" si="23"/>
        <v>2011</v>
      </c>
      <c r="D731" s="13">
        <v>-2.11</v>
      </c>
      <c r="E731" s="13">
        <v>43.384822028206848</v>
      </c>
      <c r="F731" s="13"/>
      <c r="G731" s="13"/>
      <c r="H731" s="13">
        <v>7.5</v>
      </c>
      <c r="I731" s="13">
        <v>42.08</v>
      </c>
      <c r="J731" s="13"/>
      <c r="K731" s="13"/>
    </row>
    <row r="732" spans="1:11" x14ac:dyDescent="0.25">
      <c r="A732" s="10">
        <v>40884</v>
      </c>
      <c r="B732" s="15">
        <f t="shared" si="22"/>
        <v>12</v>
      </c>
      <c r="C732" s="15">
        <f t="shared" si="23"/>
        <v>2011</v>
      </c>
      <c r="D732" s="13">
        <v>-2.11</v>
      </c>
      <c r="E732" s="13">
        <v>43.349239487026544</v>
      </c>
      <c r="F732" s="13"/>
      <c r="G732" s="13"/>
      <c r="H732" s="13">
        <v>7.5</v>
      </c>
      <c r="I732" s="13">
        <v>42.08</v>
      </c>
      <c r="J732" s="13"/>
      <c r="K732" s="13"/>
    </row>
    <row r="733" spans="1:11" x14ac:dyDescent="0.25">
      <c r="A733" s="10">
        <v>40885</v>
      </c>
      <c r="B733" s="15">
        <f t="shared" si="22"/>
        <v>12</v>
      </c>
      <c r="C733" s="15">
        <f t="shared" si="23"/>
        <v>2011</v>
      </c>
      <c r="D733" s="13">
        <v>-2.11</v>
      </c>
      <c r="E733" s="13">
        <v>43.566878980891723</v>
      </c>
      <c r="F733" s="13"/>
      <c r="G733" s="13"/>
      <c r="H733" s="13">
        <v>7.5</v>
      </c>
      <c r="I733" s="13">
        <v>42.08</v>
      </c>
      <c r="J733" s="13"/>
      <c r="K733" s="13"/>
    </row>
    <row r="734" spans="1:11" x14ac:dyDescent="0.25">
      <c r="A734" s="10">
        <v>40886</v>
      </c>
      <c r="B734" s="15">
        <f t="shared" si="22"/>
        <v>12</v>
      </c>
      <c r="C734" s="15">
        <f t="shared" si="23"/>
        <v>2011</v>
      </c>
      <c r="D734" s="13">
        <v>-2.11</v>
      </c>
      <c r="E734" s="13">
        <v>43.478911157642841</v>
      </c>
      <c r="F734" s="13"/>
      <c r="G734" s="13"/>
      <c r="H734" s="13">
        <v>7.5</v>
      </c>
      <c r="I734" s="13">
        <v>42.08</v>
      </c>
      <c r="J734" s="13"/>
      <c r="K734" s="13"/>
    </row>
    <row r="735" spans="1:11" x14ac:dyDescent="0.25">
      <c r="A735" s="10">
        <v>40889</v>
      </c>
      <c r="B735" s="15">
        <f t="shared" si="22"/>
        <v>12</v>
      </c>
      <c r="C735" s="15">
        <f t="shared" si="23"/>
        <v>2011</v>
      </c>
      <c r="D735" s="13">
        <v>33.729999999999997</v>
      </c>
      <c r="E735" s="13">
        <v>55.226031553398059</v>
      </c>
      <c r="F735" s="13"/>
      <c r="G735" s="13"/>
      <c r="H735" s="13">
        <v>38.32</v>
      </c>
      <c r="I735" s="13">
        <v>61.44</v>
      </c>
      <c r="J735" s="13"/>
      <c r="K735" s="13"/>
    </row>
    <row r="736" spans="1:11" x14ac:dyDescent="0.25">
      <c r="A736" s="10">
        <v>40890</v>
      </c>
      <c r="B736" s="15">
        <f t="shared" si="22"/>
        <v>12</v>
      </c>
      <c r="C736" s="15">
        <f t="shared" si="23"/>
        <v>2011</v>
      </c>
      <c r="D736" s="13">
        <v>33.729999999999997</v>
      </c>
      <c r="E736" s="13">
        <v>55.865878922734602</v>
      </c>
      <c r="F736" s="13"/>
      <c r="G736" s="13"/>
      <c r="H736" s="13">
        <v>38.32</v>
      </c>
      <c r="I736" s="13">
        <v>61.44</v>
      </c>
      <c r="J736" s="13"/>
      <c r="K736" s="13"/>
    </row>
    <row r="737" spans="1:11" x14ac:dyDescent="0.25">
      <c r="A737" s="10">
        <v>40891</v>
      </c>
      <c r="B737" s="15">
        <f t="shared" si="22"/>
        <v>12</v>
      </c>
      <c r="C737" s="15">
        <f t="shared" si="23"/>
        <v>2011</v>
      </c>
      <c r="D737" s="13">
        <v>33.729999999999997</v>
      </c>
      <c r="E737" s="13">
        <v>56.093990755007702</v>
      </c>
      <c r="F737" s="13"/>
      <c r="G737" s="13"/>
      <c r="H737" s="13">
        <v>38.32</v>
      </c>
      <c r="I737" s="13">
        <v>61.44</v>
      </c>
      <c r="J737" s="13"/>
      <c r="K737" s="13"/>
    </row>
    <row r="738" spans="1:11" x14ac:dyDescent="0.25">
      <c r="A738" s="10">
        <v>40892</v>
      </c>
      <c r="B738" s="15">
        <f t="shared" si="22"/>
        <v>12</v>
      </c>
      <c r="C738" s="15">
        <f t="shared" si="23"/>
        <v>2011</v>
      </c>
      <c r="D738" s="13">
        <v>33.729999999999997</v>
      </c>
      <c r="E738" s="13">
        <v>55.943142527852473</v>
      </c>
      <c r="F738" s="13"/>
      <c r="G738" s="13"/>
      <c r="H738" s="13">
        <v>38.32</v>
      </c>
      <c r="I738" s="13">
        <v>61.44</v>
      </c>
      <c r="J738" s="13"/>
      <c r="K738" s="13"/>
    </row>
    <row r="739" spans="1:11" x14ac:dyDescent="0.25">
      <c r="A739" s="10">
        <v>40893</v>
      </c>
      <c r="B739" s="15">
        <f t="shared" si="22"/>
        <v>12</v>
      </c>
      <c r="C739" s="15">
        <f t="shared" si="23"/>
        <v>2011</v>
      </c>
      <c r="D739" s="13">
        <v>33.729999999999997</v>
      </c>
      <c r="E739" s="13">
        <v>55.865878922734602</v>
      </c>
      <c r="F739" s="13"/>
      <c r="G739" s="13"/>
      <c r="H739" s="13">
        <v>38.32</v>
      </c>
      <c r="I739" s="13">
        <v>61.44</v>
      </c>
      <c r="J739" s="13"/>
      <c r="K739" s="13"/>
    </row>
    <row r="740" spans="1:11" x14ac:dyDescent="0.25">
      <c r="A740" s="10">
        <v>40896</v>
      </c>
      <c r="B740" s="15">
        <f t="shared" si="22"/>
        <v>12</v>
      </c>
      <c r="C740" s="15">
        <f t="shared" si="23"/>
        <v>2011</v>
      </c>
      <c r="D740" s="13">
        <v>20.56</v>
      </c>
      <c r="E740" s="13">
        <v>31.522241034323532</v>
      </c>
      <c r="F740" s="13"/>
      <c r="G740" s="13"/>
      <c r="H740" s="13">
        <v>25.37</v>
      </c>
      <c r="I740" s="13">
        <v>55.87</v>
      </c>
      <c r="J740" s="13"/>
      <c r="K740" s="13"/>
    </row>
    <row r="741" spans="1:11" x14ac:dyDescent="0.25">
      <c r="A741" s="10">
        <v>40897</v>
      </c>
      <c r="B741" s="15">
        <f t="shared" si="22"/>
        <v>12</v>
      </c>
      <c r="C741" s="15">
        <f t="shared" si="23"/>
        <v>2011</v>
      </c>
      <c r="D741" s="13">
        <v>20.56</v>
      </c>
      <c r="E741" s="13">
        <v>31.322168693125334</v>
      </c>
      <c r="F741" s="13"/>
      <c r="G741" s="13"/>
      <c r="H741" s="13">
        <v>25.37</v>
      </c>
      <c r="I741" s="13">
        <v>55.87</v>
      </c>
      <c r="J741" s="13"/>
      <c r="K741" s="13"/>
    </row>
    <row r="742" spans="1:11" x14ac:dyDescent="0.25">
      <c r="A742" s="10">
        <v>40898</v>
      </c>
      <c r="B742" s="15">
        <f t="shared" si="22"/>
        <v>12</v>
      </c>
      <c r="C742" s="15">
        <f t="shared" si="23"/>
        <v>2011</v>
      </c>
      <c r="D742" s="13">
        <v>20.56</v>
      </c>
      <c r="E742" s="13">
        <v>31.401410610242259</v>
      </c>
      <c r="F742" s="13"/>
      <c r="G742" s="13"/>
      <c r="H742" s="13">
        <v>25.37</v>
      </c>
      <c r="I742" s="13">
        <v>55.87</v>
      </c>
      <c r="J742" s="13"/>
      <c r="K742" s="13"/>
    </row>
    <row r="743" spans="1:11" x14ac:dyDescent="0.25">
      <c r="A743" s="10">
        <v>40899</v>
      </c>
      <c r="B743" s="15">
        <f t="shared" si="22"/>
        <v>12</v>
      </c>
      <c r="C743" s="15">
        <f t="shared" si="23"/>
        <v>2011</v>
      </c>
      <c r="D743" s="13">
        <v>20.56</v>
      </c>
      <c r="E743" s="13">
        <v>31.391784181483754</v>
      </c>
      <c r="F743" s="13"/>
      <c r="G743" s="13"/>
      <c r="H743" s="13">
        <v>25.37</v>
      </c>
      <c r="I743" s="13">
        <v>55.87</v>
      </c>
      <c r="J743" s="13"/>
      <c r="K743" s="13"/>
    </row>
    <row r="744" spans="1:11" x14ac:dyDescent="0.25">
      <c r="A744" s="10">
        <v>40900</v>
      </c>
      <c r="B744" s="15">
        <f t="shared" si="22"/>
        <v>12</v>
      </c>
      <c r="C744" s="15">
        <f t="shared" si="23"/>
        <v>2011</v>
      </c>
      <c r="D744" s="13">
        <v>20.56</v>
      </c>
      <c r="E744" s="13">
        <v>31.411042944785276</v>
      </c>
      <c r="F744" s="13"/>
      <c r="G744" s="13"/>
      <c r="H744" s="13">
        <v>25.37</v>
      </c>
      <c r="I744" s="13">
        <v>55.87</v>
      </c>
      <c r="J744" s="13"/>
      <c r="K744" s="13"/>
    </row>
    <row r="745" spans="1:11" x14ac:dyDescent="0.25">
      <c r="A745" s="10">
        <v>40904</v>
      </c>
      <c r="B745" s="15">
        <f t="shared" si="22"/>
        <v>12</v>
      </c>
      <c r="C745" s="15">
        <f t="shared" si="23"/>
        <v>2011</v>
      </c>
      <c r="D745" s="13">
        <v>25.78</v>
      </c>
      <c r="E745" s="13">
        <v>34.175084175084173</v>
      </c>
      <c r="F745" s="13"/>
      <c r="G745" s="13"/>
      <c r="H745" s="13">
        <v>31.49</v>
      </c>
      <c r="I745" s="13">
        <v>45.02</v>
      </c>
      <c r="J745" s="13"/>
      <c r="K745" s="13"/>
    </row>
    <row r="746" spans="1:11" x14ac:dyDescent="0.25">
      <c r="A746" s="10">
        <v>40905</v>
      </c>
      <c r="B746" s="15">
        <f t="shared" si="22"/>
        <v>12</v>
      </c>
      <c r="C746" s="15">
        <f t="shared" si="23"/>
        <v>2011</v>
      </c>
      <c r="D746" s="13">
        <v>25.78</v>
      </c>
      <c r="E746" s="13">
        <v>34.526478546579042</v>
      </c>
      <c r="F746" s="13"/>
      <c r="G746" s="13"/>
      <c r="H746" s="13">
        <v>31.49</v>
      </c>
      <c r="I746" s="13">
        <v>45.02</v>
      </c>
      <c r="J746" s="13"/>
      <c r="K746" s="13"/>
    </row>
    <row r="747" spans="1:11" x14ac:dyDescent="0.25">
      <c r="A747" s="10">
        <v>40906</v>
      </c>
      <c r="B747" s="15">
        <f t="shared" si="22"/>
        <v>12</v>
      </c>
      <c r="C747" s="15">
        <f t="shared" si="23"/>
        <v>2011</v>
      </c>
      <c r="D747" s="13">
        <v>25.78</v>
      </c>
      <c r="E747" s="13">
        <v>34.457217807267952</v>
      </c>
      <c r="F747" s="13"/>
      <c r="G747" s="13"/>
      <c r="H747" s="13">
        <v>31.49</v>
      </c>
      <c r="I747" s="13">
        <v>45.02</v>
      </c>
      <c r="J747" s="13"/>
      <c r="K747" s="13"/>
    </row>
    <row r="748" spans="1:11" x14ac:dyDescent="0.25">
      <c r="A748" s="10">
        <v>40907</v>
      </c>
      <c r="B748" s="15">
        <f t="shared" si="22"/>
        <v>12</v>
      </c>
      <c r="C748" s="15">
        <f t="shared" si="23"/>
        <v>2011</v>
      </c>
      <c r="D748" s="13">
        <v>25.78</v>
      </c>
      <c r="E748" s="13">
        <v>34.499806875241404</v>
      </c>
      <c r="F748" s="13"/>
      <c r="G748" s="13"/>
      <c r="H748" s="13">
        <v>31.49</v>
      </c>
      <c r="I748" s="13">
        <v>45.02</v>
      </c>
      <c r="J748" s="13"/>
      <c r="K748" s="13"/>
    </row>
    <row r="749" spans="1:11" x14ac:dyDescent="0.25">
      <c r="A749" s="10">
        <v>40911</v>
      </c>
      <c r="B749" s="15">
        <f t="shared" si="22"/>
        <v>1</v>
      </c>
      <c r="C749" s="15">
        <f t="shared" si="23"/>
        <v>2012</v>
      </c>
      <c r="D749" s="13">
        <v>9.8000000000000007</v>
      </c>
      <c r="E749" s="13">
        <v>31.333333333333336</v>
      </c>
      <c r="F749" s="13"/>
      <c r="G749" s="13"/>
      <c r="H749" s="13">
        <v>30.27</v>
      </c>
      <c r="I749" s="13">
        <v>24.49</v>
      </c>
      <c r="J749" s="13"/>
      <c r="K749" s="13"/>
    </row>
    <row r="750" spans="1:11" x14ac:dyDescent="0.25">
      <c r="A750" s="10">
        <v>40912</v>
      </c>
      <c r="B750" s="15">
        <f t="shared" si="22"/>
        <v>1</v>
      </c>
      <c r="C750" s="15">
        <f t="shared" si="23"/>
        <v>2012</v>
      </c>
      <c r="D750" s="13">
        <v>9.8000000000000007</v>
      </c>
      <c r="E750" s="13">
        <v>31.599690880989179</v>
      </c>
      <c r="F750" s="13"/>
      <c r="G750" s="13"/>
      <c r="H750" s="13">
        <v>30.27</v>
      </c>
      <c r="I750" s="13">
        <v>24.49</v>
      </c>
      <c r="J750" s="13"/>
      <c r="K750" s="13"/>
    </row>
    <row r="751" spans="1:11" x14ac:dyDescent="0.25">
      <c r="A751" s="10">
        <v>40913</v>
      </c>
      <c r="B751" s="15">
        <f t="shared" si="22"/>
        <v>1</v>
      </c>
      <c r="C751" s="15">
        <f t="shared" si="23"/>
        <v>2012</v>
      </c>
      <c r="D751" s="13">
        <v>9.8000000000000007</v>
      </c>
      <c r="E751" s="13">
        <v>31.995305164319248</v>
      </c>
      <c r="F751" s="13"/>
      <c r="G751" s="13"/>
      <c r="H751" s="13">
        <v>30.27</v>
      </c>
      <c r="I751" s="13">
        <v>24.49</v>
      </c>
      <c r="J751" s="13"/>
      <c r="K751" s="13"/>
    </row>
    <row r="752" spans="1:11" x14ac:dyDescent="0.25">
      <c r="A752" s="10">
        <v>40914</v>
      </c>
      <c r="B752" s="15">
        <f t="shared" si="22"/>
        <v>1</v>
      </c>
      <c r="C752" s="15">
        <f t="shared" si="23"/>
        <v>2012</v>
      </c>
      <c r="D752" s="13">
        <v>9.8000000000000007</v>
      </c>
      <c r="E752" s="13">
        <v>32.14622641509434</v>
      </c>
      <c r="F752" s="13"/>
      <c r="G752" s="13"/>
      <c r="H752" s="13">
        <v>30.27</v>
      </c>
      <c r="I752" s="13">
        <v>24.49</v>
      </c>
      <c r="J752" s="13"/>
      <c r="K752" s="13"/>
    </row>
    <row r="753" spans="1:11" x14ac:dyDescent="0.25">
      <c r="A753" s="10">
        <v>40917</v>
      </c>
      <c r="B753" s="15">
        <f t="shared" si="22"/>
        <v>1</v>
      </c>
      <c r="C753" s="15">
        <f t="shared" si="23"/>
        <v>2012</v>
      </c>
      <c r="D753" s="13">
        <v>2.2400000000000002</v>
      </c>
      <c r="E753" s="13">
        <v>31.938895417156289</v>
      </c>
      <c r="F753" s="13"/>
      <c r="G753" s="13"/>
      <c r="H753" s="13">
        <v>10.7</v>
      </c>
      <c r="I753" s="13">
        <v>27.53</v>
      </c>
      <c r="J753" s="13"/>
      <c r="K753" s="13"/>
    </row>
    <row r="754" spans="1:11" x14ac:dyDescent="0.25">
      <c r="A754" s="10">
        <v>40918</v>
      </c>
      <c r="B754" s="15">
        <f t="shared" si="22"/>
        <v>1</v>
      </c>
      <c r="C754" s="15">
        <f t="shared" si="23"/>
        <v>2012</v>
      </c>
      <c r="D754" s="13">
        <v>2.2400000000000002</v>
      </c>
      <c r="E754" s="13">
        <v>31.921390541810215</v>
      </c>
      <c r="F754" s="13"/>
      <c r="G754" s="13"/>
      <c r="H754" s="13">
        <v>10.7</v>
      </c>
      <c r="I754" s="13">
        <v>27.53</v>
      </c>
      <c r="J754" s="13"/>
      <c r="K754" s="13"/>
    </row>
    <row r="755" spans="1:11" x14ac:dyDescent="0.25">
      <c r="A755" s="10">
        <v>40919</v>
      </c>
      <c r="B755" s="15">
        <f t="shared" si="22"/>
        <v>1</v>
      </c>
      <c r="C755" s="15">
        <f t="shared" si="23"/>
        <v>2012</v>
      </c>
      <c r="D755" s="13">
        <v>2.2400000000000002</v>
      </c>
      <c r="E755" s="13">
        <v>32.094780760450291</v>
      </c>
      <c r="F755" s="13"/>
      <c r="G755" s="13"/>
      <c r="H755" s="13">
        <v>10.7</v>
      </c>
      <c r="I755" s="13">
        <v>27.53</v>
      </c>
      <c r="J755" s="13"/>
      <c r="K755" s="13"/>
    </row>
    <row r="756" spans="1:11" x14ac:dyDescent="0.25">
      <c r="A756" s="10">
        <v>40920</v>
      </c>
      <c r="B756" s="15">
        <f t="shared" si="22"/>
        <v>1</v>
      </c>
      <c r="C756" s="15">
        <f t="shared" si="23"/>
        <v>2012</v>
      </c>
      <c r="D756" s="13">
        <v>2.2400000000000002</v>
      </c>
      <c r="E756" s="13">
        <v>31.789473684210531</v>
      </c>
      <c r="F756" s="13"/>
      <c r="G756" s="13"/>
      <c r="H756" s="13">
        <v>10.7</v>
      </c>
      <c r="I756" s="13">
        <v>27.53</v>
      </c>
      <c r="J756" s="13"/>
      <c r="K756" s="13"/>
    </row>
    <row r="757" spans="1:11" x14ac:dyDescent="0.25">
      <c r="A757" s="10">
        <v>40925</v>
      </c>
      <c r="B757" s="15">
        <f t="shared" si="22"/>
        <v>1</v>
      </c>
      <c r="C757" s="15">
        <f t="shared" si="23"/>
        <v>2012</v>
      </c>
      <c r="D757" s="13">
        <v>-6.84</v>
      </c>
      <c r="E757" s="13">
        <v>28.217005574311059</v>
      </c>
      <c r="F757" s="13"/>
      <c r="G757" s="13"/>
      <c r="H757" s="13">
        <v>4.47</v>
      </c>
      <c r="I757" s="13">
        <v>37.119999999999997</v>
      </c>
      <c r="J757" s="13"/>
      <c r="K757" s="13"/>
    </row>
    <row r="758" spans="1:11" x14ac:dyDescent="0.25">
      <c r="A758" s="10">
        <v>40926</v>
      </c>
      <c r="B758" s="15">
        <f t="shared" si="22"/>
        <v>1</v>
      </c>
      <c r="C758" s="15">
        <f t="shared" si="23"/>
        <v>2012</v>
      </c>
      <c r="D758" s="13">
        <v>-6.84</v>
      </c>
      <c r="E758" s="13">
        <v>27.960168041076702</v>
      </c>
      <c r="F758" s="13"/>
      <c r="G758" s="13"/>
      <c r="H758" s="13">
        <v>4.47</v>
      </c>
      <c r="I758" s="13">
        <v>37.119999999999997</v>
      </c>
      <c r="J758" s="13"/>
      <c r="K758" s="13"/>
    </row>
    <row r="759" spans="1:11" x14ac:dyDescent="0.25">
      <c r="A759" s="10">
        <v>40927</v>
      </c>
      <c r="B759" s="15">
        <f t="shared" si="22"/>
        <v>1</v>
      </c>
      <c r="C759" s="15">
        <f t="shared" si="23"/>
        <v>2012</v>
      </c>
      <c r="D759" s="13">
        <v>-6.84</v>
      </c>
      <c r="E759" s="13">
        <v>27.722925023141006</v>
      </c>
      <c r="F759" s="13"/>
      <c r="G759" s="13"/>
      <c r="H759" s="13">
        <v>4.47</v>
      </c>
      <c r="I759" s="13">
        <v>37.119999999999997</v>
      </c>
      <c r="J759" s="13"/>
      <c r="K759" s="13"/>
    </row>
    <row r="760" spans="1:11" x14ac:dyDescent="0.25">
      <c r="A760" s="10">
        <v>40928</v>
      </c>
      <c r="B760" s="15">
        <f t="shared" si="22"/>
        <v>1</v>
      </c>
      <c r="C760" s="15">
        <f t="shared" si="23"/>
        <v>2012</v>
      </c>
      <c r="D760" s="13">
        <v>-6.84</v>
      </c>
      <c r="E760" s="13">
        <v>27.780783798407665</v>
      </c>
      <c r="F760" s="13"/>
      <c r="G760" s="13"/>
      <c r="H760" s="13">
        <v>4.47</v>
      </c>
      <c r="I760" s="13">
        <v>37.119999999999997</v>
      </c>
      <c r="J760" s="13"/>
      <c r="K760" s="13"/>
    </row>
    <row r="761" spans="1:11" x14ac:dyDescent="0.25">
      <c r="A761" s="10">
        <v>40931</v>
      </c>
      <c r="B761" s="15">
        <f t="shared" si="22"/>
        <v>1</v>
      </c>
      <c r="C761" s="15">
        <f t="shared" si="23"/>
        <v>2012</v>
      </c>
      <c r="D761" s="13">
        <v>-6.18</v>
      </c>
      <c r="E761" s="13">
        <v>39.96008596868284</v>
      </c>
      <c r="F761" s="13"/>
      <c r="G761" s="13"/>
      <c r="H761" s="13">
        <v>-4.05</v>
      </c>
      <c r="I761" s="13">
        <v>26.98</v>
      </c>
      <c r="J761" s="13"/>
      <c r="K761" s="13"/>
    </row>
    <row r="762" spans="1:11" x14ac:dyDescent="0.25">
      <c r="A762" s="10">
        <v>40932</v>
      </c>
      <c r="B762" s="15">
        <f t="shared" si="22"/>
        <v>1</v>
      </c>
      <c r="C762" s="15">
        <f t="shared" si="23"/>
        <v>2012</v>
      </c>
      <c r="D762" s="13">
        <v>-6.18</v>
      </c>
      <c r="E762" s="13">
        <v>39.981568235926581</v>
      </c>
      <c r="F762" s="13"/>
      <c r="G762" s="13"/>
      <c r="H762" s="13">
        <v>-4.05</v>
      </c>
      <c r="I762" s="13">
        <v>26.98</v>
      </c>
      <c r="J762" s="13"/>
      <c r="K762" s="13"/>
    </row>
    <row r="763" spans="1:11" x14ac:dyDescent="0.25">
      <c r="A763" s="10">
        <v>40933</v>
      </c>
      <c r="B763" s="15">
        <f t="shared" si="22"/>
        <v>1</v>
      </c>
      <c r="C763" s="15">
        <f t="shared" si="23"/>
        <v>2012</v>
      </c>
      <c r="D763" s="13">
        <v>-6.18</v>
      </c>
      <c r="E763" s="13">
        <v>39.71317415516058</v>
      </c>
      <c r="F763" s="13"/>
      <c r="G763" s="13"/>
      <c r="H763" s="13">
        <v>-4.05</v>
      </c>
      <c r="I763" s="13">
        <v>26.98</v>
      </c>
      <c r="J763" s="13"/>
      <c r="K763" s="13"/>
    </row>
    <row r="764" spans="1:11" x14ac:dyDescent="0.25">
      <c r="A764" s="10">
        <v>40934</v>
      </c>
      <c r="B764" s="15">
        <f t="shared" si="22"/>
        <v>1</v>
      </c>
      <c r="C764" s="15">
        <f t="shared" si="23"/>
        <v>2012</v>
      </c>
      <c r="D764" s="13">
        <v>-6.18</v>
      </c>
      <c r="E764" s="13">
        <v>39.749560968160644</v>
      </c>
      <c r="F764" s="13"/>
      <c r="G764" s="13"/>
      <c r="H764" s="13">
        <v>-4.05</v>
      </c>
      <c r="I764" s="13">
        <v>26.98</v>
      </c>
      <c r="J764" s="13"/>
      <c r="K764" s="13"/>
    </row>
    <row r="765" spans="1:11" x14ac:dyDescent="0.25">
      <c r="A765" s="10">
        <v>40935</v>
      </c>
      <c r="B765" s="15">
        <f t="shared" si="22"/>
        <v>1</v>
      </c>
      <c r="C765" s="15">
        <f t="shared" si="23"/>
        <v>2012</v>
      </c>
      <c r="D765" s="13">
        <v>-6.18</v>
      </c>
      <c r="E765" s="13">
        <v>39.367816091954026</v>
      </c>
      <c r="F765" s="13"/>
      <c r="G765" s="13"/>
      <c r="H765" s="13">
        <v>-4.05</v>
      </c>
      <c r="I765" s="13">
        <v>26.98</v>
      </c>
      <c r="J765" s="13"/>
      <c r="K765" s="13"/>
    </row>
    <row r="766" spans="1:11" x14ac:dyDescent="0.25">
      <c r="A766" s="10">
        <v>40938</v>
      </c>
      <c r="B766" s="15">
        <f t="shared" si="22"/>
        <v>1</v>
      </c>
      <c r="C766" s="15">
        <f t="shared" si="23"/>
        <v>2012</v>
      </c>
      <c r="D766" s="13">
        <v>-7.72</v>
      </c>
      <c r="E766" s="13">
        <v>16.358095238095238</v>
      </c>
      <c r="F766" s="13"/>
      <c r="G766" s="13"/>
      <c r="H766" s="13">
        <v>-227.33</v>
      </c>
      <c r="I766" s="13">
        <v>-419.96</v>
      </c>
      <c r="J766" s="13"/>
      <c r="K766" s="13"/>
    </row>
    <row r="767" spans="1:11" x14ac:dyDescent="0.25">
      <c r="A767" s="10">
        <v>40939</v>
      </c>
      <c r="B767" s="15">
        <f t="shared" si="22"/>
        <v>1</v>
      </c>
      <c r="C767" s="15">
        <f t="shared" si="23"/>
        <v>2012</v>
      </c>
      <c r="D767" s="13">
        <v>-7.72</v>
      </c>
      <c r="E767" s="13">
        <v>16.416883315491663</v>
      </c>
      <c r="F767" s="13"/>
      <c r="G767" s="13"/>
      <c r="H767" s="13">
        <v>-227.33</v>
      </c>
      <c r="I767" s="13">
        <v>-419.96</v>
      </c>
      <c r="J767" s="13"/>
      <c r="K767" s="13"/>
    </row>
    <row r="768" spans="1:11" x14ac:dyDescent="0.25">
      <c r="A768" s="10">
        <v>40940</v>
      </c>
      <c r="B768" s="15">
        <f t="shared" si="22"/>
        <v>2</v>
      </c>
      <c r="C768" s="15">
        <f t="shared" si="23"/>
        <v>2012</v>
      </c>
      <c r="D768" s="13">
        <v>-7.72</v>
      </c>
      <c r="E768" s="13">
        <v>16.317069463444291</v>
      </c>
      <c r="F768" s="13"/>
      <c r="G768" s="13"/>
      <c r="H768" s="13">
        <v>-227.33</v>
      </c>
      <c r="I768" s="13">
        <v>-419.96</v>
      </c>
      <c r="J768" s="13"/>
      <c r="K768" s="13"/>
    </row>
    <row r="769" spans="1:11" x14ac:dyDescent="0.25">
      <c r="A769" s="10">
        <v>40941</v>
      </c>
      <c r="B769" s="15">
        <f t="shared" si="22"/>
        <v>2</v>
      </c>
      <c r="C769" s="15">
        <f t="shared" si="23"/>
        <v>2012</v>
      </c>
      <c r="D769" s="13">
        <v>-7.72</v>
      </c>
      <c r="E769" s="13">
        <v>16.333206542411563</v>
      </c>
      <c r="F769" s="13"/>
      <c r="G769" s="13"/>
      <c r="H769" s="13">
        <v>-227.33</v>
      </c>
      <c r="I769" s="13">
        <v>-419.96</v>
      </c>
      <c r="J769" s="13"/>
      <c r="K769" s="13"/>
    </row>
    <row r="770" spans="1:11" x14ac:dyDescent="0.25">
      <c r="A770" s="10">
        <v>40942</v>
      </c>
      <c r="B770" s="15">
        <f t="shared" si="22"/>
        <v>2</v>
      </c>
      <c r="C770" s="15">
        <f t="shared" si="23"/>
        <v>2012</v>
      </c>
      <c r="D770" s="13">
        <v>-7.72</v>
      </c>
      <c r="E770" s="13">
        <v>16.335692003347788</v>
      </c>
      <c r="F770" s="13"/>
      <c r="G770" s="13"/>
      <c r="H770" s="13">
        <v>-227.33</v>
      </c>
      <c r="I770" s="13">
        <v>-419.96</v>
      </c>
      <c r="J770" s="13"/>
      <c r="K770" s="13"/>
    </row>
    <row r="771" spans="1:11" x14ac:dyDescent="0.25">
      <c r="A771" s="10">
        <v>40945</v>
      </c>
      <c r="B771" s="15">
        <f t="shared" ref="B771:B834" si="24">MONTH(A771)</f>
        <v>2</v>
      </c>
      <c r="C771" s="15">
        <f t="shared" ref="C771:C834" si="25">YEAR(A771)</f>
        <v>2012</v>
      </c>
      <c r="D771" s="13">
        <v>7.96</v>
      </c>
      <c r="E771" s="13">
        <v>26.014774198461655</v>
      </c>
      <c r="F771" s="13"/>
      <c r="G771" s="13"/>
      <c r="H771" s="13">
        <v>-1.65</v>
      </c>
      <c r="I771" s="13">
        <v>31.53</v>
      </c>
      <c r="J771" s="13"/>
      <c r="K771" s="13"/>
    </row>
    <row r="772" spans="1:11" x14ac:dyDescent="0.25">
      <c r="A772" s="10">
        <v>40946</v>
      </c>
      <c r="B772" s="15">
        <f t="shared" si="24"/>
        <v>2</v>
      </c>
      <c r="C772" s="15">
        <f t="shared" si="25"/>
        <v>2012</v>
      </c>
      <c r="D772" s="13">
        <v>7.96</v>
      </c>
      <c r="E772" s="13">
        <v>25.753920386007234</v>
      </c>
      <c r="F772" s="13"/>
      <c r="G772" s="13"/>
      <c r="H772" s="13">
        <v>-1.65</v>
      </c>
      <c r="I772" s="13">
        <v>31.53</v>
      </c>
      <c r="J772" s="13"/>
      <c r="K772" s="13"/>
    </row>
    <row r="773" spans="1:11" x14ac:dyDescent="0.25">
      <c r="A773" s="10">
        <v>40947</v>
      </c>
      <c r="B773" s="15">
        <f t="shared" si="24"/>
        <v>2</v>
      </c>
      <c r="C773" s="15">
        <f t="shared" si="25"/>
        <v>2012</v>
      </c>
      <c r="D773" s="13">
        <v>7.96</v>
      </c>
      <c r="E773" s="13">
        <v>25.767519046541445</v>
      </c>
      <c r="F773" s="13"/>
      <c r="G773" s="13"/>
      <c r="H773" s="13">
        <v>-1.65</v>
      </c>
      <c r="I773" s="13">
        <v>31.53</v>
      </c>
      <c r="J773" s="13"/>
      <c r="K773" s="13"/>
    </row>
    <row r="774" spans="1:11" x14ac:dyDescent="0.25">
      <c r="A774" s="10">
        <v>40948</v>
      </c>
      <c r="B774" s="15">
        <f t="shared" si="24"/>
        <v>2</v>
      </c>
      <c r="C774" s="15">
        <f t="shared" si="25"/>
        <v>2012</v>
      </c>
      <c r="D774" s="13">
        <v>7.96</v>
      </c>
      <c r="E774" s="13">
        <v>25.720954747383477</v>
      </c>
      <c r="F774" s="13"/>
      <c r="G774" s="13"/>
      <c r="H774" s="13">
        <v>-1.65</v>
      </c>
      <c r="I774" s="13">
        <v>31.53</v>
      </c>
      <c r="J774" s="13"/>
      <c r="K774" s="13"/>
    </row>
    <row r="775" spans="1:11" x14ac:dyDescent="0.25">
      <c r="A775" s="10">
        <v>40949</v>
      </c>
      <c r="B775" s="15">
        <f t="shared" si="24"/>
        <v>2</v>
      </c>
      <c r="C775" s="15">
        <f t="shared" si="25"/>
        <v>2012</v>
      </c>
      <c r="D775" s="13">
        <v>7.96</v>
      </c>
      <c r="E775" s="13">
        <v>25.931830258862824</v>
      </c>
      <c r="F775" s="13"/>
      <c r="G775" s="13"/>
      <c r="H775" s="13">
        <v>-1.65</v>
      </c>
      <c r="I775" s="13">
        <v>31.53</v>
      </c>
      <c r="J775" s="13"/>
      <c r="K775" s="13"/>
    </row>
    <row r="776" spans="1:11" x14ac:dyDescent="0.25">
      <c r="A776" s="10">
        <v>40952</v>
      </c>
      <c r="B776" s="15">
        <f t="shared" si="24"/>
        <v>2</v>
      </c>
      <c r="C776" s="15">
        <f t="shared" si="25"/>
        <v>2012</v>
      </c>
      <c r="D776" s="13">
        <v>3.02</v>
      </c>
      <c r="E776" s="13">
        <v>18.547714697187903</v>
      </c>
      <c r="F776" s="13"/>
      <c r="G776" s="13"/>
      <c r="H776" s="13">
        <v>-2.38</v>
      </c>
      <c r="I776" s="13">
        <v>20.350000000000001</v>
      </c>
      <c r="J776" s="13"/>
      <c r="K776" s="13"/>
    </row>
    <row r="777" spans="1:11" x14ac:dyDescent="0.25">
      <c r="A777" s="10">
        <v>40953</v>
      </c>
      <c r="B777" s="15">
        <f t="shared" si="24"/>
        <v>2</v>
      </c>
      <c r="C777" s="15">
        <f t="shared" si="25"/>
        <v>2012</v>
      </c>
      <c r="D777" s="13">
        <v>3.02</v>
      </c>
      <c r="E777" s="13">
        <v>18.653758194846773</v>
      </c>
      <c r="F777" s="13"/>
      <c r="G777" s="13"/>
      <c r="H777" s="13">
        <v>-2.38</v>
      </c>
      <c r="I777" s="13">
        <v>20.350000000000001</v>
      </c>
      <c r="J777" s="13"/>
      <c r="K777" s="13"/>
    </row>
    <row r="778" spans="1:11" x14ac:dyDescent="0.25">
      <c r="A778" s="10">
        <v>40954</v>
      </c>
      <c r="B778" s="15">
        <f t="shared" si="24"/>
        <v>2</v>
      </c>
      <c r="C778" s="15">
        <f t="shared" si="25"/>
        <v>2012</v>
      </c>
      <c r="D778" s="13">
        <v>3.02</v>
      </c>
      <c r="E778" s="13">
        <v>18.722264728385618</v>
      </c>
      <c r="F778" s="13"/>
      <c r="G778" s="13"/>
      <c r="H778" s="13">
        <v>-2.38</v>
      </c>
      <c r="I778" s="13">
        <v>20.350000000000001</v>
      </c>
      <c r="J778" s="13"/>
      <c r="K778" s="13"/>
    </row>
    <row r="779" spans="1:11" x14ac:dyDescent="0.25">
      <c r="A779" s="10">
        <v>40955</v>
      </c>
      <c r="B779" s="15">
        <f t="shared" si="24"/>
        <v>2</v>
      </c>
      <c r="C779" s="15">
        <f t="shared" si="25"/>
        <v>2012</v>
      </c>
      <c r="D779" s="13">
        <v>3.02</v>
      </c>
      <c r="E779" s="13">
        <v>18.623943983560391</v>
      </c>
      <c r="F779" s="13"/>
      <c r="G779" s="13"/>
      <c r="H779" s="13">
        <v>-2.38</v>
      </c>
      <c r="I779" s="13">
        <v>20.350000000000001</v>
      </c>
      <c r="J779" s="13"/>
      <c r="K779" s="13"/>
    </row>
    <row r="780" spans="1:11" x14ac:dyDescent="0.25">
      <c r="A780" s="10">
        <v>40956</v>
      </c>
      <c r="B780" s="15">
        <f t="shared" si="24"/>
        <v>2</v>
      </c>
      <c r="C780" s="15">
        <f t="shared" si="25"/>
        <v>2012</v>
      </c>
      <c r="D780" s="13">
        <v>3.02</v>
      </c>
      <c r="E780" s="13">
        <v>18.606950041821914</v>
      </c>
      <c r="F780" s="13"/>
      <c r="G780" s="13"/>
      <c r="H780" s="13">
        <v>-2.38</v>
      </c>
      <c r="I780" s="13">
        <v>20.350000000000001</v>
      </c>
      <c r="J780" s="13"/>
      <c r="K780" s="13"/>
    </row>
    <row r="781" spans="1:11" x14ac:dyDescent="0.25">
      <c r="A781" s="10">
        <v>40960</v>
      </c>
      <c r="B781" s="15">
        <f t="shared" si="24"/>
        <v>2</v>
      </c>
      <c r="C781" s="15">
        <f t="shared" si="25"/>
        <v>2012</v>
      </c>
      <c r="D781" s="13">
        <v>6.59</v>
      </c>
      <c r="E781" s="13">
        <v>10.076289749981116</v>
      </c>
      <c r="F781" s="13"/>
      <c r="G781" s="13"/>
      <c r="H781" s="13">
        <v>-14.55</v>
      </c>
      <c r="I781" s="13">
        <v>12.2</v>
      </c>
      <c r="J781" s="13"/>
      <c r="K781" s="13"/>
    </row>
    <row r="782" spans="1:11" x14ac:dyDescent="0.25">
      <c r="A782" s="10">
        <v>40961</v>
      </c>
      <c r="B782" s="15">
        <f t="shared" si="24"/>
        <v>2</v>
      </c>
      <c r="C782" s="15">
        <f t="shared" si="25"/>
        <v>2012</v>
      </c>
      <c r="D782" s="13">
        <v>6.59</v>
      </c>
      <c r="E782" s="13">
        <v>10.073246243298346</v>
      </c>
      <c r="F782" s="13"/>
      <c r="G782" s="13"/>
      <c r="H782" s="13">
        <v>-14.55</v>
      </c>
      <c r="I782" s="13">
        <v>12.2</v>
      </c>
      <c r="J782" s="13"/>
      <c r="K782" s="13"/>
    </row>
    <row r="783" spans="1:11" x14ac:dyDescent="0.25">
      <c r="A783" s="10">
        <v>40962</v>
      </c>
      <c r="B783" s="15">
        <f t="shared" si="24"/>
        <v>2</v>
      </c>
      <c r="C783" s="15">
        <f t="shared" si="25"/>
        <v>2012</v>
      </c>
      <c r="D783" s="13">
        <v>6.59</v>
      </c>
      <c r="E783" s="13">
        <v>9.9798010024687667</v>
      </c>
      <c r="F783" s="13"/>
      <c r="G783" s="13"/>
      <c r="H783" s="13">
        <v>-14.55</v>
      </c>
      <c r="I783" s="13">
        <v>12.2</v>
      </c>
      <c r="J783" s="13"/>
      <c r="K783" s="13"/>
    </row>
    <row r="784" spans="1:11" x14ac:dyDescent="0.25">
      <c r="A784" s="10">
        <v>40963</v>
      </c>
      <c r="B784" s="15">
        <f t="shared" si="24"/>
        <v>2</v>
      </c>
      <c r="C784" s="15">
        <f t="shared" si="25"/>
        <v>2012</v>
      </c>
      <c r="D784" s="13">
        <v>6.59</v>
      </c>
      <c r="E784" s="13">
        <v>9.9152668351419653</v>
      </c>
      <c r="F784" s="13"/>
      <c r="G784" s="13"/>
      <c r="H784" s="13">
        <v>-14.55</v>
      </c>
      <c r="I784" s="13">
        <v>12.2</v>
      </c>
      <c r="J784" s="13"/>
      <c r="K784" s="13"/>
    </row>
    <row r="785" spans="1:11" x14ac:dyDescent="0.25">
      <c r="A785" s="10">
        <v>40966</v>
      </c>
      <c r="B785" s="15">
        <f t="shared" si="24"/>
        <v>2</v>
      </c>
      <c r="C785" s="15">
        <f t="shared" si="25"/>
        <v>2012</v>
      </c>
      <c r="D785" s="13">
        <v>-8.41</v>
      </c>
      <c r="E785" s="13">
        <v>8.5155608627509505</v>
      </c>
      <c r="F785" s="13"/>
      <c r="G785" s="13"/>
      <c r="H785" s="13">
        <v>-9.76</v>
      </c>
      <c r="I785" s="13">
        <v>35.15</v>
      </c>
      <c r="J785" s="13"/>
      <c r="K785" s="13"/>
    </row>
    <row r="786" spans="1:11" x14ac:dyDescent="0.25">
      <c r="A786" s="10">
        <v>40967</v>
      </c>
      <c r="B786" s="15">
        <f t="shared" si="24"/>
        <v>2</v>
      </c>
      <c r="C786" s="15">
        <f t="shared" si="25"/>
        <v>2012</v>
      </c>
      <c r="D786" s="13">
        <v>-8.41</v>
      </c>
      <c r="E786" s="13">
        <v>8.4713044769470631</v>
      </c>
      <c r="F786" s="13"/>
      <c r="G786" s="13"/>
      <c r="H786" s="13">
        <v>-9.76</v>
      </c>
      <c r="I786" s="13">
        <v>35.15</v>
      </c>
      <c r="J786" s="13"/>
      <c r="K786" s="13"/>
    </row>
    <row r="787" spans="1:11" x14ac:dyDescent="0.25">
      <c r="A787" s="10">
        <v>40968</v>
      </c>
      <c r="B787" s="15">
        <f t="shared" si="24"/>
        <v>2</v>
      </c>
      <c r="C787" s="15">
        <f t="shared" si="25"/>
        <v>2012</v>
      </c>
      <c r="D787" s="13">
        <v>-8.41</v>
      </c>
      <c r="E787" s="13">
        <v>8.5634944461122782</v>
      </c>
      <c r="F787" s="13"/>
      <c r="G787" s="13"/>
      <c r="H787" s="13">
        <v>-9.76</v>
      </c>
      <c r="I787" s="13">
        <v>35.15</v>
      </c>
      <c r="J787" s="13"/>
      <c r="K787" s="13"/>
    </row>
    <row r="788" spans="1:11" x14ac:dyDescent="0.25">
      <c r="A788" s="10">
        <v>40969</v>
      </c>
      <c r="B788" s="15">
        <f t="shared" si="24"/>
        <v>3</v>
      </c>
      <c r="C788" s="15">
        <f t="shared" si="25"/>
        <v>2012</v>
      </c>
      <c r="D788" s="13">
        <v>-8.41</v>
      </c>
      <c r="E788" s="13">
        <v>8.5718578619187138</v>
      </c>
      <c r="F788" s="13"/>
      <c r="G788" s="13"/>
      <c r="H788" s="13">
        <v>-9.76</v>
      </c>
      <c r="I788" s="13">
        <v>35.15</v>
      </c>
      <c r="J788" s="13"/>
      <c r="K788" s="13"/>
    </row>
    <row r="789" spans="1:11" x14ac:dyDescent="0.25">
      <c r="A789" s="10">
        <v>40970</v>
      </c>
      <c r="B789" s="15">
        <f t="shared" si="24"/>
        <v>3</v>
      </c>
      <c r="C789" s="15">
        <f t="shared" si="25"/>
        <v>2012</v>
      </c>
      <c r="D789" s="13">
        <v>-8.41</v>
      </c>
      <c r="E789" s="13">
        <v>8.6432845996515422</v>
      </c>
      <c r="F789" s="13"/>
      <c r="G789" s="13"/>
      <c r="H789" s="13">
        <v>-9.76</v>
      </c>
      <c r="I789" s="13">
        <v>35.15</v>
      </c>
      <c r="J789" s="13"/>
      <c r="K789" s="13"/>
    </row>
    <row r="790" spans="1:11" x14ac:dyDescent="0.25">
      <c r="A790" s="10">
        <v>40973</v>
      </c>
      <c r="B790" s="15">
        <f t="shared" si="24"/>
        <v>3</v>
      </c>
      <c r="C790" s="15">
        <f t="shared" si="25"/>
        <v>2012</v>
      </c>
      <c r="D790" s="13">
        <v>-3.76</v>
      </c>
      <c r="E790" s="13">
        <v>2.6857315781510058</v>
      </c>
      <c r="F790" s="13"/>
      <c r="G790" s="13"/>
      <c r="H790" s="13">
        <v>-12.8</v>
      </c>
      <c r="I790" s="13">
        <v>32.369999999999997</v>
      </c>
      <c r="J790" s="13"/>
      <c r="K790" s="13"/>
    </row>
    <row r="791" spans="1:11" x14ac:dyDescent="0.25">
      <c r="A791" s="10">
        <v>40974</v>
      </c>
      <c r="B791" s="15">
        <f t="shared" si="24"/>
        <v>3</v>
      </c>
      <c r="C791" s="15">
        <f t="shared" si="25"/>
        <v>2012</v>
      </c>
      <c r="D791" s="13">
        <v>-3.76</v>
      </c>
      <c r="E791" s="13">
        <v>2.7070306542626201</v>
      </c>
      <c r="F791" s="13"/>
      <c r="G791" s="13"/>
      <c r="H791" s="13">
        <v>-12.8</v>
      </c>
      <c r="I791" s="13">
        <v>32.369999999999997</v>
      </c>
      <c r="J791" s="13"/>
      <c r="K791" s="13"/>
    </row>
    <row r="792" spans="1:11" x14ac:dyDescent="0.25">
      <c r="A792" s="10">
        <v>40975</v>
      </c>
      <c r="B792" s="15">
        <f t="shared" si="24"/>
        <v>3</v>
      </c>
      <c r="C792" s="15">
        <f t="shared" si="25"/>
        <v>2012</v>
      </c>
      <c r="D792" s="13">
        <v>-3.76</v>
      </c>
      <c r="E792" s="13">
        <v>2.6998250817552667</v>
      </c>
      <c r="F792" s="13"/>
      <c r="G792" s="13"/>
      <c r="H792" s="13">
        <v>-12.8</v>
      </c>
      <c r="I792" s="13">
        <v>32.369999999999997</v>
      </c>
      <c r="J792" s="13"/>
      <c r="K792" s="13"/>
    </row>
    <row r="793" spans="1:11" x14ac:dyDescent="0.25">
      <c r="A793" s="10">
        <v>40976</v>
      </c>
      <c r="B793" s="15">
        <f t="shared" si="24"/>
        <v>3</v>
      </c>
      <c r="C793" s="15">
        <f t="shared" si="25"/>
        <v>2012</v>
      </c>
      <c r="D793" s="13">
        <v>-3.76</v>
      </c>
      <c r="E793" s="13">
        <v>2.6752072343632252</v>
      </c>
      <c r="F793" s="13"/>
      <c r="G793" s="13"/>
      <c r="H793" s="13">
        <v>-12.8</v>
      </c>
      <c r="I793" s="13">
        <v>32.369999999999997</v>
      </c>
      <c r="J793" s="13"/>
      <c r="K793" s="13"/>
    </row>
    <row r="794" spans="1:11" x14ac:dyDescent="0.25">
      <c r="A794" s="10">
        <v>40977</v>
      </c>
      <c r="B794" s="15">
        <f t="shared" si="24"/>
        <v>3</v>
      </c>
      <c r="C794" s="15">
        <f t="shared" si="25"/>
        <v>2012</v>
      </c>
      <c r="D794" s="13">
        <v>-3.76</v>
      </c>
      <c r="E794" s="13">
        <v>2.7072370929611838</v>
      </c>
      <c r="F794" s="13"/>
      <c r="G794" s="13"/>
      <c r="H794" s="13">
        <v>-12.8</v>
      </c>
      <c r="I794" s="13">
        <v>32.369999999999997</v>
      </c>
      <c r="J794" s="13"/>
      <c r="K794" s="13"/>
    </row>
    <row r="795" spans="1:11" x14ac:dyDescent="0.25">
      <c r="A795" s="10">
        <v>40980</v>
      </c>
      <c r="B795" s="15">
        <f t="shared" si="24"/>
        <v>3</v>
      </c>
      <c r="C795" s="15">
        <f t="shared" si="25"/>
        <v>2012</v>
      </c>
      <c r="D795" s="13">
        <v>-11.92</v>
      </c>
      <c r="E795" s="13">
        <v>23.02136394738843</v>
      </c>
      <c r="F795" s="13"/>
      <c r="G795" s="13"/>
      <c r="H795" s="13">
        <v>-1.86</v>
      </c>
      <c r="I795" s="13">
        <v>40.33</v>
      </c>
      <c r="J795" s="13"/>
      <c r="K795" s="13"/>
    </row>
    <row r="796" spans="1:11" x14ac:dyDescent="0.25">
      <c r="A796" s="10">
        <v>40981</v>
      </c>
      <c r="B796" s="15">
        <f t="shared" si="24"/>
        <v>3</v>
      </c>
      <c r="C796" s="15">
        <f t="shared" si="25"/>
        <v>2012</v>
      </c>
      <c r="D796" s="13">
        <v>-11.92</v>
      </c>
      <c r="E796" s="13">
        <v>23.146307903990216</v>
      </c>
      <c r="F796" s="13"/>
      <c r="G796" s="13"/>
      <c r="H796" s="13">
        <v>-1.86</v>
      </c>
      <c r="I796" s="13">
        <v>40.33</v>
      </c>
      <c r="J796" s="13"/>
      <c r="K796" s="13"/>
    </row>
    <row r="797" spans="1:11" x14ac:dyDescent="0.25">
      <c r="A797" s="10">
        <v>40982</v>
      </c>
      <c r="B797" s="15">
        <f t="shared" si="24"/>
        <v>3</v>
      </c>
      <c r="C797" s="15">
        <f t="shared" si="25"/>
        <v>2012</v>
      </c>
      <c r="D797" s="13">
        <v>-11.92</v>
      </c>
      <c r="E797" s="13">
        <v>23.244031626621634</v>
      </c>
      <c r="F797" s="13"/>
      <c r="G797" s="13"/>
      <c r="H797" s="13">
        <v>-1.86</v>
      </c>
      <c r="I797" s="13">
        <v>40.33</v>
      </c>
      <c r="J797" s="13"/>
      <c r="K797" s="13"/>
    </row>
    <row r="798" spans="1:11" x14ac:dyDescent="0.25">
      <c r="A798" s="10">
        <v>40983</v>
      </c>
      <c r="B798" s="15">
        <f t="shared" si="24"/>
        <v>3</v>
      </c>
      <c r="C798" s="15">
        <f t="shared" si="25"/>
        <v>2012</v>
      </c>
      <c r="D798" s="13">
        <v>-11.92</v>
      </c>
      <c r="E798" s="13">
        <v>23.146307903990216</v>
      </c>
      <c r="F798" s="13"/>
      <c r="G798" s="13"/>
      <c r="H798" s="13">
        <v>-1.86</v>
      </c>
      <c r="I798" s="13">
        <v>40.33</v>
      </c>
      <c r="J798" s="13"/>
      <c r="K798" s="13"/>
    </row>
    <row r="799" spans="1:11" x14ac:dyDescent="0.25">
      <c r="A799" s="10">
        <v>40984</v>
      </c>
      <c r="B799" s="15">
        <f t="shared" si="24"/>
        <v>3</v>
      </c>
      <c r="C799" s="15">
        <f t="shared" si="25"/>
        <v>2012</v>
      </c>
      <c r="D799" s="13">
        <v>-11.92</v>
      </c>
      <c r="E799" s="13">
        <v>22.986411599483795</v>
      </c>
      <c r="F799" s="13"/>
      <c r="G799" s="13"/>
      <c r="H799" s="13">
        <v>-1.86</v>
      </c>
      <c r="I799" s="13">
        <v>40.33</v>
      </c>
      <c r="J799" s="13"/>
      <c r="K799" s="13"/>
    </row>
    <row r="800" spans="1:11" x14ac:dyDescent="0.25">
      <c r="A800" s="10">
        <v>40987</v>
      </c>
      <c r="B800" s="15">
        <f t="shared" si="24"/>
        <v>3</v>
      </c>
      <c r="C800" s="15">
        <f t="shared" si="25"/>
        <v>2012</v>
      </c>
      <c r="D800" s="13">
        <v>1.44</v>
      </c>
      <c r="E800" s="13">
        <v>28.225075528700902</v>
      </c>
      <c r="F800" s="13"/>
      <c r="G800" s="13"/>
      <c r="H800" s="13">
        <v>-10.72</v>
      </c>
      <c r="I800" s="13">
        <v>39.270000000000003</v>
      </c>
      <c r="J800" s="13"/>
      <c r="K800" s="13"/>
    </row>
    <row r="801" spans="1:11" x14ac:dyDescent="0.25">
      <c r="A801" s="10">
        <v>40988</v>
      </c>
      <c r="B801" s="15">
        <f t="shared" si="24"/>
        <v>3</v>
      </c>
      <c r="C801" s="15">
        <f t="shared" si="25"/>
        <v>2012</v>
      </c>
      <c r="D801" s="13">
        <v>1.44</v>
      </c>
      <c r="E801" s="13">
        <v>28.259225650332727</v>
      </c>
      <c r="F801" s="13"/>
      <c r="G801" s="13"/>
      <c r="H801" s="13">
        <v>-10.72</v>
      </c>
      <c r="I801" s="13">
        <v>39.270000000000003</v>
      </c>
      <c r="J801" s="13"/>
      <c r="K801" s="13"/>
    </row>
    <row r="802" spans="1:11" x14ac:dyDescent="0.25">
      <c r="A802" s="10">
        <v>40989</v>
      </c>
      <c r="B802" s="15">
        <f t="shared" si="24"/>
        <v>3</v>
      </c>
      <c r="C802" s="15">
        <f t="shared" si="25"/>
        <v>2012</v>
      </c>
      <c r="D802" s="13">
        <v>1.44</v>
      </c>
      <c r="E802" s="13">
        <v>28.287033532662175</v>
      </c>
      <c r="F802" s="13"/>
      <c r="G802" s="13"/>
      <c r="H802" s="13">
        <v>-10.72</v>
      </c>
      <c r="I802" s="13">
        <v>39.270000000000003</v>
      </c>
      <c r="J802" s="13"/>
      <c r="K802" s="13"/>
    </row>
    <row r="803" spans="1:11" x14ac:dyDescent="0.25">
      <c r="A803" s="10">
        <v>40990</v>
      </c>
      <c r="B803" s="15">
        <f t="shared" si="24"/>
        <v>3</v>
      </c>
      <c r="C803" s="15">
        <f t="shared" si="25"/>
        <v>2012</v>
      </c>
      <c r="D803" s="13">
        <v>1.44</v>
      </c>
      <c r="E803" s="13">
        <v>28.31918763261594</v>
      </c>
      <c r="F803" s="13"/>
      <c r="G803" s="13"/>
      <c r="H803" s="13">
        <v>-10.72</v>
      </c>
      <c r="I803" s="13">
        <v>39.270000000000003</v>
      </c>
      <c r="J803" s="13"/>
      <c r="K803" s="13"/>
    </row>
    <row r="804" spans="1:11" x14ac:dyDescent="0.25">
      <c r="A804" s="10">
        <v>40991</v>
      </c>
      <c r="B804" s="15">
        <f t="shared" si="24"/>
        <v>3</v>
      </c>
      <c r="C804" s="15">
        <f t="shared" si="25"/>
        <v>2012</v>
      </c>
      <c r="D804" s="13">
        <v>1.44</v>
      </c>
      <c r="E804" s="13">
        <v>28.159143998191546</v>
      </c>
      <c r="F804" s="13"/>
      <c r="G804" s="13"/>
      <c r="H804" s="13">
        <v>-10.72</v>
      </c>
      <c r="I804" s="13">
        <v>39.270000000000003</v>
      </c>
      <c r="J804" s="13"/>
      <c r="K804" s="13"/>
    </row>
    <row r="805" spans="1:11" x14ac:dyDescent="0.25">
      <c r="A805" s="10">
        <v>40994</v>
      </c>
      <c r="B805" s="15">
        <f t="shared" si="24"/>
        <v>3</v>
      </c>
      <c r="C805" s="15">
        <f t="shared" si="25"/>
        <v>2012</v>
      </c>
      <c r="D805" s="13">
        <v>15.78</v>
      </c>
      <c r="E805" s="13">
        <v>31.915849367372914</v>
      </c>
      <c r="F805" s="13"/>
      <c r="G805" s="13"/>
      <c r="H805" s="13">
        <v>-22.29</v>
      </c>
      <c r="I805" s="13">
        <v>29.07</v>
      </c>
      <c r="J805" s="13"/>
      <c r="K805" s="13"/>
    </row>
    <row r="806" spans="1:11" x14ac:dyDescent="0.25">
      <c r="A806" s="10">
        <v>40995</v>
      </c>
      <c r="B806" s="15">
        <f t="shared" si="24"/>
        <v>3</v>
      </c>
      <c r="C806" s="15">
        <f t="shared" si="25"/>
        <v>2012</v>
      </c>
      <c r="D806" s="13">
        <v>15.78</v>
      </c>
      <c r="E806" s="13">
        <v>32.011714350078847</v>
      </c>
      <c r="F806" s="13"/>
      <c r="G806" s="13"/>
      <c r="H806" s="13">
        <v>-22.29</v>
      </c>
      <c r="I806" s="13">
        <v>29.07</v>
      </c>
      <c r="J806" s="13"/>
      <c r="K806" s="13"/>
    </row>
    <row r="807" spans="1:11" x14ac:dyDescent="0.25">
      <c r="A807" s="10">
        <v>40996</v>
      </c>
      <c r="B807" s="15">
        <f t="shared" si="24"/>
        <v>3</v>
      </c>
      <c r="C807" s="15">
        <f t="shared" si="25"/>
        <v>2012</v>
      </c>
      <c r="D807" s="13">
        <v>15.78</v>
      </c>
      <c r="E807" s="13">
        <v>32.018927444794954</v>
      </c>
      <c r="F807" s="13"/>
      <c r="G807" s="13"/>
      <c r="H807" s="13">
        <v>-22.29</v>
      </c>
      <c r="I807" s="13">
        <v>29.07</v>
      </c>
      <c r="J807" s="13"/>
      <c r="K807" s="13"/>
    </row>
    <row r="808" spans="1:11" x14ac:dyDescent="0.25">
      <c r="A808" s="10">
        <v>40997</v>
      </c>
      <c r="B808" s="15">
        <f t="shared" si="24"/>
        <v>3</v>
      </c>
      <c r="C808" s="15">
        <f t="shared" si="25"/>
        <v>2012</v>
      </c>
      <c r="D808" s="13">
        <v>15.78</v>
      </c>
      <c r="E808" s="13">
        <v>32.050221787835504</v>
      </c>
      <c r="F808" s="13"/>
      <c r="G808" s="13"/>
      <c r="H808" s="13">
        <v>-22.29</v>
      </c>
      <c r="I808" s="13">
        <v>29.07</v>
      </c>
      <c r="J808" s="13"/>
      <c r="K808" s="13"/>
    </row>
    <row r="809" spans="1:11" x14ac:dyDescent="0.25">
      <c r="A809" s="10">
        <v>40998</v>
      </c>
      <c r="B809" s="15">
        <f t="shared" si="24"/>
        <v>3</v>
      </c>
      <c r="C809" s="15">
        <f t="shared" si="25"/>
        <v>2012</v>
      </c>
      <c r="D809" s="13">
        <v>15.78</v>
      </c>
      <c r="E809" s="13">
        <v>31.949336730870119</v>
      </c>
      <c r="F809" s="13"/>
      <c r="G809" s="13"/>
      <c r="H809" s="13">
        <v>-22.29</v>
      </c>
      <c r="I809" s="13">
        <v>29.07</v>
      </c>
      <c r="J809" s="13"/>
      <c r="K809" s="13"/>
    </row>
    <row r="810" spans="1:11" x14ac:dyDescent="0.25">
      <c r="A810" s="10">
        <v>41001</v>
      </c>
      <c r="B810" s="15">
        <f t="shared" si="24"/>
        <v>4</v>
      </c>
      <c r="C810" s="15">
        <f t="shared" si="25"/>
        <v>2012</v>
      </c>
      <c r="D810" s="13">
        <v>10.220000000000001</v>
      </c>
      <c r="E810" s="13">
        <v>29.915171533668644</v>
      </c>
      <c r="F810" s="13"/>
      <c r="G810" s="13"/>
      <c r="H810" s="13">
        <v>-2.3199999999999998</v>
      </c>
      <c r="I810" s="13">
        <v>36.299999999999997</v>
      </c>
      <c r="J810" s="13"/>
      <c r="K810" s="13"/>
    </row>
    <row r="811" spans="1:11" x14ac:dyDescent="0.25">
      <c r="A811" s="10">
        <v>41002</v>
      </c>
      <c r="B811" s="15">
        <f t="shared" si="24"/>
        <v>4</v>
      </c>
      <c r="C811" s="15">
        <f t="shared" si="25"/>
        <v>2012</v>
      </c>
      <c r="D811" s="13">
        <v>10.220000000000001</v>
      </c>
      <c r="E811" s="13">
        <v>30.114108667724629</v>
      </c>
      <c r="F811" s="13"/>
      <c r="G811" s="13"/>
      <c r="H811" s="13">
        <v>-2.3199999999999998</v>
      </c>
      <c r="I811" s="13">
        <v>36.299999999999997</v>
      </c>
      <c r="J811" s="13"/>
      <c r="K811" s="13"/>
    </row>
    <row r="812" spans="1:11" x14ac:dyDescent="0.25">
      <c r="A812" s="10">
        <v>41003</v>
      </c>
      <c r="B812" s="15">
        <f t="shared" si="24"/>
        <v>4</v>
      </c>
      <c r="C812" s="15">
        <f t="shared" si="25"/>
        <v>2012</v>
      </c>
      <c r="D812" s="13">
        <v>10.220000000000001</v>
      </c>
      <c r="E812" s="13">
        <v>30.324937219389696</v>
      </c>
      <c r="F812" s="13"/>
      <c r="G812" s="13"/>
      <c r="H812" s="13">
        <v>-2.3199999999999998</v>
      </c>
      <c r="I812" s="13">
        <v>36.299999999999997</v>
      </c>
      <c r="J812" s="13"/>
      <c r="K812" s="13"/>
    </row>
    <row r="813" spans="1:11" x14ac:dyDescent="0.25">
      <c r="A813" s="10">
        <v>41004</v>
      </c>
      <c r="B813" s="15">
        <f t="shared" si="24"/>
        <v>4</v>
      </c>
      <c r="C813" s="15">
        <f t="shared" si="25"/>
        <v>2012</v>
      </c>
      <c r="D813" s="13">
        <v>10.220000000000001</v>
      </c>
      <c r="E813" s="13">
        <v>30.506009339355433</v>
      </c>
      <c r="F813" s="13"/>
      <c r="G813" s="13"/>
      <c r="H813" s="13">
        <v>-2.3199999999999998</v>
      </c>
      <c r="I813" s="13">
        <v>36.299999999999997</v>
      </c>
      <c r="J813" s="13"/>
      <c r="K813" s="13"/>
    </row>
    <row r="814" spans="1:11" x14ac:dyDescent="0.25">
      <c r="A814" s="10">
        <v>41008</v>
      </c>
      <c r="B814" s="15">
        <f t="shared" si="24"/>
        <v>4</v>
      </c>
      <c r="C814" s="15">
        <f t="shared" si="25"/>
        <v>2012</v>
      </c>
      <c r="D814" s="13">
        <v>4.63</v>
      </c>
      <c r="E814" s="13">
        <v>29.389312977099234</v>
      </c>
      <c r="F814" s="13"/>
      <c r="G814" s="13"/>
      <c r="H814" s="13">
        <v>-24.51</v>
      </c>
      <c r="I814" s="13">
        <v>13.56</v>
      </c>
      <c r="J814" s="13"/>
      <c r="K814" s="13"/>
    </row>
    <row r="815" spans="1:11" x14ac:dyDescent="0.25">
      <c r="A815" s="10">
        <v>41009</v>
      </c>
      <c r="B815" s="15">
        <f t="shared" si="24"/>
        <v>4</v>
      </c>
      <c r="C815" s="15">
        <f t="shared" si="25"/>
        <v>2012</v>
      </c>
      <c r="D815" s="13">
        <v>4.63</v>
      </c>
      <c r="E815" s="13">
        <v>29.434250764525991</v>
      </c>
      <c r="F815" s="13"/>
      <c r="G815" s="13"/>
      <c r="H815" s="13">
        <v>-24.51</v>
      </c>
      <c r="I815" s="13">
        <v>13.56</v>
      </c>
      <c r="J815" s="13"/>
      <c r="K815" s="13"/>
    </row>
    <row r="816" spans="1:11" x14ac:dyDescent="0.25">
      <c r="A816" s="10">
        <v>41010</v>
      </c>
      <c r="B816" s="15">
        <f t="shared" si="24"/>
        <v>4</v>
      </c>
      <c r="C816" s="15">
        <f t="shared" si="25"/>
        <v>2012</v>
      </c>
      <c r="D816" s="13">
        <v>4.63</v>
      </c>
      <c r="E816" s="13">
        <v>29.369135708292013</v>
      </c>
      <c r="F816" s="13"/>
      <c r="G816" s="13"/>
      <c r="H816" s="13">
        <v>-24.51</v>
      </c>
      <c r="I816" s="13">
        <v>13.56</v>
      </c>
      <c r="J816" s="13"/>
      <c r="K816" s="13"/>
    </row>
    <row r="817" spans="1:11" x14ac:dyDescent="0.25">
      <c r="A817" s="10">
        <v>41011</v>
      </c>
      <c r="B817" s="15">
        <f t="shared" si="24"/>
        <v>4</v>
      </c>
      <c r="C817" s="15">
        <f t="shared" si="25"/>
        <v>2012</v>
      </c>
      <c r="D817" s="13">
        <v>4.63</v>
      </c>
      <c r="E817" s="13">
        <v>29.199848312476298</v>
      </c>
      <c r="F817" s="13"/>
      <c r="G817" s="13"/>
      <c r="H817" s="13">
        <v>-24.51</v>
      </c>
      <c r="I817" s="13">
        <v>13.56</v>
      </c>
      <c r="J817" s="13"/>
      <c r="K817" s="13"/>
    </row>
    <row r="818" spans="1:11" x14ac:dyDescent="0.25">
      <c r="A818" s="10">
        <v>41012</v>
      </c>
      <c r="B818" s="15">
        <f t="shared" si="24"/>
        <v>4</v>
      </c>
      <c r="C818" s="15">
        <f t="shared" si="25"/>
        <v>2012</v>
      </c>
      <c r="D818" s="13">
        <v>4.63</v>
      </c>
      <c r="E818" s="13">
        <v>29.44550669216061</v>
      </c>
      <c r="F818" s="13"/>
      <c r="G818" s="13"/>
      <c r="H818" s="13">
        <v>-24.51</v>
      </c>
      <c r="I818" s="13">
        <v>13.56</v>
      </c>
      <c r="J818" s="13"/>
      <c r="K818" s="13"/>
    </row>
    <row r="819" spans="1:11" x14ac:dyDescent="0.25">
      <c r="A819" s="10">
        <v>41015</v>
      </c>
      <c r="B819" s="15">
        <f t="shared" si="24"/>
        <v>4</v>
      </c>
      <c r="C819" s="15">
        <f t="shared" si="25"/>
        <v>2012</v>
      </c>
      <c r="D819" s="13">
        <v>16.91</v>
      </c>
      <c r="E819" s="13">
        <v>28.147358806515449</v>
      </c>
      <c r="F819" s="13"/>
      <c r="G819" s="13"/>
      <c r="H819" s="13">
        <v>-21.65</v>
      </c>
      <c r="I819" s="13">
        <v>2.46</v>
      </c>
      <c r="J819" s="13"/>
      <c r="K819" s="13"/>
    </row>
    <row r="820" spans="1:11" x14ac:dyDescent="0.25">
      <c r="A820" s="10">
        <v>41016</v>
      </c>
      <c r="B820" s="15">
        <f t="shared" si="24"/>
        <v>4</v>
      </c>
      <c r="C820" s="15">
        <f t="shared" si="25"/>
        <v>2012</v>
      </c>
      <c r="D820" s="13">
        <v>16.91</v>
      </c>
      <c r="E820" s="13">
        <v>28.179532119180063</v>
      </c>
      <c r="F820" s="13"/>
      <c r="G820" s="13"/>
      <c r="H820" s="13">
        <v>-21.65</v>
      </c>
      <c r="I820" s="13">
        <v>2.46</v>
      </c>
      <c r="J820" s="13"/>
      <c r="K820" s="13"/>
    </row>
    <row r="821" spans="1:11" x14ac:dyDescent="0.25">
      <c r="A821" s="10">
        <v>41017</v>
      </c>
      <c r="B821" s="15">
        <f t="shared" si="24"/>
        <v>4</v>
      </c>
      <c r="C821" s="15">
        <f t="shared" si="25"/>
        <v>2012</v>
      </c>
      <c r="D821" s="13">
        <v>16.91</v>
      </c>
      <c r="E821" s="13">
        <v>28.185975609756095</v>
      </c>
      <c r="F821" s="13"/>
      <c r="G821" s="13"/>
      <c r="H821" s="13">
        <v>-21.65</v>
      </c>
      <c r="I821" s="13">
        <v>2.46</v>
      </c>
      <c r="J821" s="13"/>
      <c r="K821" s="13"/>
    </row>
    <row r="822" spans="1:11" x14ac:dyDescent="0.25">
      <c r="A822" s="10">
        <v>41018</v>
      </c>
      <c r="B822" s="15">
        <f t="shared" si="24"/>
        <v>4</v>
      </c>
      <c r="C822" s="15">
        <f t="shared" si="25"/>
        <v>2012</v>
      </c>
      <c r="D822" s="13">
        <v>16.91</v>
      </c>
      <c r="E822" s="13">
        <v>28.155931171006547</v>
      </c>
      <c r="F822" s="13"/>
      <c r="G822" s="13"/>
      <c r="H822" s="13">
        <v>-21.65</v>
      </c>
      <c r="I822" s="13">
        <v>2.46</v>
      </c>
      <c r="J822" s="13"/>
      <c r="K822" s="13"/>
    </row>
    <row r="823" spans="1:11" x14ac:dyDescent="0.25">
      <c r="A823" s="10">
        <v>41019</v>
      </c>
      <c r="B823" s="15">
        <f t="shared" si="24"/>
        <v>4</v>
      </c>
      <c r="C823" s="15">
        <f t="shared" si="25"/>
        <v>2012</v>
      </c>
      <c r="D823" s="13">
        <v>16.91</v>
      </c>
      <c r="E823" s="13">
        <v>27.970652749413809</v>
      </c>
      <c r="F823" s="13"/>
      <c r="G823" s="13"/>
      <c r="H823" s="13">
        <v>-21.65</v>
      </c>
      <c r="I823" s="13">
        <v>2.46</v>
      </c>
      <c r="J823" s="13"/>
      <c r="K823" s="13"/>
    </row>
    <row r="824" spans="1:11" x14ac:dyDescent="0.25">
      <c r="A824" s="10">
        <v>41022</v>
      </c>
      <c r="B824" s="15">
        <f t="shared" si="24"/>
        <v>4</v>
      </c>
      <c r="C824" s="15">
        <f t="shared" si="25"/>
        <v>2012</v>
      </c>
      <c r="D824" s="13">
        <v>14.81</v>
      </c>
      <c r="E824" s="13">
        <v>24.836551619279309</v>
      </c>
      <c r="F824" s="13"/>
      <c r="G824" s="13"/>
      <c r="H824" s="13">
        <v>-27.26</v>
      </c>
      <c r="I824" s="13">
        <v>28.5</v>
      </c>
      <c r="J824" s="13"/>
      <c r="K824" s="13"/>
    </row>
    <row r="825" spans="1:11" x14ac:dyDescent="0.25">
      <c r="A825" s="10">
        <v>41023</v>
      </c>
      <c r="B825" s="15">
        <f t="shared" si="24"/>
        <v>4</v>
      </c>
      <c r="C825" s="15">
        <f t="shared" si="25"/>
        <v>2012</v>
      </c>
      <c r="D825" s="13">
        <v>14.81</v>
      </c>
      <c r="E825" s="13">
        <v>24.761255115961802</v>
      </c>
      <c r="F825" s="13"/>
      <c r="G825" s="13"/>
      <c r="H825" s="13">
        <v>-27.26</v>
      </c>
      <c r="I825" s="13">
        <v>28.5</v>
      </c>
      <c r="J825" s="13"/>
      <c r="K825" s="13"/>
    </row>
    <row r="826" spans="1:11" x14ac:dyDescent="0.25">
      <c r="A826" s="10">
        <v>41024</v>
      </c>
      <c r="B826" s="15">
        <f t="shared" si="24"/>
        <v>4</v>
      </c>
      <c r="C826" s="15">
        <f t="shared" si="25"/>
        <v>2012</v>
      </c>
      <c r="D826" s="13">
        <v>14.81</v>
      </c>
      <c r="E826" s="13">
        <v>24.708818635607322</v>
      </c>
      <c r="F826" s="13"/>
      <c r="G826" s="13"/>
      <c r="H826" s="13">
        <v>-27.26</v>
      </c>
      <c r="I826" s="13">
        <v>28.5</v>
      </c>
      <c r="J826" s="13"/>
      <c r="K826" s="13"/>
    </row>
    <row r="827" spans="1:11" x14ac:dyDescent="0.25">
      <c r="A827" s="10">
        <v>41025</v>
      </c>
      <c r="B827" s="15">
        <f t="shared" si="24"/>
        <v>4</v>
      </c>
      <c r="C827" s="15">
        <f t="shared" si="25"/>
        <v>2012</v>
      </c>
      <c r="D827" s="13">
        <v>14.81</v>
      </c>
      <c r="E827" s="13">
        <v>24.735009085402787</v>
      </c>
      <c r="F827" s="13"/>
      <c r="G827" s="13"/>
      <c r="H827" s="13">
        <v>-27.26</v>
      </c>
      <c r="I827" s="13">
        <v>28.5</v>
      </c>
      <c r="J827" s="13"/>
      <c r="K827" s="13"/>
    </row>
    <row r="828" spans="1:11" x14ac:dyDescent="0.25">
      <c r="A828" s="10">
        <v>41026</v>
      </c>
      <c r="B828" s="15">
        <f t="shared" si="24"/>
        <v>4</v>
      </c>
      <c r="C828" s="15">
        <f t="shared" si="25"/>
        <v>2012</v>
      </c>
      <c r="D828" s="13">
        <v>14.81</v>
      </c>
      <c r="E828" s="13">
        <v>24.652882583760945</v>
      </c>
      <c r="F828" s="13"/>
      <c r="G828" s="13"/>
      <c r="H828" s="13">
        <v>-27.26</v>
      </c>
      <c r="I828" s="13">
        <v>28.5</v>
      </c>
      <c r="J828" s="13"/>
      <c r="K828" s="13"/>
    </row>
    <row r="829" spans="1:11" x14ac:dyDescent="0.25">
      <c r="A829" s="10">
        <v>41029</v>
      </c>
      <c r="B829" s="15">
        <f t="shared" si="24"/>
        <v>4</v>
      </c>
      <c r="C829" s="15">
        <f t="shared" si="25"/>
        <v>2012</v>
      </c>
      <c r="D829" s="13">
        <v>14.34</v>
      </c>
      <c r="E829" s="13">
        <v>18.315709969788518</v>
      </c>
      <c r="F829" s="13"/>
      <c r="G829" s="13"/>
      <c r="H829" s="13">
        <v>-20.6</v>
      </c>
      <c r="I829" s="13">
        <v>29.45</v>
      </c>
      <c r="J829" s="13"/>
      <c r="K829" s="13"/>
    </row>
    <row r="830" spans="1:11" x14ac:dyDescent="0.25">
      <c r="A830" s="10">
        <v>41030</v>
      </c>
      <c r="B830" s="15">
        <f t="shared" si="24"/>
        <v>5</v>
      </c>
      <c r="C830" s="15">
        <f t="shared" si="25"/>
        <v>2012</v>
      </c>
      <c r="D830" s="13">
        <v>14.34</v>
      </c>
      <c r="E830" s="13">
        <v>18.3212450891508</v>
      </c>
      <c r="F830" s="13"/>
      <c r="G830" s="13"/>
      <c r="H830" s="13">
        <v>-20.6</v>
      </c>
      <c r="I830" s="13">
        <v>29.45</v>
      </c>
      <c r="J830" s="13"/>
      <c r="K830" s="13"/>
    </row>
    <row r="831" spans="1:11" x14ac:dyDescent="0.25">
      <c r="A831" s="10">
        <v>41031</v>
      </c>
      <c r="B831" s="15">
        <f t="shared" si="24"/>
        <v>5</v>
      </c>
      <c r="C831" s="15">
        <f t="shared" si="25"/>
        <v>2012</v>
      </c>
      <c r="D831" s="13">
        <v>14.34</v>
      </c>
      <c r="E831" s="13">
        <v>18.434055492208287</v>
      </c>
      <c r="F831" s="13"/>
      <c r="G831" s="13"/>
      <c r="H831" s="13">
        <v>-20.6</v>
      </c>
      <c r="I831" s="13">
        <v>29.45</v>
      </c>
      <c r="J831" s="13"/>
      <c r="K831" s="13"/>
    </row>
    <row r="832" spans="1:11" x14ac:dyDescent="0.25">
      <c r="A832" s="10">
        <v>41032</v>
      </c>
      <c r="B832" s="15">
        <f t="shared" si="24"/>
        <v>5</v>
      </c>
      <c r="C832" s="15">
        <f t="shared" si="25"/>
        <v>2012</v>
      </c>
      <c r="D832" s="13">
        <v>14.34</v>
      </c>
      <c r="E832" s="13">
        <v>18.441064638783271</v>
      </c>
      <c r="F832" s="13"/>
      <c r="G832" s="13"/>
      <c r="H832" s="13">
        <v>-20.6</v>
      </c>
      <c r="I832" s="13">
        <v>29.45</v>
      </c>
      <c r="J832" s="13"/>
      <c r="K832" s="13"/>
    </row>
    <row r="833" spans="1:11" x14ac:dyDescent="0.25">
      <c r="A833" s="10">
        <v>41033</v>
      </c>
      <c r="B833" s="15">
        <f t="shared" si="24"/>
        <v>5</v>
      </c>
      <c r="C833" s="15">
        <f t="shared" si="25"/>
        <v>2012</v>
      </c>
      <c r="D833" s="13">
        <v>14.34</v>
      </c>
      <c r="E833" s="13">
        <v>18.536920960097845</v>
      </c>
      <c r="F833" s="13"/>
      <c r="G833" s="13"/>
      <c r="H833" s="13">
        <v>-20.6</v>
      </c>
      <c r="I833" s="13">
        <v>29.45</v>
      </c>
      <c r="J833" s="13"/>
      <c r="K833" s="13"/>
    </row>
    <row r="834" spans="1:11" x14ac:dyDescent="0.25">
      <c r="A834" s="10">
        <v>41036</v>
      </c>
      <c r="B834" s="15">
        <f t="shared" si="24"/>
        <v>5</v>
      </c>
      <c r="C834" s="15">
        <f t="shared" si="25"/>
        <v>2012</v>
      </c>
      <c r="D834" s="13">
        <v>4.88</v>
      </c>
      <c r="E834" s="13">
        <v>19.238430891817348</v>
      </c>
      <c r="F834" s="13"/>
      <c r="G834" s="13"/>
      <c r="H834" s="13">
        <v>-19.37</v>
      </c>
      <c r="I834" s="13">
        <v>21.32</v>
      </c>
      <c r="J834" s="13"/>
      <c r="K834" s="13"/>
    </row>
    <row r="835" spans="1:11" x14ac:dyDescent="0.25">
      <c r="A835" s="10">
        <v>41037</v>
      </c>
      <c r="B835" s="15">
        <f t="shared" ref="B835:B898" si="26">MONTH(A835)</f>
        <v>5</v>
      </c>
      <c r="C835" s="15">
        <f t="shared" ref="C835:C898" si="27">YEAR(A835)</f>
        <v>2012</v>
      </c>
      <c r="D835" s="13">
        <v>4.88</v>
      </c>
      <c r="E835" s="13">
        <v>19.312413474850022</v>
      </c>
      <c r="F835" s="13"/>
      <c r="G835" s="13"/>
      <c r="H835" s="13">
        <v>-19.37</v>
      </c>
      <c r="I835" s="13">
        <v>21.32</v>
      </c>
      <c r="J835" s="13"/>
      <c r="K835" s="13"/>
    </row>
    <row r="836" spans="1:11" x14ac:dyDescent="0.25">
      <c r="A836" s="10">
        <v>41038</v>
      </c>
      <c r="B836" s="15">
        <f t="shared" si="26"/>
        <v>5</v>
      </c>
      <c r="C836" s="15">
        <f t="shared" si="27"/>
        <v>2012</v>
      </c>
      <c r="D836" s="13">
        <v>4.88</v>
      </c>
      <c r="E836" s="13">
        <v>19.416950201051655</v>
      </c>
      <c r="F836" s="13"/>
      <c r="G836" s="13"/>
      <c r="H836" s="13">
        <v>-19.37</v>
      </c>
      <c r="I836" s="13">
        <v>21.32</v>
      </c>
      <c r="J836" s="13"/>
      <c r="K836" s="13"/>
    </row>
    <row r="837" spans="1:11" x14ac:dyDescent="0.25">
      <c r="A837" s="10">
        <v>41039</v>
      </c>
      <c r="B837" s="15">
        <f t="shared" si="26"/>
        <v>5</v>
      </c>
      <c r="C837" s="15">
        <f t="shared" si="27"/>
        <v>2012</v>
      </c>
      <c r="D837" s="13">
        <v>4.88</v>
      </c>
      <c r="E837" s="13">
        <v>19.412446849632776</v>
      </c>
      <c r="F837" s="13"/>
      <c r="G837" s="13"/>
      <c r="H837" s="13">
        <v>-19.37</v>
      </c>
      <c r="I837" s="13">
        <v>21.32</v>
      </c>
      <c r="J837" s="13"/>
      <c r="K837" s="13"/>
    </row>
    <row r="838" spans="1:11" x14ac:dyDescent="0.25">
      <c r="A838" s="10">
        <v>41040</v>
      </c>
      <c r="B838" s="15">
        <f t="shared" si="26"/>
        <v>5</v>
      </c>
      <c r="C838" s="15">
        <f t="shared" si="27"/>
        <v>2012</v>
      </c>
      <c r="D838" s="13">
        <v>4.88</v>
      </c>
      <c r="E838" s="13">
        <v>19.442508710801391</v>
      </c>
      <c r="F838" s="13"/>
      <c r="G838" s="13"/>
      <c r="H838" s="13">
        <v>-19.37</v>
      </c>
      <c r="I838" s="13">
        <v>21.32</v>
      </c>
      <c r="J838" s="13"/>
      <c r="K838" s="13"/>
    </row>
    <row r="839" spans="1:11" x14ac:dyDescent="0.25">
      <c r="A839" s="10">
        <v>41043</v>
      </c>
      <c r="B839" s="15">
        <f t="shared" si="26"/>
        <v>5</v>
      </c>
      <c r="C839" s="15">
        <f t="shared" si="27"/>
        <v>2012</v>
      </c>
      <c r="D839" s="13">
        <v>13.55</v>
      </c>
      <c r="E839" s="13">
        <v>29.637426900584796</v>
      </c>
      <c r="F839" s="13"/>
      <c r="G839" s="13"/>
      <c r="H839" s="13">
        <v>-22.08</v>
      </c>
      <c r="I839" s="13">
        <v>43.45</v>
      </c>
      <c r="J839" s="13"/>
      <c r="K839" s="13"/>
    </row>
    <row r="840" spans="1:11" x14ac:dyDescent="0.25">
      <c r="A840" s="10">
        <v>41044</v>
      </c>
      <c r="B840" s="15">
        <f t="shared" si="26"/>
        <v>5</v>
      </c>
      <c r="C840" s="15">
        <f t="shared" si="27"/>
        <v>2012</v>
      </c>
      <c r="D840" s="13">
        <v>13.55</v>
      </c>
      <c r="E840" s="13">
        <v>29.858601728201101</v>
      </c>
      <c r="F840" s="13"/>
      <c r="G840" s="13"/>
      <c r="H840" s="13">
        <v>-22.08</v>
      </c>
      <c r="I840" s="13">
        <v>43.45</v>
      </c>
      <c r="J840" s="13"/>
      <c r="K840" s="13"/>
    </row>
    <row r="841" spans="1:11" x14ac:dyDescent="0.25">
      <c r="A841" s="10">
        <v>41045</v>
      </c>
      <c r="B841" s="15">
        <f t="shared" si="26"/>
        <v>5</v>
      </c>
      <c r="C841" s="15">
        <f t="shared" si="27"/>
        <v>2012</v>
      </c>
      <c r="D841" s="13">
        <v>13.55</v>
      </c>
      <c r="E841" s="13">
        <v>29.893826189539912</v>
      </c>
      <c r="F841" s="13"/>
      <c r="G841" s="13"/>
      <c r="H841" s="13">
        <v>-22.08</v>
      </c>
      <c r="I841" s="13">
        <v>43.45</v>
      </c>
      <c r="J841" s="13"/>
      <c r="K841" s="13"/>
    </row>
    <row r="842" spans="1:11" x14ac:dyDescent="0.25">
      <c r="A842" s="10">
        <v>41046</v>
      </c>
      <c r="B842" s="15">
        <f t="shared" si="26"/>
        <v>5</v>
      </c>
      <c r="C842" s="15">
        <f t="shared" si="27"/>
        <v>2012</v>
      </c>
      <c r="D842" s="13">
        <v>13.55</v>
      </c>
      <c r="E842" s="13">
        <v>29.945639328763882</v>
      </c>
      <c r="F842" s="13"/>
      <c r="G842" s="13"/>
      <c r="H842" s="13">
        <v>-22.08</v>
      </c>
      <c r="I842" s="13">
        <v>43.45</v>
      </c>
      <c r="J842" s="13"/>
      <c r="K842" s="13"/>
    </row>
    <row r="843" spans="1:11" x14ac:dyDescent="0.25">
      <c r="A843" s="10">
        <v>41047</v>
      </c>
      <c r="B843" s="15">
        <f t="shared" si="26"/>
        <v>5</v>
      </c>
      <c r="C843" s="15">
        <f t="shared" si="27"/>
        <v>2012</v>
      </c>
      <c r="D843" s="13">
        <v>13.55</v>
      </c>
      <c r="E843" s="13">
        <v>29.737130339539977</v>
      </c>
      <c r="F843" s="13"/>
      <c r="G843" s="13"/>
      <c r="H843" s="13">
        <v>-22.08</v>
      </c>
      <c r="I843" s="13">
        <v>43.45</v>
      </c>
      <c r="J843" s="13"/>
      <c r="K843" s="13"/>
    </row>
    <row r="844" spans="1:11" x14ac:dyDescent="0.25">
      <c r="A844" s="10">
        <v>41050</v>
      </c>
      <c r="B844" s="15">
        <f t="shared" si="26"/>
        <v>5</v>
      </c>
      <c r="C844" s="15">
        <f t="shared" si="27"/>
        <v>2012</v>
      </c>
      <c r="D844" s="13">
        <v>31.7</v>
      </c>
      <c r="E844" s="13">
        <v>35.950671245707156</v>
      </c>
      <c r="F844" s="13"/>
      <c r="G844" s="13"/>
      <c r="H844" s="13">
        <v>-16.53</v>
      </c>
      <c r="I844" s="13">
        <v>53.04</v>
      </c>
      <c r="J844" s="13"/>
      <c r="K844" s="13"/>
    </row>
    <row r="845" spans="1:11" x14ac:dyDescent="0.25">
      <c r="A845" s="10">
        <v>41051</v>
      </c>
      <c r="B845" s="15">
        <f t="shared" si="26"/>
        <v>5</v>
      </c>
      <c r="C845" s="15">
        <f t="shared" si="27"/>
        <v>2012</v>
      </c>
      <c r="D845" s="13">
        <v>31.7</v>
      </c>
      <c r="E845" s="13">
        <v>36.319192556379122</v>
      </c>
      <c r="F845" s="13"/>
      <c r="G845" s="13"/>
      <c r="H845" s="13">
        <v>-16.53</v>
      </c>
      <c r="I845" s="13">
        <v>53.04</v>
      </c>
      <c r="J845" s="13"/>
      <c r="K845" s="13"/>
    </row>
    <row r="846" spans="1:11" x14ac:dyDescent="0.25">
      <c r="A846" s="10">
        <v>41052</v>
      </c>
      <c r="B846" s="15">
        <f t="shared" si="26"/>
        <v>5</v>
      </c>
      <c r="C846" s="15">
        <f t="shared" si="27"/>
        <v>2012</v>
      </c>
      <c r="D846" s="13">
        <v>31.7</v>
      </c>
      <c r="E846" s="13">
        <v>36.60203432930706</v>
      </c>
      <c r="F846" s="13"/>
      <c r="G846" s="13"/>
      <c r="H846" s="13">
        <v>-16.53</v>
      </c>
      <c r="I846" s="13">
        <v>53.04</v>
      </c>
      <c r="J846" s="13"/>
      <c r="K846" s="13"/>
    </row>
    <row r="847" spans="1:11" x14ac:dyDescent="0.25">
      <c r="A847" s="10">
        <v>41053</v>
      </c>
      <c r="B847" s="15">
        <f t="shared" si="26"/>
        <v>5</v>
      </c>
      <c r="C847" s="15">
        <f t="shared" si="27"/>
        <v>2012</v>
      </c>
      <c r="D847" s="13">
        <v>31.7</v>
      </c>
      <c r="E847" s="13">
        <v>36.745113681691265</v>
      </c>
      <c r="F847" s="13"/>
      <c r="G847" s="13"/>
      <c r="H847" s="13">
        <v>-16.53</v>
      </c>
      <c r="I847" s="13">
        <v>53.04</v>
      </c>
      <c r="J847" s="13"/>
      <c r="K847" s="13"/>
    </row>
    <row r="848" spans="1:11" x14ac:dyDescent="0.25">
      <c r="A848" s="10">
        <v>41054</v>
      </c>
      <c r="B848" s="15">
        <f t="shared" si="26"/>
        <v>5</v>
      </c>
      <c r="C848" s="15">
        <f t="shared" si="27"/>
        <v>2012</v>
      </c>
      <c r="D848" s="13">
        <v>31.7</v>
      </c>
      <c r="E848" s="13">
        <v>36.803835397522974</v>
      </c>
      <c r="F848" s="13"/>
      <c r="G848" s="13"/>
      <c r="H848" s="13">
        <v>-16.53</v>
      </c>
      <c r="I848" s="13">
        <v>53.04</v>
      </c>
      <c r="J848" s="13"/>
      <c r="K848" s="13"/>
    </row>
    <row r="849" spans="1:11" x14ac:dyDescent="0.25">
      <c r="A849" s="10">
        <v>41058</v>
      </c>
      <c r="B849" s="15">
        <f t="shared" si="26"/>
        <v>5</v>
      </c>
      <c r="C849" s="15">
        <f t="shared" si="27"/>
        <v>2012</v>
      </c>
      <c r="D849" s="13">
        <v>9.64</v>
      </c>
      <c r="E849" s="13">
        <v>40.69302176696543</v>
      </c>
      <c r="F849" s="13"/>
      <c r="G849" s="13"/>
      <c r="H849" s="13">
        <v>-9.73</v>
      </c>
      <c r="I849" s="13">
        <v>45.89</v>
      </c>
      <c r="J849" s="13"/>
      <c r="K849" s="13"/>
    </row>
    <row r="850" spans="1:11" x14ac:dyDescent="0.25">
      <c r="A850" s="10">
        <v>41059</v>
      </c>
      <c r="B850" s="15">
        <f t="shared" si="26"/>
        <v>5</v>
      </c>
      <c r="C850" s="15">
        <f t="shared" si="27"/>
        <v>2012</v>
      </c>
      <c r="D850" s="13">
        <v>9.64</v>
      </c>
      <c r="E850" s="13">
        <v>41.107518189167337</v>
      </c>
      <c r="F850" s="13"/>
      <c r="G850" s="13"/>
      <c r="H850" s="13">
        <v>-9.73</v>
      </c>
      <c r="I850" s="13">
        <v>45.89</v>
      </c>
      <c r="J850" s="13"/>
      <c r="K850" s="13"/>
    </row>
    <row r="851" spans="1:11" x14ac:dyDescent="0.25">
      <c r="A851" s="10">
        <v>41060</v>
      </c>
      <c r="B851" s="15">
        <f t="shared" si="26"/>
        <v>5</v>
      </c>
      <c r="C851" s="15">
        <f t="shared" si="27"/>
        <v>2012</v>
      </c>
      <c r="D851" s="13">
        <v>9.64</v>
      </c>
      <c r="E851" s="13">
        <v>41.154095176432506</v>
      </c>
      <c r="F851" s="13"/>
      <c r="G851" s="13"/>
      <c r="H851" s="13">
        <v>-9.73</v>
      </c>
      <c r="I851" s="13">
        <v>45.89</v>
      </c>
      <c r="J851" s="13"/>
      <c r="K851" s="13"/>
    </row>
    <row r="852" spans="1:11" x14ac:dyDescent="0.25">
      <c r="A852" s="10">
        <v>41061</v>
      </c>
      <c r="B852" s="15">
        <f t="shared" si="26"/>
        <v>6</v>
      </c>
      <c r="C852" s="15">
        <f t="shared" si="27"/>
        <v>2012</v>
      </c>
      <c r="D852" s="13">
        <v>9.64</v>
      </c>
      <c r="E852" s="13">
        <v>40.90250965250965</v>
      </c>
      <c r="F852" s="13"/>
      <c r="G852" s="13"/>
      <c r="H852" s="13">
        <v>-9.73</v>
      </c>
      <c r="I852" s="13">
        <v>45.89</v>
      </c>
      <c r="J852" s="13"/>
      <c r="K852" s="13"/>
    </row>
    <row r="853" spans="1:11" x14ac:dyDescent="0.25">
      <c r="A853" s="10">
        <v>41064</v>
      </c>
      <c r="B853" s="15">
        <f t="shared" si="26"/>
        <v>6</v>
      </c>
      <c r="C853" s="15">
        <f t="shared" si="27"/>
        <v>2012</v>
      </c>
      <c r="D853" s="13">
        <v>16.649999999999999</v>
      </c>
      <c r="E853" s="13">
        <v>46.250500200080026</v>
      </c>
      <c r="F853" s="13"/>
      <c r="G853" s="13"/>
      <c r="H853" s="13">
        <v>-6.45</v>
      </c>
      <c r="I853" s="13">
        <v>51.77</v>
      </c>
      <c r="J853" s="13"/>
      <c r="K853" s="13"/>
    </row>
    <row r="854" spans="1:11" x14ac:dyDescent="0.25">
      <c r="A854" s="10">
        <v>41065</v>
      </c>
      <c r="B854" s="15">
        <f t="shared" si="26"/>
        <v>6</v>
      </c>
      <c r="C854" s="15">
        <f t="shared" si="27"/>
        <v>2012</v>
      </c>
      <c r="D854" s="13">
        <v>16.649999999999999</v>
      </c>
      <c r="E854" s="13">
        <v>46.406488396370349</v>
      </c>
      <c r="F854" s="13"/>
      <c r="G854" s="13"/>
      <c r="H854" s="13">
        <v>-6.45</v>
      </c>
      <c r="I854" s="13">
        <v>51.77</v>
      </c>
      <c r="J854" s="13"/>
      <c r="K854" s="13"/>
    </row>
    <row r="855" spans="1:11" x14ac:dyDescent="0.25">
      <c r="A855" s="10">
        <v>41066</v>
      </c>
      <c r="B855" s="15">
        <f t="shared" si="26"/>
        <v>6</v>
      </c>
      <c r="C855" s="15">
        <f t="shared" si="27"/>
        <v>2012</v>
      </c>
      <c r="D855" s="13">
        <v>16.649999999999999</v>
      </c>
      <c r="E855" s="13">
        <v>45.970885371092194</v>
      </c>
      <c r="F855" s="13"/>
      <c r="G855" s="13"/>
      <c r="H855" s="13">
        <v>-6.45</v>
      </c>
      <c r="I855" s="13">
        <v>51.77</v>
      </c>
      <c r="J855" s="13"/>
      <c r="K855" s="13"/>
    </row>
    <row r="856" spans="1:11" x14ac:dyDescent="0.25">
      <c r="A856" s="10">
        <v>41067</v>
      </c>
      <c r="B856" s="15">
        <f t="shared" si="26"/>
        <v>6</v>
      </c>
      <c r="C856" s="15">
        <f t="shared" si="27"/>
        <v>2012</v>
      </c>
      <c r="D856" s="13">
        <v>16.649999999999999</v>
      </c>
      <c r="E856" s="13">
        <v>46.011146496815286</v>
      </c>
      <c r="F856" s="13"/>
      <c r="G856" s="13"/>
      <c r="H856" s="13">
        <v>-6.45</v>
      </c>
      <c r="I856" s="13">
        <v>51.77</v>
      </c>
      <c r="J856" s="13"/>
      <c r="K856" s="13"/>
    </row>
    <row r="857" spans="1:11" x14ac:dyDescent="0.25">
      <c r="A857" s="10">
        <v>41068</v>
      </c>
      <c r="B857" s="15">
        <f t="shared" si="26"/>
        <v>6</v>
      </c>
      <c r="C857" s="15">
        <f t="shared" si="27"/>
        <v>2012</v>
      </c>
      <c r="D857" s="13">
        <v>16.649999999999999</v>
      </c>
      <c r="E857" s="13">
        <v>46.172898689677211</v>
      </c>
      <c r="F857" s="13"/>
      <c r="G857" s="13"/>
      <c r="H857" s="13">
        <v>-6.45</v>
      </c>
      <c r="I857" s="13">
        <v>51.77</v>
      </c>
      <c r="J857" s="13"/>
      <c r="K857" s="13"/>
    </row>
    <row r="858" spans="1:11" x14ac:dyDescent="0.25">
      <c r="A858" s="10">
        <v>41071</v>
      </c>
      <c r="B858" s="15">
        <f t="shared" si="26"/>
        <v>6</v>
      </c>
      <c r="C858" s="15">
        <f t="shared" si="27"/>
        <v>2012</v>
      </c>
      <c r="D858" s="13">
        <v>12.9</v>
      </c>
      <c r="E858" s="13">
        <v>28.553106212424847</v>
      </c>
      <c r="F858" s="13"/>
      <c r="G858" s="13"/>
      <c r="H858" s="13">
        <v>-13.99</v>
      </c>
      <c r="I858" s="13">
        <v>66.67</v>
      </c>
      <c r="J858" s="13"/>
      <c r="K858" s="13"/>
    </row>
    <row r="859" spans="1:11" x14ac:dyDescent="0.25">
      <c r="A859" s="10">
        <v>41072</v>
      </c>
      <c r="B859" s="15">
        <f t="shared" si="26"/>
        <v>6</v>
      </c>
      <c r="C859" s="15">
        <f t="shared" si="27"/>
        <v>2012</v>
      </c>
      <c r="D859" s="13">
        <v>12.9</v>
      </c>
      <c r="E859" s="13">
        <v>28.46867007672634</v>
      </c>
      <c r="F859" s="13"/>
      <c r="G859" s="13"/>
      <c r="H859" s="13">
        <v>-13.99</v>
      </c>
      <c r="I859" s="13">
        <v>66.67</v>
      </c>
      <c r="J859" s="13"/>
      <c r="K859" s="13"/>
    </row>
    <row r="860" spans="1:11" x14ac:dyDescent="0.25">
      <c r="A860" s="10">
        <v>41073</v>
      </c>
      <c r="B860" s="15">
        <f t="shared" si="26"/>
        <v>6</v>
      </c>
      <c r="C860" s="15">
        <f t="shared" si="27"/>
        <v>2012</v>
      </c>
      <c r="D860" s="13">
        <v>12.9</v>
      </c>
      <c r="E860" s="13">
        <v>28.371166865790517</v>
      </c>
      <c r="F860" s="13"/>
      <c r="G860" s="13"/>
      <c r="H860" s="13">
        <v>-13.99</v>
      </c>
      <c r="I860" s="13">
        <v>66.67</v>
      </c>
      <c r="J860" s="13"/>
      <c r="K860" s="13"/>
    </row>
    <row r="861" spans="1:11" x14ac:dyDescent="0.25">
      <c r="A861" s="10">
        <v>41074</v>
      </c>
      <c r="B861" s="15">
        <f t="shared" si="26"/>
        <v>6</v>
      </c>
      <c r="C861" s="15">
        <f t="shared" si="27"/>
        <v>2012</v>
      </c>
      <c r="D861" s="13">
        <v>12.9</v>
      </c>
      <c r="E861" s="13">
        <v>28.202692003167062</v>
      </c>
      <c r="F861" s="13"/>
      <c r="G861" s="13"/>
      <c r="H861" s="13">
        <v>-13.99</v>
      </c>
      <c r="I861" s="13">
        <v>66.67</v>
      </c>
      <c r="J861" s="13"/>
      <c r="K861" s="13"/>
    </row>
    <row r="862" spans="1:11" x14ac:dyDescent="0.25">
      <c r="A862" s="10">
        <v>41075</v>
      </c>
      <c r="B862" s="15">
        <f t="shared" si="26"/>
        <v>6</v>
      </c>
      <c r="C862" s="15">
        <f t="shared" si="27"/>
        <v>2012</v>
      </c>
      <c r="D862" s="13">
        <v>12.9</v>
      </c>
      <c r="E862" s="13">
        <v>28.18930041152263</v>
      </c>
      <c r="F862" s="13"/>
      <c r="G862" s="13"/>
      <c r="H862" s="13">
        <v>-13.99</v>
      </c>
      <c r="I862" s="13">
        <v>66.67</v>
      </c>
      <c r="J862" s="13"/>
      <c r="K862" s="13"/>
    </row>
    <row r="863" spans="1:11" x14ac:dyDescent="0.25">
      <c r="A863" s="10">
        <v>41078</v>
      </c>
      <c r="B863" s="15">
        <f t="shared" si="26"/>
        <v>6</v>
      </c>
      <c r="C863" s="15">
        <f t="shared" si="27"/>
        <v>2012</v>
      </c>
      <c r="D863" s="13">
        <v>28.78</v>
      </c>
      <c r="E863" s="13">
        <v>47.443339960238561</v>
      </c>
      <c r="F863" s="13"/>
      <c r="G863" s="13"/>
      <c r="H863" s="13">
        <v>8.3699999999999992</v>
      </c>
      <c r="I863" s="13">
        <v>70.09</v>
      </c>
      <c r="J863" s="13"/>
      <c r="K863" s="13"/>
    </row>
    <row r="864" spans="1:11" x14ac:dyDescent="0.25">
      <c r="A864" s="10">
        <v>41079</v>
      </c>
      <c r="B864" s="15">
        <f t="shared" si="26"/>
        <v>6</v>
      </c>
      <c r="C864" s="15">
        <f t="shared" si="27"/>
        <v>2012</v>
      </c>
      <c r="D864" s="13">
        <v>28.78</v>
      </c>
      <c r="E864" s="13">
        <v>47.024513281311577</v>
      </c>
      <c r="F864" s="13"/>
      <c r="G864" s="13"/>
      <c r="H864" s="13">
        <v>8.3699999999999992</v>
      </c>
      <c r="I864" s="13">
        <v>70.09</v>
      </c>
      <c r="J864" s="13"/>
      <c r="K864" s="13"/>
    </row>
    <row r="865" spans="1:11" x14ac:dyDescent="0.25">
      <c r="A865" s="10">
        <v>41080</v>
      </c>
      <c r="B865" s="15">
        <f t="shared" si="26"/>
        <v>6</v>
      </c>
      <c r="C865" s="15">
        <f t="shared" si="27"/>
        <v>2012</v>
      </c>
      <c r="D865" s="13">
        <v>28.78</v>
      </c>
      <c r="E865" s="13">
        <v>46.961586901763219</v>
      </c>
      <c r="F865" s="13"/>
      <c r="G865" s="13"/>
      <c r="H865" s="13">
        <v>8.3699999999999992</v>
      </c>
      <c r="I865" s="13">
        <v>70.09</v>
      </c>
      <c r="J865" s="13"/>
      <c r="K865" s="13"/>
    </row>
    <row r="866" spans="1:11" x14ac:dyDescent="0.25">
      <c r="A866" s="10">
        <v>41081</v>
      </c>
      <c r="B866" s="15">
        <f t="shared" si="26"/>
        <v>6</v>
      </c>
      <c r="C866" s="15">
        <f t="shared" si="27"/>
        <v>2012</v>
      </c>
      <c r="D866" s="13">
        <v>28.78</v>
      </c>
      <c r="E866" s="13">
        <v>47.571963958217047</v>
      </c>
      <c r="F866" s="13"/>
      <c r="G866" s="13"/>
      <c r="H866" s="13">
        <v>8.3699999999999992</v>
      </c>
      <c r="I866" s="13">
        <v>70.09</v>
      </c>
      <c r="J866" s="13"/>
      <c r="K866" s="13"/>
    </row>
    <row r="867" spans="1:11" x14ac:dyDescent="0.25">
      <c r="A867" s="10">
        <v>41082</v>
      </c>
      <c r="B867" s="15">
        <f t="shared" si="26"/>
        <v>6</v>
      </c>
      <c r="C867" s="15">
        <f t="shared" si="27"/>
        <v>2012</v>
      </c>
      <c r="D867" s="13">
        <v>28.78</v>
      </c>
      <c r="E867" s="13">
        <v>47.46976448122215</v>
      </c>
      <c r="F867" s="13"/>
      <c r="G867" s="13"/>
      <c r="H867" s="13">
        <v>8.3699999999999992</v>
      </c>
      <c r="I867" s="13">
        <v>70.09</v>
      </c>
      <c r="J867" s="13"/>
      <c r="K867" s="13"/>
    </row>
    <row r="868" spans="1:11" x14ac:dyDescent="0.25">
      <c r="A868" s="10">
        <v>41085</v>
      </c>
      <c r="B868" s="15">
        <f t="shared" si="26"/>
        <v>6</v>
      </c>
      <c r="C868" s="15">
        <f t="shared" si="27"/>
        <v>2012</v>
      </c>
      <c r="D868" s="13">
        <v>28.09</v>
      </c>
      <c r="E868" s="13">
        <v>38.566743981444453</v>
      </c>
      <c r="F868" s="13"/>
      <c r="G868" s="13"/>
      <c r="H868" s="13">
        <v>-8.8800000000000008</v>
      </c>
      <c r="I868" s="13">
        <v>62.66</v>
      </c>
      <c r="J868" s="13"/>
      <c r="K868" s="13"/>
    </row>
    <row r="869" spans="1:11" x14ac:dyDescent="0.25">
      <c r="A869" s="10">
        <v>41086</v>
      </c>
      <c r="B869" s="15">
        <f t="shared" si="26"/>
        <v>6</v>
      </c>
      <c r="C869" s="15">
        <f t="shared" si="27"/>
        <v>2012</v>
      </c>
      <c r="D869" s="13">
        <v>28.09</v>
      </c>
      <c r="E869" s="13">
        <v>38.609976779566018</v>
      </c>
      <c r="F869" s="13"/>
      <c r="G869" s="13"/>
      <c r="H869" s="13">
        <v>-8.8800000000000008</v>
      </c>
      <c r="I869" s="13">
        <v>62.66</v>
      </c>
      <c r="J869" s="13"/>
      <c r="K869" s="13"/>
    </row>
    <row r="870" spans="1:11" x14ac:dyDescent="0.25">
      <c r="A870" s="10">
        <v>41087</v>
      </c>
      <c r="B870" s="15">
        <f t="shared" si="26"/>
        <v>6</v>
      </c>
      <c r="C870" s="15">
        <f t="shared" si="27"/>
        <v>2012</v>
      </c>
      <c r="D870" s="13">
        <v>28.09</v>
      </c>
      <c r="E870" s="13">
        <v>38.671906327692682</v>
      </c>
      <c r="F870" s="13"/>
      <c r="G870" s="13"/>
      <c r="H870" s="13">
        <v>-8.8800000000000008</v>
      </c>
      <c r="I870" s="13">
        <v>62.66</v>
      </c>
      <c r="J870" s="13"/>
      <c r="K870" s="13"/>
    </row>
    <row r="871" spans="1:11" x14ac:dyDescent="0.25">
      <c r="A871" s="10">
        <v>41088</v>
      </c>
      <c r="B871" s="15">
        <f t="shared" si="26"/>
        <v>6</v>
      </c>
      <c r="C871" s="15">
        <f t="shared" si="27"/>
        <v>2012</v>
      </c>
      <c r="D871" s="13">
        <v>28.09</v>
      </c>
      <c r="E871" s="13">
        <v>38.768290721981025</v>
      </c>
      <c r="F871" s="13"/>
      <c r="G871" s="13"/>
      <c r="H871" s="13">
        <v>-8.8800000000000008</v>
      </c>
      <c r="I871" s="13">
        <v>62.66</v>
      </c>
      <c r="J871" s="13"/>
      <c r="K871" s="13"/>
    </row>
    <row r="872" spans="1:11" x14ac:dyDescent="0.25">
      <c r="A872" s="10">
        <v>41089</v>
      </c>
      <c r="B872" s="15">
        <f t="shared" si="26"/>
        <v>6</v>
      </c>
      <c r="C872" s="15">
        <f t="shared" si="27"/>
        <v>2012</v>
      </c>
      <c r="D872" s="13">
        <v>28.09</v>
      </c>
      <c r="E872" s="13">
        <v>38.094485700742609</v>
      </c>
      <c r="F872" s="13"/>
      <c r="G872" s="13"/>
      <c r="H872" s="13">
        <v>-8.8800000000000008</v>
      </c>
      <c r="I872" s="13">
        <v>62.66</v>
      </c>
      <c r="J872" s="13"/>
      <c r="K872" s="13"/>
    </row>
    <row r="873" spans="1:11" x14ac:dyDescent="0.25">
      <c r="A873" s="10">
        <v>41092</v>
      </c>
      <c r="B873" s="15">
        <f t="shared" si="26"/>
        <v>7</v>
      </c>
      <c r="C873" s="15">
        <f t="shared" si="27"/>
        <v>2012</v>
      </c>
      <c r="D873" s="13">
        <v>15.34</v>
      </c>
      <c r="E873" s="13">
        <v>47.580452920143031</v>
      </c>
      <c r="F873" s="13"/>
      <c r="G873" s="13"/>
      <c r="H873" s="13">
        <v>1.25</v>
      </c>
      <c r="I873" s="13">
        <v>69.459999999999994</v>
      </c>
      <c r="J873" s="13"/>
      <c r="K873" s="13"/>
    </row>
    <row r="874" spans="1:11" x14ac:dyDescent="0.25">
      <c r="A874" s="10">
        <v>41093</v>
      </c>
      <c r="B874" s="15">
        <f t="shared" si="26"/>
        <v>7</v>
      </c>
      <c r="C874" s="15">
        <f t="shared" si="27"/>
        <v>2012</v>
      </c>
      <c r="D874" s="13">
        <v>15.34</v>
      </c>
      <c r="E874" s="13">
        <v>47.50495834986117</v>
      </c>
      <c r="F874" s="13"/>
      <c r="G874" s="13"/>
      <c r="H874" s="13">
        <v>1.25</v>
      </c>
      <c r="I874" s="13">
        <v>69.459999999999994</v>
      </c>
      <c r="J874" s="13"/>
      <c r="K874" s="13"/>
    </row>
    <row r="875" spans="1:11" x14ac:dyDescent="0.25">
      <c r="A875" s="10">
        <v>41095</v>
      </c>
      <c r="B875" s="15">
        <f t="shared" si="26"/>
        <v>7</v>
      </c>
      <c r="C875" s="15">
        <f t="shared" si="27"/>
        <v>2012</v>
      </c>
      <c r="D875" s="13">
        <v>15.34</v>
      </c>
      <c r="E875" s="13">
        <v>48.321497740477724</v>
      </c>
      <c r="F875" s="13"/>
      <c r="G875" s="13"/>
      <c r="H875" s="13">
        <v>1.25</v>
      </c>
      <c r="I875" s="13">
        <v>69.459999999999994</v>
      </c>
      <c r="J875" s="13"/>
      <c r="K875" s="13"/>
    </row>
    <row r="876" spans="1:11" x14ac:dyDescent="0.25">
      <c r="A876" s="10">
        <v>41096</v>
      </c>
      <c r="B876" s="15">
        <f t="shared" si="26"/>
        <v>7</v>
      </c>
      <c r="C876" s="15">
        <f t="shared" si="27"/>
        <v>2012</v>
      </c>
      <c r="D876" s="13">
        <v>15.34</v>
      </c>
      <c r="E876" s="13">
        <v>48.73443476845447</v>
      </c>
      <c r="F876" s="13"/>
      <c r="G876" s="13"/>
      <c r="H876" s="13">
        <v>1.25</v>
      </c>
      <c r="I876" s="13">
        <v>69.459999999999994</v>
      </c>
      <c r="J876" s="13"/>
      <c r="K876" s="13"/>
    </row>
    <row r="877" spans="1:11" x14ac:dyDescent="0.25">
      <c r="A877" s="10">
        <v>41099</v>
      </c>
      <c r="B877" s="15">
        <f t="shared" si="26"/>
        <v>7</v>
      </c>
      <c r="C877" s="15">
        <f t="shared" si="27"/>
        <v>2012</v>
      </c>
      <c r="D877" s="13">
        <v>19.38</v>
      </c>
      <c r="E877" s="13">
        <v>27.48011040753369</v>
      </c>
      <c r="F877" s="13"/>
      <c r="G877" s="13"/>
      <c r="H877" s="13">
        <v>-13.35</v>
      </c>
      <c r="I877" s="13">
        <v>36.72</v>
      </c>
      <c r="J877" s="13"/>
      <c r="K877" s="13"/>
    </row>
    <row r="878" spans="1:11" x14ac:dyDescent="0.25">
      <c r="A878" s="10">
        <v>41100</v>
      </c>
      <c r="B878" s="15">
        <f t="shared" si="26"/>
        <v>7</v>
      </c>
      <c r="C878" s="15">
        <f t="shared" si="27"/>
        <v>2012</v>
      </c>
      <c r="D878" s="13">
        <v>19.38</v>
      </c>
      <c r="E878" s="13">
        <v>27.634908972160993</v>
      </c>
      <c r="F878" s="13"/>
      <c r="G878" s="13"/>
      <c r="H878" s="13">
        <v>-13.35</v>
      </c>
      <c r="I878" s="13">
        <v>36.72</v>
      </c>
      <c r="J878" s="13"/>
      <c r="K878" s="13"/>
    </row>
    <row r="879" spans="1:11" x14ac:dyDescent="0.25">
      <c r="A879" s="10">
        <v>41101</v>
      </c>
      <c r="B879" s="15">
        <f t="shared" si="26"/>
        <v>7</v>
      </c>
      <c r="C879" s="15">
        <f t="shared" si="27"/>
        <v>2012</v>
      </c>
      <c r="D879" s="13">
        <v>19.38</v>
      </c>
      <c r="E879" s="13">
        <v>27.662008662253822</v>
      </c>
      <c r="F879" s="13"/>
      <c r="G879" s="13"/>
      <c r="H879" s="13">
        <v>-13.35</v>
      </c>
      <c r="I879" s="13">
        <v>36.72</v>
      </c>
      <c r="J879" s="13"/>
      <c r="K879" s="13"/>
    </row>
    <row r="880" spans="1:11" x14ac:dyDescent="0.25">
      <c r="A880" s="10">
        <v>41102</v>
      </c>
      <c r="B880" s="15">
        <f t="shared" si="26"/>
        <v>7</v>
      </c>
      <c r="C880" s="15">
        <f t="shared" si="27"/>
        <v>2012</v>
      </c>
      <c r="D880" s="13">
        <v>19.38</v>
      </c>
      <c r="E880" s="13">
        <v>27.755001639881929</v>
      </c>
      <c r="F880" s="13"/>
      <c r="G880" s="13"/>
      <c r="H880" s="13">
        <v>-13.35</v>
      </c>
      <c r="I880" s="13">
        <v>36.72</v>
      </c>
      <c r="J880" s="13"/>
      <c r="K880" s="13"/>
    </row>
    <row r="881" spans="1:11" x14ac:dyDescent="0.25">
      <c r="A881" s="10">
        <v>41103</v>
      </c>
      <c r="B881" s="15">
        <f t="shared" si="26"/>
        <v>7</v>
      </c>
      <c r="C881" s="15">
        <f t="shared" si="27"/>
        <v>2012</v>
      </c>
      <c r="D881" s="13">
        <v>19.38</v>
      </c>
      <c r="E881" s="13">
        <v>27.632653061224488</v>
      </c>
      <c r="F881" s="13"/>
      <c r="G881" s="13"/>
      <c r="H881" s="13">
        <v>-13.35</v>
      </c>
      <c r="I881" s="13">
        <v>36.72</v>
      </c>
      <c r="J881" s="13"/>
      <c r="K881" s="13"/>
    </row>
    <row r="882" spans="1:11" x14ac:dyDescent="0.25">
      <c r="A882" s="10">
        <v>41106</v>
      </c>
      <c r="B882" s="15">
        <f t="shared" si="26"/>
        <v>7</v>
      </c>
      <c r="C882" s="15">
        <f t="shared" si="27"/>
        <v>2012</v>
      </c>
      <c r="D882" s="13">
        <v>27.8</v>
      </c>
      <c r="E882" s="13">
        <v>37.565189048239894</v>
      </c>
      <c r="F882" s="13"/>
      <c r="G882" s="13"/>
      <c r="H882" s="13">
        <v>-1.72</v>
      </c>
      <c r="I882" s="13">
        <v>69.84</v>
      </c>
      <c r="J882" s="13"/>
      <c r="K882" s="13"/>
    </row>
    <row r="883" spans="1:11" x14ac:dyDescent="0.25">
      <c r="A883" s="10">
        <v>41107</v>
      </c>
      <c r="B883" s="15">
        <f t="shared" si="26"/>
        <v>7</v>
      </c>
      <c r="C883" s="15">
        <f t="shared" si="27"/>
        <v>2012</v>
      </c>
      <c r="D883" s="13">
        <v>27.8</v>
      </c>
      <c r="E883" s="13">
        <v>37.501016838851378</v>
      </c>
      <c r="F883" s="13"/>
      <c r="G883" s="13"/>
      <c r="H883" s="13">
        <v>-1.72</v>
      </c>
      <c r="I883" s="13">
        <v>69.84</v>
      </c>
      <c r="J883" s="13"/>
      <c r="K883" s="13"/>
    </row>
    <row r="884" spans="1:11" x14ac:dyDescent="0.25">
      <c r="A884" s="10">
        <v>41108</v>
      </c>
      <c r="B884" s="15">
        <f t="shared" si="26"/>
        <v>7</v>
      </c>
      <c r="C884" s="15">
        <f t="shared" si="27"/>
        <v>2012</v>
      </c>
      <c r="D884" s="13">
        <v>27.8</v>
      </c>
      <c r="E884" s="13">
        <v>37.531547667507944</v>
      </c>
      <c r="F884" s="13"/>
      <c r="G884" s="13"/>
      <c r="H884" s="13">
        <v>-1.72</v>
      </c>
      <c r="I884" s="13">
        <v>69.84</v>
      </c>
      <c r="J884" s="13"/>
      <c r="K884" s="13"/>
    </row>
    <row r="885" spans="1:11" x14ac:dyDescent="0.25">
      <c r="A885" s="10">
        <v>41109</v>
      </c>
      <c r="B885" s="15">
        <f t="shared" si="26"/>
        <v>7</v>
      </c>
      <c r="C885" s="15">
        <f t="shared" si="27"/>
        <v>2012</v>
      </c>
      <c r="D885" s="13">
        <v>27.8</v>
      </c>
      <c r="E885" s="13">
        <v>37.543773922957897</v>
      </c>
      <c r="F885" s="13"/>
      <c r="G885" s="13"/>
      <c r="H885" s="13">
        <v>-1.72</v>
      </c>
      <c r="I885" s="13">
        <v>69.84</v>
      </c>
      <c r="J885" s="13"/>
      <c r="K885" s="13"/>
    </row>
    <row r="886" spans="1:11" x14ac:dyDescent="0.25">
      <c r="A886" s="10">
        <v>41110</v>
      </c>
      <c r="B886" s="15">
        <f t="shared" si="26"/>
        <v>7</v>
      </c>
      <c r="C886" s="15">
        <f t="shared" si="27"/>
        <v>2012</v>
      </c>
      <c r="D886" s="13">
        <v>27.8</v>
      </c>
      <c r="E886" s="13">
        <v>37.923659098387631</v>
      </c>
      <c r="F886" s="13"/>
      <c r="G886" s="13"/>
      <c r="H886" s="13">
        <v>-1.72</v>
      </c>
      <c r="I886" s="13">
        <v>69.84</v>
      </c>
      <c r="J886" s="13"/>
      <c r="K886" s="13"/>
    </row>
    <row r="887" spans="1:11" x14ac:dyDescent="0.25">
      <c r="A887" s="10">
        <v>41113</v>
      </c>
      <c r="B887" s="15">
        <f t="shared" si="26"/>
        <v>7</v>
      </c>
      <c r="C887" s="15">
        <f t="shared" si="27"/>
        <v>2012</v>
      </c>
      <c r="D887" s="13">
        <v>12.31</v>
      </c>
      <c r="E887" s="13">
        <v>66.435529139838209</v>
      </c>
      <c r="F887" s="13"/>
      <c r="G887" s="13"/>
      <c r="H887" s="13">
        <v>-20.52</v>
      </c>
      <c r="I887" s="13">
        <v>43.51</v>
      </c>
      <c r="J887" s="13"/>
      <c r="K887" s="13"/>
    </row>
    <row r="888" spans="1:11" x14ac:dyDescent="0.25">
      <c r="A888" s="10">
        <v>41114</v>
      </c>
      <c r="B888" s="15">
        <f t="shared" si="26"/>
        <v>7</v>
      </c>
      <c r="C888" s="15">
        <f t="shared" si="27"/>
        <v>2012</v>
      </c>
      <c r="D888" s="13">
        <v>12.31</v>
      </c>
      <c r="E888" s="13">
        <v>66.738535533626347</v>
      </c>
      <c r="F888" s="13"/>
      <c r="G888" s="13"/>
      <c r="H888" s="13">
        <v>-20.52</v>
      </c>
      <c r="I888" s="13">
        <v>43.51</v>
      </c>
      <c r="J888" s="13"/>
      <c r="K888" s="13"/>
    </row>
    <row r="889" spans="1:11" x14ac:dyDescent="0.25">
      <c r="A889" s="10">
        <v>41115</v>
      </c>
      <c r="B889" s="15">
        <f t="shared" si="26"/>
        <v>7</v>
      </c>
      <c r="C889" s="15">
        <f t="shared" si="27"/>
        <v>2012</v>
      </c>
      <c r="D889" s="13">
        <v>12.31</v>
      </c>
      <c r="E889" s="13">
        <v>66.205988812109254</v>
      </c>
      <c r="F889" s="13"/>
      <c r="G889" s="13"/>
      <c r="H889" s="13">
        <v>-20.52</v>
      </c>
      <c r="I889" s="13">
        <v>43.51</v>
      </c>
      <c r="J889" s="13"/>
      <c r="K889" s="13"/>
    </row>
    <row r="890" spans="1:11" x14ac:dyDescent="0.25">
      <c r="A890" s="10">
        <v>41116</v>
      </c>
      <c r="B890" s="15">
        <f t="shared" si="26"/>
        <v>7</v>
      </c>
      <c r="C890" s="15">
        <f t="shared" si="27"/>
        <v>2012</v>
      </c>
      <c r="D890" s="13">
        <v>12.31</v>
      </c>
      <c r="E890" s="13">
        <v>65.532122791303649</v>
      </c>
      <c r="F890" s="13"/>
      <c r="G890" s="13"/>
      <c r="H890" s="13">
        <v>-20.52</v>
      </c>
      <c r="I890" s="13">
        <v>43.51</v>
      </c>
      <c r="J890" s="13"/>
      <c r="K890" s="13"/>
    </row>
    <row r="891" spans="1:11" x14ac:dyDescent="0.25">
      <c r="A891" s="10">
        <v>41117</v>
      </c>
      <c r="B891" s="15">
        <f t="shared" si="26"/>
        <v>7</v>
      </c>
      <c r="C891" s="15">
        <f t="shared" si="27"/>
        <v>2012</v>
      </c>
      <c r="D891" s="13">
        <v>12.31</v>
      </c>
      <c r="E891" s="13">
        <v>65.34058618170009</v>
      </c>
      <c r="F891" s="13"/>
      <c r="G891" s="13"/>
      <c r="H891" s="13">
        <v>-20.52</v>
      </c>
      <c r="I891" s="13">
        <v>43.51</v>
      </c>
      <c r="J891" s="13"/>
      <c r="K891" s="13"/>
    </row>
    <row r="892" spans="1:11" x14ac:dyDescent="0.25">
      <c r="A892" s="10">
        <v>41120</v>
      </c>
      <c r="B892" s="15">
        <f t="shared" si="26"/>
        <v>7</v>
      </c>
      <c r="C892" s="15">
        <f t="shared" si="27"/>
        <v>2012</v>
      </c>
      <c r="D892" s="13">
        <v>7.34</v>
      </c>
      <c r="E892" s="13">
        <v>48.580750407830344</v>
      </c>
      <c r="F892" s="13"/>
      <c r="G892" s="13"/>
      <c r="H892" s="13">
        <v>41.89</v>
      </c>
      <c r="I892" s="13">
        <v>45.2</v>
      </c>
      <c r="J892" s="13"/>
      <c r="K892" s="13"/>
    </row>
    <row r="893" spans="1:11" x14ac:dyDescent="0.25">
      <c r="A893" s="10">
        <v>41121</v>
      </c>
      <c r="B893" s="15">
        <f t="shared" si="26"/>
        <v>7</v>
      </c>
      <c r="C893" s="15">
        <f t="shared" si="27"/>
        <v>2012</v>
      </c>
      <c r="D893" s="13">
        <v>7.34</v>
      </c>
      <c r="E893" s="13">
        <v>48.410956677233202</v>
      </c>
      <c r="F893" s="13"/>
      <c r="G893" s="13"/>
      <c r="H893" s="13">
        <v>41.89</v>
      </c>
      <c r="I893" s="13">
        <v>45.2</v>
      </c>
      <c r="J893" s="13"/>
      <c r="K893" s="13"/>
    </row>
    <row r="894" spans="1:11" x14ac:dyDescent="0.25">
      <c r="A894" s="10">
        <v>41122</v>
      </c>
      <c r="B894" s="15">
        <f t="shared" si="26"/>
        <v>8</v>
      </c>
      <c r="C894" s="15">
        <f t="shared" si="27"/>
        <v>2012</v>
      </c>
      <c r="D894" s="13">
        <v>7.34</v>
      </c>
      <c r="E894" s="13">
        <v>48.723821989528801</v>
      </c>
      <c r="F894" s="13"/>
      <c r="G894" s="13"/>
      <c r="H894" s="13">
        <v>41.89</v>
      </c>
      <c r="I894" s="13">
        <v>45.2</v>
      </c>
      <c r="J894" s="13"/>
      <c r="K894" s="13"/>
    </row>
    <row r="895" spans="1:11" x14ac:dyDescent="0.25">
      <c r="A895" s="10">
        <v>41123</v>
      </c>
      <c r="B895" s="15">
        <f t="shared" si="26"/>
        <v>8</v>
      </c>
      <c r="C895" s="15">
        <f t="shared" si="27"/>
        <v>2012</v>
      </c>
      <c r="D895" s="13">
        <v>7.34</v>
      </c>
      <c r="E895" s="13">
        <v>48.899835796387521</v>
      </c>
      <c r="F895" s="13"/>
      <c r="G895" s="13"/>
      <c r="H895" s="13">
        <v>41.89</v>
      </c>
      <c r="I895" s="13">
        <v>45.2</v>
      </c>
      <c r="J895" s="13"/>
      <c r="K895" s="13"/>
    </row>
    <row r="896" spans="1:11" x14ac:dyDescent="0.25">
      <c r="A896" s="10">
        <v>41124</v>
      </c>
      <c r="B896" s="15">
        <f t="shared" si="26"/>
        <v>8</v>
      </c>
      <c r="C896" s="15">
        <f t="shared" si="27"/>
        <v>2012</v>
      </c>
      <c r="D896" s="13">
        <v>7.34</v>
      </c>
      <c r="E896" s="13">
        <v>48.0904319741623</v>
      </c>
      <c r="F896" s="13"/>
      <c r="G896" s="13"/>
      <c r="H896" s="13">
        <v>41.89</v>
      </c>
      <c r="I896" s="13">
        <v>45.2</v>
      </c>
      <c r="J896" s="13"/>
      <c r="K896" s="13"/>
    </row>
    <row r="897" spans="1:11" x14ac:dyDescent="0.25">
      <c r="A897" s="10">
        <v>41127</v>
      </c>
      <c r="B897" s="15">
        <f t="shared" si="26"/>
        <v>8</v>
      </c>
      <c r="C897" s="15">
        <f t="shared" si="27"/>
        <v>2012</v>
      </c>
      <c r="D897" s="13">
        <v>1.06</v>
      </c>
      <c r="E897" s="13">
        <v>61.725806451612911</v>
      </c>
      <c r="F897" s="13"/>
      <c r="G897" s="13"/>
      <c r="H897" s="13">
        <v>51.64</v>
      </c>
      <c r="I897" s="13">
        <v>58.51</v>
      </c>
      <c r="J897" s="13"/>
      <c r="K897" s="13"/>
    </row>
    <row r="898" spans="1:11" x14ac:dyDescent="0.25">
      <c r="A898" s="10">
        <v>41128</v>
      </c>
      <c r="B898" s="15">
        <f t="shared" si="26"/>
        <v>8</v>
      </c>
      <c r="C898" s="15">
        <f t="shared" si="27"/>
        <v>2012</v>
      </c>
      <c r="D898" s="13">
        <v>1.06</v>
      </c>
      <c r="E898" s="13">
        <v>61.725806451612911</v>
      </c>
      <c r="F898" s="13"/>
      <c r="G898" s="13"/>
      <c r="H898" s="13">
        <v>51.64</v>
      </c>
      <c r="I898" s="13">
        <v>58.51</v>
      </c>
      <c r="J898" s="13"/>
      <c r="K898" s="13"/>
    </row>
    <row r="899" spans="1:11" x14ac:dyDescent="0.25">
      <c r="A899" s="10">
        <v>41129</v>
      </c>
      <c r="B899" s="15">
        <f t="shared" ref="B899:B962" si="28">MONTH(A899)</f>
        <v>8</v>
      </c>
      <c r="C899" s="15">
        <f t="shared" ref="C899:C962" si="29">YEAR(A899)</f>
        <v>2012</v>
      </c>
      <c r="D899" s="13">
        <v>1.06</v>
      </c>
      <c r="E899" s="13">
        <v>61.905532190229707</v>
      </c>
      <c r="F899" s="13"/>
      <c r="G899" s="13"/>
      <c r="H899" s="13">
        <v>51.64</v>
      </c>
      <c r="I899" s="13">
        <v>58.51</v>
      </c>
      <c r="J899" s="13"/>
      <c r="K899" s="13"/>
    </row>
    <row r="900" spans="1:11" x14ac:dyDescent="0.25">
      <c r="A900" s="10">
        <v>41130</v>
      </c>
      <c r="B900" s="15">
        <f t="shared" si="28"/>
        <v>8</v>
      </c>
      <c r="C900" s="15">
        <f t="shared" si="29"/>
        <v>2012</v>
      </c>
      <c r="D900" s="13">
        <v>1.06</v>
      </c>
      <c r="E900" s="13">
        <v>62.202356765542469</v>
      </c>
      <c r="F900" s="13"/>
      <c r="G900" s="13"/>
      <c r="H900" s="13">
        <v>51.64</v>
      </c>
      <c r="I900" s="13">
        <v>58.51</v>
      </c>
      <c r="J900" s="13"/>
      <c r="K900" s="13"/>
    </row>
    <row r="901" spans="1:11" x14ac:dyDescent="0.25">
      <c r="A901" s="10">
        <v>41131</v>
      </c>
      <c r="B901" s="15">
        <f t="shared" si="28"/>
        <v>8</v>
      </c>
      <c r="C901" s="15">
        <f t="shared" si="29"/>
        <v>2012</v>
      </c>
      <c r="D901" s="13">
        <v>1.06</v>
      </c>
      <c r="E901" s="13">
        <v>62.283342826918386</v>
      </c>
      <c r="F901" s="13"/>
      <c r="G901" s="13"/>
      <c r="H901" s="13">
        <v>51.64</v>
      </c>
      <c r="I901" s="13">
        <v>58.51</v>
      </c>
      <c r="J901" s="13"/>
      <c r="K901" s="13"/>
    </row>
    <row r="902" spans="1:11" x14ac:dyDescent="0.25">
      <c r="A902" s="10">
        <v>41134</v>
      </c>
      <c r="B902" s="15">
        <f t="shared" si="28"/>
        <v>8</v>
      </c>
      <c r="C902" s="15">
        <f t="shared" si="29"/>
        <v>2012</v>
      </c>
      <c r="D902" s="13">
        <v>-2.0099999999999998</v>
      </c>
      <c r="E902" s="13">
        <v>20.703916957262184</v>
      </c>
      <c r="F902" s="13"/>
      <c r="G902" s="13"/>
      <c r="H902" s="13">
        <v>55.36</v>
      </c>
      <c r="I902" s="13">
        <v>74.77</v>
      </c>
      <c r="J902" s="13"/>
      <c r="K902" s="13"/>
    </row>
    <row r="903" spans="1:11" x14ac:dyDescent="0.25">
      <c r="A903" s="10">
        <v>41135</v>
      </c>
      <c r="B903" s="15">
        <f t="shared" si="28"/>
        <v>8</v>
      </c>
      <c r="C903" s="15">
        <f t="shared" si="29"/>
        <v>2012</v>
      </c>
      <c r="D903" s="13">
        <v>-2.0099999999999998</v>
      </c>
      <c r="E903" s="13">
        <v>20.72072072072072</v>
      </c>
      <c r="F903" s="13"/>
      <c r="G903" s="13"/>
      <c r="H903" s="13">
        <v>55.36</v>
      </c>
      <c r="I903" s="13">
        <v>74.77</v>
      </c>
      <c r="J903" s="13"/>
      <c r="K903" s="13"/>
    </row>
    <row r="904" spans="1:11" x14ac:dyDescent="0.25">
      <c r="A904" s="10">
        <v>41136</v>
      </c>
      <c r="B904" s="15">
        <f t="shared" si="28"/>
        <v>8</v>
      </c>
      <c r="C904" s="15">
        <f t="shared" si="29"/>
        <v>2012</v>
      </c>
      <c r="D904" s="13">
        <v>-2.0099999999999998</v>
      </c>
      <c r="E904" s="13">
        <v>20.776367187500004</v>
      </c>
      <c r="F904" s="13"/>
      <c r="G904" s="13"/>
      <c r="H904" s="13">
        <v>55.36</v>
      </c>
      <c r="I904" s="13">
        <v>74.77</v>
      </c>
      <c r="J904" s="13"/>
      <c r="K904" s="13"/>
    </row>
    <row r="905" spans="1:11" x14ac:dyDescent="0.25">
      <c r="A905" s="10">
        <v>41137</v>
      </c>
      <c r="B905" s="15">
        <f t="shared" si="28"/>
        <v>8</v>
      </c>
      <c r="C905" s="15">
        <f t="shared" si="29"/>
        <v>2012</v>
      </c>
      <c r="D905" s="13">
        <v>-2.0099999999999998</v>
      </c>
      <c r="E905" s="13">
        <v>20.665371539582321</v>
      </c>
      <c r="F905" s="13"/>
      <c r="G905" s="13"/>
      <c r="H905" s="13">
        <v>55.36</v>
      </c>
      <c r="I905" s="13">
        <v>74.77</v>
      </c>
      <c r="J905" s="13"/>
      <c r="K905" s="13"/>
    </row>
    <row r="906" spans="1:11" x14ac:dyDescent="0.25">
      <c r="A906" s="10">
        <v>41138</v>
      </c>
      <c r="B906" s="15">
        <f t="shared" si="28"/>
        <v>8</v>
      </c>
      <c r="C906" s="15">
        <f t="shared" si="29"/>
        <v>2012</v>
      </c>
      <c r="D906" s="13">
        <v>-2.0099999999999998</v>
      </c>
      <c r="E906" s="13">
        <v>20.700559474580395</v>
      </c>
      <c r="F906" s="13"/>
      <c r="G906" s="13"/>
      <c r="H906" s="13">
        <v>55.36</v>
      </c>
      <c r="I906" s="13">
        <v>74.77</v>
      </c>
      <c r="J906" s="13"/>
      <c r="K906" s="13"/>
    </row>
    <row r="907" spans="1:11" x14ac:dyDescent="0.25">
      <c r="A907" s="10">
        <v>41141</v>
      </c>
      <c r="B907" s="15">
        <f t="shared" si="28"/>
        <v>8</v>
      </c>
      <c r="C907" s="15">
        <f t="shared" si="29"/>
        <v>2012</v>
      </c>
      <c r="D907" s="13">
        <v>-8.57</v>
      </c>
      <c r="E907" s="13">
        <v>3.265008506845986</v>
      </c>
      <c r="F907" s="13"/>
      <c r="G907" s="13"/>
      <c r="H907" s="13">
        <v>46.39</v>
      </c>
      <c r="I907" s="13">
        <v>88.78</v>
      </c>
      <c r="J907" s="13"/>
      <c r="K907" s="13"/>
    </row>
    <row r="908" spans="1:11" x14ac:dyDescent="0.25">
      <c r="A908" s="10">
        <v>41142</v>
      </c>
      <c r="B908" s="15">
        <f t="shared" si="28"/>
        <v>8</v>
      </c>
      <c r="C908" s="15">
        <f t="shared" si="29"/>
        <v>2012</v>
      </c>
      <c r="D908" s="13">
        <v>-8.57</v>
      </c>
      <c r="E908" s="13">
        <v>3.2317562149157979</v>
      </c>
      <c r="F908" s="13"/>
      <c r="G908" s="13"/>
      <c r="H908" s="13">
        <v>46.39</v>
      </c>
      <c r="I908" s="13">
        <v>88.78</v>
      </c>
      <c r="J908" s="13"/>
      <c r="K908" s="13"/>
    </row>
    <row r="909" spans="1:11" x14ac:dyDescent="0.25">
      <c r="A909" s="10">
        <v>41143</v>
      </c>
      <c r="B909" s="15">
        <f t="shared" si="28"/>
        <v>8</v>
      </c>
      <c r="C909" s="15">
        <f t="shared" si="29"/>
        <v>2012</v>
      </c>
      <c r="D909" s="13">
        <v>-8.57</v>
      </c>
      <c r="E909" s="13">
        <v>3.2173079993613287</v>
      </c>
      <c r="F909" s="13"/>
      <c r="G909" s="13"/>
      <c r="H909" s="13">
        <v>46.39</v>
      </c>
      <c r="I909" s="13">
        <v>88.78</v>
      </c>
      <c r="J909" s="13"/>
      <c r="K909" s="13"/>
    </row>
    <row r="910" spans="1:11" x14ac:dyDescent="0.25">
      <c r="A910" s="10">
        <v>41144</v>
      </c>
      <c r="B910" s="15">
        <f t="shared" si="28"/>
        <v>8</v>
      </c>
      <c r="C910" s="15">
        <f t="shared" si="29"/>
        <v>2012</v>
      </c>
      <c r="D910" s="13">
        <v>-8.57</v>
      </c>
      <c r="E910" s="13">
        <v>3.2080878840948897</v>
      </c>
      <c r="F910" s="13"/>
      <c r="G910" s="13"/>
      <c r="H910" s="13">
        <v>46.39</v>
      </c>
      <c r="I910" s="13">
        <v>88.78</v>
      </c>
      <c r="J910" s="13"/>
      <c r="K910" s="13"/>
    </row>
    <row r="911" spans="1:11" x14ac:dyDescent="0.25">
      <c r="A911" s="10">
        <v>41145</v>
      </c>
      <c r="B911" s="15">
        <f t="shared" si="28"/>
        <v>8</v>
      </c>
      <c r="C911" s="15">
        <f t="shared" si="29"/>
        <v>2012</v>
      </c>
      <c r="D911" s="13">
        <v>-8.57</v>
      </c>
      <c r="E911" s="13">
        <v>3.2211653744704658</v>
      </c>
      <c r="F911" s="13"/>
      <c r="G911" s="13"/>
      <c r="H911" s="13">
        <v>46.39</v>
      </c>
      <c r="I911" s="13">
        <v>88.78</v>
      </c>
      <c r="J911" s="13"/>
      <c r="K911" s="13"/>
    </row>
    <row r="912" spans="1:11" x14ac:dyDescent="0.25">
      <c r="A912" s="10">
        <v>41148</v>
      </c>
      <c r="B912" s="15">
        <f t="shared" si="28"/>
        <v>8</v>
      </c>
      <c r="C912" s="15">
        <f t="shared" si="29"/>
        <v>2012</v>
      </c>
      <c r="D912" s="13">
        <v>-10.82</v>
      </c>
      <c r="E912" s="13">
        <v>12.785022801824146</v>
      </c>
      <c r="F912" s="13"/>
      <c r="G912" s="13"/>
      <c r="H912" s="13">
        <v>44.07</v>
      </c>
      <c r="I912" s="13">
        <v>48.1</v>
      </c>
      <c r="J912" s="13"/>
      <c r="K912" s="13"/>
    </row>
    <row r="913" spans="1:11" x14ac:dyDescent="0.25">
      <c r="A913" s="10">
        <v>41149</v>
      </c>
      <c r="B913" s="15">
        <f t="shared" si="28"/>
        <v>8</v>
      </c>
      <c r="C913" s="15">
        <f t="shared" si="29"/>
        <v>2012</v>
      </c>
      <c r="D913" s="13">
        <v>-10.82</v>
      </c>
      <c r="E913" s="13">
        <v>12.718879337790513</v>
      </c>
      <c r="F913" s="13"/>
      <c r="G913" s="13"/>
      <c r="H913" s="13">
        <v>44.07</v>
      </c>
      <c r="I913" s="13">
        <v>48.1</v>
      </c>
      <c r="J913" s="13"/>
      <c r="K913" s="13"/>
    </row>
    <row r="914" spans="1:11" x14ac:dyDescent="0.25">
      <c r="A914" s="10">
        <v>41150</v>
      </c>
      <c r="B914" s="15">
        <f t="shared" si="28"/>
        <v>8</v>
      </c>
      <c r="C914" s="15">
        <f t="shared" si="29"/>
        <v>2012</v>
      </c>
      <c r="D914" s="13">
        <v>-10.82</v>
      </c>
      <c r="E914" s="13">
        <v>12.754409769335144</v>
      </c>
      <c r="F914" s="13"/>
      <c r="G914" s="13"/>
      <c r="H914" s="13">
        <v>44.07</v>
      </c>
      <c r="I914" s="13">
        <v>48.1</v>
      </c>
      <c r="J914" s="13"/>
      <c r="K914" s="13"/>
    </row>
    <row r="915" spans="1:11" x14ac:dyDescent="0.25">
      <c r="A915" s="10">
        <v>41151</v>
      </c>
      <c r="B915" s="15">
        <f t="shared" si="28"/>
        <v>8</v>
      </c>
      <c r="C915" s="15">
        <f t="shared" si="29"/>
        <v>2012</v>
      </c>
      <c r="D915" s="13">
        <v>-10.82</v>
      </c>
      <c r="E915" s="13">
        <v>12.779910428662829</v>
      </c>
      <c r="F915" s="13"/>
      <c r="G915" s="13"/>
      <c r="H915" s="13">
        <v>44.07</v>
      </c>
      <c r="I915" s="13">
        <v>48.1</v>
      </c>
      <c r="J915" s="13"/>
      <c r="K915" s="13"/>
    </row>
    <row r="916" spans="1:11" x14ac:dyDescent="0.25">
      <c r="A916" s="10">
        <v>41152</v>
      </c>
      <c r="B916" s="15">
        <f t="shared" si="28"/>
        <v>8</v>
      </c>
      <c r="C916" s="15">
        <f t="shared" si="29"/>
        <v>2012</v>
      </c>
      <c r="D916" s="13">
        <v>-10.82</v>
      </c>
      <c r="E916" s="13">
        <v>12.707753479125248</v>
      </c>
      <c r="F916" s="13"/>
      <c r="G916" s="13"/>
      <c r="H916" s="13">
        <v>44.07</v>
      </c>
      <c r="I916" s="13">
        <v>48.1</v>
      </c>
      <c r="J916" s="13"/>
      <c r="K916" s="13"/>
    </row>
    <row r="917" spans="1:11" x14ac:dyDescent="0.25">
      <c r="A917" s="10">
        <v>41156</v>
      </c>
      <c r="B917" s="15">
        <f t="shared" si="28"/>
        <v>9</v>
      </c>
      <c r="C917" s="15">
        <f t="shared" si="29"/>
        <v>2012</v>
      </c>
      <c r="D917" s="13">
        <v>-34.64</v>
      </c>
      <c r="E917" s="13">
        <v>0.98694683221903856</v>
      </c>
      <c r="F917" s="13"/>
      <c r="G917" s="13"/>
      <c r="H917" s="13">
        <v>12.13</v>
      </c>
      <c r="I917" s="13">
        <v>14.74</v>
      </c>
      <c r="J917" s="13"/>
      <c r="K917" s="13"/>
    </row>
    <row r="918" spans="1:11" x14ac:dyDescent="0.25">
      <c r="A918" s="10">
        <v>41157</v>
      </c>
      <c r="B918" s="15">
        <f t="shared" si="28"/>
        <v>9</v>
      </c>
      <c r="C918" s="15">
        <f t="shared" si="29"/>
        <v>2012</v>
      </c>
      <c r="D918" s="13">
        <v>-34.64</v>
      </c>
      <c r="E918" s="13">
        <v>0.98420509564251124</v>
      </c>
      <c r="F918" s="13"/>
      <c r="G918" s="13"/>
      <c r="H918" s="13">
        <v>12.13</v>
      </c>
      <c r="I918" s="13">
        <v>14.74</v>
      </c>
      <c r="J918" s="13"/>
      <c r="K918" s="13"/>
    </row>
    <row r="919" spans="1:11" x14ac:dyDescent="0.25">
      <c r="A919" s="10">
        <v>41158</v>
      </c>
      <c r="B919" s="15">
        <f t="shared" si="28"/>
        <v>9</v>
      </c>
      <c r="C919" s="15">
        <f t="shared" si="29"/>
        <v>2012</v>
      </c>
      <c r="D919" s="13">
        <v>-34.64</v>
      </c>
      <c r="E919" s="13">
        <v>0.98194488438390881</v>
      </c>
      <c r="F919" s="13"/>
      <c r="G919" s="13"/>
      <c r="H919" s="13">
        <v>12.13</v>
      </c>
      <c r="I919" s="13">
        <v>14.74</v>
      </c>
      <c r="J919" s="13"/>
      <c r="K919" s="13"/>
    </row>
    <row r="920" spans="1:11" x14ac:dyDescent="0.25">
      <c r="A920" s="10">
        <v>41159</v>
      </c>
      <c r="B920" s="15">
        <f t="shared" si="28"/>
        <v>9</v>
      </c>
      <c r="C920" s="15">
        <f t="shared" si="29"/>
        <v>2012</v>
      </c>
      <c r="D920" s="13">
        <v>-34.64</v>
      </c>
      <c r="E920" s="13">
        <v>0.96761607491221213</v>
      </c>
      <c r="F920" s="13"/>
      <c r="G920" s="13"/>
      <c r="H920" s="13">
        <v>12.13</v>
      </c>
      <c r="I920" s="13">
        <v>14.74</v>
      </c>
      <c r="J920" s="13"/>
      <c r="K920" s="13"/>
    </row>
    <row r="921" spans="1:11" x14ac:dyDescent="0.25">
      <c r="A921" s="10">
        <v>41162</v>
      </c>
      <c r="B921" s="15">
        <f t="shared" si="28"/>
        <v>9</v>
      </c>
      <c r="C921" s="15">
        <f t="shared" si="29"/>
        <v>2012</v>
      </c>
      <c r="D921" s="13">
        <v>-35.200000000000003</v>
      </c>
      <c r="E921" s="13">
        <v>2.1400015677667161</v>
      </c>
      <c r="F921" s="13"/>
      <c r="G921" s="13"/>
      <c r="H921" s="13">
        <v>26.63</v>
      </c>
      <c r="I921" s="13">
        <v>49.87</v>
      </c>
      <c r="J921" s="13"/>
      <c r="K921" s="13"/>
    </row>
    <row r="922" spans="1:11" x14ac:dyDescent="0.25">
      <c r="A922" s="10">
        <v>41163</v>
      </c>
      <c r="B922" s="15">
        <f t="shared" si="28"/>
        <v>9</v>
      </c>
      <c r="C922" s="15">
        <f t="shared" si="29"/>
        <v>2012</v>
      </c>
      <c r="D922" s="13">
        <v>-35.200000000000003</v>
      </c>
      <c r="E922" s="13">
        <v>2.1238524972771122</v>
      </c>
      <c r="F922" s="13"/>
      <c r="G922" s="13"/>
      <c r="H922" s="13">
        <v>26.63</v>
      </c>
      <c r="I922" s="13">
        <v>49.87</v>
      </c>
      <c r="J922" s="13"/>
      <c r="K922" s="13"/>
    </row>
    <row r="923" spans="1:11" x14ac:dyDescent="0.25">
      <c r="A923" s="10">
        <v>41164</v>
      </c>
      <c r="B923" s="15">
        <f t="shared" si="28"/>
        <v>9</v>
      </c>
      <c r="C923" s="15">
        <f t="shared" si="29"/>
        <v>2012</v>
      </c>
      <c r="D923" s="13">
        <v>-35.200000000000003</v>
      </c>
      <c r="E923" s="13">
        <v>2.1164431351267541</v>
      </c>
      <c r="F923" s="13"/>
      <c r="G923" s="13"/>
      <c r="H923" s="13">
        <v>26.63</v>
      </c>
      <c r="I923" s="13">
        <v>49.87</v>
      </c>
      <c r="J923" s="13"/>
      <c r="K923" s="13"/>
    </row>
    <row r="924" spans="1:11" x14ac:dyDescent="0.25">
      <c r="A924" s="10">
        <v>41165</v>
      </c>
      <c r="B924" s="15">
        <f t="shared" si="28"/>
        <v>9</v>
      </c>
      <c r="C924" s="15">
        <f t="shared" si="29"/>
        <v>2012</v>
      </c>
      <c r="D924" s="13">
        <v>-35.200000000000003</v>
      </c>
      <c r="E924" s="13">
        <v>2.1019402525408069</v>
      </c>
      <c r="F924" s="13"/>
      <c r="G924" s="13"/>
      <c r="H924" s="13">
        <v>26.63</v>
      </c>
      <c r="I924" s="13">
        <v>49.87</v>
      </c>
      <c r="J924" s="13"/>
      <c r="K924" s="13"/>
    </row>
    <row r="925" spans="1:11" x14ac:dyDescent="0.25">
      <c r="A925" s="10">
        <v>41166</v>
      </c>
      <c r="B925" s="15">
        <f t="shared" si="28"/>
        <v>9</v>
      </c>
      <c r="C925" s="15">
        <f t="shared" si="29"/>
        <v>2012</v>
      </c>
      <c r="D925" s="13">
        <v>-35.200000000000003</v>
      </c>
      <c r="E925" s="13">
        <v>2.0801584882657727</v>
      </c>
      <c r="F925" s="13"/>
      <c r="G925" s="13"/>
      <c r="H925" s="13">
        <v>26.63</v>
      </c>
      <c r="I925" s="13">
        <v>49.87</v>
      </c>
      <c r="J925" s="13"/>
      <c r="K925" s="13"/>
    </row>
    <row r="926" spans="1:11" x14ac:dyDescent="0.25">
      <c r="A926" s="10">
        <v>41169</v>
      </c>
      <c r="B926" s="15">
        <f t="shared" si="28"/>
        <v>9</v>
      </c>
      <c r="C926" s="15">
        <f t="shared" si="29"/>
        <v>2012</v>
      </c>
      <c r="D926" s="13">
        <v>-73.33</v>
      </c>
      <c r="E926" s="13">
        <v>-44.777371149740766</v>
      </c>
      <c r="F926" s="13"/>
      <c r="G926" s="13"/>
      <c r="H926" s="13">
        <v>-10.1</v>
      </c>
      <c r="I926" s="13">
        <v>577.74</v>
      </c>
      <c r="J926" s="13"/>
      <c r="K926" s="13"/>
    </row>
    <row r="927" spans="1:11" x14ac:dyDescent="0.25">
      <c r="A927" s="10">
        <v>41170</v>
      </c>
      <c r="B927" s="15">
        <f t="shared" si="28"/>
        <v>9</v>
      </c>
      <c r="C927" s="15">
        <f t="shared" si="29"/>
        <v>2012</v>
      </c>
      <c r="D927" s="13">
        <v>-73.33</v>
      </c>
      <c r="E927" s="13">
        <v>-45.017629924881184</v>
      </c>
      <c r="F927" s="13"/>
      <c r="G927" s="13"/>
      <c r="H927" s="13">
        <v>-10.1</v>
      </c>
      <c r="I927" s="13">
        <v>577.74</v>
      </c>
      <c r="J927" s="13"/>
      <c r="K927" s="13"/>
    </row>
    <row r="928" spans="1:11" x14ac:dyDescent="0.25">
      <c r="A928" s="10">
        <v>41171</v>
      </c>
      <c r="B928" s="15">
        <f t="shared" si="28"/>
        <v>9</v>
      </c>
      <c r="C928" s="15">
        <f t="shared" si="29"/>
        <v>2012</v>
      </c>
      <c r="D928" s="13">
        <v>-73.33</v>
      </c>
      <c r="E928" s="13">
        <v>-45.014179504867016</v>
      </c>
      <c r="F928" s="13"/>
      <c r="G928" s="13"/>
      <c r="H928" s="13">
        <v>-10.1</v>
      </c>
      <c r="I928" s="13">
        <v>577.74</v>
      </c>
      <c r="J928" s="13"/>
      <c r="K928" s="13"/>
    </row>
    <row r="929" spans="1:11" x14ac:dyDescent="0.25">
      <c r="A929" s="10">
        <v>41172</v>
      </c>
      <c r="B929" s="15">
        <f t="shared" si="28"/>
        <v>9</v>
      </c>
      <c r="C929" s="15">
        <f t="shared" si="29"/>
        <v>2012</v>
      </c>
      <c r="D929" s="13">
        <v>-73.33</v>
      </c>
      <c r="E929" s="13">
        <v>-45.288402220851324</v>
      </c>
      <c r="F929" s="13"/>
      <c r="G929" s="13"/>
      <c r="H929" s="13">
        <v>-10.1</v>
      </c>
      <c r="I929" s="13">
        <v>577.74</v>
      </c>
      <c r="J929" s="13"/>
      <c r="K929" s="13"/>
    </row>
    <row r="930" spans="1:11" x14ac:dyDescent="0.25">
      <c r="A930" s="10">
        <v>41173</v>
      </c>
      <c r="B930" s="15">
        <f t="shared" si="28"/>
        <v>9</v>
      </c>
      <c r="C930" s="15">
        <f t="shared" si="29"/>
        <v>2012</v>
      </c>
      <c r="D930" s="13">
        <v>-73.33</v>
      </c>
      <c r="E930" s="13">
        <v>-45.250019261884582</v>
      </c>
      <c r="F930" s="13"/>
      <c r="G930" s="13"/>
      <c r="H930" s="13">
        <v>-10.1</v>
      </c>
      <c r="I930" s="13">
        <v>577.74</v>
      </c>
      <c r="J930" s="13"/>
      <c r="K930" s="13"/>
    </row>
    <row r="931" spans="1:11" x14ac:dyDescent="0.25">
      <c r="A931" s="10">
        <v>41176</v>
      </c>
      <c r="B931" s="15">
        <f t="shared" si="28"/>
        <v>9</v>
      </c>
      <c r="C931" s="15">
        <f t="shared" si="29"/>
        <v>2012</v>
      </c>
      <c r="D931" s="13">
        <v>-61</v>
      </c>
      <c r="E931" s="13">
        <v>-11.028615622583141</v>
      </c>
      <c r="F931" s="13"/>
      <c r="G931" s="13"/>
      <c r="H931" s="13">
        <v>8.65</v>
      </c>
      <c r="I931" s="13">
        <v>590.21</v>
      </c>
      <c r="J931" s="13"/>
      <c r="K931" s="13"/>
    </row>
    <row r="932" spans="1:11" x14ac:dyDescent="0.25">
      <c r="A932" s="10">
        <v>41177</v>
      </c>
      <c r="B932" s="15">
        <f t="shared" si="28"/>
        <v>9</v>
      </c>
      <c r="C932" s="15">
        <f t="shared" si="29"/>
        <v>2012</v>
      </c>
      <c r="D932" s="13">
        <v>-61</v>
      </c>
      <c r="E932" s="13">
        <v>-11.055977670956738</v>
      </c>
      <c r="F932" s="13"/>
      <c r="G932" s="13"/>
      <c r="H932" s="13">
        <v>8.65</v>
      </c>
      <c r="I932" s="13">
        <v>590.21</v>
      </c>
      <c r="J932" s="13"/>
      <c r="K932" s="13"/>
    </row>
    <row r="933" spans="1:11" x14ac:dyDescent="0.25">
      <c r="A933" s="10">
        <v>41178</v>
      </c>
      <c r="B933" s="15">
        <f t="shared" si="28"/>
        <v>9</v>
      </c>
      <c r="C933" s="15">
        <f t="shared" si="29"/>
        <v>2012</v>
      </c>
      <c r="D933" s="13">
        <v>-61</v>
      </c>
      <c r="E933" s="13">
        <v>-11.079170227643541</v>
      </c>
      <c r="F933" s="13"/>
      <c r="G933" s="13"/>
      <c r="H933" s="13">
        <v>8.65</v>
      </c>
      <c r="I933" s="13">
        <v>590.21</v>
      </c>
      <c r="J933" s="13"/>
      <c r="K933" s="13"/>
    </row>
    <row r="934" spans="1:11" x14ac:dyDescent="0.25">
      <c r="A934" s="10">
        <v>41179</v>
      </c>
      <c r="B934" s="15">
        <f t="shared" si="28"/>
        <v>9</v>
      </c>
      <c r="C934" s="15">
        <f t="shared" si="29"/>
        <v>2012</v>
      </c>
      <c r="D934" s="13">
        <v>-61</v>
      </c>
      <c r="E934" s="13">
        <v>-11.043134825369783</v>
      </c>
      <c r="F934" s="13"/>
      <c r="G934" s="13"/>
      <c r="H934" s="13">
        <v>8.65</v>
      </c>
      <c r="I934" s="13">
        <v>590.21</v>
      </c>
      <c r="J934" s="13"/>
      <c r="K934" s="13"/>
    </row>
    <row r="935" spans="1:11" x14ac:dyDescent="0.25">
      <c r="A935" s="10">
        <v>41180</v>
      </c>
      <c r="B935" s="15">
        <f t="shared" si="28"/>
        <v>9</v>
      </c>
      <c r="C935" s="15">
        <f t="shared" si="29"/>
        <v>2012</v>
      </c>
      <c r="D935" s="13">
        <v>-61</v>
      </c>
      <c r="E935" s="13">
        <v>-11.090371752994244</v>
      </c>
      <c r="F935" s="13"/>
      <c r="G935" s="13"/>
      <c r="H935" s="13">
        <v>8.65</v>
      </c>
      <c r="I935" s="13">
        <v>590.21</v>
      </c>
      <c r="J935" s="13"/>
      <c r="K935" s="13"/>
    </row>
    <row r="936" spans="1:11" x14ac:dyDescent="0.25">
      <c r="A936" s="10">
        <v>41183</v>
      </c>
      <c r="B936" s="15">
        <f t="shared" si="28"/>
        <v>10</v>
      </c>
      <c r="C936" s="15">
        <f t="shared" si="29"/>
        <v>2012</v>
      </c>
      <c r="D936" s="13">
        <v>-58.4</v>
      </c>
      <c r="E936" s="13">
        <v>57.433271260086904</v>
      </c>
      <c r="F936" s="13"/>
      <c r="G936" s="13"/>
      <c r="H936" s="13">
        <v>17.22</v>
      </c>
      <c r="I936" s="13">
        <v>-14.79</v>
      </c>
      <c r="J936" s="13"/>
      <c r="K936" s="13"/>
    </row>
    <row r="937" spans="1:11" x14ac:dyDescent="0.25">
      <c r="A937" s="10">
        <v>41184</v>
      </c>
      <c r="B937" s="15">
        <f t="shared" si="28"/>
        <v>10</v>
      </c>
      <c r="C937" s="15">
        <f t="shared" si="29"/>
        <v>2012</v>
      </c>
      <c r="D937" s="13">
        <v>-58.4</v>
      </c>
      <c r="E937" s="13">
        <v>57.299891624090414</v>
      </c>
      <c r="F937" s="13"/>
      <c r="G937" s="13"/>
      <c r="H937" s="13">
        <v>17.22</v>
      </c>
      <c r="I937" s="13">
        <v>-14.79</v>
      </c>
      <c r="J937" s="13"/>
      <c r="K937" s="13"/>
    </row>
    <row r="938" spans="1:11" x14ac:dyDescent="0.25">
      <c r="A938" s="10">
        <v>41185</v>
      </c>
      <c r="B938" s="15">
        <f t="shared" si="28"/>
        <v>10</v>
      </c>
      <c r="C938" s="15">
        <f t="shared" si="29"/>
        <v>2012</v>
      </c>
      <c r="D938" s="13">
        <v>-58.4</v>
      </c>
      <c r="E938" s="13">
        <v>57.362058276503404</v>
      </c>
      <c r="F938" s="13"/>
      <c r="G938" s="13"/>
      <c r="H938" s="13">
        <v>17.22</v>
      </c>
      <c r="I938" s="13">
        <v>-14.79</v>
      </c>
      <c r="J938" s="13"/>
      <c r="K938" s="13"/>
    </row>
    <row r="939" spans="1:11" x14ac:dyDescent="0.25">
      <c r="A939" s="10">
        <v>41186</v>
      </c>
      <c r="B939" s="15">
        <f t="shared" si="28"/>
        <v>10</v>
      </c>
      <c r="C939" s="15">
        <f t="shared" si="29"/>
        <v>2012</v>
      </c>
      <c r="D939" s="13">
        <v>-58.4</v>
      </c>
      <c r="E939" s="13">
        <v>56.864100791272946</v>
      </c>
      <c r="F939" s="13"/>
      <c r="G939" s="13"/>
      <c r="H939" s="13">
        <v>17.22</v>
      </c>
      <c r="I939" s="13">
        <v>-14.79</v>
      </c>
      <c r="J939" s="13"/>
      <c r="K939" s="13"/>
    </row>
    <row r="940" spans="1:11" x14ac:dyDescent="0.25">
      <c r="A940" s="10">
        <v>41187</v>
      </c>
      <c r="B940" s="15">
        <f t="shared" si="28"/>
        <v>10</v>
      </c>
      <c r="C940" s="15">
        <f t="shared" si="29"/>
        <v>2012</v>
      </c>
      <c r="D940" s="13">
        <v>-58.4</v>
      </c>
      <c r="E940" s="13">
        <v>56.794291414102666</v>
      </c>
      <c r="F940" s="13"/>
      <c r="G940" s="13"/>
      <c r="H940" s="13">
        <v>17.22</v>
      </c>
      <c r="I940" s="13">
        <v>-14.79</v>
      </c>
      <c r="J940" s="13"/>
      <c r="K940" s="13"/>
    </row>
    <row r="941" spans="1:11" x14ac:dyDescent="0.25">
      <c r="A941" s="10">
        <v>41190</v>
      </c>
      <c r="B941" s="15">
        <f t="shared" si="28"/>
        <v>10</v>
      </c>
      <c r="C941" s="15">
        <f t="shared" si="29"/>
        <v>2012</v>
      </c>
      <c r="D941" s="13">
        <v>-41.43</v>
      </c>
      <c r="E941" s="13">
        <v>23.08582003238492</v>
      </c>
      <c r="F941" s="13"/>
      <c r="G941" s="13"/>
      <c r="H941" s="13">
        <v>19.09</v>
      </c>
      <c r="I941" s="13">
        <v>35.770000000000003</v>
      </c>
      <c r="J941" s="13"/>
      <c r="K941" s="13"/>
    </row>
    <row r="942" spans="1:11" x14ac:dyDescent="0.25">
      <c r="A942" s="10">
        <v>41191</v>
      </c>
      <c r="B942" s="15">
        <f t="shared" si="28"/>
        <v>10</v>
      </c>
      <c r="C942" s="15">
        <f t="shared" si="29"/>
        <v>2012</v>
      </c>
      <c r="D942" s="13">
        <v>-41.43</v>
      </c>
      <c r="E942" s="13">
        <v>23.238124805960883</v>
      </c>
      <c r="F942" s="13"/>
      <c r="G942" s="13"/>
      <c r="H942" s="13">
        <v>19.09</v>
      </c>
      <c r="I942" s="13">
        <v>35.770000000000003</v>
      </c>
      <c r="J942" s="13"/>
      <c r="K942" s="13"/>
    </row>
    <row r="943" spans="1:11" x14ac:dyDescent="0.25">
      <c r="A943" s="10">
        <v>41192</v>
      </c>
      <c r="B943" s="15">
        <f t="shared" si="28"/>
        <v>10</v>
      </c>
      <c r="C943" s="15">
        <f t="shared" si="29"/>
        <v>2012</v>
      </c>
      <c r="D943" s="13">
        <v>-41.43</v>
      </c>
      <c r="E943" s="13">
        <v>23.256175236911606</v>
      </c>
      <c r="F943" s="13"/>
      <c r="G943" s="13"/>
      <c r="H943" s="13">
        <v>19.09</v>
      </c>
      <c r="I943" s="13">
        <v>35.770000000000003</v>
      </c>
      <c r="J943" s="13"/>
      <c r="K943" s="13"/>
    </row>
    <row r="944" spans="1:11" x14ac:dyDescent="0.25">
      <c r="A944" s="10">
        <v>41193</v>
      </c>
      <c r="B944" s="15">
        <f t="shared" si="28"/>
        <v>10</v>
      </c>
      <c r="C944" s="15">
        <f t="shared" si="29"/>
        <v>2012</v>
      </c>
      <c r="D944" s="13">
        <v>-41.43</v>
      </c>
      <c r="E944" s="13">
        <v>23.162617979266596</v>
      </c>
      <c r="F944" s="13"/>
      <c r="G944" s="13"/>
      <c r="H944" s="13">
        <v>19.09</v>
      </c>
      <c r="I944" s="13">
        <v>35.770000000000003</v>
      </c>
      <c r="J944" s="13"/>
      <c r="K944" s="13"/>
    </row>
    <row r="945" spans="1:11" x14ac:dyDescent="0.25">
      <c r="A945" s="10">
        <v>41194</v>
      </c>
      <c r="B945" s="15">
        <f t="shared" si="28"/>
        <v>10</v>
      </c>
      <c r="C945" s="15">
        <f t="shared" si="29"/>
        <v>2012</v>
      </c>
      <c r="D945" s="13">
        <v>-41.43</v>
      </c>
      <c r="E945" s="13">
        <v>23.119691119691122</v>
      </c>
      <c r="F945" s="13"/>
      <c r="G945" s="13"/>
      <c r="H945" s="13">
        <v>19.09</v>
      </c>
      <c r="I945" s="13">
        <v>35.770000000000003</v>
      </c>
      <c r="J945" s="13"/>
      <c r="K945" s="13"/>
    </row>
    <row r="946" spans="1:11" x14ac:dyDescent="0.25">
      <c r="A946" s="10">
        <v>41197</v>
      </c>
      <c r="B946" s="15">
        <f t="shared" si="28"/>
        <v>10</v>
      </c>
      <c r="C946" s="15">
        <f t="shared" si="29"/>
        <v>2012</v>
      </c>
      <c r="D946" s="13">
        <v>-44.2</v>
      </c>
      <c r="E946" s="13">
        <v>10.712079085573061</v>
      </c>
      <c r="F946" s="13"/>
      <c r="G946" s="13"/>
      <c r="H946" s="13">
        <v>26.63</v>
      </c>
      <c r="I946" s="13">
        <v>47.55</v>
      </c>
      <c r="J946" s="13"/>
      <c r="K946" s="13"/>
    </row>
    <row r="947" spans="1:11" x14ac:dyDescent="0.25">
      <c r="A947" s="10">
        <v>41198</v>
      </c>
      <c r="B947" s="15">
        <f t="shared" si="28"/>
        <v>10</v>
      </c>
      <c r="C947" s="15">
        <f t="shared" si="29"/>
        <v>2012</v>
      </c>
      <c r="D947" s="13">
        <v>-44.2</v>
      </c>
      <c r="E947" s="13">
        <v>10.626723873735825</v>
      </c>
      <c r="F947" s="13"/>
      <c r="G947" s="13"/>
      <c r="H947" s="13">
        <v>26.63</v>
      </c>
      <c r="I947" s="13">
        <v>47.55</v>
      </c>
      <c r="J947" s="13"/>
      <c r="K947" s="13"/>
    </row>
    <row r="948" spans="1:11" x14ac:dyDescent="0.25">
      <c r="A948" s="10">
        <v>41199</v>
      </c>
      <c r="B948" s="15">
        <f t="shared" si="28"/>
        <v>10</v>
      </c>
      <c r="C948" s="15">
        <f t="shared" si="29"/>
        <v>2012</v>
      </c>
      <c r="D948" s="13">
        <v>-44.2</v>
      </c>
      <c r="E948" s="13">
        <v>10.574064191507203</v>
      </c>
      <c r="F948" s="13"/>
      <c r="G948" s="13"/>
      <c r="H948" s="13">
        <v>26.63</v>
      </c>
      <c r="I948" s="13">
        <v>47.55</v>
      </c>
      <c r="J948" s="13"/>
      <c r="K948" s="13"/>
    </row>
    <row r="949" spans="1:11" x14ac:dyDescent="0.25">
      <c r="A949" s="10">
        <v>41200</v>
      </c>
      <c r="B949" s="15">
        <f t="shared" si="28"/>
        <v>10</v>
      </c>
      <c r="C949" s="15">
        <f t="shared" si="29"/>
        <v>2012</v>
      </c>
      <c r="D949" s="13">
        <v>-44.2</v>
      </c>
      <c r="E949" s="13">
        <v>10.616150019135093</v>
      </c>
      <c r="F949" s="13"/>
      <c r="G949" s="13"/>
      <c r="H949" s="13">
        <v>26.63</v>
      </c>
      <c r="I949" s="13">
        <v>47.55</v>
      </c>
      <c r="J949" s="13"/>
      <c r="K949" s="13"/>
    </row>
    <row r="950" spans="1:11" x14ac:dyDescent="0.25">
      <c r="A950" s="10">
        <v>41201</v>
      </c>
      <c r="B950" s="15">
        <f t="shared" si="28"/>
        <v>10</v>
      </c>
      <c r="C950" s="15">
        <f t="shared" si="29"/>
        <v>2012</v>
      </c>
      <c r="D950" s="13">
        <v>-44.2</v>
      </c>
      <c r="E950" s="13">
        <v>10.652023654097226</v>
      </c>
      <c r="F950" s="13"/>
      <c r="G950" s="13"/>
      <c r="H950" s="13">
        <v>26.63</v>
      </c>
      <c r="I950" s="13">
        <v>47.55</v>
      </c>
      <c r="J950" s="13"/>
      <c r="K950" s="13"/>
    </row>
    <row r="951" spans="1:11" x14ac:dyDescent="0.25">
      <c r="A951" s="10">
        <v>41204</v>
      </c>
      <c r="B951" s="15">
        <f t="shared" si="28"/>
        <v>10</v>
      </c>
      <c r="C951" s="15">
        <f t="shared" si="29"/>
        <v>2012</v>
      </c>
      <c r="D951" s="13">
        <v>-45.73</v>
      </c>
      <c r="E951" s="13">
        <v>33.340990887510529</v>
      </c>
      <c r="F951" s="13"/>
      <c r="G951" s="13"/>
      <c r="H951" s="13">
        <v>7.44</v>
      </c>
      <c r="I951" s="13">
        <v>18.04</v>
      </c>
      <c r="J951" s="13"/>
      <c r="K951" s="13"/>
    </row>
    <row r="952" spans="1:11" x14ac:dyDescent="0.25">
      <c r="A952" s="10">
        <v>41205</v>
      </c>
      <c r="B952" s="15">
        <f t="shared" si="28"/>
        <v>10</v>
      </c>
      <c r="C952" s="15">
        <f t="shared" si="29"/>
        <v>2012</v>
      </c>
      <c r="D952" s="13">
        <v>-45.73</v>
      </c>
      <c r="E952" s="13">
        <v>33.530997304582208</v>
      </c>
      <c r="F952" s="13"/>
      <c r="G952" s="13"/>
      <c r="H952" s="13">
        <v>7.44</v>
      </c>
      <c r="I952" s="13">
        <v>18.04</v>
      </c>
      <c r="J952" s="13"/>
      <c r="K952" s="13"/>
    </row>
    <row r="953" spans="1:11" x14ac:dyDescent="0.25">
      <c r="A953" s="10">
        <v>41206</v>
      </c>
      <c r="B953" s="15">
        <f t="shared" si="28"/>
        <v>10</v>
      </c>
      <c r="C953" s="15">
        <f t="shared" si="29"/>
        <v>2012</v>
      </c>
      <c r="D953" s="13">
        <v>-45.73</v>
      </c>
      <c r="E953" s="13">
        <v>33.567188343227201</v>
      </c>
      <c r="F953" s="13"/>
      <c r="G953" s="13"/>
      <c r="H953" s="13">
        <v>7.44</v>
      </c>
      <c r="I953" s="13">
        <v>18.04</v>
      </c>
      <c r="J953" s="13"/>
      <c r="K953" s="13"/>
    </row>
    <row r="954" spans="1:11" x14ac:dyDescent="0.25">
      <c r="A954" s="10">
        <v>41207</v>
      </c>
      <c r="B954" s="15">
        <f t="shared" si="28"/>
        <v>10</v>
      </c>
      <c r="C954" s="15">
        <f t="shared" si="29"/>
        <v>2012</v>
      </c>
      <c r="D954" s="13">
        <v>-45.73</v>
      </c>
      <c r="E954" s="13">
        <v>33.665816129281687</v>
      </c>
      <c r="F954" s="13"/>
      <c r="G954" s="13"/>
      <c r="H954" s="13">
        <v>7.44</v>
      </c>
      <c r="I954" s="13">
        <v>18.04</v>
      </c>
      <c r="J954" s="13"/>
      <c r="K954" s="13"/>
    </row>
    <row r="955" spans="1:11" x14ac:dyDescent="0.25">
      <c r="A955" s="10">
        <v>41208</v>
      </c>
      <c r="B955" s="15">
        <f t="shared" si="28"/>
        <v>10</v>
      </c>
      <c r="C955" s="15">
        <f t="shared" si="29"/>
        <v>2012</v>
      </c>
      <c r="D955" s="13">
        <v>-45.73</v>
      </c>
      <c r="E955" s="13">
        <v>33.650204807172116</v>
      </c>
      <c r="F955" s="13"/>
      <c r="G955" s="13"/>
      <c r="H955" s="13">
        <v>7.44</v>
      </c>
      <c r="I955" s="13">
        <v>18.04</v>
      </c>
      <c r="J955" s="13"/>
      <c r="K955" s="13"/>
    </row>
    <row r="956" spans="1:11" x14ac:dyDescent="0.25">
      <c r="A956" s="10">
        <v>41211</v>
      </c>
      <c r="B956" s="15">
        <f t="shared" si="28"/>
        <v>10</v>
      </c>
      <c r="C956" s="15">
        <f t="shared" si="29"/>
        <v>2012</v>
      </c>
      <c r="D956" s="13">
        <v>-67.430000000000007</v>
      </c>
      <c r="E956" s="13">
        <v>11.029297783289413</v>
      </c>
      <c r="F956" s="13"/>
      <c r="G956" s="13"/>
      <c r="H956" s="13">
        <v>-6.53</v>
      </c>
      <c r="I956" s="13">
        <v>532.82000000000005</v>
      </c>
      <c r="J956" s="13"/>
      <c r="K956" s="13"/>
    </row>
    <row r="957" spans="1:11" x14ac:dyDescent="0.25">
      <c r="A957" s="10">
        <v>41212</v>
      </c>
      <c r="B957" s="15">
        <f t="shared" si="28"/>
        <v>10</v>
      </c>
      <c r="C957" s="15">
        <f t="shared" si="29"/>
        <v>2012</v>
      </c>
      <c r="D957" s="13">
        <v>-67.430000000000007</v>
      </c>
      <c r="E957" s="13">
        <v>10.983328187712257</v>
      </c>
      <c r="F957" s="13"/>
      <c r="G957" s="13"/>
      <c r="H957" s="13">
        <v>-6.53</v>
      </c>
      <c r="I957" s="13">
        <v>532.82000000000005</v>
      </c>
      <c r="J957" s="13"/>
      <c r="K957" s="13"/>
    </row>
    <row r="958" spans="1:11" x14ac:dyDescent="0.25">
      <c r="A958" s="10">
        <v>41213</v>
      </c>
      <c r="B958" s="15">
        <f t="shared" si="28"/>
        <v>10</v>
      </c>
      <c r="C958" s="15">
        <f t="shared" si="29"/>
        <v>2012</v>
      </c>
      <c r="D958" s="13">
        <v>-67.430000000000007</v>
      </c>
      <c r="E958" s="13">
        <v>10.981632968050626</v>
      </c>
      <c r="F958" s="13"/>
      <c r="G958" s="13"/>
      <c r="H958" s="13">
        <v>-6.53</v>
      </c>
      <c r="I958" s="13">
        <v>532.82000000000005</v>
      </c>
      <c r="J958" s="13"/>
      <c r="K958" s="13"/>
    </row>
    <row r="959" spans="1:11" x14ac:dyDescent="0.25">
      <c r="A959" s="10">
        <v>41214</v>
      </c>
      <c r="B959" s="15">
        <f t="shared" si="28"/>
        <v>11</v>
      </c>
      <c r="C959" s="15">
        <f t="shared" si="29"/>
        <v>2012</v>
      </c>
      <c r="D959" s="13">
        <v>-67.430000000000007</v>
      </c>
      <c r="E959" s="13">
        <v>10.995209395765723</v>
      </c>
      <c r="F959" s="13"/>
      <c r="G959" s="13"/>
      <c r="H959" s="13">
        <v>-6.53</v>
      </c>
      <c r="I959" s="13">
        <v>532.82000000000005</v>
      </c>
      <c r="J959" s="13"/>
      <c r="K959" s="13"/>
    </row>
    <row r="960" spans="1:11" x14ac:dyDescent="0.25">
      <c r="A960" s="10">
        <v>41215</v>
      </c>
      <c r="B960" s="15">
        <f t="shared" si="28"/>
        <v>11</v>
      </c>
      <c r="C960" s="15">
        <f t="shared" si="29"/>
        <v>2012</v>
      </c>
      <c r="D960" s="13">
        <v>-67.430000000000007</v>
      </c>
      <c r="E960" s="13">
        <v>11.086008102212526</v>
      </c>
      <c r="F960" s="13"/>
      <c r="G960" s="13"/>
      <c r="H960" s="13">
        <v>-6.53</v>
      </c>
      <c r="I960" s="13">
        <v>532.82000000000005</v>
      </c>
      <c r="J960" s="13"/>
      <c r="K960" s="13"/>
    </row>
    <row r="961" spans="1:11" x14ac:dyDescent="0.25">
      <c r="A961" s="10">
        <v>41218</v>
      </c>
      <c r="B961" s="15">
        <f t="shared" si="28"/>
        <v>11</v>
      </c>
      <c r="C961" s="15">
        <f t="shared" si="29"/>
        <v>2012</v>
      </c>
      <c r="D961" s="13">
        <v>-67.8</v>
      </c>
      <c r="E961" s="13">
        <v>10.121141070730753</v>
      </c>
      <c r="F961" s="13"/>
      <c r="G961" s="13"/>
      <c r="H961" s="13">
        <v>-11.43</v>
      </c>
      <c r="I961" s="13">
        <v>-581.55999999999995</v>
      </c>
      <c r="J961" s="13"/>
      <c r="K961" s="13"/>
    </row>
    <row r="962" spans="1:11" x14ac:dyDescent="0.25">
      <c r="A962" s="10">
        <v>41219</v>
      </c>
      <c r="B962" s="15">
        <f t="shared" si="28"/>
        <v>11</v>
      </c>
      <c r="C962" s="15">
        <f t="shared" si="29"/>
        <v>2012</v>
      </c>
      <c r="D962" s="13">
        <v>-67.8</v>
      </c>
      <c r="E962" s="13">
        <v>10.106922656676812</v>
      </c>
      <c r="F962" s="13"/>
      <c r="G962" s="13"/>
      <c r="H962" s="13">
        <v>-11.43</v>
      </c>
      <c r="I962" s="13">
        <v>-581.55999999999995</v>
      </c>
      <c r="J962" s="13"/>
      <c r="K962" s="13"/>
    </row>
    <row r="963" spans="1:11" x14ac:dyDescent="0.25">
      <c r="A963" s="10">
        <v>41220</v>
      </c>
      <c r="B963" s="15">
        <f t="shared" ref="B963:B1026" si="30">MONTH(A963)</f>
        <v>11</v>
      </c>
      <c r="C963" s="15">
        <f t="shared" ref="C963:C1026" si="31">YEAR(A963)</f>
        <v>2012</v>
      </c>
      <c r="D963" s="13">
        <v>-67.8</v>
      </c>
      <c r="E963" s="13">
        <v>10.14095536413469</v>
      </c>
      <c r="F963" s="13"/>
      <c r="G963" s="13"/>
      <c r="H963" s="13">
        <v>-11.43</v>
      </c>
      <c r="I963" s="13">
        <v>-581.55999999999995</v>
      </c>
      <c r="J963" s="13"/>
      <c r="K963" s="13"/>
    </row>
    <row r="964" spans="1:11" x14ac:dyDescent="0.25">
      <c r="A964" s="10">
        <v>41221</v>
      </c>
      <c r="B964" s="15">
        <f t="shared" si="30"/>
        <v>11</v>
      </c>
      <c r="C964" s="15">
        <f t="shared" si="31"/>
        <v>2012</v>
      </c>
      <c r="D964" s="13">
        <v>-67.8</v>
      </c>
      <c r="E964" s="13">
        <v>10.160847391133778</v>
      </c>
      <c r="F964" s="13"/>
      <c r="G964" s="13"/>
      <c r="H964" s="13">
        <v>-11.43</v>
      </c>
      <c r="I964" s="13">
        <v>-581.55999999999995</v>
      </c>
      <c r="J964" s="13"/>
      <c r="K964" s="13"/>
    </row>
    <row r="965" spans="1:11" x14ac:dyDescent="0.25">
      <c r="A965" s="10">
        <v>41222</v>
      </c>
      <c r="B965" s="15">
        <f t="shared" si="30"/>
        <v>11</v>
      </c>
      <c r="C965" s="15">
        <f t="shared" si="31"/>
        <v>2012</v>
      </c>
      <c r="D965" s="13">
        <v>-67.8</v>
      </c>
      <c r="E965" s="13">
        <v>10.190431224425559</v>
      </c>
      <c r="F965" s="13"/>
      <c r="G965" s="13"/>
      <c r="H965" s="13">
        <v>-11.43</v>
      </c>
      <c r="I965" s="13">
        <v>-581.55999999999995</v>
      </c>
      <c r="J965" s="13"/>
      <c r="K965" s="13"/>
    </row>
    <row r="966" spans="1:11" x14ac:dyDescent="0.25">
      <c r="A966" s="10">
        <v>41225</v>
      </c>
      <c r="B966" s="15">
        <f t="shared" si="30"/>
        <v>11</v>
      </c>
      <c r="C966" s="15">
        <f t="shared" si="31"/>
        <v>2012</v>
      </c>
      <c r="D966" s="13">
        <v>-71.19</v>
      </c>
      <c r="E966" s="13">
        <v>0.2360903439049343</v>
      </c>
      <c r="F966" s="13"/>
      <c r="G966" s="13"/>
      <c r="H966" s="13">
        <v>-6.77</v>
      </c>
      <c r="I966" s="13">
        <v>-47.52</v>
      </c>
      <c r="J966" s="13"/>
      <c r="K966" s="13"/>
    </row>
    <row r="967" spans="1:11" x14ac:dyDescent="0.25">
      <c r="A967" s="10">
        <v>41226</v>
      </c>
      <c r="B967" s="15">
        <f t="shared" si="30"/>
        <v>11</v>
      </c>
      <c r="C967" s="15">
        <f t="shared" si="31"/>
        <v>2012</v>
      </c>
      <c r="D967" s="13">
        <v>-71.19</v>
      </c>
      <c r="E967" s="13">
        <v>0.23618327822390173</v>
      </c>
      <c r="F967" s="13"/>
      <c r="G967" s="13"/>
      <c r="H967" s="13">
        <v>-6.77</v>
      </c>
      <c r="I967" s="13">
        <v>-47.52</v>
      </c>
      <c r="J967" s="13"/>
      <c r="K967" s="13"/>
    </row>
    <row r="968" spans="1:11" x14ac:dyDescent="0.25">
      <c r="A968" s="10">
        <v>41227</v>
      </c>
      <c r="B968" s="15">
        <f t="shared" si="30"/>
        <v>11</v>
      </c>
      <c r="C968" s="15">
        <f t="shared" si="31"/>
        <v>2012</v>
      </c>
      <c r="D968" s="13">
        <v>-71.19</v>
      </c>
      <c r="E968" s="13">
        <v>0.23558975969844509</v>
      </c>
      <c r="F968" s="13"/>
      <c r="G968" s="13"/>
      <c r="H968" s="13">
        <v>-6.77</v>
      </c>
      <c r="I968" s="13">
        <v>-47.52</v>
      </c>
      <c r="J968" s="13"/>
      <c r="K968" s="13"/>
    </row>
    <row r="969" spans="1:11" x14ac:dyDescent="0.25">
      <c r="A969" s="10">
        <v>41228</v>
      </c>
      <c r="B969" s="15">
        <f t="shared" si="30"/>
        <v>11</v>
      </c>
      <c r="C969" s="15">
        <f t="shared" si="31"/>
        <v>2012</v>
      </c>
      <c r="D969" s="13">
        <v>-71.19</v>
      </c>
      <c r="E969" s="13">
        <v>0.23477852559085927</v>
      </c>
      <c r="F969" s="13"/>
      <c r="G969" s="13"/>
      <c r="H969" s="13">
        <v>-6.77</v>
      </c>
      <c r="I969" s="13">
        <v>-47.52</v>
      </c>
      <c r="J969" s="13"/>
      <c r="K969" s="13"/>
    </row>
    <row r="970" spans="1:11" x14ac:dyDescent="0.25">
      <c r="A970" s="10">
        <v>41229</v>
      </c>
      <c r="B970" s="15">
        <f t="shared" si="30"/>
        <v>11</v>
      </c>
      <c r="C970" s="15">
        <f t="shared" si="31"/>
        <v>2012</v>
      </c>
      <c r="D970" s="13">
        <v>-71.19</v>
      </c>
      <c r="E970" s="13">
        <v>0.23544184586407158</v>
      </c>
      <c r="F970" s="13"/>
      <c r="G970" s="13"/>
      <c r="H970" s="13">
        <v>-6.77</v>
      </c>
      <c r="I970" s="13">
        <v>-47.52</v>
      </c>
      <c r="J970" s="13"/>
      <c r="K970" s="13"/>
    </row>
    <row r="971" spans="1:11" x14ac:dyDescent="0.25">
      <c r="A971" s="10">
        <v>41232</v>
      </c>
      <c r="B971" s="15">
        <f t="shared" si="30"/>
        <v>11</v>
      </c>
      <c r="C971" s="15">
        <f t="shared" si="31"/>
        <v>2012</v>
      </c>
      <c r="D971" s="13">
        <v>-51.89</v>
      </c>
      <c r="E971" s="13">
        <v>22.83974709234252</v>
      </c>
      <c r="F971" s="13"/>
      <c r="G971" s="13"/>
      <c r="H971" s="13">
        <v>10.08</v>
      </c>
      <c r="I971" s="13">
        <v>-39.29</v>
      </c>
      <c r="J971" s="13"/>
      <c r="K971" s="13"/>
    </row>
    <row r="972" spans="1:11" x14ac:dyDescent="0.25">
      <c r="A972" s="10">
        <v>41233</v>
      </c>
      <c r="B972" s="15">
        <f t="shared" si="30"/>
        <v>11</v>
      </c>
      <c r="C972" s="15">
        <f t="shared" si="31"/>
        <v>2012</v>
      </c>
      <c r="D972" s="13">
        <v>-51.89</v>
      </c>
      <c r="E972" s="13">
        <v>22.83083645443196</v>
      </c>
      <c r="F972" s="13"/>
      <c r="G972" s="13"/>
      <c r="H972" s="13">
        <v>10.08</v>
      </c>
      <c r="I972" s="13">
        <v>-39.29</v>
      </c>
      <c r="J972" s="13"/>
      <c r="K972" s="13"/>
    </row>
    <row r="973" spans="1:11" x14ac:dyDescent="0.25">
      <c r="A973" s="10">
        <v>41234</v>
      </c>
      <c r="B973" s="15">
        <f t="shared" si="30"/>
        <v>11</v>
      </c>
      <c r="C973" s="15">
        <f t="shared" si="31"/>
        <v>2012</v>
      </c>
      <c r="D973" s="13">
        <v>-51.89</v>
      </c>
      <c r="E973" s="13">
        <v>22.809479264109761</v>
      </c>
      <c r="F973" s="13"/>
      <c r="G973" s="13"/>
      <c r="H973" s="13">
        <v>10.08</v>
      </c>
      <c r="I973" s="13">
        <v>-39.29</v>
      </c>
      <c r="J973" s="13"/>
      <c r="K973" s="13"/>
    </row>
    <row r="974" spans="1:11" x14ac:dyDescent="0.25">
      <c r="A974" s="10">
        <v>41236</v>
      </c>
      <c r="B974" s="15">
        <f t="shared" si="30"/>
        <v>11</v>
      </c>
      <c r="C974" s="15">
        <f t="shared" si="31"/>
        <v>2012</v>
      </c>
      <c r="D974" s="13">
        <v>-51.89</v>
      </c>
      <c r="E974" s="13">
        <v>22.551059730250483</v>
      </c>
      <c r="F974" s="13"/>
      <c r="G974" s="13"/>
      <c r="H974" s="13">
        <v>10.08</v>
      </c>
      <c r="I974" s="13">
        <v>-39.29</v>
      </c>
      <c r="J974" s="13"/>
      <c r="K974" s="13"/>
    </row>
    <row r="975" spans="1:11" x14ac:dyDescent="0.25">
      <c r="A975" s="10">
        <v>41239</v>
      </c>
      <c r="B975" s="15">
        <f t="shared" si="30"/>
        <v>11</v>
      </c>
      <c r="C975" s="15">
        <f t="shared" si="31"/>
        <v>2012</v>
      </c>
      <c r="D975" s="13">
        <v>-28.46</v>
      </c>
      <c r="E975" s="13">
        <v>29.717853839037929</v>
      </c>
      <c r="F975" s="13"/>
      <c r="G975" s="13"/>
      <c r="H975" s="13">
        <v>26.94</v>
      </c>
      <c r="I975" s="13">
        <v>546.52</v>
      </c>
      <c r="J975" s="13"/>
      <c r="K975" s="13"/>
    </row>
    <row r="976" spans="1:11" x14ac:dyDescent="0.25">
      <c r="A976" s="10">
        <v>41240</v>
      </c>
      <c r="B976" s="15">
        <f t="shared" si="30"/>
        <v>11</v>
      </c>
      <c r="C976" s="15">
        <f t="shared" si="31"/>
        <v>2012</v>
      </c>
      <c r="D976" s="13">
        <v>-28.46</v>
      </c>
      <c r="E976" s="13">
        <v>29.782138442521628</v>
      </c>
      <c r="F976" s="13"/>
      <c r="G976" s="13"/>
      <c r="H976" s="13">
        <v>26.94</v>
      </c>
      <c r="I976" s="13">
        <v>546.52</v>
      </c>
      <c r="J976" s="13"/>
      <c r="K976" s="13"/>
    </row>
    <row r="977" spans="1:11" x14ac:dyDescent="0.25">
      <c r="A977" s="10">
        <v>41241</v>
      </c>
      <c r="B977" s="15">
        <f t="shared" si="30"/>
        <v>11</v>
      </c>
      <c r="C977" s="15">
        <f t="shared" si="31"/>
        <v>2012</v>
      </c>
      <c r="D977" s="13">
        <v>-28.46</v>
      </c>
      <c r="E977" s="13">
        <v>29.766041232337273</v>
      </c>
      <c r="F977" s="13"/>
      <c r="G977" s="13"/>
      <c r="H977" s="13">
        <v>26.94</v>
      </c>
      <c r="I977" s="13">
        <v>546.52</v>
      </c>
      <c r="J977" s="13"/>
      <c r="K977" s="13"/>
    </row>
    <row r="978" spans="1:11" x14ac:dyDescent="0.25">
      <c r="A978" s="10">
        <v>41242</v>
      </c>
      <c r="B978" s="15">
        <f t="shared" si="30"/>
        <v>11</v>
      </c>
      <c r="C978" s="15">
        <f t="shared" si="31"/>
        <v>2012</v>
      </c>
      <c r="D978" s="13">
        <v>-28.46</v>
      </c>
      <c r="E978" s="13">
        <v>29.706403637204282</v>
      </c>
      <c r="F978" s="13"/>
      <c r="G978" s="13"/>
      <c r="H978" s="13">
        <v>26.94</v>
      </c>
      <c r="I978" s="13">
        <v>546.52</v>
      </c>
      <c r="J978" s="13"/>
      <c r="K978" s="13"/>
    </row>
    <row r="979" spans="1:11" x14ac:dyDescent="0.25">
      <c r="A979" s="10">
        <v>41243</v>
      </c>
      <c r="B979" s="15">
        <f t="shared" si="30"/>
        <v>11</v>
      </c>
      <c r="C979" s="15">
        <f t="shared" si="31"/>
        <v>2012</v>
      </c>
      <c r="D979" s="13">
        <v>-28.46</v>
      </c>
      <c r="E979" s="13">
        <v>29.690388170055449</v>
      </c>
      <c r="F979" s="13"/>
      <c r="G979" s="13"/>
      <c r="H979" s="13">
        <v>26.94</v>
      </c>
      <c r="I979" s="13">
        <v>546.52</v>
      </c>
      <c r="J979" s="13"/>
      <c r="K979" s="13"/>
    </row>
    <row r="980" spans="1:11" x14ac:dyDescent="0.25">
      <c r="A980" s="10">
        <v>41246</v>
      </c>
      <c r="B980" s="15">
        <f t="shared" si="30"/>
        <v>12</v>
      </c>
      <c r="C980" s="15">
        <f t="shared" si="31"/>
        <v>2012</v>
      </c>
      <c r="D980" s="13">
        <v>-57.8</v>
      </c>
      <c r="E980" s="13">
        <v>22.784034321611891</v>
      </c>
      <c r="F980" s="13"/>
      <c r="G980" s="13"/>
      <c r="H980" s="13">
        <v>7.67</v>
      </c>
      <c r="I980" s="13">
        <v>554.36</v>
      </c>
      <c r="J980" s="13"/>
      <c r="K980" s="13"/>
    </row>
    <row r="981" spans="1:11" x14ac:dyDescent="0.25">
      <c r="A981" s="10">
        <v>41247</v>
      </c>
      <c r="B981" s="15">
        <f t="shared" si="30"/>
        <v>12</v>
      </c>
      <c r="C981" s="15">
        <f t="shared" si="31"/>
        <v>2012</v>
      </c>
      <c r="D981" s="13">
        <v>-57.8</v>
      </c>
      <c r="E981" s="13">
        <v>22.714427556709694</v>
      </c>
      <c r="F981" s="13"/>
      <c r="G981" s="13"/>
      <c r="H981" s="13">
        <v>7.67</v>
      </c>
      <c r="I981" s="13">
        <v>554.36</v>
      </c>
      <c r="J981" s="13"/>
      <c r="K981" s="13"/>
    </row>
    <row r="982" spans="1:11" x14ac:dyDescent="0.25">
      <c r="A982" s="10">
        <v>41248</v>
      </c>
      <c r="B982" s="15">
        <f t="shared" si="30"/>
        <v>12</v>
      </c>
      <c r="C982" s="15">
        <f t="shared" si="31"/>
        <v>2012</v>
      </c>
      <c r="D982" s="13">
        <v>-57.8</v>
      </c>
      <c r="E982" s="13">
        <v>22.761365375784479</v>
      </c>
      <c r="F982" s="13"/>
      <c r="G982" s="13"/>
      <c r="H982" s="13">
        <v>7.67</v>
      </c>
      <c r="I982" s="13">
        <v>554.36</v>
      </c>
      <c r="J982" s="13"/>
      <c r="K982" s="13"/>
    </row>
    <row r="983" spans="1:11" x14ac:dyDescent="0.25">
      <c r="A983" s="10">
        <v>41249</v>
      </c>
      <c r="B983" s="15">
        <f t="shared" si="30"/>
        <v>12</v>
      </c>
      <c r="C983" s="15">
        <f t="shared" si="31"/>
        <v>2012</v>
      </c>
      <c r="D983" s="13">
        <v>-57.8</v>
      </c>
      <c r="E983" s="13">
        <v>22.935143055448446</v>
      </c>
      <c r="F983" s="13"/>
      <c r="G983" s="13"/>
      <c r="H983" s="13">
        <v>7.67</v>
      </c>
      <c r="I983" s="13">
        <v>554.36</v>
      </c>
      <c r="J983" s="13"/>
      <c r="K983" s="13"/>
    </row>
    <row r="984" spans="1:11" x14ac:dyDescent="0.25">
      <c r="A984" s="10">
        <v>41250</v>
      </c>
      <c r="B984" s="15">
        <f t="shared" si="30"/>
        <v>12</v>
      </c>
      <c r="C984" s="15">
        <f t="shared" si="31"/>
        <v>2012</v>
      </c>
      <c r="D984" s="13">
        <v>-57.8</v>
      </c>
      <c r="E984" s="13">
        <v>23.011451562983595</v>
      </c>
      <c r="F984" s="13"/>
      <c r="G984" s="13"/>
      <c r="H984" s="13">
        <v>7.67</v>
      </c>
      <c r="I984" s="13">
        <v>554.36</v>
      </c>
      <c r="J984" s="13"/>
      <c r="K984" s="13"/>
    </row>
    <row r="985" spans="1:11" x14ac:dyDescent="0.25">
      <c r="A985" s="10">
        <v>41253</v>
      </c>
      <c r="B985" s="15">
        <f t="shared" si="30"/>
        <v>12</v>
      </c>
      <c r="C985" s="15">
        <f t="shared" si="31"/>
        <v>2012</v>
      </c>
      <c r="D985" s="13">
        <v>-48.52</v>
      </c>
      <c r="E985" s="13">
        <v>12.975270479134466</v>
      </c>
      <c r="F985" s="13"/>
      <c r="G985" s="13"/>
      <c r="H985" s="13">
        <v>1.68</v>
      </c>
      <c r="I985" s="13">
        <v>556.89</v>
      </c>
      <c r="J985" s="13"/>
      <c r="K985" s="13"/>
    </row>
    <row r="986" spans="1:11" x14ac:dyDescent="0.25">
      <c r="A986" s="10">
        <v>41254</v>
      </c>
      <c r="B986" s="15">
        <f t="shared" si="30"/>
        <v>12</v>
      </c>
      <c r="C986" s="15">
        <f t="shared" si="31"/>
        <v>2012</v>
      </c>
      <c r="D986" s="13">
        <v>-48.52</v>
      </c>
      <c r="E986" s="13">
        <v>12.911411873269763</v>
      </c>
      <c r="F986" s="13"/>
      <c r="G986" s="13"/>
      <c r="H986" s="13">
        <v>1.68</v>
      </c>
      <c r="I986" s="13">
        <v>556.89</v>
      </c>
      <c r="J986" s="13"/>
      <c r="K986" s="13"/>
    </row>
    <row r="987" spans="1:11" x14ac:dyDescent="0.25">
      <c r="A987" s="10">
        <v>41255</v>
      </c>
      <c r="B987" s="15">
        <f t="shared" si="30"/>
        <v>12</v>
      </c>
      <c r="C987" s="15">
        <f t="shared" si="31"/>
        <v>2012</v>
      </c>
      <c r="D987" s="13">
        <v>-48.52</v>
      </c>
      <c r="E987" s="13">
        <v>12.844247246022032</v>
      </c>
      <c r="F987" s="13"/>
      <c r="G987" s="13"/>
      <c r="H987" s="13">
        <v>1.68</v>
      </c>
      <c r="I987" s="13">
        <v>556.89</v>
      </c>
      <c r="J987" s="13"/>
      <c r="K987" s="13"/>
    </row>
    <row r="988" spans="1:11" x14ac:dyDescent="0.25">
      <c r="A988" s="10">
        <v>41256</v>
      </c>
      <c r="B988" s="15">
        <f t="shared" si="30"/>
        <v>12</v>
      </c>
      <c r="C988" s="15">
        <f t="shared" si="31"/>
        <v>2012</v>
      </c>
      <c r="D988" s="13">
        <v>-48.52</v>
      </c>
      <c r="E988" s="13">
        <v>12.840318140104007</v>
      </c>
      <c r="F988" s="13"/>
      <c r="G988" s="13"/>
      <c r="H988" s="13">
        <v>1.68</v>
      </c>
      <c r="I988" s="13">
        <v>556.89</v>
      </c>
      <c r="J988" s="13"/>
      <c r="K988" s="13"/>
    </row>
    <row r="989" spans="1:11" x14ac:dyDescent="0.25">
      <c r="A989" s="10">
        <v>41257</v>
      </c>
      <c r="B989" s="15">
        <f t="shared" si="30"/>
        <v>12</v>
      </c>
      <c r="C989" s="15">
        <f t="shared" si="31"/>
        <v>2012</v>
      </c>
      <c r="D989" s="13">
        <v>-48.52</v>
      </c>
      <c r="E989" s="13">
        <v>12.757389256135552</v>
      </c>
      <c r="F989" s="13"/>
      <c r="G989" s="13"/>
      <c r="H989" s="13">
        <v>1.68</v>
      </c>
      <c r="I989" s="13">
        <v>556.89</v>
      </c>
      <c r="J989" s="13"/>
      <c r="K989" s="13"/>
    </row>
    <row r="990" spans="1:11" x14ac:dyDescent="0.25">
      <c r="A990" s="10">
        <v>41260</v>
      </c>
      <c r="B990" s="15">
        <f t="shared" si="30"/>
        <v>12</v>
      </c>
      <c r="C990" s="15">
        <f t="shared" si="31"/>
        <v>2012</v>
      </c>
      <c r="D990" s="13">
        <v>-50.81</v>
      </c>
      <c r="E990" s="13">
        <v>23.429309427941959</v>
      </c>
      <c r="F990" s="13"/>
      <c r="G990" s="13"/>
      <c r="H990" s="13">
        <v>16.899999999999999</v>
      </c>
      <c r="I990" s="13">
        <v>537.75</v>
      </c>
      <c r="J990" s="13"/>
      <c r="K990" s="13"/>
    </row>
    <row r="991" spans="1:11" x14ac:dyDescent="0.25">
      <c r="A991" s="10">
        <v>41261</v>
      </c>
      <c r="B991" s="15">
        <f t="shared" si="30"/>
        <v>12</v>
      </c>
      <c r="C991" s="15">
        <f t="shared" si="31"/>
        <v>2012</v>
      </c>
      <c r="D991" s="13">
        <v>-50.81</v>
      </c>
      <c r="E991" s="13">
        <v>23.312419684027518</v>
      </c>
      <c r="F991" s="13"/>
      <c r="G991" s="13"/>
      <c r="H991" s="13">
        <v>16.899999999999999</v>
      </c>
      <c r="I991" s="13">
        <v>537.75</v>
      </c>
      <c r="J991" s="13"/>
      <c r="K991" s="13"/>
    </row>
    <row r="992" spans="1:11" x14ac:dyDescent="0.25">
      <c r="A992" s="10">
        <v>41262</v>
      </c>
      <c r="B992" s="15">
        <f t="shared" si="30"/>
        <v>12</v>
      </c>
      <c r="C992" s="15">
        <f t="shared" si="31"/>
        <v>2012</v>
      </c>
      <c r="D992" s="13">
        <v>-50.81</v>
      </c>
      <c r="E992" s="13">
        <v>23.317707545743232</v>
      </c>
      <c r="F992" s="13"/>
      <c r="G992" s="13"/>
      <c r="H992" s="13">
        <v>16.899999999999999</v>
      </c>
      <c r="I992" s="13">
        <v>537.75</v>
      </c>
      <c r="J992" s="13"/>
      <c r="K992" s="13"/>
    </row>
    <row r="993" spans="1:11" x14ac:dyDescent="0.25">
      <c r="A993" s="10">
        <v>41263</v>
      </c>
      <c r="B993" s="15">
        <f t="shared" si="30"/>
        <v>12</v>
      </c>
      <c r="C993" s="15">
        <f t="shared" si="31"/>
        <v>2012</v>
      </c>
      <c r="D993" s="13">
        <v>-50.81</v>
      </c>
      <c r="E993" s="13">
        <v>23.289533303126415</v>
      </c>
      <c r="F993" s="13"/>
      <c r="G993" s="13"/>
      <c r="H993" s="13">
        <v>16.899999999999999</v>
      </c>
      <c r="I993" s="13">
        <v>537.75</v>
      </c>
      <c r="J993" s="13"/>
      <c r="K993" s="13"/>
    </row>
    <row r="994" spans="1:11" x14ac:dyDescent="0.25">
      <c r="A994" s="10">
        <v>41264</v>
      </c>
      <c r="B994" s="15">
        <f t="shared" si="30"/>
        <v>12</v>
      </c>
      <c r="C994" s="15">
        <f t="shared" si="31"/>
        <v>2012</v>
      </c>
      <c r="D994" s="13">
        <v>-50.81</v>
      </c>
      <c r="E994" s="13">
        <v>23.390216154721273</v>
      </c>
      <c r="F994" s="13"/>
      <c r="G994" s="13"/>
      <c r="H994" s="13">
        <v>16.899999999999999</v>
      </c>
      <c r="I994" s="13">
        <v>537.75</v>
      </c>
      <c r="J994" s="13"/>
      <c r="K994" s="13"/>
    </row>
    <row r="995" spans="1:11" x14ac:dyDescent="0.25">
      <c r="A995" s="10">
        <v>41267</v>
      </c>
      <c r="B995" s="15">
        <f t="shared" si="30"/>
        <v>12</v>
      </c>
      <c r="C995" s="15">
        <f t="shared" si="31"/>
        <v>2012</v>
      </c>
      <c r="D995" s="13">
        <v>-52.69</v>
      </c>
      <c r="E995" s="13">
        <v>16.41892916729865</v>
      </c>
      <c r="F995" s="13"/>
      <c r="G995" s="13"/>
      <c r="H995" s="13">
        <v>10.51</v>
      </c>
      <c r="I995" s="13">
        <v>3.32</v>
      </c>
      <c r="J995" s="13"/>
      <c r="K995" s="13"/>
    </row>
    <row r="996" spans="1:11" x14ac:dyDescent="0.25">
      <c r="A996" s="10">
        <v>41269</v>
      </c>
      <c r="B996" s="15">
        <f t="shared" si="30"/>
        <v>12</v>
      </c>
      <c r="C996" s="15">
        <f t="shared" si="31"/>
        <v>2012</v>
      </c>
      <c r="D996" s="13">
        <v>-52.69</v>
      </c>
      <c r="E996" s="13">
        <v>16.372986462981167</v>
      </c>
      <c r="F996" s="13"/>
      <c r="G996" s="13"/>
      <c r="H996" s="13">
        <v>10.51</v>
      </c>
      <c r="I996" s="13">
        <v>3.32</v>
      </c>
      <c r="J996" s="13"/>
      <c r="K996" s="13"/>
    </row>
    <row r="997" spans="1:11" x14ac:dyDescent="0.25">
      <c r="A997" s="10">
        <v>41270</v>
      </c>
      <c r="B997" s="15">
        <f t="shared" si="30"/>
        <v>12</v>
      </c>
      <c r="C997" s="15">
        <f t="shared" si="31"/>
        <v>2012</v>
      </c>
      <c r="D997" s="13">
        <v>-52.69</v>
      </c>
      <c r="E997" s="13">
        <v>16.358141292028712</v>
      </c>
      <c r="F997" s="13"/>
      <c r="G997" s="13"/>
      <c r="H997" s="13">
        <v>10.51</v>
      </c>
      <c r="I997" s="13">
        <v>3.32</v>
      </c>
      <c r="J997" s="13"/>
      <c r="K997" s="13"/>
    </row>
    <row r="998" spans="1:11" x14ac:dyDescent="0.25">
      <c r="A998" s="10">
        <v>41271</v>
      </c>
      <c r="B998" s="15">
        <f t="shared" si="30"/>
        <v>12</v>
      </c>
      <c r="C998" s="15">
        <f t="shared" si="31"/>
        <v>2012</v>
      </c>
      <c r="D998" s="13">
        <v>-52.69</v>
      </c>
      <c r="E998" s="13">
        <v>16.384138035416981</v>
      </c>
      <c r="F998" s="13"/>
      <c r="G998" s="13"/>
      <c r="H998" s="13">
        <v>10.51</v>
      </c>
      <c r="I998" s="13">
        <v>3.32</v>
      </c>
      <c r="J998" s="13"/>
      <c r="K998" s="13"/>
    </row>
    <row r="999" spans="1:11" x14ac:dyDescent="0.25">
      <c r="A999" s="10">
        <v>41274</v>
      </c>
      <c r="B999" s="15">
        <f t="shared" si="30"/>
        <v>12</v>
      </c>
      <c r="C999" s="15">
        <f t="shared" si="31"/>
        <v>2012</v>
      </c>
      <c r="D999" s="13">
        <v>-62.6</v>
      </c>
      <c r="E999" s="13">
        <v>19.675610125814767</v>
      </c>
      <c r="F999" s="13"/>
      <c r="G999" s="13"/>
      <c r="H999" s="13">
        <v>7.66</v>
      </c>
      <c r="I999" s="13">
        <v>517.91</v>
      </c>
      <c r="J999" s="13"/>
      <c r="K999" s="13"/>
    </row>
    <row r="1000" spans="1:11" x14ac:dyDescent="0.25">
      <c r="A1000" s="10">
        <v>41276</v>
      </c>
      <c r="B1000" s="15">
        <f t="shared" si="30"/>
        <v>1</v>
      </c>
      <c r="C1000" s="15">
        <f t="shared" si="31"/>
        <v>2013</v>
      </c>
      <c r="D1000" s="13">
        <v>-62.6</v>
      </c>
      <c r="E1000" s="13">
        <v>19.690533980582526</v>
      </c>
      <c r="F1000" s="13"/>
      <c r="G1000" s="13"/>
      <c r="H1000" s="13">
        <v>7.66</v>
      </c>
      <c r="I1000" s="13">
        <v>517.91</v>
      </c>
      <c r="J1000" s="13"/>
      <c r="K1000" s="13"/>
    </row>
    <row r="1001" spans="1:11" x14ac:dyDescent="0.25">
      <c r="A1001" s="10">
        <v>41277</v>
      </c>
      <c r="B1001" s="15">
        <f t="shared" si="30"/>
        <v>1</v>
      </c>
      <c r="C1001" s="15">
        <f t="shared" si="31"/>
        <v>2013</v>
      </c>
      <c r="D1001" s="13">
        <v>-62.6</v>
      </c>
      <c r="E1001" s="13">
        <v>19.898819561551434</v>
      </c>
      <c r="F1001" s="13"/>
      <c r="G1001" s="13"/>
      <c r="H1001" s="13">
        <v>7.66</v>
      </c>
      <c r="I1001" s="13">
        <v>517.91</v>
      </c>
      <c r="J1001" s="13"/>
      <c r="K1001" s="13"/>
    </row>
    <row r="1002" spans="1:11" x14ac:dyDescent="0.25">
      <c r="A1002" s="10">
        <v>41278</v>
      </c>
      <c r="B1002" s="15">
        <f t="shared" si="30"/>
        <v>1</v>
      </c>
      <c r="C1002" s="15">
        <f t="shared" si="31"/>
        <v>2013</v>
      </c>
      <c r="D1002" s="13">
        <v>-62.6</v>
      </c>
      <c r="E1002" s="13">
        <v>19.866840131629296</v>
      </c>
      <c r="F1002" s="13"/>
      <c r="G1002" s="13"/>
      <c r="H1002" s="13">
        <v>7.66</v>
      </c>
      <c r="I1002" s="13">
        <v>517.91</v>
      </c>
      <c r="J1002" s="13"/>
      <c r="K1002" s="13"/>
    </row>
    <row r="1003" spans="1:11" x14ac:dyDescent="0.25">
      <c r="A1003" s="10">
        <v>41281</v>
      </c>
      <c r="B1003" s="15">
        <f t="shared" si="30"/>
        <v>1</v>
      </c>
      <c r="C1003" s="15">
        <f t="shared" si="31"/>
        <v>2013</v>
      </c>
      <c r="D1003" s="13">
        <v>9.61</v>
      </c>
      <c r="E1003" s="13">
        <v>-1.5402211208539838</v>
      </c>
      <c r="F1003" s="13"/>
      <c r="G1003" s="13"/>
      <c r="H1003" s="13">
        <v>63.96</v>
      </c>
      <c r="I1003" s="13">
        <v>60.33</v>
      </c>
      <c r="J1003" s="13"/>
      <c r="K1003" s="13"/>
    </row>
    <row r="1004" spans="1:11" x14ac:dyDescent="0.25">
      <c r="A1004" s="10">
        <v>41282</v>
      </c>
      <c r="B1004" s="15">
        <f t="shared" si="30"/>
        <v>1</v>
      </c>
      <c r="C1004" s="15">
        <f t="shared" si="31"/>
        <v>2013</v>
      </c>
      <c r="D1004" s="13">
        <v>9.61</v>
      </c>
      <c r="E1004" s="13">
        <v>-1.5443425076452599</v>
      </c>
      <c r="F1004" s="13"/>
      <c r="G1004" s="13"/>
      <c r="H1004" s="13">
        <v>63.96</v>
      </c>
      <c r="I1004" s="13">
        <v>60.33</v>
      </c>
      <c r="J1004" s="13"/>
      <c r="K1004" s="13"/>
    </row>
    <row r="1005" spans="1:11" x14ac:dyDescent="0.25">
      <c r="A1005" s="10">
        <v>41283</v>
      </c>
      <c r="B1005" s="15">
        <f t="shared" si="30"/>
        <v>1</v>
      </c>
      <c r="C1005" s="15">
        <f t="shared" si="31"/>
        <v>2013</v>
      </c>
      <c r="D1005" s="13">
        <v>9.61</v>
      </c>
      <c r="E1005" s="13">
        <v>-1.5463522927352062</v>
      </c>
      <c r="F1005" s="13"/>
      <c r="G1005" s="13"/>
      <c r="H1005" s="13">
        <v>63.96</v>
      </c>
      <c r="I1005" s="13">
        <v>60.33</v>
      </c>
      <c r="J1005" s="13"/>
      <c r="K1005" s="13"/>
    </row>
    <row r="1006" spans="1:11" x14ac:dyDescent="0.25">
      <c r="A1006" s="10">
        <v>41284</v>
      </c>
      <c r="B1006" s="15">
        <f t="shared" si="30"/>
        <v>1</v>
      </c>
      <c r="C1006" s="15">
        <f t="shared" si="31"/>
        <v>2013</v>
      </c>
      <c r="D1006" s="13">
        <v>9.61</v>
      </c>
      <c r="E1006" s="13">
        <v>-1.5223453161504259</v>
      </c>
      <c r="F1006" s="13"/>
      <c r="G1006" s="13"/>
      <c r="H1006" s="13">
        <v>63.96</v>
      </c>
      <c r="I1006" s="13">
        <v>60.33</v>
      </c>
      <c r="J1006" s="13"/>
      <c r="K1006" s="13"/>
    </row>
    <row r="1007" spans="1:11" x14ac:dyDescent="0.25">
      <c r="A1007" s="10">
        <v>41285</v>
      </c>
      <c r="B1007" s="15">
        <f t="shared" si="30"/>
        <v>1</v>
      </c>
      <c r="C1007" s="15">
        <f t="shared" si="31"/>
        <v>2013</v>
      </c>
      <c r="D1007" s="13">
        <v>9.61</v>
      </c>
      <c r="E1007" s="13">
        <v>-1.5139024207449598</v>
      </c>
      <c r="F1007" s="13"/>
      <c r="G1007" s="13"/>
      <c r="H1007" s="13">
        <v>63.96</v>
      </c>
      <c r="I1007" s="13">
        <v>60.33</v>
      </c>
      <c r="J1007" s="13"/>
      <c r="K1007" s="13"/>
    </row>
    <row r="1008" spans="1:11" x14ac:dyDescent="0.25">
      <c r="A1008" s="10">
        <v>41288</v>
      </c>
      <c r="B1008" s="15">
        <f t="shared" si="30"/>
        <v>1</v>
      </c>
      <c r="C1008" s="15">
        <f t="shared" si="31"/>
        <v>2013</v>
      </c>
      <c r="D1008" s="13">
        <v>32.159999999999997</v>
      </c>
      <c r="E1008" s="13">
        <v>6.7254520998356</v>
      </c>
      <c r="F1008" s="13"/>
      <c r="G1008" s="13"/>
      <c r="H1008" s="13">
        <v>88.1</v>
      </c>
      <c r="I1008" s="13">
        <v>544.01</v>
      </c>
      <c r="J1008" s="13"/>
      <c r="K1008" s="13"/>
    </row>
    <row r="1009" spans="1:11" x14ac:dyDescent="0.25">
      <c r="A1009" s="10">
        <v>41289</v>
      </c>
      <c r="B1009" s="15">
        <f t="shared" si="30"/>
        <v>1</v>
      </c>
      <c r="C1009" s="15">
        <f t="shared" si="31"/>
        <v>2013</v>
      </c>
      <c r="D1009" s="13">
        <v>32.159999999999997</v>
      </c>
      <c r="E1009" s="13">
        <v>6.7653912651281667</v>
      </c>
      <c r="F1009" s="13"/>
      <c r="G1009" s="13"/>
      <c r="H1009" s="13">
        <v>88.1</v>
      </c>
      <c r="I1009" s="13">
        <v>544.01</v>
      </c>
      <c r="J1009" s="13"/>
      <c r="K1009" s="13"/>
    </row>
    <row r="1010" spans="1:11" x14ac:dyDescent="0.25">
      <c r="A1010" s="10">
        <v>41290</v>
      </c>
      <c r="B1010" s="15">
        <f t="shared" si="30"/>
        <v>1</v>
      </c>
      <c r="C1010" s="15">
        <f t="shared" si="31"/>
        <v>2013</v>
      </c>
      <c r="D1010" s="13">
        <v>32.159999999999997</v>
      </c>
      <c r="E1010" s="13">
        <v>6.7725186244262172</v>
      </c>
      <c r="F1010" s="13"/>
      <c r="G1010" s="13"/>
      <c r="H1010" s="13">
        <v>88.1</v>
      </c>
      <c r="I1010" s="13">
        <v>544.01</v>
      </c>
      <c r="J1010" s="13"/>
      <c r="K1010" s="13"/>
    </row>
    <row r="1011" spans="1:11" x14ac:dyDescent="0.25">
      <c r="A1011" s="10">
        <v>41291</v>
      </c>
      <c r="B1011" s="15">
        <f t="shared" si="30"/>
        <v>1</v>
      </c>
      <c r="C1011" s="15">
        <f t="shared" si="31"/>
        <v>2013</v>
      </c>
      <c r="D1011" s="13">
        <v>32.159999999999997</v>
      </c>
      <c r="E1011" s="13">
        <v>6.7294751009421265</v>
      </c>
      <c r="F1011" s="13"/>
      <c r="G1011" s="13"/>
      <c r="H1011" s="13">
        <v>88.1</v>
      </c>
      <c r="I1011" s="13">
        <v>544.01</v>
      </c>
      <c r="J1011" s="13"/>
      <c r="K1011" s="13"/>
    </row>
    <row r="1012" spans="1:11" x14ac:dyDescent="0.25">
      <c r="A1012" s="10">
        <v>41292</v>
      </c>
      <c r="B1012" s="15">
        <f t="shared" si="30"/>
        <v>1</v>
      </c>
      <c r="C1012" s="15">
        <f t="shared" si="31"/>
        <v>2013</v>
      </c>
      <c r="D1012" s="13">
        <v>32.159999999999997</v>
      </c>
      <c r="E1012" s="13">
        <v>6.7582788916422611</v>
      </c>
      <c r="F1012" s="13"/>
      <c r="G1012" s="13"/>
      <c r="H1012" s="13">
        <v>88.1</v>
      </c>
      <c r="I1012" s="13">
        <v>544.01</v>
      </c>
      <c r="J1012" s="13"/>
      <c r="K1012" s="13"/>
    </row>
    <row r="1013" spans="1:11" x14ac:dyDescent="0.25">
      <c r="A1013" s="10">
        <v>41296</v>
      </c>
      <c r="B1013" s="15">
        <f t="shared" si="30"/>
        <v>1</v>
      </c>
      <c r="C1013" s="15">
        <f t="shared" si="31"/>
        <v>2013</v>
      </c>
      <c r="D1013" s="13">
        <v>53.57</v>
      </c>
      <c r="E1013" s="13">
        <v>1.0135135135135136</v>
      </c>
      <c r="F1013" s="13"/>
      <c r="G1013" s="13"/>
      <c r="H1013" s="13">
        <v>96.25</v>
      </c>
      <c r="I1013" s="13">
        <v>550.94000000000005</v>
      </c>
      <c r="J1013" s="13"/>
      <c r="K1013" s="13"/>
    </row>
    <row r="1014" spans="1:11" x14ac:dyDescent="0.25">
      <c r="A1014" s="10">
        <v>41297</v>
      </c>
      <c r="B1014" s="15">
        <f t="shared" si="30"/>
        <v>1</v>
      </c>
      <c r="C1014" s="15">
        <f t="shared" si="31"/>
        <v>2013</v>
      </c>
      <c r="D1014" s="13">
        <v>53.57</v>
      </c>
      <c r="E1014" s="13">
        <v>1.0138179633523583</v>
      </c>
      <c r="F1014" s="13"/>
      <c r="G1014" s="13"/>
      <c r="H1014" s="13">
        <v>96.25</v>
      </c>
      <c r="I1014" s="13">
        <v>550.94000000000005</v>
      </c>
      <c r="J1014" s="13"/>
      <c r="K1014" s="13"/>
    </row>
    <row r="1015" spans="1:11" x14ac:dyDescent="0.25">
      <c r="A1015" s="10">
        <v>41298</v>
      </c>
      <c r="B1015" s="15">
        <f t="shared" si="30"/>
        <v>1</v>
      </c>
      <c r="C1015" s="15">
        <f t="shared" si="31"/>
        <v>2013</v>
      </c>
      <c r="D1015" s="13">
        <v>53.57</v>
      </c>
      <c r="E1015" s="13">
        <v>1.009421265141319</v>
      </c>
      <c r="F1015" s="13"/>
      <c r="G1015" s="13"/>
      <c r="H1015" s="13">
        <v>96.25</v>
      </c>
      <c r="I1015" s="13">
        <v>550.94000000000005</v>
      </c>
      <c r="J1015" s="13"/>
      <c r="K1015" s="13"/>
    </row>
    <row r="1016" spans="1:11" x14ac:dyDescent="0.25">
      <c r="A1016" s="10">
        <v>41299</v>
      </c>
      <c r="B1016" s="15">
        <f t="shared" si="30"/>
        <v>1</v>
      </c>
      <c r="C1016" s="15">
        <f t="shared" si="31"/>
        <v>2013</v>
      </c>
      <c r="D1016" s="13">
        <v>53.57</v>
      </c>
      <c r="E1016" s="13">
        <v>1.0029717682020802</v>
      </c>
      <c r="F1016" s="13"/>
      <c r="G1016" s="13"/>
      <c r="H1016" s="13">
        <v>96.25</v>
      </c>
      <c r="I1016" s="13">
        <v>550.94000000000005</v>
      </c>
      <c r="J1016" s="13"/>
      <c r="K1016" s="13"/>
    </row>
    <row r="1017" spans="1:11" x14ac:dyDescent="0.25">
      <c r="A1017" s="10">
        <v>41302</v>
      </c>
      <c r="B1017" s="15">
        <f t="shared" si="30"/>
        <v>1</v>
      </c>
      <c r="C1017" s="15">
        <f t="shared" si="31"/>
        <v>2013</v>
      </c>
      <c r="D1017" s="13">
        <v>58.04</v>
      </c>
      <c r="E1017" s="13">
        <v>2.571534745447789</v>
      </c>
      <c r="F1017" s="13"/>
      <c r="G1017" s="13"/>
      <c r="H1017" s="13">
        <v>108.68</v>
      </c>
      <c r="I1017" s="13">
        <v>127</v>
      </c>
      <c r="J1017" s="13"/>
      <c r="K1017" s="13"/>
    </row>
    <row r="1018" spans="1:11" x14ac:dyDescent="0.25">
      <c r="A1018" s="10">
        <v>41303</v>
      </c>
      <c r="B1018" s="15">
        <f t="shared" si="30"/>
        <v>1</v>
      </c>
      <c r="C1018" s="15">
        <f t="shared" si="31"/>
        <v>2013</v>
      </c>
      <c r="D1018" s="13">
        <v>58.04</v>
      </c>
      <c r="E1018" s="13">
        <v>2.564672744792825</v>
      </c>
      <c r="F1018" s="13"/>
      <c r="G1018" s="13"/>
      <c r="H1018" s="13">
        <v>108.68</v>
      </c>
      <c r="I1018" s="13">
        <v>127</v>
      </c>
      <c r="J1018" s="13"/>
      <c r="K1018" s="13"/>
    </row>
    <row r="1019" spans="1:11" x14ac:dyDescent="0.25">
      <c r="A1019" s="10">
        <v>41304</v>
      </c>
      <c r="B1019" s="15">
        <f t="shared" si="30"/>
        <v>1</v>
      </c>
      <c r="C1019" s="15">
        <f t="shared" si="31"/>
        <v>2013</v>
      </c>
      <c r="D1019" s="13">
        <v>58.04</v>
      </c>
      <c r="E1019" s="13">
        <v>2.5503058892901893</v>
      </c>
      <c r="F1019" s="13"/>
      <c r="G1019" s="13"/>
      <c r="H1019" s="13">
        <v>108.68</v>
      </c>
      <c r="I1019" s="13">
        <v>127</v>
      </c>
      <c r="J1019" s="13"/>
      <c r="K1019" s="13"/>
    </row>
    <row r="1020" spans="1:11" x14ac:dyDescent="0.25">
      <c r="A1020" s="10">
        <v>41305</v>
      </c>
      <c r="B1020" s="15">
        <f t="shared" si="30"/>
        <v>1</v>
      </c>
      <c r="C1020" s="15">
        <f t="shared" si="31"/>
        <v>2013</v>
      </c>
      <c r="D1020" s="13">
        <v>58.04</v>
      </c>
      <c r="E1020" s="13">
        <v>2.5482397996759465</v>
      </c>
      <c r="F1020" s="13"/>
      <c r="G1020" s="13"/>
      <c r="H1020" s="13">
        <v>108.68</v>
      </c>
      <c r="I1020" s="13">
        <v>127</v>
      </c>
      <c r="J1020" s="13"/>
      <c r="K1020" s="13"/>
    </row>
    <row r="1021" spans="1:11" x14ac:dyDescent="0.25">
      <c r="A1021" s="10">
        <v>41306</v>
      </c>
      <c r="B1021" s="15">
        <f t="shared" si="30"/>
        <v>2</v>
      </c>
      <c r="C1021" s="15">
        <f t="shared" si="31"/>
        <v>2013</v>
      </c>
      <c r="D1021" s="13">
        <v>58.04</v>
      </c>
      <c r="E1021" s="13">
        <v>2.5368428770437719</v>
      </c>
      <c r="F1021" s="13"/>
      <c r="G1021" s="13"/>
      <c r="H1021" s="13">
        <v>108.68</v>
      </c>
      <c r="I1021" s="13">
        <v>127</v>
      </c>
      <c r="J1021" s="13"/>
      <c r="K1021" s="13"/>
    </row>
    <row r="1022" spans="1:11" x14ac:dyDescent="0.25">
      <c r="A1022" s="10">
        <v>41309</v>
      </c>
      <c r="B1022" s="15">
        <f t="shared" si="30"/>
        <v>2</v>
      </c>
      <c r="C1022" s="15">
        <f t="shared" si="31"/>
        <v>2013</v>
      </c>
      <c r="D1022" s="13">
        <v>64</v>
      </c>
      <c r="E1022" s="13">
        <v>3.0341152963812625</v>
      </c>
      <c r="F1022" s="13"/>
      <c r="G1022" s="13"/>
      <c r="H1022" s="13">
        <v>99.02</v>
      </c>
      <c r="I1022" s="13">
        <v>-17.77</v>
      </c>
      <c r="J1022" s="13"/>
      <c r="K1022" s="13"/>
    </row>
    <row r="1023" spans="1:11" x14ac:dyDescent="0.25">
      <c r="A1023" s="10">
        <v>41310</v>
      </c>
      <c r="B1023" s="15">
        <f t="shared" si="30"/>
        <v>2</v>
      </c>
      <c r="C1023" s="15">
        <f t="shared" si="31"/>
        <v>2013</v>
      </c>
      <c r="D1023" s="13">
        <v>64</v>
      </c>
      <c r="E1023" s="13">
        <v>3.0189234960606726</v>
      </c>
      <c r="F1023" s="13"/>
      <c r="G1023" s="13"/>
      <c r="H1023" s="13">
        <v>99.02</v>
      </c>
      <c r="I1023" s="13">
        <v>-17.77</v>
      </c>
      <c r="J1023" s="13"/>
      <c r="K1023" s="13"/>
    </row>
    <row r="1024" spans="1:11" x14ac:dyDescent="0.25">
      <c r="A1024" s="10">
        <v>41311</v>
      </c>
      <c r="B1024" s="15">
        <f t="shared" si="30"/>
        <v>2</v>
      </c>
      <c r="C1024" s="15">
        <f t="shared" si="31"/>
        <v>2013</v>
      </c>
      <c r="D1024" s="13">
        <v>64</v>
      </c>
      <c r="E1024" s="13">
        <v>3.0325443786982245</v>
      </c>
      <c r="F1024" s="13"/>
      <c r="G1024" s="13"/>
      <c r="H1024" s="13">
        <v>99.02</v>
      </c>
      <c r="I1024" s="13">
        <v>-17.77</v>
      </c>
      <c r="J1024" s="13"/>
      <c r="K1024" s="13"/>
    </row>
    <row r="1025" spans="1:11" x14ac:dyDescent="0.25">
      <c r="A1025" s="10">
        <v>41312</v>
      </c>
      <c r="B1025" s="15">
        <f t="shared" si="30"/>
        <v>2</v>
      </c>
      <c r="C1025" s="15">
        <f t="shared" si="31"/>
        <v>2013</v>
      </c>
      <c r="D1025" s="13">
        <v>64</v>
      </c>
      <c r="E1025" s="13">
        <v>3.0606151089877573</v>
      </c>
      <c r="F1025" s="13"/>
      <c r="G1025" s="13"/>
      <c r="H1025" s="13">
        <v>99.02</v>
      </c>
      <c r="I1025" s="13">
        <v>-17.77</v>
      </c>
      <c r="J1025" s="13"/>
      <c r="K1025" s="13"/>
    </row>
    <row r="1026" spans="1:11" x14ac:dyDescent="0.25">
      <c r="A1026" s="10">
        <v>41313</v>
      </c>
      <c r="B1026" s="15">
        <f t="shared" si="30"/>
        <v>2</v>
      </c>
      <c r="C1026" s="15">
        <f t="shared" si="31"/>
        <v>2013</v>
      </c>
      <c r="D1026" s="13">
        <v>64</v>
      </c>
      <c r="E1026" s="13">
        <v>3.0681733143755143</v>
      </c>
      <c r="F1026" s="13"/>
      <c r="G1026" s="13"/>
      <c r="H1026" s="13">
        <v>99.02</v>
      </c>
      <c r="I1026" s="13">
        <v>-17.77</v>
      </c>
      <c r="J1026" s="13"/>
      <c r="K1026" s="13"/>
    </row>
    <row r="1027" spans="1:11" x14ac:dyDescent="0.25">
      <c r="A1027" s="10">
        <v>41316</v>
      </c>
      <c r="B1027" s="15">
        <f t="shared" ref="B1027:B1090" si="32">MONTH(A1027)</f>
        <v>2</v>
      </c>
      <c r="C1027" s="15">
        <f t="shared" ref="C1027:C1090" si="33">YEAR(A1027)</f>
        <v>2013</v>
      </c>
      <c r="D1027" s="13">
        <v>79.37</v>
      </c>
      <c r="E1027" s="13">
        <v>7.1012979263016556</v>
      </c>
      <c r="F1027" s="13"/>
      <c r="G1027" s="13"/>
      <c r="H1027" s="13">
        <v>120.07</v>
      </c>
      <c r="I1027" s="13">
        <v>529.11</v>
      </c>
      <c r="J1027" s="13"/>
      <c r="K1027" s="13"/>
    </row>
    <row r="1028" spans="1:11" x14ac:dyDescent="0.25">
      <c r="A1028" s="10">
        <v>41317</v>
      </c>
      <c r="B1028" s="15">
        <f t="shared" si="32"/>
        <v>2</v>
      </c>
      <c r="C1028" s="15">
        <f t="shared" si="33"/>
        <v>2013</v>
      </c>
      <c r="D1028" s="13">
        <v>79.37</v>
      </c>
      <c r="E1028" s="13">
        <v>7.0764885155727351</v>
      </c>
      <c r="F1028" s="13"/>
      <c r="G1028" s="13"/>
      <c r="H1028" s="13">
        <v>120.07</v>
      </c>
      <c r="I1028" s="13">
        <v>529.11</v>
      </c>
      <c r="J1028" s="13"/>
      <c r="K1028" s="13"/>
    </row>
    <row r="1029" spans="1:11" x14ac:dyDescent="0.25">
      <c r="A1029" s="10">
        <v>41318</v>
      </c>
      <c r="B1029" s="15">
        <f t="shared" si="32"/>
        <v>2</v>
      </c>
      <c r="C1029" s="15">
        <f t="shared" si="33"/>
        <v>2013</v>
      </c>
      <c r="D1029" s="13">
        <v>79.37</v>
      </c>
      <c r="E1029" s="13">
        <v>7.0764885155727351</v>
      </c>
      <c r="F1029" s="13"/>
      <c r="G1029" s="13"/>
      <c r="H1029" s="13">
        <v>120.07</v>
      </c>
      <c r="I1029" s="13">
        <v>529.11</v>
      </c>
      <c r="J1029" s="13"/>
      <c r="K1029" s="13"/>
    </row>
    <row r="1030" spans="1:11" x14ac:dyDescent="0.25">
      <c r="A1030" s="10">
        <v>41319</v>
      </c>
      <c r="B1030" s="15">
        <f t="shared" si="32"/>
        <v>2</v>
      </c>
      <c r="C1030" s="15">
        <f t="shared" si="33"/>
        <v>2013</v>
      </c>
      <c r="D1030" s="13">
        <v>79.37</v>
      </c>
      <c r="E1030" s="13">
        <v>7.1257485029940115</v>
      </c>
      <c r="F1030" s="13"/>
      <c r="G1030" s="13"/>
      <c r="H1030" s="13">
        <v>120.07</v>
      </c>
      <c r="I1030" s="13">
        <v>529.11</v>
      </c>
      <c r="J1030" s="13"/>
      <c r="K1030" s="13"/>
    </row>
    <row r="1031" spans="1:11" x14ac:dyDescent="0.25">
      <c r="A1031" s="10">
        <v>41320</v>
      </c>
      <c r="B1031" s="15">
        <f t="shared" si="32"/>
        <v>2</v>
      </c>
      <c r="C1031" s="15">
        <f t="shared" si="33"/>
        <v>2013</v>
      </c>
      <c r="D1031" s="13">
        <v>79.37</v>
      </c>
      <c r="E1031" s="13">
        <v>7.1246819338422389</v>
      </c>
      <c r="F1031" s="13"/>
      <c r="G1031" s="13"/>
      <c r="H1031" s="13">
        <v>120.07</v>
      </c>
      <c r="I1031" s="13">
        <v>529.11</v>
      </c>
      <c r="J1031" s="13"/>
      <c r="K1031" s="13"/>
    </row>
    <row r="1032" spans="1:11" x14ac:dyDescent="0.25">
      <c r="A1032" s="10">
        <v>41324</v>
      </c>
      <c r="B1032" s="15">
        <f t="shared" si="32"/>
        <v>2</v>
      </c>
      <c r="C1032" s="15">
        <f t="shared" si="33"/>
        <v>2013</v>
      </c>
      <c r="D1032" s="13">
        <v>54.71</v>
      </c>
      <c r="E1032" s="13">
        <v>-5.886747347975497</v>
      </c>
      <c r="F1032" s="13"/>
      <c r="G1032" s="13"/>
      <c r="H1032" s="13">
        <v>94.32</v>
      </c>
      <c r="I1032" s="13">
        <v>551.08000000000004</v>
      </c>
      <c r="J1032" s="13"/>
      <c r="K1032" s="13"/>
    </row>
    <row r="1033" spans="1:11" x14ac:dyDescent="0.25">
      <c r="A1033" s="10">
        <v>41325</v>
      </c>
      <c r="B1033" s="15">
        <f t="shared" si="32"/>
        <v>2</v>
      </c>
      <c r="C1033" s="15">
        <f t="shared" si="33"/>
        <v>2013</v>
      </c>
      <c r="D1033" s="13">
        <v>54.71</v>
      </c>
      <c r="E1033" s="13">
        <v>-5.9337349397590353</v>
      </c>
      <c r="F1033" s="13"/>
      <c r="G1033" s="13"/>
      <c r="H1033" s="13">
        <v>94.32</v>
      </c>
      <c r="I1033" s="13">
        <v>551.08000000000004</v>
      </c>
      <c r="J1033" s="13"/>
      <c r="K1033" s="13"/>
    </row>
    <row r="1034" spans="1:11" x14ac:dyDescent="0.25">
      <c r="A1034" s="10">
        <v>41326</v>
      </c>
      <c r="B1034" s="15">
        <f t="shared" si="32"/>
        <v>2</v>
      </c>
      <c r="C1034" s="15">
        <f t="shared" si="33"/>
        <v>2013</v>
      </c>
      <c r="D1034" s="13">
        <v>54.71</v>
      </c>
      <c r="E1034" s="13">
        <v>-5.975128905065211</v>
      </c>
      <c r="F1034" s="13"/>
      <c r="G1034" s="13"/>
      <c r="H1034" s="13">
        <v>94.32</v>
      </c>
      <c r="I1034" s="13">
        <v>551.08000000000004</v>
      </c>
      <c r="J1034" s="13"/>
      <c r="K1034" s="13"/>
    </row>
    <row r="1035" spans="1:11" x14ac:dyDescent="0.25">
      <c r="A1035" s="10">
        <v>41327</v>
      </c>
      <c r="B1035" s="15">
        <f t="shared" si="32"/>
        <v>2</v>
      </c>
      <c r="C1035" s="15">
        <f t="shared" si="33"/>
        <v>2013</v>
      </c>
      <c r="D1035" s="13">
        <v>54.71</v>
      </c>
      <c r="E1035" s="13">
        <v>-5.975128905065211</v>
      </c>
      <c r="F1035" s="13"/>
      <c r="G1035" s="13"/>
      <c r="H1035" s="13">
        <v>94.32</v>
      </c>
      <c r="I1035" s="13">
        <v>551.08000000000004</v>
      </c>
      <c r="J1035" s="13"/>
      <c r="K1035" s="13"/>
    </row>
    <row r="1036" spans="1:11" x14ac:dyDescent="0.25">
      <c r="A1036" s="10">
        <v>41330</v>
      </c>
      <c r="B1036" s="15">
        <f t="shared" si="32"/>
        <v>2</v>
      </c>
      <c r="C1036" s="15">
        <f t="shared" si="33"/>
        <v>2013</v>
      </c>
      <c r="D1036" s="13">
        <v>79</v>
      </c>
      <c r="E1036" s="13">
        <v>6.1476037360281728</v>
      </c>
      <c r="F1036" s="13"/>
      <c r="G1036" s="13"/>
      <c r="H1036" s="13">
        <v>101.99</v>
      </c>
      <c r="I1036" s="13">
        <v>-3.14</v>
      </c>
      <c r="J1036" s="13"/>
      <c r="K1036" s="13"/>
    </row>
    <row r="1037" spans="1:11" x14ac:dyDescent="0.25">
      <c r="A1037" s="10">
        <v>41331</v>
      </c>
      <c r="B1037" s="15">
        <f t="shared" si="32"/>
        <v>2</v>
      </c>
      <c r="C1037" s="15">
        <f t="shared" si="33"/>
        <v>2013</v>
      </c>
      <c r="D1037" s="13">
        <v>79</v>
      </c>
      <c r="E1037" s="13">
        <v>6.1480744200290935</v>
      </c>
      <c r="F1037" s="13"/>
      <c r="G1037" s="13"/>
      <c r="H1037" s="13">
        <v>101.99</v>
      </c>
      <c r="I1037" s="13">
        <v>-3.14</v>
      </c>
      <c r="J1037" s="13"/>
      <c r="K1037" s="13"/>
    </row>
    <row r="1038" spans="1:11" x14ac:dyDescent="0.25">
      <c r="A1038" s="10">
        <v>41332</v>
      </c>
      <c r="B1038" s="15">
        <f t="shared" si="32"/>
        <v>2</v>
      </c>
      <c r="C1038" s="15">
        <f t="shared" si="33"/>
        <v>2013</v>
      </c>
      <c r="D1038" s="13">
        <v>79</v>
      </c>
      <c r="E1038" s="13">
        <v>6.1120414066067887</v>
      </c>
      <c r="F1038" s="13"/>
      <c r="G1038" s="13"/>
      <c r="H1038" s="13">
        <v>101.99</v>
      </c>
      <c r="I1038" s="13">
        <v>-3.14</v>
      </c>
      <c r="J1038" s="13"/>
      <c r="K1038" s="13"/>
    </row>
    <row r="1039" spans="1:11" x14ac:dyDescent="0.25">
      <c r="A1039" s="10">
        <v>41333</v>
      </c>
      <c r="B1039" s="15">
        <f t="shared" si="32"/>
        <v>2</v>
      </c>
      <c r="C1039" s="15">
        <f t="shared" si="33"/>
        <v>2013</v>
      </c>
      <c r="D1039" s="13">
        <v>79</v>
      </c>
      <c r="E1039" s="13">
        <v>6.1504289215686265</v>
      </c>
      <c r="F1039" s="13"/>
      <c r="G1039" s="13"/>
      <c r="H1039" s="13">
        <v>101.99</v>
      </c>
      <c r="I1039" s="13">
        <v>-3.14</v>
      </c>
      <c r="J1039" s="13"/>
      <c r="K1039" s="13"/>
    </row>
    <row r="1040" spans="1:11" x14ac:dyDescent="0.25">
      <c r="A1040" s="10">
        <v>41334</v>
      </c>
      <c r="B1040" s="15">
        <f t="shared" si="32"/>
        <v>3</v>
      </c>
      <c r="C1040" s="15">
        <f t="shared" si="33"/>
        <v>2013</v>
      </c>
      <c r="D1040" s="13">
        <v>79</v>
      </c>
      <c r="E1040" s="13">
        <v>6.1674347158218117</v>
      </c>
      <c r="F1040" s="13"/>
      <c r="G1040" s="13"/>
      <c r="H1040" s="13">
        <v>101.99</v>
      </c>
      <c r="I1040" s="13">
        <v>-3.14</v>
      </c>
      <c r="J1040" s="13"/>
      <c r="K1040" s="13"/>
    </row>
    <row r="1041" spans="1:11" x14ac:dyDescent="0.25">
      <c r="A1041" s="10">
        <v>41337</v>
      </c>
      <c r="B1041" s="15">
        <f t="shared" si="32"/>
        <v>3</v>
      </c>
      <c r="C1041" s="15">
        <f t="shared" si="33"/>
        <v>2013</v>
      </c>
      <c r="D1041" s="13">
        <v>64.239999999999995</v>
      </c>
      <c r="E1041" s="13">
        <v>-4.0998080614203456</v>
      </c>
      <c r="F1041" s="13"/>
      <c r="G1041" s="13"/>
      <c r="H1041" s="13">
        <v>105.98</v>
      </c>
      <c r="I1041" s="13">
        <v>552.61</v>
      </c>
      <c r="J1041" s="13"/>
      <c r="K1041" s="13"/>
    </row>
    <row r="1042" spans="1:11" x14ac:dyDescent="0.25">
      <c r="A1042" s="10">
        <v>41338</v>
      </c>
      <c r="B1042" s="15">
        <f t="shared" si="32"/>
        <v>3</v>
      </c>
      <c r="C1042" s="15">
        <f t="shared" si="33"/>
        <v>2013</v>
      </c>
      <c r="D1042" s="13">
        <v>64.239999999999995</v>
      </c>
      <c r="E1042" s="13">
        <v>-4.0919540229885056</v>
      </c>
      <c r="F1042" s="13"/>
      <c r="G1042" s="13"/>
      <c r="H1042" s="13">
        <v>105.98</v>
      </c>
      <c r="I1042" s="13">
        <v>552.61</v>
      </c>
      <c r="J1042" s="13"/>
      <c r="K1042" s="13"/>
    </row>
    <row r="1043" spans="1:11" x14ac:dyDescent="0.25">
      <c r="A1043" s="10">
        <v>41339</v>
      </c>
      <c r="B1043" s="15">
        <f t="shared" si="32"/>
        <v>3</v>
      </c>
      <c r="C1043" s="15">
        <f t="shared" si="33"/>
        <v>2013</v>
      </c>
      <c r="D1043" s="13">
        <v>64.239999999999995</v>
      </c>
      <c r="E1043" s="13">
        <v>-4.118781334361743</v>
      </c>
      <c r="F1043" s="13"/>
      <c r="G1043" s="13"/>
      <c r="H1043" s="13">
        <v>105.98</v>
      </c>
      <c r="I1043" s="13">
        <v>552.61</v>
      </c>
      <c r="J1043" s="13"/>
      <c r="K1043" s="13"/>
    </row>
    <row r="1044" spans="1:11" x14ac:dyDescent="0.25">
      <c r="A1044" s="10">
        <v>41340</v>
      </c>
      <c r="B1044" s="15">
        <f t="shared" si="32"/>
        <v>3</v>
      </c>
      <c r="C1044" s="15">
        <f t="shared" si="33"/>
        <v>2013</v>
      </c>
      <c r="D1044" s="13">
        <v>64.239999999999995</v>
      </c>
      <c r="E1044" s="13">
        <v>-4.0750915750915748</v>
      </c>
      <c r="F1044" s="13"/>
      <c r="G1044" s="13"/>
      <c r="H1044" s="13">
        <v>105.98</v>
      </c>
      <c r="I1044" s="13">
        <v>552.61</v>
      </c>
      <c r="J1044" s="13"/>
      <c r="K1044" s="13"/>
    </row>
    <row r="1045" spans="1:11" x14ac:dyDescent="0.25">
      <c r="A1045" s="10">
        <v>41341</v>
      </c>
      <c r="B1045" s="15">
        <f t="shared" si="32"/>
        <v>3</v>
      </c>
      <c r="C1045" s="15">
        <f t="shared" si="33"/>
        <v>2013</v>
      </c>
      <c r="D1045" s="13">
        <v>64.239999999999995</v>
      </c>
      <c r="E1045" s="13">
        <v>-4.1064287911411874</v>
      </c>
      <c r="F1045" s="13"/>
      <c r="G1045" s="13"/>
      <c r="H1045" s="13">
        <v>105.98</v>
      </c>
      <c r="I1045" s="13">
        <v>552.61</v>
      </c>
      <c r="J1045" s="13"/>
      <c r="K1045" s="13"/>
    </row>
    <row r="1046" spans="1:11" x14ac:dyDescent="0.25">
      <c r="A1046" s="10">
        <v>41344</v>
      </c>
      <c r="B1046" s="15">
        <f t="shared" si="32"/>
        <v>3</v>
      </c>
      <c r="C1046" s="15">
        <f t="shared" si="33"/>
        <v>2013</v>
      </c>
      <c r="D1046" s="13">
        <v>58.37</v>
      </c>
      <c r="E1046" s="13">
        <v>5.9648853791305685</v>
      </c>
      <c r="F1046" s="13"/>
      <c r="G1046" s="13"/>
      <c r="H1046" s="13">
        <v>90.51</v>
      </c>
      <c r="I1046" s="13">
        <v>541.23</v>
      </c>
      <c r="J1046" s="13"/>
      <c r="K1046" s="13"/>
    </row>
    <row r="1047" spans="1:11" x14ac:dyDescent="0.25">
      <c r="A1047" s="10">
        <v>41345</v>
      </c>
      <c r="B1047" s="15">
        <f t="shared" si="32"/>
        <v>3</v>
      </c>
      <c r="C1047" s="15">
        <f t="shared" si="33"/>
        <v>2013</v>
      </c>
      <c r="D1047" s="13">
        <v>58.37</v>
      </c>
      <c r="E1047" s="13">
        <v>5.9699201964395341</v>
      </c>
      <c r="F1047" s="13"/>
      <c r="G1047" s="13"/>
      <c r="H1047" s="13">
        <v>90.51</v>
      </c>
      <c r="I1047" s="13">
        <v>541.23</v>
      </c>
      <c r="J1047" s="13"/>
      <c r="K1047" s="13"/>
    </row>
    <row r="1048" spans="1:11" x14ac:dyDescent="0.25">
      <c r="A1048" s="10">
        <v>41346</v>
      </c>
      <c r="B1048" s="15">
        <f t="shared" si="32"/>
        <v>3</v>
      </c>
      <c r="C1048" s="15">
        <f t="shared" si="33"/>
        <v>2013</v>
      </c>
      <c r="D1048" s="13">
        <v>58.37</v>
      </c>
      <c r="E1048" s="13">
        <v>6.0030864197530862</v>
      </c>
      <c r="F1048" s="13"/>
      <c r="G1048" s="13"/>
      <c r="H1048" s="13">
        <v>90.51</v>
      </c>
      <c r="I1048" s="13">
        <v>541.23</v>
      </c>
      <c r="J1048" s="13"/>
      <c r="K1048" s="13"/>
    </row>
    <row r="1049" spans="1:11" x14ac:dyDescent="0.25">
      <c r="A1049" s="10">
        <v>41347</v>
      </c>
      <c r="B1049" s="15">
        <f t="shared" si="32"/>
        <v>3</v>
      </c>
      <c r="C1049" s="15">
        <f t="shared" si="33"/>
        <v>2013</v>
      </c>
      <c r="D1049" s="13">
        <v>58.37</v>
      </c>
      <c r="E1049" s="13">
        <v>5.9827745309135656</v>
      </c>
      <c r="F1049" s="13"/>
      <c r="G1049" s="13"/>
      <c r="H1049" s="13">
        <v>90.51</v>
      </c>
      <c r="I1049" s="13">
        <v>541.23</v>
      </c>
      <c r="J1049" s="13"/>
      <c r="K1049" s="13"/>
    </row>
    <row r="1050" spans="1:11" x14ac:dyDescent="0.25">
      <c r="A1050" s="10">
        <v>41348</v>
      </c>
      <c r="B1050" s="15">
        <f t="shared" si="32"/>
        <v>3</v>
      </c>
      <c r="C1050" s="15">
        <f t="shared" si="33"/>
        <v>2013</v>
      </c>
      <c r="D1050" s="13">
        <v>58.37</v>
      </c>
      <c r="E1050" s="13">
        <v>5.9507419305491824</v>
      </c>
      <c r="F1050" s="13"/>
      <c r="G1050" s="13"/>
      <c r="H1050" s="13">
        <v>90.51</v>
      </c>
      <c r="I1050" s="13">
        <v>541.23</v>
      </c>
      <c r="J1050" s="13"/>
      <c r="K1050" s="13"/>
    </row>
    <row r="1051" spans="1:11" x14ac:dyDescent="0.25">
      <c r="A1051" s="10">
        <v>41351</v>
      </c>
      <c r="B1051" s="15">
        <f t="shared" si="32"/>
        <v>3</v>
      </c>
      <c r="C1051" s="15">
        <f t="shared" si="33"/>
        <v>2013</v>
      </c>
      <c r="D1051" s="13">
        <v>42.94</v>
      </c>
      <c r="E1051" s="13">
        <v>-3.0492511965416087</v>
      </c>
      <c r="F1051" s="13"/>
      <c r="G1051" s="13"/>
      <c r="H1051" s="13">
        <v>84.03</v>
      </c>
      <c r="I1051" s="13">
        <v>544.89</v>
      </c>
      <c r="J1051" s="13"/>
      <c r="K1051" s="13"/>
    </row>
    <row r="1052" spans="1:11" x14ac:dyDescent="0.25">
      <c r="A1052" s="10">
        <v>41352</v>
      </c>
      <c r="B1052" s="15">
        <f t="shared" si="32"/>
        <v>3</v>
      </c>
      <c r="C1052" s="15">
        <f t="shared" si="33"/>
        <v>2013</v>
      </c>
      <c r="D1052" s="13">
        <v>42.94</v>
      </c>
      <c r="E1052" s="13">
        <v>-3.0665321015449112</v>
      </c>
      <c r="F1052" s="13"/>
      <c r="G1052" s="13"/>
      <c r="H1052" s="13">
        <v>84.03</v>
      </c>
      <c r="I1052" s="13">
        <v>544.89</v>
      </c>
      <c r="J1052" s="13"/>
      <c r="K1052" s="13"/>
    </row>
    <row r="1053" spans="1:11" x14ac:dyDescent="0.25">
      <c r="A1053" s="10">
        <v>41353</v>
      </c>
      <c r="B1053" s="15">
        <f t="shared" si="32"/>
        <v>3</v>
      </c>
      <c r="C1053" s="15">
        <f t="shared" si="33"/>
        <v>2013</v>
      </c>
      <c r="D1053" s="13">
        <v>42.94</v>
      </c>
      <c r="E1053" s="13">
        <v>-3.0544386019177239</v>
      </c>
      <c r="F1053" s="13"/>
      <c r="G1053" s="13"/>
      <c r="H1053" s="13">
        <v>84.03</v>
      </c>
      <c r="I1053" s="13">
        <v>544.89</v>
      </c>
      <c r="J1053" s="13"/>
      <c r="K1053" s="13"/>
    </row>
    <row r="1054" spans="1:11" x14ac:dyDescent="0.25">
      <c r="A1054" s="10">
        <v>41354</v>
      </c>
      <c r="B1054" s="15">
        <f t="shared" si="32"/>
        <v>3</v>
      </c>
      <c r="C1054" s="15">
        <f t="shared" si="33"/>
        <v>2013</v>
      </c>
      <c r="D1054" s="13">
        <v>42.94</v>
      </c>
      <c r="E1054" s="13">
        <v>-3.0627277661471659</v>
      </c>
      <c r="F1054" s="13"/>
      <c r="G1054" s="13"/>
      <c r="H1054" s="13">
        <v>84.03</v>
      </c>
      <c r="I1054" s="13">
        <v>544.89</v>
      </c>
      <c r="J1054" s="13"/>
      <c r="K1054" s="13"/>
    </row>
    <row r="1055" spans="1:11" x14ac:dyDescent="0.25">
      <c r="A1055" s="10">
        <v>41355</v>
      </c>
      <c r="B1055" s="15">
        <f t="shared" si="32"/>
        <v>3</v>
      </c>
      <c r="C1055" s="15">
        <f t="shared" si="33"/>
        <v>2013</v>
      </c>
      <c r="D1055" s="13">
        <v>42.94</v>
      </c>
      <c r="E1055" s="13">
        <v>-3.0419715055833656</v>
      </c>
      <c r="F1055" s="13"/>
      <c r="G1055" s="13"/>
      <c r="H1055" s="13">
        <v>84.03</v>
      </c>
      <c r="I1055" s="13">
        <v>544.89</v>
      </c>
      <c r="J1055" s="13"/>
      <c r="K1055" s="13"/>
    </row>
    <row r="1056" spans="1:11" x14ac:dyDescent="0.25">
      <c r="A1056" s="10">
        <v>41358</v>
      </c>
      <c r="B1056" s="15">
        <f t="shared" si="32"/>
        <v>3</v>
      </c>
      <c r="C1056" s="15">
        <f t="shared" si="33"/>
        <v>2013</v>
      </c>
      <c r="D1056" s="13">
        <v>35.03</v>
      </c>
      <c r="E1056" s="13">
        <v>-14.224573963115713</v>
      </c>
      <c r="F1056" s="13"/>
      <c r="G1056" s="13"/>
      <c r="H1056" s="13">
        <v>51.98</v>
      </c>
      <c r="I1056" s="13">
        <v>534.52</v>
      </c>
      <c r="J1056" s="13"/>
      <c r="K1056" s="13"/>
    </row>
    <row r="1057" spans="1:11" x14ac:dyDescent="0.25">
      <c r="A1057" s="10">
        <v>41359</v>
      </c>
      <c r="B1057" s="15">
        <f t="shared" si="32"/>
        <v>3</v>
      </c>
      <c r="C1057" s="15">
        <f t="shared" si="33"/>
        <v>2013</v>
      </c>
      <c r="D1057" s="13">
        <v>35.03</v>
      </c>
      <c r="E1057" s="13">
        <v>-14.214618973561432</v>
      </c>
      <c r="F1057" s="13"/>
      <c r="G1057" s="13"/>
      <c r="H1057" s="13">
        <v>51.98</v>
      </c>
      <c r="I1057" s="13">
        <v>534.52</v>
      </c>
      <c r="J1057" s="13"/>
      <c r="K1057" s="13"/>
    </row>
    <row r="1058" spans="1:11" x14ac:dyDescent="0.25">
      <c r="A1058" s="10">
        <v>41360</v>
      </c>
      <c r="B1058" s="15">
        <f t="shared" si="32"/>
        <v>3</v>
      </c>
      <c r="C1058" s="15">
        <f t="shared" si="33"/>
        <v>2013</v>
      </c>
      <c r="D1058" s="13">
        <v>35.03</v>
      </c>
      <c r="E1058" s="13">
        <v>-14.303599374021911</v>
      </c>
      <c r="F1058" s="13"/>
      <c r="G1058" s="13"/>
      <c r="H1058" s="13">
        <v>51.98</v>
      </c>
      <c r="I1058" s="13">
        <v>534.52</v>
      </c>
      <c r="J1058" s="13"/>
      <c r="K1058" s="13"/>
    </row>
    <row r="1059" spans="1:11" x14ac:dyDescent="0.25">
      <c r="A1059" s="10">
        <v>41361</v>
      </c>
      <c r="B1059" s="15">
        <f t="shared" si="32"/>
        <v>3</v>
      </c>
      <c r="C1059" s="15">
        <f t="shared" si="33"/>
        <v>2013</v>
      </c>
      <c r="D1059" s="13">
        <v>35.03</v>
      </c>
      <c r="E1059" s="13">
        <v>-14.265646948649914</v>
      </c>
      <c r="F1059" s="13"/>
      <c r="G1059" s="13"/>
      <c r="H1059" s="13">
        <v>51.98</v>
      </c>
      <c r="I1059" s="13">
        <v>534.52</v>
      </c>
      <c r="J1059" s="13"/>
      <c r="K1059" s="13"/>
    </row>
    <row r="1060" spans="1:11" x14ac:dyDescent="0.25">
      <c r="A1060" s="10">
        <v>41365</v>
      </c>
      <c r="B1060" s="15">
        <f t="shared" si="32"/>
        <v>4</v>
      </c>
      <c r="C1060" s="15">
        <f t="shared" si="33"/>
        <v>2013</v>
      </c>
      <c r="D1060" s="13">
        <v>36.880000000000003</v>
      </c>
      <c r="E1060" s="13">
        <v>-9.3640538647154976</v>
      </c>
      <c r="F1060" s="13"/>
      <c r="G1060" s="13"/>
      <c r="H1060" s="13">
        <v>68.63</v>
      </c>
      <c r="I1060" s="13">
        <v>520.87</v>
      </c>
      <c r="J1060" s="13"/>
      <c r="K1060" s="13"/>
    </row>
    <row r="1061" spans="1:11" x14ac:dyDescent="0.25">
      <c r="A1061" s="10">
        <v>41366</v>
      </c>
      <c r="B1061" s="15">
        <f t="shared" si="32"/>
        <v>4</v>
      </c>
      <c r="C1061" s="15">
        <f t="shared" si="33"/>
        <v>2013</v>
      </c>
      <c r="D1061" s="13">
        <v>36.880000000000003</v>
      </c>
      <c r="E1061" s="13">
        <v>-9.3852395069433605</v>
      </c>
      <c r="F1061" s="13"/>
      <c r="G1061" s="13"/>
      <c r="H1061" s="13">
        <v>68.63</v>
      </c>
      <c r="I1061" s="13">
        <v>520.87</v>
      </c>
      <c r="J1061" s="13"/>
      <c r="K1061" s="13"/>
    </row>
    <row r="1062" spans="1:11" x14ac:dyDescent="0.25">
      <c r="A1062" s="10">
        <v>41367</v>
      </c>
      <c r="B1062" s="15">
        <f t="shared" si="32"/>
        <v>4</v>
      </c>
      <c r="C1062" s="15">
        <f t="shared" si="33"/>
        <v>2013</v>
      </c>
      <c r="D1062" s="13">
        <v>36.880000000000003</v>
      </c>
      <c r="E1062" s="13">
        <v>-9.3618677042801561</v>
      </c>
      <c r="F1062" s="13"/>
      <c r="G1062" s="13"/>
      <c r="H1062" s="13">
        <v>68.63</v>
      </c>
      <c r="I1062" s="13">
        <v>520.87</v>
      </c>
      <c r="J1062" s="13"/>
      <c r="K1062" s="13"/>
    </row>
    <row r="1063" spans="1:11" x14ac:dyDescent="0.25">
      <c r="A1063" s="10">
        <v>41368</v>
      </c>
      <c r="B1063" s="15">
        <f t="shared" si="32"/>
        <v>4</v>
      </c>
      <c r="C1063" s="15">
        <f t="shared" si="33"/>
        <v>2013</v>
      </c>
      <c r="D1063" s="13">
        <v>36.880000000000003</v>
      </c>
      <c r="E1063" s="13">
        <v>-9.3003478933127166</v>
      </c>
      <c r="F1063" s="13"/>
      <c r="G1063" s="13"/>
      <c r="H1063" s="13">
        <v>68.63</v>
      </c>
      <c r="I1063" s="13">
        <v>520.87</v>
      </c>
      <c r="J1063" s="13"/>
      <c r="K1063" s="13"/>
    </row>
    <row r="1064" spans="1:11" x14ac:dyDescent="0.25">
      <c r="A1064" s="10">
        <v>41369</v>
      </c>
      <c r="B1064" s="15">
        <f t="shared" si="32"/>
        <v>4</v>
      </c>
      <c r="C1064" s="15">
        <f t="shared" si="33"/>
        <v>2013</v>
      </c>
      <c r="D1064" s="13">
        <v>36.880000000000003</v>
      </c>
      <c r="E1064" s="13">
        <v>-9.2616829625067361</v>
      </c>
      <c r="F1064" s="13"/>
      <c r="G1064" s="13"/>
      <c r="H1064" s="13">
        <v>68.63</v>
      </c>
      <c r="I1064" s="13">
        <v>520.87</v>
      </c>
      <c r="J1064" s="13"/>
      <c r="K1064" s="13"/>
    </row>
    <row r="1065" spans="1:11" x14ac:dyDescent="0.25">
      <c r="A1065" s="10">
        <v>41372</v>
      </c>
      <c r="B1065" s="15">
        <f t="shared" si="32"/>
        <v>4</v>
      </c>
      <c r="C1065" s="15">
        <f t="shared" si="33"/>
        <v>2013</v>
      </c>
      <c r="D1065" s="13">
        <v>36.659999999999997</v>
      </c>
      <c r="E1065" s="13">
        <v>5.8122549396478815</v>
      </c>
      <c r="F1065" s="13"/>
      <c r="G1065" s="13"/>
      <c r="H1065" s="13">
        <v>74.91</v>
      </c>
      <c r="I1065" s="13">
        <v>53.55</v>
      </c>
      <c r="J1065" s="13"/>
      <c r="K1065" s="13"/>
    </row>
    <row r="1066" spans="1:11" x14ac:dyDescent="0.25">
      <c r="A1066" s="10">
        <v>41373</v>
      </c>
      <c r="B1066" s="15">
        <f t="shared" si="32"/>
        <v>4</v>
      </c>
      <c r="C1066" s="15">
        <f t="shared" si="33"/>
        <v>2013</v>
      </c>
      <c r="D1066" s="13">
        <v>36.659999999999997</v>
      </c>
      <c r="E1066" s="13">
        <v>5.779374665545447</v>
      </c>
      <c r="F1066" s="13"/>
      <c r="G1066" s="13"/>
      <c r="H1066" s="13">
        <v>74.91</v>
      </c>
      <c r="I1066" s="13">
        <v>53.55</v>
      </c>
      <c r="J1066" s="13"/>
      <c r="K1066" s="13"/>
    </row>
    <row r="1067" spans="1:11" x14ac:dyDescent="0.25">
      <c r="A1067" s="10">
        <v>41374</v>
      </c>
      <c r="B1067" s="15">
        <f t="shared" si="32"/>
        <v>4</v>
      </c>
      <c r="C1067" s="15">
        <f t="shared" si="33"/>
        <v>2013</v>
      </c>
      <c r="D1067" s="13">
        <v>36.659999999999997</v>
      </c>
      <c r="E1067" s="13">
        <v>5.785123966942149</v>
      </c>
      <c r="F1067" s="13"/>
      <c r="G1067" s="13"/>
      <c r="H1067" s="13">
        <v>74.91</v>
      </c>
      <c r="I1067" s="13">
        <v>53.55</v>
      </c>
      <c r="J1067" s="13"/>
      <c r="K1067" s="13"/>
    </row>
    <row r="1068" spans="1:11" x14ac:dyDescent="0.25">
      <c r="A1068" s="10">
        <v>41375</v>
      </c>
      <c r="B1068" s="15">
        <f t="shared" si="32"/>
        <v>4</v>
      </c>
      <c r="C1068" s="15">
        <f t="shared" si="33"/>
        <v>2013</v>
      </c>
      <c r="D1068" s="13">
        <v>36.659999999999997</v>
      </c>
      <c r="E1068" s="13">
        <v>5.7701114333689505</v>
      </c>
      <c r="F1068" s="13"/>
      <c r="G1068" s="13"/>
      <c r="H1068" s="13">
        <v>74.91</v>
      </c>
      <c r="I1068" s="13">
        <v>53.55</v>
      </c>
      <c r="J1068" s="13"/>
      <c r="K1068" s="13"/>
    </row>
    <row r="1069" spans="1:11" x14ac:dyDescent="0.25">
      <c r="A1069" s="10">
        <v>41376</v>
      </c>
      <c r="B1069" s="15">
        <f t="shared" si="32"/>
        <v>4</v>
      </c>
      <c r="C1069" s="15">
        <f t="shared" si="33"/>
        <v>2013</v>
      </c>
      <c r="D1069" s="13">
        <v>36.659999999999997</v>
      </c>
      <c r="E1069" s="13">
        <v>5.7661505605979713</v>
      </c>
      <c r="F1069" s="13"/>
      <c r="G1069" s="13"/>
      <c r="H1069" s="13">
        <v>74.91</v>
      </c>
      <c r="I1069" s="13">
        <v>53.55</v>
      </c>
      <c r="J1069" s="13"/>
      <c r="K1069" s="13"/>
    </row>
    <row r="1070" spans="1:11" x14ac:dyDescent="0.25">
      <c r="A1070" s="10">
        <v>41379</v>
      </c>
      <c r="B1070" s="15">
        <f t="shared" si="32"/>
        <v>4</v>
      </c>
      <c r="C1070" s="15">
        <f t="shared" si="33"/>
        <v>2013</v>
      </c>
      <c r="D1070" s="13">
        <v>60.19</v>
      </c>
      <c r="E1070" s="13">
        <v>1.8106490716587387</v>
      </c>
      <c r="F1070" s="13"/>
      <c r="G1070" s="13"/>
      <c r="H1070" s="13">
        <v>99.54</v>
      </c>
      <c r="I1070" s="13">
        <v>533.84</v>
      </c>
      <c r="J1070" s="13"/>
      <c r="K1070" s="13"/>
    </row>
    <row r="1071" spans="1:11" x14ac:dyDescent="0.25">
      <c r="A1071" s="10">
        <v>41380</v>
      </c>
      <c r="B1071" s="15">
        <f t="shared" si="32"/>
        <v>4</v>
      </c>
      <c r="C1071" s="15">
        <f t="shared" si="33"/>
        <v>2013</v>
      </c>
      <c r="D1071" s="13">
        <v>60.19</v>
      </c>
      <c r="E1071" s="13">
        <v>1.7911353976927744</v>
      </c>
      <c r="F1071" s="13"/>
      <c r="G1071" s="13"/>
      <c r="H1071" s="13">
        <v>99.54</v>
      </c>
      <c r="I1071" s="13">
        <v>533.84</v>
      </c>
      <c r="J1071" s="13"/>
      <c r="K1071" s="13"/>
    </row>
    <row r="1072" spans="1:11" x14ac:dyDescent="0.25">
      <c r="A1072" s="10">
        <v>41381</v>
      </c>
      <c r="B1072" s="15">
        <f t="shared" si="32"/>
        <v>4</v>
      </c>
      <c r="C1072" s="15">
        <f t="shared" si="33"/>
        <v>2013</v>
      </c>
      <c r="D1072" s="13">
        <v>60.19</v>
      </c>
      <c r="E1072" s="13">
        <v>1.8114829597789377</v>
      </c>
      <c r="F1072" s="13"/>
      <c r="G1072" s="13"/>
      <c r="H1072" s="13">
        <v>99.54</v>
      </c>
      <c r="I1072" s="13">
        <v>533.84</v>
      </c>
      <c r="J1072" s="13"/>
      <c r="K1072" s="13"/>
    </row>
    <row r="1073" spans="1:11" x14ac:dyDescent="0.25">
      <c r="A1073" s="10">
        <v>41382</v>
      </c>
      <c r="B1073" s="15">
        <f t="shared" si="32"/>
        <v>4</v>
      </c>
      <c r="C1073" s="15">
        <f t="shared" si="33"/>
        <v>2013</v>
      </c>
      <c r="D1073" s="13">
        <v>60.19</v>
      </c>
      <c r="E1073" s="13">
        <v>1.8084291187739463</v>
      </c>
      <c r="F1073" s="13"/>
      <c r="G1073" s="13"/>
      <c r="H1073" s="13">
        <v>99.54</v>
      </c>
      <c r="I1073" s="13">
        <v>533.84</v>
      </c>
      <c r="J1073" s="13"/>
      <c r="K1073" s="13"/>
    </row>
    <row r="1074" spans="1:11" x14ac:dyDescent="0.25">
      <c r="A1074" s="10">
        <v>41383</v>
      </c>
      <c r="B1074" s="15">
        <f t="shared" si="32"/>
        <v>4</v>
      </c>
      <c r="C1074" s="15">
        <f t="shared" si="33"/>
        <v>2013</v>
      </c>
      <c r="D1074" s="13">
        <v>60.19</v>
      </c>
      <c r="E1074" s="13">
        <v>1.8082905524480883</v>
      </c>
      <c r="F1074" s="13"/>
      <c r="G1074" s="13"/>
      <c r="H1074" s="13">
        <v>99.54</v>
      </c>
      <c r="I1074" s="13">
        <v>533.84</v>
      </c>
      <c r="J1074" s="13"/>
      <c r="K1074" s="13"/>
    </row>
    <row r="1075" spans="1:11" x14ac:dyDescent="0.25">
      <c r="A1075" s="10">
        <v>41386</v>
      </c>
      <c r="B1075" s="15">
        <f t="shared" si="32"/>
        <v>4</v>
      </c>
      <c r="C1075" s="15">
        <f t="shared" si="33"/>
        <v>2013</v>
      </c>
      <c r="D1075" s="13">
        <v>63.09</v>
      </c>
      <c r="E1075" s="13">
        <v>1.8444818613194551</v>
      </c>
      <c r="F1075" s="13"/>
      <c r="G1075" s="13"/>
      <c r="H1075" s="13">
        <v>97.87</v>
      </c>
      <c r="I1075" s="13">
        <v>538.48</v>
      </c>
      <c r="J1075" s="13"/>
      <c r="K1075" s="13"/>
    </row>
    <row r="1076" spans="1:11" x14ac:dyDescent="0.25">
      <c r="A1076" s="10">
        <v>41387</v>
      </c>
      <c r="B1076" s="15">
        <f t="shared" si="32"/>
        <v>4</v>
      </c>
      <c r="C1076" s="15">
        <f t="shared" si="33"/>
        <v>2013</v>
      </c>
      <c r="D1076" s="13">
        <v>63.09</v>
      </c>
      <c r="E1076" s="13">
        <v>1.8541314048315125</v>
      </c>
      <c r="F1076" s="13"/>
      <c r="G1076" s="13"/>
      <c r="H1076" s="13">
        <v>97.87</v>
      </c>
      <c r="I1076" s="13">
        <v>538.48</v>
      </c>
      <c r="J1076" s="13"/>
      <c r="K1076" s="13"/>
    </row>
    <row r="1077" spans="1:11" x14ac:dyDescent="0.25">
      <c r="A1077" s="10">
        <v>41388</v>
      </c>
      <c r="B1077" s="15">
        <f t="shared" si="32"/>
        <v>4</v>
      </c>
      <c r="C1077" s="15">
        <f t="shared" si="33"/>
        <v>2013</v>
      </c>
      <c r="D1077" s="13">
        <v>63.09</v>
      </c>
      <c r="E1077" s="13">
        <v>1.8517095658855167</v>
      </c>
      <c r="F1077" s="13"/>
      <c r="G1077" s="13"/>
      <c r="H1077" s="13">
        <v>97.87</v>
      </c>
      <c r="I1077" s="13">
        <v>538.48</v>
      </c>
      <c r="J1077" s="13"/>
      <c r="K1077" s="13"/>
    </row>
    <row r="1078" spans="1:11" x14ac:dyDescent="0.25">
      <c r="A1078" s="10">
        <v>41389</v>
      </c>
      <c r="B1078" s="15">
        <f t="shared" si="32"/>
        <v>4</v>
      </c>
      <c r="C1078" s="15">
        <f t="shared" si="33"/>
        <v>2013</v>
      </c>
      <c r="D1078" s="13">
        <v>63.09</v>
      </c>
      <c r="E1078" s="13">
        <v>1.8521364893944054</v>
      </c>
      <c r="F1078" s="13"/>
      <c r="G1078" s="13"/>
      <c r="H1078" s="13">
        <v>97.87</v>
      </c>
      <c r="I1078" s="13">
        <v>538.48</v>
      </c>
      <c r="J1078" s="13"/>
      <c r="K1078" s="13"/>
    </row>
    <row r="1079" spans="1:11" x14ac:dyDescent="0.25">
      <c r="A1079" s="10">
        <v>41390</v>
      </c>
      <c r="B1079" s="15">
        <f t="shared" si="32"/>
        <v>4</v>
      </c>
      <c r="C1079" s="15">
        <f t="shared" si="33"/>
        <v>2013</v>
      </c>
      <c r="D1079" s="13">
        <v>63.09</v>
      </c>
      <c r="E1079" s="13">
        <v>1.8501458621219102</v>
      </c>
      <c r="F1079" s="13"/>
      <c r="G1079" s="13"/>
      <c r="H1079" s="13">
        <v>97.87</v>
      </c>
      <c r="I1079" s="13">
        <v>538.48</v>
      </c>
      <c r="J1079" s="13"/>
      <c r="K1079" s="13"/>
    </row>
    <row r="1080" spans="1:11" x14ac:dyDescent="0.25">
      <c r="A1080" s="10">
        <v>41393</v>
      </c>
      <c r="B1080" s="15">
        <f t="shared" si="32"/>
        <v>4</v>
      </c>
      <c r="C1080" s="15">
        <f t="shared" si="33"/>
        <v>2013</v>
      </c>
      <c r="D1080" s="13">
        <v>46.76</v>
      </c>
      <c r="E1080" s="13">
        <v>2.7181797358173627</v>
      </c>
      <c r="F1080" s="13"/>
      <c r="G1080" s="13"/>
      <c r="H1080" s="13">
        <v>75.64</v>
      </c>
      <c r="I1080" s="13">
        <v>-0.79</v>
      </c>
      <c r="J1080" s="13"/>
      <c r="K1080" s="13"/>
    </row>
    <row r="1081" spans="1:11" x14ac:dyDescent="0.25">
      <c r="A1081" s="10">
        <v>41394</v>
      </c>
      <c r="B1081" s="15">
        <f t="shared" si="32"/>
        <v>4</v>
      </c>
      <c r="C1081" s="15">
        <f t="shared" si="33"/>
        <v>2013</v>
      </c>
      <c r="D1081" s="13">
        <v>46.76</v>
      </c>
      <c r="E1081" s="13">
        <v>2.7039343764241228</v>
      </c>
      <c r="F1081" s="13"/>
      <c r="G1081" s="13"/>
      <c r="H1081" s="13">
        <v>75.64</v>
      </c>
      <c r="I1081" s="13">
        <v>-0.79</v>
      </c>
      <c r="J1081" s="13"/>
      <c r="K1081" s="13"/>
    </row>
    <row r="1082" spans="1:11" x14ac:dyDescent="0.25">
      <c r="A1082" s="10">
        <v>41395</v>
      </c>
      <c r="B1082" s="15">
        <f t="shared" si="32"/>
        <v>5</v>
      </c>
      <c r="C1082" s="15">
        <f t="shared" si="33"/>
        <v>2013</v>
      </c>
      <c r="D1082" s="13">
        <v>46.76</v>
      </c>
      <c r="E1082" s="13">
        <v>2.7016771647567732</v>
      </c>
      <c r="F1082" s="13"/>
      <c r="G1082" s="13"/>
      <c r="H1082" s="13">
        <v>75.64</v>
      </c>
      <c r="I1082" s="13">
        <v>-0.79</v>
      </c>
      <c r="J1082" s="13"/>
      <c r="K1082" s="13"/>
    </row>
    <row r="1083" spans="1:11" x14ac:dyDescent="0.25">
      <c r="A1083" s="10">
        <v>41396</v>
      </c>
      <c r="B1083" s="15">
        <f t="shared" si="32"/>
        <v>5</v>
      </c>
      <c r="C1083" s="15">
        <f t="shared" si="33"/>
        <v>2013</v>
      </c>
      <c r="D1083" s="13">
        <v>46.76</v>
      </c>
      <c r="E1083" s="13">
        <v>2.7252545357115516</v>
      </c>
      <c r="F1083" s="13"/>
      <c r="G1083" s="13"/>
      <c r="H1083" s="13">
        <v>75.64</v>
      </c>
      <c r="I1083" s="13">
        <v>-0.79</v>
      </c>
      <c r="J1083" s="13"/>
      <c r="K1083" s="13"/>
    </row>
    <row r="1084" spans="1:11" x14ac:dyDescent="0.25">
      <c r="A1084" s="10">
        <v>41397</v>
      </c>
      <c r="B1084" s="15">
        <f t="shared" si="32"/>
        <v>5</v>
      </c>
      <c r="C1084" s="15">
        <f t="shared" si="33"/>
        <v>2013</v>
      </c>
      <c r="D1084" s="13">
        <v>46.76</v>
      </c>
      <c r="E1084" s="13">
        <v>2.7148631129413561</v>
      </c>
      <c r="F1084" s="13"/>
      <c r="G1084" s="13"/>
      <c r="H1084" s="13">
        <v>75.64</v>
      </c>
      <c r="I1084" s="13">
        <v>-0.79</v>
      </c>
      <c r="J1084" s="13"/>
      <c r="K1084" s="13"/>
    </row>
    <row r="1085" spans="1:11" x14ac:dyDescent="0.25">
      <c r="A1085" s="10">
        <v>41400</v>
      </c>
      <c r="B1085" s="15">
        <f t="shared" si="32"/>
        <v>5</v>
      </c>
      <c r="C1085" s="15">
        <f t="shared" si="33"/>
        <v>2013</v>
      </c>
      <c r="D1085" s="13">
        <v>59.87</v>
      </c>
      <c r="E1085" s="13">
        <v>28.063331803579626</v>
      </c>
      <c r="F1085" s="13"/>
      <c r="G1085" s="13"/>
      <c r="H1085" s="13">
        <v>79.86</v>
      </c>
      <c r="I1085" s="13">
        <v>-2.9</v>
      </c>
      <c r="J1085" s="13"/>
      <c r="K1085" s="13"/>
    </row>
    <row r="1086" spans="1:11" x14ac:dyDescent="0.25">
      <c r="A1086" s="10">
        <v>41401</v>
      </c>
      <c r="B1086" s="15">
        <f t="shared" si="32"/>
        <v>5</v>
      </c>
      <c r="C1086" s="15">
        <f t="shared" si="33"/>
        <v>2013</v>
      </c>
      <c r="D1086" s="13">
        <v>59.87</v>
      </c>
      <c r="E1086" s="13">
        <v>28.056893782977745</v>
      </c>
      <c r="F1086" s="13"/>
      <c r="G1086" s="13"/>
      <c r="H1086" s="13">
        <v>79.86</v>
      </c>
      <c r="I1086" s="13">
        <v>-2.9</v>
      </c>
      <c r="J1086" s="13"/>
      <c r="K1086" s="13"/>
    </row>
    <row r="1087" spans="1:11" x14ac:dyDescent="0.25">
      <c r="A1087" s="10">
        <v>41402</v>
      </c>
      <c r="B1087" s="15">
        <f t="shared" si="32"/>
        <v>5</v>
      </c>
      <c r="C1087" s="15">
        <f t="shared" si="33"/>
        <v>2013</v>
      </c>
      <c r="D1087" s="13">
        <v>59.87</v>
      </c>
      <c r="E1087" s="13">
        <v>27.899019086001065</v>
      </c>
      <c r="F1087" s="13"/>
      <c r="G1087" s="13"/>
      <c r="H1087" s="13">
        <v>79.86</v>
      </c>
      <c r="I1087" s="13">
        <v>-2.9</v>
      </c>
      <c r="J1087" s="13"/>
      <c r="K1087" s="13"/>
    </row>
    <row r="1088" spans="1:11" x14ac:dyDescent="0.25">
      <c r="A1088" s="10">
        <v>41403</v>
      </c>
      <c r="B1088" s="15">
        <f t="shared" si="32"/>
        <v>5</v>
      </c>
      <c r="C1088" s="15">
        <f t="shared" si="33"/>
        <v>2013</v>
      </c>
      <c r="D1088" s="13">
        <v>59.87</v>
      </c>
      <c r="E1088" s="13">
        <v>28.13434552564987</v>
      </c>
      <c r="F1088" s="13"/>
      <c r="G1088" s="13"/>
      <c r="H1088" s="13">
        <v>79.86</v>
      </c>
      <c r="I1088" s="13">
        <v>-2.9</v>
      </c>
      <c r="J1088" s="13"/>
      <c r="K1088" s="13"/>
    </row>
    <row r="1089" spans="1:11" x14ac:dyDescent="0.25">
      <c r="A1089" s="10">
        <v>41404</v>
      </c>
      <c r="B1089" s="15">
        <f t="shared" si="32"/>
        <v>5</v>
      </c>
      <c r="C1089" s="15">
        <f t="shared" si="33"/>
        <v>2013</v>
      </c>
      <c r="D1089" s="13">
        <v>59.87</v>
      </c>
      <c r="E1089" s="13">
        <v>28.24045566502463</v>
      </c>
      <c r="F1089" s="13"/>
      <c r="G1089" s="13"/>
      <c r="H1089" s="13">
        <v>79.86</v>
      </c>
      <c r="I1089" s="13">
        <v>-2.9</v>
      </c>
      <c r="J1089" s="13"/>
      <c r="K1089" s="13"/>
    </row>
    <row r="1090" spans="1:11" x14ac:dyDescent="0.25">
      <c r="A1090" s="10">
        <v>41407</v>
      </c>
      <c r="B1090" s="15">
        <f t="shared" si="32"/>
        <v>5</v>
      </c>
      <c r="C1090" s="15">
        <f t="shared" si="33"/>
        <v>2013</v>
      </c>
      <c r="D1090" s="13">
        <v>67.709999999999994</v>
      </c>
      <c r="E1090" s="13">
        <v>1.8574181117533719</v>
      </c>
      <c r="F1090" s="13"/>
      <c r="G1090" s="13"/>
      <c r="H1090" s="13">
        <v>93.9</v>
      </c>
      <c r="I1090" s="13">
        <v>525.62</v>
      </c>
      <c r="J1090" s="13"/>
      <c r="K1090" s="13"/>
    </row>
    <row r="1091" spans="1:11" x14ac:dyDescent="0.25">
      <c r="A1091" s="10">
        <v>41408</v>
      </c>
      <c r="B1091" s="15">
        <f t="shared" ref="B1091:B1154" si="34">MONTH(A1091)</f>
        <v>5</v>
      </c>
      <c r="C1091" s="15">
        <f t="shared" ref="C1091:C1154" si="35">YEAR(A1091)</f>
        <v>2013</v>
      </c>
      <c r="D1091" s="13">
        <v>67.709999999999994</v>
      </c>
      <c r="E1091" s="13">
        <v>1.8656138721164268</v>
      </c>
      <c r="F1091" s="13"/>
      <c r="G1091" s="13"/>
      <c r="H1091" s="13">
        <v>93.9</v>
      </c>
      <c r="I1091" s="13">
        <v>525.62</v>
      </c>
      <c r="J1091" s="13"/>
      <c r="K1091" s="13"/>
    </row>
    <row r="1092" spans="1:11" x14ac:dyDescent="0.25">
      <c r="A1092" s="10">
        <v>41409</v>
      </c>
      <c r="B1092" s="15">
        <f t="shared" si="34"/>
        <v>5</v>
      </c>
      <c r="C1092" s="15">
        <f t="shared" si="35"/>
        <v>2013</v>
      </c>
      <c r="D1092" s="13">
        <v>67.709999999999994</v>
      </c>
      <c r="E1092" s="13">
        <v>1.8702467794505666</v>
      </c>
      <c r="F1092" s="13"/>
      <c r="G1092" s="13"/>
      <c r="H1092" s="13">
        <v>93.9</v>
      </c>
      <c r="I1092" s="13">
        <v>525.62</v>
      </c>
      <c r="J1092" s="13"/>
      <c r="K1092" s="13"/>
    </row>
    <row r="1093" spans="1:11" x14ac:dyDescent="0.25">
      <c r="A1093" s="10">
        <v>41410</v>
      </c>
      <c r="B1093" s="15">
        <f t="shared" si="34"/>
        <v>5</v>
      </c>
      <c r="C1093" s="15">
        <f t="shared" si="35"/>
        <v>2013</v>
      </c>
      <c r="D1093" s="13">
        <v>67.709999999999994</v>
      </c>
      <c r="E1093" s="13">
        <v>1.8709727505628446</v>
      </c>
      <c r="F1093" s="13"/>
      <c r="G1093" s="13"/>
      <c r="H1093" s="13">
        <v>93.9</v>
      </c>
      <c r="I1093" s="13">
        <v>525.62</v>
      </c>
      <c r="J1093" s="13"/>
      <c r="K1093" s="13"/>
    </row>
    <row r="1094" spans="1:11" x14ac:dyDescent="0.25">
      <c r="A1094" s="10">
        <v>41411</v>
      </c>
      <c r="B1094" s="15">
        <f t="shared" si="34"/>
        <v>5</v>
      </c>
      <c r="C1094" s="15">
        <f t="shared" si="35"/>
        <v>2013</v>
      </c>
      <c r="D1094" s="13">
        <v>67.709999999999994</v>
      </c>
      <c r="E1094" s="13">
        <v>1.8772394453964791</v>
      </c>
      <c r="F1094" s="13"/>
      <c r="G1094" s="13"/>
      <c r="H1094" s="13">
        <v>93.9</v>
      </c>
      <c r="I1094" s="13">
        <v>525.62</v>
      </c>
      <c r="J1094" s="13"/>
      <c r="K1094" s="13"/>
    </row>
    <row r="1095" spans="1:11" x14ac:dyDescent="0.25">
      <c r="A1095" s="10">
        <v>41414</v>
      </c>
      <c r="B1095" s="15">
        <f t="shared" si="34"/>
        <v>5</v>
      </c>
      <c r="C1095" s="15">
        <f t="shared" si="35"/>
        <v>2013</v>
      </c>
      <c r="D1095" s="13">
        <v>72.099999999999994</v>
      </c>
      <c r="E1095" s="13">
        <v>-0.55891942244993009</v>
      </c>
      <c r="F1095" s="13"/>
      <c r="G1095" s="13"/>
      <c r="H1095" s="13">
        <v>101.14</v>
      </c>
      <c r="I1095" s="13">
        <v>90.11</v>
      </c>
      <c r="J1095" s="13"/>
      <c r="K1095" s="13"/>
    </row>
    <row r="1096" spans="1:11" x14ac:dyDescent="0.25">
      <c r="A1096" s="10">
        <v>41415</v>
      </c>
      <c r="B1096" s="15">
        <f t="shared" si="34"/>
        <v>5</v>
      </c>
      <c r="C1096" s="15">
        <f t="shared" si="35"/>
        <v>2013</v>
      </c>
      <c r="D1096" s="13">
        <v>72.099999999999994</v>
      </c>
      <c r="E1096" s="13">
        <v>-0.55792328554823711</v>
      </c>
      <c r="F1096" s="13"/>
      <c r="G1096" s="13"/>
      <c r="H1096" s="13">
        <v>101.14</v>
      </c>
      <c r="I1096" s="13">
        <v>90.11</v>
      </c>
      <c r="J1096" s="13"/>
      <c r="K1096" s="13"/>
    </row>
    <row r="1097" spans="1:11" x14ac:dyDescent="0.25">
      <c r="A1097" s="10">
        <v>41416</v>
      </c>
      <c r="B1097" s="15">
        <f t="shared" si="34"/>
        <v>5</v>
      </c>
      <c r="C1097" s="15">
        <f t="shared" si="35"/>
        <v>2013</v>
      </c>
      <c r="D1097" s="13">
        <v>72.099999999999994</v>
      </c>
      <c r="E1097" s="13">
        <v>-0.56004978220286239</v>
      </c>
      <c r="F1097" s="13">
        <v>16.52</v>
      </c>
      <c r="G1097" s="13"/>
      <c r="H1097" s="13">
        <v>101.14</v>
      </c>
      <c r="I1097" s="13">
        <v>90.11</v>
      </c>
      <c r="J1097" s="13"/>
      <c r="K1097" s="13"/>
    </row>
    <row r="1098" spans="1:11" x14ac:dyDescent="0.25">
      <c r="A1098" s="10">
        <v>41417</v>
      </c>
      <c r="B1098" s="15">
        <f t="shared" si="34"/>
        <v>5</v>
      </c>
      <c r="C1098" s="15">
        <f t="shared" si="35"/>
        <v>2013</v>
      </c>
      <c r="D1098" s="13">
        <v>72.099999999999994</v>
      </c>
      <c r="E1098" s="13">
        <v>-0.55662930034789326</v>
      </c>
      <c r="F1098" s="13">
        <v>16.52</v>
      </c>
      <c r="G1098" s="13"/>
      <c r="H1098" s="13">
        <v>101.14</v>
      </c>
      <c r="I1098" s="13">
        <v>90.11</v>
      </c>
      <c r="J1098" s="13"/>
      <c r="K1098" s="13"/>
    </row>
    <row r="1099" spans="1:11" x14ac:dyDescent="0.25">
      <c r="A1099" s="10">
        <v>41418</v>
      </c>
      <c r="B1099" s="15">
        <f t="shared" si="34"/>
        <v>5</v>
      </c>
      <c r="C1099" s="15">
        <f t="shared" si="35"/>
        <v>2013</v>
      </c>
      <c r="D1099" s="13">
        <v>72.099999999999994</v>
      </c>
      <c r="E1099" s="13">
        <v>-0.55688761698507228</v>
      </c>
      <c r="F1099" s="13">
        <v>16.52</v>
      </c>
      <c r="G1099" s="13"/>
      <c r="H1099" s="13">
        <v>101.14</v>
      </c>
      <c r="I1099" s="13">
        <v>90.11</v>
      </c>
      <c r="J1099" s="13"/>
      <c r="K1099" s="13"/>
    </row>
    <row r="1100" spans="1:11" x14ac:dyDescent="0.25">
      <c r="A1100" s="10">
        <v>41422</v>
      </c>
      <c r="B1100" s="15">
        <f t="shared" si="34"/>
        <v>5</v>
      </c>
      <c r="C1100" s="15">
        <f t="shared" si="35"/>
        <v>2013</v>
      </c>
      <c r="D1100" s="13">
        <v>107.9</v>
      </c>
      <c r="E1100" s="13">
        <v>5.9592344795394423</v>
      </c>
      <c r="F1100" s="13">
        <v>41.98</v>
      </c>
      <c r="G1100" s="13"/>
      <c r="H1100" s="13">
        <v>118.57</v>
      </c>
      <c r="I1100" s="13">
        <v>101.6</v>
      </c>
      <c r="J1100" s="13"/>
      <c r="K1100" s="13"/>
    </row>
    <row r="1101" spans="1:11" x14ac:dyDescent="0.25">
      <c r="A1101" s="10">
        <v>41423</v>
      </c>
      <c r="B1101" s="15">
        <f t="shared" si="34"/>
        <v>5</v>
      </c>
      <c r="C1101" s="15">
        <f t="shared" si="35"/>
        <v>2013</v>
      </c>
      <c r="D1101" s="13">
        <v>107.9</v>
      </c>
      <c r="E1101" s="13">
        <v>5.920544133560055</v>
      </c>
      <c r="F1101" s="13">
        <v>41.98</v>
      </c>
      <c r="G1101" s="13"/>
      <c r="H1101" s="13">
        <v>118.57</v>
      </c>
      <c r="I1101" s="13">
        <v>101.6</v>
      </c>
      <c r="J1101" s="13"/>
      <c r="K1101" s="13"/>
    </row>
    <row r="1102" spans="1:11" x14ac:dyDescent="0.25">
      <c r="A1102" s="10">
        <v>41424</v>
      </c>
      <c r="B1102" s="15">
        <f t="shared" si="34"/>
        <v>5</v>
      </c>
      <c r="C1102" s="15">
        <f t="shared" si="35"/>
        <v>2013</v>
      </c>
      <c r="D1102" s="13">
        <v>107.9</v>
      </c>
      <c r="E1102" s="13">
        <v>5.8706315144083385</v>
      </c>
      <c r="F1102" s="13">
        <v>41.98</v>
      </c>
      <c r="G1102" s="13"/>
      <c r="H1102" s="13">
        <v>118.57</v>
      </c>
      <c r="I1102" s="13">
        <v>101.6</v>
      </c>
      <c r="J1102" s="13"/>
      <c r="K1102" s="13"/>
    </row>
    <row r="1103" spans="1:11" x14ac:dyDescent="0.25">
      <c r="A1103" s="10">
        <v>41425</v>
      </c>
      <c r="B1103" s="15">
        <f t="shared" si="34"/>
        <v>5</v>
      </c>
      <c r="C1103" s="15">
        <f t="shared" si="35"/>
        <v>2013</v>
      </c>
      <c r="D1103" s="13">
        <v>107.9</v>
      </c>
      <c r="E1103" s="13">
        <v>5.8945748364755675</v>
      </c>
      <c r="F1103" s="13">
        <v>41.98</v>
      </c>
      <c r="G1103" s="13"/>
      <c r="H1103" s="13">
        <v>118.57</v>
      </c>
      <c r="I1103" s="13">
        <v>101.6</v>
      </c>
      <c r="J1103" s="13"/>
      <c r="K1103" s="13"/>
    </row>
    <row r="1104" spans="1:11" x14ac:dyDescent="0.25">
      <c r="A1104" s="10">
        <v>41428</v>
      </c>
      <c r="B1104" s="15">
        <f t="shared" si="34"/>
        <v>6</v>
      </c>
      <c r="C1104" s="15">
        <f t="shared" si="35"/>
        <v>2013</v>
      </c>
      <c r="D1104" s="13">
        <v>94.33</v>
      </c>
      <c r="E1104" s="13">
        <v>6.676864244741874</v>
      </c>
      <c r="F1104" s="13">
        <v>35.549999999999997</v>
      </c>
      <c r="G1104" s="13"/>
      <c r="H1104" s="13">
        <v>111.73</v>
      </c>
      <c r="I1104" s="13">
        <v>101.11</v>
      </c>
      <c r="J1104" s="13"/>
      <c r="K1104" s="13"/>
    </row>
    <row r="1105" spans="1:11" x14ac:dyDescent="0.25">
      <c r="A1105" s="10">
        <v>41429</v>
      </c>
      <c r="B1105" s="15">
        <f t="shared" si="34"/>
        <v>6</v>
      </c>
      <c r="C1105" s="15">
        <f t="shared" si="35"/>
        <v>2013</v>
      </c>
      <c r="D1105" s="13">
        <v>94.33</v>
      </c>
      <c r="E1105" s="13">
        <v>6.6753326196666158</v>
      </c>
      <c r="F1105" s="13">
        <v>35.549999999999997</v>
      </c>
      <c r="G1105" s="13"/>
      <c r="H1105" s="13">
        <v>111.73</v>
      </c>
      <c r="I1105" s="13">
        <v>101.11</v>
      </c>
      <c r="J1105" s="13"/>
      <c r="K1105" s="13"/>
    </row>
    <row r="1106" spans="1:11" x14ac:dyDescent="0.25">
      <c r="A1106" s="10">
        <v>41430</v>
      </c>
      <c r="B1106" s="15">
        <f t="shared" si="34"/>
        <v>6</v>
      </c>
      <c r="C1106" s="15">
        <f t="shared" si="35"/>
        <v>2013</v>
      </c>
      <c r="D1106" s="13">
        <v>94.33</v>
      </c>
      <c r="E1106" s="13">
        <v>6.6676850225311242</v>
      </c>
      <c r="F1106" s="13">
        <v>35.549999999999997</v>
      </c>
      <c r="G1106" s="13"/>
      <c r="H1106" s="13">
        <v>111.73</v>
      </c>
      <c r="I1106" s="13">
        <v>101.11</v>
      </c>
      <c r="J1106" s="13"/>
      <c r="K1106" s="13"/>
    </row>
    <row r="1107" spans="1:11" x14ac:dyDescent="0.25">
      <c r="A1107" s="10">
        <v>41431</v>
      </c>
      <c r="B1107" s="15">
        <f t="shared" si="34"/>
        <v>6</v>
      </c>
      <c r="C1107" s="15">
        <f t="shared" si="35"/>
        <v>2013</v>
      </c>
      <c r="D1107" s="13">
        <v>94.33</v>
      </c>
      <c r="E1107" s="13">
        <v>6.5911664779161949</v>
      </c>
      <c r="F1107" s="13">
        <v>35.549999999999997</v>
      </c>
      <c r="G1107" s="13"/>
      <c r="H1107" s="13">
        <v>111.73</v>
      </c>
      <c r="I1107" s="13">
        <v>101.11</v>
      </c>
      <c r="J1107" s="13"/>
      <c r="K1107" s="13"/>
    </row>
    <row r="1108" spans="1:11" x14ac:dyDescent="0.25">
      <c r="A1108" s="10">
        <v>41432</v>
      </c>
      <c r="B1108" s="15">
        <f t="shared" si="34"/>
        <v>6</v>
      </c>
      <c r="C1108" s="15">
        <f t="shared" si="35"/>
        <v>2013</v>
      </c>
      <c r="D1108" s="13">
        <v>94.33</v>
      </c>
      <c r="E1108" s="13">
        <v>6.6026319770080173</v>
      </c>
      <c r="F1108" s="13">
        <v>35.549999999999997</v>
      </c>
      <c r="G1108" s="13"/>
      <c r="H1108" s="13">
        <v>111.73</v>
      </c>
      <c r="I1108" s="13">
        <v>101.11</v>
      </c>
      <c r="J1108" s="13"/>
      <c r="K1108" s="13"/>
    </row>
    <row r="1109" spans="1:11" x14ac:dyDescent="0.25">
      <c r="A1109" s="10">
        <v>41435</v>
      </c>
      <c r="B1109" s="15">
        <f t="shared" si="34"/>
        <v>6</v>
      </c>
      <c r="C1109" s="15">
        <f t="shared" si="35"/>
        <v>2013</v>
      </c>
      <c r="D1109" s="13">
        <v>90.74</v>
      </c>
      <c r="E1109" s="13">
        <v>10.221786360893182</v>
      </c>
      <c r="F1109" s="13">
        <v>31.06</v>
      </c>
      <c r="G1109" s="13"/>
      <c r="H1109" s="13">
        <v>113.32</v>
      </c>
      <c r="I1109" s="13">
        <v>92.98</v>
      </c>
      <c r="J1109" s="13"/>
      <c r="K1109" s="13"/>
    </row>
    <row r="1110" spans="1:11" x14ac:dyDescent="0.25">
      <c r="A1110" s="10">
        <v>41436</v>
      </c>
      <c r="B1110" s="15">
        <f t="shared" si="34"/>
        <v>6</v>
      </c>
      <c r="C1110" s="15">
        <f t="shared" si="35"/>
        <v>2013</v>
      </c>
      <c r="D1110" s="13">
        <v>90.74</v>
      </c>
      <c r="E1110" s="13">
        <v>10.177257022682891</v>
      </c>
      <c r="F1110" s="13">
        <v>31.06</v>
      </c>
      <c r="G1110" s="13"/>
      <c r="H1110" s="13">
        <v>113.32</v>
      </c>
      <c r="I1110" s="13">
        <v>92.98</v>
      </c>
      <c r="J1110" s="13"/>
      <c r="K1110" s="13"/>
    </row>
    <row r="1111" spans="1:11" x14ac:dyDescent="0.25">
      <c r="A1111" s="10">
        <v>41437</v>
      </c>
      <c r="B1111" s="15">
        <f t="shared" si="34"/>
        <v>6</v>
      </c>
      <c r="C1111" s="15">
        <f t="shared" si="35"/>
        <v>2013</v>
      </c>
      <c r="D1111" s="13">
        <v>90.74</v>
      </c>
      <c r="E1111" s="13">
        <v>10.160467906418718</v>
      </c>
      <c r="F1111" s="13">
        <v>31.06</v>
      </c>
      <c r="G1111" s="13"/>
      <c r="H1111" s="13">
        <v>113.32</v>
      </c>
      <c r="I1111" s="13">
        <v>92.98</v>
      </c>
      <c r="J1111" s="13"/>
      <c r="K1111" s="13"/>
    </row>
    <row r="1112" spans="1:11" x14ac:dyDescent="0.25">
      <c r="A1112" s="10">
        <v>41438</v>
      </c>
      <c r="B1112" s="15">
        <f t="shared" si="34"/>
        <v>6</v>
      </c>
      <c r="C1112" s="15">
        <f t="shared" si="35"/>
        <v>2013</v>
      </c>
      <c r="D1112" s="13">
        <v>90.74</v>
      </c>
      <c r="E1112" s="13">
        <v>10.131598624196203</v>
      </c>
      <c r="F1112" s="13">
        <v>31.06</v>
      </c>
      <c r="G1112" s="13"/>
      <c r="H1112" s="13">
        <v>113.32</v>
      </c>
      <c r="I1112" s="13">
        <v>92.98</v>
      </c>
      <c r="J1112" s="13"/>
      <c r="K1112" s="13"/>
    </row>
    <row r="1113" spans="1:11" x14ac:dyDescent="0.25">
      <c r="A1113" s="10">
        <v>41439</v>
      </c>
      <c r="B1113" s="15">
        <f t="shared" si="34"/>
        <v>6</v>
      </c>
      <c r="C1113" s="15">
        <f t="shared" si="35"/>
        <v>2013</v>
      </c>
      <c r="D1113" s="13">
        <v>90.74</v>
      </c>
      <c r="E1113" s="13">
        <v>10.152854787951446</v>
      </c>
      <c r="F1113" s="13">
        <v>31.06</v>
      </c>
      <c r="G1113" s="13"/>
      <c r="H1113" s="13">
        <v>113.32</v>
      </c>
      <c r="I1113" s="13">
        <v>92.98</v>
      </c>
      <c r="J1113" s="13"/>
      <c r="K1113" s="13"/>
    </row>
    <row r="1114" spans="1:11" x14ac:dyDescent="0.25">
      <c r="A1114" s="10">
        <v>41442</v>
      </c>
      <c r="B1114" s="15">
        <f t="shared" si="34"/>
        <v>6</v>
      </c>
      <c r="C1114" s="15">
        <f t="shared" si="35"/>
        <v>2013</v>
      </c>
      <c r="D1114" s="13">
        <v>91.6</v>
      </c>
      <c r="E1114" s="13">
        <v>-5.6257948679584047</v>
      </c>
      <c r="F1114" s="13">
        <v>37.15</v>
      </c>
      <c r="G1114" s="13"/>
      <c r="H1114" s="13">
        <v>106.36</v>
      </c>
      <c r="I1114" s="13">
        <v>90.52</v>
      </c>
      <c r="J1114" s="13"/>
      <c r="K1114" s="13"/>
    </row>
    <row r="1115" spans="1:11" x14ac:dyDescent="0.25">
      <c r="A1115" s="10">
        <v>41443</v>
      </c>
      <c r="B1115" s="15">
        <f t="shared" si="34"/>
        <v>6</v>
      </c>
      <c r="C1115" s="15">
        <f t="shared" si="35"/>
        <v>2013</v>
      </c>
      <c r="D1115" s="13">
        <v>91.6</v>
      </c>
      <c r="E1115" s="13">
        <v>-5.6148734413499586</v>
      </c>
      <c r="F1115" s="13">
        <v>37.15</v>
      </c>
      <c r="G1115" s="13"/>
      <c r="H1115" s="13">
        <v>106.36</v>
      </c>
      <c r="I1115" s="13">
        <v>90.52</v>
      </c>
      <c r="J1115" s="13"/>
      <c r="K1115" s="13"/>
    </row>
    <row r="1116" spans="1:11" x14ac:dyDescent="0.25">
      <c r="A1116" s="10">
        <v>41444</v>
      </c>
      <c r="B1116" s="15">
        <f t="shared" si="34"/>
        <v>6</v>
      </c>
      <c r="C1116" s="15">
        <f t="shared" si="35"/>
        <v>2013</v>
      </c>
      <c r="D1116" s="13">
        <v>91.6</v>
      </c>
      <c r="E1116" s="13">
        <v>-5.6566872273205959</v>
      </c>
      <c r="F1116" s="13">
        <v>37.15</v>
      </c>
      <c r="G1116" s="13"/>
      <c r="H1116" s="13">
        <v>106.36</v>
      </c>
      <c r="I1116" s="13">
        <v>90.52</v>
      </c>
      <c r="J1116" s="13"/>
      <c r="K1116" s="13"/>
    </row>
    <row r="1117" spans="1:11" x14ac:dyDescent="0.25">
      <c r="A1117" s="10">
        <v>41445</v>
      </c>
      <c r="B1117" s="15">
        <f t="shared" si="34"/>
        <v>6</v>
      </c>
      <c r="C1117" s="15">
        <f t="shared" si="35"/>
        <v>2013</v>
      </c>
      <c r="D1117" s="13">
        <v>91.6</v>
      </c>
      <c r="E1117" s="13">
        <v>-5.6892116810410043</v>
      </c>
      <c r="F1117" s="13">
        <v>37.15</v>
      </c>
      <c r="G1117" s="13"/>
      <c r="H1117" s="13">
        <v>106.36</v>
      </c>
      <c r="I1117" s="13">
        <v>90.52</v>
      </c>
      <c r="J1117" s="13"/>
      <c r="K1117" s="13"/>
    </row>
    <row r="1118" spans="1:11" x14ac:dyDescent="0.25">
      <c r="A1118" s="10">
        <v>41446</v>
      </c>
      <c r="B1118" s="15">
        <f t="shared" si="34"/>
        <v>6</v>
      </c>
      <c r="C1118" s="15">
        <f t="shared" si="35"/>
        <v>2013</v>
      </c>
      <c r="D1118" s="13">
        <v>91.6</v>
      </c>
      <c r="E1118" s="13">
        <v>-5.7308337143728085</v>
      </c>
      <c r="F1118" s="13">
        <v>37.15</v>
      </c>
      <c r="G1118" s="13"/>
      <c r="H1118" s="13">
        <v>106.36</v>
      </c>
      <c r="I1118" s="13">
        <v>90.52</v>
      </c>
      <c r="J1118" s="13"/>
      <c r="K1118" s="13"/>
    </row>
    <row r="1119" spans="1:11" x14ac:dyDescent="0.25">
      <c r="A1119" s="10">
        <v>41449</v>
      </c>
      <c r="B1119" s="15">
        <f t="shared" si="34"/>
        <v>6</v>
      </c>
      <c r="C1119" s="15">
        <f t="shared" si="35"/>
        <v>2013</v>
      </c>
      <c r="D1119" s="13">
        <v>83.91</v>
      </c>
      <c r="E1119" s="13">
        <v>41.007852405275592</v>
      </c>
      <c r="F1119" s="13">
        <v>36.380000000000003</v>
      </c>
      <c r="G1119" s="13"/>
      <c r="H1119" s="13">
        <v>81.12</v>
      </c>
      <c r="I1119" s="13">
        <v>96.59</v>
      </c>
      <c r="J1119" s="13"/>
      <c r="K1119" s="13"/>
    </row>
    <row r="1120" spans="1:11" x14ac:dyDescent="0.25">
      <c r="A1120" s="10">
        <v>41450</v>
      </c>
      <c r="B1120" s="15">
        <f t="shared" si="34"/>
        <v>6</v>
      </c>
      <c r="C1120" s="15">
        <f t="shared" si="35"/>
        <v>2013</v>
      </c>
      <c r="D1120" s="13">
        <v>83.91</v>
      </c>
      <c r="E1120" s="13">
        <v>41.111280953836747</v>
      </c>
      <c r="F1120" s="13">
        <v>36.380000000000003</v>
      </c>
      <c r="G1120" s="13"/>
      <c r="H1120" s="13">
        <v>81.12</v>
      </c>
      <c r="I1120" s="13">
        <v>96.59</v>
      </c>
      <c r="J1120" s="13"/>
      <c r="K1120" s="13"/>
    </row>
    <row r="1121" spans="1:11" x14ac:dyDescent="0.25">
      <c r="A1121" s="10">
        <v>41451</v>
      </c>
      <c r="B1121" s="15">
        <f t="shared" si="34"/>
        <v>6</v>
      </c>
      <c r="C1121" s="15">
        <f t="shared" si="35"/>
        <v>2013</v>
      </c>
      <c r="D1121" s="13">
        <v>83.91</v>
      </c>
      <c r="E1121" s="13">
        <v>41.34194143417109</v>
      </c>
      <c r="F1121" s="13">
        <v>36.380000000000003</v>
      </c>
      <c r="G1121" s="13"/>
      <c r="H1121" s="13">
        <v>81.12</v>
      </c>
      <c r="I1121" s="13">
        <v>96.59</v>
      </c>
      <c r="J1121" s="13"/>
      <c r="K1121" s="13"/>
    </row>
    <row r="1122" spans="1:11" x14ac:dyDescent="0.25">
      <c r="A1122" s="10">
        <v>41452</v>
      </c>
      <c r="B1122" s="15">
        <f t="shared" si="34"/>
        <v>6</v>
      </c>
      <c r="C1122" s="15">
        <f t="shared" si="35"/>
        <v>2013</v>
      </c>
      <c r="D1122" s="13">
        <v>83.91</v>
      </c>
      <c r="E1122" s="13">
        <v>41.265822784810119</v>
      </c>
      <c r="F1122" s="13">
        <v>36.380000000000003</v>
      </c>
      <c r="G1122" s="13"/>
      <c r="H1122" s="13">
        <v>81.12</v>
      </c>
      <c r="I1122" s="13">
        <v>96.59</v>
      </c>
      <c r="J1122" s="13"/>
      <c r="K1122" s="13"/>
    </row>
    <row r="1123" spans="1:11" x14ac:dyDescent="0.25">
      <c r="A1123" s="10">
        <v>41453</v>
      </c>
      <c r="B1123" s="15">
        <f t="shared" si="34"/>
        <v>6</v>
      </c>
      <c r="C1123" s="15">
        <f t="shared" si="35"/>
        <v>2013</v>
      </c>
      <c r="D1123" s="13">
        <v>83.91</v>
      </c>
      <c r="E1123" s="13">
        <v>41.351476014760145</v>
      </c>
      <c r="F1123" s="13">
        <v>36.380000000000003</v>
      </c>
      <c r="G1123" s="13"/>
      <c r="H1123" s="13">
        <v>81.12</v>
      </c>
      <c r="I1123" s="13">
        <v>96.59</v>
      </c>
      <c r="J1123" s="13"/>
      <c r="K1123" s="13"/>
    </row>
    <row r="1124" spans="1:11" x14ac:dyDescent="0.25">
      <c r="A1124" s="10">
        <v>41456</v>
      </c>
      <c r="B1124" s="15">
        <f t="shared" si="34"/>
        <v>7</v>
      </c>
      <c r="C1124" s="15">
        <f t="shared" si="35"/>
        <v>2013</v>
      </c>
      <c r="D1124" s="13">
        <v>69.58</v>
      </c>
      <c r="E1124" s="13">
        <v>31.217943810763224</v>
      </c>
      <c r="F1124" s="13">
        <v>23.98</v>
      </c>
      <c r="G1124" s="13"/>
      <c r="H1124" s="13">
        <v>62.22</v>
      </c>
      <c r="I1124" s="13">
        <v>69.91</v>
      </c>
      <c r="J1124" s="13"/>
      <c r="K1124" s="13"/>
    </row>
    <row r="1125" spans="1:11" x14ac:dyDescent="0.25">
      <c r="A1125" s="10">
        <v>41457</v>
      </c>
      <c r="B1125" s="15">
        <f t="shared" si="34"/>
        <v>7</v>
      </c>
      <c r="C1125" s="15">
        <f t="shared" si="35"/>
        <v>2013</v>
      </c>
      <c r="D1125" s="13">
        <v>69.58</v>
      </c>
      <c r="E1125" s="13">
        <v>31.424828542806502</v>
      </c>
      <c r="F1125" s="13">
        <v>23.98</v>
      </c>
      <c r="G1125" s="13"/>
      <c r="H1125" s="13">
        <v>62.22</v>
      </c>
      <c r="I1125" s="13">
        <v>69.91</v>
      </c>
      <c r="J1125" s="13"/>
      <c r="K1125" s="13"/>
    </row>
    <row r="1126" spans="1:11" x14ac:dyDescent="0.25">
      <c r="A1126" s="10">
        <v>41458</v>
      </c>
      <c r="B1126" s="15">
        <f t="shared" si="34"/>
        <v>7</v>
      </c>
      <c r="C1126" s="15">
        <f t="shared" si="35"/>
        <v>2013</v>
      </c>
      <c r="D1126" s="13">
        <v>69.58</v>
      </c>
      <c r="E1126" s="13">
        <v>31.354759341842229</v>
      </c>
      <c r="F1126" s="13">
        <v>23.98</v>
      </c>
      <c r="G1126" s="13"/>
      <c r="H1126" s="13">
        <v>62.22</v>
      </c>
      <c r="I1126" s="13">
        <v>69.91</v>
      </c>
      <c r="J1126" s="13"/>
      <c r="K1126" s="13"/>
    </row>
    <row r="1127" spans="1:11" x14ac:dyDescent="0.25">
      <c r="A1127" s="10">
        <v>41460</v>
      </c>
      <c r="B1127" s="15">
        <f t="shared" si="34"/>
        <v>7</v>
      </c>
      <c r="C1127" s="15">
        <f t="shared" si="35"/>
        <v>2013</v>
      </c>
      <c r="D1127" s="13">
        <v>69.58</v>
      </c>
      <c r="E1127" s="13">
        <v>31.784879189399849</v>
      </c>
      <c r="F1127" s="13">
        <v>23.98</v>
      </c>
      <c r="G1127" s="13"/>
      <c r="H1127" s="13">
        <v>62.22</v>
      </c>
      <c r="I1127" s="13">
        <v>69.91</v>
      </c>
      <c r="J1127" s="13"/>
      <c r="K1127" s="13"/>
    </row>
    <row r="1128" spans="1:11" x14ac:dyDescent="0.25">
      <c r="A1128" s="10">
        <v>41463</v>
      </c>
      <c r="B1128" s="15">
        <f t="shared" si="34"/>
        <v>7</v>
      </c>
      <c r="C1128" s="15">
        <f t="shared" si="35"/>
        <v>2013</v>
      </c>
      <c r="D1128" s="13">
        <v>57.98</v>
      </c>
      <c r="E1128" s="13">
        <v>40.624757168389152</v>
      </c>
      <c r="F1128" s="13">
        <v>31.79</v>
      </c>
      <c r="G1128" s="13"/>
      <c r="H1128" s="13">
        <v>55.88</v>
      </c>
      <c r="I1128" s="13">
        <v>50.25</v>
      </c>
      <c r="J1128" s="13"/>
      <c r="K1128" s="13"/>
    </row>
    <row r="1129" spans="1:11" x14ac:dyDescent="0.25">
      <c r="A1129" s="10">
        <v>41464</v>
      </c>
      <c r="B1129" s="15">
        <f t="shared" si="34"/>
        <v>7</v>
      </c>
      <c r="C1129" s="15">
        <f t="shared" si="35"/>
        <v>2013</v>
      </c>
      <c r="D1129" s="13">
        <v>57.98</v>
      </c>
      <c r="E1129" s="13">
        <v>40.907668231611893</v>
      </c>
      <c r="F1129" s="13">
        <v>31.79</v>
      </c>
      <c r="G1129" s="13"/>
      <c r="H1129" s="13">
        <v>55.88</v>
      </c>
      <c r="I1129" s="13">
        <v>50.25</v>
      </c>
      <c r="J1129" s="13"/>
      <c r="K1129" s="13"/>
    </row>
    <row r="1130" spans="1:11" x14ac:dyDescent="0.25">
      <c r="A1130" s="10">
        <v>41465</v>
      </c>
      <c r="B1130" s="15">
        <f t="shared" si="34"/>
        <v>7</v>
      </c>
      <c r="C1130" s="15">
        <f t="shared" si="35"/>
        <v>2013</v>
      </c>
      <c r="D1130" s="13">
        <v>57.98</v>
      </c>
      <c r="E1130" s="13">
        <v>40.29597656852166</v>
      </c>
      <c r="F1130" s="13">
        <v>31.79</v>
      </c>
      <c r="G1130" s="13"/>
      <c r="H1130" s="13">
        <v>55.88</v>
      </c>
      <c r="I1130" s="13">
        <v>50.25</v>
      </c>
      <c r="J1130" s="13"/>
      <c r="K1130" s="13"/>
    </row>
    <row r="1131" spans="1:11" x14ac:dyDescent="0.25">
      <c r="A1131" s="10">
        <v>41466</v>
      </c>
      <c r="B1131" s="15">
        <f t="shared" si="34"/>
        <v>7</v>
      </c>
      <c r="C1131" s="15">
        <f t="shared" si="35"/>
        <v>2013</v>
      </c>
      <c r="D1131" s="13">
        <v>57.98</v>
      </c>
      <c r="E1131" s="13">
        <v>39.926683977394234</v>
      </c>
      <c r="F1131" s="13">
        <v>31.79</v>
      </c>
      <c r="G1131" s="13"/>
      <c r="H1131" s="13">
        <v>55.88</v>
      </c>
      <c r="I1131" s="13">
        <v>50.25</v>
      </c>
      <c r="J1131" s="13"/>
      <c r="K1131" s="13"/>
    </row>
    <row r="1132" spans="1:11" x14ac:dyDescent="0.25">
      <c r="A1132" s="10">
        <v>41467</v>
      </c>
      <c r="B1132" s="15">
        <f t="shared" si="34"/>
        <v>7</v>
      </c>
      <c r="C1132" s="15">
        <f t="shared" si="35"/>
        <v>2013</v>
      </c>
      <c r="D1132" s="13">
        <v>57.98</v>
      </c>
      <c r="E1132" s="13">
        <v>40.012245522730751</v>
      </c>
      <c r="F1132" s="13">
        <v>31.79</v>
      </c>
      <c r="G1132" s="13"/>
      <c r="H1132" s="13">
        <v>55.88</v>
      </c>
      <c r="I1132" s="13">
        <v>50.25</v>
      </c>
      <c r="J1132" s="13"/>
      <c r="K1132" s="13"/>
    </row>
    <row r="1133" spans="1:11" x14ac:dyDescent="0.25">
      <c r="A1133" s="10">
        <v>41470</v>
      </c>
      <c r="B1133" s="15">
        <f t="shared" si="34"/>
        <v>7</v>
      </c>
      <c r="C1133" s="15">
        <f t="shared" si="35"/>
        <v>2013</v>
      </c>
      <c r="D1133" s="13">
        <v>106.95</v>
      </c>
      <c r="E1133" s="13">
        <v>65.702036441586273</v>
      </c>
      <c r="F1133" s="13">
        <v>80.91</v>
      </c>
      <c r="G1133" s="13"/>
      <c r="H1133" s="13">
        <v>118.25</v>
      </c>
      <c r="I1133" s="13">
        <v>113.33</v>
      </c>
      <c r="J1133" s="13"/>
      <c r="K1133" s="13"/>
    </row>
    <row r="1134" spans="1:11" x14ac:dyDescent="0.25">
      <c r="A1134" s="10">
        <v>41471</v>
      </c>
      <c r="B1134" s="15">
        <f t="shared" si="34"/>
        <v>7</v>
      </c>
      <c r="C1134" s="15">
        <f t="shared" si="35"/>
        <v>2013</v>
      </c>
      <c r="D1134" s="13">
        <v>106.95</v>
      </c>
      <c r="E1134" s="13">
        <v>65.207810956614225</v>
      </c>
      <c r="F1134" s="13">
        <v>80.91</v>
      </c>
      <c r="G1134" s="13"/>
      <c r="H1134" s="13">
        <v>118.25</v>
      </c>
      <c r="I1134" s="13">
        <v>113.33</v>
      </c>
      <c r="J1134" s="13"/>
      <c r="K1134" s="13"/>
    </row>
    <row r="1135" spans="1:11" x14ac:dyDescent="0.25">
      <c r="A1135" s="10">
        <v>41472</v>
      </c>
      <c r="B1135" s="15">
        <f t="shared" si="34"/>
        <v>7</v>
      </c>
      <c r="C1135" s="15">
        <f t="shared" si="35"/>
        <v>2013</v>
      </c>
      <c r="D1135" s="13">
        <v>106.95</v>
      </c>
      <c r="E1135" s="13">
        <v>65.391648887534288</v>
      </c>
      <c r="F1135" s="13">
        <v>80.91</v>
      </c>
      <c r="G1135" s="13"/>
      <c r="H1135" s="13">
        <v>118.25</v>
      </c>
      <c r="I1135" s="13">
        <v>113.33</v>
      </c>
      <c r="J1135" s="13"/>
      <c r="K1135" s="13"/>
    </row>
    <row r="1136" spans="1:11" x14ac:dyDescent="0.25">
      <c r="A1136" s="10">
        <v>41473</v>
      </c>
      <c r="B1136" s="15">
        <f t="shared" si="34"/>
        <v>7</v>
      </c>
      <c r="C1136" s="15">
        <f t="shared" si="35"/>
        <v>2013</v>
      </c>
      <c r="D1136" s="13">
        <v>106.95</v>
      </c>
      <c r="E1136" s="13">
        <v>65.466473415210928</v>
      </c>
      <c r="F1136" s="13">
        <v>80.91</v>
      </c>
      <c r="G1136" s="13"/>
      <c r="H1136" s="13">
        <v>118.25</v>
      </c>
      <c r="I1136" s="13">
        <v>113.33</v>
      </c>
      <c r="J1136" s="13"/>
      <c r="K1136" s="13"/>
    </row>
    <row r="1137" spans="1:11" x14ac:dyDescent="0.25">
      <c r="A1137" s="10">
        <v>41474</v>
      </c>
      <c r="B1137" s="15">
        <f t="shared" si="34"/>
        <v>7</v>
      </c>
      <c r="C1137" s="15">
        <f t="shared" si="35"/>
        <v>2013</v>
      </c>
      <c r="D1137" s="13">
        <v>106.95</v>
      </c>
      <c r="E1137" s="13">
        <v>65.302084918581642</v>
      </c>
      <c r="F1137" s="13">
        <v>80.91</v>
      </c>
      <c r="G1137" s="13"/>
      <c r="H1137" s="13">
        <v>118.25</v>
      </c>
      <c r="I1137" s="13">
        <v>113.33</v>
      </c>
      <c r="J1137" s="13"/>
      <c r="K1137" s="13"/>
    </row>
    <row r="1138" spans="1:11" x14ac:dyDescent="0.25">
      <c r="A1138" s="10">
        <v>41477</v>
      </c>
      <c r="B1138" s="15">
        <f t="shared" si="34"/>
        <v>7</v>
      </c>
      <c r="C1138" s="15">
        <f t="shared" si="35"/>
        <v>2013</v>
      </c>
      <c r="D1138" s="13">
        <v>38.479999999999997</v>
      </c>
      <c r="E1138" s="13">
        <v>49.563832208146856</v>
      </c>
      <c r="F1138" s="13">
        <v>58.08</v>
      </c>
      <c r="G1138" s="13"/>
      <c r="H1138" s="13">
        <v>100.14</v>
      </c>
      <c r="I1138" s="13">
        <v>83.36</v>
      </c>
      <c r="J1138" s="13"/>
      <c r="K1138" s="13"/>
    </row>
    <row r="1139" spans="1:11" x14ac:dyDescent="0.25">
      <c r="A1139" s="10">
        <v>41478</v>
      </c>
      <c r="B1139" s="15">
        <f t="shared" si="34"/>
        <v>7</v>
      </c>
      <c r="C1139" s="15">
        <f t="shared" si="35"/>
        <v>2013</v>
      </c>
      <c r="D1139" s="13">
        <v>38.479999999999997</v>
      </c>
      <c r="E1139" s="13">
        <v>49.421375085091903</v>
      </c>
      <c r="F1139" s="13">
        <v>58.08</v>
      </c>
      <c r="G1139" s="13"/>
      <c r="H1139" s="13">
        <v>100.14</v>
      </c>
      <c r="I1139" s="13">
        <v>83.36</v>
      </c>
      <c r="J1139" s="13"/>
      <c r="K1139" s="13"/>
    </row>
    <row r="1140" spans="1:11" x14ac:dyDescent="0.25">
      <c r="A1140" s="10">
        <v>41479</v>
      </c>
      <c r="B1140" s="15">
        <f t="shared" si="34"/>
        <v>7</v>
      </c>
      <c r="C1140" s="15">
        <f t="shared" si="35"/>
        <v>2013</v>
      </c>
      <c r="D1140" s="13">
        <v>38.479999999999997</v>
      </c>
      <c r="E1140" s="13">
        <v>49.5</v>
      </c>
      <c r="F1140" s="13">
        <v>58.08</v>
      </c>
      <c r="G1140" s="13"/>
      <c r="H1140" s="13">
        <v>100.14</v>
      </c>
      <c r="I1140" s="13">
        <v>83.36</v>
      </c>
      <c r="J1140" s="13"/>
      <c r="K1140" s="13"/>
    </row>
    <row r="1141" spans="1:11" x14ac:dyDescent="0.25">
      <c r="A1141" s="10">
        <v>41480</v>
      </c>
      <c r="B1141" s="15">
        <f t="shared" si="34"/>
        <v>7</v>
      </c>
      <c r="C1141" s="15">
        <f t="shared" si="35"/>
        <v>2013</v>
      </c>
      <c r="D1141" s="13">
        <v>38.479999999999997</v>
      </c>
      <c r="E1141" s="13">
        <v>49.216631515516731</v>
      </c>
      <c r="F1141" s="13">
        <v>58.08</v>
      </c>
      <c r="G1141" s="13"/>
      <c r="H1141" s="13">
        <v>100.14</v>
      </c>
      <c r="I1141" s="13">
        <v>83.36</v>
      </c>
      <c r="J1141" s="13"/>
      <c r="K1141" s="13"/>
    </row>
    <row r="1142" spans="1:11" x14ac:dyDescent="0.25">
      <c r="A1142" s="10">
        <v>41481</v>
      </c>
      <c r="B1142" s="15">
        <f t="shared" si="34"/>
        <v>7</v>
      </c>
      <c r="C1142" s="15">
        <f t="shared" si="35"/>
        <v>2013</v>
      </c>
      <c r="D1142" s="13">
        <v>38.479999999999997</v>
      </c>
      <c r="E1142" s="13">
        <v>49.209218255761407</v>
      </c>
      <c r="F1142" s="13">
        <v>58.08</v>
      </c>
      <c r="G1142" s="13"/>
      <c r="H1142" s="13">
        <v>100.14</v>
      </c>
      <c r="I1142" s="13">
        <v>83.36</v>
      </c>
      <c r="J1142" s="13"/>
      <c r="K1142" s="13"/>
    </row>
    <row r="1143" spans="1:11" x14ac:dyDescent="0.25">
      <c r="A1143" s="10">
        <v>41484</v>
      </c>
      <c r="B1143" s="15">
        <f t="shared" si="34"/>
        <v>7</v>
      </c>
      <c r="C1143" s="15">
        <f t="shared" si="35"/>
        <v>2013</v>
      </c>
      <c r="D1143" s="13">
        <v>15.97</v>
      </c>
      <c r="E1143" s="13">
        <v>28.88386123680241</v>
      </c>
      <c r="F1143" s="13">
        <v>55.61</v>
      </c>
      <c r="G1143" s="13"/>
      <c r="H1143" s="13">
        <v>88.19</v>
      </c>
      <c r="I1143" s="13">
        <v>51.63</v>
      </c>
      <c r="J1143" s="13"/>
      <c r="K1143" s="13"/>
    </row>
    <row r="1144" spans="1:11" x14ac:dyDescent="0.25">
      <c r="A1144" s="10">
        <v>41485</v>
      </c>
      <c r="B1144" s="15">
        <f t="shared" si="34"/>
        <v>7</v>
      </c>
      <c r="C1144" s="15">
        <f t="shared" si="35"/>
        <v>2013</v>
      </c>
      <c r="D1144" s="13">
        <v>15.97</v>
      </c>
      <c r="E1144" s="13">
        <v>28.879505353641981</v>
      </c>
      <c r="F1144" s="13">
        <v>55.61</v>
      </c>
      <c r="G1144" s="13"/>
      <c r="H1144" s="13">
        <v>88.19</v>
      </c>
      <c r="I1144" s="13">
        <v>51.63</v>
      </c>
      <c r="J1144" s="13"/>
      <c r="K1144" s="13"/>
    </row>
    <row r="1145" spans="1:11" x14ac:dyDescent="0.25">
      <c r="A1145" s="10">
        <v>41486</v>
      </c>
      <c r="B1145" s="15">
        <f t="shared" si="34"/>
        <v>7</v>
      </c>
      <c r="C1145" s="15">
        <f t="shared" si="35"/>
        <v>2013</v>
      </c>
      <c r="D1145" s="13">
        <v>15.97</v>
      </c>
      <c r="E1145" s="13">
        <v>28.796992481203002</v>
      </c>
      <c r="F1145" s="13">
        <v>55.61</v>
      </c>
      <c r="G1145" s="13"/>
      <c r="H1145" s="13">
        <v>88.19</v>
      </c>
      <c r="I1145" s="13">
        <v>51.63</v>
      </c>
      <c r="J1145" s="13"/>
      <c r="K1145" s="13"/>
    </row>
    <row r="1146" spans="1:11" x14ac:dyDescent="0.25">
      <c r="A1146" s="10">
        <v>41487</v>
      </c>
      <c r="B1146" s="15">
        <f t="shared" si="34"/>
        <v>8</v>
      </c>
      <c r="C1146" s="15">
        <f t="shared" si="35"/>
        <v>2013</v>
      </c>
      <c r="D1146" s="13">
        <v>15.97</v>
      </c>
      <c r="E1146" s="13">
        <v>29.001968802059668</v>
      </c>
      <c r="F1146" s="13">
        <v>55.61</v>
      </c>
      <c r="G1146" s="13"/>
      <c r="H1146" s="13">
        <v>88.19</v>
      </c>
      <c r="I1146" s="13">
        <v>51.63</v>
      </c>
      <c r="J1146" s="13"/>
      <c r="K1146" s="13"/>
    </row>
    <row r="1147" spans="1:11" x14ac:dyDescent="0.25">
      <c r="A1147" s="10">
        <v>41488</v>
      </c>
      <c r="B1147" s="15">
        <f t="shared" si="34"/>
        <v>8</v>
      </c>
      <c r="C1147" s="15">
        <f t="shared" si="35"/>
        <v>2013</v>
      </c>
      <c r="D1147" s="13">
        <v>15.97</v>
      </c>
      <c r="E1147" s="13">
        <v>28.838189895339202</v>
      </c>
      <c r="F1147" s="13">
        <v>55.61</v>
      </c>
      <c r="G1147" s="13"/>
      <c r="H1147" s="13">
        <v>88.19</v>
      </c>
      <c r="I1147" s="13">
        <v>51.63</v>
      </c>
      <c r="J1147" s="13"/>
      <c r="K1147" s="13"/>
    </row>
    <row r="1148" spans="1:11" x14ac:dyDescent="0.25">
      <c r="A1148" s="10">
        <v>41491</v>
      </c>
      <c r="B1148" s="15">
        <f t="shared" si="34"/>
        <v>8</v>
      </c>
      <c r="C1148" s="15">
        <f t="shared" si="35"/>
        <v>2013</v>
      </c>
      <c r="D1148" s="13">
        <v>6.36</v>
      </c>
      <c r="E1148" s="13">
        <v>9.3233763294863081</v>
      </c>
      <c r="F1148" s="13">
        <v>23.86</v>
      </c>
      <c r="G1148" s="13"/>
      <c r="H1148" s="13">
        <v>84.96</v>
      </c>
      <c r="I1148" s="13">
        <v>54.46</v>
      </c>
      <c r="J1148" s="13"/>
      <c r="K1148" s="13"/>
    </row>
    <row r="1149" spans="1:11" x14ac:dyDescent="0.25">
      <c r="A1149" s="10">
        <v>41492</v>
      </c>
      <c r="B1149" s="15">
        <f t="shared" si="34"/>
        <v>8</v>
      </c>
      <c r="C1149" s="15">
        <f t="shared" si="35"/>
        <v>2013</v>
      </c>
      <c r="D1149" s="13">
        <v>6.36</v>
      </c>
      <c r="E1149" s="13">
        <v>9.2897406989853426</v>
      </c>
      <c r="F1149" s="13">
        <v>23.86</v>
      </c>
      <c r="G1149" s="13"/>
      <c r="H1149" s="13">
        <v>84.96</v>
      </c>
      <c r="I1149" s="13">
        <v>54.46</v>
      </c>
      <c r="J1149" s="13"/>
      <c r="K1149" s="13"/>
    </row>
    <row r="1150" spans="1:11" x14ac:dyDescent="0.25">
      <c r="A1150" s="10">
        <v>41493</v>
      </c>
      <c r="B1150" s="15">
        <f t="shared" si="34"/>
        <v>8</v>
      </c>
      <c r="C1150" s="15">
        <f t="shared" si="35"/>
        <v>2013</v>
      </c>
      <c r="D1150" s="13">
        <v>6.36</v>
      </c>
      <c r="E1150" s="13">
        <v>9.2681463707258551</v>
      </c>
      <c r="F1150" s="13">
        <v>23.86</v>
      </c>
      <c r="G1150" s="13"/>
      <c r="H1150" s="13">
        <v>84.96</v>
      </c>
      <c r="I1150" s="13">
        <v>54.46</v>
      </c>
      <c r="J1150" s="13"/>
      <c r="K1150" s="13"/>
    </row>
    <row r="1151" spans="1:11" x14ac:dyDescent="0.25">
      <c r="A1151" s="10">
        <v>41494</v>
      </c>
      <c r="B1151" s="15">
        <f t="shared" si="34"/>
        <v>8</v>
      </c>
      <c r="C1151" s="15">
        <f t="shared" si="35"/>
        <v>2013</v>
      </c>
      <c r="D1151" s="13">
        <v>6.36</v>
      </c>
      <c r="E1151" s="13">
        <v>9.2383586217206055</v>
      </c>
      <c r="F1151" s="13">
        <v>23.86</v>
      </c>
      <c r="G1151" s="13"/>
      <c r="H1151" s="13">
        <v>84.96</v>
      </c>
      <c r="I1151" s="13">
        <v>54.46</v>
      </c>
      <c r="J1151" s="13"/>
      <c r="K1151" s="13"/>
    </row>
    <row r="1152" spans="1:11" x14ac:dyDescent="0.25">
      <c r="A1152" s="10">
        <v>41495</v>
      </c>
      <c r="B1152" s="15">
        <f t="shared" si="34"/>
        <v>8</v>
      </c>
      <c r="C1152" s="15">
        <f t="shared" si="35"/>
        <v>2013</v>
      </c>
      <c r="D1152" s="13">
        <v>6.36</v>
      </c>
      <c r="E1152" s="13">
        <v>9.2639784140308787</v>
      </c>
      <c r="F1152" s="13">
        <v>23.86</v>
      </c>
      <c r="G1152" s="13"/>
      <c r="H1152" s="13">
        <v>84.96</v>
      </c>
      <c r="I1152" s="13">
        <v>54.46</v>
      </c>
      <c r="J1152" s="13"/>
      <c r="K1152" s="13"/>
    </row>
    <row r="1153" spans="1:11" x14ac:dyDescent="0.25">
      <c r="A1153" s="10">
        <v>41498</v>
      </c>
      <c r="B1153" s="15">
        <f t="shared" si="34"/>
        <v>8</v>
      </c>
      <c r="C1153" s="15">
        <f t="shared" si="35"/>
        <v>2013</v>
      </c>
      <c r="D1153" s="13">
        <v>25.3</v>
      </c>
      <c r="E1153" s="13">
        <v>89.787938035794852</v>
      </c>
      <c r="F1153" s="13">
        <v>40.36</v>
      </c>
      <c r="G1153" s="13"/>
      <c r="H1153" s="13">
        <v>110.45</v>
      </c>
      <c r="I1153" s="13">
        <v>97.17</v>
      </c>
      <c r="J1153" s="13"/>
      <c r="K1153" s="13"/>
    </row>
    <row r="1154" spans="1:11" x14ac:dyDescent="0.25">
      <c r="A1154" s="10">
        <v>41499</v>
      </c>
      <c r="B1154" s="15">
        <f t="shared" si="34"/>
        <v>8</v>
      </c>
      <c r="C1154" s="15">
        <f t="shared" si="35"/>
        <v>2013</v>
      </c>
      <c r="D1154" s="13">
        <v>25.3</v>
      </c>
      <c r="E1154" s="13">
        <v>90.038458638111763</v>
      </c>
      <c r="F1154" s="13">
        <v>40.36</v>
      </c>
      <c r="G1154" s="13"/>
      <c r="H1154" s="13">
        <v>110.45</v>
      </c>
      <c r="I1154" s="13">
        <v>97.17</v>
      </c>
      <c r="J1154" s="13"/>
      <c r="K1154" s="13"/>
    </row>
    <row r="1155" spans="1:11" x14ac:dyDescent="0.25">
      <c r="A1155" s="10">
        <v>41500</v>
      </c>
      <c r="B1155" s="15">
        <f t="shared" ref="B1155:B1218" si="36">MONTH(A1155)</f>
        <v>8</v>
      </c>
      <c r="C1155" s="15">
        <f t="shared" ref="C1155:C1218" si="37">YEAR(A1155)</f>
        <v>2013</v>
      </c>
      <c r="D1155" s="13">
        <v>25.3</v>
      </c>
      <c r="E1155" s="13">
        <v>90.079215390418724</v>
      </c>
      <c r="F1155" s="13">
        <v>40.36</v>
      </c>
      <c r="G1155" s="13"/>
      <c r="H1155" s="13">
        <v>110.45</v>
      </c>
      <c r="I1155" s="13">
        <v>97.17</v>
      </c>
      <c r="J1155" s="13"/>
      <c r="K1155" s="13"/>
    </row>
    <row r="1156" spans="1:11" x14ac:dyDescent="0.25">
      <c r="A1156" s="10">
        <v>41501</v>
      </c>
      <c r="B1156" s="15">
        <f t="shared" si="36"/>
        <v>8</v>
      </c>
      <c r="C1156" s="15">
        <f t="shared" si="37"/>
        <v>2013</v>
      </c>
      <c r="D1156" s="13">
        <v>25.3</v>
      </c>
      <c r="E1156" s="13">
        <v>89.465008242169944</v>
      </c>
      <c r="F1156" s="13">
        <v>40.36</v>
      </c>
      <c r="G1156" s="13"/>
      <c r="H1156" s="13">
        <v>110.45</v>
      </c>
      <c r="I1156" s="13">
        <v>97.17</v>
      </c>
      <c r="J1156" s="13"/>
      <c r="K1156" s="13"/>
    </row>
    <row r="1157" spans="1:11" x14ac:dyDescent="0.25">
      <c r="A1157" s="10">
        <v>41502</v>
      </c>
      <c r="B1157" s="15">
        <f t="shared" si="36"/>
        <v>8</v>
      </c>
      <c r="C1157" s="15">
        <f t="shared" si="37"/>
        <v>2013</v>
      </c>
      <c r="D1157" s="13">
        <v>25.3</v>
      </c>
      <c r="E1157" s="13">
        <v>89.579113211793839</v>
      </c>
      <c r="F1157" s="13">
        <v>40.36</v>
      </c>
      <c r="G1157" s="13"/>
      <c r="H1157" s="13">
        <v>110.45</v>
      </c>
      <c r="I1157" s="13">
        <v>97.17</v>
      </c>
      <c r="J1157" s="13"/>
      <c r="K1157" s="13"/>
    </row>
    <row r="1158" spans="1:11" x14ac:dyDescent="0.25">
      <c r="A1158" s="10">
        <v>41505</v>
      </c>
      <c r="B1158" s="15">
        <f t="shared" si="36"/>
        <v>8</v>
      </c>
      <c r="C1158" s="15">
        <f t="shared" si="37"/>
        <v>2013</v>
      </c>
      <c r="D1158" s="13">
        <v>46.03</v>
      </c>
      <c r="E1158" s="13">
        <v>75.001875046876179</v>
      </c>
      <c r="F1158" s="13">
        <v>61.24</v>
      </c>
      <c r="G1158" s="13"/>
      <c r="H1158" s="13">
        <v>118.86</v>
      </c>
      <c r="I1158" s="13">
        <v>108.11</v>
      </c>
      <c r="J1158" s="13"/>
      <c r="K1158" s="13"/>
    </row>
    <row r="1159" spans="1:11" x14ac:dyDescent="0.25">
      <c r="A1159" s="10">
        <v>41506</v>
      </c>
      <c r="B1159" s="15">
        <f t="shared" si="36"/>
        <v>8</v>
      </c>
      <c r="C1159" s="15">
        <f t="shared" si="37"/>
        <v>2013</v>
      </c>
      <c r="D1159" s="13">
        <v>46.03</v>
      </c>
      <c r="E1159" s="13">
        <v>74.537865235539655</v>
      </c>
      <c r="F1159" s="13">
        <v>61.24</v>
      </c>
      <c r="G1159" s="13"/>
      <c r="H1159" s="13">
        <v>118.86</v>
      </c>
      <c r="I1159" s="13">
        <v>108.11</v>
      </c>
      <c r="J1159" s="13"/>
      <c r="K1159" s="13"/>
    </row>
    <row r="1160" spans="1:11" x14ac:dyDescent="0.25">
      <c r="A1160" s="10">
        <v>41507</v>
      </c>
      <c r="B1160" s="15">
        <f t="shared" si="36"/>
        <v>8</v>
      </c>
      <c r="C1160" s="15">
        <f t="shared" si="37"/>
        <v>2013</v>
      </c>
      <c r="D1160" s="13">
        <v>46.03</v>
      </c>
      <c r="E1160" s="13">
        <v>74.872716382150344</v>
      </c>
      <c r="F1160" s="13">
        <v>61.24</v>
      </c>
      <c r="G1160" s="13"/>
      <c r="H1160" s="13">
        <v>118.86</v>
      </c>
      <c r="I1160" s="13">
        <v>108.11</v>
      </c>
      <c r="J1160" s="13"/>
      <c r="K1160" s="13"/>
    </row>
    <row r="1161" spans="1:11" x14ac:dyDescent="0.25">
      <c r="A1161" s="10">
        <v>41508</v>
      </c>
      <c r="B1161" s="15">
        <f t="shared" si="36"/>
        <v>8</v>
      </c>
      <c r="C1161" s="15">
        <f t="shared" si="37"/>
        <v>2013</v>
      </c>
      <c r="D1161" s="13">
        <v>46.03</v>
      </c>
      <c r="E1161" s="13">
        <v>74.883929908641605</v>
      </c>
      <c r="F1161" s="13">
        <v>61.24</v>
      </c>
      <c r="G1161" s="13"/>
      <c r="H1161" s="13">
        <v>118.86</v>
      </c>
      <c r="I1161" s="13">
        <v>108.11</v>
      </c>
      <c r="J1161" s="13"/>
      <c r="K1161" s="13"/>
    </row>
    <row r="1162" spans="1:11" x14ac:dyDescent="0.25">
      <c r="A1162" s="10">
        <v>41509</v>
      </c>
      <c r="B1162" s="15">
        <f t="shared" si="36"/>
        <v>8</v>
      </c>
      <c r="C1162" s="15">
        <f t="shared" si="37"/>
        <v>2013</v>
      </c>
      <c r="D1162" s="13">
        <v>46.03</v>
      </c>
      <c r="E1162" s="13">
        <v>74.732830132277101</v>
      </c>
      <c r="F1162" s="13">
        <v>61.24</v>
      </c>
      <c r="G1162" s="13"/>
      <c r="H1162" s="13">
        <v>118.86</v>
      </c>
      <c r="I1162" s="13">
        <v>108.11</v>
      </c>
      <c r="J1162" s="13"/>
      <c r="K1162" s="13"/>
    </row>
    <row r="1163" spans="1:11" x14ac:dyDescent="0.25">
      <c r="A1163" s="10">
        <v>41512</v>
      </c>
      <c r="B1163" s="15">
        <f t="shared" si="36"/>
        <v>8</v>
      </c>
      <c r="C1163" s="15">
        <f t="shared" si="37"/>
        <v>2013</v>
      </c>
      <c r="D1163" s="13">
        <v>51.18</v>
      </c>
      <c r="E1163" s="13">
        <v>78.972172351885092</v>
      </c>
      <c r="F1163" s="13">
        <v>47.62</v>
      </c>
      <c r="G1163" s="13"/>
      <c r="H1163" s="13">
        <v>100.43</v>
      </c>
      <c r="I1163" s="13">
        <v>114.67</v>
      </c>
      <c r="J1163" s="13"/>
      <c r="K1163" s="13"/>
    </row>
    <row r="1164" spans="1:11" x14ac:dyDescent="0.25">
      <c r="A1164" s="10">
        <v>41513</v>
      </c>
      <c r="B1164" s="15">
        <f t="shared" si="36"/>
        <v>8</v>
      </c>
      <c r="C1164" s="15">
        <f t="shared" si="37"/>
        <v>2013</v>
      </c>
      <c r="D1164" s="13">
        <v>51.18</v>
      </c>
      <c r="E1164" s="13">
        <v>78.83064516129032</v>
      </c>
      <c r="F1164" s="13">
        <v>47.62</v>
      </c>
      <c r="G1164" s="13"/>
      <c r="H1164" s="13">
        <v>100.43</v>
      </c>
      <c r="I1164" s="13">
        <v>114.67</v>
      </c>
      <c r="J1164" s="13"/>
      <c r="K1164" s="13"/>
    </row>
    <row r="1165" spans="1:11" x14ac:dyDescent="0.25">
      <c r="A1165" s="10">
        <v>41514</v>
      </c>
      <c r="B1165" s="15">
        <f t="shared" si="36"/>
        <v>8</v>
      </c>
      <c r="C1165" s="15">
        <f t="shared" si="37"/>
        <v>2013</v>
      </c>
      <c r="D1165" s="13">
        <v>51.18</v>
      </c>
      <c r="E1165" s="13">
        <v>79.149797570850197</v>
      </c>
      <c r="F1165" s="13">
        <v>47.62</v>
      </c>
      <c r="G1165" s="13"/>
      <c r="H1165" s="13">
        <v>100.43</v>
      </c>
      <c r="I1165" s="13">
        <v>114.67</v>
      </c>
      <c r="J1165" s="13"/>
      <c r="K1165" s="13"/>
    </row>
    <row r="1166" spans="1:11" x14ac:dyDescent="0.25">
      <c r="A1166" s="10">
        <v>41515</v>
      </c>
      <c r="B1166" s="15">
        <f t="shared" si="36"/>
        <v>8</v>
      </c>
      <c r="C1166" s="15">
        <f t="shared" si="37"/>
        <v>2013</v>
      </c>
      <c r="D1166" s="13">
        <v>51.18</v>
      </c>
      <c r="E1166" s="13">
        <v>79.735649546827787</v>
      </c>
      <c r="F1166" s="13">
        <v>47.62</v>
      </c>
      <c r="G1166" s="13"/>
      <c r="H1166" s="13">
        <v>100.43</v>
      </c>
      <c r="I1166" s="13">
        <v>114.67</v>
      </c>
      <c r="J1166" s="13"/>
      <c r="K1166" s="13"/>
    </row>
    <row r="1167" spans="1:11" x14ac:dyDescent="0.25">
      <c r="A1167" s="10">
        <v>41516</v>
      </c>
      <c r="B1167" s="15">
        <f t="shared" si="36"/>
        <v>8</v>
      </c>
      <c r="C1167" s="15">
        <f t="shared" si="37"/>
        <v>2013</v>
      </c>
      <c r="D1167" s="13">
        <v>51.18</v>
      </c>
      <c r="E1167" s="13">
        <v>79.856278366111937</v>
      </c>
      <c r="F1167" s="13">
        <v>47.62</v>
      </c>
      <c r="G1167" s="13"/>
      <c r="H1167" s="13">
        <v>100.43</v>
      </c>
      <c r="I1167" s="13">
        <v>114.67</v>
      </c>
      <c r="J1167" s="13"/>
      <c r="K1167" s="13"/>
    </row>
    <row r="1168" spans="1:11" x14ac:dyDescent="0.25">
      <c r="A1168" s="10">
        <v>41520</v>
      </c>
      <c r="B1168" s="15">
        <f t="shared" si="36"/>
        <v>9</v>
      </c>
      <c r="C1168" s="15">
        <f t="shared" si="37"/>
        <v>2013</v>
      </c>
      <c r="D1168" s="13">
        <v>19.84</v>
      </c>
      <c r="E1168" s="13">
        <v>68.1600728984737</v>
      </c>
      <c r="F1168" s="13">
        <v>7.52</v>
      </c>
      <c r="G1168" s="13"/>
      <c r="H1168" s="13">
        <v>44.92</v>
      </c>
      <c r="I1168" s="13">
        <v>92.17</v>
      </c>
      <c r="J1168" s="13"/>
      <c r="K1168" s="13"/>
    </row>
    <row r="1169" spans="1:11" x14ac:dyDescent="0.25">
      <c r="A1169" s="10">
        <v>41521</v>
      </c>
      <c r="B1169" s="15">
        <f t="shared" si="36"/>
        <v>9</v>
      </c>
      <c r="C1169" s="15">
        <f t="shared" si="37"/>
        <v>2013</v>
      </c>
      <c r="D1169" s="13">
        <v>19.84</v>
      </c>
      <c r="E1169" s="13">
        <v>67.963958506852435</v>
      </c>
      <c r="F1169" s="13">
        <v>7.52</v>
      </c>
      <c r="G1169" s="13"/>
      <c r="H1169" s="13">
        <v>44.92</v>
      </c>
      <c r="I1169" s="13">
        <v>92.17</v>
      </c>
      <c r="J1169" s="13"/>
      <c r="K1169" s="13"/>
    </row>
    <row r="1170" spans="1:11" x14ac:dyDescent="0.25">
      <c r="A1170" s="10">
        <v>41522</v>
      </c>
      <c r="B1170" s="15">
        <f t="shared" si="36"/>
        <v>9</v>
      </c>
      <c r="C1170" s="15">
        <f t="shared" si="37"/>
        <v>2013</v>
      </c>
      <c r="D1170" s="13">
        <v>19.84</v>
      </c>
      <c r="E1170" s="13">
        <v>68.419849073862338</v>
      </c>
      <c r="F1170" s="13">
        <v>7.52</v>
      </c>
      <c r="G1170" s="13"/>
      <c r="H1170" s="13">
        <v>44.92</v>
      </c>
      <c r="I1170" s="13">
        <v>92.17</v>
      </c>
      <c r="J1170" s="13"/>
      <c r="K1170" s="13"/>
    </row>
    <row r="1171" spans="1:11" x14ac:dyDescent="0.25">
      <c r="A1171" s="10">
        <v>41523</v>
      </c>
      <c r="B1171" s="15">
        <f t="shared" si="36"/>
        <v>9</v>
      </c>
      <c r="C1171" s="15">
        <f t="shared" si="37"/>
        <v>2013</v>
      </c>
      <c r="D1171" s="13">
        <v>19.84</v>
      </c>
      <c r="E1171" s="13">
        <v>68.108354199863413</v>
      </c>
      <c r="F1171" s="13">
        <v>7.52</v>
      </c>
      <c r="G1171" s="13"/>
      <c r="H1171" s="13">
        <v>44.92</v>
      </c>
      <c r="I1171" s="13">
        <v>92.17</v>
      </c>
      <c r="J1171" s="13"/>
      <c r="K1171" s="13"/>
    </row>
    <row r="1172" spans="1:11" x14ac:dyDescent="0.25">
      <c r="A1172" s="10">
        <v>41526</v>
      </c>
      <c r="B1172" s="15">
        <f t="shared" si="36"/>
        <v>9</v>
      </c>
      <c r="C1172" s="15">
        <f t="shared" si="37"/>
        <v>2013</v>
      </c>
      <c r="D1172" s="13">
        <v>11.24</v>
      </c>
      <c r="E1172" s="13">
        <v>71.14078768673609</v>
      </c>
      <c r="F1172" s="13">
        <v>8</v>
      </c>
      <c r="G1172" s="13"/>
      <c r="H1172" s="13">
        <v>42.51</v>
      </c>
      <c r="I1172" s="13">
        <v>101.64</v>
      </c>
      <c r="J1172" s="13"/>
      <c r="K1172" s="13"/>
    </row>
    <row r="1173" spans="1:11" x14ac:dyDescent="0.25">
      <c r="A1173" s="10">
        <v>41527</v>
      </c>
      <c r="B1173" s="15">
        <f t="shared" si="36"/>
        <v>9</v>
      </c>
      <c r="C1173" s="15">
        <f t="shared" si="37"/>
        <v>2013</v>
      </c>
      <c r="D1173" s="13">
        <v>11.24</v>
      </c>
      <c r="E1173" s="13">
        <v>71.071078616115173</v>
      </c>
      <c r="F1173" s="13">
        <v>8</v>
      </c>
      <c r="G1173" s="13"/>
      <c r="H1173" s="13">
        <v>42.51</v>
      </c>
      <c r="I1173" s="13">
        <v>101.64</v>
      </c>
      <c r="J1173" s="13"/>
      <c r="K1173" s="13"/>
    </row>
    <row r="1174" spans="1:11" x14ac:dyDescent="0.25">
      <c r="A1174" s="10">
        <v>41528</v>
      </c>
      <c r="B1174" s="15">
        <f t="shared" si="36"/>
        <v>9</v>
      </c>
      <c r="C1174" s="15">
        <f t="shared" si="37"/>
        <v>2013</v>
      </c>
      <c r="D1174" s="13">
        <v>11.24</v>
      </c>
      <c r="E1174" s="13">
        <v>70.846795401607935</v>
      </c>
      <c r="F1174" s="13">
        <v>8</v>
      </c>
      <c r="G1174" s="13"/>
      <c r="H1174" s="13">
        <v>42.51</v>
      </c>
      <c r="I1174" s="13">
        <v>101.64</v>
      </c>
      <c r="J1174" s="13"/>
      <c r="K1174" s="13"/>
    </row>
    <row r="1175" spans="1:11" x14ac:dyDescent="0.25">
      <c r="A1175" s="10">
        <v>41529</v>
      </c>
      <c r="B1175" s="15">
        <f t="shared" si="36"/>
        <v>9</v>
      </c>
      <c r="C1175" s="15">
        <f t="shared" si="37"/>
        <v>2013</v>
      </c>
      <c r="D1175" s="13">
        <v>11.24</v>
      </c>
      <c r="E1175" s="13">
        <v>70.910731744002405</v>
      </c>
      <c r="F1175" s="13">
        <v>8</v>
      </c>
      <c r="G1175" s="13"/>
      <c r="H1175" s="13">
        <v>42.51</v>
      </c>
      <c r="I1175" s="13">
        <v>101.64</v>
      </c>
      <c r="J1175" s="13"/>
      <c r="K1175" s="13"/>
    </row>
    <row r="1176" spans="1:11" x14ac:dyDescent="0.25">
      <c r="A1176" s="10">
        <v>41530</v>
      </c>
      <c r="B1176" s="15">
        <f t="shared" si="36"/>
        <v>9</v>
      </c>
      <c r="C1176" s="15">
        <f t="shared" si="37"/>
        <v>2013</v>
      </c>
      <c r="D1176" s="13">
        <v>11.24</v>
      </c>
      <c r="E1176" s="13">
        <v>70.937405958471274</v>
      </c>
      <c r="F1176" s="13">
        <v>8</v>
      </c>
      <c r="G1176" s="13"/>
      <c r="H1176" s="13">
        <v>42.51</v>
      </c>
      <c r="I1176" s="13">
        <v>101.64</v>
      </c>
      <c r="J1176" s="13"/>
      <c r="K1176" s="13"/>
    </row>
    <row r="1177" spans="1:11" x14ac:dyDescent="0.25">
      <c r="A1177" s="10">
        <v>41533</v>
      </c>
      <c r="B1177" s="15">
        <f t="shared" si="36"/>
        <v>9</v>
      </c>
      <c r="C1177" s="15">
        <f t="shared" si="37"/>
        <v>2013</v>
      </c>
      <c r="D1177" s="13">
        <v>24.15</v>
      </c>
      <c r="E1177" s="13">
        <v>64.426610665266637</v>
      </c>
      <c r="F1177" s="13">
        <v>11.4</v>
      </c>
      <c r="G1177" s="13"/>
      <c r="H1177" s="13">
        <v>72.819999999999993</v>
      </c>
      <c r="I1177" s="13">
        <v>109.92</v>
      </c>
      <c r="J1177" s="13"/>
      <c r="K1177" s="13"/>
    </row>
    <row r="1178" spans="1:11" x14ac:dyDescent="0.25">
      <c r="A1178" s="10">
        <v>41534</v>
      </c>
      <c r="B1178" s="15">
        <f t="shared" si="36"/>
        <v>9</v>
      </c>
      <c r="C1178" s="15">
        <f t="shared" si="37"/>
        <v>2013</v>
      </c>
      <c r="D1178" s="13">
        <v>24.15</v>
      </c>
      <c r="E1178" s="13">
        <v>64.310848244366255</v>
      </c>
      <c r="F1178" s="13">
        <v>11.4</v>
      </c>
      <c r="G1178" s="13"/>
      <c r="H1178" s="13">
        <v>72.819999999999993</v>
      </c>
      <c r="I1178" s="13">
        <v>109.92</v>
      </c>
      <c r="J1178" s="13"/>
      <c r="K1178" s="13"/>
    </row>
    <row r="1179" spans="1:11" x14ac:dyDescent="0.25">
      <c r="A1179" s="10">
        <v>41535</v>
      </c>
      <c r="B1179" s="15">
        <f t="shared" si="36"/>
        <v>9</v>
      </c>
      <c r="C1179" s="15">
        <f t="shared" si="37"/>
        <v>2013</v>
      </c>
      <c r="D1179" s="13">
        <v>24.15</v>
      </c>
      <c r="E1179" s="13">
        <v>63.530803934620224</v>
      </c>
      <c r="F1179" s="13">
        <v>11.4</v>
      </c>
      <c r="G1179" s="13"/>
      <c r="H1179" s="13">
        <v>72.819999999999993</v>
      </c>
      <c r="I1179" s="13">
        <v>109.92</v>
      </c>
      <c r="J1179" s="13"/>
      <c r="K1179" s="13"/>
    </row>
    <row r="1180" spans="1:11" x14ac:dyDescent="0.25">
      <c r="A1180" s="10">
        <v>41536</v>
      </c>
      <c r="B1180" s="15">
        <f t="shared" si="36"/>
        <v>9</v>
      </c>
      <c r="C1180" s="15">
        <f t="shared" si="37"/>
        <v>2013</v>
      </c>
      <c r="D1180" s="13">
        <v>24.15</v>
      </c>
      <c r="E1180" s="13">
        <v>63.493236750683721</v>
      </c>
      <c r="F1180" s="13">
        <v>11.4</v>
      </c>
      <c r="G1180" s="13"/>
      <c r="H1180" s="13">
        <v>72.819999999999993</v>
      </c>
      <c r="I1180" s="13">
        <v>109.92</v>
      </c>
      <c r="J1180" s="13"/>
      <c r="K1180" s="13"/>
    </row>
    <row r="1181" spans="1:11" x14ac:dyDescent="0.25">
      <c r="A1181" s="10">
        <v>41537</v>
      </c>
      <c r="B1181" s="15">
        <f t="shared" si="36"/>
        <v>9</v>
      </c>
      <c r="C1181" s="15">
        <f t="shared" si="37"/>
        <v>2013</v>
      </c>
      <c r="D1181" s="13">
        <v>24.15</v>
      </c>
      <c r="E1181" s="13">
        <v>63.526105605679632</v>
      </c>
      <c r="F1181" s="13">
        <v>11.4</v>
      </c>
      <c r="G1181" s="13"/>
      <c r="H1181" s="13">
        <v>72.819999999999993</v>
      </c>
      <c r="I1181" s="13">
        <v>109.92</v>
      </c>
      <c r="J1181" s="13"/>
      <c r="K1181" s="13"/>
    </row>
    <row r="1182" spans="1:11" x14ac:dyDescent="0.25">
      <c r="A1182" s="10">
        <v>41540</v>
      </c>
      <c r="B1182" s="15">
        <f t="shared" si="36"/>
        <v>9</v>
      </c>
      <c r="C1182" s="15">
        <f t="shared" si="37"/>
        <v>2013</v>
      </c>
      <c r="D1182" s="13">
        <v>24.98</v>
      </c>
      <c r="E1182" s="13">
        <v>46.36080640379484</v>
      </c>
      <c r="F1182" s="13">
        <v>5.32</v>
      </c>
      <c r="G1182" s="13"/>
      <c r="H1182" s="13">
        <v>60.78</v>
      </c>
      <c r="I1182" s="13">
        <v>4.1500000000000004</v>
      </c>
      <c r="J1182" s="13"/>
      <c r="K1182" s="13"/>
    </row>
    <row r="1183" spans="1:11" x14ac:dyDescent="0.25">
      <c r="A1183" s="10">
        <v>41541</v>
      </c>
      <c r="B1183" s="15">
        <f t="shared" si="36"/>
        <v>9</v>
      </c>
      <c r="C1183" s="15">
        <f t="shared" si="37"/>
        <v>2013</v>
      </c>
      <c r="D1183" s="13">
        <v>24.98</v>
      </c>
      <c r="E1183" s="13">
        <v>46.429631828978621</v>
      </c>
      <c r="F1183" s="13">
        <v>5.32</v>
      </c>
      <c r="G1183" s="13"/>
      <c r="H1183" s="13">
        <v>60.78</v>
      </c>
      <c r="I1183" s="13">
        <v>4.1500000000000004</v>
      </c>
      <c r="J1183" s="13"/>
      <c r="K1183" s="13"/>
    </row>
    <row r="1184" spans="1:11" x14ac:dyDescent="0.25">
      <c r="A1184" s="10">
        <v>41542</v>
      </c>
      <c r="B1184" s="15">
        <f t="shared" si="36"/>
        <v>9</v>
      </c>
      <c r="C1184" s="15">
        <f t="shared" si="37"/>
        <v>2013</v>
      </c>
      <c r="D1184" s="13">
        <v>24.98</v>
      </c>
      <c r="E1184" s="13">
        <v>46.247689463955638</v>
      </c>
      <c r="F1184" s="13">
        <v>5.32</v>
      </c>
      <c r="G1184" s="13"/>
      <c r="H1184" s="13">
        <v>60.78</v>
      </c>
      <c r="I1184" s="13">
        <v>4.1500000000000004</v>
      </c>
      <c r="J1184" s="13"/>
      <c r="K1184" s="13"/>
    </row>
    <row r="1185" spans="1:11" x14ac:dyDescent="0.25">
      <c r="A1185" s="10">
        <v>41543</v>
      </c>
      <c r="B1185" s="15">
        <f t="shared" si="36"/>
        <v>9</v>
      </c>
      <c r="C1185" s="15">
        <f t="shared" si="37"/>
        <v>2013</v>
      </c>
      <c r="D1185" s="13">
        <v>24.98</v>
      </c>
      <c r="E1185" s="13">
        <v>46.37455516014235</v>
      </c>
      <c r="F1185" s="13">
        <v>5.32</v>
      </c>
      <c r="G1185" s="13"/>
      <c r="H1185" s="13">
        <v>60.78</v>
      </c>
      <c r="I1185" s="13">
        <v>4.1500000000000004</v>
      </c>
      <c r="J1185" s="13"/>
      <c r="K1185" s="13"/>
    </row>
    <row r="1186" spans="1:11" x14ac:dyDescent="0.25">
      <c r="A1186" s="10">
        <v>41544</v>
      </c>
      <c r="B1186" s="15">
        <f t="shared" si="36"/>
        <v>9</v>
      </c>
      <c r="C1186" s="15">
        <f t="shared" si="37"/>
        <v>2013</v>
      </c>
      <c r="D1186" s="13">
        <v>24.98</v>
      </c>
      <c r="E1186" s="13">
        <v>46.261371200355001</v>
      </c>
      <c r="F1186" s="13">
        <v>5.32</v>
      </c>
      <c r="G1186" s="13"/>
      <c r="H1186" s="13">
        <v>60.78</v>
      </c>
      <c r="I1186" s="13">
        <v>4.1500000000000004</v>
      </c>
      <c r="J1186" s="13"/>
      <c r="K1186" s="13"/>
    </row>
    <row r="1187" spans="1:11" x14ac:dyDescent="0.25">
      <c r="A1187" s="10">
        <v>41547</v>
      </c>
      <c r="B1187" s="15">
        <f t="shared" si="36"/>
        <v>9</v>
      </c>
      <c r="C1187" s="15">
        <f t="shared" si="37"/>
        <v>2013</v>
      </c>
      <c r="D1187" s="13">
        <v>17.36</v>
      </c>
      <c r="E1187" s="13">
        <v>48.868677905944985</v>
      </c>
      <c r="F1187" s="13">
        <v>0.12</v>
      </c>
      <c r="G1187" s="13"/>
      <c r="H1187" s="13">
        <v>48.9</v>
      </c>
      <c r="I1187" s="13">
        <v>-16.739999999999998</v>
      </c>
      <c r="J1187" s="13"/>
      <c r="K1187" s="13"/>
    </row>
    <row r="1188" spans="1:11" x14ac:dyDescent="0.25">
      <c r="A1188" s="10">
        <v>41548</v>
      </c>
      <c r="B1188" s="15">
        <f t="shared" si="36"/>
        <v>10</v>
      </c>
      <c r="C1188" s="15">
        <f t="shared" si="37"/>
        <v>2013</v>
      </c>
      <c r="D1188" s="13">
        <v>17.36</v>
      </c>
      <c r="E1188" s="13">
        <v>48.868677905944985</v>
      </c>
      <c r="F1188" s="13">
        <v>0.12</v>
      </c>
      <c r="G1188" s="13"/>
      <c r="H1188" s="13">
        <v>48.9</v>
      </c>
      <c r="I1188" s="13">
        <v>-16.739999999999998</v>
      </c>
      <c r="J1188" s="13"/>
      <c r="K1188" s="13"/>
    </row>
    <row r="1189" spans="1:11" x14ac:dyDescent="0.25">
      <c r="A1189" s="10">
        <v>41549</v>
      </c>
      <c r="B1189" s="15">
        <f t="shared" si="36"/>
        <v>10</v>
      </c>
      <c r="C1189" s="15">
        <f t="shared" si="37"/>
        <v>2013</v>
      </c>
      <c r="D1189" s="13">
        <v>17.36</v>
      </c>
      <c r="E1189" s="13">
        <v>48.681496758986455</v>
      </c>
      <c r="F1189" s="13">
        <v>0.12</v>
      </c>
      <c r="G1189" s="13"/>
      <c r="H1189" s="13">
        <v>48.9</v>
      </c>
      <c r="I1189" s="13">
        <v>-16.739999999999998</v>
      </c>
      <c r="J1189" s="13"/>
      <c r="K1189" s="13"/>
    </row>
    <row r="1190" spans="1:11" x14ac:dyDescent="0.25">
      <c r="A1190" s="10">
        <v>41550</v>
      </c>
      <c r="B1190" s="15">
        <f t="shared" si="36"/>
        <v>10</v>
      </c>
      <c r="C1190" s="15">
        <f t="shared" si="37"/>
        <v>2013</v>
      </c>
      <c r="D1190" s="13">
        <v>17.36</v>
      </c>
      <c r="E1190" s="13">
        <v>48.534919585811856</v>
      </c>
      <c r="F1190" s="13">
        <v>0.12</v>
      </c>
      <c r="G1190" s="13"/>
      <c r="H1190" s="13">
        <v>48.9</v>
      </c>
      <c r="I1190" s="13">
        <v>-16.739999999999998</v>
      </c>
      <c r="J1190" s="13"/>
      <c r="K1190" s="13"/>
    </row>
    <row r="1191" spans="1:11" x14ac:dyDescent="0.25">
      <c r="A1191" s="10">
        <v>41551</v>
      </c>
      <c r="B1191" s="15">
        <f t="shared" si="36"/>
        <v>10</v>
      </c>
      <c r="C1191" s="15">
        <f t="shared" si="37"/>
        <v>2013</v>
      </c>
      <c r="D1191" s="13">
        <v>17.36</v>
      </c>
      <c r="E1191" s="13">
        <v>48.749723390130569</v>
      </c>
      <c r="F1191" s="13">
        <v>0.12</v>
      </c>
      <c r="G1191" s="13"/>
      <c r="H1191" s="13">
        <v>48.9</v>
      </c>
      <c r="I1191" s="13">
        <v>-16.739999999999998</v>
      </c>
      <c r="J1191" s="13"/>
      <c r="K1191" s="13"/>
    </row>
    <row r="1192" spans="1:11" x14ac:dyDescent="0.25">
      <c r="A1192" s="10">
        <v>41554</v>
      </c>
      <c r="B1192" s="15">
        <f t="shared" si="36"/>
        <v>10</v>
      </c>
      <c r="C1192" s="15">
        <f t="shared" si="37"/>
        <v>2013</v>
      </c>
      <c r="D1192" s="13">
        <v>-9.0500000000000007</v>
      </c>
      <c r="E1192" s="13">
        <v>46.108533981297398</v>
      </c>
      <c r="F1192" s="13">
        <v>-30.82</v>
      </c>
      <c r="G1192" s="13"/>
      <c r="H1192" s="13">
        <v>24.51</v>
      </c>
      <c r="I1192" s="13">
        <v>-41.95</v>
      </c>
      <c r="J1192" s="13"/>
      <c r="K1192" s="13"/>
    </row>
    <row r="1193" spans="1:11" x14ac:dyDescent="0.25">
      <c r="A1193" s="10">
        <v>41555</v>
      </c>
      <c r="B1193" s="15">
        <f t="shared" si="36"/>
        <v>10</v>
      </c>
      <c r="C1193" s="15">
        <f t="shared" si="37"/>
        <v>2013</v>
      </c>
      <c r="D1193" s="13">
        <v>-9.0500000000000007</v>
      </c>
      <c r="E1193" s="13">
        <v>46.142509763466215</v>
      </c>
      <c r="F1193" s="13">
        <v>-30.82</v>
      </c>
      <c r="G1193" s="13"/>
      <c r="H1193" s="13">
        <v>24.51</v>
      </c>
      <c r="I1193" s="13">
        <v>-41.95</v>
      </c>
      <c r="J1193" s="13"/>
      <c r="K1193" s="13"/>
    </row>
    <row r="1194" spans="1:11" x14ac:dyDescent="0.25">
      <c r="A1194" s="10">
        <v>41556</v>
      </c>
      <c r="B1194" s="15">
        <f t="shared" si="36"/>
        <v>10</v>
      </c>
      <c r="C1194" s="15">
        <f t="shared" si="37"/>
        <v>2013</v>
      </c>
      <c r="D1194" s="13">
        <v>-9.0500000000000007</v>
      </c>
      <c r="E1194" s="13">
        <v>46.306292982326404</v>
      </c>
      <c r="F1194" s="13">
        <v>-30.82</v>
      </c>
      <c r="G1194" s="13"/>
      <c r="H1194" s="13">
        <v>24.51</v>
      </c>
      <c r="I1194" s="13">
        <v>-41.95</v>
      </c>
      <c r="J1194" s="13"/>
      <c r="K1194" s="13"/>
    </row>
    <row r="1195" spans="1:11" x14ac:dyDescent="0.25">
      <c r="A1195" s="10">
        <v>41557</v>
      </c>
      <c r="B1195" s="15">
        <f t="shared" si="36"/>
        <v>10</v>
      </c>
      <c r="C1195" s="15">
        <f t="shared" si="37"/>
        <v>2013</v>
      </c>
      <c r="D1195" s="13">
        <v>-9.0500000000000007</v>
      </c>
      <c r="E1195" s="13">
        <v>46.319994082402538</v>
      </c>
      <c r="F1195" s="13">
        <v>-30.82</v>
      </c>
      <c r="G1195" s="13"/>
      <c r="H1195" s="13">
        <v>24.51</v>
      </c>
      <c r="I1195" s="13">
        <v>-41.95</v>
      </c>
      <c r="J1195" s="13"/>
      <c r="K1195" s="13"/>
    </row>
    <row r="1196" spans="1:11" x14ac:dyDescent="0.25">
      <c r="A1196" s="10">
        <v>41558</v>
      </c>
      <c r="B1196" s="15">
        <f t="shared" si="36"/>
        <v>10</v>
      </c>
      <c r="C1196" s="15">
        <f t="shared" si="37"/>
        <v>2013</v>
      </c>
      <c r="D1196" s="13">
        <v>-9.0500000000000007</v>
      </c>
      <c r="E1196" s="13">
        <v>46.244738202496116</v>
      </c>
      <c r="F1196" s="13">
        <v>-30.82</v>
      </c>
      <c r="G1196" s="13"/>
      <c r="H1196" s="13">
        <v>24.51</v>
      </c>
      <c r="I1196" s="13">
        <v>-41.95</v>
      </c>
      <c r="J1196" s="13"/>
      <c r="K1196" s="13"/>
    </row>
    <row r="1197" spans="1:11" x14ac:dyDescent="0.25">
      <c r="A1197" s="10">
        <v>41561</v>
      </c>
      <c r="B1197" s="15">
        <f t="shared" si="36"/>
        <v>10</v>
      </c>
      <c r="C1197" s="15">
        <f t="shared" si="37"/>
        <v>2013</v>
      </c>
      <c r="D1197" s="13">
        <v>-2.57</v>
      </c>
      <c r="E1197" s="13">
        <v>47.142541110537564</v>
      </c>
      <c r="F1197" s="13">
        <v>-28.94</v>
      </c>
      <c r="G1197" s="13"/>
      <c r="H1197" s="13">
        <v>31.66</v>
      </c>
      <c r="I1197" s="13">
        <v>-40.81</v>
      </c>
      <c r="J1197" s="13"/>
      <c r="K1197" s="13"/>
    </row>
    <row r="1198" spans="1:11" x14ac:dyDescent="0.25">
      <c r="A1198" s="10">
        <v>41562</v>
      </c>
      <c r="B1198" s="15">
        <f t="shared" si="36"/>
        <v>10</v>
      </c>
      <c r="C1198" s="15">
        <f t="shared" si="37"/>
        <v>2013</v>
      </c>
      <c r="D1198" s="13">
        <v>-2.57</v>
      </c>
      <c r="E1198" s="13">
        <v>47.275012940915474</v>
      </c>
      <c r="F1198" s="13">
        <v>-28.94</v>
      </c>
      <c r="G1198" s="13"/>
      <c r="H1198" s="13">
        <v>31.66</v>
      </c>
      <c r="I1198" s="13">
        <v>-40.81</v>
      </c>
      <c r="J1198" s="13"/>
      <c r="K1198" s="13"/>
    </row>
    <row r="1199" spans="1:11" x14ac:dyDescent="0.25">
      <c r="A1199" s="10">
        <v>41563</v>
      </c>
      <c r="B1199" s="15">
        <f t="shared" si="36"/>
        <v>10</v>
      </c>
      <c r="C1199" s="15">
        <f t="shared" si="37"/>
        <v>2013</v>
      </c>
      <c r="D1199" s="13">
        <v>-2.57</v>
      </c>
      <c r="E1199" s="13">
        <v>47.236589330574851</v>
      </c>
      <c r="F1199" s="13">
        <v>-28.94</v>
      </c>
      <c r="G1199" s="13"/>
      <c r="H1199" s="13">
        <v>31.66</v>
      </c>
      <c r="I1199" s="13">
        <v>-40.81</v>
      </c>
      <c r="J1199" s="13"/>
      <c r="K1199" s="13"/>
    </row>
    <row r="1200" spans="1:11" x14ac:dyDescent="0.25">
      <c r="A1200" s="10">
        <v>41564</v>
      </c>
      <c r="B1200" s="15">
        <f t="shared" si="36"/>
        <v>10</v>
      </c>
      <c r="C1200" s="15">
        <f t="shared" si="37"/>
        <v>2013</v>
      </c>
      <c r="D1200" s="13">
        <v>-2.57</v>
      </c>
      <c r="E1200" s="13">
        <v>46.749542961608775</v>
      </c>
      <c r="F1200" s="13">
        <v>-28.94</v>
      </c>
      <c r="G1200" s="13"/>
      <c r="H1200" s="13">
        <v>31.66</v>
      </c>
      <c r="I1200" s="13">
        <v>-40.81</v>
      </c>
      <c r="J1200" s="13"/>
      <c r="K1200" s="13"/>
    </row>
    <row r="1201" spans="1:11" x14ac:dyDescent="0.25">
      <c r="A1201" s="10">
        <v>41565</v>
      </c>
      <c r="B1201" s="15">
        <f t="shared" si="36"/>
        <v>10</v>
      </c>
      <c r="C1201" s="15">
        <f t="shared" si="37"/>
        <v>2013</v>
      </c>
      <c r="D1201" s="13">
        <v>-2.57</v>
      </c>
      <c r="E1201" s="13">
        <v>46.718795673779596</v>
      </c>
      <c r="F1201" s="13">
        <v>-28.94</v>
      </c>
      <c r="G1201" s="13"/>
      <c r="H1201" s="13">
        <v>31.66</v>
      </c>
      <c r="I1201" s="13">
        <v>-40.81</v>
      </c>
      <c r="J1201" s="13"/>
      <c r="K1201" s="13"/>
    </row>
    <row r="1202" spans="1:11" x14ac:dyDescent="0.25">
      <c r="A1202" s="10">
        <v>41568</v>
      </c>
      <c r="B1202" s="15">
        <f t="shared" si="36"/>
        <v>10</v>
      </c>
      <c r="C1202" s="15">
        <f t="shared" si="37"/>
        <v>2013</v>
      </c>
      <c r="D1202" s="13">
        <v>9.9600000000000009</v>
      </c>
      <c r="E1202" s="13">
        <v>54.73284116658138</v>
      </c>
      <c r="F1202" s="13">
        <v>-20.18</v>
      </c>
      <c r="G1202" s="13"/>
      <c r="H1202" s="13">
        <v>38.51</v>
      </c>
      <c r="I1202" s="13">
        <v>-27.68</v>
      </c>
      <c r="J1202" s="13"/>
      <c r="K1202" s="13"/>
    </row>
    <row r="1203" spans="1:11" x14ac:dyDescent="0.25">
      <c r="A1203" s="10">
        <v>41569</v>
      </c>
      <c r="B1203" s="15">
        <f t="shared" si="36"/>
        <v>10</v>
      </c>
      <c r="C1203" s="15">
        <f t="shared" si="37"/>
        <v>2013</v>
      </c>
      <c r="D1203" s="13">
        <v>9.9600000000000009</v>
      </c>
      <c r="E1203" s="13">
        <v>54.339622641509436</v>
      </c>
      <c r="F1203" s="13">
        <v>-20.18</v>
      </c>
      <c r="G1203" s="13"/>
      <c r="H1203" s="13">
        <v>38.51</v>
      </c>
      <c r="I1203" s="13">
        <v>-27.68</v>
      </c>
      <c r="J1203" s="13"/>
      <c r="K1203" s="13"/>
    </row>
    <row r="1204" spans="1:11" x14ac:dyDescent="0.25">
      <c r="A1204" s="10">
        <v>41570</v>
      </c>
      <c r="B1204" s="15">
        <f t="shared" si="36"/>
        <v>10</v>
      </c>
      <c r="C1204" s="15">
        <f t="shared" si="37"/>
        <v>2013</v>
      </c>
      <c r="D1204" s="13">
        <v>9.9600000000000009</v>
      </c>
      <c r="E1204" s="13">
        <v>54.363293161028025</v>
      </c>
      <c r="F1204" s="13">
        <v>-20.18</v>
      </c>
      <c r="G1204" s="13"/>
      <c r="H1204" s="13">
        <v>38.51</v>
      </c>
      <c r="I1204" s="13">
        <v>-27.68</v>
      </c>
      <c r="J1204" s="13"/>
      <c r="K1204" s="13"/>
    </row>
    <row r="1205" spans="1:11" x14ac:dyDescent="0.25">
      <c r="A1205" s="10">
        <v>41571</v>
      </c>
      <c r="B1205" s="15">
        <f t="shared" si="36"/>
        <v>10</v>
      </c>
      <c r="C1205" s="15">
        <f t="shared" si="37"/>
        <v>2013</v>
      </c>
      <c r="D1205" s="13">
        <v>9.9600000000000009</v>
      </c>
      <c r="E1205" s="13">
        <v>54.264801797231684</v>
      </c>
      <c r="F1205" s="13">
        <v>-20.18</v>
      </c>
      <c r="G1205" s="13"/>
      <c r="H1205" s="13">
        <v>38.51</v>
      </c>
      <c r="I1205" s="13">
        <v>-27.68</v>
      </c>
      <c r="J1205" s="13"/>
      <c r="K1205" s="13"/>
    </row>
    <row r="1206" spans="1:11" x14ac:dyDescent="0.25">
      <c r="A1206" s="10">
        <v>41572</v>
      </c>
      <c r="B1206" s="15">
        <f t="shared" si="36"/>
        <v>10</v>
      </c>
      <c r="C1206" s="15">
        <f t="shared" si="37"/>
        <v>2013</v>
      </c>
      <c r="D1206" s="13">
        <v>9.9600000000000009</v>
      </c>
      <c r="E1206" s="13">
        <v>54.24514633439582</v>
      </c>
      <c r="F1206" s="13">
        <v>-20.18</v>
      </c>
      <c r="G1206" s="13"/>
      <c r="H1206" s="13">
        <v>38.51</v>
      </c>
      <c r="I1206" s="13">
        <v>-27.68</v>
      </c>
      <c r="J1206" s="13"/>
      <c r="K1206" s="13"/>
    </row>
    <row r="1207" spans="1:11" x14ac:dyDescent="0.25">
      <c r="A1207" s="10">
        <v>41575</v>
      </c>
      <c r="B1207" s="15">
        <f t="shared" si="36"/>
        <v>10</v>
      </c>
      <c r="C1207" s="15">
        <f t="shared" si="37"/>
        <v>2013</v>
      </c>
      <c r="D1207" s="13">
        <v>6.29</v>
      </c>
      <c r="E1207" s="13">
        <v>37.862739408009283</v>
      </c>
      <c r="F1207" s="13">
        <v>-30.02</v>
      </c>
      <c r="G1207" s="13"/>
      <c r="H1207" s="13">
        <v>37.590000000000003</v>
      </c>
      <c r="I1207" s="13">
        <v>-50.76</v>
      </c>
      <c r="J1207" s="13"/>
      <c r="K1207" s="13"/>
    </row>
    <row r="1208" spans="1:11" x14ac:dyDescent="0.25">
      <c r="A1208" s="10">
        <v>41576</v>
      </c>
      <c r="B1208" s="15">
        <f t="shared" si="36"/>
        <v>10</v>
      </c>
      <c r="C1208" s="15">
        <f t="shared" si="37"/>
        <v>2013</v>
      </c>
      <c r="D1208" s="13">
        <v>6.29</v>
      </c>
      <c r="E1208" s="13">
        <v>37.970170971262277</v>
      </c>
      <c r="F1208" s="13">
        <v>-30.02</v>
      </c>
      <c r="G1208" s="13"/>
      <c r="H1208" s="13">
        <v>37.590000000000003</v>
      </c>
      <c r="I1208" s="13">
        <v>-50.76</v>
      </c>
      <c r="J1208" s="13"/>
      <c r="K1208" s="13"/>
    </row>
    <row r="1209" spans="1:11" x14ac:dyDescent="0.25">
      <c r="A1209" s="10">
        <v>41577</v>
      </c>
      <c r="B1209" s="15">
        <f t="shared" si="36"/>
        <v>10</v>
      </c>
      <c r="C1209" s="15">
        <f t="shared" si="37"/>
        <v>2013</v>
      </c>
      <c r="D1209" s="13">
        <v>6.29</v>
      </c>
      <c r="E1209" s="13">
        <v>37.997815799053512</v>
      </c>
      <c r="F1209" s="13">
        <v>-30.02</v>
      </c>
      <c r="G1209" s="13"/>
      <c r="H1209" s="13">
        <v>37.590000000000003</v>
      </c>
      <c r="I1209" s="13">
        <v>-50.76</v>
      </c>
      <c r="J1209" s="13"/>
      <c r="K1209" s="13"/>
    </row>
    <row r="1210" spans="1:11" x14ac:dyDescent="0.25">
      <c r="A1210" s="10">
        <v>41578</v>
      </c>
      <c r="B1210" s="15">
        <f t="shared" si="36"/>
        <v>10</v>
      </c>
      <c r="C1210" s="15">
        <f t="shared" si="37"/>
        <v>2013</v>
      </c>
      <c r="D1210" s="13">
        <v>6.29</v>
      </c>
      <c r="E1210" s="13">
        <v>38.425857752908257</v>
      </c>
      <c r="F1210" s="13">
        <v>-30.02</v>
      </c>
      <c r="G1210" s="13"/>
      <c r="H1210" s="13">
        <v>37.590000000000003</v>
      </c>
      <c r="I1210" s="13">
        <v>-50.76</v>
      </c>
      <c r="J1210" s="13"/>
      <c r="K1210" s="13"/>
    </row>
    <row r="1211" spans="1:11" x14ac:dyDescent="0.25">
      <c r="A1211" s="10">
        <v>41579</v>
      </c>
      <c r="B1211" s="15">
        <f t="shared" si="36"/>
        <v>11</v>
      </c>
      <c r="C1211" s="15">
        <f t="shared" si="37"/>
        <v>2013</v>
      </c>
      <c r="D1211" s="13">
        <v>6.29</v>
      </c>
      <c r="E1211" s="13">
        <v>38.702261772339632</v>
      </c>
      <c r="F1211" s="13">
        <v>-30.02</v>
      </c>
      <c r="G1211" s="13"/>
      <c r="H1211" s="13">
        <v>37.590000000000003</v>
      </c>
      <c r="I1211" s="13">
        <v>-50.76</v>
      </c>
      <c r="J1211" s="13"/>
      <c r="K1211" s="13"/>
    </row>
    <row r="1212" spans="1:11" x14ac:dyDescent="0.25">
      <c r="A1212" s="10">
        <v>41582</v>
      </c>
      <c r="B1212" s="15">
        <f t="shared" si="36"/>
        <v>11</v>
      </c>
      <c r="C1212" s="15">
        <f t="shared" si="37"/>
        <v>2013</v>
      </c>
      <c r="D1212" s="13">
        <v>5.79</v>
      </c>
      <c r="E1212" s="13">
        <v>48.131428994301793</v>
      </c>
      <c r="F1212" s="13">
        <v>-26.32</v>
      </c>
      <c r="G1212" s="13"/>
      <c r="H1212" s="13">
        <v>36.79</v>
      </c>
      <c r="I1212" s="13">
        <v>-63.98</v>
      </c>
      <c r="J1212" s="13"/>
      <c r="K1212" s="13"/>
    </row>
    <row r="1213" spans="1:11" x14ac:dyDescent="0.25">
      <c r="A1213" s="10">
        <v>41583</v>
      </c>
      <c r="B1213" s="15">
        <f t="shared" si="36"/>
        <v>11</v>
      </c>
      <c r="C1213" s="15">
        <f t="shared" si="37"/>
        <v>2013</v>
      </c>
      <c r="D1213" s="13">
        <v>5.79</v>
      </c>
      <c r="E1213" s="13">
        <v>48.270743654445603</v>
      </c>
      <c r="F1213" s="13">
        <v>-26.32</v>
      </c>
      <c r="G1213" s="13"/>
      <c r="H1213" s="13">
        <v>36.79</v>
      </c>
      <c r="I1213" s="13">
        <v>-63.98</v>
      </c>
      <c r="J1213" s="13"/>
      <c r="K1213" s="13"/>
    </row>
    <row r="1214" spans="1:11" x14ac:dyDescent="0.25">
      <c r="A1214" s="10">
        <v>41584</v>
      </c>
      <c r="B1214" s="15">
        <f t="shared" si="36"/>
        <v>11</v>
      </c>
      <c r="C1214" s="15">
        <f t="shared" si="37"/>
        <v>2013</v>
      </c>
      <c r="D1214" s="13">
        <v>5.79</v>
      </c>
      <c r="E1214" s="13">
        <v>48.142116950407114</v>
      </c>
      <c r="F1214" s="13">
        <v>-26.32</v>
      </c>
      <c r="G1214" s="13"/>
      <c r="H1214" s="13">
        <v>36.79</v>
      </c>
      <c r="I1214" s="13">
        <v>-63.98</v>
      </c>
      <c r="J1214" s="13"/>
      <c r="K1214" s="13"/>
    </row>
    <row r="1215" spans="1:11" x14ac:dyDescent="0.25">
      <c r="A1215" s="10">
        <v>41585</v>
      </c>
      <c r="B1215" s="15">
        <f t="shared" si="36"/>
        <v>11</v>
      </c>
      <c r="C1215" s="15">
        <f t="shared" si="37"/>
        <v>2013</v>
      </c>
      <c r="D1215" s="13">
        <v>5.79</v>
      </c>
      <c r="E1215" s="13">
        <v>48.472201520345806</v>
      </c>
      <c r="F1215" s="13">
        <v>-26.32</v>
      </c>
      <c r="G1215" s="13"/>
      <c r="H1215" s="13">
        <v>36.79</v>
      </c>
      <c r="I1215" s="13">
        <v>-63.98</v>
      </c>
      <c r="J1215" s="13"/>
      <c r="K1215" s="13"/>
    </row>
    <row r="1216" spans="1:11" x14ac:dyDescent="0.25">
      <c r="A1216" s="10">
        <v>41586</v>
      </c>
      <c r="B1216" s="15">
        <f t="shared" si="36"/>
        <v>11</v>
      </c>
      <c r="C1216" s="15">
        <f t="shared" si="37"/>
        <v>2013</v>
      </c>
      <c r="D1216" s="13">
        <v>5.79</v>
      </c>
      <c r="E1216" s="13">
        <v>48.646222887060588</v>
      </c>
      <c r="F1216" s="13">
        <v>-26.32</v>
      </c>
      <c r="G1216" s="13"/>
      <c r="H1216" s="13">
        <v>36.79</v>
      </c>
      <c r="I1216" s="13">
        <v>-63.98</v>
      </c>
      <c r="J1216" s="13"/>
      <c r="K1216" s="13"/>
    </row>
    <row r="1217" spans="1:11" x14ac:dyDescent="0.25">
      <c r="A1217" s="10">
        <v>41589</v>
      </c>
      <c r="B1217" s="15">
        <f t="shared" si="36"/>
        <v>11</v>
      </c>
      <c r="C1217" s="15">
        <f t="shared" si="37"/>
        <v>2013</v>
      </c>
      <c r="D1217" s="13">
        <v>-4.87</v>
      </c>
      <c r="E1217" s="13">
        <v>58.317171415783982</v>
      </c>
      <c r="F1217" s="13">
        <v>-30.6</v>
      </c>
      <c r="G1217" s="13"/>
      <c r="H1217" s="13">
        <v>28.55</v>
      </c>
      <c r="I1217" s="13">
        <v>-55.97</v>
      </c>
      <c r="J1217" s="13"/>
      <c r="K1217" s="13"/>
    </row>
    <row r="1218" spans="1:11" x14ac:dyDescent="0.25">
      <c r="A1218" s="10">
        <v>41590</v>
      </c>
      <c r="B1218" s="15">
        <f t="shared" si="36"/>
        <v>11</v>
      </c>
      <c r="C1218" s="15">
        <f t="shared" si="37"/>
        <v>2013</v>
      </c>
      <c r="D1218" s="13">
        <v>-4.87</v>
      </c>
      <c r="E1218" s="13">
        <v>58.191291403051743</v>
      </c>
      <c r="F1218" s="13">
        <v>-30.6</v>
      </c>
      <c r="G1218" s="13"/>
      <c r="H1218" s="13">
        <v>28.55</v>
      </c>
      <c r="I1218" s="13">
        <v>-55.97</v>
      </c>
      <c r="J1218" s="13"/>
      <c r="K1218" s="13"/>
    </row>
    <row r="1219" spans="1:11" x14ac:dyDescent="0.25">
      <c r="A1219" s="10">
        <v>41591</v>
      </c>
      <c r="B1219" s="15">
        <f t="shared" ref="B1219:B1282" si="38">MONTH(A1219)</f>
        <v>11</v>
      </c>
      <c r="C1219" s="15">
        <f t="shared" ref="C1219:C1282" si="39">YEAR(A1219)</f>
        <v>2013</v>
      </c>
      <c r="D1219" s="13">
        <v>-4.87</v>
      </c>
      <c r="E1219" s="13">
        <v>57.979827944230202</v>
      </c>
      <c r="F1219" s="13">
        <v>-30.6</v>
      </c>
      <c r="G1219" s="13"/>
      <c r="H1219" s="13">
        <v>28.55</v>
      </c>
      <c r="I1219" s="13">
        <v>-55.97</v>
      </c>
      <c r="J1219" s="13"/>
      <c r="K1219" s="13"/>
    </row>
    <row r="1220" spans="1:11" x14ac:dyDescent="0.25">
      <c r="A1220" s="10">
        <v>41592</v>
      </c>
      <c r="B1220" s="15">
        <f t="shared" si="38"/>
        <v>11</v>
      </c>
      <c r="C1220" s="15">
        <f t="shared" si="39"/>
        <v>2013</v>
      </c>
      <c r="D1220" s="13">
        <v>-4.87</v>
      </c>
      <c r="E1220" s="13">
        <v>58.09615813331353</v>
      </c>
      <c r="F1220" s="13">
        <v>-30.6</v>
      </c>
      <c r="G1220" s="13"/>
      <c r="H1220" s="13">
        <v>28.55</v>
      </c>
      <c r="I1220" s="13">
        <v>-55.97</v>
      </c>
      <c r="J1220" s="13"/>
      <c r="K1220" s="13"/>
    </row>
    <row r="1221" spans="1:11" x14ac:dyDescent="0.25">
      <c r="A1221" s="10">
        <v>41593</v>
      </c>
      <c r="B1221" s="15">
        <f t="shared" si="38"/>
        <v>11</v>
      </c>
      <c r="C1221" s="15">
        <f t="shared" si="39"/>
        <v>2013</v>
      </c>
      <c r="D1221" s="13">
        <v>-4.87</v>
      </c>
      <c r="E1221" s="13">
        <v>57.932567617636167</v>
      </c>
      <c r="F1221" s="13">
        <v>-30.6</v>
      </c>
      <c r="G1221" s="13"/>
      <c r="H1221" s="13">
        <v>28.55</v>
      </c>
      <c r="I1221" s="13">
        <v>-55.97</v>
      </c>
      <c r="J1221" s="13"/>
      <c r="K1221" s="13"/>
    </row>
    <row r="1222" spans="1:11" x14ac:dyDescent="0.25">
      <c r="A1222" s="10">
        <v>41596</v>
      </c>
      <c r="B1222" s="15">
        <f t="shared" si="38"/>
        <v>11</v>
      </c>
      <c r="C1222" s="15">
        <f t="shared" si="39"/>
        <v>2013</v>
      </c>
      <c r="D1222" s="13">
        <v>-20.56</v>
      </c>
      <c r="E1222" s="13">
        <v>36.310449529734136</v>
      </c>
      <c r="F1222" s="13">
        <v>-46.79</v>
      </c>
      <c r="G1222" s="13"/>
      <c r="H1222" s="13">
        <v>17.32</v>
      </c>
      <c r="I1222" s="13">
        <v>-71.84</v>
      </c>
      <c r="J1222" s="13"/>
      <c r="K1222" s="13"/>
    </row>
    <row r="1223" spans="1:11" x14ac:dyDescent="0.25">
      <c r="A1223" s="10">
        <v>41597</v>
      </c>
      <c r="B1223" s="15">
        <f t="shared" si="38"/>
        <v>11</v>
      </c>
      <c r="C1223" s="15">
        <f t="shared" si="39"/>
        <v>2013</v>
      </c>
      <c r="D1223" s="13">
        <v>-20.56</v>
      </c>
      <c r="E1223" s="13">
        <v>36.216575565076084</v>
      </c>
      <c r="F1223" s="13">
        <v>-46.79</v>
      </c>
      <c r="G1223" s="13"/>
      <c r="H1223" s="13">
        <v>17.32</v>
      </c>
      <c r="I1223" s="13">
        <v>-71.84</v>
      </c>
      <c r="J1223" s="13"/>
      <c r="K1223" s="13"/>
    </row>
    <row r="1224" spans="1:11" x14ac:dyDescent="0.25">
      <c r="A1224" s="10">
        <v>41598</v>
      </c>
      <c r="B1224" s="15">
        <f t="shared" si="38"/>
        <v>11</v>
      </c>
      <c r="C1224" s="15">
        <f t="shared" si="39"/>
        <v>2013</v>
      </c>
      <c r="D1224" s="13">
        <v>-20.56</v>
      </c>
      <c r="E1224" s="13">
        <v>36.486084238726001</v>
      </c>
      <c r="F1224" s="13">
        <v>-46.79</v>
      </c>
      <c r="G1224" s="13"/>
      <c r="H1224" s="13">
        <v>17.32</v>
      </c>
      <c r="I1224" s="13">
        <v>-71.84</v>
      </c>
      <c r="J1224" s="13"/>
      <c r="K1224" s="13"/>
    </row>
    <row r="1225" spans="1:11" x14ac:dyDescent="0.25">
      <c r="A1225" s="10">
        <v>41599</v>
      </c>
      <c r="B1225" s="15">
        <f t="shared" si="38"/>
        <v>11</v>
      </c>
      <c r="C1225" s="15">
        <f t="shared" si="39"/>
        <v>2013</v>
      </c>
      <c r="D1225" s="13">
        <v>-20.56</v>
      </c>
      <c r="E1225" s="13">
        <v>36.369705511460573</v>
      </c>
      <c r="F1225" s="13">
        <v>-46.79</v>
      </c>
      <c r="G1225" s="13"/>
      <c r="H1225" s="13">
        <v>17.32</v>
      </c>
      <c r="I1225" s="13">
        <v>-71.84</v>
      </c>
      <c r="J1225" s="13"/>
      <c r="K1225" s="13"/>
    </row>
    <row r="1226" spans="1:11" x14ac:dyDescent="0.25">
      <c r="A1226" s="10">
        <v>41600</v>
      </c>
      <c r="B1226" s="15">
        <f t="shared" si="38"/>
        <v>11</v>
      </c>
      <c r="C1226" s="15">
        <f t="shared" si="39"/>
        <v>2013</v>
      </c>
      <c r="D1226" s="13">
        <v>-20.56</v>
      </c>
      <c r="E1226" s="13">
        <v>36.163150907213456</v>
      </c>
      <c r="F1226" s="13">
        <v>-46.79</v>
      </c>
      <c r="G1226" s="13"/>
      <c r="H1226" s="13">
        <v>17.32</v>
      </c>
      <c r="I1226" s="13">
        <v>-71.84</v>
      </c>
      <c r="J1226" s="13"/>
      <c r="K1226" s="13"/>
    </row>
    <row r="1227" spans="1:11" x14ac:dyDescent="0.25">
      <c r="A1227" s="10">
        <v>41603</v>
      </c>
      <c r="B1227" s="15">
        <f t="shared" si="38"/>
        <v>11</v>
      </c>
      <c r="C1227" s="15">
        <f t="shared" si="39"/>
        <v>2013</v>
      </c>
      <c r="D1227" s="13">
        <v>4.96</v>
      </c>
      <c r="E1227" s="13">
        <v>51.490935997040332</v>
      </c>
      <c r="F1227" s="13">
        <v>-29.69</v>
      </c>
      <c r="G1227" s="13"/>
      <c r="H1227" s="13">
        <v>25.79</v>
      </c>
      <c r="I1227" s="13">
        <v>-54.68</v>
      </c>
      <c r="J1227" s="13"/>
      <c r="K1227" s="13"/>
    </row>
    <row r="1228" spans="1:11" x14ac:dyDescent="0.25">
      <c r="A1228" s="10">
        <v>41604</v>
      </c>
      <c r="B1228" s="15">
        <f t="shared" si="38"/>
        <v>11</v>
      </c>
      <c r="C1228" s="15">
        <f t="shared" si="39"/>
        <v>2013</v>
      </c>
      <c r="D1228" s="13">
        <v>4.96</v>
      </c>
      <c r="E1228" s="13">
        <v>51.278461425097639</v>
      </c>
      <c r="F1228" s="13">
        <v>-29.69</v>
      </c>
      <c r="G1228" s="13"/>
      <c r="H1228" s="13">
        <v>25.79</v>
      </c>
      <c r="I1228" s="13">
        <v>-54.68</v>
      </c>
      <c r="J1228" s="13"/>
      <c r="K1228" s="13"/>
    </row>
    <row r="1229" spans="1:11" x14ac:dyDescent="0.25">
      <c r="A1229" s="10">
        <v>41605</v>
      </c>
      <c r="B1229" s="15">
        <f t="shared" si="38"/>
        <v>11</v>
      </c>
      <c r="C1229" s="15">
        <f t="shared" si="39"/>
        <v>2013</v>
      </c>
      <c r="D1229" s="13">
        <v>4.96</v>
      </c>
      <c r="E1229" s="13">
        <v>51.252025335100903</v>
      </c>
      <c r="F1229" s="13">
        <v>-29.69</v>
      </c>
      <c r="G1229" s="13"/>
      <c r="H1229" s="13">
        <v>25.79</v>
      </c>
      <c r="I1229" s="13">
        <v>-54.68</v>
      </c>
      <c r="J1229" s="13"/>
      <c r="K1229" s="13"/>
    </row>
    <row r="1230" spans="1:11" x14ac:dyDescent="0.25">
      <c r="A1230" s="10">
        <v>41607</v>
      </c>
      <c r="B1230" s="15">
        <f t="shared" si="38"/>
        <v>11</v>
      </c>
      <c r="C1230" s="15">
        <f t="shared" si="39"/>
        <v>2013</v>
      </c>
      <c r="D1230" s="13">
        <v>4.96</v>
      </c>
      <c r="E1230" s="13">
        <v>51.210537935094564</v>
      </c>
      <c r="F1230" s="13">
        <v>-29.69</v>
      </c>
      <c r="G1230" s="13"/>
      <c r="H1230" s="13">
        <v>25.79</v>
      </c>
      <c r="I1230" s="13">
        <v>-54.68</v>
      </c>
      <c r="J1230" s="13"/>
      <c r="K1230" s="13"/>
    </row>
    <row r="1231" spans="1:11" x14ac:dyDescent="0.25">
      <c r="A1231" s="10">
        <v>41610</v>
      </c>
      <c r="B1231" s="15">
        <f t="shared" si="38"/>
        <v>12</v>
      </c>
      <c r="C1231" s="15">
        <f t="shared" si="39"/>
        <v>2013</v>
      </c>
      <c r="D1231" s="13">
        <v>-24.27</v>
      </c>
      <c r="E1231" s="13">
        <v>28.308714918759229</v>
      </c>
      <c r="F1231" s="13">
        <v>-55.61</v>
      </c>
      <c r="G1231" s="13"/>
      <c r="H1231" s="13">
        <v>3.34</v>
      </c>
      <c r="I1231" s="13">
        <v>-82.4</v>
      </c>
      <c r="J1231" s="13"/>
      <c r="K1231" s="13"/>
    </row>
    <row r="1232" spans="1:11" x14ac:dyDescent="0.25">
      <c r="A1232" s="10">
        <v>41611</v>
      </c>
      <c r="B1232" s="15">
        <f t="shared" si="38"/>
        <v>12</v>
      </c>
      <c r="C1232" s="15">
        <f t="shared" si="39"/>
        <v>2013</v>
      </c>
      <c r="D1232" s="13">
        <v>-24.27</v>
      </c>
      <c r="E1232" s="13">
        <v>28.206637721686658</v>
      </c>
      <c r="F1232" s="13">
        <v>-55.61</v>
      </c>
      <c r="G1232" s="13"/>
      <c r="H1232" s="13">
        <v>3.34</v>
      </c>
      <c r="I1232" s="13">
        <v>-82.4</v>
      </c>
      <c r="J1232" s="13"/>
      <c r="K1232" s="13"/>
    </row>
    <row r="1233" spans="1:11" x14ac:dyDescent="0.25">
      <c r="A1233" s="10">
        <v>41612</v>
      </c>
      <c r="B1233" s="15">
        <f t="shared" si="38"/>
        <v>12</v>
      </c>
      <c r="C1233" s="15">
        <f t="shared" si="39"/>
        <v>2013</v>
      </c>
      <c r="D1233" s="13">
        <v>-24.27</v>
      </c>
      <c r="E1233" s="13">
        <v>28.198337379533584</v>
      </c>
      <c r="F1233" s="13">
        <v>-55.61</v>
      </c>
      <c r="G1233" s="13"/>
      <c r="H1233" s="13">
        <v>3.34</v>
      </c>
      <c r="I1233" s="13">
        <v>-82.4</v>
      </c>
      <c r="J1233" s="13"/>
      <c r="K1233" s="13"/>
    </row>
    <row r="1234" spans="1:11" x14ac:dyDescent="0.25">
      <c r="A1234" s="10">
        <v>41613</v>
      </c>
      <c r="B1234" s="15">
        <f t="shared" si="38"/>
        <v>12</v>
      </c>
      <c r="C1234" s="15">
        <f t="shared" si="39"/>
        <v>2013</v>
      </c>
      <c r="D1234" s="13">
        <v>-24.27</v>
      </c>
      <c r="E1234" s="13">
        <v>28.045657422989681</v>
      </c>
      <c r="F1234" s="13">
        <v>-55.61</v>
      </c>
      <c r="G1234" s="13"/>
      <c r="H1234" s="13">
        <v>3.34</v>
      </c>
      <c r="I1234" s="13">
        <v>-82.4</v>
      </c>
      <c r="J1234" s="13"/>
      <c r="K1234" s="13"/>
    </row>
    <row r="1235" spans="1:11" x14ac:dyDescent="0.25">
      <c r="A1235" s="10">
        <v>41614</v>
      </c>
      <c r="B1235" s="15">
        <f t="shared" si="38"/>
        <v>12</v>
      </c>
      <c r="C1235" s="15">
        <f t="shared" si="39"/>
        <v>2013</v>
      </c>
      <c r="D1235" s="13">
        <v>-24.27</v>
      </c>
      <c r="E1235" s="13">
        <v>27.971976939356342</v>
      </c>
      <c r="F1235" s="13">
        <v>-55.61</v>
      </c>
      <c r="G1235" s="13"/>
      <c r="H1235" s="13">
        <v>3.34</v>
      </c>
      <c r="I1235" s="13">
        <v>-82.4</v>
      </c>
      <c r="J1235" s="13"/>
      <c r="K1235" s="13"/>
    </row>
    <row r="1236" spans="1:11" x14ac:dyDescent="0.25">
      <c r="A1236" s="10">
        <v>41617</v>
      </c>
      <c r="B1236" s="15">
        <f t="shared" si="38"/>
        <v>12</v>
      </c>
      <c r="C1236" s="15">
        <f t="shared" si="39"/>
        <v>2013</v>
      </c>
      <c r="D1236" s="13">
        <v>-39.93</v>
      </c>
      <c r="E1236" s="13">
        <v>34.556307781902888</v>
      </c>
      <c r="F1236" s="13">
        <v>-69.98</v>
      </c>
      <c r="G1236" s="13"/>
      <c r="H1236" s="13">
        <v>-16.91</v>
      </c>
      <c r="I1236" s="13">
        <v>-91.64</v>
      </c>
      <c r="J1236" s="13"/>
      <c r="K1236" s="13"/>
    </row>
    <row r="1237" spans="1:11" x14ac:dyDescent="0.25">
      <c r="A1237" s="10">
        <v>41618</v>
      </c>
      <c r="B1237" s="15">
        <f t="shared" si="38"/>
        <v>12</v>
      </c>
      <c r="C1237" s="15">
        <f t="shared" si="39"/>
        <v>2013</v>
      </c>
      <c r="D1237" s="13">
        <v>-39.93</v>
      </c>
      <c r="E1237" s="13">
        <v>34.501053855658114</v>
      </c>
      <c r="F1237" s="13">
        <v>-69.98</v>
      </c>
      <c r="G1237" s="13"/>
      <c r="H1237" s="13">
        <v>-16.91</v>
      </c>
      <c r="I1237" s="13">
        <v>-91.64</v>
      </c>
      <c r="J1237" s="13"/>
      <c r="K1237" s="13"/>
    </row>
    <row r="1238" spans="1:11" x14ac:dyDescent="0.25">
      <c r="A1238" s="10">
        <v>41619</v>
      </c>
      <c r="B1238" s="15">
        <f t="shared" si="38"/>
        <v>12</v>
      </c>
      <c r="C1238" s="15">
        <f t="shared" si="39"/>
        <v>2013</v>
      </c>
      <c r="D1238" s="13">
        <v>-39.93</v>
      </c>
      <c r="E1238" s="13">
        <v>34.435981138919111</v>
      </c>
      <c r="F1238" s="13">
        <v>-69.98</v>
      </c>
      <c r="G1238" s="13"/>
      <c r="H1238" s="13">
        <v>-16.91</v>
      </c>
      <c r="I1238" s="13">
        <v>-91.64</v>
      </c>
      <c r="J1238" s="13"/>
      <c r="K1238" s="13"/>
    </row>
    <row r="1239" spans="1:11" x14ac:dyDescent="0.25">
      <c r="A1239" s="10">
        <v>41620</v>
      </c>
      <c r="B1239" s="15">
        <f t="shared" si="38"/>
        <v>12</v>
      </c>
      <c r="C1239" s="15">
        <f t="shared" si="39"/>
        <v>2013</v>
      </c>
      <c r="D1239" s="13">
        <v>-39.93</v>
      </c>
      <c r="E1239" s="13">
        <v>34.513596044786972</v>
      </c>
      <c r="F1239" s="13">
        <v>-69.98</v>
      </c>
      <c r="G1239" s="13"/>
      <c r="H1239" s="13">
        <v>-16.91</v>
      </c>
      <c r="I1239" s="13">
        <v>-91.64</v>
      </c>
      <c r="J1239" s="13"/>
      <c r="K1239" s="13"/>
    </row>
    <row r="1240" spans="1:11" x14ac:dyDescent="0.25">
      <c r="A1240" s="10">
        <v>41621</v>
      </c>
      <c r="B1240" s="15">
        <f t="shared" si="38"/>
        <v>12</v>
      </c>
      <c r="C1240" s="15">
        <f t="shared" si="39"/>
        <v>2013</v>
      </c>
      <c r="D1240" s="13">
        <v>-39.93</v>
      </c>
      <c r="E1240" s="13">
        <v>34.546248453533217</v>
      </c>
      <c r="F1240" s="13">
        <v>-69.98</v>
      </c>
      <c r="G1240" s="13"/>
      <c r="H1240" s="13">
        <v>-16.91</v>
      </c>
      <c r="I1240" s="13">
        <v>-91.64</v>
      </c>
      <c r="J1240" s="13"/>
      <c r="K1240" s="13"/>
    </row>
    <row r="1241" spans="1:11" x14ac:dyDescent="0.25">
      <c r="A1241" s="10">
        <v>41624</v>
      </c>
      <c r="B1241" s="15">
        <f t="shared" si="38"/>
        <v>12</v>
      </c>
      <c r="C1241" s="15">
        <f t="shared" si="39"/>
        <v>2013</v>
      </c>
      <c r="D1241" s="13">
        <v>-22.58</v>
      </c>
      <c r="E1241" s="13">
        <v>49.440406976744192</v>
      </c>
      <c r="F1241" s="13">
        <v>-44.85</v>
      </c>
      <c r="G1241" s="13"/>
      <c r="H1241" s="13">
        <v>-0.93</v>
      </c>
      <c r="I1241" s="13">
        <v>-76.2</v>
      </c>
      <c r="J1241" s="13"/>
      <c r="K1241" s="13"/>
    </row>
    <row r="1242" spans="1:11" x14ac:dyDescent="0.25">
      <c r="A1242" s="10">
        <v>41625</v>
      </c>
      <c r="B1242" s="15">
        <f t="shared" si="38"/>
        <v>12</v>
      </c>
      <c r="C1242" s="15">
        <f t="shared" si="39"/>
        <v>2013</v>
      </c>
      <c r="D1242" s="13">
        <v>-22.58</v>
      </c>
      <c r="E1242" s="13">
        <v>49.418858056080197</v>
      </c>
      <c r="F1242" s="13">
        <v>-44.85</v>
      </c>
      <c r="G1242" s="13"/>
      <c r="H1242" s="13">
        <v>-0.93</v>
      </c>
      <c r="I1242" s="13">
        <v>-76.2</v>
      </c>
      <c r="J1242" s="13"/>
      <c r="K1242" s="13"/>
    </row>
    <row r="1243" spans="1:11" x14ac:dyDescent="0.25">
      <c r="A1243" s="10">
        <v>41626</v>
      </c>
      <c r="B1243" s="15">
        <f t="shared" si="38"/>
        <v>12</v>
      </c>
      <c r="C1243" s="15">
        <f t="shared" si="39"/>
        <v>2013</v>
      </c>
      <c r="D1243" s="13">
        <v>-22.58</v>
      </c>
      <c r="E1243" s="13">
        <v>49.71862895563838</v>
      </c>
      <c r="F1243" s="13">
        <v>-44.85</v>
      </c>
      <c r="G1243" s="13"/>
      <c r="H1243" s="13">
        <v>-0.93</v>
      </c>
      <c r="I1243" s="13">
        <v>-76.2</v>
      </c>
      <c r="J1243" s="13"/>
      <c r="K1243" s="13"/>
    </row>
    <row r="1244" spans="1:11" x14ac:dyDescent="0.25">
      <c r="A1244" s="10">
        <v>41627</v>
      </c>
      <c r="B1244" s="15">
        <f t="shared" si="38"/>
        <v>12</v>
      </c>
      <c r="C1244" s="15">
        <f t="shared" si="39"/>
        <v>2013</v>
      </c>
      <c r="D1244" s="13">
        <v>-22.58</v>
      </c>
      <c r="E1244" s="13">
        <v>49.795051968965012</v>
      </c>
      <c r="F1244" s="13">
        <v>-44.85</v>
      </c>
      <c r="G1244" s="13"/>
      <c r="H1244" s="13">
        <v>-0.93</v>
      </c>
      <c r="I1244" s="13">
        <v>-76.2</v>
      </c>
      <c r="J1244" s="13"/>
      <c r="K1244" s="13"/>
    </row>
    <row r="1245" spans="1:11" x14ac:dyDescent="0.25">
      <c r="A1245" s="10">
        <v>41628</v>
      </c>
      <c r="B1245" s="15">
        <f t="shared" si="38"/>
        <v>12</v>
      </c>
      <c r="C1245" s="15">
        <f t="shared" si="39"/>
        <v>2013</v>
      </c>
      <c r="D1245" s="13">
        <v>-22.58</v>
      </c>
      <c r="E1245" s="13">
        <v>49.76227049959769</v>
      </c>
      <c r="F1245" s="13">
        <v>-44.85</v>
      </c>
      <c r="G1245" s="13"/>
      <c r="H1245" s="13">
        <v>-0.93</v>
      </c>
      <c r="I1245" s="13">
        <v>-76.2</v>
      </c>
      <c r="J1245" s="13"/>
      <c r="K1245" s="13"/>
    </row>
    <row r="1246" spans="1:11" x14ac:dyDescent="0.25">
      <c r="A1246" s="10">
        <v>41631</v>
      </c>
      <c r="B1246" s="15">
        <f t="shared" si="38"/>
        <v>12</v>
      </c>
      <c r="C1246" s="15">
        <f t="shared" si="39"/>
        <v>2013</v>
      </c>
      <c r="D1246" s="13">
        <v>-6.44</v>
      </c>
      <c r="E1246" s="13">
        <v>46.418400876232205</v>
      </c>
      <c r="F1246" s="13">
        <v>-37.83</v>
      </c>
      <c r="G1246" s="13"/>
      <c r="H1246" s="13">
        <v>3.63</v>
      </c>
      <c r="I1246" s="13">
        <v>-68.72</v>
      </c>
      <c r="J1246" s="13"/>
      <c r="K1246" s="13"/>
    </row>
    <row r="1247" spans="1:11" x14ac:dyDescent="0.25">
      <c r="A1247" s="10">
        <v>41632</v>
      </c>
      <c r="B1247" s="15">
        <f t="shared" si="38"/>
        <v>12</v>
      </c>
      <c r="C1247" s="15">
        <f t="shared" si="39"/>
        <v>2013</v>
      </c>
      <c r="D1247" s="13">
        <v>-6.44</v>
      </c>
      <c r="E1247" s="13">
        <v>46.462505481654723</v>
      </c>
      <c r="F1247" s="13">
        <v>-37.83</v>
      </c>
      <c r="G1247" s="13"/>
      <c r="H1247" s="13">
        <v>3.63</v>
      </c>
      <c r="I1247" s="13">
        <v>-68.72</v>
      </c>
      <c r="J1247" s="13"/>
      <c r="K1247" s="13"/>
    </row>
    <row r="1248" spans="1:11" x14ac:dyDescent="0.25">
      <c r="A1248" s="10">
        <v>41634</v>
      </c>
      <c r="B1248" s="15">
        <f t="shared" si="38"/>
        <v>12</v>
      </c>
      <c r="C1248" s="15">
        <f t="shared" si="39"/>
        <v>2013</v>
      </c>
      <c r="D1248" s="13">
        <v>-6.44</v>
      </c>
      <c r="E1248" s="13">
        <v>46.431962603169964</v>
      </c>
      <c r="F1248" s="13">
        <v>-37.83</v>
      </c>
      <c r="G1248" s="13"/>
      <c r="H1248" s="13">
        <v>3.63</v>
      </c>
      <c r="I1248" s="13">
        <v>-68.72</v>
      </c>
      <c r="J1248" s="13"/>
      <c r="K1248" s="13"/>
    </row>
    <row r="1249" spans="1:11" x14ac:dyDescent="0.25">
      <c r="A1249" s="10">
        <v>41635</v>
      </c>
      <c r="B1249" s="15">
        <f t="shared" si="38"/>
        <v>12</v>
      </c>
      <c r="C1249" s="15">
        <f t="shared" si="39"/>
        <v>2013</v>
      </c>
      <c r="D1249" s="13">
        <v>-6.44</v>
      </c>
      <c r="E1249" s="13">
        <v>46.263008514664143</v>
      </c>
      <c r="F1249" s="13">
        <v>-37.83</v>
      </c>
      <c r="G1249" s="13"/>
      <c r="H1249" s="13">
        <v>3.63</v>
      </c>
      <c r="I1249" s="13">
        <v>-68.72</v>
      </c>
      <c r="J1249" s="13"/>
      <c r="K1249" s="13"/>
    </row>
    <row r="1250" spans="1:11" x14ac:dyDescent="0.25">
      <c r="A1250" s="10">
        <v>41638</v>
      </c>
      <c r="B1250" s="15">
        <f t="shared" si="38"/>
        <v>12</v>
      </c>
      <c r="C1250" s="15">
        <f t="shared" si="39"/>
        <v>2013</v>
      </c>
      <c r="D1250" s="13">
        <v>-6.99</v>
      </c>
      <c r="E1250" s="13">
        <v>45.395928421357674</v>
      </c>
      <c r="F1250" s="13">
        <v>-27.65</v>
      </c>
      <c r="G1250" s="13"/>
      <c r="H1250" s="13">
        <v>12.99</v>
      </c>
      <c r="I1250" s="13">
        <v>-81.42</v>
      </c>
      <c r="J1250" s="13"/>
      <c r="K1250" s="13"/>
    </row>
    <row r="1251" spans="1:11" x14ac:dyDescent="0.25">
      <c r="A1251" s="10">
        <v>41639</v>
      </c>
      <c r="B1251" s="15">
        <f t="shared" si="38"/>
        <v>12</v>
      </c>
      <c r="C1251" s="15">
        <f t="shared" si="39"/>
        <v>2013</v>
      </c>
      <c r="D1251" s="13">
        <v>-6.99</v>
      </c>
      <c r="E1251" s="13">
        <v>45.587486358675875</v>
      </c>
      <c r="F1251" s="13">
        <v>-27.65</v>
      </c>
      <c r="G1251" s="13"/>
      <c r="H1251" s="13">
        <v>12.99</v>
      </c>
      <c r="I1251" s="13">
        <v>-81.42</v>
      </c>
      <c r="J1251" s="13"/>
      <c r="K1251" s="13"/>
    </row>
    <row r="1252" spans="1:11" x14ac:dyDescent="0.25">
      <c r="A1252" s="10">
        <v>41641</v>
      </c>
      <c r="B1252" s="15">
        <f t="shared" si="38"/>
        <v>1</v>
      </c>
      <c r="C1252" s="15">
        <f t="shared" si="39"/>
        <v>2014</v>
      </c>
      <c r="D1252" s="13">
        <v>-6.99</v>
      </c>
      <c r="E1252" s="13">
        <v>45.837600585223115</v>
      </c>
      <c r="F1252" s="13">
        <v>-27.65</v>
      </c>
      <c r="G1252" s="13"/>
      <c r="H1252" s="13">
        <v>12.99</v>
      </c>
      <c r="I1252" s="13">
        <v>-81.42</v>
      </c>
      <c r="J1252" s="13"/>
      <c r="K1252" s="13"/>
    </row>
    <row r="1253" spans="1:11" x14ac:dyDescent="0.25">
      <c r="A1253" s="10">
        <v>41642</v>
      </c>
      <c r="B1253" s="15">
        <f t="shared" si="38"/>
        <v>1</v>
      </c>
      <c r="C1253" s="15">
        <f t="shared" si="39"/>
        <v>2014</v>
      </c>
      <c r="D1253" s="13">
        <v>-6.99</v>
      </c>
      <c r="E1253" s="13">
        <v>46.117612423640239</v>
      </c>
      <c r="F1253" s="13">
        <v>-27.65</v>
      </c>
      <c r="G1253" s="13"/>
      <c r="H1253" s="13">
        <v>12.99</v>
      </c>
      <c r="I1253" s="13">
        <v>-81.42</v>
      </c>
      <c r="J1253" s="13"/>
      <c r="K1253" s="13"/>
    </row>
    <row r="1254" spans="1:11" x14ac:dyDescent="0.25">
      <c r="A1254" s="10">
        <v>41645</v>
      </c>
      <c r="B1254" s="15">
        <f t="shared" si="38"/>
        <v>1</v>
      </c>
      <c r="C1254" s="15">
        <f t="shared" si="39"/>
        <v>2014</v>
      </c>
      <c r="D1254" s="13">
        <v>-21.22</v>
      </c>
      <c r="E1254" s="13">
        <v>38.37234901298892</v>
      </c>
      <c r="F1254" s="13">
        <v>-36.69</v>
      </c>
      <c r="G1254" s="13"/>
      <c r="H1254" s="13">
        <v>0.79</v>
      </c>
      <c r="I1254" s="13">
        <v>-91.87</v>
      </c>
      <c r="J1254" s="13"/>
      <c r="K1254" s="13"/>
    </row>
    <row r="1255" spans="1:11" x14ac:dyDescent="0.25">
      <c r="A1255" s="10">
        <v>41646</v>
      </c>
      <c r="B1255" s="15">
        <f t="shared" si="38"/>
        <v>1</v>
      </c>
      <c r="C1255" s="15">
        <f t="shared" si="39"/>
        <v>2014</v>
      </c>
      <c r="D1255" s="13">
        <v>-21.22</v>
      </c>
      <c r="E1255" s="13">
        <v>38.40616966580977</v>
      </c>
      <c r="F1255" s="13">
        <v>-36.69</v>
      </c>
      <c r="G1255" s="13"/>
      <c r="H1255" s="13">
        <v>0.79</v>
      </c>
      <c r="I1255" s="13">
        <v>-91.87</v>
      </c>
      <c r="J1255" s="13"/>
      <c r="K1255" s="13"/>
    </row>
    <row r="1256" spans="1:11" x14ac:dyDescent="0.25">
      <c r="A1256" s="10">
        <v>41647</v>
      </c>
      <c r="B1256" s="15">
        <f t="shared" si="38"/>
        <v>1</v>
      </c>
      <c r="C1256" s="15">
        <f t="shared" si="39"/>
        <v>2014</v>
      </c>
      <c r="D1256" s="13">
        <v>-21.22</v>
      </c>
      <c r="E1256" s="13">
        <v>38.522174745837631</v>
      </c>
      <c r="F1256" s="13">
        <v>-36.69</v>
      </c>
      <c r="G1256" s="13"/>
      <c r="H1256" s="13">
        <v>0.79</v>
      </c>
      <c r="I1256" s="13">
        <v>-91.87</v>
      </c>
      <c r="J1256" s="13"/>
      <c r="K1256" s="13"/>
    </row>
    <row r="1257" spans="1:11" x14ac:dyDescent="0.25">
      <c r="A1257" s="10">
        <v>41648</v>
      </c>
      <c r="B1257" s="15">
        <f t="shared" si="38"/>
        <v>1</v>
      </c>
      <c r="C1257" s="15">
        <f t="shared" si="39"/>
        <v>2014</v>
      </c>
      <c r="D1257" s="13">
        <v>-21.22</v>
      </c>
      <c r="E1257" s="13">
        <v>38.431574305453474</v>
      </c>
      <c r="F1257" s="13">
        <v>-36.69</v>
      </c>
      <c r="G1257" s="13"/>
      <c r="H1257" s="13">
        <v>0.79</v>
      </c>
      <c r="I1257" s="13">
        <v>-91.87</v>
      </c>
      <c r="J1257" s="13"/>
      <c r="K1257" s="13"/>
    </row>
    <row r="1258" spans="1:11" x14ac:dyDescent="0.25">
      <c r="A1258" s="10">
        <v>41649</v>
      </c>
      <c r="B1258" s="15">
        <f t="shared" si="38"/>
        <v>1</v>
      </c>
      <c r="C1258" s="15">
        <f t="shared" si="39"/>
        <v>2014</v>
      </c>
      <c r="D1258" s="13">
        <v>-21.22</v>
      </c>
      <c r="E1258" s="13">
        <v>38.260042437989313</v>
      </c>
      <c r="F1258" s="13">
        <v>-36.69</v>
      </c>
      <c r="G1258" s="13"/>
      <c r="H1258" s="13">
        <v>0.79</v>
      </c>
      <c r="I1258" s="13">
        <v>-91.87</v>
      </c>
      <c r="J1258" s="13"/>
      <c r="K1258" s="13"/>
    </row>
    <row r="1259" spans="1:11" x14ac:dyDescent="0.25">
      <c r="A1259" s="10">
        <v>41652</v>
      </c>
      <c r="B1259" s="15">
        <f t="shared" si="38"/>
        <v>1</v>
      </c>
      <c r="C1259" s="15">
        <f t="shared" si="39"/>
        <v>2014</v>
      </c>
      <c r="D1259" s="13">
        <v>-22.15</v>
      </c>
      <c r="E1259" s="13">
        <v>34.013605442176868</v>
      </c>
      <c r="F1259" s="13">
        <v>-42.88</v>
      </c>
      <c r="G1259" s="13"/>
      <c r="H1259" s="13">
        <v>-6.04</v>
      </c>
      <c r="I1259" s="13">
        <v>-98.56</v>
      </c>
      <c r="J1259" s="13"/>
      <c r="K1259" s="13"/>
    </row>
    <row r="1260" spans="1:11" x14ac:dyDescent="0.25">
      <c r="A1260" s="10">
        <v>41653</v>
      </c>
      <c r="B1260" s="15">
        <f t="shared" si="38"/>
        <v>1</v>
      </c>
      <c r="C1260" s="15">
        <f t="shared" si="39"/>
        <v>2014</v>
      </c>
      <c r="D1260" s="13">
        <v>-22.15</v>
      </c>
      <c r="E1260" s="13">
        <v>33.9937129907157</v>
      </c>
      <c r="F1260" s="13">
        <v>-42.88</v>
      </c>
      <c r="G1260" s="13"/>
      <c r="H1260" s="13">
        <v>-6.04</v>
      </c>
      <c r="I1260" s="13">
        <v>-98.56</v>
      </c>
      <c r="J1260" s="13"/>
      <c r="K1260" s="13"/>
    </row>
    <row r="1261" spans="1:11" x14ac:dyDescent="0.25">
      <c r="A1261" s="10">
        <v>41654</v>
      </c>
      <c r="B1261" s="15">
        <f t="shared" si="38"/>
        <v>1</v>
      </c>
      <c r="C1261" s="15">
        <f t="shared" si="39"/>
        <v>2014</v>
      </c>
      <c r="D1261" s="13">
        <v>-22.15</v>
      </c>
      <c r="E1261" s="13">
        <v>34.183635962655295</v>
      </c>
      <c r="F1261" s="13">
        <v>-42.88</v>
      </c>
      <c r="G1261" s="13"/>
      <c r="H1261" s="13">
        <v>-6.04</v>
      </c>
      <c r="I1261" s="13">
        <v>-98.56</v>
      </c>
      <c r="J1261" s="13"/>
      <c r="K1261" s="13"/>
    </row>
    <row r="1262" spans="1:11" x14ac:dyDescent="0.25">
      <c r="A1262" s="10">
        <v>41655</v>
      </c>
      <c r="B1262" s="15">
        <f t="shared" si="38"/>
        <v>1</v>
      </c>
      <c r="C1262" s="15">
        <f t="shared" si="39"/>
        <v>2014</v>
      </c>
      <c r="D1262" s="13">
        <v>-22.15</v>
      </c>
      <c r="E1262" s="13">
        <v>34.14347602613995</v>
      </c>
      <c r="F1262" s="13">
        <v>-42.88</v>
      </c>
      <c r="G1262" s="13"/>
      <c r="H1262" s="13">
        <v>-6.04</v>
      </c>
      <c r="I1262" s="13">
        <v>-98.56</v>
      </c>
      <c r="J1262" s="13"/>
      <c r="K1262" s="13"/>
    </row>
    <row r="1263" spans="1:11" x14ac:dyDescent="0.25">
      <c r="A1263" s="10">
        <v>41656</v>
      </c>
      <c r="B1263" s="15">
        <f t="shared" si="38"/>
        <v>1</v>
      </c>
      <c r="C1263" s="15">
        <f t="shared" si="39"/>
        <v>2014</v>
      </c>
      <c r="D1263" s="13">
        <v>-22.15</v>
      </c>
      <c r="E1263" s="13">
        <v>34.345224905827607</v>
      </c>
      <c r="F1263" s="13">
        <v>-42.88</v>
      </c>
      <c r="G1263" s="13"/>
      <c r="H1263" s="13">
        <v>-6.04</v>
      </c>
      <c r="I1263" s="13">
        <v>-98.56</v>
      </c>
      <c r="J1263" s="13"/>
      <c r="K1263" s="13"/>
    </row>
    <row r="1264" spans="1:11" x14ac:dyDescent="0.25">
      <c r="A1264" s="10">
        <v>41660</v>
      </c>
      <c r="B1264" s="15">
        <f t="shared" si="38"/>
        <v>1</v>
      </c>
      <c r="C1264" s="15">
        <f t="shared" si="39"/>
        <v>2014</v>
      </c>
      <c r="D1264" s="13">
        <v>-29.88</v>
      </c>
      <c r="E1264" s="13">
        <v>31.241241979497012</v>
      </c>
      <c r="F1264" s="13">
        <v>-46.54</v>
      </c>
      <c r="G1264" s="13"/>
      <c r="H1264" s="13">
        <v>-8.9499999999999993</v>
      </c>
      <c r="I1264" s="13">
        <v>-107.12</v>
      </c>
      <c r="J1264" s="13"/>
      <c r="K1264" s="13"/>
    </row>
    <row r="1265" spans="1:11" x14ac:dyDescent="0.25">
      <c r="A1265" s="10">
        <v>41661</v>
      </c>
      <c r="B1265" s="15">
        <f t="shared" si="38"/>
        <v>1</v>
      </c>
      <c r="C1265" s="15">
        <f t="shared" si="39"/>
        <v>2014</v>
      </c>
      <c r="D1265" s="13">
        <v>-29.88</v>
      </c>
      <c r="E1265" s="13">
        <v>31.271223977557948</v>
      </c>
      <c r="F1265" s="13">
        <v>-46.54</v>
      </c>
      <c r="G1265" s="13"/>
      <c r="H1265" s="13">
        <v>-8.9499999999999993</v>
      </c>
      <c r="I1265" s="13">
        <v>-107.12</v>
      </c>
      <c r="J1265" s="13"/>
      <c r="K1265" s="13"/>
    </row>
    <row r="1266" spans="1:11" x14ac:dyDescent="0.25">
      <c r="A1266" s="10">
        <v>41662</v>
      </c>
      <c r="B1266" s="15">
        <f t="shared" si="38"/>
        <v>1</v>
      </c>
      <c r="C1266" s="15">
        <f t="shared" si="39"/>
        <v>2014</v>
      </c>
      <c r="D1266" s="13">
        <v>-29.88</v>
      </c>
      <c r="E1266" s="13">
        <v>30.933255440338836</v>
      </c>
      <c r="F1266" s="13">
        <v>-46.54</v>
      </c>
      <c r="G1266" s="13"/>
      <c r="H1266" s="13">
        <v>-8.9499999999999993</v>
      </c>
      <c r="I1266" s="13">
        <v>-107.12</v>
      </c>
      <c r="J1266" s="13"/>
      <c r="K1266" s="13"/>
    </row>
    <row r="1267" spans="1:11" x14ac:dyDescent="0.25">
      <c r="A1267" s="10">
        <v>41663</v>
      </c>
      <c r="B1267" s="15">
        <f t="shared" si="38"/>
        <v>1</v>
      </c>
      <c r="C1267" s="15">
        <f t="shared" si="39"/>
        <v>2014</v>
      </c>
      <c r="D1267" s="13">
        <v>-29.88</v>
      </c>
      <c r="E1267" s="13">
        <v>30.976234003656309</v>
      </c>
      <c r="F1267" s="13">
        <v>-46.54</v>
      </c>
      <c r="G1267" s="13"/>
      <c r="H1267" s="13">
        <v>-8.9499999999999993</v>
      </c>
      <c r="I1267" s="13">
        <v>-107.12</v>
      </c>
      <c r="J1267" s="13"/>
      <c r="K1267" s="13"/>
    </row>
    <row r="1268" spans="1:11" x14ac:dyDescent="0.25">
      <c r="A1268" s="10">
        <v>41666</v>
      </c>
      <c r="B1268" s="15">
        <f t="shared" si="38"/>
        <v>1</v>
      </c>
      <c r="C1268" s="15">
        <f t="shared" si="39"/>
        <v>2014</v>
      </c>
      <c r="D1268" s="13">
        <v>-17.399999999999999</v>
      </c>
      <c r="E1268" s="13">
        <v>39.224579370885145</v>
      </c>
      <c r="F1268" s="13">
        <v>-31.81</v>
      </c>
      <c r="G1268" s="13"/>
      <c r="H1268" s="13">
        <v>0.56999999999999995</v>
      </c>
      <c r="I1268" s="13">
        <v>-102.5</v>
      </c>
      <c r="J1268" s="13"/>
      <c r="K1268" s="13"/>
    </row>
    <row r="1269" spans="1:11" x14ac:dyDescent="0.25">
      <c r="A1269" s="10">
        <v>41667</v>
      </c>
      <c r="B1269" s="15">
        <f t="shared" si="38"/>
        <v>1</v>
      </c>
      <c r="C1269" s="15">
        <f t="shared" si="39"/>
        <v>2014</v>
      </c>
      <c r="D1269" s="13">
        <v>-17.399999999999999</v>
      </c>
      <c r="E1269" s="13">
        <v>39.230318993268945</v>
      </c>
      <c r="F1269" s="13">
        <v>-31.81</v>
      </c>
      <c r="G1269" s="13"/>
      <c r="H1269" s="13">
        <v>0.56999999999999995</v>
      </c>
      <c r="I1269" s="13">
        <v>-102.5</v>
      </c>
      <c r="J1269" s="13"/>
      <c r="K1269" s="13"/>
    </row>
    <row r="1270" spans="1:11" x14ac:dyDescent="0.25">
      <c r="A1270" s="10">
        <v>41668</v>
      </c>
      <c r="B1270" s="15">
        <f t="shared" si="38"/>
        <v>1</v>
      </c>
      <c r="C1270" s="15">
        <f t="shared" si="39"/>
        <v>2014</v>
      </c>
      <c r="D1270" s="13">
        <v>-17.399999999999999</v>
      </c>
      <c r="E1270" s="13">
        <v>39.247547943200111</v>
      </c>
      <c r="F1270" s="13">
        <v>-31.81</v>
      </c>
      <c r="G1270" s="13"/>
      <c r="H1270" s="13">
        <v>0.56999999999999995</v>
      </c>
      <c r="I1270" s="13">
        <v>-102.5</v>
      </c>
      <c r="J1270" s="13"/>
      <c r="K1270" s="13"/>
    </row>
    <row r="1271" spans="1:11" x14ac:dyDescent="0.25">
      <c r="A1271" s="10">
        <v>41669</v>
      </c>
      <c r="B1271" s="15">
        <f t="shared" si="38"/>
        <v>1</v>
      </c>
      <c r="C1271" s="15">
        <f t="shared" si="39"/>
        <v>2014</v>
      </c>
      <c r="D1271" s="13">
        <v>-17.399999999999999</v>
      </c>
      <c r="E1271" s="13">
        <v>39.557358908151976</v>
      </c>
      <c r="F1271" s="13">
        <v>-31.81</v>
      </c>
      <c r="G1271" s="13"/>
      <c r="H1271" s="13">
        <v>0.56999999999999995</v>
      </c>
      <c r="I1271" s="13">
        <v>-102.5</v>
      </c>
      <c r="J1271" s="13"/>
      <c r="K1271" s="13"/>
    </row>
    <row r="1272" spans="1:11" x14ac:dyDescent="0.25">
      <c r="A1272" s="10">
        <v>41670</v>
      </c>
      <c r="B1272" s="15">
        <f t="shared" si="38"/>
        <v>1</v>
      </c>
      <c r="C1272" s="15">
        <f t="shared" si="39"/>
        <v>2014</v>
      </c>
      <c r="D1272" s="13">
        <v>-17.399999999999999</v>
      </c>
      <c r="E1272" s="13">
        <v>39.762699295513528</v>
      </c>
      <c r="F1272" s="13">
        <v>-31.81</v>
      </c>
      <c r="G1272" s="13"/>
      <c r="H1272" s="13">
        <v>0.56999999999999995</v>
      </c>
      <c r="I1272" s="13">
        <v>-102.5</v>
      </c>
      <c r="J1272" s="13"/>
      <c r="K1272" s="13"/>
    </row>
    <row r="1273" spans="1:11" x14ac:dyDescent="0.25">
      <c r="A1273" s="10">
        <v>41673</v>
      </c>
      <c r="B1273" s="15">
        <f t="shared" si="38"/>
        <v>2</v>
      </c>
      <c r="C1273" s="15">
        <f t="shared" si="39"/>
        <v>2014</v>
      </c>
      <c r="D1273" s="13">
        <v>-2.69</v>
      </c>
      <c r="E1273" s="13">
        <v>45.933155871044065</v>
      </c>
      <c r="F1273" s="13">
        <v>-31.54</v>
      </c>
      <c r="G1273" s="13"/>
      <c r="H1273" s="13">
        <v>18.04</v>
      </c>
      <c r="I1273" s="13">
        <v>-76.739999999999995</v>
      </c>
      <c r="J1273" s="13"/>
      <c r="K1273" s="13"/>
    </row>
    <row r="1274" spans="1:11" x14ac:dyDescent="0.25">
      <c r="A1274" s="10">
        <v>41674</v>
      </c>
      <c r="B1274" s="15">
        <f t="shared" si="38"/>
        <v>2</v>
      </c>
      <c r="C1274" s="15">
        <f t="shared" si="39"/>
        <v>2014</v>
      </c>
      <c r="D1274" s="13">
        <v>-2.69</v>
      </c>
      <c r="E1274" s="13">
        <v>45.953543423583369</v>
      </c>
      <c r="F1274" s="13">
        <v>-31.54</v>
      </c>
      <c r="G1274" s="13"/>
      <c r="H1274" s="13">
        <v>18.04</v>
      </c>
      <c r="I1274" s="13">
        <v>-76.739999999999995</v>
      </c>
      <c r="J1274" s="13"/>
      <c r="K1274" s="13"/>
    </row>
    <row r="1275" spans="1:11" x14ac:dyDescent="0.25">
      <c r="A1275" s="10">
        <v>41675</v>
      </c>
      <c r="B1275" s="15">
        <f t="shared" si="38"/>
        <v>2</v>
      </c>
      <c r="C1275" s="15">
        <f t="shared" si="39"/>
        <v>2014</v>
      </c>
      <c r="D1275" s="13">
        <v>-2.69</v>
      </c>
      <c r="E1275" s="13">
        <v>45.906000591191251</v>
      </c>
      <c r="F1275" s="13">
        <v>-31.54</v>
      </c>
      <c r="G1275" s="13"/>
      <c r="H1275" s="13">
        <v>18.04</v>
      </c>
      <c r="I1275" s="13">
        <v>-76.739999999999995</v>
      </c>
      <c r="J1275" s="13"/>
      <c r="K1275" s="13"/>
    </row>
    <row r="1276" spans="1:11" x14ac:dyDescent="0.25">
      <c r="A1276" s="10">
        <v>41676</v>
      </c>
      <c r="B1276" s="15">
        <f t="shared" si="38"/>
        <v>2</v>
      </c>
      <c r="C1276" s="15">
        <f t="shared" si="39"/>
        <v>2014</v>
      </c>
      <c r="D1276" s="13">
        <v>-2.69</v>
      </c>
      <c r="E1276" s="13">
        <v>45.716808949072707</v>
      </c>
      <c r="F1276" s="13">
        <v>-31.54</v>
      </c>
      <c r="G1276" s="13"/>
      <c r="H1276" s="13">
        <v>18.04</v>
      </c>
      <c r="I1276" s="13">
        <v>-76.739999999999995</v>
      </c>
      <c r="J1276" s="13"/>
      <c r="K1276" s="13"/>
    </row>
    <row r="1277" spans="1:11" x14ac:dyDescent="0.25">
      <c r="A1277" s="10">
        <v>41677</v>
      </c>
      <c r="B1277" s="15">
        <f t="shared" si="38"/>
        <v>2</v>
      </c>
      <c r="C1277" s="15">
        <f t="shared" si="39"/>
        <v>2014</v>
      </c>
      <c r="D1277" s="13">
        <v>-2.69</v>
      </c>
      <c r="E1277" s="13">
        <v>45.565906256876694</v>
      </c>
      <c r="F1277" s="13">
        <v>-31.54</v>
      </c>
      <c r="G1277" s="13"/>
      <c r="H1277" s="13">
        <v>18.04</v>
      </c>
      <c r="I1277" s="13">
        <v>-76.739999999999995</v>
      </c>
      <c r="J1277" s="13"/>
      <c r="K1277" s="13"/>
    </row>
    <row r="1278" spans="1:11" x14ac:dyDescent="0.25">
      <c r="A1278" s="10">
        <v>41680</v>
      </c>
      <c r="B1278" s="15">
        <f t="shared" si="38"/>
        <v>2</v>
      </c>
      <c r="C1278" s="15">
        <f t="shared" si="39"/>
        <v>2014</v>
      </c>
      <c r="D1278" s="13">
        <v>0.37</v>
      </c>
      <c r="E1278" s="13">
        <v>40.266783934330107</v>
      </c>
      <c r="F1278" s="13">
        <v>-45.11</v>
      </c>
      <c r="G1278" s="13"/>
      <c r="H1278" s="13">
        <v>14.83</v>
      </c>
      <c r="I1278" s="13">
        <v>-72.69</v>
      </c>
      <c r="J1278" s="13"/>
      <c r="K1278" s="13"/>
    </row>
    <row r="1279" spans="1:11" x14ac:dyDescent="0.25">
      <c r="A1279" s="10">
        <v>41681</v>
      </c>
      <c r="B1279" s="15">
        <f t="shared" si="38"/>
        <v>2</v>
      </c>
      <c r="C1279" s="15">
        <f t="shared" si="39"/>
        <v>2014</v>
      </c>
      <c r="D1279" s="13">
        <v>0.37</v>
      </c>
      <c r="E1279" s="13">
        <v>40.290407744206512</v>
      </c>
      <c r="F1279" s="13">
        <v>-45.11</v>
      </c>
      <c r="G1279" s="13"/>
      <c r="H1279" s="13">
        <v>14.83</v>
      </c>
      <c r="I1279" s="13">
        <v>-72.69</v>
      </c>
      <c r="J1279" s="13"/>
      <c r="K1279" s="13"/>
    </row>
    <row r="1280" spans="1:11" x14ac:dyDescent="0.25">
      <c r="A1280" s="10">
        <v>41682</v>
      </c>
      <c r="B1280" s="15">
        <f t="shared" si="38"/>
        <v>2</v>
      </c>
      <c r="C1280" s="15">
        <f t="shared" si="39"/>
        <v>2014</v>
      </c>
      <c r="D1280" s="13">
        <v>0.37</v>
      </c>
      <c r="E1280" s="13">
        <v>40.420835785756324</v>
      </c>
      <c r="F1280" s="13">
        <v>-45.11</v>
      </c>
      <c r="G1280" s="13"/>
      <c r="H1280" s="13">
        <v>14.83</v>
      </c>
      <c r="I1280" s="13">
        <v>-72.69</v>
      </c>
      <c r="J1280" s="13"/>
      <c r="K1280" s="13"/>
    </row>
    <row r="1281" spans="1:11" x14ac:dyDescent="0.25">
      <c r="A1281" s="10">
        <v>41683</v>
      </c>
      <c r="B1281" s="15">
        <f t="shared" si="38"/>
        <v>2</v>
      </c>
      <c r="C1281" s="15">
        <f t="shared" si="39"/>
        <v>2014</v>
      </c>
      <c r="D1281" s="13">
        <v>0.37</v>
      </c>
      <c r="E1281" s="13">
        <v>40.163754660428395</v>
      </c>
      <c r="F1281" s="13">
        <v>-45.11</v>
      </c>
      <c r="G1281" s="13"/>
      <c r="H1281" s="13">
        <v>14.83</v>
      </c>
      <c r="I1281" s="13">
        <v>-72.69</v>
      </c>
      <c r="J1281" s="13"/>
      <c r="K1281" s="13"/>
    </row>
    <row r="1282" spans="1:11" x14ac:dyDescent="0.25">
      <c r="A1282" s="10">
        <v>41684</v>
      </c>
      <c r="B1282" s="15">
        <f t="shared" si="38"/>
        <v>2</v>
      </c>
      <c r="C1282" s="15">
        <f t="shared" si="39"/>
        <v>2014</v>
      </c>
      <c r="D1282" s="13">
        <v>0.37</v>
      </c>
      <c r="E1282" s="13">
        <v>40.131482834185533</v>
      </c>
      <c r="F1282" s="13">
        <v>-45.11</v>
      </c>
      <c r="G1282" s="13"/>
      <c r="H1282" s="13">
        <v>14.83</v>
      </c>
      <c r="I1282" s="13">
        <v>-72.69</v>
      </c>
      <c r="J1282" s="13"/>
      <c r="K1282" s="13"/>
    </row>
    <row r="1283" spans="1:11" x14ac:dyDescent="0.25">
      <c r="A1283" s="10">
        <v>41688</v>
      </c>
      <c r="B1283" s="15">
        <f t="shared" ref="B1283:B1346" si="40">MONTH(A1283)</f>
        <v>2</v>
      </c>
      <c r="C1283" s="15">
        <f t="shared" ref="C1283:C1346" si="41">YEAR(A1283)</f>
        <v>2014</v>
      </c>
      <c r="D1283" s="13">
        <v>25.45</v>
      </c>
      <c r="E1283" s="13">
        <v>36.228828959802286</v>
      </c>
      <c r="F1283" s="13">
        <v>-10.46</v>
      </c>
      <c r="G1283" s="13"/>
      <c r="H1283" s="13">
        <v>49.09</v>
      </c>
      <c r="I1283" s="13">
        <v>-41.38</v>
      </c>
      <c r="J1283" s="13"/>
      <c r="K1283" s="13"/>
    </row>
    <row r="1284" spans="1:11" x14ac:dyDescent="0.25">
      <c r="A1284" s="10">
        <v>41689</v>
      </c>
      <c r="B1284" s="15">
        <f t="shared" si="40"/>
        <v>2</v>
      </c>
      <c r="C1284" s="15">
        <f t="shared" si="41"/>
        <v>2014</v>
      </c>
      <c r="D1284" s="13">
        <v>25.45</v>
      </c>
      <c r="E1284" s="13">
        <v>36.29478590154384</v>
      </c>
      <c r="F1284" s="13">
        <v>-10.46</v>
      </c>
      <c r="G1284" s="13"/>
      <c r="H1284" s="13">
        <v>49.09</v>
      </c>
      <c r="I1284" s="13">
        <v>-41.38</v>
      </c>
      <c r="J1284" s="13"/>
      <c r="K1284" s="13"/>
    </row>
    <row r="1285" spans="1:11" x14ac:dyDescent="0.25">
      <c r="A1285" s="10">
        <v>41690</v>
      </c>
      <c r="B1285" s="15">
        <f t="shared" si="40"/>
        <v>2</v>
      </c>
      <c r="C1285" s="15">
        <f t="shared" si="41"/>
        <v>2014</v>
      </c>
      <c r="D1285" s="13">
        <v>25.45</v>
      </c>
      <c r="E1285" s="13">
        <v>36.331826796909176</v>
      </c>
      <c r="F1285" s="13">
        <v>-10.46</v>
      </c>
      <c r="G1285" s="13"/>
      <c r="H1285" s="13">
        <v>49.09</v>
      </c>
      <c r="I1285" s="13">
        <v>-41.38</v>
      </c>
      <c r="J1285" s="13"/>
      <c r="K1285" s="13"/>
    </row>
    <row r="1286" spans="1:11" x14ac:dyDescent="0.25">
      <c r="A1286" s="10">
        <v>41691</v>
      </c>
      <c r="B1286" s="15">
        <f t="shared" si="40"/>
        <v>2</v>
      </c>
      <c r="C1286" s="15">
        <f t="shared" si="41"/>
        <v>2014</v>
      </c>
      <c r="D1286" s="13">
        <v>25.45</v>
      </c>
      <c r="E1286" s="13">
        <v>36.281575307563521</v>
      </c>
      <c r="F1286" s="13">
        <v>-10.46</v>
      </c>
      <c r="G1286" s="13"/>
      <c r="H1286" s="13">
        <v>49.09</v>
      </c>
      <c r="I1286" s="13">
        <v>-41.38</v>
      </c>
      <c r="J1286" s="13"/>
      <c r="K1286" s="13"/>
    </row>
    <row r="1287" spans="1:11" x14ac:dyDescent="0.25">
      <c r="A1287" s="10">
        <v>41694</v>
      </c>
      <c r="B1287" s="15">
        <f t="shared" si="40"/>
        <v>2</v>
      </c>
      <c r="C1287" s="15">
        <f t="shared" si="41"/>
        <v>2014</v>
      </c>
      <c r="D1287" s="13">
        <v>65.290000000000006</v>
      </c>
      <c r="E1287" s="13">
        <v>26.583660987330713</v>
      </c>
      <c r="F1287" s="13">
        <v>24.1</v>
      </c>
      <c r="G1287" s="13"/>
      <c r="H1287" s="13">
        <v>83.25</v>
      </c>
      <c r="I1287" s="13">
        <v>11.53</v>
      </c>
      <c r="J1287" s="13"/>
      <c r="K1287" s="13"/>
    </row>
    <row r="1288" spans="1:11" x14ac:dyDescent="0.25">
      <c r="A1288" s="10">
        <v>41695</v>
      </c>
      <c r="B1288" s="15">
        <f t="shared" si="40"/>
        <v>2</v>
      </c>
      <c r="C1288" s="15">
        <f t="shared" si="41"/>
        <v>2014</v>
      </c>
      <c r="D1288" s="13">
        <v>65.290000000000006</v>
      </c>
      <c r="E1288" s="13">
        <v>26.562386322299016</v>
      </c>
      <c r="F1288" s="13">
        <v>24.1</v>
      </c>
      <c r="G1288" s="13"/>
      <c r="H1288" s="13">
        <v>83.25</v>
      </c>
      <c r="I1288" s="13">
        <v>11.53</v>
      </c>
      <c r="J1288" s="13"/>
      <c r="K1288" s="13"/>
    </row>
    <row r="1289" spans="1:11" x14ac:dyDescent="0.25">
      <c r="A1289" s="10">
        <v>41696</v>
      </c>
      <c r="B1289" s="15">
        <f t="shared" si="40"/>
        <v>2</v>
      </c>
      <c r="C1289" s="15">
        <f t="shared" si="41"/>
        <v>2014</v>
      </c>
      <c r="D1289" s="13">
        <v>65.290000000000006</v>
      </c>
      <c r="E1289" s="13">
        <v>26.674947030028491</v>
      </c>
      <c r="F1289" s="13">
        <v>24.1</v>
      </c>
      <c r="G1289" s="13"/>
      <c r="H1289" s="13">
        <v>83.25</v>
      </c>
      <c r="I1289" s="13">
        <v>11.53</v>
      </c>
      <c r="J1289" s="13"/>
      <c r="K1289" s="13"/>
    </row>
    <row r="1290" spans="1:11" x14ac:dyDescent="0.25">
      <c r="A1290" s="10">
        <v>41697</v>
      </c>
      <c r="B1290" s="15">
        <f t="shared" si="40"/>
        <v>2</v>
      </c>
      <c r="C1290" s="15">
        <f t="shared" si="41"/>
        <v>2014</v>
      </c>
      <c r="D1290" s="13">
        <v>65.290000000000006</v>
      </c>
      <c r="E1290" s="13">
        <v>26.634082287715202</v>
      </c>
      <c r="F1290" s="13">
        <v>24.1</v>
      </c>
      <c r="G1290" s="13"/>
      <c r="H1290" s="13">
        <v>83.25</v>
      </c>
      <c r="I1290" s="13">
        <v>11.53</v>
      </c>
      <c r="J1290" s="13"/>
      <c r="K1290" s="13"/>
    </row>
    <row r="1291" spans="1:11" x14ac:dyDescent="0.25">
      <c r="A1291" s="10">
        <v>41698</v>
      </c>
      <c r="B1291" s="15">
        <f t="shared" si="40"/>
        <v>2</v>
      </c>
      <c r="C1291" s="15">
        <f t="shared" si="41"/>
        <v>2014</v>
      </c>
      <c r="D1291" s="13">
        <v>65.290000000000006</v>
      </c>
      <c r="E1291" s="13">
        <v>26.45268801622953</v>
      </c>
      <c r="F1291" s="13">
        <v>24.1</v>
      </c>
      <c r="G1291" s="13"/>
      <c r="H1291" s="13">
        <v>83.25</v>
      </c>
      <c r="I1291" s="13">
        <v>11.53</v>
      </c>
      <c r="J1291" s="13"/>
      <c r="K1291" s="13"/>
    </row>
    <row r="1292" spans="1:11" x14ac:dyDescent="0.25">
      <c r="A1292" s="10">
        <v>41701</v>
      </c>
      <c r="B1292" s="15">
        <f t="shared" si="40"/>
        <v>3</v>
      </c>
      <c r="C1292" s="15">
        <f t="shared" si="41"/>
        <v>2014</v>
      </c>
      <c r="D1292" s="13">
        <v>63.68</v>
      </c>
      <c r="E1292" s="13">
        <v>20.634920634920636</v>
      </c>
      <c r="F1292" s="13">
        <v>9.9499999999999993</v>
      </c>
      <c r="G1292" s="13"/>
      <c r="H1292" s="13">
        <v>91.63</v>
      </c>
      <c r="I1292" s="13">
        <v>17.420000000000002</v>
      </c>
      <c r="J1292" s="13"/>
      <c r="K1292" s="13"/>
    </row>
    <row r="1293" spans="1:11" x14ac:dyDescent="0.25">
      <c r="A1293" s="10">
        <v>41702</v>
      </c>
      <c r="B1293" s="15">
        <f t="shared" si="40"/>
        <v>3</v>
      </c>
      <c r="C1293" s="15">
        <f t="shared" si="41"/>
        <v>2014</v>
      </c>
      <c r="D1293" s="13">
        <v>63.68</v>
      </c>
      <c r="E1293" s="13">
        <v>20.622907873671952</v>
      </c>
      <c r="F1293" s="13">
        <v>9.9499999999999993</v>
      </c>
      <c r="G1293" s="13"/>
      <c r="H1293" s="13">
        <v>91.63</v>
      </c>
      <c r="I1293" s="13">
        <v>17.420000000000002</v>
      </c>
      <c r="J1293" s="13"/>
      <c r="K1293" s="13"/>
    </row>
    <row r="1294" spans="1:11" x14ac:dyDescent="0.25">
      <c r="A1294" s="10">
        <v>41703</v>
      </c>
      <c r="B1294" s="15">
        <f t="shared" si="40"/>
        <v>3</v>
      </c>
      <c r="C1294" s="15">
        <f t="shared" si="41"/>
        <v>2014</v>
      </c>
      <c r="D1294" s="13">
        <v>63.68</v>
      </c>
      <c r="E1294" s="13">
        <v>20.637926012234196</v>
      </c>
      <c r="F1294" s="13">
        <v>9.9499999999999993</v>
      </c>
      <c r="G1294" s="13"/>
      <c r="H1294" s="13">
        <v>91.63</v>
      </c>
      <c r="I1294" s="13">
        <v>17.420000000000002</v>
      </c>
      <c r="J1294" s="13"/>
      <c r="K1294" s="13"/>
    </row>
    <row r="1295" spans="1:11" x14ac:dyDescent="0.25">
      <c r="A1295" s="10">
        <v>41704</v>
      </c>
      <c r="B1295" s="15">
        <f t="shared" si="40"/>
        <v>3</v>
      </c>
      <c r="C1295" s="15">
        <f t="shared" si="41"/>
        <v>2014</v>
      </c>
      <c r="D1295" s="13">
        <v>63.68</v>
      </c>
      <c r="E1295" s="13">
        <v>20.450281425891184</v>
      </c>
      <c r="F1295" s="13">
        <v>9.9499999999999993</v>
      </c>
      <c r="G1295" s="13"/>
      <c r="H1295" s="13">
        <v>91.63</v>
      </c>
      <c r="I1295" s="13">
        <v>17.420000000000002</v>
      </c>
      <c r="J1295" s="13"/>
      <c r="K1295" s="13"/>
    </row>
    <row r="1296" spans="1:11" x14ac:dyDescent="0.25">
      <c r="A1296" s="10">
        <v>41705</v>
      </c>
      <c r="B1296" s="15">
        <f t="shared" si="40"/>
        <v>3</v>
      </c>
      <c r="C1296" s="15">
        <f t="shared" si="41"/>
        <v>2014</v>
      </c>
      <c r="D1296" s="13">
        <v>63.68</v>
      </c>
      <c r="E1296" s="13">
        <v>20.423753243009514</v>
      </c>
      <c r="F1296" s="13">
        <v>9.9499999999999993</v>
      </c>
      <c r="G1296" s="13"/>
      <c r="H1296" s="13">
        <v>91.63</v>
      </c>
      <c r="I1296" s="13">
        <v>17.420000000000002</v>
      </c>
      <c r="J1296" s="13"/>
      <c r="K1296" s="13"/>
    </row>
    <row r="1297" spans="1:11" x14ac:dyDescent="0.25">
      <c r="A1297" s="10">
        <v>41708</v>
      </c>
      <c r="B1297" s="15">
        <f t="shared" si="40"/>
        <v>3</v>
      </c>
      <c r="C1297" s="15">
        <f t="shared" si="41"/>
        <v>2014</v>
      </c>
      <c r="D1297" s="13">
        <v>39.380000000000003</v>
      </c>
      <c r="E1297" s="13">
        <v>13.000864802536753</v>
      </c>
      <c r="F1297" s="13">
        <v>11.18</v>
      </c>
      <c r="G1297" s="13"/>
      <c r="H1297" s="13">
        <v>63.22</v>
      </c>
      <c r="I1297" s="13">
        <v>-17.23</v>
      </c>
      <c r="J1297" s="13"/>
      <c r="K1297" s="13"/>
    </row>
    <row r="1298" spans="1:11" x14ac:dyDescent="0.25">
      <c r="A1298" s="10">
        <v>41709</v>
      </c>
      <c r="B1298" s="15">
        <f t="shared" si="40"/>
        <v>3</v>
      </c>
      <c r="C1298" s="15">
        <f t="shared" si="41"/>
        <v>2014</v>
      </c>
      <c r="D1298" s="13">
        <v>39.380000000000003</v>
      </c>
      <c r="E1298" s="13">
        <v>13.016812179810954</v>
      </c>
      <c r="F1298" s="13">
        <v>11.18</v>
      </c>
      <c r="G1298" s="13"/>
      <c r="H1298" s="13">
        <v>63.22</v>
      </c>
      <c r="I1298" s="13">
        <v>-17.23</v>
      </c>
      <c r="J1298" s="13"/>
      <c r="K1298" s="13"/>
    </row>
    <row r="1299" spans="1:11" x14ac:dyDescent="0.25">
      <c r="A1299" s="10">
        <v>41710</v>
      </c>
      <c r="B1299" s="15">
        <f t="shared" si="40"/>
        <v>3</v>
      </c>
      <c r="C1299" s="15">
        <f t="shared" si="41"/>
        <v>2014</v>
      </c>
      <c r="D1299" s="13">
        <v>39.380000000000003</v>
      </c>
      <c r="E1299" s="13">
        <v>12.975616773358267</v>
      </c>
      <c r="F1299" s="13">
        <v>11.18</v>
      </c>
      <c r="G1299" s="13"/>
      <c r="H1299" s="13">
        <v>63.22</v>
      </c>
      <c r="I1299" s="13">
        <v>-17.23</v>
      </c>
      <c r="J1299" s="13"/>
      <c r="K1299" s="13"/>
    </row>
    <row r="1300" spans="1:11" x14ac:dyDescent="0.25">
      <c r="A1300" s="10">
        <v>41711</v>
      </c>
      <c r="B1300" s="15">
        <f t="shared" si="40"/>
        <v>3</v>
      </c>
      <c r="C1300" s="15">
        <f t="shared" si="41"/>
        <v>2014</v>
      </c>
      <c r="D1300" s="13">
        <v>39.380000000000003</v>
      </c>
      <c r="E1300" s="13">
        <v>13.008364580328813</v>
      </c>
      <c r="F1300" s="13">
        <v>11.18</v>
      </c>
      <c r="G1300" s="13"/>
      <c r="H1300" s="13">
        <v>63.22</v>
      </c>
      <c r="I1300" s="13">
        <v>-17.23</v>
      </c>
      <c r="J1300" s="13"/>
      <c r="K1300" s="13"/>
    </row>
    <row r="1301" spans="1:11" x14ac:dyDescent="0.25">
      <c r="A1301" s="10">
        <v>41712</v>
      </c>
      <c r="B1301" s="15">
        <f t="shared" si="40"/>
        <v>3</v>
      </c>
      <c r="C1301" s="15">
        <f t="shared" si="41"/>
        <v>2014</v>
      </c>
      <c r="D1301" s="13">
        <v>39.380000000000003</v>
      </c>
      <c r="E1301" s="13">
        <v>12.965358631594077</v>
      </c>
      <c r="F1301" s="13">
        <v>11.18</v>
      </c>
      <c r="G1301" s="13"/>
      <c r="H1301" s="13">
        <v>63.22</v>
      </c>
      <c r="I1301" s="13">
        <v>-17.23</v>
      </c>
      <c r="J1301" s="13"/>
      <c r="K1301" s="13"/>
    </row>
    <row r="1302" spans="1:11" x14ac:dyDescent="0.25">
      <c r="A1302" s="10">
        <v>41715</v>
      </c>
      <c r="B1302" s="15">
        <f t="shared" si="40"/>
        <v>3</v>
      </c>
      <c r="C1302" s="15">
        <f t="shared" si="41"/>
        <v>2014</v>
      </c>
      <c r="D1302" s="13">
        <v>24.72</v>
      </c>
      <c r="E1302" s="13">
        <v>23.405172413793103</v>
      </c>
      <c r="F1302" s="13">
        <v>-6.04</v>
      </c>
      <c r="G1302" s="13"/>
      <c r="H1302" s="13">
        <v>44.35</v>
      </c>
      <c r="I1302" s="13">
        <v>-32.28</v>
      </c>
      <c r="J1302" s="13"/>
      <c r="K1302" s="13"/>
    </row>
    <row r="1303" spans="1:11" x14ac:dyDescent="0.25">
      <c r="A1303" s="10">
        <v>41716</v>
      </c>
      <c r="B1303" s="15">
        <f t="shared" si="40"/>
        <v>3</v>
      </c>
      <c r="C1303" s="15">
        <f t="shared" si="41"/>
        <v>2014</v>
      </c>
      <c r="D1303" s="13">
        <v>24.72</v>
      </c>
      <c r="E1303" s="13">
        <v>23.383334529534199</v>
      </c>
      <c r="F1303" s="13">
        <v>-6.04</v>
      </c>
      <c r="G1303" s="13"/>
      <c r="H1303" s="13">
        <v>44.35</v>
      </c>
      <c r="I1303" s="13">
        <v>-32.28</v>
      </c>
      <c r="J1303" s="13"/>
      <c r="K1303" s="13"/>
    </row>
    <row r="1304" spans="1:11" x14ac:dyDescent="0.25">
      <c r="A1304" s="10">
        <v>41717</v>
      </c>
      <c r="B1304" s="15">
        <f t="shared" si="40"/>
        <v>3</v>
      </c>
      <c r="C1304" s="15">
        <f t="shared" si="41"/>
        <v>2014</v>
      </c>
      <c r="D1304" s="13">
        <v>24.72</v>
      </c>
      <c r="E1304" s="13">
        <v>23.554077501445921</v>
      </c>
      <c r="F1304" s="13">
        <v>-6.04</v>
      </c>
      <c r="G1304" s="13"/>
      <c r="H1304" s="13">
        <v>44.35</v>
      </c>
      <c r="I1304" s="13">
        <v>-32.28</v>
      </c>
      <c r="J1304" s="13"/>
      <c r="K1304" s="13"/>
    </row>
    <row r="1305" spans="1:11" x14ac:dyDescent="0.25">
      <c r="A1305" s="10">
        <v>41718</v>
      </c>
      <c r="B1305" s="15">
        <f t="shared" si="40"/>
        <v>3</v>
      </c>
      <c r="C1305" s="15">
        <f t="shared" si="41"/>
        <v>2014</v>
      </c>
      <c r="D1305" s="13">
        <v>24.72</v>
      </c>
      <c r="E1305" s="13">
        <v>23.646392800116129</v>
      </c>
      <c r="F1305" s="13">
        <v>-6.04</v>
      </c>
      <c r="G1305" s="13"/>
      <c r="H1305" s="13">
        <v>44.35</v>
      </c>
      <c r="I1305" s="13">
        <v>-32.28</v>
      </c>
      <c r="J1305" s="13"/>
      <c r="K1305" s="13"/>
    </row>
    <row r="1306" spans="1:11" x14ac:dyDescent="0.25">
      <c r="A1306" s="10">
        <v>41719</v>
      </c>
      <c r="B1306" s="15">
        <f t="shared" si="40"/>
        <v>3</v>
      </c>
      <c r="C1306" s="15">
        <f t="shared" si="41"/>
        <v>2014</v>
      </c>
      <c r="D1306" s="13">
        <v>24.72</v>
      </c>
      <c r="E1306" s="13">
        <v>23.624102675658037</v>
      </c>
      <c r="F1306" s="13">
        <v>-6.04</v>
      </c>
      <c r="G1306" s="13"/>
      <c r="H1306" s="13">
        <v>44.35</v>
      </c>
      <c r="I1306" s="13">
        <v>-32.28</v>
      </c>
      <c r="J1306" s="13"/>
      <c r="K1306" s="13"/>
    </row>
    <row r="1307" spans="1:11" x14ac:dyDescent="0.25">
      <c r="A1307" s="10">
        <v>41722</v>
      </c>
      <c r="B1307" s="15">
        <f t="shared" si="40"/>
        <v>3</v>
      </c>
      <c r="C1307" s="15">
        <f t="shared" si="41"/>
        <v>2014</v>
      </c>
      <c r="D1307" s="13">
        <v>71.91</v>
      </c>
      <c r="E1307" s="13">
        <v>13.325625090330975</v>
      </c>
      <c r="F1307" s="13">
        <v>41.7</v>
      </c>
      <c r="G1307" s="13"/>
      <c r="H1307" s="13">
        <v>97.25</v>
      </c>
      <c r="I1307" s="13">
        <v>29.27</v>
      </c>
      <c r="J1307" s="13"/>
      <c r="K1307" s="13"/>
    </row>
    <row r="1308" spans="1:11" x14ac:dyDescent="0.25">
      <c r="A1308" s="10">
        <v>41723</v>
      </c>
      <c r="B1308" s="15">
        <f t="shared" si="40"/>
        <v>3</v>
      </c>
      <c r="C1308" s="15">
        <f t="shared" si="41"/>
        <v>2014</v>
      </c>
      <c r="D1308" s="13">
        <v>71.91</v>
      </c>
      <c r="E1308" s="13">
        <v>13.338155515370705</v>
      </c>
      <c r="F1308" s="13">
        <v>41.7</v>
      </c>
      <c r="G1308" s="13"/>
      <c r="H1308" s="13">
        <v>97.25</v>
      </c>
      <c r="I1308" s="13">
        <v>29.27</v>
      </c>
      <c r="J1308" s="13"/>
      <c r="K1308" s="13"/>
    </row>
    <row r="1309" spans="1:11" x14ac:dyDescent="0.25">
      <c r="A1309" s="10">
        <v>41724</v>
      </c>
      <c r="B1309" s="15">
        <f t="shared" si="40"/>
        <v>3</v>
      </c>
      <c r="C1309" s="15">
        <f t="shared" si="41"/>
        <v>2014</v>
      </c>
      <c r="D1309" s="13">
        <v>71.91</v>
      </c>
      <c r="E1309" s="13">
        <v>13.380741600754662</v>
      </c>
      <c r="F1309" s="13">
        <v>41.7</v>
      </c>
      <c r="G1309" s="13"/>
      <c r="H1309" s="13">
        <v>97.25</v>
      </c>
      <c r="I1309" s="13">
        <v>29.27</v>
      </c>
      <c r="J1309" s="13"/>
      <c r="K1309" s="13"/>
    </row>
    <row r="1310" spans="1:11" x14ac:dyDescent="0.25">
      <c r="A1310" s="10">
        <v>41725</v>
      </c>
      <c r="B1310" s="15">
        <f t="shared" si="40"/>
        <v>3</v>
      </c>
      <c r="C1310" s="15">
        <f t="shared" si="41"/>
        <v>2014</v>
      </c>
      <c r="D1310" s="13">
        <v>71.91</v>
      </c>
      <c r="E1310" s="13">
        <v>13.421646408035521</v>
      </c>
      <c r="F1310" s="13">
        <v>41.7</v>
      </c>
      <c r="G1310" s="13"/>
      <c r="H1310" s="13">
        <v>97.25</v>
      </c>
      <c r="I1310" s="13">
        <v>29.27</v>
      </c>
      <c r="J1310" s="13"/>
      <c r="K1310" s="13"/>
    </row>
    <row r="1311" spans="1:11" x14ac:dyDescent="0.25">
      <c r="A1311" s="10">
        <v>41726</v>
      </c>
      <c r="B1311" s="15">
        <f t="shared" si="40"/>
        <v>3</v>
      </c>
      <c r="C1311" s="15">
        <f t="shared" si="41"/>
        <v>2014</v>
      </c>
      <c r="D1311" s="13">
        <v>71.91</v>
      </c>
      <c r="E1311" s="13">
        <v>13.408958696916812</v>
      </c>
      <c r="F1311" s="13">
        <v>41.7</v>
      </c>
      <c r="G1311" s="13"/>
      <c r="H1311" s="13">
        <v>97.25</v>
      </c>
      <c r="I1311" s="13">
        <v>29.27</v>
      </c>
      <c r="J1311" s="13"/>
      <c r="K1311" s="13"/>
    </row>
    <row r="1312" spans="1:11" x14ac:dyDescent="0.25">
      <c r="A1312" s="10">
        <v>41729</v>
      </c>
      <c r="B1312" s="15">
        <f t="shared" si="40"/>
        <v>3</v>
      </c>
      <c r="C1312" s="15">
        <f t="shared" si="41"/>
        <v>2014</v>
      </c>
      <c r="D1312" s="13">
        <v>58.42</v>
      </c>
      <c r="E1312" s="13">
        <v>7.5526506899055921</v>
      </c>
      <c r="F1312" s="13">
        <v>26.09</v>
      </c>
      <c r="G1312" s="13"/>
      <c r="H1312" s="13">
        <v>81.81</v>
      </c>
      <c r="I1312" s="13">
        <v>20.03</v>
      </c>
      <c r="J1312" s="13"/>
      <c r="K1312" s="13"/>
    </row>
    <row r="1313" spans="1:11" x14ac:dyDescent="0.25">
      <c r="A1313" s="10">
        <v>41730</v>
      </c>
      <c r="B1313" s="15">
        <f t="shared" si="40"/>
        <v>4</v>
      </c>
      <c r="C1313" s="15">
        <f t="shared" si="41"/>
        <v>2014</v>
      </c>
      <c r="D1313" s="13">
        <v>58.42</v>
      </c>
      <c r="E1313" s="13">
        <v>7.5406032482598615</v>
      </c>
      <c r="F1313" s="13">
        <v>26.09</v>
      </c>
      <c r="G1313" s="13"/>
      <c r="H1313" s="13">
        <v>81.81</v>
      </c>
      <c r="I1313" s="13">
        <v>20.03</v>
      </c>
      <c r="J1313" s="13"/>
      <c r="K1313" s="13"/>
    </row>
    <row r="1314" spans="1:11" x14ac:dyDescent="0.25">
      <c r="A1314" s="10">
        <v>41731</v>
      </c>
      <c r="B1314" s="15">
        <f t="shared" si="40"/>
        <v>4</v>
      </c>
      <c r="C1314" s="15">
        <f t="shared" si="41"/>
        <v>2014</v>
      </c>
      <c r="D1314" s="13">
        <v>58.42</v>
      </c>
      <c r="E1314" s="13">
        <v>7.554845270957431</v>
      </c>
      <c r="F1314" s="13">
        <v>26.09</v>
      </c>
      <c r="G1314" s="13"/>
      <c r="H1314" s="13">
        <v>81.81</v>
      </c>
      <c r="I1314" s="13">
        <v>20.03</v>
      </c>
      <c r="J1314" s="13"/>
      <c r="K1314" s="13"/>
    </row>
    <row r="1315" spans="1:11" x14ac:dyDescent="0.25">
      <c r="A1315" s="10">
        <v>41732</v>
      </c>
      <c r="B1315" s="15">
        <f t="shared" si="40"/>
        <v>4</v>
      </c>
      <c r="C1315" s="15">
        <f t="shared" si="41"/>
        <v>2014</v>
      </c>
      <c r="D1315" s="13">
        <v>58.42</v>
      </c>
      <c r="E1315" s="13">
        <v>7.5812800699810472</v>
      </c>
      <c r="F1315" s="13">
        <v>26.09</v>
      </c>
      <c r="G1315" s="13"/>
      <c r="H1315" s="13">
        <v>81.81</v>
      </c>
      <c r="I1315" s="13">
        <v>20.03</v>
      </c>
      <c r="J1315" s="13"/>
      <c r="K1315" s="13"/>
    </row>
    <row r="1316" spans="1:11" x14ac:dyDescent="0.25">
      <c r="A1316" s="10">
        <v>41733</v>
      </c>
      <c r="B1316" s="15">
        <f t="shared" si="40"/>
        <v>4</v>
      </c>
      <c r="C1316" s="15">
        <f t="shared" si="41"/>
        <v>2014</v>
      </c>
      <c r="D1316" s="13">
        <v>58.42</v>
      </c>
      <c r="E1316" s="13">
        <v>7.5901328273244779</v>
      </c>
      <c r="F1316" s="13">
        <v>26.09</v>
      </c>
      <c r="G1316" s="13"/>
      <c r="H1316" s="13">
        <v>81.81</v>
      </c>
      <c r="I1316" s="13">
        <v>20.03</v>
      </c>
      <c r="J1316" s="13"/>
      <c r="K1316" s="13"/>
    </row>
    <row r="1317" spans="1:11" x14ac:dyDescent="0.25">
      <c r="A1317" s="10">
        <v>41736</v>
      </c>
      <c r="B1317" s="15">
        <f t="shared" si="40"/>
        <v>4</v>
      </c>
      <c r="C1317" s="15">
        <f t="shared" si="41"/>
        <v>2014</v>
      </c>
      <c r="D1317" s="13">
        <v>64.92</v>
      </c>
      <c r="E1317" s="13">
        <v>17.4235807860262</v>
      </c>
      <c r="F1317" s="13">
        <v>30.72</v>
      </c>
      <c r="G1317" s="13"/>
      <c r="H1317" s="13">
        <v>96.53</v>
      </c>
      <c r="I1317" s="13">
        <v>39.880000000000003</v>
      </c>
      <c r="J1317" s="13"/>
      <c r="K1317" s="13"/>
    </row>
    <row r="1318" spans="1:11" x14ac:dyDescent="0.25">
      <c r="A1318" s="10">
        <v>41737</v>
      </c>
      <c r="B1318" s="15">
        <f t="shared" si="40"/>
        <v>4</v>
      </c>
      <c r="C1318" s="15">
        <f t="shared" si="41"/>
        <v>2014</v>
      </c>
      <c r="D1318" s="13">
        <v>64.92</v>
      </c>
      <c r="E1318" s="13">
        <v>17.355371900826448</v>
      </c>
      <c r="F1318" s="13">
        <v>30.72</v>
      </c>
      <c r="G1318" s="13"/>
      <c r="H1318" s="13">
        <v>96.53</v>
      </c>
      <c r="I1318" s="13">
        <v>39.880000000000003</v>
      </c>
      <c r="J1318" s="13"/>
      <c r="K1318" s="13"/>
    </row>
    <row r="1319" spans="1:11" x14ac:dyDescent="0.25">
      <c r="A1319" s="10">
        <v>41738</v>
      </c>
      <c r="B1319" s="15">
        <f t="shared" si="40"/>
        <v>4</v>
      </c>
      <c r="C1319" s="15">
        <f t="shared" si="41"/>
        <v>2014</v>
      </c>
      <c r="D1319" s="13">
        <v>64.92</v>
      </c>
      <c r="E1319" s="13">
        <v>17.278960664020211</v>
      </c>
      <c r="F1319" s="13">
        <v>30.72</v>
      </c>
      <c r="G1319" s="13"/>
      <c r="H1319" s="13">
        <v>96.53</v>
      </c>
      <c r="I1319" s="13">
        <v>39.880000000000003</v>
      </c>
      <c r="J1319" s="13"/>
      <c r="K1319" s="13"/>
    </row>
    <row r="1320" spans="1:11" x14ac:dyDescent="0.25">
      <c r="A1320" s="10">
        <v>41739</v>
      </c>
      <c r="B1320" s="15">
        <f t="shared" si="40"/>
        <v>4</v>
      </c>
      <c r="C1320" s="15">
        <f t="shared" si="41"/>
        <v>2014</v>
      </c>
      <c r="D1320" s="13">
        <v>64.92</v>
      </c>
      <c r="E1320" s="13">
        <v>17.239144523655217</v>
      </c>
      <c r="F1320" s="13">
        <v>30.72</v>
      </c>
      <c r="G1320" s="13"/>
      <c r="H1320" s="13">
        <v>96.53</v>
      </c>
      <c r="I1320" s="13">
        <v>39.880000000000003</v>
      </c>
      <c r="J1320" s="13"/>
      <c r="K1320" s="13"/>
    </row>
    <row r="1321" spans="1:11" x14ac:dyDescent="0.25">
      <c r="A1321" s="10">
        <v>41740</v>
      </c>
      <c r="B1321" s="15">
        <f t="shared" si="40"/>
        <v>4</v>
      </c>
      <c r="C1321" s="15">
        <f t="shared" si="41"/>
        <v>2014</v>
      </c>
      <c r="D1321" s="13">
        <v>64.92</v>
      </c>
      <c r="E1321" s="13">
        <v>17.244111503277388</v>
      </c>
      <c r="F1321" s="13">
        <v>30.72</v>
      </c>
      <c r="G1321" s="13"/>
      <c r="H1321" s="13">
        <v>96.53</v>
      </c>
      <c r="I1321" s="13">
        <v>39.880000000000003</v>
      </c>
      <c r="J1321" s="13"/>
      <c r="K1321" s="13"/>
    </row>
    <row r="1322" spans="1:11" x14ac:dyDescent="0.25">
      <c r="A1322" s="10">
        <v>41743</v>
      </c>
      <c r="B1322" s="15">
        <f t="shared" si="40"/>
        <v>4</v>
      </c>
      <c r="C1322" s="15">
        <f t="shared" si="41"/>
        <v>2014</v>
      </c>
      <c r="D1322" s="13">
        <v>81.88</v>
      </c>
      <c r="E1322" s="13">
        <v>12.541612389636706</v>
      </c>
      <c r="F1322" s="13">
        <v>19.3</v>
      </c>
      <c r="G1322" s="13"/>
      <c r="H1322" s="13">
        <v>97.59</v>
      </c>
      <c r="I1322" s="13">
        <v>50.46</v>
      </c>
      <c r="J1322" s="13"/>
      <c r="K1322" s="13"/>
    </row>
    <row r="1323" spans="1:11" x14ac:dyDescent="0.25">
      <c r="A1323" s="10">
        <v>41744</v>
      </c>
      <c r="B1323" s="15">
        <f t="shared" si="40"/>
        <v>4</v>
      </c>
      <c r="C1323" s="15">
        <f t="shared" si="41"/>
        <v>2014</v>
      </c>
      <c r="D1323" s="13">
        <v>81.88</v>
      </c>
      <c r="E1323" s="13">
        <v>12.547060527077901</v>
      </c>
      <c r="F1323" s="13">
        <v>19.3</v>
      </c>
      <c r="G1323" s="13"/>
      <c r="H1323" s="13">
        <v>97.59</v>
      </c>
      <c r="I1323" s="13">
        <v>50.46</v>
      </c>
      <c r="J1323" s="13"/>
      <c r="K1323" s="13"/>
    </row>
    <row r="1324" spans="1:11" x14ac:dyDescent="0.25">
      <c r="A1324" s="10">
        <v>41745</v>
      </c>
      <c r="B1324" s="15">
        <f t="shared" si="40"/>
        <v>4</v>
      </c>
      <c r="C1324" s="15">
        <f t="shared" si="41"/>
        <v>2014</v>
      </c>
      <c r="D1324" s="13">
        <v>81.88</v>
      </c>
      <c r="E1324" s="13">
        <v>12.545243955407557</v>
      </c>
      <c r="F1324" s="13">
        <v>19.3</v>
      </c>
      <c r="G1324" s="13"/>
      <c r="H1324" s="13">
        <v>97.59</v>
      </c>
      <c r="I1324" s="13">
        <v>50.46</v>
      </c>
      <c r="J1324" s="13"/>
      <c r="K1324" s="13"/>
    </row>
    <row r="1325" spans="1:11" x14ac:dyDescent="0.25">
      <c r="A1325" s="10">
        <v>41746</v>
      </c>
      <c r="B1325" s="15">
        <f t="shared" si="40"/>
        <v>4</v>
      </c>
      <c r="C1325" s="15">
        <f t="shared" si="41"/>
        <v>2014</v>
      </c>
      <c r="D1325" s="13">
        <v>81.88</v>
      </c>
      <c r="E1325" s="13">
        <v>12.545243955407557</v>
      </c>
      <c r="F1325" s="13">
        <v>19.3</v>
      </c>
      <c r="G1325" s="13"/>
      <c r="H1325" s="13">
        <v>97.59</v>
      </c>
      <c r="I1325" s="13">
        <v>50.46</v>
      </c>
      <c r="J1325" s="13"/>
      <c r="K1325" s="13"/>
    </row>
    <row r="1326" spans="1:11" x14ac:dyDescent="0.25">
      <c r="A1326" s="10">
        <v>41750</v>
      </c>
      <c r="B1326" s="15">
        <f t="shared" si="40"/>
        <v>4</v>
      </c>
      <c r="C1326" s="15">
        <f t="shared" si="41"/>
        <v>2014</v>
      </c>
      <c r="D1326" s="13">
        <v>75.22</v>
      </c>
      <c r="E1326" s="13">
        <v>13.450801247190197</v>
      </c>
      <c r="F1326" s="13">
        <v>41.87</v>
      </c>
      <c r="G1326" s="13"/>
      <c r="H1326" s="13">
        <v>101.92</v>
      </c>
      <c r="I1326" s="13">
        <v>46.91</v>
      </c>
      <c r="J1326" s="13"/>
      <c r="K1326" s="13"/>
    </row>
    <row r="1327" spans="1:11" x14ac:dyDescent="0.25">
      <c r="A1327" s="10">
        <v>41751</v>
      </c>
      <c r="B1327" s="15">
        <f t="shared" si="40"/>
        <v>4</v>
      </c>
      <c r="C1327" s="15">
        <f t="shared" si="41"/>
        <v>2014</v>
      </c>
      <c r="D1327" s="13">
        <v>75.22</v>
      </c>
      <c r="E1327" s="13">
        <v>13.439107440411505</v>
      </c>
      <c r="F1327" s="13">
        <v>41.87</v>
      </c>
      <c r="G1327" s="13"/>
      <c r="H1327" s="13">
        <v>101.92</v>
      </c>
      <c r="I1327" s="13">
        <v>46.91</v>
      </c>
      <c r="J1327" s="13"/>
      <c r="K1327" s="13"/>
    </row>
    <row r="1328" spans="1:11" x14ac:dyDescent="0.25">
      <c r="A1328" s="10">
        <v>41752</v>
      </c>
      <c r="B1328" s="15">
        <f t="shared" si="40"/>
        <v>4</v>
      </c>
      <c r="C1328" s="15">
        <f t="shared" si="41"/>
        <v>2014</v>
      </c>
      <c r="D1328" s="13">
        <v>75.22</v>
      </c>
      <c r="E1328" s="13">
        <v>13.426462072958889</v>
      </c>
      <c r="F1328" s="13">
        <v>41.87</v>
      </c>
      <c r="G1328" s="13"/>
      <c r="H1328" s="13">
        <v>101.92</v>
      </c>
      <c r="I1328" s="13">
        <v>46.91</v>
      </c>
      <c r="J1328" s="13"/>
      <c r="K1328" s="13"/>
    </row>
    <row r="1329" spans="1:11" x14ac:dyDescent="0.25">
      <c r="A1329" s="10">
        <v>41753</v>
      </c>
      <c r="B1329" s="15">
        <f t="shared" si="40"/>
        <v>4</v>
      </c>
      <c r="C1329" s="15">
        <f t="shared" si="41"/>
        <v>2014</v>
      </c>
      <c r="D1329" s="13">
        <v>75.22</v>
      </c>
      <c r="E1329" s="13">
        <v>13.412870571221982</v>
      </c>
      <c r="F1329" s="13">
        <v>41.87</v>
      </c>
      <c r="G1329" s="13"/>
      <c r="H1329" s="13">
        <v>101.92</v>
      </c>
      <c r="I1329" s="13">
        <v>46.91</v>
      </c>
      <c r="J1329" s="13"/>
      <c r="K1329" s="13"/>
    </row>
    <row r="1330" spans="1:11" x14ac:dyDescent="0.25">
      <c r="A1330" s="10">
        <v>41754</v>
      </c>
      <c r="B1330" s="15">
        <f t="shared" si="40"/>
        <v>4</v>
      </c>
      <c r="C1330" s="15">
        <f t="shared" si="41"/>
        <v>2014</v>
      </c>
      <c r="D1330" s="13">
        <v>75.22</v>
      </c>
      <c r="E1330" s="13">
        <v>13.411900802545007</v>
      </c>
      <c r="F1330" s="13">
        <v>41.87</v>
      </c>
      <c r="G1330" s="13"/>
      <c r="H1330" s="13">
        <v>101.92</v>
      </c>
      <c r="I1330" s="13">
        <v>46.91</v>
      </c>
      <c r="J1330" s="13"/>
      <c r="K1330" s="13"/>
    </row>
    <row r="1331" spans="1:11" x14ac:dyDescent="0.25">
      <c r="A1331" s="10">
        <v>41757</v>
      </c>
      <c r="B1331" s="15">
        <f t="shared" si="40"/>
        <v>4</v>
      </c>
      <c r="C1331" s="15">
        <f t="shared" si="41"/>
        <v>2014</v>
      </c>
      <c r="D1331" s="13">
        <v>81.25</v>
      </c>
      <c r="E1331" s="13">
        <v>2.2889739331359662</v>
      </c>
      <c r="F1331" s="13">
        <v>21.34</v>
      </c>
      <c r="G1331" s="13"/>
      <c r="H1331" s="13">
        <v>88.82</v>
      </c>
      <c r="I1331" s="13">
        <v>38.97</v>
      </c>
      <c r="J1331" s="13"/>
      <c r="K1331" s="13"/>
    </row>
    <row r="1332" spans="1:11" x14ac:dyDescent="0.25">
      <c r="A1332" s="10">
        <v>41758</v>
      </c>
      <c r="B1332" s="15">
        <f t="shared" si="40"/>
        <v>4</v>
      </c>
      <c r="C1332" s="15">
        <f t="shared" si="41"/>
        <v>2014</v>
      </c>
      <c r="D1332" s="13">
        <v>81.25</v>
      </c>
      <c r="E1332" s="13">
        <v>2.2952718847295634</v>
      </c>
      <c r="F1332" s="13">
        <v>21.34</v>
      </c>
      <c r="G1332" s="13"/>
      <c r="H1332" s="13">
        <v>88.82</v>
      </c>
      <c r="I1332" s="13">
        <v>38.97</v>
      </c>
      <c r="J1332" s="13"/>
      <c r="K1332" s="13"/>
    </row>
    <row r="1333" spans="1:11" x14ac:dyDescent="0.25">
      <c r="A1333" s="10">
        <v>41759</v>
      </c>
      <c r="B1333" s="15">
        <f t="shared" si="40"/>
        <v>4</v>
      </c>
      <c r="C1333" s="15">
        <f t="shared" si="41"/>
        <v>2014</v>
      </c>
      <c r="D1333" s="13">
        <v>81.25</v>
      </c>
      <c r="E1333" s="13">
        <v>2.2861676042117409</v>
      </c>
      <c r="F1333" s="13">
        <v>21.34</v>
      </c>
      <c r="G1333" s="13"/>
      <c r="H1333" s="13">
        <v>88.82</v>
      </c>
      <c r="I1333" s="13">
        <v>38.97</v>
      </c>
      <c r="J1333" s="13"/>
      <c r="K1333" s="13"/>
    </row>
    <row r="1334" spans="1:11" x14ac:dyDescent="0.25">
      <c r="A1334" s="10">
        <v>41760</v>
      </c>
      <c r="B1334" s="15">
        <f t="shared" si="40"/>
        <v>5</v>
      </c>
      <c r="C1334" s="15">
        <f t="shared" si="41"/>
        <v>2014</v>
      </c>
      <c r="D1334" s="13">
        <v>81.25</v>
      </c>
      <c r="E1334" s="13">
        <v>2.2856730838560817</v>
      </c>
      <c r="F1334" s="13">
        <v>21.34</v>
      </c>
      <c r="G1334" s="13"/>
      <c r="H1334" s="13">
        <v>88.82</v>
      </c>
      <c r="I1334" s="13">
        <v>38.97</v>
      </c>
      <c r="J1334" s="13"/>
      <c r="K1334" s="13"/>
    </row>
    <row r="1335" spans="1:11" x14ac:dyDescent="0.25">
      <c r="A1335" s="10">
        <v>41761</v>
      </c>
      <c r="B1335" s="15">
        <f t="shared" si="40"/>
        <v>5</v>
      </c>
      <c r="C1335" s="15">
        <f t="shared" si="41"/>
        <v>2014</v>
      </c>
      <c r="D1335" s="13">
        <v>81.25</v>
      </c>
      <c r="E1335" s="13">
        <v>2.2855082912761353</v>
      </c>
      <c r="F1335" s="13">
        <v>21.34</v>
      </c>
      <c r="G1335" s="13"/>
      <c r="H1335" s="13">
        <v>88.82</v>
      </c>
      <c r="I1335" s="13">
        <v>38.97</v>
      </c>
      <c r="J1335" s="13"/>
      <c r="K1335" s="13"/>
    </row>
    <row r="1336" spans="1:11" x14ac:dyDescent="0.25">
      <c r="A1336" s="10">
        <v>41764</v>
      </c>
      <c r="B1336" s="15">
        <f t="shared" si="40"/>
        <v>5</v>
      </c>
      <c r="C1336" s="15">
        <f t="shared" si="41"/>
        <v>2014</v>
      </c>
      <c r="D1336" s="13">
        <v>77.72</v>
      </c>
      <c r="E1336" s="13">
        <v>24.441401182067175</v>
      </c>
      <c r="F1336" s="13">
        <v>49.88</v>
      </c>
      <c r="G1336" s="13"/>
      <c r="H1336" s="13">
        <v>99.32</v>
      </c>
      <c r="I1336" s="13">
        <v>54.18</v>
      </c>
      <c r="J1336" s="13"/>
      <c r="K1336" s="13"/>
    </row>
    <row r="1337" spans="1:11" x14ac:dyDescent="0.25">
      <c r="A1337" s="10">
        <v>41765</v>
      </c>
      <c r="B1337" s="15">
        <f t="shared" si="40"/>
        <v>5</v>
      </c>
      <c r="C1337" s="15">
        <f t="shared" si="41"/>
        <v>2014</v>
      </c>
      <c r="D1337" s="13">
        <v>77.72</v>
      </c>
      <c r="E1337" s="13">
        <v>24.34838802326416</v>
      </c>
      <c r="F1337" s="13">
        <v>49.88</v>
      </c>
      <c r="G1337" s="13"/>
      <c r="H1337" s="13">
        <v>99.32</v>
      </c>
      <c r="I1337" s="13">
        <v>54.18</v>
      </c>
      <c r="J1337" s="13"/>
      <c r="K1337" s="13"/>
    </row>
    <row r="1338" spans="1:11" x14ac:dyDescent="0.25">
      <c r="A1338" s="10">
        <v>41766</v>
      </c>
      <c r="B1338" s="15">
        <f t="shared" si="40"/>
        <v>5</v>
      </c>
      <c r="C1338" s="15">
        <f t="shared" si="41"/>
        <v>2014</v>
      </c>
      <c r="D1338" s="13">
        <v>77.72</v>
      </c>
      <c r="E1338" s="13">
        <v>24.378145219266713</v>
      </c>
      <c r="F1338" s="13">
        <v>49.88</v>
      </c>
      <c r="G1338" s="13"/>
      <c r="H1338" s="13">
        <v>99.32</v>
      </c>
      <c r="I1338" s="13">
        <v>54.18</v>
      </c>
      <c r="J1338" s="13"/>
      <c r="K1338" s="13"/>
    </row>
    <row r="1339" spans="1:11" x14ac:dyDescent="0.25">
      <c r="A1339" s="10">
        <v>41767</v>
      </c>
      <c r="B1339" s="15">
        <f t="shared" si="40"/>
        <v>5</v>
      </c>
      <c r="C1339" s="15">
        <f t="shared" si="41"/>
        <v>2014</v>
      </c>
      <c r="D1339" s="13">
        <v>77.72</v>
      </c>
      <c r="E1339" s="13">
        <v>24.501445086705203</v>
      </c>
      <c r="F1339" s="13">
        <v>49.88</v>
      </c>
      <c r="G1339" s="13"/>
      <c r="H1339" s="13">
        <v>99.32</v>
      </c>
      <c r="I1339" s="13">
        <v>54.18</v>
      </c>
      <c r="J1339" s="13"/>
      <c r="K1339" s="13"/>
    </row>
    <row r="1340" spans="1:11" x14ac:dyDescent="0.25">
      <c r="A1340" s="10">
        <v>41768</v>
      </c>
      <c r="B1340" s="15">
        <f t="shared" si="40"/>
        <v>5</v>
      </c>
      <c r="C1340" s="15">
        <f t="shared" si="41"/>
        <v>2014</v>
      </c>
      <c r="D1340" s="13">
        <v>77.72</v>
      </c>
      <c r="E1340" s="13">
        <v>24.649269462818928</v>
      </c>
      <c r="F1340" s="13">
        <v>49.88</v>
      </c>
      <c r="G1340" s="13"/>
      <c r="H1340" s="13">
        <v>99.32</v>
      </c>
      <c r="I1340" s="13">
        <v>54.18</v>
      </c>
      <c r="J1340" s="13"/>
      <c r="K1340" s="13"/>
    </row>
    <row r="1341" spans="1:11" x14ac:dyDescent="0.25">
      <c r="A1341" s="10">
        <v>41771</v>
      </c>
      <c r="B1341" s="15">
        <f t="shared" si="40"/>
        <v>5</v>
      </c>
      <c r="C1341" s="15">
        <f t="shared" si="41"/>
        <v>2014</v>
      </c>
      <c r="D1341" s="13">
        <v>83.42</v>
      </c>
      <c r="E1341" s="13">
        <v>12.380052340796745</v>
      </c>
      <c r="F1341" s="13">
        <v>40.53</v>
      </c>
      <c r="G1341" s="13"/>
      <c r="H1341" s="13">
        <v>95.28</v>
      </c>
      <c r="I1341" s="13">
        <v>25.45</v>
      </c>
      <c r="J1341" s="13"/>
      <c r="K1341" s="13"/>
    </row>
    <row r="1342" spans="1:11" x14ac:dyDescent="0.25">
      <c r="A1342" s="10">
        <v>41772</v>
      </c>
      <c r="B1342" s="15">
        <f t="shared" si="40"/>
        <v>5</v>
      </c>
      <c r="C1342" s="15">
        <f t="shared" si="41"/>
        <v>2014</v>
      </c>
      <c r="D1342" s="13">
        <v>83.42</v>
      </c>
      <c r="E1342" s="13">
        <v>12.428842504743834</v>
      </c>
      <c r="F1342" s="13">
        <v>40.53</v>
      </c>
      <c r="G1342" s="13"/>
      <c r="H1342" s="13">
        <v>95.28</v>
      </c>
      <c r="I1342" s="13">
        <v>25.45</v>
      </c>
      <c r="J1342" s="13"/>
      <c r="K1342" s="13"/>
    </row>
    <row r="1343" spans="1:11" x14ac:dyDescent="0.25">
      <c r="A1343" s="10">
        <v>41773</v>
      </c>
      <c r="B1343" s="15">
        <f t="shared" si="40"/>
        <v>5</v>
      </c>
      <c r="C1343" s="15">
        <f t="shared" si="41"/>
        <v>2014</v>
      </c>
      <c r="D1343" s="13">
        <v>83.42</v>
      </c>
      <c r="E1343" s="13">
        <v>12.417967040980022</v>
      </c>
      <c r="F1343" s="13">
        <v>40.53</v>
      </c>
      <c r="G1343" s="13"/>
      <c r="H1343" s="13">
        <v>95.28</v>
      </c>
      <c r="I1343" s="13">
        <v>25.45</v>
      </c>
      <c r="J1343" s="13"/>
      <c r="K1343" s="13"/>
    </row>
    <row r="1344" spans="1:11" x14ac:dyDescent="0.25">
      <c r="A1344" s="10">
        <v>41774</v>
      </c>
      <c r="B1344" s="15">
        <f t="shared" si="40"/>
        <v>5</v>
      </c>
      <c r="C1344" s="15">
        <f t="shared" si="41"/>
        <v>2014</v>
      </c>
      <c r="D1344" s="13">
        <v>83.42</v>
      </c>
      <c r="E1344" s="13">
        <v>12.421590080233408</v>
      </c>
      <c r="F1344" s="13">
        <v>40.53</v>
      </c>
      <c r="G1344" s="13"/>
      <c r="H1344" s="13">
        <v>95.28</v>
      </c>
      <c r="I1344" s="13">
        <v>25.45</v>
      </c>
      <c r="J1344" s="13"/>
      <c r="K1344" s="13"/>
    </row>
    <row r="1345" spans="1:11" x14ac:dyDescent="0.25">
      <c r="A1345" s="10">
        <v>41775</v>
      </c>
      <c r="B1345" s="15">
        <f t="shared" si="40"/>
        <v>5</v>
      </c>
      <c r="C1345" s="15">
        <f t="shared" si="41"/>
        <v>2014</v>
      </c>
      <c r="D1345" s="13">
        <v>83.42</v>
      </c>
      <c r="E1345" s="13">
        <v>12.437919953257378</v>
      </c>
      <c r="F1345" s="13">
        <v>40.53</v>
      </c>
      <c r="G1345" s="13"/>
      <c r="H1345" s="13">
        <v>95.28</v>
      </c>
      <c r="I1345" s="13">
        <v>25.45</v>
      </c>
      <c r="J1345" s="13"/>
      <c r="K1345" s="13"/>
    </row>
    <row r="1346" spans="1:11" x14ac:dyDescent="0.25">
      <c r="A1346" s="10">
        <v>41778</v>
      </c>
      <c r="B1346" s="15">
        <f t="shared" si="40"/>
        <v>5</v>
      </c>
      <c r="C1346" s="15">
        <f t="shared" si="41"/>
        <v>2014</v>
      </c>
      <c r="D1346" s="13">
        <v>73.31</v>
      </c>
      <c r="E1346" s="13">
        <v>16.721383234843511</v>
      </c>
      <c r="F1346" s="13">
        <v>54.98</v>
      </c>
      <c r="G1346" s="13"/>
      <c r="H1346" s="13">
        <v>91.6</v>
      </c>
      <c r="I1346" s="13">
        <v>34.96</v>
      </c>
      <c r="J1346" s="13"/>
      <c r="K1346" s="13"/>
    </row>
    <row r="1347" spans="1:11" x14ac:dyDescent="0.25">
      <c r="A1347" s="10">
        <v>41779</v>
      </c>
      <c r="B1347" s="15">
        <f t="shared" ref="B1347:B1410" si="42">MONTH(A1347)</f>
        <v>5</v>
      </c>
      <c r="C1347" s="15">
        <f t="shared" ref="C1347:C1410" si="43">YEAR(A1347)</f>
        <v>2014</v>
      </c>
      <c r="D1347" s="13">
        <v>73.31</v>
      </c>
      <c r="E1347" s="13">
        <v>16.727485038680484</v>
      </c>
      <c r="F1347" s="13">
        <v>54.98</v>
      </c>
      <c r="G1347" s="13"/>
      <c r="H1347" s="13">
        <v>91.6</v>
      </c>
      <c r="I1347" s="13">
        <v>34.96</v>
      </c>
      <c r="J1347" s="13"/>
      <c r="K1347" s="13"/>
    </row>
    <row r="1348" spans="1:11" x14ac:dyDescent="0.25">
      <c r="A1348" s="10">
        <v>41780</v>
      </c>
      <c r="B1348" s="15">
        <f t="shared" si="42"/>
        <v>5</v>
      </c>
      <c r="C1348" s="15">
        <f t="shared" si="43"/>
        <v>2014</v>
      </c>
      <c r="D1348" s="13">
        <v>73.31</v>
      </c>
      <c r="E1348" s="13">
        <v>16.747040771591408</v>
      </c>
      <c r="F1348" s="13">
        <v>54.98</v>
      </c>
      <c r="G1348" s="13"/>
      <c r="H1348" s="13">
        <v>91.6</v>
      </c>
      <c r="I1348" s="13">
        <v>34.96</v>
      </c>
      <c r="J1348" s="13"/>
      <c r="K1348" s="13"/>
    </row>
    <row r="1349" spans="1:11" x14ac:dyDescent="0.25">
      <c r="A1349" s="10">
        <v>41781</v>
      </c>
      <c r="B1349" s="15">
        <f t="shared" si="42"/>
        <v>5</v>
      </c>
      <c r="C1349" s="15">
        <f t="shared" si="43"/>
        <v>2014</v>
      </c>
      <c r="D1349" s="13">
        <v>73.31</v>
      </c>
      <c r="E1349" s="13">
        <v>16.786289731946685</v>
      </c>
      <c r="F1349" s="13">
        <v>54.98</v>
      </c>
      <c r="G1349" s="13"/>
      <c r="H1349" s="13">
        <v>91.6</v>
      </c>
      <c r="I1349" s="13">
        <v>34.96</v>
      </c>
      <c r="J1349" s="13"/>
      <c r="K1349" s="13"/>
    </row>
    <row r="1350" spans="1:11" x14ac:dyDescent="0.25">
      <c r="A1350" s="10">
        <v>41782</v>
      </c>
      <c r="B1350" s="15">
        <f t="shared" si="42"/>
        <v>5</v>
      </c>
      <c r="C1350" s="15">
        <f t="shared" si="43"/>
        <v>2014</v>
      </c>
      <c r="D1350" s="13">
        <v>73.31</v>
      </c>
      <c r="E1350" s="13">
        <v>16.812146996259077</v>
      </c>
      <c r="F1350" s="13">
        <v>54.98</v>
      </c>
      <c r="G1350" s="13"/>
      <c r="H1350" s="13">
        <v>91.6</v>
      </c>
      <c r="I1350" s="13">
        <v>34.96</v>
      </c>
      <c r="J1350" s="13"/>
      <c r="K1350" s="13"/>
    </row>
    <row r="1351" spans="1:11" x14ac:dyDescent="0.25">
      <c r="A1351" s="10">
        <v>41786</v>
      </c>
      <c r="B1351" s="15">
        <f t="shared" si="42"/>
        <v>5</v>
      </c>
      <c r="C1351" s="15">
        <f t="shared" si="43"/>
        <v>2014</v>
      </c>
      <c r="D1351" s="13">
        <v>69.09</v>
      </c>
      <c r="E1351" s="13">
        <v>15.793720657276996</v>
      </c>
      <c r="F1351" s="13">
        <v>61.84</v>
      </c>
      <c r="G1351" s="13"/>
      <c r="H1351" s="13">
        <v>88.37</v>
      </c>
      <c r="I1351" s="13">
        <v>30.64</v>
      </c>
      <c r="J1351" s="13"/>
      <c r="K1351" s="13"/>
    </row>
    <row r="1352" spans="1:11" x14ac:dyDescent="0.25">
      <c r="A1352" s="10">
        <v>41787</v>
      </c>
      <c r="B1352" s="15">
        <f t="shared" si="42"/>
        <v>5</v>
      </c>
      <c r="C1352" s="15">
        <f t="shared" si="43"/>
        <v>2014</v>
      </c>
      <c r="D1352" s="13">
        <v>69.09</v>
      </c>
      <c r="E1352" s="13">
        <v>15.843697107954965</v>
      </c>
      <c r="F1352" s="13">
        <v>61.84</v>
      </c>
      <c r="G1352" s="13"/>
      <c r="H1352" s="13">
        <v>88.37</v>
      </c>
      <c r="I1352" s="13">
        <v>30.64</v>
      </c>
      <c r="J1352" s="13"/>
      <c r="K1352" s="13"/>
    </row>
    <row r="1353" spans="1:11" x14ac:dyDescent="0.25">
      <c r="A1353" s="10">
        <v>41788</v>
      </c>
      <c r="B1353" s="15">
        <f t="shared" si="42"/>
        <v>5</v>
      </c>
      <c r="C1353" s="15">
        <f t="shared" si="43"/>
        <v>2014</v>
      </c>
      <c r="D1353" s="13">
        <v>69.09</v>
      </c>
      <c r="E1353" s="13">
        <v>15.829718403058598</v>
      </c>
      <c r="F1353" s="13">
        <v>61.84</v>
      </c>
      <c r="G1353" s="13"/>
      <c r="H1353" s="13">
        <v>88.37</v>
      </c>
      <c r="I1353" s="13">
        <v>30.64</v>
      </c>
      <c r="J1353" s="13"/>
      <c r="K1353" s="13"/>
    </row>
    <row r="1354" spans="1:11" x14ac:dyDescent="0.25">
      <c r="A1354" s="10">
        <v>41789</v>
      </c>
      <c r="B1354" s="15">
        <f t="shared" si="42"/>
        <v>5</v>
      </c>
      <c r="C1354" s="15">
        <f t="shared" si="43"/>
        <v>2014</v>
      </c>
      <c r="D1354" s="13">
        <v>69.09</v>
      </c>
      <c r="E1354" s="13">
        <v>15.796038151137198</v>
      </c>
      <c r="F1354" s="13">
        <v>61.84</v>
      </c>
      <c r="G1354" s="13"/>
      <c r="H1354" s="13">
        <v>88.37</v>
      </c>
      <c r="I1354" s="13">
        <v>30.64</v>
      </c>
      <c r="J1354" s="13"/>
      <c r="K1354" s="13"/>
    </row>
    <row r="1355" spans="1:11" x14ac:dyDescent="0.25">
      <c r="A1355" s="10">
        <v>41792</v>
      </c>
      <c r="B1355" s="15">
        <f t="shared" si="42"/>
        <v>6</v>
      </c>
      <c r="C1355" s="15">
        <f t="shared" si="43"/>
        <v>2014</v>
      </c>
      <c r="D1355" s="13">
        <v>72.569999999999993</v>
      </c>
      <c r="E1355" s="13">
        <v>11.747829924966899</v>
      </c>
      <c r="F1355" s="13">
        <v>79.430000000000007</v>
      </c>
      <c r="G1355" s="13"/>
      <c r="H1355" s="13">
        <v>93.61</v>
      </c>
      <c r="I1355" s="13">
        <v>22.48</v>
      </c>
      <c r="J1355" s="13"/>
      <c r="K1355" s="13"/>
    </row>
    <row r="1356" spans="1:11" x14ac:dyDescent="0.25">
      <c r="A1356" s="10">
        <v>41793</v>
      </c>
      <c r="B1356" s="15">
        <f t="shared" si="42"/>
        <v>6</v>
      </c>
      <c r="C1356" s="15">
        <f t="shared" si="43"/>
        <v>2014</v>
      </c>
      <c r="D1356" s="13">
        <v>72.569999999999993</v>
      </c>
      <c r="E1356" s="13">
        <v>11.719380641373744</v>
      </c>
      <c r="F1356" s="13">
        <v>79.430000000000007</v>
      </c>
      <c r="G1356" s="13"/>
      <c r="H1356" s="13">
        <v>93.61</v>
      </c>
      <c r="I1356" s="13">
        <v>22.48</v>
      </c>
      <c r="J1356" s="13"/>
      <c r="K1356" s="13"/>
    </row>
    <row r="1357" spans="1:11" x14ac:dyDescent="0.25">
      <c r="A1357" s="10">
        <v>41794</v>
      </c>
      <c r="B1357" s="15">
        <f t="shared" si="42"/>
        <v>6</v>
      </c>
      <c r="C1357" s="15">
        <f t="shared" si="43"/>
        <v>2014</v>
      </c>
      <c r="D1357" s="13">
        <v>72.569999999999993</v>
      </c>
      <c r="E1357" s="13">
        <v>11.744374172672453</v>
      </c>
      <c r="F1357" s="13">
        <v>79.430000000000007</v>
      </c>
      <c r="G1357" s="13"/>
      <c r="H1357" s="13">
        <v>93.61</v>
      </c>
      <c r="I1357" s="13">
        <v>22.48</v>
      </c>
      <c r="J1357" s="13"/>
      <c r="K1357" s="13"/>
    </row>
    <row r="1358" spans="1:11" x14ac:dyDescent="0.25">
      <c r="A1358" s="10">
        <v>41795</v>
      </c>
      <c r="B1358" s="15">
        <f t="shared" si="42"/>
        <v>6</v>
      </c>
      <c r="C1358" s="15">
        <f t="shared" si="43"/>
        <v>2014</v>
      </c>
      <c r="D1358" s="13">
        <v>72.569999999999993</v>
      </c>
      <c r="E1358" s="13">
        <v>11.692780787816666</v>
      </c>
      <c r="F1358" s="13">
        <v>79.430000000000007</v>
      </c>
      <c r="G1358" s="13"/>
      <c r="H1358" s="13">
        <v>93.61</v>
      </c>
      <c r="I1358" s="13">
        <v>22.48</v>
      </c>
      <c r="J1358" s="13"/>
      <c r="K1358" s="13"/>
    </row>
    <row r="1359" spans="1:11" x14ac:dyDescent="0.25">
      <c r="A1359" s="10">
        <v>41796</v>
      </c>
      <c r="B1359" s="15">
        <f t="shared" si="42"/>
        <v>6</v>
      </c>
      <c r="C1359" s="15">
        <f t="shared" si="43"/>
        <v>2014</v>
      </c>
      <c r="D1359" s="13">
        <v>72.569999999999993</v>
      </c>
      <c r="E1359" s="13">
        <v>11.707352833369987</v>
      </c>
      <c r="F1359" s="13">
        <v>79.430000000000007</v>
      </c>
      <c r="G1359" s="13"/>
      <c r="H1359" s="13">
        <v>93.61</v>
      </c>
      <c r="I1359" s="13">
        <v>22.48</v>
      </c>
      <c r="J1359" s="13"/>
      <c r="K1359" s="13"/>
    </row>
    <row r="1360" spans="1:11" x14ac:dyDescent="0.25">
      <c r="A1360" s="10">
        <v>41799</v>
      </c>
      <c r="B1360" s="15">
        <f t="shared" si="42"/>
        <v>6</v>
      </c>
      <c r="C1360" s="15">
        <f t="shared" si="43"/>
        <v>2014</v>
      </c>
      <c r="D1360" s="13">
        <v>76.319999999999993</v>
      </c>
      <c r="E1360" s="13">
        <v>15.796056503825779</v>
      </c>
      <c r="F1360" s="13">
        <v>81.99</v>
      </c>
      <c r="G1360" s="13"/>
      <c r="H1360" s="13">
        <v>91.17</v>
      </c>
      <c r="I1360" s="13">
        <v>15.3</v>
      </c>
      <c r="J1360" s="13"/>
      <c r="K1360" s="13"/>
    </row>
    <row r="1361" spans="1:11" x14ac:dyDescent="0.25">
      <c r="A1361" s="10">
        <v>41800</v>
      </c>
      <c r="B1361" s="15">
        <f t="shared" si="42"/>
        <v>6</v>
      </c>
      <c r="C1361" s="15">
        <f t="shared" si="43"/>
        <v>2014</v>
      </c>
      <c r="D1361" s="13">
        <v>76.319999999999993</v>
      </c>
      <c r="E1361" s="13">
        <v>15.848527349228611</v>
      </c>
      <c r="F1361" s="13">
        <v>81.99</v>
      </c>
      <c r="G1361" s="13"/>
      <c r="H1361" s="13">
        <v>91.17</v>
      </c>
      <c r="I1361" s="13">
        <v>15.3</v>
      </c>
      <c r="J1361" s="13"/>
      <c r="K1361" s="13"/>
    </row>
    <row r="1362" spans="1:11" x14ac:dyDescent="0.25">
      <c r="A1362" s="10">
        <v>41801</v>
      </c>
      <c r="B1362" s="15">
        <f t="shared" si="42"/>
        <v>6</v>
      </c>
      <c r="C1362" s="15">
        <f t="shared" si="43"/>
        <v>2014</v>
      </c>
      <c r="D1362" s="13">
        <v>76.319999999999993</v>
      </c>
      <c r="E1362" s="13">
        <v>15.866095181791309</v>
      </c>
      <c r="F1362" s="13">
        <v>81.99</v>
      </c>
      <c r="G1362" s="13"/>
      <c r="H1362" s="13">
        <v>91.17</v>
      </c>
      <c r="I1362" s="13">
        <v>15.3</v>
      </c>
      <c r="J1362" s="13"/>
      <c r="K1362" s="13"/>
    </row>
    <row r="1363" spans="1:11" x14ac:dyDescent="0.25">
      <c r="A1363" s="10">
        <v>41802</v>
      </c>
      <c r="B1363" s="15">
        <f t="shared" si="42"/>
        <v>6</v>
      </c>
      <c r="C1363" s="15">
        <f t="shared" si="43"/>
        <v>2014</v>
      </c>
      <c r="D1363" s="13">
        <v>76.319999999999993</v>
      </c>
      <c r="E1363" s="13">
        <v>15.843849162423437</v>
      </c>
      <c r="F1363" s="13">
        <v>81.99</v>
      </c>
      <c r="G1363" s="13"/>
      <c r="H1363" s="13">
        <v>91.17</v>
      </c>
      <c r="I1363" s="13">
        <v>15.3</v>
      </c>
      <c r="J1363" s="13"/>
      <c r="K1363" s="13"/>
    </row>
    <row r="1364" spans="1:11" x14ac:dyDescent="0.25">
      <c r="A1364" s="10">
        <v>41803</v>
      </c>
      <c r="B1364" s="15">
        <f t="shared" si="42"/>
        <v>6</v>
      </c>
      <c r="C1364" s="15">
        <f t="shared" si="43"/>
        <v>2014</v>
      </c>
      <c r="D1364" s="13">
        <v>76.319999999999993</v>
      </c>
      <c r="E1364" s="13">
        <v>15.854378969133066</v>
      </c>
      <c r="F1364" s="13">
        <v>81.99</v>
      </c>
      <c r="G1364" s="13"/>
      <c r="H1364" s="13">
        <v>91.17</v>
      </c>
      <c r="I1364" s="13">
        <v>15.3</v>
      </c>
      <c r="J1364" s="13"/>
      <c r="K1364" s="13"/>
    </row>
    <row r="1365" spans="1:11" x14ac:dyDescent="0.25">
      <c r="A1365" s="10">
        <v>41806</v>
      </c>
      <c r="B1365" s="15">
        <f t="shared" si="42"/>
        <v>6</v>
      </c>
      <c r="C1365" s="15">
        <f t="shared" si="43"/>
        <v>2014</v>
      </c>
      <c r="D1365" s="13">
        <v>67.540000000000006</v>
      </c>
      <c r="E1365" s="13">
        <v>33.566639652250792</v>
      </c>
      <c r="F1365" s="13">
        <v>71.77</v>
      </c>
      <c r="G1365" s="13"/>
      <c r="H1365" s="13">
        <v>89.44</v>
      </c>
      <c r="I1365" s="13">
        <v>7.52</v>
      </c>
      <c r="J1365" s="13"/>
      <c r="K1365" s="13"/>
    </row>
    <row r="1366" spans="1:11" x14ac:dyDescent="0.25">
      <c r="A1366" s="10">
        <v>41807</v>
      </c>
      <c r="B1366" s="15">
        <f t="shared" si="42"/>
        <v>6</v>
      </c>
      <c r="C1366" s="15">
        <f t="shared" si="43"/>
        <v>2014</v>
      </c>
      <c r="D1366" s="13">
        <v>67.540000000000006</v>
      </c>
      <c r="E1366" s="13">
        <v>33.636028054632703</v>
      </c>
      <c r="F1366" s="13">
        <v>71.77</v>
      </c>
      <c r="G1366" s="13"/>
      <c r="H1366" s="13">
        <v>89.44</v>
      </c>
      <c r="I1366" s="13">
        <v>7.52</v>
      </c>
      <c r="J1366" s="13"/>
      <c r="K1366" s="13"/>
    </row>
    <row r="1367" spans="1:11" x14ac:dyDescent="0.25">
      <c r="A1367" s="10">
        <v>41808</v>
      </c>
      <c r="B1367" s="15">
        <f t="shared" si="42"/>
        <v>6</v>
      </c>
      <c r="C1367" s="15">
        <f t="shared" si="43"/>
        <v>2014</v>
      </c>
      <c r="D1367" s="13">
        <v>67.540000000000006</v>
      </c>
      <c r="E1367" s="13">
        <v>33.512320706141971</v>
      </c>
      <c r="F1367" s="13">
        <v>71.77</v>
      </c>
      <c r="G1367" s="13"/>
      <c r="H1367" s="13">
        <v>89.44</v>
      </c>
      <c r="I1367" s="13">
        <v>7.52</v>
      </c>
      <c r="J1367" s="13"/>
      <c r="K1367" s="13"/>
    </row>
    <row r="1368" spans="1:11" x14ac:dyDescent="0.25">
      <c r="A1368" s="10">
        <v>41809</v>
      </c>
      <c r="B1368" s="15">
        <f t="shared" si="42"/>
        <v>6</v>
      </c>
      <c r="C1368" s="15">
        <f t="shared" si="43"/>
        <v>2014</v>
      </c>
      <c r="D1368" s="13">
        <v>67.540000000000006</v>
      </c>
      <c r="E1368" s="13">
        <v>33.480305702527929</v>
      </c>
      <c r="F1368" s="13">
        <v>71.77</v>
      </c>
      <c r="G1368" s="13"/>
      <c r="H1368" s="13">
        <v>89.44</v>
      </c>
      <c r="I1368" s="13">
        <v>7.52</v>
      </c>
      <c r="J1368" s="13"/>
      <c r="K1368" s="13"/>
    </row>
    <row r="1369" spans="1:11" x14ac:dyDescent="0.25">
      <c r="A1369" s="10">
        <v>41810</v>
      </c>
      <c r="B1369" s="15">
        <f t="shared" si="42"/>
        <v>6</v>
      </c>
      <c r="C1369" s="15">
        <f t="shared" si="43"/>
        <v>2014</v>
      </c>
      <c r="D1369" s="13">
        <v>67.540000000000006</v>
      </c>
      <c r="E1369" s="13">
        <v>33.50246341642768</v>
      </c>
      <c r="F1369" s="13">
        <v>71.77</v>
      </c>
      <c r="G1369" s="13"/>
      <c r="H1369" s="13">
        <v>89.44</v>
      </c>
      <c r="I1369" s="13">
        <v>7.52</v>
      </c>
      <c r="J1369" s="13"/>
      <c r="K1369" s="13"/>
    </row>
    <row r="1370" spans="1:11" x14ac:dyDescent="0.25">
      <c r="A1370" s="10">
        <v>41813</v>
      </c>
      <c r="B1370" s="15">
        <f t="shared" si="42"/>
        <v>6</v>
      </c>
      <c r="C1370" s="15">
        <f t="shared" si="43"/>
        <v>2014</v>
      </c>
      <c r="D1370" s="13">
        <v>51.96</v>
      </c>
      <c r="E1370" s="13">
        <v>29.691979710358009</v>
      </c>
      <c r="F1370" s="13">
        <v>78.84</v>
      </c>
      <c r="G1370" s="13"/>
      <c r="H1370" s="13">
        <v>81.599999999999994</v>
      </c>
      <c r="I1370" s="13">
        <v>10.25</v>
      </c>
      <c r="J1370" s="13"/>
      <c r="K1370" s="13"/>
    </row>
    <row r="1371" spans="1:11" x14ac:dyDescent="0.25">
      <c r="A1371" s="10">
        <v>41814</v>
      </c>
      <c r="B1371" s="15">
        <f t="shared" si="42"/>
        <v>6</v>
      </c>
      <c r="C1371" s="15">
        <f t="shared" si="43"/>
        <v>2014</v>
      </c>
      <c r="D1371" s="13">
        <v>51.96</v>
      </c>
      <c r="E1371" s="13">
        <v>29.687614847482543</v>
      </c>
      <c r="F1371" s="13">
        <v>78.84</v>
      </c>
      <c r="G1371" s="13"/>
      <c r="H1371" s="13">
        <v>81.599999999999994</v>
      </c>
      <c r="I1371" s="13">
        <v>10.25</v>
      </c>
      <c r="J1371" s="13"/>
      <c r="K1371" s="13"/>
    </row>
    <row r="1372" spans="1:11" x14ac:dyDescent="0.25">
      <c r="A1372" s="10">
        <v>41815</v>
      </c>
      <c r="B1372" s="15">
        <f t="shared" si="42"/>
        <v>6</v>
      </c>
      <c r="C1372" s="15">
        <f t="shared" si="43"/>
        <v>2014</v>
      </c>
      <c r="D1372" s="13">
        <v>51.96</v>
      </c>
      <c r="E1372" s="13">
        <v>29.635336414997433</v>
      </c>
      <c r="F1372" s="13">
        <v>78.84</v>
      </c>
      <c r="G1372" s="13"/>
      <c r="H1372" s="13">
        <v>81.599999999999994</v>
      </c>
      <c r="I1372" s="13">
        <v>10.25</v>
      </c>
      <c r="J1372" s="13"/>
      <c r="K1372" s="13"/>
    </row>
    <row r="1373" spans="1:11" x14ac:dyDescent="0.25">
      <c r="A1373" s="10">
        <v>41816</v>
      </c>
      <c r="B1373" s="15">
        <f t="shared" si="42"/>
        <v>6</v>
      </c>
      <c r="C1373" s="15">
        <f t="shared" si="43"/>
        <v>2014</v>
      </c>
      <c r="D1373" s="13">
        <v>51.96</v>
      </c>
      <c r="E1373" s="13">
        <v>29.674527955330248</v>
      </c>
      <c r="F1373" s="13">
        <v>78.84</v>
      </c>
      <c r="G1373" s="13"/>
      <c r="H1373" s="13">
        <v>81.599999999999994</v>
      </c>
      <c r="I1373" s="13">
        <v>10.25</v>
      </c>
      <c r="J1373" s="13"/>
      <c r="K1373" s="13"/>
    </row>
    <row r="1374" spans="1:11" x14ac:dyDescent="0.25">
      <c r="A1374" s="10">
        <v>41817</v>
      </c>
      <c r="B1374" s="15">
        <f t="shared" si="42"/>
        <v>6</v>
      </c>
      <c r="C1374" s="15">
        <f t="shared" si="43"/>
        <v>2014</v>
      </c>
      <c r="D1374" s="13">
        <v>51.96</v>
      </c>
      <c r="E1374" s="13">
        <v>29.596248259690775</v>
      </c>
      <c r="F1374" s="13">
        <v>78.84</v>
      </c>
      <c r="G1374" s="13"/>
      <c r="H1374" s="13">
        <v>81.599999999999994</v>
      </c>
      <c r="I1374" s="13">
        <v>10.25</v>
      </c>
      <c r="J1374" s="13"/>
      <c r="K1374" s="13"/>
    </row>
    <row r="1375" spans="1:11" x14ac:dyDescent="0.25">
      <c r="A1375" s="10">
        <v>41820</v>
      </c>
      <c r="B1375" s="15">
        <f t="shared" si="42"/>
        <v>6</v>
      </c>
      <c r="C1375" s="15">
        <f t="shared" si="43"/>
        <v>2014</v>
      </c>
      <c r="D1375" s="13">
        <v>21.16</v>
      </c>
      <c r="E1375" s="13">
        <v>5.7629099408370461</v>
      </c>
      <c r="F1375" s="13">
        <v>62.86</v>
      </c>
      <c r="G1375" s="13"/>
      <c r="H1375" s="13">
        <v>58.94</v>
      </c>
      <c r="I1375" s="13">
        <v>-29.62</v>
      </c>
      <c r="J1375" s="13"/>
      <c r="K1375" s="13"/>
    </row>
    <row r="1376" spans="1:11" x14ac:dyDescent="0.25">
      <c r="A1376" s="10">
        <v>41821</v>
      </c>
      <c r="B1376" s="15">
        <f t="shared" si="42"/>
        <v>7</v>
      </c>
      <c r="C1376" s="15">
        <f t="shared" si="43"/>
        <v>2014</v>
      </c>
      <c r="D1376" s="13">
        <v>21.16</v>
      </c>
      <c r="E1376" s="13">
        <v>5.767965494553696</v>
      </c>
      <c r="F1376" s="13">
        <v>62.86</v>
      </c>
      <c r="G1376" s="13"/>
      <c r="H1376" s="13">
        <v>58.94</v>
      </c>
      <c r="I1376" s="13">
        <v>-29.62</v>
      </c>
      <c r="J1376" s="13"/>
      <c r="K1376" s="13"/>
    </row>
    <row r="1377" spans="1:11" x14ac:dyDescent="0.25">
      <c r="A1377" s="10">
        <v>41822</v>
      </c>
      <c r="B1377" s="15">
        <f t="shared" si="42"/>
        <v>7</v>
      </c>
      <c r="C1377" s="15">
        <f t="shared" si="43"/>
        <v>2014</v>
      </c>
      <c r="D1377" s="13">
        <v>21.16</v>
      </c>
      <c r="E1377" s="13">
        <v>5.7764111574785861</v>
      </c>
      <c r="F1377" s="13">
        <v>62.86</v>
      </c>
      <c r="G1377" s="13"/>
      <c r="H1377" s="13">
        <v>58.94</v>
      </c>
      <c r="I1377" s="13">
        <v>-29.62</v>
      </c>
      <c r="J1377" s="13"/>
      <c r="K1377" s="13"/>
    </row>
    <row r="1378" spans="1:11" x14ac:dyDescent="0.25">
      <c r="A1378" s="10">
        <v>41823</v>
      </c>
      <c r="B1378" s="15">
        <f t="shared" si="42"/>
        <v>7</v>
      </c>
      <c r="C1378" s="15">
        <f t="shared" si="43"/>
        <v>2014</v>
      </c>
      <c r="D1378" s="13">
        <v>21.16</v>
      </c>
      <c r="E1378" s="13">
        <v>5.7972079353416603</v>
      </c>
      <c r="F1378" s="13">
        <v>62.86</v>
      </c>
      <c r="G1378" s="13"/>
      <c r="H1378" s="13">
        <v>58.94</v>
      </c>
      <c r="I1378" s="13">
        <v>-29.62</v>
      </c>
      <c r="J1378" s="13"/>
      <c r="K1378" s="13"/>
    </row>
    <row r="1379" spans="1:11" x14ac:dyDescent="0.25">
      <c r="A1379" s="10">
        <v>41827</v>
      </c>
      <c r="B1379" s="15">
        <f t="shared" si="42"/>
        <v>7</v>
      </c>
      <c r="C1379" s="15">
        <f t="shared" si="43"/>
        <v>2014</v>
      </c>
      <c r="D1379" s="13">
        <v>19.32</v>
      </c>
      <c r="E1379" s="13">
        <v>23.912084680976182</v>
      </c>
      <c r="F1379" s="13">
        <v>61.79</v>
      </c>
      <c r="G1379" s="13"/>
      <c r="H1379" s="13">
        <v>51.52</v>
      </c>
      <c r="I1379" s="13">
        <v>-9.2799999999999994</v>
      </c>
      <c r="J1379" s="13"/>
      <c r="K1379" s="13"/>
    </row>
    <row r="1380" spans="1:11" x14ac:dyDescent="0.25">
      <c r="A1380" s="10">
        <v>41828</v>
      </c>
      <c r="B1380" s="15">
        <f t="shared" si="42"/>
        <v>7</v>
      </c>
      <c r="C1380" s="15">
        <f t="shared" si="43"/>
        <v>2014</v>
      </c>
      <c r="D1380" s="13">
        <v>19.32</v>
      </c>
      <c r="E1380" s="13">
        <v>23.899786937036222</v>
      </c>
      <c r="F1380" s="13">
        <v>61.79</v>
      </c>
      <c r="G1380" s="13"/>
      <c r="H1380" s="13">
        <v>51.52</v>
      </c>
      <c r="I1380" s="13">
        <v>-9.2799999999999994</v>
      </c>
      <c r="J1380" s="13"/>
      <c r="K1380" s="13"/>
    </row>
    <row r="1381" spans="1:11" x14ac:dyDescent="0.25">
      <c r="A1381" s="10">
        <v>41829</v>
      </c>
      <c r="B1381" s="15">
        <f t="shared" si="42"/>
        <v>7</v>
      </c>
      <c r="C1381" s="15">
        <f t="shared" si="43"/>
        <v>2014</v>
      </c>
      <c r="D1381" s="13">
        <v>19.32</v>
      </c>
      <c r="E1381" s="13">
        <v>23.841981823512167</v>
      </c>
      <c r="F1381" s="13">
        <v>61.79</v>
      </c>
      <c r="G1381" s="13"/>
      <c r="H1381" s="13">
        <v>51.52</v>
      </c>
      <c r="I1381" s="13">
        <v>-9.2799999999999994</v>
      </c>
      <c r="J1381" s="13"/>
      <c r="K1381" s="13"/>
    </row>
    <row r="1382" spans="1:11" x14ac:dyDescent="0.25">
      <c r="A1382" s="10">
        <v>41830</v>
      </c>
      <c r="B1382" s="15">
        <f t="shared" si="42"/>
        <v>7</v>
      </c>
      <c r="C1382" s="15">
        <f t="shared" si="43"/>
        <v>2014</v>
      </c>
      <c r="D1382" s="13">
        <v>19.32</v>
      </c>
      <c r="E1382" s="13">
        <v>23.90329928723639</v>
      </c>
      <c r="F1382" s="13">
        <v>61.79</v>
      </c>
      <c r="G1382" s="13"/>
      <c r="H1382" s="13">
        <v>51.52</v>
      </c>
      <c r="I1382" s="13">
        <v>-9.2799999999999994</v>
      </c>
      <c r="J1382" s="13"/>
      <c r="K1382" s="13"/>
    </row>
    <row r="1383" spans="1:11" x14ac:dyDescent="0.25">
      <c r="A1383" s="10">
        <v>41831</v>
      </c>
      <c r="B1383" s="15">
        <f t="shared" si="42"/>
        <v>7</v>
      </c>
      <c r="C1383" s="15">
        <f t="shared" si="43"/>
        <v>2014</v>
      </c>
      <c r="D1383" s="13">
        <v>19.32</v>
      </c>
      <c r="E1383" s="13">
        <v>23.905055849500293</v>
      </c>
      <c r="F1383" s="13">
        <v>61.79</v>
      </c>
      <c r="G1383" s="13"/>
      <c r="H1383" s="13">
        <v>51.52</v>
      </c>
      <c r="I1383" s="13">
        <v>-9.2799999999999994</v>
      </c>
      <c r="J1383" s="13"/>
      <c r="K1383" s="13"/>
    </row>
    <row r="1384" spans="1:11" x14ac:dyDescent="0.25">
      <c r="A1384" s="10">
        <v>41834</v>
      </c>
      <c r="B1384" s="15">
        <f t="shared" si="42"/>
        <v>7</v>
      </c>
      <c r="C1384" s="15">
        <f t="shared" si="43"/>
        <v>2014</v>
      </c>
      <c r="D1384" s="13">
        <v>24.68</v>
      </c>
      <c r="E1384" s="13">
        <v>36.265511417872091</v>
      </c>
      <c r="F1384" s="13">
        <v>85.02</v>
      </c>
      <c r="G1384" s="13"/>
      <c r="H1384" s="13">
        <v>58.18</v>
      </c>
      <c r="I1384" s="13">
        <v>-18.59</v>
      </c>
      <c r="J1384" s="13"/>
      <c r="K1384" s="13"/>
    </row>
    <row r="1385" spans="1:11" x14ac:dyDescent="0.25">
      <c r="A1385" s="10">
        <v>41835</v>
      </c>
      <c r="B1385" s="15">
        <f t="shared" si="42"/>
        <v>7</v>
      </c>
      <c r="C1385" s="15">
        <f t="shared" si="43"/>
        <v>2014</v>
      </c>
      <c r="D1385" s="13">
        <v>24.68</v>
      </c>
      <c r="E1385" s="13">
        <v>36.393780856237569</v>
      </c>
      <c r="F1385" s="13">
        <v>85.02</v>
      </c>
      <c r="G1385" s="13"/>
      <c r="H1385" s="13">
        <v>58.18</v>
      </c>
      <c r="I1385" s="13">
        <v>-18.59</v>
      </c>
      <c r="J1385" s="13"/>
      <c r="K1385" s="13"/>
    </row>
    <row r="1386" spans="1:11" x14ac:dyDescent="0.25">
      <c r="A1386" s="10">
        <v>41836</v>
      </c>
      <c r="B1386" s="15">
        <f t="shared" si="42"/>
        <v>7</v>
      </c>
      <c r="C1386" s="15">
        <f t="shared" si="43"/>
        <v>2014</v>
      </c>
      <c r="D1386" s="13">
        <v>24.68</v>
      </c>
      <c r="E1386" s="13">
        <v>36.517560073937155</v>
      </c>
      <c r="F1386" s="13">
        <v>85.02</v>
      </c>
      <c r="G1386" s="13"/>
      <c r="H1386" s="13">
        <v>58.18</v>
      </c>
      <c r="I1386" s="13">
        <v>-18.59</v>
      </c>
      <c r="J1386" s="13"/>
      <c r="K1386" s="13"/>
    </row>
    <row r="1387" spans="1:11" x14ac:dyDescent="0.25">
      <c r="A1387" s="10">
        <v>41837</v>
      </c>
      <c r="B1387" s="15">
        <f t="shared" si="42"/>
        <v>7</v>
      </c>
      <c r="C1387" s="15">
        <f t="shared" si="43"/>
        <v>2014</v>
      </c>
      <c r="D1387" s="13">
        <v>24.68</v>
      </c>
      <c r="E1387" s="13">
        <v>36.514860269111338</v>
      </c>
      <c r="F1387" s="13">
        <v>85.02</v>
      </c>
      <c r="G1387" s="13"/>
      <c r="H1387" s="13">
        <v>58.18</v>
      </c>
      <c r="I1387" s="13">
        <v>-18.59</v>
      </c>
      <c r="J1387" s="13"/>
      <c r="K1387" s="13"/>
    </row>
    <row r="1388" spans="1:11" x14ac:dyDescent="0.25">
      <c r="A1388" s="10">
        <v>41838</v>
      </c>
      <c r="B1388" s="15">
        <f t="shared" si="42"/>
        <v>7</v>
      </c>
      <c r="C1388" s="15">
        <f t="shared" si="43"/>
        <v>2014</v>
      </c>
      <c r="D1388" s="13">
        <v>24.68</v>
      </c>
      <c r="E1388" s="13">
        <v>36.520260278024253</v>
      </c>
      <c r="F1388" s="13">
        <v>85.02</v>
      </c>
      <c r="G1388" s="13"/>
      <c r="H1388" s="13">
        <v>58.18</v>
      </c>
      <c r="I1388" s="13">
        <v>-18.59</v>
      </c>
      <c r="J1388" s="13"/>
      <c r="K1388" s="13"/>
    </row>
    <row r="1389" spans="1:11" x14ac:dyDescent="0.25">
      <c r="A1389" s="10">
        <v>41841</v>
      </c>
      <c r="B1389" s="15">
        <f t="shared" si="42"/>
        <v>7</v>
      </c>
      <c r="C1389" s="15">
        <f t="shared" si="43"/>
        <v>2014</v>
      </c>
      <c r="D1389" s="13">
        <v>23.85</v>
      </c>
      <c r="E1389" s="13">
        <v>45.389336685646676</v>
      </c>
      <c r="F1389" s="13">
        <v>87.34</v>
      </c>
      <c r="G1389" s="13"/>
      <c r="H1389" s="13">
        <v>64.540000000000006</v>
      </c>
      <c r="I1389" s="13">
        <v>-1.23</v>
      </c>
      <c r="J1389" s="13"/>
      <c r="K1389" s="13"/>
    </row>
    <row r="1390" spans="1:11" x14ac:dyDescent="0.25">
      <c r="A1390" s="10">
        <v>41842</v>
      </c>
      <c r="B1390" s="15">
        <f t="shared" si="42"/>
        <v>7</v>
      </c>
      <c r="C1390" s="15">
        <f t="shared" si="43"/>
        <v>2014</v>
      </c>
      <c r="D1390" s="13">
        <v>23.85</v>
      </c>
      <c r="E1390" s="13">
        <v>45.588235294117645</v>
      </c>
      <c r="F1390" s="13">
        <v>87.34</v>
      </c>
      <c r="G1390" s="13"/>
      <c r="H1390" s="13">
        <v>64.540000000000006</v>
      </c>
      <c r="I1390" s="13">
        <v>-1.23</v>
      </c>
      <c r="J1390" s="13"/>
      <c r="K1390" s="13"/>
    </row>
    <row r="1391" spans="1:11" x14ac:dyDescent="0.25">
      <c r="A1391" s="10">
        <v>41843</v>
      </c>
      <c r="B1391" s="15">
        <f t="shared" si="42"/>
        <v>7</v>
      </c>
      <c r="C1391" s="15">
        <f t="shared" si="43"/>
        <v>2014</v>
      </c>
      <c r="D1391" s="13">
        <v>23.85</v>
      </c>
      <c r="E1391" s="13">
        <v>45.588235294117645</v>
      </c>
      <c r="F1391" s="13">
        <v>87.34</v>
      </c>
      <c r="G1391" s="13"/>
      <c r="H1391" s="13">
        <v>64.540000000000006</v>
      </c>
      <c r="I1391" s="13">
        <v>-1.23</v>
      </c>
      <c r="J1391" s="13"/>
      <c r="K1391" s="13"/>
    </row>
    <row r="1392" spans="1:11" x14ac:dyDescent="0.25">
      <c r="A1392" s="10">
        <v>41844</v>
      </c>
      <c r="B1392" s="15">
        <f t="shared" si="42"/>
        <v>7</v>
      </c>
      <c r="C1392" s="15">
        <f t="shared" si="43"/>
        <v>2014</v>
      </c>
      <c r="D1392" s="13">
        <v>23.85</v>
      </c>
      <c r="E1392" s="13">
        <v>45.59162148109634</v>
      </c>
      <c r="F1392" s="13">
        <v>87.34</v>
      </c>
      <c r="G1392" s="13"/>
      <c r="H1392" s="13">
        <v>64.540000000000006</v>
      </c>
      <c r="I1392" s="13">
        <v>-1.23</v>
      </c>
      <c r="J1392" s="13"/>
      <c r="K1392" s="13"/>
    </row>
    <row r="1393" spans="1:11" x14ac:dyDescent="0.25">
      <c r="A1393" s="10">
        <v>41845</v>
      </c>
      <c r="B1393" s="15">
        <f t="shared" si="42"/>
        <v>7</v>
      </c>
      <c r="C1393" s="15">
        <f t="shared" si="43"/>
        <v>2014</v>
      </c>
      <c r="D1393" s="13">
        <v>23.85</v>
      </c>
      <c r="E1393" s="13">
        <v>45.707051902598856</v>
      </c>
      <c r="F1393" s="13">
        <v>87.34</v>
      </c>
      <c r="G1393" s="13"/>
      <c r="H1393" s="13">
        <v>64.540000000000006</v>
      </c>
      <c r="I1393" s="13">
        <v>-1.23</v>
      </c>
      <c r="J1393" s="13"/>
      <c r="K1393" s="13"/>
    </row>
    <row r="1394" spans="1:11" x14ac:dyDescent="0.25">
      <c r="A1394" s="10">
        <v>41848</v>
      </c>
      <c r="B1394" s="15">
        <f t="shared" si="42"/>
        <v>7</v>
      </c>
      <c r="C1394" s="15">
        <f t="shared" si="43"/>
        <v>2014</v>
      </c>
      <c r="D1394" s="13">
        <v>9.66</v>
      </c>
      <c r="E1394" s="13">
        <v>34.265942406429048</v>
      </c>
      <c r="F1394" s="13">
        <v>73.069999999999993</v>
      </c>
      <c r="G1394" s="13"/>
      <c r="H1394" s="13">
        <v>44.5</v>
      </c>
      <c r="I1394" s="13">
        <v>1.97</v>
      </c>
      <c r="J1394" s="13"/>
      <c r="K1394" s="13"/>
    </row>
    <row r="1395" spans="1:11" x14ac:dyDescent="0.25">
      <c r="A1395" s="10">
        <v>41849</v>
      </c>
      <c r="B1395" s="15">
        <f t="shared" si="42"/>
        <v>7</v>
      </c>
      <c r="C1395" s="15">
        <f t="shared" si="43"/>
        <v>2014</v>
      </c>
      <c r="D1395" s="13">
        <v>9.66</v>
      </c>
      <c r="E1395" s="13">
        <v>34.342605712581097</v>
      </c>
      <c r="F1395" s="13">
        <v>73.069999999999993</v>
      </c>
      <c r="G1395" s="13"/>
      <c r="H1395" s="13">
        <v>44.5</v>
      </c>
      <c r="I1395" s="13">
        <v>1.97</v>
      </c>
      <c r="J1395" s="13"/>
      <c r="K1395" s="13"/>
    </row>
    <row r="1396" spans="1:11" x14ac:dyDescent="0.25">
      <c r="A1396" s="10">
        <v>41850</v>
      </c>
      <c r="B1396" s="15">
        <f t="shared" si="42"/>
        <v>7</v>
      </c>
      <c r="C1396" s="15">
        <f t="shared" si="43"/>
        <v>2014</v>
      </c>
      <c r="D1396" s="13">
        <v>9.66</v>
      </c>
      <c r="E1396" s="13">
        <v>34.375933114362496</v>
      </c>
      <c r="F1396" s="13">
        <v>73.069999999999993</v>
      </c>
      <c r="G1396" s="13"/>
      <c r="H1396" s="13">
        <v>44.5</v>
      </c>
      <c r="I1396" s="13">
        <v>1.97</v>
      </c>
      <c r="J1396" s="13"/>
      <c r="K1396" s="13"/>
    </row>
    <row r="1397" spans="1:11" x14ac:dyDescent="0.25">
      <c r="A1397" s="10">
        <v>41851</v>
      </c>
      <c r="B1397" s="15">
        <f t="shared" si="42"/>
        <v>7</v>
      </c>
      <c r="C1397" s="15">
        <f t="shared" si="43"/>
        <v>2014</v>
      </c>
      <c r="D1397" s="13">
        <v>9.66</v>
      </c>
      <c r="E1397" s="13">
        <v>34.396474454735582</v>
      </c>
      <c r="F1397" s="13">
        <v>73.069999999999993</v>
      </c>
      <c r="G1397" s="13"/>
      <c r="H1397" s="13">
        <v>44.5</v>
      </c>
      <c r="I1397" s="13">
        <v>1.97</v>
      </c>
      <c r="J1397" s="13"/>
      <c r="K1397" s="13"/>
    </row>
    <row r="1398" spans="1:11" x14ac:dyDescent="0.25">
      <c r="A1398" s="10">
        <v>41852</v>
      </c>
      <c r="B1398" s="15">
        <f t="shared" si="42"/>
        <v>8</v>
      </c>
      <c r="C1398" s="15">
        <f t="shared" si="43"/>
        <v>2014</v>
      </c>
      <c r="D1398" s="13">
        <v>9.66</v>
      </c>
      <c r="E1398" s="13">
        <v>34.291458783230318</v>
      </c>
      <c r="F1398" s="13">
        <v>73.069999999999993</v>
      </c>
      <c r="G1398" s="13"/>
      <c r="H1398" s="13">
        <v>44.5</v>
      </c>
      <c r="I1398" s="13">
        <v>1.97</v>
      </c>
      <c r="J1398" s="13"/>
      <c r="K1398" s="13"/>
    </row>
    <row r="1399" spans="1:11" x14ac:dyDescent="0.25">
      <c r="A1399" s="10">
        <v>41855</v>
      </c>
      <c r="B1399" s="15">
        <f t="shared" si="42"/>
        <v>8</v>
      </c>
      <c r="C1399" s="15">
        <f t="shared" si="43"/>
        <v>2014</v>
      </c>
      <c r="D1399" s="13">
        <v>25.18</v>
      </c>
      <c r="E1399" s="13">
        <v>32.814246330377763</v>
      </c>
      <c r="F1399" s="13">
        <v>61.89</v>
      </c>
      <c r="G1399" s="13"/>
      <c r="H1399" s="13">
        <v>51.71</v>
      </c>
      <c r="I1399" s="13">
        <v>3.28</v>
      </c>
      <c r="J1399" s="13"/>
      <c r="K1399" s="13"/>
    </row>
    <row r="1400" spans="1:11" x14ac:dyDescent="0.25">
      <c r="A1400" s="10">
        <v>41856</v>
      </c>
      <c r="B1400" s="15">
        <f t="shared" si="42"/>
        <v>8</v>
      </c>
      <c r="C1400" s="15">
        <f t="shared" si="43"/>
        <v>2014</v>
      </c>
      <c r="D1400" s="13">
        <v>25.18</v>
      </c>
      <c r="E1400" s="13">
        <v>32.927102803738322</v>
      </c>
      <c r="F1400" s="13">
        <v>61.89</v>
      </c>
      <c r="G1400" s="13"/>
      <c r="H1400" s="13">
        <v>51.71</v>
      </c>
      <c r="I1400" s="13">
        <v>3.28</v>
      </c>
      <c r="J1400" s="13"/>
      <c r="K1400" s="13"/>
    </row>
    <row r="1401" spans="1:11" x14ac:dyDescent="0.25">
      <c r="A1401" s="10">
        <v>41857</v>
      </c>
      <c r="B1401" s="15">
        <f t="shared" si="42"/>
        <v>8</v>
      </c>
      <c r="C1401" s="15">
        <f t="shared" si="43"/>
        <v>2014</v>
      </c>
      <c r="D1401" s="13">
        <v>25.18</v>
      </c>
      <c r="E1401" s="13">
        <v>32.912338390254838</v>
      </c>
      <c r="F1401" s="13">
        <v>61.89</v>
      </c>
      <c r="G1401" s="13"/>
      <c r="H1401" s="13">
        <v>51.71</v>
      </c>
      <c r="I1401" s="13">
        <v>3.28</v>
      </c>
      <c r="J1401" s="13"/>
      <c r="K1401" s="13"/>
    </row>
    <row r="1402" spans="1:11" x14ac:dyDescent="0.25">
      <c r="A1402" s="10">
        <v>41858</v>
      </c>
      <c r="B1402" s="15">
        <f t="shared" si="42"/>
        <v>8</v>
      </c>
      <c r="C1402" s="15">
        <f t="shared" si="43"/>
        <v>2014</v>
      </c>
      <c r="D1402" s="13">
        <v>25.18</v>
      </c>
      <c r="E1402" s="13">
        <v>32.959137853614727</v>
      </c>
      <c r="F1402" s="13">
        <v>61.89</v>
      </c>
      <c r="G1402" s="13"/>
      <c r="H1402" s="13">
        <v>51.71</v>
      </c>
      <c r="I1402" s="13">
        <v>3.28</v>
      </c>
      <c r="J1402" s="13"/>
      <c r="K1402" s="13"/>
    </row>
    <row r="1403" spans="1:11" x14ac:dyDescent="0.25">
      <c r="A1403" s="10">
        <v>41859</v>
      </c>
      <c r="B1403" s="15">
        <f t="shared" si="42"/>
        <v>8</v>
      </c>
      <c r="C1403" s="15">
        <f t="shared" si="43"/>
        <v>2014</v>
      </c>
      <c r="D1403" s="13">
        <v>25.18</v>
      </c>
      <c r="E1403" s="13">
        <v>32.841163310961967</v>
      </c>
      <c r="F1403" s="13">
        <v>61.89</v>
      </c>
      <c r="G1403" s="13"/>
      <c r="H1403" s="13">
        <v>51.71</v>
      </c>
      <c r="I1403" s="13">
        <v>3.28</v>
      </c>
      <c r="J1403" s="13"/>
      <c r="K1403" s="13"/>
    </row>
    <row r="1404" spans="1:11" x14ac:dyDescent="0.25">
      <c r="A1404" s="10">
        <v>41862</v>
      </c>
      <c r="B1404" s="15">
        <f t="shared" si="42"/>
        <v>8</v>
      </c>
      <c r="C1404" s="15">
        <f t="shared" si="43"/>
        <v>2014</v>
      </c>
      <c r="D1404" s="13">
        <v>28.29</v>
      </c>
      <c r="E1404" s="13">
        <v>51.729548001494209</v>
      </c>
      <c r="F1404" s="13">
        <v>57.01</v>
      </c>
      <c r="G1404" s="13"/>
      <c r="H1404" s="13">
        <v>42.37</v>
      </c>
      <c r="I1404" s="13">
        <v>21.07</v>
      </c>
      <c r="J1404" s="13"/>
      <c r="K1404" s="13"/>
    </row>
    <row r="1405" spans="1:11" x14ac:dyDescent="0.25">
      <c r="A1405" s="10">
        <v>41863</v>
      </c>
      <c r="B1405" s="15">
        <f t="shared" si="42"/>
        <v>8</v>
      </c>
      <c r="C1405" s="15">
        <f t="shared" si="43"/>
        <v>2014</v>
      </c>
      <c r="D1405" s="13">
        <v>28.29</v>
      </c>
      <c r="E1405" s="13">
        <v>51.791457850250573</v>
      </c>
      <c r="F1405" s="13">
        <v>57.01</v>
      </c>
      <c r="G1405" s="13"/>
      <c r="H1405" s="13">
        <v>42.37</v>
      </c>
      <c r="I1405" s="13">
        <v>21.07</v>
      </c>
      <c r="J1405" s="13"/>
      <c r="K1405" s="13"/>
    </row>
    <row r="1406" spans="1:11" x14ac:dyDescent="0.25">
      <c r="A1406" s="10">
        <v>41864</v>
      </c>
      <c r="B1406" s="15">
        <f t="shared" si="42"/>
        <v>8</v>
      </c>
      <c r="C1406" s="15">
        <f t="shared" si="43"/>
        <v>2014</v>
      </c>
      <c r="D1406" s="13">
        <v>28.29</v>
      </c>
      <c r="E1406" s="13">
        <v>51.810835079317563</v>
      </c>
      <c r="F1406" s="13">
        <v>57.01</v>
      </c>
      <c r="G1406" s="13"/>
      <c r="H1406" s="13">
        <v>42.37</v>
      </c>
      <c r="I1406" s="13">
        <v>21.07</v>
      </c>
      <c r="J1406" s="13"/>
      <c r="K1406" s="13"/>
    </row>
    <row r="1407" spans="1:11" x14ac:dyDescent="0.25">
      <c r="A1407" s="10">
        <v>41865</v>
      </c>
      <c r="B1407" s="15">
        <f t="shared" si="42"/>
        <v>8</v>
      </c>
      <c r="C1407" s="15">
        <f t="shared" si="43"/>
        <v>2014</v>
      </c>
      <c r="D1407" s="13">
        <v>28.29</v>
      </c>
      <c r="E1407" s="13">
        <v>51.818590031432414</v>
      </c>
      <c r="F1407" s="13">
        <v>57.01</v>
      </c>
      <c r="G1407" s="13"/>
      <c r="H1407" s="13">
        <v>42.37</v>
      </c>
      <c r="I1407" s="13">
        <v>21.07</v>
      </c>
      <c r="J1407" s="13"/>
      <c r="K1407" s="13"/>
    </row>
    <row r="1408" spans="1:11" x14ac:dyDescent="0.25">
      <c r="A1408" s="10">
        <v>41866</v>
      </c>
      <c r="B1408" s="15">
        <f t="shared" si="42"/>
        <v>8</v>
      </c>
      <c r="C1408" s="15">
        <f t="shared" si="43"/>
        <v>2014</v>
      </c>
      <c r="D1408" s="13">
        <v>28.29</v>
      </c>
      <c r="E1408" s="13">
        <v>51.679355127630984</v>
      </c>
      <c r="F1408" s="13">
        <v>57.01</v>
      </c>
      <c r="G1408" s="13"/>
      <c r="H1408" s="13">
        <v>42.37</v>
      </c>
      <c r="I1408" s="13">
        <v>21.07</v>
      </c>
      <c r="J1408" s="13"/>
      <c r="K1408" s="13"/>
    </row>
    <row r="1409" spans="1:11" x14ac:dyDescent="0.25">
      <c r="A1409" s="10">
        <v>41869</v>
      </c>
      <c r="B1409" s="15">
        <f t="shared" si="42"/>
        <v>8</v>
      </c>
      <c r="C1409" s="15">
        <f t="shared" si="43"/>
        <v>2014</v>
      </c>
      <c r="D1409" s="13">
        <v>47.99</v>
      </c>
      <c r="E1409" s="13">
        <v>49.386319413261482</v>
      </c>
      <c r="F1409" s="13">
        <v>74.72</v>
      </c>
      <c r="G1409" s="13"/>
      <c r="H1409" s="13">
        <v>68.510000000000005</v>
      </c>
      <c r="I1409" s="13">
        <v>27.79</v>
      </c>
      <c r="J1409" s="13"/>
      <c r="K1409" s="13"/>
    </row>
    <row r="1410" spans="1:11" x14ac:dyDescent="0.25">
      <c r="A1410" s="10">
        <v>41870</v>
      </c>
      <c r="B1410" s="15">
        <f t="shared" si="42"/>
        <v>8</v>
      </c>
      <c r="C1410" s="15">
        <f t="shared" si="43"/>
        <v>2014</v>
      </c>
      <c r="D1410" s="13">
        <v>47.99</v>
      </c>
      <c r="E1410" s="13">
        <v>49.54576169382085</v>
      </c>
      <c r="F1410" s="13">
        <v>74.72</v>
      </c>
      <c r="G1410" s="13"/>
      <c r="H1410" s="13">
        <v>68.510000000000005</v>
      </c>
      <c r="I1410" s="13">
        <v>27.79</v>
      </c>
      <c r="J1410" s="13"/>
      <c r="K1410" s="13"/>
    </row>
    <row r="1411" spans="1:11" x14ac:dyDescent="0.25">
      <c r="A1411" s="10">
        <v>41871</v>
      </c>
      <c r="B1411" s="15">
        <f t="shared" ref="B1411:B1474" si="44">MONTH(A1411)</f>
        <v>8</v>
      </c>
      <c r="C1411" s="15">
        <f t="shared" ref="C1411:C1474" si="45">YEAR(A1411)</f>
        <v>2014</v>
      </c>
      <c r="D1411" s="13">
        <v>47.99</v>
      </c>
      <c r="E1411" s="13">
        <v>49.77372152662543</v>
      </c>
      <c r="F1411" s="13">
        <v>74.72</v>
      </c>
      <c r="G1411" s="13"/>
      <c r="H1411" s="13">
        <v>68.510000000000005</v>
      </c>
      <c r="I1411" s="13">
        <v>27.79</v>
      </c>
      <c r="J1411" s="13"/>
      <c r="K1411" s="13"/>
    </row>
    <row r="1412" spans="1:11" x14ac:dyDescent="0.25">
      <c r="A1412" s="10">
        <v>41872</v>
      </c>
      <c r="B1412" s="15">
        <f t="shared" si="44"/>
        <v>8</v>
      </c>
      <c r="C1412" s="15">
        <f t="shared" si="45"/>
        <v>2014</v>
      </c>
      <c r="D1412" s="13">
        <v>47.99</v>
      </c>
      <c r="E1412" s="13">
        <v>49.687523529854673</v>
      </c>
      <c r="F1412" s="13">
        <v>74.72</v>
      </c>
      <c r="G1412" s="13"/>
      <c r="H1412" s="13">
        <v>68.510000000000005</v>
      </c>
      <c r="I1412" s="13">
        <v>27.79</v>
      </c>
      <c r="J1412" s="13"/>
      <c r="K1412" s="13"/>
    </row>
    <row r="1413" spans="1:11" x14ac:dyDescent="0.25">
      <c r="A1413" s="10">
        <v>41873</v>
      </c>
      <c r="B1413" s="15">
        <f t="shared" si="44"/>
        <v>8</v>
      </c>
      <c r="C1413" s="15">
        <f t="shared" si="45"/>
        <v>2014</v>
      </c>
      <c r="D1413" s="13">
        <v>47.99</v>
      </c>
      <c r="E1413" s="13">
        <v>49.833861954387551</v>
      </c>
      <c r="F1413" s="13">
        <v>74.72</v>
      </c>
      <c r="G1413" s="13"/>
      <c r="H1413" s="13">
        <v>68.510000000000005</v>
      </c>
      <c r="I1413" s="13">
        <v>27.79</v>
      </c>
      <c r="J1413" s="13"/>
      <c r="K1413" s="13"/>
    </row>
    <row r="1414" spans="1:11" x14ac:dyDescent="0.25">
      <c r="A1414" s="10">
        <v>41876</v>
      </c>
      <c r="B1414" s="15">
        <f t="shared" si="44"/>
        <v>8</v>
      </c>
      <c r="C1414" s="15">
        <f t="shared" si="45"/>
        <v>2014</v>
      </c>
      <c r="D1414" s="13">
        <v>41.4</v>
      </c>
      <c r="E1414" s="13">
        <v>32.56007884163445</v>
      </c>
      <c r="F1414" s="13">
        <v>51.67</v>
      </c>
      <c r="G1414" s="13"/>
      <c r="H1414" s="13">
        <v>55.28</v>
      </c>
      <c r="I1414" s="13">
        <v>19.149999999999999</v>
      </c>
      <c r="J1414" s="13"/>
      <c r="K1414" s="13"/>
    </row>
    <row r="1415" spans="1:11" x14ac:dyDescent="0.25">
      <c r="A1415" s="10">
        <v>41877</v>
      </c>
      <c r="B1415" s="15">
        <f t="shared" si="44"/>
        <v>8</v>
      </c>
      <c r="C1415" s="15">
        <f t="shared" si="45"/>
        <v>2014</v>
      </c>
      <c r="D1415" s="13">
        <v>41.4</v>
      </c>
      <c r="E1415" s="13">
        <v>32.619427356269462</v>
      </c>
      <c r="F1415" s="13">
        <v>51.67</v>
      </c>
      <c r="G1415" s="13"/>
      <c r="H1415" s="13">
        <v>55.28</v>
      </c>
      <c r="I1415" s="13">
        <v>19.149999999999999</v>
      </c>
      <c r="J1415" s="13"/>
      <c r="K1415" s="13"/>
    </row>
    <row r="1416" spans="1:11" x14ac:dyDescent="0.25">
      <c r="A1416" s="10">
        <v>41878</v>
      </c>
      <c r="B1416" s="15">
        <f t="shared" si="44"/>
        <v>8</v>
      </c>
      <c r="C1416" s="15">
        <f t="shared" si="45"/>
        <v>2014</v>
      </c>
      <c r="D1416" s="13">
        <v>41.4</v>
      </c>
      <c r="E1416" s="13">
        <v>32.557610673135237</v>
      </c>
      <c r="F1416" s="13">
        <v>51.67</v>
      </c>
      <c r="G1416" s="13"/>
      <c r="H1416" s="13">
        <v>55.28</v>
      </c>
      <c r="I1416" s="13">
        <v>19.149999999999999</v>
      </c>
      <c r="J1416" s="13"/>
      <c r="K1416" s="13"/>
    </row>
    <row r="1417" spans="1:11" x14ac:dyDescent="0.25">
      <c r="A1417" s="10">
        <v>41879</v>
      </c>
      <c r="B1417" s="15">
        <f t="shared" si="44"/>
        <v>8</v>
      </c>
      <c r="C1417" s="15">
        <f t="shared" si="45"/>
        <v>2014</v>
      </c>
      <c r="D1417" s="13">
        <v>41.4</v>
      </c>
      <c r="E1417" s="13">
        <v>32.582309209528148</v>
      </c>
      <c r="F1417" s="13">
        <v>51.67</v>
      </c>
      <c r="G1417" s="13"/>
      <c r="H1417" s="13">
        <v>55.28</v>
      </c>
      <c r="I1417" s="13">
        <v>19.149999999999999</v>
      </c>
      <c r="J1417" s="13"/>
      <c r="K1417" s="13"/>
    </row>
    <row r="1418" spans="1:11" x14ac:dyDescent="0.25">
      <c r="A1418" s="10">
        <v>41880</v>
      </c>
      <c r="B1418" s="15">
        <f t="shared" si="44"/>
        <v>8</v>
      </c>
      <c r="C1418" s="15">
        <f t="shared" si="45"/>
        <v>2014</v>
      </c>
      <c r="D1418" s="13">
        <v>41.4</v>
      </c>
      <c r="E1418" s="13">
        <v>32.706366128540971</v>
      </c>
      <c r="F1418" s="13">
        <v>51.67</v>
      </c>
      <c r="G1418" s="13"/>
      <c r="H1418" s="13">
        <v>55.28</v>
      </c>
      <c r="I1418" s="13">
        <v>19.149999999999999</v>
      </c>
      <c r="J1418" s="13"/>
      <c r="K1418" s="13"/>
    </row>
    <row r="1419" spans="1:11" x14ac:dyDescent="0.25">
      <c r="A1419" s="10">
        <v>41884</v>
      </c>
      <c r="B1419" s="15">
        <f t="shared" si="44"/>
        <v>9</v>
      </c>
      <c r="C1419" s="15">
        <f t="shared" si="45"/>
        <v>2014</v>
      </c>
      <c r="D1419" s="13">
        <v>37.82</v>
      </c>
      <c r="E1419" s="13">
        <v>34.924986672759118</v>
      </c>
      <c r="F1419" s="13">
        <v>38.26</v>
      </c>
      <c r="G1419" s="13"/>
      <c r="H1419" s="13">
        <v>43.4</v>
      </c>
      <c r="I1419" s="13">
        <v>-6.33</v>
      </c>
      <c r="J1419" s="13"/>
      <c r="K1419" s="13"/>
    </row>
    <row r="1420" spans="1:11" x14ac:dyDescent="0.25">
      <c r="A1420" s="10">
        <v>41885</v>
      </c>
      <c r="B1420" s="15">
        <f t="shared" si="44"/>
        <v>9</v>
      </c>
      <c r="C1420" s="15">
        <f t="shared" si="45"/>
        <v>2014</v>
      </c>
      <c r="D1420" s="13">
        <v>37.82</v>
      </c>
      <c r="E1420" s="13">
        <v>34.874524714828901</v>
      </c>
      <c r="F1420" s="13">
        <v>38.26</v>
      </c>
      <c r="G1420" s="13"/>
      <c r="H1420" s="13">
        <v>43.4</v>
      </c>
      <c r="I1420" s="13">
        <v>-6.33</v>
      </c>
      <c r="J1420" s="13"/>
      <c r="K1420" s="13"/>
    </row>
    <row r="1421" spans="1:11" x14ac:dyDescent="0.25">
      <c r="A1421" s="10">
        <v>41886</v>
      </c>
      <c r="B1421" s="15">
        <f t="shared" si="44"/>
        <v>9</v>
      </c>
      <c r="C1421" s="15">
        <f t="shared" si="45"/>
        <v>2014</v>
      </c>
      <c r="D1421" s="13">
        <v>37.82</v>
      </c>
      <c r="E1421" s="13">
        <v>35.429542645241035</v>
      </c>
      <c r="F1421" s="13">
        <v>38.26</v>
      </c>
      <c r="G1421" s="13"/>
      <c r="H1421" s="13">
        <v>43.4</v>
      </c>
      <c r="I1421" s="13">
        <v>-6.33</v>
      </c>
      <c r="J1421" s="13"/>
      <c r="K1421" s="13"/>
    </row>
    <row r="1422" spans="1:11" x14ac:dyDescent="0.25">
      <c r="A1422" s="10">
        <v>41887</v>
      </c>
      <c r="B1422" s="15">
        <f t="shared" si="44"/>
        <v>9</v>
      </c>
      <c r="C1422" s="15">
        <f t="shared" si="45"/>
        <v>2014</v>
      </c>
      <c r="D1422" s="13">
        <v>37.82</v>
      </c>
      <c r="E1422" s="13">
        <v>35.413127413127413</v>
      </c>
      <c r="F1422" s="13">
        <v>38.26</v>
      </c>
      <c r="G1422" s="13"/>
      <c r="H1422" s="13">
        <v>43.4</v>
      </c>
      <c r="I1422" s="13">
        <v>-6.33</v>
      </c>
      <c r="J1422" s="13"/>
      <c r="K1422" s="13"/>
    </row>
    <row r="1423" spans="1:11" x14ac:dyDescent="0.25">
      <c r="A1423" s="10">
        <v>41890</v>
      </c>
      <c r="B1423" s="15">
        <f t="shared" si="44"/>
        <v>9</v>
      </c>
      <c r="C1423" s="15">
        <f t="shared" si="45"/>
        <v>2014</v>
      </c>
      <c r="D1423" s="13">
        <v>32.520000000000003</v>
      </c>
      <c r="E1423" s="13">
        <v>62.686104218362281</v>
      </c>
      <c r="F1423" s="13">
        <v>54.7</v>
      </c>
      <c r="G1423" s="13"/>
      <c r="H1423" s="13">
        <v>38.299999999999997</v>
      </c>
      <c r="I1423" s="13">
        <v>-36.549999999999997</v>
      </c>
      <c r="J1423" s="13"/>
      <c r="K1423" s="13"/>
    </row>
    <row r="1424" spans="1:11" x14ac:dyDescent="0.25">
      <c r="A1424" s="10">
        <v>41891</v>
      </c>
      <c r="B1424" s="15">
        <f t="shared" si="44"/>
        <v>9</v>
      </c>
      <c r="C1424" s="15">
        <f t="shared" si="45"/>
        <v>2014</v>
      </c>
      <c r="D1424" s="13">
        <v>32.520000000000003</v>
      </c>
      <c r="E1424" s="13">
        <v>62.49710088906069</v>
      </c>
      <c r="F1424" s="13">
        <v>54.7</v>
      </c>
      <c r="G1424" s="13"/>
      <c r="H1424" s="13">
        <v>38.299999999999997</v>
      </c>
      <c r="I1424" s="13">
        <v>-36.549999999999997</v>
      </c>
      <c r="J1424" s="13"/>
      <c r="K1424" s="13"/>
    </row>
    <row r="1425" spans="1:11" x14ac:dyDescent="0.25">
      <c r="A1425" s="10">
        <v>41892</v>
      </c>
      <c r="B1425" s="15">
        <f t="shared" si="44"/>
        <v>9</v>
      </c>
      <c r="C1425" s="15">
        <f t="shared" si="45"/>
        <v>2014</v>
      </c>
      <c r="D1425" s="13">
        <v>32.520000000000003</v>
      </c>
      <c r="E1425" s="13">
        <v>62.589036853515019</v>
      </c>
      <c r="F1425" s="13">
        <v>54.7</v>
      </c>
      <c r="G1425" s="13"/>
      <c r="H1425" s="13">
        <v>38.299999999999997</v>
      </c>
      <c r="I1425" s="13">
        <v>-36.549999999999997</v>
      </c>
      <c r="J1425" s="13"/>
      <c r="K1425" s="13"/>
    </row>
    <row r="1426" spans="1:11" x14ac:dyDescent="0.25">
      <c r="A1426" s="10">
        <v>41893</v>
      </c>
      <c r="B1426" s="15">
        <f t="shared" si="44"/>
        <v>9</v>
      </c>
      <c r="C1426" s="15">
        <f t="shared" si="45"/>
        <v>2014</v>
      </c>
      <c r="D1426" s="13">
        <v>32.520000000000003</v>
      </c>
      <c r="E1426" s="13">
        <v>62.545454545454547</v>
      </c>
      <c r="F1426" s="13">
        <v>54.7</v>
      </c>
      <c r="G1426" s="13"/>
      <c r="H1426" s="13">
        <v>38.299999999999997</v>
      </c>
      <c r="I1426" s="13">
        <v>-36.549999999999997</v>
      </c>
      <c r="J1426" s="13"/>
      <c r="K1426" s="13"/>
    </row>
    <row r="1427" spans="1:11" x14ac:dyDescent="0.25">
      <c r="A1427" s="10">
        <v>41894</v>
      </c>
      <c r="B1427" s="15">
        <f t="shared" si="44"/>
        <v>9</v>
      </c>
      <c r="C1427" s="15">
        <f t="shared" si="45"/>
        <v>2014</v>
      </c>
      <c r="D1427" s="13">
        <v>32.520000000000003</v>
      </c>
      <c r="E1427" s="13">
        <v>62.357297130515278</v>
      </c>
      <c r="F1427" s="13">
        <v>54.7</v>
      </c>
      <c r="G1427" s="13"/>
      <c r="H1427" s="13">
        <v>38.299999999999997</v>
      </c>
      <c r="I1427" s="13">
        <v>-36.549999999999997</v>
      </c>
      <c r="J1427" s="13"/>
      <c r="K1427" s="13"/>
    </row>
    <row r="1428" spans="1:11" x14ac:dyDescent="0.25">
      <c r="A1428" s="10">
        <v>41897</v>
      </c>
      <c r="B1428" s="15">
        <f t="shared" si="44"/>
        <v>9</v>
      </c>
      <c r="C1428" s="15">
        <f t="shared" si="45"/>
        <v>2014</v>
      </c>
      <c r="D1428" s="13">
        <v>28.8</v>
      </c>
      <c r="E1428" s="13">
        <v>57.194744976816075</v>
      </c>
      <c r="F1428" s="13">
        <v>57.61</v>
      </c>
      <c r="G1428" s="13"/>
      <c r="H1428" s="13">
        <v>42.11</v>
      </c>
      <c r="I1428" s="13">
        <v>-17.63</v>
      </c>
      <c r="J1428" s="13"/>
      <c r="K1428" s="13"/>
    </row>
    <row r="1429" spans="1:11" x14ac:dyDescent="0.25">
      <c r="A1429" s="10">
        <v>41898</v>
      </c>
      <c r="B1429" s="15">
        <f t="shared" si="44"/>
        <v>9</v>
      </c>
      <c r="C1429" s="15">
        <f t="shared" si="45"/>
        <v>2014</v>
      </c>
      <c r="D1429" s="13">
        <v>28.8</v>
      </c>
      <c r="E1429" s="13">
        <v>57.110888185816812</v>
      </c>
      <c r="F1429" s="13">
        <v>57.61</v>
      </c>
      <c r="G1429" s="13"/>
      <c r="H1429" s="13">
        <v>42.11</v>
      </c>
      <c r="I1429" s="13">
        <v>-17.63</v>
      </c>
      <c r="J1429" s="13"/>
      <c r="K1429" s="13"/>
    </row>
    <row r="1430" spans="1:11" x14ac:dyDescent="0.25">
      <c r="A1430" s="10">
        <v>41899</v>
      </c>
      <c r="B1430" s="15">
        <f t="shared" si="44"/>
        <v>9</v>
      </c>
      <c r="C1430" s="15">
        <f t="shared" si="45"/>
        <v>2014</v>
      </c>
      <c r="D1430" s="13">
        <v>28.8</v>
      </c>
      <c r="E1430" s="13">
        <v>57.528177225029154</v>
      </c>
      <c r="F1430" s="13">
        <v>57.61</v>
      </c>
      <c r="G1430" s="13"/>
      <c r="H1430" s="13">
        <v>42.11</v>
      </c>
      <c r="I1430" s="13">
        <v>-17.63</v>
      </c>
      <c r="J1430" s="13"/>
      <c r="K1430" s="13"/>
    </row>
    <row r="1431" spans="1:11" x14ac:dyDescent="0.25">
      <c r="A1431" s="10">
        <v>41900</v>
      </c>
      <c r="B1431" s="15">
        <f t="shared" si="44"/>
        <v>9</v>
      </c>
      <c r="C1431" s="15">
        <f t="shared" si="45"/>
        <v>2014</v>
      </c>
      <c r="D1431" s="13">
        <v>28.8</v>
      </c>
      <c r="E1431" s="13">
        <v>57.274415725119951</v>
      </c>
      <c r="F1431" s="13">
        <v>57.61</v>
      </c>
      <c r="G1431" s="13"/>
      <c r="H1431" s="13">
        <v>42.11</v>
      </c>
      <c r="I1431" s="13">
        <v>-17.63</v>
      </c>
      <c r="J1431" s="13"/>
      <c r="K1431" s="13"/>
    </row>
    <row r="1432" spans="1:11" x14ac:dyDescent="0.25">
      <c r="A1432" s="10">
        <v>41901</v>
      </c>
      <c r="B1432" s="15">
        <f t="shared" si="44"/>
        <v>9</v>
      </c>
      <c r="C1432" s="15">
        <f t="shared" si="45"/>
        <v>2014</v>
      </c>
      <c r="D1432" s="13">
        <v>28.8</v>
      </c>
      <c r="E1432" s="13">
        <v>57.694106641721241</v>
      </c>
      <c r="F1432" s="13">
        <v>57.61</v>
      </c>
      <c r="G1432" s="13"/>
      <c r="H1432" s="13">
        <v>42.11</v>
      </c>
      <c r="I1432" s="13">
        <v>-17.63</v>
      </c>
      <c r="J1432" s="13"/>
      <c r="K1432" s="13"/>
    </row>
    <row r="1433" spans="1:11" x14ac:dyDescent="0.25">
      <c r="A1433" s="10">
        <v>41904</v>
      </c>
      <c r="B1433" s="15">
        <f t="shared" si="44"/>
        <v>9</v>
      </c>
      <c r="C1433" s="15">
        <f t="shared" si="45"/>
        <v>2014</v>
      </c>
      <c r="D1433" s="13">
        <v>27.67</v>
      </c>
      <c r="E1433" s="13">
        <v>58.424780138532178</v>
      </c>
      <c r="F1433" s="13">
        <v>55.28</v>
      </c>
      <c r="G1433" s="13"/>
      <c r="H1433" s="13">
        <v>38.33</v>
      </c>
      <c r="I1433" s="13">
        <v>-17.010000000000002</v>
      </c>
      <c r="J1433" s="13"/>
      <c r="K1433" s="13"/>
    </row>
    <row r="1434" spans="1:11" x14ac:dyDescent="0.25">
      <c r="A1434" s="10">
        <v>41905</v>
      </c>
      <c r="B1434" s="15">
        <f t="shared" si="44"/>
        <v>9</v>
      </c>
      <c r="C1434" s="15">
        <f t="shared" si="45"/>
        <v>2014</v>
      </c>
      <c r="D1434" s="13">
        <v>27.67</v>
      </c>
      <c r="E1434" s="13">
        <v>58.442973919813156</v>
      </c>
      <c r="F1434" s="13">
        <v>55.28</v>
      </c>
      <c r="G1434" s="13"/>
      <c r="H1434" s="13">
        <v>38.33</v>
      </c>
      <c r="I1434" s="13">
        <v>-17.010000000000002</v>
      </c>
      <c r="J1434" s="13"/>
      <c r="K1434" s="13"/>
    </row>
    <row r="1435" spans="1:11" x14ac:dyDescent="0.25">
      <c r="A1435" s="10">
        <v>41906</v>
      </c>
      <c r="B1435" s="15">
        <f t="shared" si="44"/>
        <v>9</v>
      </c>
      <c r="C1435" s="15">
        <f t="shared" si="45"/>
        <v>2014</v>
      </c>
      <c r="D1435" s="13">
        <v>27.67</v>
      </c>
      <c r="E1435" s="13">
        <v>58.744815713279593</v>
      </c>
      <c r="F1435" s="13">
        <v>55.28</v>
      </c>
      <c r="G1435" s="13"/>
      <c r="H1435" s="13">
        <v>38.33</v>
      </c>
      <c r="I1435" s="13">
        <v>-17.010000000000002</v>
      </c>
      <c r="J1435" s="13"/>
      <c r="K1435" s="13"/>
    </row>
    <row r="1436" spans="1:11" x14ac:dyDescent="0.25">
      <c r="A1436" s="10">
        <v>41907</v>
      </c>
      <c r="B1436" s="15">
        <f t="shared" si="44"/>
        <v>9</v>
      </c>
      <c r="C1436" s="15">
        <f t="shared" si="45"/>
        <v>2014</v>
      </c>
      <c r="D1436" s="13">
        <v>27.67</v>
      </c>
      <c r="E1436" s="13">
        <v>58.883049650953012</v>
      </c>
      <c r="F1436" s="13">
        <v>55.28</v>
      </c>
      <c r="G1436" s="13"/>
      <c r="H1436" s="13">
        <v>38.33</v>
      </c>
      <c r="I1436" s="13">
        <v>-17.010000000000002</v>
      </c>
      <c r="J1436" s="13"/>
      <c r="K1436" s="13"/>
    </row>
    <row r="1437" spans="1:11" x14ac:dyDescent="0.25">
      <c r="A1437" s="10">
        <v>41908</v>
      </c>
      <c r="B1437" s="15">
        <f t="shared" si="44"/>
        <v>9</v>
      </c>
      <c r="C1437" s="15">
        <f t="shared" si="45"/>
        <v>2014</v>
      </c>
      <c r="D1437" s="13">
        <v>27.67</v>
      </c>
      <c r="E1437" s="13">
        <v>59.189466214617987</v>
      </c>
      <c r="F1437" s="13">
        <v>55.28</v>
      </c>
      <c r="G1437" s="13"/>
      <c r="H1437" s="13">
        <v>38.33</v>
      </c>
      <c r="I1437" s="13">
        <v>-17.010000000000002</v>
      </c>
      <c r="J1437" s="13"/>
      <c r="K1437" s="13"/>
    </row>
    <row r="1438" spans="1:11" x14ac:dyDescent="0.25">
      <c r="A1438" s="10">
        <v>41911</v>
      </c>
      <c r="B1438" s="15">
        <f t="shared" si="44"/>
        <v>9</v>
      </c>
      <c r="C1438" s="15">
        <f t="shared" si="45"/>
        <v>2014</v>
      </c>
      <c r="D1438" s="13">
        <v>28.3</v>
      </c>
      <c r="E1438" s="13">
        <v>73.368022705771054</v>
      </c>
      <c r="F1438" s="13">
        <v>48.22</v>
      </c>
      <c r="G1438" s="13"/>
      <c r="H1438" s="13">
        <v>32.24</v>
      </c>
      <c r="I1438" s="13">
        <v>-16.71</v>
      </c>
      <c r="J1438" s="13"/>
      <c r="K1438" s="13"/>
    </row>
    <row r="1439" spans="1:11" x14ac:dyDescent="0.25">
      <c r="A1439" s="10">
        <v>41912</v>
      </c>
      <c r="B1439" s="15">
        <f t="shared" si="44"/>
        <v>9</v>
      </c>
      <c r="C1439" s="15">
        <f t="shared" si="45"/>
        <v>2014</v>
      </c>
      <c r="D1439" s="13">
        <v>28.3</v>
      </c>
      <c r="E1439" s="13">
        <v>73.675876811020515</v>
      </c>
      <c r="F1439" s="13">
        <v>48.22</v>
      </c>
      <c r="G1439" s="13"/>
      <c r="H1439" s="13">
        <v>32.24</v>
      </c>
      <c r="I1439" s="13">
        <v>-16.71</v>
      </c>
      <c r="J1439" s="13"/>
      <c r="K1439" s="13"/>
    </row>
    <row r="1440" spans="1:11" x14ac:dyDescent="0.25">
      <c r="A1440" s="10">
        <v>41913</v>
      </c>
      <c r="B1440" s="15">
        <f t="shared" si="44"/>
        <v>10</v>
      </c>
      <c r="C1440" s="15">
        <f t="shared" si="45"/>
        <v>2014</v>
      </c>
      <c r="D1440" s="13">
        <v>28.3</v>
      </c>
      <c r="E1440" s="13">
        <v>73.722569912065282</v>
      </c>
      <c r="F1440" s="13">
        <v>48.22</v>
      </c>
      <c r="G1440" s="13"/>
      <c r="H1440" s="13">
        <v>32.24</v>
      </c>
      <c r="I1440" s="13">
        <v>-16.71</v>
      </c>
      <c r="J1440" s="13"/>
      <c r="K1440" s="13"/>
    </row>
    <row r="1441" spans="1:11" x14ac:dyDescent="0.25">
      <c r="A1441" s="10">
        <v>41914</v>
      </c>
      <c r="B1441" s="15">
        <f t="shared" si="44"/>
        <v>10</v>
      </c>
      <c r="C1441" s="15">
        <f t="shared" si="45"/>
        <v>2014</v>
      </c>
      <c r="D1441" s="13">
        <v>28.3</v>
      </c>
      <c r="E1441" s="13">
        <v>73.460688348594886</v>
      </c>
      <c r="F1441" s="13">
        <v>48.22</v>
      </c>
      <c r="G1441" s="13"/>
      <c r="H1441" s="13">
        <v>32.24</v>
      </c>
      <c r="I1441" s="13">
        <v>-16.71</v>
      </c>
      <c r="J1441" s="13"/>
      <c r="K1441" s="13"/>
    </row>
    <row r="1442" spans="1:11" x14ac:dyDescent="0.25">
      <c r="A1442" s="10">
        <v>41915</v>
      </c>
      <c r="B1442" s="15">
        <f t="shared" si="44"/>
        <v>10</v>
      </c>
      <c r="C1442" s="15">
        <f t="shared" si="45"/>
        <v>2014</v>
      </c>
      <c r="D1442" s="13">
        <v>28.3</v>
      </c>
      <c r="E1442" s="13">
        <v>74.352828379674023</v>
      </c>
      <c r="F1442" s="13">
        <v>48.22</v>
      </c>
      <c r="G1442" s="13"/>
      <c r="H1442" s="13">
        <v>32.24</v>
      </c>
      <c r="I1442" s="13">
        <v>-16.71</v>
      </c>
      <c r="J1442" s="13"/>
      <c r="K1442" s="13"/>
    </row>
    <row r="1443" spans="1:11" x14ac:dyDescent="0.25">
      <c r="A1443" s="10">
        <v>41918</v>
      </c>
      <c r="B1443" s="15">
        <f t="shared" si="44"/>
        <v>10</v>
      </c>
      <c r="C1443" s="15">
        <f t="shared" si="45"/>
        <v>2014</v>
      </c>
      <c r="D1443" s="13">
        <v>33.96</v>
      </c>
      <c r="E1443" s="13">
        <v>78.003477711033824</v>
      </c>
      <c r="F1443" s="13">
        <v>35</v>
      </c>
      <c r="G1443" s="13"/>
      <c r="H1443" s="13">
        <v>40.799999999999997</v>
      </c>
      <c r="I1443" s="13">
        <v>-7.48</v>
      </c>
      <c r="J1443" s="13"/>
      <c r="K1443" s="13"/>
    </row>
    <row r="1444" spans="1:11" x14ac:dyDescent="0.25">
      <c r="A1444" s="10">
        <v>41919</v>
      </c>
      <c r="B1444" s="15">
        <f t="shared" si="44"/>
        <v>10</v>
      </c>
      <c r="C1444" s="15">
        <f t="shared" si="45"/>
        <v>2014</v>
      </c>
      <c r="D1444" s="13">
        <v>33.96</v>
      </c>
      <c r="E1444" s="13">
        <v>77.904957372908115</v>
      </c>
      <c r="F1444" s="13">
        <v>35</v>
      </c>
      <c r="G1444" s="13"/>
      <c r="H1444" s="13">
        <v>40.799999999999997</v>
      </c>
      <c r="I1444" s="13">
        <v>-7.48</v>
      </c>
      <c r="J1444" s="13"/>
      <c r="K1444" s="13"/>
    </row>
    <row r="1445" spans="1:11" x14ac:dyDescent="0.25">
      <c r="A1445" s="10">
        <v>41920</v>
      </c>
      <c r="B1445" s="15">
        <f t="shared" si="44"/>
        <v>10</v>
      </c>
      <c r="C1445" s="15">
        <f t="shared" si="45"/>
        <v>2014</v>
      </c>
      <c r="D1445" s="13">
        <v>33.96</v>
      </c>
      <c r="E1445" s="13">
        <v>77.507264588078215</v>
      </c>
      <c r="F1445" s="13">
        <v>35</v>
      </c>
      <c r="G1445" s="13"/>
      <c r="H1445" s="13">
        <v>40.799999999999997</v>
      </c>
      <c r="I1445" s="13">
        <v>-7.48</v>
      </c>
      <c r="J1445" s="13"/>
      <c r="K1445" s="13"/>
    </row>
    <row r="1446" spans="1:11" x14ac:dyDescent="0.25">
      <c r="A1446" s="10">
        <v>41921</v>
      </c>
      <c r="B1446" s="15">
        <f t="shared" si="44"/>
        <v>10</v>
      </c>
      <c r="C1446" s="15">
        <f t="shared" si="45"/>
        <v>2014</v>
      </c>
      <c r="D1446" s="13">
        <v>33.96</v>
      </c>
      <c r="E1446" s="13">
        <v>77.7698975571316</v>
      </c>
      <c r="F1446" s="13">
        <v>35</v>
      </c>
      <c r="G1446" s="13"/>
      <c r="H1446" s="13">
        <v>40.799999999999997</v>
      </c>
      <c r="I1446" s="13">
        <v>-7.48</v>
      </c>
      <c r="J1446" s="13"/>
      <c r="K1446" s="13"/>
    </row>
    <row r="1447" spans="1:11" x14ac:dyDescent="0.25">
      <c r="A1447" s="10">
        <v>41922</v>
      </c>
      <c r="B1447" s="15">
        <f t="shared" si="44"/>
        <v>10</v>
      </c>
      <c r="C1447" s="15">
        <f t="shared" si="45"/>
        <v>2014</v>
      </c>
      <c r="D1447" s="13">
        <v>33.96</v>
      </c>
      <c r="E1447" s="13">
        <v>78.157915577730265</v>
      </c>
      <c r="F1447" s="13">
        <v>35</v>
      </c>
      <c r="G1447" s="13"/>
      <c r="H1447" s="13">
        <v>40.799999999999997</v>
      </c>
      <c r="I1447" s="13">
        <v>-7.48</v>
      </c>
      <c r="J1447" s="13"/>
      <c r="K1447" s="13"/>
    </row>
    <row r="1448" spans="1:11" x14ac:dyDescent="0.25">
      <c r="A1448" s="10">
        <v>41925</v>
      </c>
      <c r="B1448" s="15">
        <f t="shared" si="44"/>
        <v>10</v>
      </c>
      <c r="C1448" s="15">
        <f t="shared" si="45"/>
        <v>2014</v>
      </c>
      <c r="D1448" s="13">
        <v>31.02</v>
      </c>
      <c r="E1448" s="13">
        <v>62.719573400250951</v>
      </c>
      <c r="F1448" s="13">
        <v>30.45</v>
      </c>
      <c r="G1448" s="13"/>
      <c r="H1448" s="13">
        <v>40.57</v>
      </c>
      <c r="I1448" s="13">
        <v>-17.489999999999998</v>
      </c>
      <c r="J1448" s="13"/>
      <c r="K1448" s="13"/>
    </row>
    <row r="1449" spans="1:11" x14ac:dyDescent="0.25">
      <c r="A1449" s="10">
        <v>41926</v>
      </c>
      <c r="B1449" s="15">
        <f t="shared" si="44"/>
        <v>10</v>
      </c>
      <c r="C1449" s="15">
        <f t="shared" si="45"/>
        <v>2014</v>
      </c>
      <c r="D1449" s="13">
        <v>31.02</v>
      </c>
      <c r="E1449" s="13">
        <v>63.185337336072052</v>
      </c>
      <c r="F1449" s="13">
        <v>30.45</v>
      </c>
      <c r="G1449" s="13"/>
      <c r="H1449" s="13">
        <v>40.57</v>
      </c>
      <c r="I1449" s="13">
        <v>-17.489999999999998</v>
      </c>
      <c r="J1449" s="13"/>
      <c r="K1449" s="13"/>
    </row>
    <row r="1450" spans="1:11" x14ac:dyDescent="0.25">
      <c r="A1450" s="10">
        <v>41927</v>
      </c>
      <c r="B1450" s="15">
        <f t="shared" si="44"/>
        <v>10</v>
      </c>
      <c r="C1450" s="15">
        <f t="shared" si="45"/>
        <v>2014</v>
      </c>
      <c r="D1450" s="13">
        <v>31.02</v>
      </c>
      <c r="E1450" s="13">
        <v>62.309130570271115</v>
      </c>
      <c r="F1450" s="13">
        <v>30.45</v>
      </c>
      <c r="G1450" s="13"/>
      <c r="H1450" s="13">
        <v>40.57</v>
      </c>
      <c r="I1450" s="13">
        <v>-17.489999999999998</v>
      </c>
      <c r="J1450" s="13"/>
      <c r="K1450" s="13"/>
    </row>
    <row r="1451" spans="1:11" x14ac:dyDescent="0.25">
      <c r="A1451" s="10">
        <v>41928</v>
      </c>
      <c r="B1451" s="15">
        <f t="shared" si="44"/>
        <v>10</v>
      </c>
      <c r="C1451" s="15">
        <f t="shared" si="45"/>
        <v>2014</v>
      </c>
      <c r="D1451" s="13">
        <v>31.02</v>
      </c>
      <c r="E1451" s="13">
        <v>62.450222534551422</v>
      </c>
      <c r="F1451" s="13">
        <v>30.45</v>
      </c>
      <c r="G1451" s="13"/>
      <c r="H1451" s="13">
        <v>40.57</v>
      </c>
      <c r="I1451" s="13">
        <v>-17.489999999999998</v>
      </c>
      <c r="J1451" s="13"/>
      <c r="K1451" s="13"/>
    </row>
    <row r="1452" spans="1:11" x14ac:dyDescent="0.25">
      <c r="A1452" s="10">
        <v>41929</v>
      </c>
      <c r="B1452" s="15">
        <f t="shared" si="44"/>
        <v>10</v>
      </c>
      <c r="C1452" s="15">
        <f t="shared" si="45"/>
        <v>2014</v>
      </c>
      <c r="D1452" s="13">
        <v>31.02</v>
      </c>
      <c r="E1452" s="13">
        <v>62.675338923281878</v>
      </c>
      <c r="F1452" s="13">
        <v>30.45</v>
      </c>
      <c r="G1452" s="13"/>
      <c r="H1452" s="13">
        <v>40.57</v>
      </c>
      <c r="I1452" s="13">
        <v>-17.489999999999998</v>
      </c>
      <c r="J1452" s="13"/>
      <c r="K1452" s="13"/>
    </row>
    <row r="1453" spans="1:11" x14ac:dyDescent="0.25">
      <c r="A1453" s="10">
        <v>41932</v>
      </c>
      <c r="B1453" s="15">
        <f t="shared" si="44"/>
        <v>10</v>
      </c>
      <c r="C1453" s="15">
        <f t="shared" si="45"/>
        <v>2014</v>
      </c>
      <c r="D1453" s="13">
        <v>22.56</v>
      </c>
      <c r="E1453" s="13">
        <v>60.392248788873268</v>
      </c>
      <c r="F1453" s="13">
        <v>13.86</v>
      </c>
      <c r="G1453" s="13"/>
      <c r="H1453" s="13">
        <v>28.81</v>
      </c>
      <c r="I1453" s="13">
        <v>-19.09</v>
      </c>
      <c r="J1453" s="13"/>
      <c r="K1453" s="13"/>
    </row>
    <row r="1454" spans="1:11" x14ac:dyDescent="0.25">
      <c r="A1454" s="10">
        <v>41933</v>
      </c>
      <c r="B1454" s="15">
        <f t="shared" si="44"/>
        <v>10</v>
      </c>
      <c r="C1454" s="15">
        <f t="shared" si="45"/>
        <v>2014</v>
      </c>
      <c r="D1454" s="13">
        <v>22.56</v>
      </c>
      <c r="E1454" s="13">
        <v>60.79125373603901</v>
      </c>
      <c r="F1454" s="13">
        <v>13.86</v>
      </c>
      <c r="G1454" s="13"/>
      <c r="H1454" s="13">
        <v>28.81</v>
      </c>
      <c r="I1454" s="13">
        <v>-19.09</v>
      </c>
      <c r="J1454" s="13"/>
      <c r="K1454" s="13"/>
    </row>
    <row r="1455" spans="1:11" x14ac:dyDescent="0.25">
      <c r="A1455" s="10">
        <v>41934</v>
      </c>
      <c r="B1455" s="15">
        <f t="shared" si="44"/>
        <v>10</v>
      </c>
      <c r="C1455" s="15">
        <f t="shared" si="45"/>
        <v>2014</v>
      </c>
      <c r="D1455" s="13">
        <v>22.56</v>
      </c>
      <c r="E1455" s="13">
        <v>61.108475648323854</v>
      </c>
      <c r="F1455" s="13">
        <v>13.86</v>
      </c>
      <c r="G1455" s="13"/>
      <c r="H1455" s="13">
        <v>28.81</v>
      </c>
      <c r="I1455" s="13">
        <v>-19.09</v>
      </c>
      <c r="J1455" s="13"/>
      <c r="K1455" s="13"/>
    </row>
    <row r="1456" spans="1:11" x14ac:dyDescent="0.25">
      <c r="A1456" s="10">
        <v>41935</v>
      </c>
      <c r="B1456" s="15">
        <f t="shared" si="44"/>
        <v>10</v>
      </c>
      <c r="C1456" s="15">
        <f t="shared" si="45"/>
        <v>2014</v>
      </c>
      <c r="D1456" s="13">
        <v>22.56</v>
      </c>
      <c r="E1456" s="13">
        <v>61.127807655805128</v>
      </c>
      <c r="F1456" s="13">
        <v>13.86</v>
      </c>
      <c r="G1456" s="13"/>
      <c r="H1456" s="13">
        <v>28.81</v>
      </c>
      <c r="I1456" s="13">
        <v>-19.09</v>
      </c>
      <c r="J1456" s="13"/>
      <c r="K1456" s="13"/>
    </row>
    <row r="1457" spans="1:11" x14ac:dyDescent="0.25">
      <c r="A1457" s="10">
        <v>41936</v>
      </c>
      <c r="B1457" s="15">
        <f t="shared" si="44"/>
        <v>10</v>
      </c>
      <c r="C1457" s="15">
        <f t="shared" si="45"/>
        <v>2014</v>
      </c>
      <c r="D1457" s="13">
        <v>22.56</v>
      </c>
      <c r="E1457" s="13">
        <v>61.002367797947919</v>
      </c>
      <c r="F1457" s="13">
        <v>13.86</v>
      </c>
      <c r="G1457" s="13"/>
      <c r="H1457" s="13">
        <v>28.81</v>
      </c>
      <c r="I1457" s="13">
        <v>-19.09</v>
      </c>
      <c r="J1457" s="13"/>
      <c r="K1457" s="13"/>
    </row>
    <row r="1458" spans="1:11" x14ac:dyDescent="0.25">
      <c r="A1458" s="10">
        <v>41939</v>
      </c>
      <c r="B1458" s="15">
        <f t="shared" si="44"/>
        <v>10</v>
      </c>
      <c r="C1458" s="15">
        <f t="shared" si="45"/>
        <v>2014</v>
      </c>
      <c r="D1458" s="13">
        <v>58.08</v>
      </c>
      <c r="E1458" s="13">
        <v>68.346853587461609</v>
      </c>
      <c r="F1458" s="13">
        <v>25.83</v>
      </c>
      <c r="G1458" s="13"/>
      <c r="H1458" s="13">
        <v>56.28</v>
      </c>
      <c r="I1458" s="13">
        <v>-18.399999999999999</v>
      </c>
      <c r="J1458" s="13"/>
      <c r="K1458" s="13"/>
    </row>
    <row r="1459" spans="1:11" x14ac:dyDescent="0.25">
      <c r="A1459" s="10">
        <v>41940</v>
      </c>
      <c r="B1459" s="15">
        <f t="shared" si="44"/>
        <v>10</v>
      </c>
      <c r="C1459" s="15">
        <f t="shared" si="45"/>
        <v>2014</v>
      </c>
      <c r="D1459" s="13">
        <v>58.08</v>
      </c>
      <c r="E1459" s="13">
        <v>68.148264488770224</v>
      </c>
      <c r="F1459" s="13">
        <v>25.83</v>
      </c>
      <c r="G1459" s="13"/>
      <c r="H1459" s="13">
        <v>56.28</v>
      </c>
      <c r="I1459" s="13">
        <v>-18.399999999999999</v>
      </c>
      <c r="J1459" s="13"/>
      <c r="K1459" s="13"/>
    </row>
    <row r="1460" spans="1:11" x14ac:dyDescent="0.25">
      <c r="A1460" s="10">
        <v>41941</v>
      </c>
      <c r="B1460" s="15">
        <f t="shared" si="44"/>
        <v>10</v>
      </c>
      <c r="C1460" s="15">
        <f t="shared" si="45"/>
        <v>2014</v>
      </c>
      <c r="D1460" s="13">
        <v>58.08</v>
      </c>
      <c r="E1460" s="13">
        <v>68.703982265853853</v>
      </c>
      <c r="F1460" s="13">
        <v>25.83</v>
      </c>
      <c r="G1460" s="13"/>
      <c r="H1460" s="13">
        <v>56.28</v>
      </c>
      <c r="I1460" s="13">
        <v>-18.399999999999999</v>
      </c>
      <c r="J1460" s="13"/>
      <c r="K1460" s="13"/>
    </row>
    <row r="1461" spans="1:11" x14ac:dyDescent="0.25">
      <c r="A1461" s="10">
        <v>41942</v>
      </c>
      <c r="B1461" s="15">
        <f t="shared" si="44"/>
        <v>10</v>
      </c>
      <c r="C1461" s="15">
        <f t="shared" si="45"/>
        <v>2014</v>
      </c>
      <c r="D1461" s="13">
        <v>58.08</v>
      </c>
      <c r="E1461" s="13">
        <v>68.807484934982554</v>
      </c>
      <c r="F1461" s="13">
        <v>25.83</v>
      </c>
      <c r="G1461" s="13"/>
      <c r="H1461" s="13">
        <v>56.28</v>
      </c>
      <c r="I1461" s="13">
        <v>-18.399999999999999</v>
      </c>
      <c r="J1461" s="13"/>
      <c r="K1461" s="13"/>
    </row>
    <row r="1462" spans="1:11" x14ac:dyDescent="0.25">
      <c r="A1462" s="10">
        <v>41943</v>
      </c>
      <c r="B1462" s="15">
        <f t="shared" si="44"/>
        <v>10</v>
      </c>
      <c r="C1462" s="15">
        <f t="shared" si="45"/>
        <v>2014</v>
      </c>
      <c r="D1462" s="13">
        <v>58.08</v>
      </c>
      <c r="E1462" s="13">
        <v>69.290961354199936</v>
      </c>
      <c r="F1462" s="13">
        <v>25.83</v>
      </c>
      <c r="G1462" s="13"/>
      <c r="H1462" s="13">
        <v>56.28</v>
      </c>
      <c r="I1462" s="13">
        <v>-18.399999999999999</v>
      </c>
      <c r="J1462" s="13"/>
      <c r="K1462" s="13"/>
    </row>
    <row r="1463" spans="1:11" x14ac:dyDescent="0.25">
      <c r="A1463" s="10">
        <v>41946</v>
      </c>
      <c r="B1463" s="15">
        <f t="shared" si="44"/>
        <v>11</v>
      </c>
      <c r="C1463" s="15">
        <f t="shared" si="45"/>
        <v>2014</v>
      </c>
      <c r="D1463" s="13">
        <v>30.05</v>
      </c>
      <c r="E1463" s="13">
        <v>47.524435186668804</v>
      </c>
      <c r="F1463" s="13">
        <v>20.68</v>
      </c>
      <c r="G1463" s="13"/>
      <c r="H1463" s="13">
        <v>27.67</v>
      </c>
      <c r="I1463" s="13">
        <v>-21.66</v>
      </c>
      <c r="J1463" s="13"/>
      <c r="K1463" s="13"/>
    </row>
    <row r="1464" spans="1:11" x14ac:dyDescent="0.25">
      <c r="A1464" s="10">
        <v>41947</v>
      </c>
      <c r="B1464" s="15">
        <f t="shared" si="44"/>
        <v>11</v>
      </c>
      <c r="C1464" s="15">
        <f t="shared" si="45"/>
        <v>2014</v>
      </c>
      <c r="D1464" s="13">
        <v>30.05</v>
      </c>
      <c r="E1464" s="13">
        <v>47.289540816326536</v>
      </c>
      <c r="F1464" s="13">
        <v>20.68</v>
      </c>
      <c r="G1464" s="13"/>
      <c r="H1464" s="13">
        <v>27.67</v>
      </c>
      <c r="I1464" s="13">
        <v>-21.66</v>
      </c>
      <c r="J1464" s="13"/>
      <c r="K1464" s="13"/>
    </row>
    <row r="1465" spans="1:11" x14ac:dyDescent="0.25">
      <c r="A1465" s="10">
        <v>41948</v>
      </c>
      <c r="B1465" s="15">
        <f t="shared" si="44"/>
        <v>11</v>
      </c>
      <c r="C1465" s="15">
        <f t="shared" si="45"/>
        <v>2014</v>
      </c>
      <c r="D1465" s="13">
        <v>30.05</v>
      </c>
      <c r="E1465" s="13">
        <v>47.513015618742493</v>
      </c>
      <c r="F1465" s="13">
        <v>20.68</v>
      </c>
      <c r="G1465" s="13"/>
      <c r="H1465" s="13">
        <v>27.67</v>
      </c>
      <c r="I1465" s="13">
        <v>-21.66</v>
      </c>
      <c r="J1465" s="13"/>
      <c r="K1465" s="13"/>
    </row>
    <row r="1466" spans="1:11" x14ac:dyDescent="0.25">
      <c r="A1466" s="10">
        <v>41949</v>
      </c>
      <c r="B1466" s="15">
        <f t="shared" si="44"/>
        <v>11</v>
      </c>
      <c r="C1466" s="15">
        <f t="shared" si="45"/>
        <v>2014</v>
      </c>
      <c r="D1466" s="13">
        <v>30.05</v>
      </c>
      <c r="E1466" s="13">
        <v>47.943101915461085</v>
      </c>
      <c r="F1466" s="13">
        <v>20.68</v>
      </c>
      <c r="G1466" s="13"/>
      <c r="H1466" s="13">
        <v>27.67</v>
      </c>
      <c r="I1466" s="13">
        <v>-21.66</v>
      </c>
      <c r="J1466" s="13"/>
      <c r="K1466" s="13"/>
    </row>
    <row r="1467" spans="1:11" x14ac:dyDescent="0.25">
      <c r="A1467" s="10">
        <v>41950</v>
      </c>
      <c r="B1467" s="15">
        <f t="shared" si="44"/>
        <v>11</v>
      </c>
      <c r="C1467" s="15">
        <f t="shared" si="45"/>
        <v>2014</v>
      </c>
      <c r="D1467" s="13">
        <v>30.05</v>
      </c>
      <c r="E1467" s="13">
        <v>47.638933504657885</v>
      </c>
      <c r="F1467" s="13">
        <v>20.68</v>
      </c>
      <c r="G1467" s="13"/>
      <c r="H1467" s="13">
        <v>27.67</v>
      </c>
      <c r="I1467" s="13">
        <v>-21.66</v>
      </c>
      <c r="J1467" s="13"/>
      <c r="K1467" s="13"/>
    </row>
    <row r="1468" spans="1:11" x14ac:dyDescent="0.25">
      <c r="A1468" s="10">
        <v>41953</v>
      </c>
      <c r="B1468" s="15">
        <f t="shared" si="44"/>
        <v>11</v>
      </c>
      <c r="C1468" s="15">
        <f t="shared" si="45"/>
        <v>2014</v>
      </c>
      <c r="D1468" s="13">
        <v>21.88</v>
      </c>
      <c r="E1468" s="13">
        <v>43.647342995169083</v>
      </c>
      <c r="F1468" s="13">
        <v>9.57</v>
      </c>
      <c r="G1468" s="13"/>
      <c r="H1468" s="13">
        <v>16.98</v>
      </c>
      <c r="I1468" s="13">
        <v>-54.65</v>
      </c>
      <c r="J1468" s="13"/>
      <c r="K1468" s="13"/>
    </row>
    <row r="1469" spans="1:11" x14ac:dyDescent="0.25">
      <c r="A1469" s="10">
        <v>41954</v>
      </c>
      <c r="B1469" s="15">
        <f t="shared" si="44"/>
        <v>11</v>
      </c>
      <c r="C1469" s="15">
        <f t="shared" si="45"/>
        <v>2014</v>
      </c>
      <c r="D1469" s="13">
        <v>21.88</v>
      </c>
      <c r="E1469" s="13">
        <v>43.458393458393459</v>
      </c>
      <c r="F1469" s="13">
        <v>9.57</v>
      </c>
      <c r="G1469" s="13"/>
      <c r="H1469" s="13">
        <v>16.98</v>
      </c>
      <c r="I1469" s="13">
        <v>-54.65</v>
      </c>
      <c r="J1469" s="13"/>
      <c r="K1469" s="13"/>
    </row>
    <row r="1470" spans="1:11" x14ac:dyDescent="0.25">
      <c r="A1470" s="10">
        <v>41955</v>
      </c>
      <c r="B1470" s="15">
        <f t="shared" si="44"/>
        <v>11</v>
      </c>
      <c r="C1470" s="15">
        <f t="shared" si="45"/>
        <v>2014</v>
      </c>
      <c r="D1470" s="13">
        <v>21.88</v>
      </c>
      <c r="E1470" s="13">
        <v>43.58417752050169</v>
      </c>
      <c r="F1470" s="13">
        <v>9.57</v>
      </c>
      <c r="G1470" s="13"/>
      <c r="H1470" s="13">
        <v>16.98</v>
      </c>
      <c r="I1470" s="13">
        <v>-54.65</v>
      </c>
      <c r="J1470" s="13"/>
      <c r="K1470" s="13"/>
    </row>
    <row r="1471" spans="1:11" x14ac:dyDescent="0.25">
      <c r="A1471" s="10">
        <v>41956</v>
      </c>
      <c r="B1471" s="15">
        <f t="shared" si="44"/>
        <v>11</v>
      </c>
      <c r="C1471" s="15">
        <f t="shared" si="45"/>
        <v>2014</v>
      </c>
      <c r="D1471" s="13">
        <v>21.88</v>
      </c>
      <c r="E1471" s="13">
        <v>43.454909819639276</v>
      </c>
      <c r="F1471" s="13">
        <v>9.57</v>
      </c>
      <c r="G1471" s="13"/>
      <c r="H1471" s="13">
        <v>16.98</v>
      </c>
      <c r="I1471" s="13">
        <v>-54.65</v>
      </c>
      <c r="J1471" s="13"/>
      <c r="K1471" s="13"/>
    </row>
    <row r="1472" spans="1:11" x14ac:dyDescent="0.25">
      <c r="A1472" s="10">
        <v>41957</v>
      </c>
      <c r="B1472" s="15">
        <f t="shared" si="44"/>
        <v>11</v>
      </c>
      <c r="C1472" s="15">
        <f t="shared" si="45"/>
        <v>2014</v>
      </c>
      <c r="D1472" s="13">
        <v>21.88</v>
      </c>
      <c r="E1472" s="13">
        <v>43.295263956552994</v>
      </c>
      <c r="F1472" s="13">
        <v>9.57</v>
      </c>
      <c r="G1472" s="13"/>
      <c r="H1472" s="13">
        <v>16.98</v>
      </c>
      <c r="I1472" s="13">
        <v>-54.65</v>
      </c>
      <c r="J1472" s="13"/>
      <c r="K1472" s="13"/>
    </row>
    <row r="1473" spans="1:11" x14ac:dyDescent="0.25">
      <c r="A1473" s="10">
        <v>41960</v>
      </c>
      <c r="B1473" s="15">
        <f t="shared" si="44"/>
        <v>11</v>
      </c>
      <c r="C1473" s="15">
        <f t="shared" si="45"/>
        <v>2014</v>
      </c>
      <c r="D1473" s="13">
        <v>29</v>
      </c>
      <c r="E1473" s="13">
        <v>80.279540525343407</v>
      </c>
      <c r="F1473" s="13">
        <v>27.09</v>
      </c>
      <c r="G1473" s="13"/>
      <c r="H1473" s="13">
        <v>34.99</v>
      </c>
      <c r="I1473" s="13">
        <v>-13.09</v>
      </c>
      <c r="J1473" s="13"/>
      <c r="K1473" s="13"/>
    </row>
    <row r="1474" spans="1:11" x14ac:dyDescent="0.25">
      <c r="A1474" s="10">
        <v>41961</v>
      </c>
      <c r="B1474" s="15">
        <f t="shared" si="44"/>
        <v>11</v>
      </c>
      <c r="C1474" s="15">
        <f t="shared" si="45"/>
        <v>2014</v>
      </c>
      <c r="D1474" s="13">
        <v>29</v>
      </c>
      <c r="E1474" s="13">
        <v>79.72239948947032</v>
      </c>
      <c r="F1474" s="13">
        <v>27.09</v>
      </c>
      <c r="G1474" s="13"/>
      <c r="H1474" s="13">
        <v>34.99</v>
      </c>
      <c r="I1474" s="13">
        <v>-13.09</v>
      </c>
      <c r="J1474" s="13"/>
      <c r="K1474" s="13"/>
    </row>
    <row r="1475" spans="1:11" x14ac:dyDescent="0.25">
      <c r="A1475" s="10">
        <v>41962</v>
      </c>
      <c r="B1475" s="15">
        <f t="shared" ref="B1475:B1538" si="46">MONTH(A1475)</f>
        <v>11</v>
      </c>
      <c r="C1475" s="15">
        <f t="shared" ref="C1475:C1538" si="47">YEAR(A1475)</f>
        <v>2014</v>
      </c>
      <c r="D1475" s="13">
        <v>29</v>
      </c>
      <c r="E1475" s="13">
        <v>79.614434796462987</v>
      </c>
      <c r="F1475" s="13">
        <v>27.09</v>
      </c>
      <c r="G1475" s="13"/>
      <c r="H1475" s="13">
        <v>34.99</v>
      </c>
      <c r="I1475" s="13">
        <v>-13.09</v>
      </c>
      <c r="J1475" s="13"/>
      <c r="K1475" s="13"/>
    </row>
    <row r="1476" spans="1:11" x14ac:dyDescent="0.25">
      <c r="A1476" s="10">
        <v>41963</v>
      </c>
      <c r="B1476" s="15">
        <f t="shared" si="46"/>
        <v>11</v>
      </c>
      <c r="C1476" s="15">
        <f t="shared" si="47"/>
        <v>2014</v>
      </c>
      <c r="D1476" s="13">
        <v>29</v>
      </c>
      <c r="E1476" s="13">
        <v>79.709682565002396</v>
      </c>
      <c r="F1476" s="13">
        <v>27.09</v>
      </c>
      <c r="G1476" s="13"/>
      <c r="H1476" s="13">
        <v>34.99</v>
      </c>
      <c r="I1476" s="13">
        <v>-13.09</v>
      </c>
      <c r="J1476" s="13"/>
      <c r="K1476" s="13"/>
    </row>
    <row r="1477" spans="1:11" x14ac:dyDescent="0.25">
      <c r="A1477" s="10">
        <v>41964</v>
      </c>
      <c r="B1477" s="15">
        <f t="shared" si="46"/>
        <v>11</v>
      </c>
      <c r="C1477" s="15">
        <f t="shared" si="47"/>
        <v>2014</v>
      </c>
      <c r="D1477" s="13">
        <v>29</v>
      </c>
      <c r="E1477" s="13">
        <v>80.674846625766875</v>
      </c>
      <c r="F1477" s="13">
        <v>27.09</v>
      </c>
      <c r="G1477" s="13"/>
      <c r="H1477" s="13">
        <v>34.99</v>
      </c>
      <c r="I1477" s="13">
        <v>-13.09</v>
      </c>
      <c r="J1477" s="13"/>
      <c r="K1477" s="13"/>
    </row>
    <row r="1478" spans="1:11" x14ac:dyDescent="0.25">
      <c r="A1478" s="10">
        <v>41967</v>
      </c>
      <c r="B1478" s="15">
        <f t="shared" si="46"/>
        <v>11</v>
      </c>
      <c r="C1478" s="15">
        <f t="shared" si="47"/>
        <v>2014</v>
      </c>
      <c r="D1478" s="13">
        <v>37.54</v>
      </c>
      <c r="E1478" s="13">
        <v>65.672721427423241</v>
      </c>
      <c r="F1478" s="13">
        <v>30.97</v>
      </c>
      <c r="G1478" s="13"/>
      <c r="H1478" s="13">
        <v>38.33</v>
      </c>
      <c r="I1478" s="13">
        <v>-15.06</v>
      </c>
      <c r="J1478" s="13"/>
      <c r="K1478" s="13"/>
    </row>
    <row r="1479" spans="1:11" x14ac:dyDescent="0.25">
      <c r="A1479" s="10">
        <v>41968</v>
      </c>
      <c r="B1479" s="15">
        <f t="shared" si="46"/>
        <v>11</v>
      </c>
      <c r="C1479" s="15">
        <f t="shared" si="47"/>
        <v>2014</v>
      </c>
      <c r="D1479" s="13">
        <v>37.54</v>
      </c>
      <c r="E1479" s="13">
        <v>65.504248837582168</v>
      </c>
      <c r="F1479" s="13">
        <v>30.97</v>
      </c>
      <c r="G1479" s="13"/>
      <c r="H1479" s="13">
        <v>38.33</v>
      </c>
      <c r="I1479" s="13">
        <v>-15.06</v>
      </c>
      <c r="J1479" s="13"/>
      <c r="K1479" s="13"/>
    </row>
    <row r="1480" spans="1:11" x14ac:dyDescent="0.25">
      <c r="A1480" s="10">
        <v>41969</v>
      </c>
      <c r="B1480" s="15">
        <f t="shared" si="46"/>
        <v>11</v>
      </c>
      <c r="C1480" s="15">
        <f t="shared" si="47"/>
        <v>2014</v>
      </c>
      <c r="D1480" s="13">
        <v>37.54</v>
      </c>
      <c r="E1480" s="13">
        <v>65.341863254698126</v>
      </c>
      <c r="F1480" s="13">
        <v>30.97</v>
      </c>
      <c r="G1480" s="13"/>
      <c r="H1480" s="13">
        <v>38.33</v>
      </c>
      <c r="I1480" s="13">
        <v>-15.06</v>
      </c>
      <c r="J1480" s="13"/>
      <c r="K1480" s="13"/>
    </row>
    <row r="1481" spans="1:11" x14ac:dyDescent="0.25">
      <c r="A1481" s="10">
        <v>41971</v>
      </c>
      <c r="B1481" s="15">
        <f t="shared" si="46"/>
        <v>11</v>
      </c>
      <c r="C1481" s="15">
        <f t="shared" si="47"/>
        <v>2014</v>
      </c>
      <c r="D1481" s="13">
        <v>37.54</v>
      </c>
      <c r="E1481" s="13">
        <v>65.630522088353402</v>
      </c>
      <c r="F1481" s="13">
        <v>30.97</v>
      </c>
      <c r="G1481" s="13"/>
      <c r="H1481" s="13">
        <v>38.33</v>
      </c>
      <c r="I1481" s="13">
        <v>-15.06</v>
      </c>
      <c r="J1481" s="13"/>
      <c r="K1481" s="13"/>
    </row>
    <row r="1482" spans="1:11" x14ac:dyDescent="0.25">
      <c r="A1482" s="10">
        <v>41974</v>
      </c>
      <c r="B1482" s="15">
        <f t="shared" si="46"/>
        <v>12</v>
      </c>
      <c r="C1482" s="15">
        <f t="shared" si="47"/>
        <v>2014</v>
      </c>
      <c r="D1482" s="13">
        <v>28.46</v>
      </c>
      <c r="E1482" s="13">
        <v>47.189028791402684</v>
      </c>
      <c r="F1482" s="13">
        <v>31.33</v>
      </c>
      <c r="G1482" s="13"/>
      <c r="H1482" s="13">
        <v>21.91</v>
      </c>
      <c r="I1482" s="13">
        <v>-42.86</v>
      </c>
      <c r="J1482" s="13"/>
      <c r="K1482" s="13"/>
    </row>
    <row r="1483" spans="1:11" x14ac:dyDescent="0.25">
      <c r="A1483" s="10">
        <v>41975</v>
      </c>
      <c r="B1483" s="15">
        <f t="shared" si="46"/>
        <v>12</v>
      </c>
      <c r="C1483" s="15">
        <f t="shared" si="47"/>
        <v>2014</v>
      </c>
      <c r="D1483" s="13">
        <v>28.46</v>
      </c>
      <c r="E1483" s="13">
        <v>47.524432598336162</v>
      </c>
      <c r="F1483" s="13">
        <v>31.33</v>
      </c>
      <c r="G1483" s="13"/>
      <c r="H1483" s="13">
        <v>21.91</v>
      </c>
      <c r="I1483" s="13">
        <v>-42.86</v>
      </c>
      <c r="J1483" s="13"/>
      <c r="K1483" s="13"/>
    </row>
    <row r="1484" spans="1:11" x14ac:dyDescent="0.25">
      <c r="A1484" s="10">
        <v>41976</v>
      </c>
      <c r="B1484" s="15">
        <f t="shared" si="46"/>
        <v>12</v>
      </c>
      <c r="C1484" s="15">
        <f t="shared" si="47"/>
        <v>2014</v>
      </c>
      <c r="D1484" s="13">
        <v>28.46</v>
      </c>
      <c r="E1484" s="13">
        <v>47.798537774167343</v>
      </c>
      <c r="F1484" s="13">
        <v>31.33</v>
      </c>
      <c r="G1484" s="13"/>
      <c r="H1484" s="13">
        <v>21.91</v>
      </c>
      <c r="I1484" s="13">
        <v>-42.86</v>
      </c>
      <c r="J1484" s="13"/>
      <c r="K1484" s="13"/>
    </row>
    <row r="1485" spans="1:11" x14ac:dyDescent="0.25">
      <c r="A1485" s="10">
        <v>41977</v>
      </c>
      <c r="B1485" s="15">
        <f t="shared" si="46"/>
        <v>12</v>
      </c>
      <c r="C1485" s="15">
        <f t="shared" si="47"/>
        <v>2014</v>
      </c>
      <c r="D1485" s="13">
        <v>28.46</v>
      </c>
      <c r="E1485" s="13">
        <v>47.53979154884059</v>
      </c>
      <c r="F1485" s="13">
        <v>31.33</v>
      </c>
      <c r="G1485" s="13"/>
      <c r="H1485" s="13">
        <v>21.91</v>
      </c>
      <c r="I1485" s="13">
        <v>-42.86</v>
      </c>
      <c r="J1485" s="13"/>
      <c r="K1485" s="13"/>
    </row>
    <row r="1486" spans="1:11" x14ac:dyDescent="0.25">
      <c r="A1486" s="10">
        <v>41978</v>
      </c>
      <c r="B1486" s="15">
        <f t="shared" si="46"/>
        <v>12</v>
      </c>
      <c r="C1486" s="15">
        <f t="shared" si="47"/>
        <v>2014</v>
      </c>
      <c r="D1486" s="13">
        <v>28.46</v>
      </c>
      <c r="E1486" s="13">
        <v>47.895807895807899</v>
      </c>
      <c r="F1486" s="13">
        <v>31.33</v>
      </c>
      <c r="G1486" s="13"/>
      <c r="H1486" s="13">
        <v>21.91</v>
      </c>
      <c r="I1486" s="13">
        <v>-42.86</v>
      </c>
      <c r="J1486" s="13"/>
      <c r="K1486" s="13"/>
    </row>
    <row r="1487" spans="1:11" x14ac:dyDescent="0.25">
      <c r="A1487" s="10">
        <v>41981</v>
      </c>
      <c r="B1487" s="15">
        <f t="shared" si="46"/>
        <v>12</v>
      </c>
      <c r="C1487" s="15">
        <f t="shared" si="47"/>
        <v>2014</v>
      </c>
      <c r="D1487" s="13">
        <v>29.56</v>
      </c>
      <c r="E1487" s="13">
        <v>48.026956804157194</v>
      </c>
      <c r="F1487" s="13">
        <v>25.22</v>
      </c>
      <c r="G1487" s="13"/>
      <c r="H1487" s="13">
        <v>29.35</v>
      </c>
      <c r="I1487" s="13">
        <v>-40.869999999999997</v>
      </c>
      <c r="J1487" s="13"/>
      <c r="K1487" s="13"/>
    </row>
    <row r="1488" spans="1:11" x14ac:dyDescent="0.25">
      <c r="A1488" s="10">
        <v>41982</v>
      </c>
      <c r="B1488" s="15">
        <f t="shared" si="46"/>
        <v>12</v>
      </c>
      <c r="C1488" s="15">
        <f t="shared" si="47"/>
        <v>2014</v>
      </c>
      <c r="D1488" s="13">
        <v>29.56</v>
      </c>
      <c r="E1488" s="13">
        <v>47.801842573137222</v>
      </c>
      <c r="F1488" s="13">
        <v>25.22</v>
      </c>
      <c r="G1488" s="13"/>
      <c r="H1488" s="13">
        <v>29.35</v>
      </c>
      <c r="I1488" s="13">
        <v>-40.869999999999997</v>
      </c>
      <c r="J1488" s="13"/>
      <c r="K1488" s="13"/>
    </row>
    <row r="1489" spans="1:11" x14ac:dyDescent="0.25">
      <c r="A1489" s="10">
        <v>41983</v>
      </c>
      <c r="B1489" s="15">
        <f t="shared" si="46"/>
        <v>12</v>
      </c>
      <c r="C1489" s="15">
        <f t="shared" si="47"/>
        <v>2014</v>
      </c>
      <c r="D1489" s="13">
        <v>29.56</v>
      </c>
      <c r="E1489" s="13">
        <v>47.521491122358803</v>
      </c>
      <c r="F1489" s="13">
        <v>25.22</v>
      </c>
      <c r="G1489" s="13"/>
      <c r="H1489" s="13">
        <v>29.35</v>
      </c>
      <c r="I1489" s="13">
        <v>-40.869999999999997</v>
      </c>
      <c r="J1489" s="13"/>
      <c r="K1489" s="13"/>
    </row>
    <row r="1490" spans="1:11" x14ac:dyDescent="0.25">
      <c r="A1490" s="10">
        <v>41984</v>
      </c>
      <c r="B1490" s="15">
        <f t="shared" si="46"/>
        <v>12</v>
      </c>
      <c r="C1490" s="15">
        <f t="shared" si="47"/>
        <v>2014</v>
      </c>
      <c r="D1490" s="13">
        <v>29.56</v>
      </c>
      <c r="E1490" s="13">
        <v>47.66701587557418</v>
      </c>
      <c r="F1490" s="13">
        <v>25.22</v>
      </c>
      <c r="G1490" s="13"/>
      <c r="H1490" s="13">
        <v>29.35</v>
      </c>
      <c r="I1490" s="13">
        <v>-40.869999999999997</v>
      </c>
      <c r="J1490" s="13"/>
      <c r="K1490" s="13"/>
    </row>
    <row r="1491" spans="1:11" x14ac:dyDescent="0.25">
      <c r="A1491" s="10">
        <v>41985</v>
      </c>
      <c r="B1491" s="15">
        <f t="shared" si="46"/>
        <v>12</v>
      </c>
      <c r="C1491" s="15">
        <f t="shared" si="47"/>
        <v>2014</v>
      </c>
      <c r="D1491" s="13">
        <v>29.56</v>
      </c>
      <c r="E1491" s="13">
        <v>47.471910112359552</v>
      </c>
      <c r="F1491" s="13">
        <v>25.22</v>
      </c>
      <c r="G1491" s="13"/>
      <c r="H1491" s="13">
        <v>29.35</v>
      </c>
      <c r="I1491" s="13">
        <v>-40.869999999999997</v>
      </c>
      <c r="J1491" s="13"/>
      <c r="K1491" s="13"/>
    </row>
    <row r="1492" spans="1:11" x14ac:dyDescent="0.25">
      <c r="A1492" s="10">
        <v>41988</v>
      </c>
      <c r="B1492" s="15">
        <f t="shared" si="46"/>
        <v>12</v>
      </c>
      <c r="C1492" s="15">
        <f t="shared" si="47"/>
        <v>2014</v>
      </c>
      <c r="D1492" s="13">
        <v>24.76</v>
      </c>
      <c r="E1492" s="13">
        <v>56.907365712447728</v>
      </c>
      <c r="F1492" s="13">
        <v>27.6</v>
      </c>
      <c r="G1492" s="13"/>
      <c r="H1492" s="13">
        <v>26.48</v>
      </c>
      <c r="I1492" s="13">
        <v>-24.26</v>
      </c>
      <c r="J1492" s="13"/>
      <c r="K1492" s="13"/>
    </row>
    <row r="1493" spans="1:11" x14ac:dyDescent="0.25">
      <c r="A1493" s="10">
        <v>41989</v>
      </c>
      <c r="B1493" s="15">
        <f t="shared" si="46"/>
        <v>12</v>
      </c>
      <c r="C1493" s="15">
        <f t="shared" si="47"/>
        <v>2014</v>
      </c>
      <c r="D1493" s="13">
        <v>24.76</v>
      </c>
      <c r="E1493" s="13">
        <v>56.570743405275785</v>
      </c>
      <c r="F1493" s="13">
        <v>27.6</v>
      </c>
      <c r="G1493" s="13"/>
      <c r="H1493" s="13">
        <v>26.48</v>
      </c>
      <c r="I1493" s="13">
        <v>-24.26</v>
      </c>
      <c r="J1493" s="13"/>
      <c r="K1493" s="13"/>
    </row>
    <row r="1494" spans="1:11" x14ac:dyDescent="0.25">
      <c r="A1494" s="10">
        <v>41990</v>
      </c>
      <c r="B1494" s="15">
        <f t="shared" si="46"/>
        <v>12</v>
      </c>
      <c r="C1494" s="15">
        <f t="shared" si="47"/>
        <v>2014</v>
      </c>
      <c r="D1494" s="13">
        <v>24.76</v>
      </c>
      <c r="E1494" s="13">
        <v>57.345433919455473</v>
      </c>
      <c r="F1494" s="13">
        <v>27.6</v>
      </c>
      <c r="G1494" s="13"/>
      <c r="H1494" s="13">
        <v>26.48</v>
      </c>
      <c r="I1494" s="13">
        <v>-24.26</v>
      </c>
      <c r="J1494" s="13"/>
      <c r="K1494" s="13"/>
    </row>
    <row r="1495" spans="1:11" x14ac:dyDescent="0.25">
      <c r="A1495" s="10">
        <v>41991</v>
      </c>
      <c r="B1495" s="15">
        <f t="shared" si="46"/>
        <v>12</v>
      </c>
      <c r="C1495" s="15">
        <f t="shared" si="47"/>
        <v>2014</v>
      </c>
      <c r="D1495" s="13">
        <v>24.76</v>
      </c>
      <c r="E1495" s="13">
        <v>57.606837606837608</v>
      </c>
      <c r="F1495" s="13">
        <v>27.6</v>
      </c>
      <c r="G1495" s="13"/>
      <c r="H1495" s="13">
        <v>26.48</v>
      </c>
      <c r="I1495" s="13">
        <v>-24.26</v>
      </c>
      <c r="J1495" s="13"/>
      <c r="K1495" s="13"/>
    </row>
    <row r="1496" spans="1:11" x14ac:dyDescent="0.25">
      <c r="A1496" s="10">
        <v>41992</v>
      </c>
      <c r="B1496" s="15">
        <f t="shared" si="46"/>
        <v>12</v>
      </c>
      <c r="C1496" s="15">
        <f t="shared" si="47"/>
        <v>2014</v>
      </c>
      <c r="D1496" s="13">
        <v>24.76</v>
      </c>
      <c r="E1496" s="13">
        <v>57.884835596270243</v>
      </c>
      <c r="F1496" s="13">
        <v>27.6</v>
      </c>
      <c r="G1496" s="13"/>
      <c r="H1496" s="13">
        <v>26.48</v>
      </c>
      <c r="I1496" s="13">
        <v>-24.26</v>
      </c>
      <c r="J1496" s="13"/>
      <c r="K1496" s="13"/>
    </row>
    <row r="1497" spans="1:11" x14ac:dyDescent="0.25">
      <c r="A1497" s="10">
        <v>41995</v>
      </c>
      <c r="B1497" s="15">
        <f t="shared" si="46"/>
        <v>12</v>
      </c>
      <c r="C1497" s="15">
        <f t="shared" si="47"/>
        <v>2014</v>
      </c>
      <c r="D1497" s="13">
        <v>43.2</v>
      </c>
      <c r="E1497" s="13">
        <v>54.41982173521955</v>
      </c>
      <c r="F1497" s="13">
        <v>38.049999999999997</v>
      </c>
      <c r="G1497" s="13"/>
      <c r="H1497" s="13">
        <v>38.31</v>
      </c>
      <c r="I1497" s="13">
        <v>-22.03</v>
      </c>
      <c r="J1497" s="13"/>
      <c r="K1497" s="13"/>
    </row>
    <row r="1498" spans="1:11" x14ac:dyDescent="0.25">
      <c r="A1498" s="10">
        <v>41996</v>
      </c>
      <c r="B1498" s="15">
        <f t="shared" si="46"/>
        <v>12</v>
      </c>
      <c r="C1498" s="15">
        <f t="shared" si="47"/>
        <v>2014</v>
      </c>
      <c r="D1498" s="13">
        <v>43.2</v>
      </c>
      <c r="E1498" s="13">
        <v>54.679155369320512</v>
      </c>
      <c r="F1498" s="13">
        <v>38.049999999999997</v>
      </c>
      <c r="G1498" s="13"/>
      <c r="H1498" s="13">
        <v>38.31</v>
      </c>
      <c r="I1498" s="13">
        <v>-22.03</v>
      </c>
      <c r="J1498" s="13"/>
      <c r="K1498" s="13"/>
    </row>
    <row r="1499" spans="1:11" x14ac:dyDescent="0.25">
      <c r="A1499" s="10">
        <v>41997</v>
      </c>
      <c r="B1499" s="15">
        <f t="shared" si="46"/>
        <v>12</v>
      </c>
      <c r="C1499" s="15">
        <f t="shared" si="47"/>
        <v>2014</v>
      </c>
      <c r="D1499" s="13">
        <v>43.2</v>
      </c>
      <c r="E1499" s="13">
        <v>54.580497006479121</v>
      </c>
      <c r="F1499" s="13">
        <v>38.049999999999997</v>
      </c>
      <c r="G1499" s="13"/>
      <c r="H1499" s="13">
        <v>38.31</v>
      </c>
      <c r="I1499" s="13">
        <v>-22.03</v>
      </c>
      <c r="J1499" s="13"/>
      <c r="K1499" s="13"/>
    </row>
    <row r="1500" spans="1:11" x14ac:dyDescent="0.25">
      <c r="A1500" s="10">
        <v>41999</v>
      </c>
      <c r="B1500" s="15">
        <f t="shared" si="46"/>
        <v>12</v>
      </c>
      <c r="C1500" s="15">
        <f t="shared" si="47"/>
        <v>2014</v>
      </c>
      <c r="D1500" s="13">
        <v>43.2</v>
      </c>
      <c r="E1500" s="13">
        <v>54.661190965092402</v>
      </c>
      <c r="F1500" s="13">
        <v>38.049999999999997</v>
      </c>
      <c r="G1500" s="13"/>
      <c r="H1500" s="13">
        <v>38.31</v>
      </c>
      <c r="I1500" s="13">
        <v>-22.03</v>
      </c>
      <c r="J1500" s="13"/>
      <c r="K1500" s="13"/>
    </row>
    <row r="1501" spans="1:11" x14ac:dyDescent="0.25">
      <c r="A1501" s="10">
        <v>42002</v>
      </c>
      <c r="B1501" s="15">
        <f t="shared" si="46"/>
        <v>12</v>
      </c>
      <c r="C1501" s="15">
        <f t="shared" si="47"/>
        <v>2014</v>
      </c>
      <c r="D1501" s="13">
        <v>24.87</v>
      </c>
      <c r="E1501" s="13">
        <v>44.004608674183189</v>
      </c>
      <c r="F1501" s="13">
        <v>19.010000000000002</v>
      </c>
      <c r="G1501" s="13"/>
      <c r="H1501" s="13">
        <v>22.74</v>
      </c>
      <c r="I1501" s="13">
        <v>-34.5</v>
      </c>
      <c r="J1501" s="13"/>
      <c r="K1501" s="13"/>
    </row>
    <row r="1502" spans="1:11" x14ac:dyDescent="0.25">
      <c r="A1502" s="10">
        <v>42003</v>
      </c>
      <c r="B1502" s="15">
        <f t="shared" si="46"/>
        <v>12</v>
      </c>
      <c r="C1502" s="15">
        <f t="shared" si="47"/>
        <v>2014</v>
      </c>
      <c r="D1502" s="13">
        <v>24.87</v>
      </c>
      <c r="E1502" s="13">
        <v>43.986508719973671</v>
      </c>
      <c r="F1502" s="13">
        <v>19.010000000000002</v>
      </c>
      <c r="G1502" s="13"/>
      <c r="H1502" s="13">
        <v>22.74</v>
      </c>
      <c r="I1502" s="13">
        <v>-34.5</v>
      </c>
      <c r="J1502" s="13"/>
      <c r="K1502" s="13"/>
    </row>
    <row r="1503" spans="1:11" x14ac:dyDescent="0.25">
      <c r="A1503" s="10">
        <v>42004</v>
      </c>
      <c r="B1503" s="15">
        <f t="shared" si="46"/>
        <v>12</v>
      </c>
      <c r="C1503" s="15">
        <f t="shared" si="47"/>
        <v>2014</v>
      </c>
      <c r="D1503" s="13">
        <v>24.87</v>
      </c>
      <c r="E1503" s="13">
        <v>44.20104158055716</v>
      </c>
      <c r="F1503" s="13">
        <v>19.010000000000002</v>
      </c>
      <c r="G1503" s="13"/>
      <c r="H1503" s="13">
        <v>22.74</v>
      </c>
      <c r="I1503" s="13">
        <v>-34.5</v>
      </c>
      <c r="J1503" s="13"/>
      <c r="K1503" s="13"/>
    </row>
    <row r="1504" spans="1:11" x14ac:dyDescent="0.25">
      <c r="A1504" s="10">
        <v>42006</v>
      </c>
      <c r="B1504" s="15">
        <f t="shared" si="46"/>
        <v>1</v>
      </c>
      <c r="C1504" s="15">
        <f t="shared" si="47"/>
        <v>2015</v>
      </c>
      <c r="D1504" s="13">
        <v>24.87</v>
      </c>
      <c r="E1504" s="13">
        <v>44.558333333333337</v>
      </c>
      <c r="F1504" s="13">
        <v>19.010000000000002</v>
      </c>
      <c r="G1504" s="13"/>
      <c r="H1504" s="13">
        <v>22.74</v>
      </c>
      <c r="I1504" s="13">
        <v>-34.5</v>
      </c>
      <c r="J1504" s="13"/>
      <c r="K1504" s="13"/>
    </row>
    <row r="1505" spans="1:11" x14ac:dyDescent="0.25">
      <c r="A1505" s="10">
        <v>42009</v>
      </c>
      <c r="B1505" s="15">
        <f t="shared" si="46"/>
        <v>1</v>
      </c>
      <c r="C1505" s="15">
        <f t="shared" si="47"/>
        <v>2015</v>
      </c>
      <c r="D1505" s="13">
        <v>32.83</v>
      </c>
      <c r="E1505" s="13">
        <v>3.52024138798089</v>
      </c>
      <c r="F1505" s="13">
        <v>-5.32</v>
      </c>
      <c r="G1505" s="13"/>
      <c r="H1505" s="13">
        <v>39.159999999999997</v>
      </c>
      <c r="I1505" s="13">
        <v>-21.44</v>
      </c>
      <c r="J1505" s="13"/>
      <c r="K1505" s="13"/>
    </row>
    <row r="1506" spans="1:11" x14ac:dyDescent="0.25">
      <c r="A1506" s="10">
        <v>42010</v>
      </c>
      <c r="B1506" s="15">
        <f t="shared" si="46"/>
        <v>1</v>
      </c>
      <c r="C1506" s="15">
        <f t="shared" si="47"/>
        <v>2015</v>
      </c>
      <c r="D1506" s="13">
        <v>32.83</v>
      </c>
      <c r="E1506" s="13">
        <v>3.5329744279946165</v>
      </c>
      <c r="F1506" s="13">
        <v>-5.32</v>
      </c>
      <c r="G1506" s="13"/>
      <c r="H1506" s="13">
        <v>39.159999999999997</v>
      </c>
      <c r="I1506" s="13">
        <v>-21.44</v>
      </c>
      <c r="J1506" s="13"/>
      <c r="K1506" s="13"/>
    </row>
    <row r="1507" spans="1:11" x14ac:dyDescent="0.25">
      <c r="A1507" s="10">
        <v>42011</v>
      </c>
      <c r="B1507" s="15">
        <f t="shared" si="46"/>
        <v>1</v>
      </c>
      <c r="C1507" s="15">
        <f t="shared" si="47"/>
        <v>2015</v>
      </c>
      <c r="D1507" s="13">
        <v>32.83</v>
      </c>
      <c r="E1507" s="13">
        <v>3.5481963335304556</v>
      </c>
      <c r="F1507" s="13">
        <v>-5.32</v>
      </c>
      <c r="G1507" s="13"/>
      <c r="H1507" s="13">
        <v>39.159999999999997</v>
      </c>
      <c r="I1507" s="13">
        <v>-21.44</v>
      </c>
      <c r="J1507" s="13"/>
      <c r="K1507" s="13"/>
    </row>
    <row r="1508" spans="1:11" x14ac:dyDescent="0.25">
      <c r="A1508" s="10">
        <v>42012</v>
      </c>
      <c r="B1508" s="15">
        <f t="shared" si="46"/>
        <v>1</v>
      </c>
      <c r="C1508" s="15">
        <f t="shared" si="47"/>
        <v>2015</v>
      </c>
      <c r="D1508" s="13">
        <v>32.83</v>
      </c>
      <c r="E1508" s="13">
        <v>3.5617367706919945</v>
      </c>
      <c r="F1508" s="13">
        <v>-5.32</v>
      </c>
      <c r="G1508" s="13"/>
      <c r="H1508" s="13">
        <v>39.159999999999997</v>
      </c>
      <c r="I1508" s="13">
        <v>-21.44</v>
      </c>
      <c r="J1508" s="13"/>
      <c r="K1508" s="13"/>
    </row>
    <row r="1509" spans="1:11" x14ac:dyDescent="0.25">
      <c r="A1509" s="10">
        <v>42013</v>
      </c>
      <c r="B1509" s="15">
        <f t="shared" si="46"/>
        <v>1</v>
      </c>
      <c r="C1509" s="15">
        <f t="shared" si="47"/>
        <v>2015</v>
      </c>
      <c r="D1509" s="13">
        <v>32.83</v>
      </c>
      <c r="E1509" s="13">
        <v>3.5475969254159985</v>
      </c>
      <c r="F1509" s="13">
        <v>-5.32</v>
      </c>
      <c r="G1509" s="13"/>
      <c r="H1509" s="13">
        <v>39.159999999999997</v>
      </c>
      <c r="I1509" s="13">
        <v>-21.44</v>
      </c>
      <c r="J1509" s="13"/>
      <c r="K1509" s="13"/>
    </row>
    <row r="1510" spans="1:11" x14ac:dyDescent="0.25">
      <c r="A1510" s="10">
        <v>42016</v>
      </c>
      <c r="B1510" s="15">
        <f t="shared" si="46"/>
        <v>1</v>
      </c>
      <c r="C1510" s="15">
        <f t="shared" si="47"/>
        <v>2015</v>
      </c>
      <c r="D1510" s="13">
        <v>23.37</v>
      </c>
      <c r="E1510" s="13">
        <v>64.953942364573649</v>
      </c>
      <c r="F1510" s="13">
        <v>40.69</v>
      </c>
      <c r="G1510" s="13"/>
      <c r="H1510" s="13">
        <v>36.75</v>
      </c>
      <c r="I1510" s="13">
        <v>-24.45</v>
      </c>
      <c r="J1510" s="13"/>
      <c r="K1510" s="13"/>
    </row>
    <row r="1511" spans="1:11" x14ac:dyDescent="0.25">
      <c r="A1511" s="10">
        <v>42017</v>
      </c>
      <c r="B1511" s="15">
        <f t="shared" si="46"/>
        <v>1</v>
      </c>
      <c r="C1511" s="15">
        <f t="shared" si="47"/>
        <v>2015</v>
      </c>
      <c r="D1511" s="13">
        <v>23.37</v>
      </c>
      <c r="E1511" s="13">
        <v>65.290519877675834</v>
      </c>
      <c r="F1511" s="13">
        <v>40.69</v>
      </c>
      <c r="G1511" s="13"/>
      <c r="H1511" s="13">
        <v>36.75</v>
      </c>
      <c r="I1511" s="13">
        <v>-24.45</v>
      </c>
      <c r="J1511" s="13"/>
      <c r="K1511" s="13"/>
    </row>
    <row r="1512" spans="1:11" x14ac:dyDescent="0.25">
      <c r="A1512" s="10">
        <v>42018</v>
      </c>
      <c r="B1512" s="15">
        <f t="shared" si="46"/>
        <v>1</v>
      </c>
      <c r="C1512" s="15">
        <f t="shared" si="47"/>
        <v>2015</v>
      </c>
      <c r="D1512" s="13">
        <v>23.37</v>
      </c>
      <c r="E1512" s="13">
        <v>65.196369496988709</v>
      </c>
      <c r="F1512" s="13">
        <v>40.69</v>
      </c>
      <c r="G1512" s="13"/>
      <c r="H1512" s="13">
        <v>36.75</v>
      </c>
      <c r="I1512" s="13">
        <v>-24.45</v>
      </c>
      <c r="J1512" s="13"/>
      <c r="K1512" s="13"/>
    </row>
    <row r="1513" spans="1:11" x14ac:dyDescent="0.25">
      <c r="A1513" s="10">
        <v>42019</v>
      </c>
      <c r="B1513" s="15">
        <f t="shared" si="46"/>
        <v>1</v>
      </c>
      <c r="C1513" s="15">
        <f t="shared" si="47"/>
        <v>2015</v>
      </c>
      <c r="D1513" s="13">
        <v>23.37</v>
      </c>
      <c r="E1513" s="13">
        <v>66.099071207430342</v>
      </c>
      <c r="F1513" s="13">
        <v>40.69</v>
      </c>
      <c r="G1513" s="13"/>
      <c r="H1513" s="13">
        <v>36.75</v>
      </c>
      <c r="I1513" s="13">
        <v>-24.45</v>
      </c>
      <c r="J1513" s="13"/>
      <c r="K1513" s="13"/>
    </row>
    <row r="1514" spans="1:11" x14ac:dyDescent="0.25">
      <c r="A1514" s="10">
        <v>42020</v>
      </c>
      <c r="B1514" s="15">
        <f t="shared" si="46"/>
        <v>1</v>
      </c>
      <c r="C1514" s="15">
        <f t="shared" si="47"/>
        <v>2015</v>
      </c>
      <c r="D1514" s="13">
        <v>23.37</v>
      </c>
      <c r="E1514" s="13">
        <v>66.447652805394654</v>
      </c>
      <c r="F1514" s="13">
        <v>40.69</v>
      </c>
      <c r="G1514" s="13"/>
      <c r="H1514" s="13">
        <v>36.75</v>
      </c>
      <c r="I1514" s="13">
        <v>-24.45</v>
      </c>
      <c r="J1514" s="13"/>
      <c r="K1514" s="13"/>
    </row>
    <row r="1515" spans="1:11" x14ac:dyDescent="0.25">
      <c r="A1515" s="10">
        <v>42024</v>
      </c>
      <c r="B1515" s="15">
        <f t="shared" si="46"/>
        <v>1</v>
      </c>
      <c r="C1515" s="15">
        <f t="shared" si="47"/>
        <v>2015</v>
      </c>
      <c r="D1515" s="13">
        <v>15.46</v>
      </c>
      <c r="E1515" s="13">
        <v>51.580223395965014</v>
      </c>
      <c r="F1515" s="13">
        <v>44.57</v>
      </c>
      <c r="G1515" s="13"/>
      <c r="H1515" s="13">
        <v>12.31</v>
      </c>
      <c r="I1515" s="13">
        <v>0.2</v>
      </c>
      <c r="J1515" s="13"/>
      <c r="K1515" s="13"/>
    </row>
    <row r="1516" spans="1:11" x14ac:dyDescent="0.25">
      <c r="A1516" s="10">
        <v>42025</v>
      </c>
      <c r="B1516" s="15">
        <f t="shared" si="46"/>
        <v>1</v>
      </c>
      <c r="C1516" s="15">
        <f t="shared" si="47"/>
        <v>2015</v>
      </c>
      <c r="D1516" s="13">
        <v>15.46</v>
      </c>
      <c r="E1516" s="13">
        <v>51.318056512749827</v>
      </c>
      <c r="F1516" s="13">
        <v>44.57</v>
      </c>
      <c r="G1516" s="13"/>
      <c r="H1516" s="13">
        <v>12.31</v>
      </c>
      <c r="I1516" s="13">
        <v>0.2</v>
      </c>
      <c r="J1516" s="13"/>
      <c r="K1516" s="13"/>
    </row>
    <row r="1517" spans="1:11" x14ac:dyDescent="0.25">
      <c r="A1517" s="10">
        <v>42026</v>
      </c>
      <c r="B1517" s="15">
        <f t="shared" si="46"/>
        <v>1</v>
      </c>
      <c r="C1517" s="15">
        <f t="shared" si="47"/>
        <v>2015</v>
      </c>
      <c r="D1517" s="13">
        <v>15.46</v>
      </c>
      <c r="E1517" s="13">
        <v>52.415310162780465</v>
      </c>
      <c r="F1517" s="13">
        <v>44.57</v>
      </c>
      <c r="G1517" s="13"/>
      <c r="H1517" s="13">
        <v>12.31</v>
      </c>
      <c r="I1517" s="13">
        <v>0.2</v>
      </c>
      <c r="J1517" s="13"/>
      <c r="K1517" s="13"/>
    </row>
    <row r="1518" spans="1:11" x14ac:dyDescent="0.25">
      <c r="A1518" s="10">
        <v>42027</v>
      </c>
      <c r="B1518" s="15">
        <f t="shared" si="46"/>
        <v>1</v>
      </c>
      <c r="C1518" s="15">
        <f t="shared" si="47"/>
        <v>2015</v>
      </c>
      <c r="D1518" s="13">
        <v>15.46</v>
      </c>
      <c r="E1518" s="13">
        <v>53.154278575890068</v>
      </c>
      <c r="F1518" s="13">
        <v>44.57</v>
      </c>
      <c r="G1518" s="13"/>
      <c r="H1518" s="13">
        <v>12.31</v>
      </c>
      <c r="I1518" s="13">
        <v>0.2</v>
      </c>
      <c r="J1518" s="13"/>
      <c r="K1518" s="13"/>
    </row>
    <row r="1519" spans="1:11" x14ac:dyDescent="0.25">
      <c r="A1519" s="10">
        <v>42030</v>
      </c>
      <c r="B1519" s="15">
        <f t="shared" si="46"/>
        <v>1</v>
      </c>
      <c r="C1519" s="15">
        <f t="shared" si="47"/>
        <v>2015</v>
      </c>
      <c r="D1519" s="13">
        <v>-11.18</v>
      </c>
      <c r="E1519" s="13">
        <v>4.2093085343063104</v>
      </c>
      <c r="F1519" s="13">
        <v>32.729999999999997</v>
      </c>
      <c r="G1519" s="13"/>
      <c r="H1519" s="13">
        <v>-8.0500000000000007</v>
      </c>
      <c r="I1519" s="13">
        <v>-13.51</v>
      </c>
      <c r="J1519" s="13"/>
      <c r="K1519" s="13"/>
    </row>
    <row r="1520" spans="1:11" x14ac:dyDescent="0.25">
      <c r="A1520" s="10">
        <v>42031</v>
      </c>
      <c r="B1520" s="15">
        <f t="shared" si="46"/>
        <v>1</v>
      </c>
      <c r="C1520" s="15">
        <f t="shared" si="47"/>
        <v>2015</v>
      </c>
      <c r="D1520" s="13">
        <v>-11.18</v>
      </c>
      <c r="E1520" s="13">
        <v>4.156049556278008</v>
      </c>
      <c r="F1520" s="13">
        <v>32.729999999999997</v>
      </c>
      <c r="G1520" s="13"/>
      <c r="H1520" s="13">
        <v>-8.0500000000000007</v>
      </c>
      <c r="I1520" s="13">
        <v>-13.51</v>
      </c>
      <c r="J1520" s="13"/>
      <c r="K1520" s="13"/>
    </row>
    <row r="1521" spans="1:11" x14ac:dyDescent="0.25">
      <c r="A1521" s="10">
        <v>42032</v>
      </c>
      <c r="B1521" s="15">
        <f t="shared" si="46"/>
        <v>1</v>
      </c>
      <c r="C1521" s="15">
        <f t="shared" si="47"/>
        <v>2015</v>
      </c>
      <c r="D1521" s="13">
        <v>-11.18</v>
      </c>
      <c r="E1521" s="13">
        <v>4.1910331384015596</v>
      </c>
      <c r="F1521" s="13">
        <v>32.729999999999997</v>
      </c>
      <c r="G1521" s="13"/>
      <c r="H1521" s="13">
        <v>-8.0500000000000007</v>
      </c>
      <c r="I1521" s="13">
        <v>-13.51</v>
      </c>
      <c r="J1521" s="13"/>
      <c r="K1521" s="13"/>
    </row>
    <row r="1522" spans="1:11" x14ac:dyDescent="0.25">
      <c r="A1522" s="10">
        <v>42033</v>
      </c>
      <c r="B1522" s="15">
        <f t="shared" si="46"/>
        <v>1</v>
      </c>
      <c r="C1522" s="15">
        <f t="shared" si="47"/>
        <v>2015</v>
      </c>
      <c r="D1522" s="13">
        <v>-11.18</v>
      </c>
      <c r="E1522" s="13">
        <v>4.1788143828960163</v>
      </c>
      <c r="F1522" s="13">
        <v>32.729999999999997</v>
      </c>
      <c r="G1522" s="13"/>
      <c r="H1522" s="13">
        <v>-8.0500000000000007</v>
      </c>
      <c r="I1522" s="13">
        <v>-13.51</v>
      </c>
      <c r="J1522" s="13"/>
      <c r="K1522" s="13"/>
    </row>
    <row r="1523" spans="1:11" x14ac:dyDescent="0.25">
      <c r="A1523" s="10">
        <v>42034</v>
      </c>
      <c r="B1523" s="15">
        <f t="shared" si="46"/>
        <v>1</v>
      </c>
      <c r="C1523" s="15">
        <f t="shared" si="47"/>
        <v>2015</v>
      </c>
      <c r="D1523" s="13">
        <v>-11.18</v>
      </c>
      <c r="E1523" s="13">
        <v>4.1910331384015596</v>
      </c>
      <c r="F1523" s="13">
        <v>32.729999999999997</v>
      </c>
      <c r="G1523" s="13"/>
      <c r="H1523" s="13">
        <v>-8.0500000000000007</v>
      </c>
      <c r="I1523" s="13">
        <v>-13.51</v>
      </c>
      <c r="J1523" s="13"/>
      <c r="K1523" s="13"/>
    </row>
    <row r="1524" spans="1:11" x14ac:dyDescent="0.25">
      <c r="A1524" s="10">
        <v>42037</v>
      </c>
      <c r="B1524" s="15">
        <f t="shared" si="46"/>
        <v>2</v>
      </c>
      <c r="C1524" s="15">
        <f t="shared" si="47"/>
        <v>2015</v>
      </c>
      <c r="D1524" s="13">
        <v>-0.38</v>
      </c>
      <c r="E1524" s="13">
        <v>45.03527336860671</v>
      </c>
      <c r="F1524" s="13">
        <v>38.54</v>
      </c>
      <c r="G1524" s="13"/>
      <c r="H1524" s="13">
        <v>6.34</v>
      </c>
      <c r="I1524" s="13">
        <v>9.23</v>
      </c>
      <c r="J1524" s="13"/>
      <c r="K1524" s="13"/>
    </row>
    <row r="1525" spans="1:11" x14ac:dyDescent="0.25">
      <c r="A1525" s="10">
        <v>42038</v>
      </c>
      <c r="B1525" s="15">
        <f t="shared" si="46"/>
        <v>2</v>
      </c>
      <c r="C1525" s="15">
        <f t="shared" si="47"/>
        <v>2015</v>
      </c>
      <c r="D1525" s="13">
        <v>-0.38</v>
      </c>
      <c r="E1525" s="13">
        <v>44.489938147922295</v>
      </c>
      <c r="F1525" s="13">
        <v>38.54</v>
      </c>
      <c r="G1525" s="13"/>
      <c r="H1525" s="13">
        <v>6.34</v>
      </c>
      <c r="I1525" s="13">
        <v>9.23</v>
      </c>
      <c r="J1525" s="13"/>
      <c r="K1525" s="13"/>
    </row>
    <row r="1526" spans="1:11" x14ac:dyDescent="0.25">
      <c r="A1526" s="10">
        <v>42039</v>
      </c>
      <c r="B1526" s="15">
        <f t="shared" si="46"/>
        <v>2</v>
      </c>
      <c r="C1526" s="15">
        <f t="shared" si="47"/>
        <v>2015</v>
      </c>
      <c r="D1526" s="13">
        <v>-0.38</v>
      </c>
      <c r="E1526" s="13">
        <v>45.019393511988717</v>
      </c>
      <c r="F1526" s="13">
        <v>38.54</v>
      </c>
      <c r="G1526" s="13"/>
      <c r="H1526" s="13">
        <v>6.34</v>
      </c>
      <c r="I1526" s="13">
        <v>9.23</v>
      </c>
      <c r="J1526" s="13"/>
      <c r="K1526" s="13"/>
    </row>
    <row r="1527" spans="1:11" x14ac:dyDescent="0.25">
      <c r="A1527" s="10">
        <v>42040</v>
      </c>
      <c r="B1527" s="15">
        <f t="shared" si="46"/>
        <v>2</v>
      </c>
      <c r="C1527" s="15">
        <f t="shared" si="47"/>
        <v>2015</v>
      </c>
      <c r="D1527" s="13">
        <v>-0.38</v>
      </c>
      <c r="E1527" s="13">
        <v>44.505446623093682</v>
      </c>
      <c r="F1527" s="13">
        <v>38.54</v>
      </c>
      <c r="G1527" s="13"/>
      <c r="H1527" s="13">
        <v>6.34</v>
      </c>
      <c r="I1527" s="13">
        <v>9.23</v>
      </c>
      <c r="J1527" s="13"/>
      <c r="K1527" s="13"/>
    </row>
    <row r="1528" spans="1:11" x14ac:dyDescent="0.25">
      <c r="A1528" s="10">
        <v>42041</v>
      </c>
      <c r="B1528" s="15">
        <f t="shared" si="46"/>
        <v>2</v>
      </c>
      <c r="C1528" s="15">
        <f t="shared" si="47"/>
        <v>2015</v>
      </c>
      <c r="D1528" s="13">
        <v>-0.38</v>
      </c>
      <c r="E1528" s="13">
        <v>45.142756121276406</v>
      </c>
      <c r="F1528" s="13">
        <v>38.54</v>
      </c>
      <c r="G1528" s="13"/>
      <c r="H1528" s="13">
        <v>6.34</v>
      </c>
      <c r="I1528" s="13">
        <v>9.23</v>
      </c>
      <c r="J1528" s="13"/>
      <c r="K1528" s="13"/>
    </row>
    <row r="1529" spans="1:11" x14ac:dyDescent="0.25">
      <c r="A1529" s="10">
        <v>42044</v>
      </c>
      <c r="B1529" s="15">
        <f t="shared" si="46"/>
        <v>2</v>
      </c>
      <c r="C1529" s="15">
        <f t="shared" si="47"/>
        <v>2015</v>
      </c>
      <c r="D1529" s="13">
        <v>-1.1200000000000001</v>
      </c>
      <c r="E1529" s="13">
        <v>49.580499867526271</v>
      </c>
      <c r="F1529" s="13">
        <v>43.66</v>
      </c>
      <c r="G1529" s="13"/>
      <c r="H1529" s="13">
        <v>3.39</v>
      </c>
      <c r="I1529" s="13">
        <v>-10.31</v>
      </c>
      <c r="J1529" s="13"/>
      <c r="K1529" s="13"/>
    </row>
    <row r="1530" spans="1:11" x14ac:dyDescent="0.25">
      <c r="A1530" s="10">
        <v>42045</v>
      </c>
      <c r="B1530" s="15">
        <f t="shared" si="46"/>
        <v>2</v>
      </c>
      <c r="C1530" s="15">
        <f t="shared" si="47"/>
        <v>2015</v>
      </c>
      <c r="D1530" s="13">
        <v>-1.1200000000000001</v>
      </c>
      <c r="E1530" s="13">
        <v>49.598021026592463</v>
      </c>
      <c r="F1530" s="13">
        <v>43.66</v>
      </c>
      <c r="G1530" s="13"/>
      <c r="H1530" s="13">
        <v>3.39</v>
      </c>
      <c r="I1530" s="13">
        <v>-10.31</v>
      </c>
      <c r="J1530" s="13"/>
      <c r="K1530" s="13"/>
    </row>
    <row r="1531" spans="1:11" x14ac:dyDescent="0.25">
      <c r="A1531" s="10">
        <v>42046</v>
      </c>
      <c r="B1531" s="15">
        <f t="shared" si="46"/>
        <v>2</v>
      </c>
      <c r="C1531" s="15">
        <f t="shared" si="47"/>
        <v>2015</v>
      </c>
      <c r="D1531" s="13">
        <v>-1.1200000000000001</v>
      </c>
      <c r="E1531" s="13">
        <v>49.545494660665433</v>
      </c>
      <c r="F1531" s="13">
        <v>43.66</v>
      </c>
      <c r="G1531" s="13"/>
      <c r="H1531" s="13">
        <v>3.39</v>
      </c>
      <c r="I1531" s="13">
        <v>-10.31</v>
      </c>
      <c r="J1531" s="13"/>
      <c r="K1531" s="13"/>
    </row>
    <row r="1532" spans="1:11" x14ac:dyDescent="0.25">
      <c r="A1532" s="10">
        <v>42047</v>
      </c>
      <c r="B1532" s="15">
        <f t="shared" si="46"/>
        <v>2</v>
      </c>
      <c r="C1532" s="15">
        <f t="shared" si="47"/>
        <v>2015</v>
      </c>
      <c r="D1532" s="13">
        <v>-1.1200000000000001</v>
      </c>
      <c r="E1532" s="13">
        <v>49.236975969128217</v>
      </c>
      <c r="F1532" s="13">
        <v>43.66</v>
      </c>
      <c r="G1532" s="13"/>
      <c r="H1532" s="13">
        <v>3.39</v>
      </c>
      <c r="I1532" s="13">
        <v>-10.31</v>
      </c>
      <c r="J1532" s="13"/>
      <c r="K1532" s="13"/>
    </row>
    <row r="1533" spans="1:11" x14ac:dyDescent="0.25">
      <c r="A1533" s="10">
        <v>42048</v>
      </c>
      <c r="B1533" s="15">
        <f t="shared" si="46"/>
        <v>2</v>
      </c>
      <c r="C1533" s="15">
        <f t="shared" si="47"/>
        <v>2015</v>
      </c>
      <c r="D1533" s="13">
        <v>-1.1200000000000001</v>
      </c>
      <c r="E1533" s="13">
        <v>49.319160151102515</v>
      </c>
      <c r="F1533" s="13">
        <v>43.66</v>
      </c>
      <c r="G1533" s="13"/>
      <c r="H1533" s="13">
        <v>3.39</v>
      </c>
      <c r="I1533" s="13">
        <v>-10.31</v>
      </c>
      <c r="J1533" s="13"/>
      <c r="K1533" s="13"/>
    </row>
    <row r="1534" spans="1:11" x14ac:dyDescent="0.25">
      <c r="A1534" s="10">
        <v>42052</v>
      </c>
      <c r="B1534" s="15">
        <f t="shared" si="46"/>
        <v>2</v>
      </c>
      <c r="C1534" s="15">
        <f t="shared" si="47"/>
        <v>2015</v>
      </c>
      <c r="D1534" s="13">
        <v>-6.2</v>
      </c>
      <c r="E1534" s="13">
        <v>51.437335670464499</v>
      </c>
      <c r="F1534" s="13">
        <v>15.8</v>
      </c>
      <c r="G1534" s="13"/>
      <c r="H1534" s="13">
        <v>-7.98</v>
      </c>
      <c r="I1534" s="13">
        <v>-18.29</v>
      </c>
      <c r="J1534" s="13"/>
      <c r="K1534" s="13"/>
    </row>
    <row r="1535" spans="1:11" x14ac:dyDescent="0.25">
      <c r="A1535" s="10">
        <v>42053</v>
      </c>
      <c r="B1535" s="15">
        <f t="shared" si="46"/>
        <v>2</v>
      </c>
      <c r="C1535" s="15">
        <f t="shared" si="47"/>
        <v>2015</v>
      </c>
      <c r="D1535" s="13">
        <v>-6.2</v>
      </c>
      <c r="E1535" s="13">
        <v>51.505046072838965</v>
      </c>
      <c r="F1535" s="13">
        <v>15.8</v>
      </c>
      <c r="G1535" s="13"/>
      <c r="H1535" s="13">
        <v>-7.98</v>
      </c>
      <c r="I1535" s="13">
        <v>-18.29</v>
      </c>
      <c r="J1535" s="13"/>
      <c r="K1535" s="13"/>
    </row>
    <row r="1536" spans="1:11" x14ac:dyDescent="0.25">
      <c r="A1536" s="10">
        <v>42054</v>
      </c>
      <c r="B1536" s="15">
        <f t="shared" si="46"/>
        <v>2</v>
      </c>
      <c r="C1536" s="15">
        <f t="shared" si="47"/>
        <v>2015</v>
      </c>
      <c r="D1536" s="13">
        <v>-6.2</v>
      </c>
      <c r="E1536" s="13">
        <v>51.636459616399783</v>
      </c>
      <c r="F1536" s="13">
        <v>15.8</v>
      </c>
      <c r="G1536" s="13"/>
      <c r="H1536" s="13">
        <v>-7.98</v>
      </c>
      <c r="I1536" s="13">
        <v>-18.29</v>
      </c>
      <c r="J1536" s="13"/>
      <c r="K1536" s="13"/>
    </row>
    <row r="1537" spans="1:11" x14ac:dyDescent="0.25">
      <c r="A1537" s="10">
        <v>42055</v>
      </c>
      <c r="B1537" s="15">
        <f t="shared" si="46"/>
        <v>2</v>
      </c>
      <c r="C1537" s="15">
        <f t="shared" si="47"/>
        <v>2015</v>
      </c>
      <c r="D1537" s="13">
        <v>-6.2</v>
      </c>
      <c r="E1537" s="13">
        <v>51.582000351555635</v>
      </c>
      <c r="F1537" s="13">
        <v>15.8</v>
      </c>
      <c r="G1537" s="13"/>
      <c r="H1537" s="13">
        <v>-7.98</v>
      </c>
      <c r="I1537" s="13">
        <v>-18.29</v>
      </c>
      <c r="J1537" s="13"/>
      <c r="K1537" s="13"/>
    </row>
    <row r="1538" spans="1:11" x14ac:dyDescent="0.25">
      <c r="A1538" s="10">
        <v>42058</v>
      </c>
      <c r="B1538" s="15">
        <f t="shared" si="46"/>
        <v>2</v>
      </c>
      <c r="C1538" s="15">
        <f t="shared" si="47"/>
        <v>2015</v>
      </c>
      <c r="D1538" s="13">
        <v>9.65</v>
      </c>
      <c r="E1538" s="13">
        <v>53.318623124448365</v>
      </c>
      <c r="F1538" s="13">
        <v>18.690000000000001</v>
      </c>
      <c r="G1538" s="13"/>
      <c r="H1538" s="13">
        <v>1.65</v>
      </c>
      <c r="I1538" s="13">
        <v>4.46</v>
      </c>
      <c r="J1538" s="13"/>
      <c r="K1538" s="13"/>
    </row>
    <row r="1539" spans="1:11" x14ac:dyDescent="0.25">
      <c r="A1539" s="10">
        <v>42059</v>
      </c>
      <c r="B1539" s="15">
        <f t="shared" ref="B1539:B1602" si="48">MONTH(A1539)</f>
        <v>2</v>
      </c>
      <c r="C1539" s="15">
        <f t="shared" ref="C1539:C1602" si="49">YEAR(A1539)</f>
        <v>2015</v>
      </c>
      <c r="D1539" s="13">
        <v>9.65</v>
      </c>
      <c r="E1539" s="13">
        <v>53.276303024958111</v>
      </c>
      <c r="F1539" s="13">
        <v>18.690000000000001</v>
      </c>
      <c r="G1539" s="13"/>
      <c r="H1539" s="13">
        <v>1.65</v>
      </c>
      <c r="I1539" s="13">
        <v>4.46</v>
      </c>
      <c r="J1539" s="13"/>
      <c r="K1539" s="13"/>
    </row>
    <row r="1540" spans="1:11" x14ac:dyDescent="0.25">
      <c r="A1540" s="10">
        <v>42060</v>
      </c>
      <c r="B1540" s="15">
        <f t="shared" si="48"/>
        <v>2</v>
      </c>
      <c r="C1540" s="15">
        <f t="shared" si="49"/>
        <v>2015</v>
      </c>
      <c r="D1540" s="13">
        <v>9.65</v>
      </c>
      <c r="E1540" s="13">
        <v>53.173136167590876</v>
      </c>
      <c r="F1540" s="13">
        <v>18.690000000000001</v>
      </c>
      <c r="G1540" s="13"/>
      <c r="H1540" s="13">
        <v>1.65</v>
      </c>
      <c r="I1540" s="13">
        <v>4.46</v>
      </c>
      <c r="J1540" s="13"/>
      <c r="K1540" s="13"/>
    </row>
    <row r="1541" spans="1:11" x14ac:dyDescent="0.25">
      <c r="A1541" s="10">
        <v>42061</v>
      </c>
      <c r="B1541" s="15">
        <f t="shared" si="48"/>
        <v>2</v>
      </c>
      <c r="C1541" s="15">
        <f t="shared" si="49"/>
        <v>2015</v>
      </c>
      <c r="D1541" s="13">
        <v>9.65</v>
      </c>
      <c r="E1541" s="13">
        <v>53.956770275098251</v>
      </c>
      <c r="F1541" s="13">
        <v>18.690000000000001</v>
      </c>
      <c r="G1541" s="13"/>
      <c r="H1541" s="13">
        <v>1.65</v>
      </c>
      <c r="I1541" s="13">
        <v>4.46</v>
      </c>
      <c r="J1541" s="13"/>
      <c r="K1541" s="13"/>
    </row>
    <row r="1542" spans="1:11" x14ac:dyDescent="0.25">
      <c r="A1542" s="10">
        <v>42062</v>
      </c>
      <c r="B1542" s="15">
        <f t="shared" si="48"/>
        <v>2</v>
      </c>
      <c r="C1542" s="15">
        <f t="shared" si="49"/>
        <v>2015</v>
      </c>
      <c r="D1542" s="13">
        <v>9.65</v>
      </c>
      <c r="E1542" s="13">
        <v>53.971232020012508</v>
      </c>
      <c r="F1542" s="13">
        <v>18.690000000000001</v>
      </c>
      <c r="G1542" s="13"/>
      <c r="H1542" s="13">
        <v>1.65</v>
      </c>
      <c r="I1542" s="13">
        <v>4.46</v>
      </c>
      <c r="J1542" s="13"/>
      <c r="K1542" s="13"/>
    </row>
    <row r="1543" spans="1:11" x14ac:dyDescent="0.25">
      <c r="A1543" s="10">
        <v>42065</v>
      </c>
      <c r="B1543" s="15">
        <f t="shared" si="48"/>
        <v>3</v>
      </c>
      <c r="C1543" s="15">
        <f t="shared" si="49"/>
        <v>2015</v>
      </c>
      <c r="D1543" s="13">
        <v>-0.83</v>
      </c>
      <c r="E1543" s="13">
        <v>45.855316104801929</v>
      </c>
      <c r="F1543" s="13">
        <v>25.16</v>
      </c>
      <c r="G1543" s="13"/>
      <c r="H1543" s="13">
        <v>4.2699999999999996</v>
      </c>
      <c r="I1543" s="13">
        <v>-1.1100000000000001</v>
      </c>
      <c r="J1543" s="13"/>
      <c r="K1543" s="13"/>
    </row>
    <row r="1544" spans="1:11" x14ac:dyDescent="0.25">
      <c r="A1544" s="10">
        <v>42066</v>
      </c>
      <c r="B1544" s="15">
        <f t="shared" si="48"/>
        <v>3</v>
      </c>
      <c r="C1544" s="15">
        <f t="shared" si="49"/>
        <v>2015</v>
      </c>
      <c r="D1544" s="13">
        <v>-0.83</v>
      </c>
      <c r="E1544" s="13">
        <v>45.892249865759801</v>
      </c>
      <c r="F1544" s="13">
        <v>25.16</v>
      </c>
      <c r="G1544" s="13"/>
      <c r="H1544" s="13">
        <v>4.2699999999999996</v>
      </c>
      <c r="I1544" s="13">
        <v>-1.1100000000000001</v>
      </c>
      <c r="J1544" s="13"/>
      <c r="K1544" s="13"/>
    </row>
    <row r="1545" spans="1:11" x14ac:dyDescent="0.25">
      <c r="A1545" s="10">
        <v>42067</v>
      </c>
      <c r="B1545" s="15">
        <f t="shared" si="48"/>
        <v>3</v>
      </c>
      <c r="C1545" s="15">
        <f t="shared" si="49"/>
        <v>2015</v>
      </c>
      <c r="D1545" s="13">
        <v>-0.83</v>
      </c>
      <c r="E1545" s="13">
        <v>46.294122957479466</v>
      </c>
      <c r="F1545" s="13">
        <v>25.16</v>
      </c>
      <c r="G1545" s="13"/>
      <c r="H1545" s="13">
        <v>4.2699999999999996</v>
      </c>
      <c r="I1545" s="13">
        <v>-1.1100000000000001</v>
      </c>
      <c r="J1545" s="13"/>
      <c r="K1545" s="13"/>
    </row>
    <row r="1546" spans="1:11" x14ac:dyDescent="0.25">
      <c r="A1546" s="10">
        <v>42068</v>
      </c>
      <c r="B1546" s="15">
        <f t="shared" si="48"/>
        <v>3</v>
      </c>
      <c r="C1546" s="15">
        <f t="shared" si="49"/>
        <v>2015</v>
      </c>
      <c r="D1546" s="13">
        <v>-0.83</v>
      </c>
      <c r="E1546" s="13">
        <v>46.499818643453033</v>
      </c>
      <c r="F1546" s="13">
        <v>25.16</v>
      </c>
      <c r="G1546" s="13"/>
      <c r="H1546" s="13">
        <v>4.2699999999999996</v>
      </c>
      <c r="I1546" s="13">
        <v>-1.1100000000000001</v>
      </c>
      <c r="J1546" s="13"/>
      <c r="K1546" s="13"/>
    </row>
    <row r="1547" spans="1:11" x14ac:dyDescent="0.25">
      <c r="A1547" s="10">
        <v>42069</v>
      </c>
      <c r="B1547" s="15">
        <f t="shared" si="48"/>
        <v>3</v>
      </c>
      <c r="C1547" s="15">
        <f t="shared" si="49"/>
        <v>2015</v>
      </c>
      <c r="D1547" s="13">
        <v>-0.83</v>
      </c>
      <c r="E1547" s="13">
        <v>47.293184543023145</v>
      </c>
      <c r="F1547" s="13">
        <v>25.16</v>
      </c>
      <c r="G1547" s="13"/>
      <c r="H1547" s="13">
        <v>4.2699999999999996</v>
      </c>
      <c r="I1547" s="13">
        <v>-1.1100000000000001</v>
      </c>
      <c r="J1547" s="13"/>
      <c r="K1547" s="13"/>
    </row>
    <row r="1548" spans="1:11" x14ac:dyDescent="0.25">
      <c r="A1548" s="10">
        <v>42072</v>
      </c>
      <c r="B1548" s="15">
        <f t="shared" si="48"/>
        <v>3</v>
      </c>
      <c r="C1548" s="15">
        <f t="shared" si="49"/>
        <v>2015</v>
      </c>
      <c r="D1548" s="13">
        <v>19.440000000000001</v>
      </c>
      <c r="E1548" s="13">
        <v>54.764976958525352</v>
      </c>
      <c r="F1548" s="13">
        <v>27.21</v>
      </c>
      <c r="G1548" s="13"/>
      <c r="H1548" s="13">
        <v>-0.6</v>
      </c>
      <c r="I1548" s="13">
        <v>-12.33</v>
      </c>
      <c r="J1548" s="13"/>
      <c r="K1548" s="13"/>
    </row>
    <row r="1549" spans="1:11" x14ac:dyDescent="0.25">
      <c r="A1549" s="10">
        <v>42073</v>
      </c>
      <c r="B1549" s="15">
        <f t="shared" si="48"/>
        <v>3</v>
      </c>
      <c r="C1549" s="15">
        <f t="shared" si="49"/>
        <v>2015</v>
      </c>
      <c r="D1549" s="13">
        <v>19.440000000000001</v>
      </c>
      <c r="E1549" s="13">
        <v>55.548284565766096</v>
      </c>
      <c r="F1549" s="13">
        <v>27.21</v>
      </c>
      <c r="G1549" s="13"/>
      <c r="H1549" s="13">
        <v>-0.6</v>
      </c>
      <c r="I1549" s="13">
        <v>-12.33</v>
      </c>
      <c r="J1549" s="13"/>
      <c r="K1549" s="13"/>
    </row>
    <row r="1550" spans="1:11" x14ac:dyDescent="0.25">
      <c r="A1550" s="10">
        <v>42074</v>
      </c>
      <c r="B1550" s="15">
        <f t="shared" si="48"/>
        <v>3</v>
      </c>
      <c r="C1550" s="15">
        <f t="shared" si="49"/>
        <v>2015</v>
      </c>
      <c r="D1550" s="13">
        <v>19.440000000000001</v>
      </c>
      <c r="E1550" s="13">
        <v>56.348980559506877</v>
      </c>
      <c r="F1550" s="13">
        <v>27.21</v>
      </c>
      <c r="G1550" s="13"/>
      <c r="H1550" s="13">
        <v>-0.6</v>
      </c>
      <c r="I1550" s="13">
        <v>-12.33</v>
      </c>
      <c r="J1550" s="13"/>
      <c r="K1550" s="13"/>
    </row>
    <row r="1551" spans="1:11" x14ac:dyDescent="0.25">
      <c r="A1551" s="10">
        <v>42075</v>
      </c>
      <c r="B1551" s="15">
        <f t="shared" si="48"/>
        <v>3</v>
      </c>
      <c r="C1551" s="15">
        <f t="shared" si="49"/>
        <v>2015</v>
      </c>
      <c r="D1551" s="13">
        <v>19.440000000000001</v>
      </c>
      <c r="E1551" s="13">
        <v>55.872120357310777</v>
      </c>
      <c r="F1551" s="13">
        <v>27.21</v>
      </c>
      <c r="G1551" s="13"/>
      <c r="H1551" s="13">
        <v>-0.6</v>
      </c>
      <c r="I1551" s="13">
        <v>-12.33</v>
      </c>
      <c r="J1551" s="13"/>
      <c r="K1551" s="13"/>
    </row>
    <row r="1552" spans="1:11" x14ac:dyDescent="0.25">
      <c r="A1552" s="10">
        <v>42076</v>
      </c>
      <c r="B1552" s="15">
        <f t="shared" si="48"/>
        <v>3</v>
      </c>
      <c r="C1552" s="15">
        <f t="shared" si="49"/>
        <v>2015</v>
      </c>
      <c r="D1552" s="13">
        <v>19.440000000000001</v>
      </c>
      <c r="E1552" s="13">
        <v>56.628228342704666</v>
      </c>
      <c r="F1552" s="13">
        <v>27.21</v>
      </c>
      <c r="G1552" s="13"/>
      <c r="H1552" s="13">
        <v>-0.6</v>
      </c>
      <c r="I1552" s="13">
        <v>-12.33</v>
      </c>
      <c r="J1552" s="13"/>
      <c r="K1552" s="13"/>
    </row>
    <row r="1553" spans="1:11" x14ac:dyDescent="0.25">
      <c r="A1553" s="10">
        <v>42079</v>
      </c>
      <c r="B1553" s="15">
        <f t="shared" si="48"/>
        <v>3</v>
      </c>
      <c r="C1553" s="15">
        <f t="shared" si="49"/>
        <v>2015</v>
      </c>
      <c r="D1553" s="13">
        <v>13.88</v>
      </c>
      <c r="E1553" s="13">
        <v>59.123604012871475</v>
      </c>
      <c r="F1553" s="13">
        <v>30.44</v>
      </c>
      <c r="G1553" s="13"/>
      <c r="H1553" s="13">
        <v>-0.7</v>
      </c>
      <c r="I1553" s="13">
        <v>-26.49</v>
      </c>
      <c r="J1553" s="13"/>
      <c r="K1553" s="13"/>
    </row>
    <row r="1554" spans="1:11" x14ac:dyDescent="0.25">
      <c r="A1554" s="10">
        <v>42080</v>
      </c>
      <c r="B1554" s="15">
        <f t="shared" si="48"/>
        <v>3</v>
      </c>
      <c r="C1554" s="15">
        <f t="shared" si="49"/>
        <v>2015</v>
      </c>
      <c r="D1554" s="13">
        <v>13.88</v>
      </c>
      <c r="E1554" s="13">
        <v>58.950646409361134</v>
      </c>
      <c r="F1554" s="13">
        <v>30.44</v>
      </c>
      <c r="G1554" s="13"/>
      <c r="H1554" s="13">
        <v>-0.7</v>
      </c>
      <c r="I1554" s="13">
        <v>-26.49</v>
      </c>
      <c r="J1554" s="13"/>
      <c r="K1554" s="13"/>
    </row>
    <row r="1555" spans="1:11" x14ac:dyDescent="0.25">
      <c r="A1555" s="10">
        <v>42081</v>
      </c>
      <c r="B1555" s="15">
        <f t="shared" si="48"/>
        <v>3</v>
      </c>
      <c r="C1555" s="15">
        <f t="shared" si="49"/>
        <v>2015</v>
      </c>
      <c r="D1555" s="13">
        <v>13.88</v>
      </c>
      <c r="E1555" s="13">
        <v>57.496548550391161</v>
      </c>
      <c r="F1555" s="13">
        <v>30.44</v>
      </c>
      <c r="G1555" s="13"/>
      <c r="H1555" s="13">
        <v>-0.7</v>
      </c>
      <c r="I1555" s="13">
        <v>-26.49</v>
      </c>
      <c r="J1555" s="13"/>
      <c r="K1555" s="13"/>
    </row>
    <row r="1556" spans="1:11" x14ac:dyDescent="0.25">
      <c r="A1556" s="10">
        <v>42082</v>
      </c>
      <c r="B1556" s="15">
        <f t="shared" si="48"/>
        <v>3</v>
      </c>
      <c r="C1556" s="15">
        <f t="shared" si="49"/>
        <v>2015</v>
      </c>
      <c r="D1556" s="13">
        <v>13.88</v>
      </c>
      <c r="E1556" s="13">
        <v>58.607749319823618</v>
      </c>
      <c r="F1556" s="13">
        <v>30.44</v>
      </c>
      <c r="G1556" s="13"/>
      <c r="H1556" s="13">
        <v>-0.7</v>
      </c>
      <c r="I1556" s="13">
        <v>-26.49</v>
      </c>
      <c r="J1556" s="13"/>
      <c r="K1556" s="13"/>
    </row>
    <row r="1557" spans="1:11" x14ac:dyDescent="0.25">
      <c r="A1557" s="10">
        <v>42083</v>
      </c>
      <c r="B1557" s="15">
        <f t="shared" si="48"/>
        <v>3</v>
      </c>
      <c r="C1557" s="15">
        <f t="shared" si="49"/>
        <v>2015</v>
      </c>
      <c r="D1557" s="13">
        <v>13.88</v>
      </c>
      <c r="E1557" s="13">
        <v>57.735674676524951</v>
      </c>
      <c r="F1557" s="13">
        <v>30.44</v>
      </c>
      <c r="G1557" s="13"/>
      <c r="H1557" s="13">
        <v>-0.7</v>
      </c>
      <c r="I1557" s="13">
        <v>-26.49</v>
      </c>
      <c r="J1557" s="13"/>
      <c r="K1557" s="13"/>
    </row>
    <row r="1558" spans="1:11" x14ac:dyDescent="0.25">
      <c r="A1558" s="10">
        <v>42086</v>
      </c>
      <c r="B1558" s="15">
        <f t="shared" si="48"/>
        <v>3</v>
      </c>
      <c r="C1558" s="15">
        <f t="shared" si="49"/>
        <v>2015</v>
      </c>
      <c r="D1558" s="13">
        <v>20.37</v>
      </c>
      <c r="E1558" s="13">
        <v>61.11466423024212</v>
      </c>
      <c r="F1558" s="13">
        <v>32</v>
      </c>
      <c r="G1558" s="13"/>
      <c r="H1558" s="13">
        <v>13.07</v>
      </c>
      <c r="I1558" s="13">
        <v>-7.19</v>
      </c>
      <c r="J1558" s="13"/>
      <c r="K1558" s="13"/>
    </row>
    <row r="1559" spans="1:11" x14ac:dyDescent="0.25">
      <c r="A1559" s="10">
        <v>42087</v>
      </c>
      <c r="B1559" s="15">
        <f t="shared" si="48"/>
        <v>3</v>
      </c>
      <c r="C1559" s="15">
        <f t="shared" si="49"/>
        <v>2015</v>
      </c>
      <c r="D1559" s="13">
        <v>20.37</v>
      </c>
      <c r="E1559" s="13">
        <v>61.232149395825701</v>
      </c>
      <c r="F1559" s="13">
        <v>32</v>
      </c>
      <c r="G1559" s="13"/>
      <c r="H1559" s="13">
        <v>13.07</v>
      </c>
      <c r="I1559" s="13">
        <v>-7.19</v>
      </c>
      <c r="J1559" s="13"/>
      <c r="K1559" s="13"/>
    </row>
    <row r="1560" spans="1:11" x14ac:dyDescent="0.25">
      <c r="A1560" s="10">
        <v>42088</v>
      </c>
      <c r="B1560" s="15">
        <f t="shared" si="48"/>
        <v>3</v>
      </c>
      <c r="C1560" s="15">
        <f t="shared" si="49"/>
        <v>2015</v>
      </c>
      <c r="D1560" s="13">
        <v>20.37</v>
      </c>
      <c r="E1560" s="13">
        <v>60.980946303218161</v>
      </c>
      <c r="F1560" s="13">
        <v>32</v>
      </c>
      <c r="G1560" s="13"/>
      <c r="H1560" s="13">
        <v>13.07</v>
      </c>
      <c r="I1560" s="13">
        <v>-7.19</v>
      </c>
      <c r="J1560" s="13"/>
      <c r="K1560" s="13"/>
    </row>
    <row r="1561" spans="1:11" x14ac:dyDescent="0.25">
      <c r="A1561" s="10">
        <v>42089</v>
      </c>
      <c r="B1561" s="15">
        <f t="shared" si="48"/>
        <v>3</v>
      </c>
      <c r="C1561" s="15">
        <f t="shared" si="49"/>
        <v>2015</v>
      </c>
      <c r="D1561" s="13">
        <v>20.37</v>
      </c>
      <c r="E1561" s="13">
        <v>61.462831939722498</v>
      </c>
      <c r="F1561" s="13">
        <v>32</v>
      </c>
      <c r="G1561" s="13"/>
      <c r="H1561" s="13">
        <v>13.07</v>
      </c>
      <c r="I1561" s="13">
        <v>-7.19</v>
      </c>
      <c r="J1561" s="13"/>
      <c r="K1561" s="13"/>
    </row>
    <row r="1562" spans="1:11" x14ac:dyDescent="0.25">
      <c r="A1562" s="10">
        <v>42090</v>
      </c>
      <c r="B1562" s="15">
        <f t="shared" si="48"/>
        <v>3</v>
      </c>
      <c r="C1562" s="15">
        <f t="shared" si="49"/>
        <v>2015</v>
      </c>
      <c r="D1562" s="13">
        <v>20.37</v>
      </c>
      <c r="E1562" s="13">
        <v>61.440249839257831</v>
      </c>
      <c r="F1562" s="13">
        <v>32</v>
      </c>
      <c r="G1562" s="13"/>
      <c r="H1562" s="13">
        <v>13.07</v>
      </c>
      <c r="I1562" s="13">
        <v>-7.19</v>
      </c>
      <c r="J1562" s="13"/>
      <c r="K1562" s="13"/>
    </row>
    <row r="1563" spans="1:11" x14ac:dyDescent="0.25">
      <c r="A1563" s="10">
        <v>42093</v>
      </c>
      <c r="B1563" s="15">
        <f t="shared" si="48"/>
        <v>3</v>
      </c>
      <c r="C1563" s="15">
        <f t="shared" si="49"/>
        <v>2015</v>
      </c>
      <c r="D1563" s="13">
        <v>26.53</v>
      </c>
      <c r="E1563" s="13">
        <v>59.324224519940927</v>
      </c>
      <c r="F1563" s="13">
        <v>39.72</v>
      </c>
      <c r="G1563" s="13"/>
      <c r="H1563" s="13">
        <v>10.94</v>
      </c>
      <c r="I1563" s="13">
        <v>1.45</v>
      </c>
      <c r="J1563" s="13"/>
      <c r="K1563" s="13"/>
    </row>
    <row r="1564" spans="1:11" x14ac:dyDescent="0.25">
      <c r="A1564" s="10">
        <v>42094</v>
      </c>
      <c r="B1564" s="15">
        <f t="shared" si="48"/>
        <v>3</v>
      </c>
      <c r="C1564" s="15">
        <f t="shared" si="49"/>
        <v>2015</v>
      </c>
      <c r="D1564" s="13">
        <v>26.53</v>
      </c>
      <c r="E1564" s="13">
        <v>59.888164026095069</v>
      </c>
      <c r="F1564" s="13">
        <v>39.72</v>
      </c>
      <c r="G1564" s="13"/>
      <c r="H1564" s="13">
        <v>10.94</v>
      </c>
      <c r="I1564" s="13">
        <v>1.45</v>
      </c>
      <c r="J1564" s="13"/>
      <c r="K1564" s="13"/>
    </row>
    <row r="1565" spans="1:11" x14ac:dyDescent="0.25">
      <c r="A1565" s="10">
        <v>42095</v>
      </c>
      <c r="B1565" s="15">
        <f t="shared" si="48"/>
        <v>4</v>
      </c>
      <c r="C1565" s="15">
        <f t="shared" si="49"/>
        <v>2015</v>
      </c>
      <c r="D1565" s="13">
        <v>26.53</v>
      </c>
      <c r="E1565" s="13">
        <v>59.710091061141057</v>
      </c>
      <c r="F1565" s="13">
        <v>39.72</v>
      </c>
      <c r="G1565" s="13"/>
      <c r="H1565" s="13">
        <v>10.94</v>
      </c>
      <c r="I1565" s="13">
        <v>1.45</v>
      </c>
      <c r="J1565" s="13"/>
      <c r="K1565" s="13"/>
    </row>
    <row r="1566" spans="1:11" x14ac:dyDescent="0.25">
      <c r="A1566" s="10">
        <v>42096</v>
      </c>
      <c r="B1566" s="15">
        <f t="shared" si="48"/>
        <v>4</v>
      </c>
      <c r="C1566" s="15">
        <f t="shared" si="49"/>
        <v>2015</v>
      </c>
      <c r="D1566" s="13">
        <v>26.53</v>
      </c>
      <c r="E1566" s="13">
        <v>59.057071960297769</v>
      </c>
      <c r="F1566" s="13">
        <v>39.72</v>
      </c>
      <c r="G1566" s="13"/>
      <c r="H1566" s="13">
        <v>10.94</v>
      </c>
      <c r="I1566" s="13">
        <v>1.45</v>
      </c>
      <c r="J1566" s="13"/>
      <c r="K1566" s="13"/>
    </row>
    <row r="1567" spans="1:11" x14ac:dyDescent="0.25">
      <c r="A1567" s="10">
        <v>42100</v>
      </c>
      <c r="B1567" s="15">
        <f t="shared" si="48"/>
        <v>4</v>
      </c>
      <c r="C1567" s="15">
        <f t="shared" si="49"/>
        <v>2015</v>
      </c>
      <c r="D1567" s="13">
        <v>34.31</v>
      </c>
      <c r="E1567" s="13">
        <v>53.044592985990292</v>
      </c>
      <c r="F1567" s="13">
        <v>46.51</v>
      </c>
      <c r="G1567" s="13"/>
      <c r="H1567" s="13">
        <v>20.81</v>
      </c>
      <c r="I1567" s="13">
        <v>26.09</v>
      </c>
      <c r="J1567" s="13"/>
      <c r="K1567" s="13"/>
    </row>
    <row r="1568" spans="1:11" x14ac:dyDescent="0.25">
      <c r="A1568" s="10">
        <v>42101</v>
      </c>
      <c r="B1568" s="15">
        <f t="shared" si="48"/>
        <v>4</v>
      </c>
      <c r="C1568" s="15">
        <f t="shared" si="49"/>
        <v>2015</v>
      </c>
      <c r="D1568" s="13">
        <v>34.31</v>
      </c>
      <c r="E1568" s="13">
        <v>53.574401183760294</v>
      </c>
      <c r="F1568" s="13">
        <v>46.51</v>
      </c>
      <c r="G1568" s="13"/>
      <c r="H1568" s="13">
        <v>20.81</v>
      </c>
      <c r="I1568" s="13">
        <v>26.09</v>
      </c>
      <c r="J1568" s="13"/>
      <c r="K1568" s="13"/>
    </row>
    <row r="1569" spans="1:11" x14ac:dyDescent="0.25">
      <c r="A1569" s="10">
        <v>42102</v>
      </c>
      <c r="B1569" s="15">
        <f t="shared" si="48"/>
        <v>4</v>
      </c>
      <c r="C1569" s="15">
        <f t="shared" si="49"/>
        <v>2015</v>
      </c>
      <c r="D1569" s="13">
        <v>34.31</v>
      </c>
      <c r="E1569" s="13">
        <v>53.743389924853879</v>
      </c>
      <c r="F1569" s="13">
        <v>46.51</v>
      </c>
      <c r="G1569" s="13"/>
      <c r="H1569" s="13">
        <v>20.81</v>
      </c>
      <c r="I1569" s="13">
        <v>26.09</v>
      </c>
      <c r="J1569" s="13"/>
      <c r="K1569" s="13"/>
    </row>
    <row r="1570" spans="1:11" x14ac:dyDescent="0.25">
      <c r="A1570" s="10">
        <v>42103</v>
      </c>
      <c r="B1570" s="15">
        <f t="shared" si="48"/>
        <v>4</v>
      </c>
      <c r="C1570" s="15">
        <f t="shared" si="49"/>
        <v>2015</v>
      </c>
      <c r="D1570" s="13">
        <v>34.31</v>
      </c>
      <c r="E1570" s="13">
        <v>54.353537249014821</v>
      </c>
      <c r="F1570" s="13">
        <v>46.51</v>
      </c>
      <c r="G1570" s="13"/>
      <c r="H1570" s="13">
        <v>20.81</v>
      </c>
      <c r="I1570" s="13">
        <v>26.09</v>
      </c>
      <c r="J1570" s="13"/>
      <c r="K1570" s="13"/>
    </row>
    <row r="1571" spans="1:11" x14ac:dyDescent="0.25">
      <c r="A1571" s="10">
        <v>42104</v>
      </c>
      <c r="B1571" s="15">
        <f t="shared" si="48"/>
        <v>4</v>
      </c>
      <c r="C1571" s="15">
        <f t="shared" si="49"/>
        <v>2015</v>
      </c>
      <c r="D1571" s="13">
        <v>34.31</v>
      </c>
      <c r="E1571" s="13">
        <v>54.640633842671193</v>
      </c>
      <c r="F1571" s="13">
        <v>46.51</v>
      </c>
      <c r="G1571" s="13"/>
      <c r="H1571" s="13">
        <v>20.81</v>
      </c>
      <c r="I1571" s="13">
        <v>26.09</v>
      </c>
      <c r="J1571" s="13"/>
      <c r="K1571" s="13"/>
    </row>
    <row r="1572" spans="1:11" x14ac:dyDescent="0.25">
      <c r="A1572" s="10">
        <v>42107</v>
      </c>
      <c r="B1572" s="15">
        <f t="shared" si="48"/>
        <v>4</v>
      </c>
      <c r="C1572" s="15">
        <f t="shared" si="49"/>
        <v>2015</v>
      </c>
      <c r="D1572" s="13">
        <v>39.53</v>
      </c>
      <c r="E1572" s="13">
        <v>49.290176036342984</v>
      </c>
      <c r="F1572" s="13">
        <v>47.89</v>
      </c>
      <c r="G1572" s="13"/>
      <c r="H1572" s="13">
        <v>41.63</v>
      </c>
      <c r="I1572" s="13">
        <v>39.049999999999997</v>
      </c>
      <c r="J1572" s="13"/>
      <c r="K1572" s="13"/>
    </row>
    <row r="1573" spans="1:11" x14ac:dyDescent="0.25">
      <c r="A1573" s="10">
        <v>42108</v>
      </c>
      <c r="B1573" s="15">
        <f t="shared" si="48"/>
        <v>4</v>
      </c>
      <c r="C1573" s="15">
        <f t="shared" si="49"/>
        <v>2015</v>
      </c>
      <c r="D1573" s="13">
        <v>39.53</v>
      </c>
      <c r="E1573" s="13">
        <v>48.892226811866315</v>
      </c>
      <c r="F1573" s="13">
        <v>47.89</v>
      </c>
      <c r="G1573" s="13"/>
      <c r="H1573" s="13">
        <v>41.63</v>
      </c>
      <c r="I1573" s="13">
        <v>39.049999999999997</v>
      </c>
      <c r="J1573" s="13"/>
      <c r="K1573" s="13"/>
    </row>
    <row r="1574" spans="1:11" x14ac:dyDescent="0.25">
      <c r="A1574" s="10">
        <v>42109</v>
      </c>
      <c r="B1574" s="15">
        <f t="shared" si="48"/>
        <v>4</v>
      </c>
      <c r="C1574" s="15">
        <f t="shared" si="49"/>
        <v>2015</v>
      </c>
      <c r="D1574" s="13">
        <v>39.53</v>
      </c>
      <c r="E1574" s="13">
        <v>48.745788094346686</v>
      </c>
      <c r="F1574" s="13">
        <v>47.89</v>
      </c>
      <c r="G1574" s="13"/>
      <c r="H1574" s="13">
        <v>41.63</v>
      </c>
      <c r="I1574" s="13">
        <v>39.049999999999997</v>
      </c>
      <c r="J1574" s="13"/>
      <c r="K1574" s="13"/>
    </row>
    <row r="1575" spans="1:11" x14ac:dyDescent="0.25">
      <c r="A1575" s="10">
        <v>42110</v>
      </c>
      <c r="B1575" s="15">
        <f t="shared" si="48"/>
        <v>4</v>
      </c>
      <c r="C1575" s="15">
        <f t="shared" si="49"/>
        <v>2015</v>
      </c>
      <c r="D1575" s="13">
        <v>39.53</v>
      </c>
      <c r="E1575" s="13">
        <v>48.40148698884758</v>
      </c>
      <c r="F1575" s="13">
        <v>47.89</v>
      </c>
      <c r="G1575" s="13"/>
      <c r="H1575" s="13">
        <v>41.63</v>
      </c>
      <c r="I1575" s="13">
        <v>39.049999999999997</v>
      </c>
      <c r="J1575" s="13"/>
      <c r="K1575" s="13"/>
    </row>
    <row r="1576" spans="1:11" x14ac:dyDescent="0.25">
      <c r="A1576" s="10">
        <v>42111</v>
      </c>
      <c r="B1576" s="15">
        <f t="shared" si="48"/>
        <v>4</v>
      </c>
      <c r="C1576" s="15">
        <f t="shared" si="49"/>
        <v>2015</v>
      </c>
      <c r="D1576" s="13">
        <v>39.53</v>
      </c>
      <c r="E1576" s="13">
        <v>48.199907450254507</v>
      </c>
      <c r="F1576" s="13">
        <v>47.89</v>
      </c>
      <c r="G1576" s="13"/>
      <c r="H1576" s="13">
        <v>41.63</v>
      </c>
      <c r="I1576" s="13">
        <v>39.049999999999997</v>
      </c>
      <c r="J1576" s="13"/>
      <c r="K1576" s="13"/>
    </row>
    <row r="1577" spans="1:11" x14ac:dyDescent="0.25">
      <c r="A1577" s="10">
        <v>42114</v>
      </c>
      <c r="B1577" s="15">
        <f t="shared" si="48"/>
        <v>4</v>
      </c>
      <c r="C1577" s="15">
        <f t="shared" si="49"/>
        <v>2015</v>
      </c>
      <c r="D1577" s="13">
        <v>45.52</v>
      </c>
      <c r="E1577" s="13">
        <v>33.112891207153496</v>
      </c>
      <c r="F1577" s="13">
        <v>31.35</v>
      </c>
      <c r="G1577" s="13"/>
      <c r="H1577" s="13">
        <v>40.94</v>
      </c>
      <c r="I1577" s="13">
        <v>12.49</v>
      </c>
      <c r="J1577" s="13"/>
      <c r="K1577" s="13"/>
    </row>
    <row r="1578" spans="1:11" x14ac:dyDescent="0.25">
      <c r="A1578" s="10">
        <v>42115</v>
      </c>
      <c r="B1578" s="15">
        <f t="shared" si="48"/>
        <v>4</v>
      </c>
      <c r="C1578" s="15">
        <f t="shared" si="49"/>
        <v>2015</v>
      </c>
      <c r="D1578" s="13">
        <v>45.52</v>
      </c>
      <c r="E1578" s="13">
        <v>33.122146650517095</v>
      </c>
      <c r="F1578" s="13">
        <v>31.35</v>
      </c>
      <c r="G1578" s="13"/>
      <c r="H1578" s="13">
        <v>40.94</v>
      </c>
      <c r="I1578" s="13">
        <v>12.49</v>
      </c>
      <c r="J1578" s="13"/>
      <c r="K1578" s="13"/>
    </row>
    <row r="1579" spans="1:11" x14ac:dyDescent="0.25">
      <c r="A1579" s="10">
        <v>42116</v>
      </c>
      <c r="B1579" s="15">
        <f t="shared" si="48"/>
        <v>4</v>
      </c>
      <c r="C1579" s="15">
        <f t="shared" si="49"/>
        <v>2015</v>
      </c>
      <c r="D1579" s="13">
        <v>45.52</v>
      </c>
      <c r="E1579" s="13">
        <v>33.146853146853147</v>
      </c>
      <c r="F1579" s="13">
        <v>31.35</v>
      </c>
      <c r="G1579" s="13"/>
      <c r="H1579" s="13">
        <v>40.94</v>
      </c>
      <c r="I1579" s="13">
        <v>12.49</v>
      </c>
      <c r="J1579" s="13"/>
      <c r="K1579" s="13"/>
    </row>
    <row r="1580" spans="1:11" x14ac:dyDescent="0.25">
      <c r="A1580" s="10">
        <v>42117</v>
      </c>
      <c r="B1580" s="15">
        <f t="shared" si="48"/>
        <v>4</v>
      </c>
      <c r="C1580" s="15">
        <f t="shared" si="49"/>
        <v>2015</v>
      </c>
      <c r="D1580" s="13">
        <v>45.52</v>
      </c>
      <c r="E1580" s="13">
        <v>32.843680709534361</v>
      </c>
      <c r="F1580" s="13">
        <v>31.35</v>
      </c>
      <c r="G1580" s="13"/>
      <c r="H1580" s="13">
        <v>40.94</v>
      </c>
      <c r="I1580" s="13">
        <v>12.49</v>
      </c>
      <c r="J1580" s="13"/>
      <c r="K1580" s="13"/>
    </row>
    <row r="1581" spans="1:11" x14ac:dyDescent="0.25">
      <c r="A1581" s="10">
        <v>42118</v>
      </c>
      <c r="B1581" s="15">
        <f t="shared" si="48"/>
        <v>4</v>
      </c>
      <c r="C1581" s="15">
        <f t="shared" si="49"/>
        <v>2015</v>
      </c>
      <c r="D1581" s="13">
        <v>45.52</v>
      </c>
      <c r="E1581" s="13">
        <v>32.698675496688743</v>
      </c>
      <c r="F1581" s="13">
        <v>31.35</v>
      </c>
      <c r="G1581" s="13"/>
      <c r="H1581" s="13">
        <v>40.94</v>
      </c>
      <c r="I1581" s="13">
        <v>12.49</v>
      </c>
      <c r="J1581" s="13"/>
      <c r="K1581" s="13"/>
    </row>
    <row r="1582" spans="1:11" x14ac:dyDescent="0.25">
      <c r="A1582" s="10">
        <v>42121</v>
      </c>
      <c r="B1582" s="15">
        <f t="shared" si="48"/>
        <v>4</v>
      </c>
      <c r="C1582" s="15">
        <f t="shared" si="49"/>
        <v>2015</v>
      </c>
      <c r="D1582" s="13">
        <v>55.06</v>
      </c>
      <c r="E1582" s="13">
        <v>15.368363035090942</v>
      </c>
      <c r="F1582" s="13">
        <v>21.84</v>
      </c>
      <c r="G1582" s="13"/>
      <c r="H1582" s="13">
        <v>51.11</v>
      </c>
      <c r="I1582" s="13">
        <v>30.79</v>
      </c>
      <c r="J1582" s="13"/>
      <c r="K1582" s="13"/>
    </row>
    <row r="1583" spans="1:11" x14ac:dyDescent="0.25">
      <c r="A1583" s="10">
        <v>42122</v>
      </c>
      <c r="B1583" s="15">
        <f t="shared" si="48"/>
        <v>4</v>
      </c>
      <c r="C1583" s="15">
        <f t="shared" si="49"/>
        <v>2015</v>
      </c>
      <c r="D1583" s="13">
        <v>55.06</v>
      </c>
      <c r="E1583" s="13">
        <v>15.236794171220399</v>
      </c>
      <c r="F1583" s="13">
        <v>21.84</v>
      </c>
      <c r="G1583" s="13"/>
      <c r="H1583" s="13">
        <v>51.11</v>
      </c>
      <c r="I1583" s="13">
        <v>30.79</v>
      </c>
      <c r="J1583" s="13"/>
      <c r="K1583" s="13"/>
    </row>
    <row r="1584" spans="1:11" x14ac:dyDescent="0.25">
      <c r="A1584" s="10">
        <v>42123</v>
      </c>
      <c r="B1584" s="15">
        <f t="shared" si="48"/>
        <v>4</v>
      </c>
      <c r="C1584" s="15">
        <f t="shared" si="49"/>
        <v>2015</v>
      </c>
      <c r="D1584" s="13">
        <v>55.06</v>
      </c>
      <c r="E1584" s="13">
        <v>15.032797196513613</v>
      </c>
      <c r="F1584" s="13">
        <v>21.84</v>
      </c>
      <c r="G1584" s="13"/>
      <c r="H1584" s="13">
        <v>51.11</v>
      </c>
      <c r="I1584" s="13">
        <v>30.79</v>
      </c>
      <c r="J1584" s="13"/>
      <c r="K1584" s="13"/>
    </row>
    <row r="1585" spans="1:11" x14ac:dyDescent="0.25">
      <c r="A1585" s="10">
        <v>42124</v>
      </c>
      <c r="B1585" s="15">
        <f t="shared" si="48"/>
        <v>4</v>
      </c>
      <c r="C1585" s="15">
        <f t="shared" si="49"/>
        <v>2015</v>
      </c>
      <c r="D1585" s="13">
        <v>55.06</v>
      </c>
      <c r="E1585" s="13">
        <v>14.908216004277312</v>
      </c>
      <c r="F1585" s="13">
        <v>21.84</v>
      </c>
      <c r="G1585" s="13"/>
      <c r="H1585" s="13">
        <v>51.11</v>
      </c>
      <c r="I1585" s="13">
        <v>30.79</v>
      </c>
      <c r="J1585" s="13"/>
      <c r="K1585" s="13"/>
    </row>
    <row r="1586" spans="1:11" x14ac:dyDescent="0.25">
      <c r="A1586" s="10">
        <v>42125</v>
      </c>
      <c r="B1586" s="15">
        <f t="shared" si="48"/>
        <v>5</v>
      </c>
      <c r="C1586" s="15">
        <f t="shared" si="49"/>
        <v>2015</v>
      </c>
      <c r="D1586" s="13">
        <v>55.06</v>
      </c>
      <c r="E1586" s="13">
        <v>14.937499999999998</v>
      </c>
      <c r="F1586" s="13">
        <v>21.84</v>
      </c>
      <c r="G1586" s="13"/>
      <c r="H1586" s="13">
        <v>51.11</v>
      </c>
      <c r="I1586" s="13">
        <v>30.79</v>
      </c>
      <c r="J1586" s="13"/>
      <c r="K1586" s="13"/>
    </row>
    <row r="1587" spans="1:11" x14ac:dyDescent="0.25">
      <c r="A1587" s="10">
        <v>42128</v>
      </c>
      <c r="B1587" s="15">
        <f t="shared" si="48"/>
        <v>5</v>
      </c>
      <c r="C1587" s="15">
        <f t="shared" si="49"/>
        <v>2015</v>
      </c>
      <c r="D1587" s="13">
        <v>51.05</v>
      </c>
      <c r="E1587" s="13">
        <v>25.035893754486718</v>
      </c>
      <c r="F1587" s="13">
        <v>25.63</v>
      </c>
      <c r="G1587" s="13"/>
      <c r="H1587" s="13">
        <v>52.76</v>
      </c>
      <c r="I1587" s="13">
        <v>27.04</v>
      </c>
      <c r="J1587" s="13"/>
      <c r="K1587" s="13"/>
    </row>
    <row r="1588" spans="1:11" x14ac:dyDescent="0.25">
      <c r="A1588" s="10">
        <v>42129</v>
      </c>
      <c r="B1588" s="15">
        <f t="shared" si="48"/>
        <v>5</v>
      </c>
      <c r="C1588" s="15">
        <f t="shared" si="49"/>
        <v>2015</v>
      </c>
      <c r="D1588" s="13">
        <v>51.05</v>
      </c>
      <c r="E1588" s="13">
        <v>24.946351931330469</v>
      </c>
      <c r="F1588" s="13">
        <v>25.63</v>
      </c>
      <c r="G1588" s="13"/>
      <c r="H1588" s="13">
        <v>52.76</v>
      </c>
      <c r="I1588" s="13">
        <v>27.04</v>
      </c>
      <c r="J1588" s="13"/>
      <c r="K1588" s="13"/>
    </row>
    <row r="1589" spans="1:11" x14ac:dyDescent="0.25">
      <c r="A1589" s="10">
        <v>42130</v>
      </c>
      <c r="B1589" s="15">
        <f t="shared" si="48"/>
        <v>5</v>
      </c>
      <c r="C1589" s="15">
        <f t="shared" si="49"/>
        <v>2015</v>
      </c>
      <c r="D1589" s="13">
        <v>51.05</v>
      </c>
      <c r="E1589" s="13">
        <v>24.579332217425776</v>
      </c>
      <c r="F1589" s="13">
        <v>25.63</v>
      </c>
      <c r="G1589" s="13"/>
      <c r="H1589" s="13">
        <v>52.76</v>
      </c>
      <c r="I1589" s="13">
        <v>27.04</v>
      </c>
      <c r="J1589" s="13"/>
      <c r="K1589" s="13"/>
    </row>
    <row r="1590" spans="1:11" x14ac:dyDescent="0.25">
      <c r="A1590" s="10">
        <v>42131</v>
      </c>
      <c r="B1590" s="15">
        <f t="shared" si="48"/>
        <v>5</v>
      </c>
      <c r="C1590" s="15">
        <f t="shared" si="49"/>
        <v>2015</v>
      </c>
      <c r="D1590" s="13">
        <v>51.05</v>
      </c>
      <c r="E1590" s="13">
        <v>24.766977363515309</v>
      </c>
      <c r="F1590" s="13">
        <v>25.63</v>
      </c>
      <c r="G1590" s="13"/>
      <c r="H1590" s="13">
        <v>52.76</v>
      </c>
      <c r="I1590" s="13">
        <v>27.04</v>
      </c>
      <c r="J1590" s="13"/>
      <c r="K1590" s="13"/>
    </row>
    <row r="1591" spans="1:11" x14ac:dyDescent="0.25">
      <c r="A1591" s="10">
        <v>42132</v>
      </c>
      <c r="B1591" s="15">
        <f t="shared" si="48"/>
        <v>5</v>
      </c>
      <c r="C1591" s="15">
        <f t="shared" si="49"/>
        <v>2015</v>
      </c>
      <c r="D1591" s="13">
        <v>51.05</v>
      </c>
      <c r="E1591" s="13">
        <v>24.904043559760776</v>
      </c>
      <c r="F1591" s="13">
        <v>25.63</v>
      </c>
      <c r="G1591" s="13"/>
      <c r="H1591" s="13">
        <v>52.76</v>
      </c>
      <c r="I1591" s="13">
        <v>27.04</v>
      </c>
      <c r="J1591" s="13"/>
      <c r="K1591" s="13"/>
    </row>
    <row r="1592" spans="1:11" x14ac:dyDescent="0.25">
      <c r="A1592" s="10">
        <v>42135</v>
      </c>
      <c r="B1592" s="15">
        <f t="shared" si="48"/>
        <v>5</v>
      </c>
      <c r="C1592" s="15">
        <f t="shared" si="49"/>
        <v>2015</v>
      </c>
      <c r="D1592" s="13">
        <v>45.69</v>
      </c>
      <c r="E1592" s="13">
        <v>24.744486282947825</v>
      </c>
      <c r="F1592" s="13">
        <v>13.59</v>
      </c>
      <c r="G1592" s="13"/>
      <c r="H1592" s="13">
        <v>50.94</v>
      </c>
      <c r="I1592" s="13">
        <v>17.29</v>
      </c>
      <c r="J1592" s="13"/>
      <c r="K1592" s="13"/>
    </row>
    <row r="1593" spans="1:11" x14ac:dyDescent="0.25">
      <c r="A1593" s="10">
        <v>42136</v>
      </c>
      <c r="B1593" s="15">
        <f t="shared" si="48"/>
        <v>5</v>
      </c>
      <c r="C1593" s="15">
        <f t="shared" si="49"/>
        <v>2015</v>
      </c>
      <c r="D1593" s="13">
        <v>45.69</v>
      </c>
      <c r="E1593" s="13">
        <v>24.614286988317133</v>
      </c>
      <c r="F1593" s="13">
        <v>13.59</v>
      </c>
      <c r="G1593" s="13"/>
      <c r="H1593" s="13">
        <v>50.94</v>
      </c>
      <c r="I1593" s="13">
        <v>17.29</v>
      </c>
      <c r="J1593" s="13"/>
      <c r="K1593" s="13"/>
    </row>
    <row r="1594" spans="1:11" x14ac:dyDescent="0.25">
      <c r="A1594" s="10">
        <v>42137</v>
      </c>
      <c r="B1594" s="15">
        <f t="shared" si="48"/>
        <v>5</v>
      </c>
      <c r="C1594" s="15">
        <f t="shared" si="49"/>
        <v>2015</v>
      </c>
      <c r="D1594" s="13">
        <v>45.69</v>
      </c>
      <c r="E1594" s="13">
        <v>24.306472919418759</v>
      </c>
      <c r="F1594" s="13">
        <v>13.59</v>
      </c>
      <c r="G1594" s="13"/>
      <c r="H1594" s="13">
        <v>50.94</v>
      </c>
      <c r="I1594" s="13">
        <v>17.29</v>
      </c>
      <c r="J1594" s="13"/>
      <c r="K1594" s="13"/>
    </row>
    <row r="1595" spans="1:11" x14ac:dyDescent="0.25">
      <c r="A1595" s="10">
        <v>42138</v>
      </c>
      <c r="B1595" s="15">
        <f t="shared" si="48"/>
        <v>5</v>
      </c>
      <c r="C1595" s="15">
        <f t="shared" si="49"/>
        <v>2015</v>
      </c>
      <c r="D1595" s="13">
        <v>45.69</v>
      </c>
      <c r="E1595" s="13">
        <v>24.193548387096776</v>
      </c>
      <c r="F1595" s="13">
        <v>13.59</v>
      </c>
      <c r="G1595" s="13"/>
      <c r="H1595" s="13">
        <v>50.94</v>
      </c>
      <c r="I1595" s="13">
        <v>17.29</v>
      </c>
      <c r="J1595" s="13"/>
      <c r="K1595" s="13"/>
    </row>
    <row r="1596" spans="1:11" x14ac:dyDescent="0.25">
      <c r="A1596" s="10">
        <v>42139</v>
      </c>
      <c r="B1596" s="15">
        <f t="shared" si="48"/>
        <v>5</v>
      </c>
      <c r="C1596" s="15">
        <f t="shared" si="49"/>
        <v>2015</v>
      </c>
      <c r="D1596" s="13">
        <v>45.69</v>
      </c>
      <c r="E1596" s="13">
        <v>24.10269845428347</v>
      </c>
      <c r="F1596" s="13">
        <v>13.59</v>
      </c>
      <c r="G1596" s="13"/>
      <c r="H1596" s="13">
        <v>50.94</v>
      </c>
      <c r="I1596" s="13">
        <v>17.29</v>
      </c>
      <c r="J1596" s="13"/>
      <c r="K1596" s="13"/>
    </row>
    <row r="1597" spans="1:11" x14ac:dyDescent="0.25">
      <c r="A1597" s="10">
        <v>42142</v>
      </c>
      <c r="B1597" s="15">
        <f t="shared" si="48"/>
        <v>5</v>
      </c>
      <c r="C1597" s="15">
        <f t="shared" si="49"/>
        <v>2015</v>
      </c>
      <c r="D1597" s="13">
        <v>37.090000000000003</v>
      </c>
      <c r="E1597" s="13">
        <v>22.043485946614815</v>
      </c>
      <c r="F1597" s="13">
        <v>9.51</v>
      </c>
      <c r="G1597" s="13"/>
      <c r="H1597" s="13">
        <v>35.03</v>
      </c>
      <c r="I1597" s="13">
        <v>10.71</v>
      </c>
      <c r="J1597" s="13"/>
      <c r="K1597" s="13"/>
    </row>
    <row r="1598" spans="1:11" x14ac:dyDescent="0.25">
      <c r="A1598" s="10">
        <v>42143</v>
      </c>
      <c r="B1598" s="15">
        <f t="shared" si="48"/>
        <v>5</v>
      </c>
      <c r="C1598" s="15">
        <f t="shared" si="49"/>
        <v>2015</v>
      </c>
      <c r="D1598" s="13">
        <v>37.090000000000003</v>
      </c>
      <c r="E1598" s="13">
        <v>22.373732842917377</v>
      </c>
      <c r="F1598" s="13">
        <v>9.51</v>
      </c>
      <c r="G1598" s="13"/>
      <c r="H1598" s="13">
        <v>35.03</v>
      </c>
      <c r="I1598" s="13">
        <v>10.71</v>
      </c>
      <c r="J1598" s="13"/>
      <c r="K1598" s="13"/>
    </row>
    <row r="1599" spans="1:11" x14ac:dyDescent="0.25">
      <c r="A1599" s="10">
        <v>42144</v>
      </c>
      <c r="B1599" s="15">
        <f t="shared" si="48"/>
        <v>5</v>
      </c>
      <c r="C1599" s="15">
        <f t="shared" si="49"/>
        <v>2015</v>
      </c>
      <c r="D1599" s="13">
        <v>37.090000000000003</v>
      </c>
      <c r="E1599" s="13">
        <v>22.486700928680914</v>
      </c>
      <c r="F1599" s="13">
        <v>9.51</v>
      </c>
      <c r="G1599" s="13"/>
      <c r="H1599" s="13">
        <v>35.03</v>
      </c>
      <c r="I1599" s="13">
        <v>10.71</v>
      </c>
      <c r="J1599" s="13"/>
      <c r="K1599" s="13"/>
    </row>
    <row r="1600" spans="1:11" x14ac:dyDescent="0.25">
      <c r="A1600" s="10">
        <v>42145</v>
      </c>
      <c r="B1600" s="15">
        <f t="shared" si="48"/>
        <v>5</v>
      </c>
      <c r="C1600" s="15">
        <f t="shared" si="49"/>
        <v>2015</v>
      </c>
      <c r="D1600" s="13">
        <v>37.090000000000003</v>
      </c>
      <c r="E1600" s="13">
        <v>22.444204463642912</v>
      </c>
      <c r="F1600" s="13">
        <v>9.51</v>
      </c>
      <c r="G1600" s="13"/>
      <c r="H1600" s="13">
        <v>35.03</v>
      </c>
      <c r="I1600" s="13">
        <v>10.71</v>
      </c>
      <c r="J1600" s="13"/>
      <c r="K1600" s="13"/>
    </row>
    <row r="1601" spans="1:11" x14ac:dyDescent="0.25">
      <c r="A1601" s="10">
        <v>42146</v>
      </c>
      <c r="B1601" s="15">
        <f t="shared" si="48"/>
        <v>5</v>
      </c>
      <c r="C1601" s="15">
        <f t="shared" si="49"/>
        <v>2015</v>
      </c>
      <c r="D1601" s="13">
        <v>37.090000000000003</v>
      </c>
      <c r="E1601" s="13">
        <v>22.641852019972767</v>
      </c>
      <c r="F1601" s="13">
        <v>9.51</v>
      </c>
      <c r="G1601" s="13"/>
      <c r="H1601" s="13">
        <v>35.03</v>
      </c>
      <c r="I1601" s="13">
        <v>10.71</v>
      </c>
      <c r="J1601" s="13"/>
      <c r="K1601" s="13"/>
    </row>
    <row r="1602" spans="1:11" x14ac:dyDescent="0.25">
      <c r="A1602" s="10">
        <v>42150</v>
      </c>
      <c r="B1602" s="15">
        <f t="shared" si="48"/>
        <v>5</v>
      </c>
      <c r="C1602" s="15">
        <f t="shared" si="49"/>
        <v>2015</v>
      </c>
      <c r="D1602" s="13">
        <v>59.84</v>
      </c>
      <c r="E1602" s="13">
        <v>35.850271314264688</v>
      </c>
      <c r="F1602" s="13">
        <v>36.58</v>
      </c>
      <c r="G1602" s="13"/>
      <c r="H1602" s="13">
        <v>49.7</v>
      </c>
      <c r="I1602" s="13">
        <v>44.05</v>
      </c>
      <c r="J1602" s="13"/>
      <c r="K1602" s="13"/>
    </row>
    <row r="1603" spans="1:11" x14ac:dyDescent="0.25">
      <c r="A1603" s="10">
        <v>42151</v>
      </c>
      <c r="B1603" s="15">
        <f t="shared" ref="B1603:B1666" si="50">MONTH(A1603)</f>
        <v>5</v>
      </c>
      <c r="C1603" s="15">
        <f t="shared" ref="C1603:C1666" si="51">YEAR(A1603)</f>
        <v>2015</v>
      </c>
      <c r="D1603" s="13">
        <v>59.84</v>
      </c>
      <c r="E1603" s="13">
        <v>35.751627992295695</v>
      </c>
      <c r="F1603" s="13">
        <v>36.58</v>
      </c>
      <c r="G1603" s="13"/>
      <c r="H1603" s="13">
        <v>49.7</v>
      </c>
      <c r="I1603" s="13">
        <v>44.05</v>
      </c>
      <c r="J1603" s="13"/>
      <c r="K1603" s="13"/>
    </row>
    <row r="1604" spans="1:11" x14ac:dyDescent="0.25">
      <c r="A1604" s="10">
        <v>42152</v>
      </c>
      <c r="B1604" s="15">
        <f t="shared" si="50"/>
        <v>5</v>
      </c>
      <c r="C1604" s="15">
        <f t="shared" si="51"/>
        <v>2015</v>
      </c>
      <c r="D1604" s="13">
        <v>59.84</v>
      </c>
      <c r="E1604" s="13">
        <v>35.611182167001644</v>
      </c>
      <c r="F1604" s="13">
        <v>36.58</v>
      </c>
      <c r="G1604" s="13"/>
      <c r="H1604" s="13">
        <v>49.7</v>
      </c>
      <c r="I1604" s="13">
        <v>44.05</v>
      </c>
      <c r="J1604" s="13"/>
      <c r="K1604" s="13"/>
    </row>
    <row r="1605" spans="1:11" x14ac:dyDescent="0.25">
      <c r="A1605" s="10">
        <v>42153</v>
      </c>
      <c r="B1605" s="15">
        <f t="shared" si="50"/>
        <v>5</v>
      </c>
      <c r="C1605" s="15">
        <f t="shared" si="51"/>
        <v>2015</v>
      </c>
      <c r="D1605" s="13">
        <v>59.84</v>
      </c>
      <c r="E1605" s="13">
        <v>35.478292527532538</v>
      </c>
      <c r="F1605" s="13">
        <v>36.58</v>
      </c>
      <c r="G1605" s="13"/>
      <c r="H1605" s="13">
        <v>49.7</v>
      </c>
      <c r="I1605" s="13">
        <v>44.05</v>
      </c>
      <c r="J1605" s="13"/>
      <c r="K1605" s="13"/>
    </row>
    <row r="1606" spans="1:11" x14ac:dyDescent="0.25">
      <c r="A1606" s="10">
        <v>42156</v>
      </c>
      <c r="B1606" s="15">
        <f t="shared" si="50"/>
        <v>6</v>
      </c>
      <c r="C1606" s="15">
        <f t="shared" si="51"/>
        <v>2015</v>
      </c>
      <c r="D1606" s="13">
        <v>52.94</v>
      </c>
      <c r="E1606" s="13">
        <v>29.391304347826086</v>
      </c>
      <c r="F1606" s="13">
        <v>12.81</v>
      </c>
      <c r="G1606" s="13"/>
      <c r="H1606" s="13">
        <v>55.49</v>
      </c>
      <c r="I1606" s="13">
        <v>23.65</v>
      </c>
      <c r="J1606" s="13"/>
      <c r="K1606" s="13"/>
    </row>
    <row r="1607" spans="1:11" x14ac:dyDescent="0.25">
      <c r="A1607" s="10">
        <v>42157</v>
      </c>
      <c r="B1607" s="15">
        <f t="shared" si="50"/>
        <v>6</v>
      </c>
      <c r="C1607" s="15">
        <f t="shared" si="51"/>
        <v>2015</v>
      </c>
      <c r="D1607" s="13">
        <v>52.94</v>
      </c>
      <c r="E1607" s="13">
        <v>28.793041606886657</v>
      </c>
      <c r="F1607" s="13">
        <v>12.81</v>
      </c>
      <c r="G1607" s="13"/>
      <c r="H1607" s="13">
        <v>55.49</v>
      </c>
      <c r="I1607" s="13">
        <v>23.65</v>
      </c>
      <c r="J1607" s="13"/>
      <c r="K1607" s="13"/>
    </row>
    <row r="1608" spans="1:11" x14ac:dyDescent="0.25">
      <c r="A1608" s="10">
        <v>42158</v>
      </c>
      <c r="B1608" s="15">
        <f t="shared" si="50"/>
        <v>6</v>
      </c>
      <c r="C1608" s="15">
        <f t="shared" si="51"/>
        <v>2015</v>
      </c>
      <c r="D1608" s="13">
        <v>52.94</v>
      </c>
      <c r="E1608" s="13">
        <v>28.481461770445271</v>
      </c>
      <c r="F1608" s="13">
        <v>12.81</v>
      </c>
      <c r="G1608" s="13"/>
      <c r="H1608" s="13">
        <v>55.49</v>
      </c>
      <c r="I1608" s="13">
        <v>23.65</v>
      </c>
      <c r="J1608" s="13"/>
      <c r="K1608" s="13"/>
    </row>
    <row r="1609" spans="1:11" x14ac:dyDescent="0.25">
      <c r="A1609" s="10">
        <v>42159</v>
      </c>
      <c r="B1609" s="15">
        <f t="shared" si="50"/>
        <v>6</v>
      </c>
      <c r="C1609" s="15">
        <f t="shared" si="51"/>
        <v>2015</v>
      </c>
      <c r="D1609" s="13">
        <v>52.94</v>
      </c>
      <c r="E1609" s="13">
        <v>28.575242502447274</v>
      </c>
      <c r="F1609" s="13">
        <v>12.81</v>
      </c>
      <c r="G1609" s="13"/>
      <c r="H1609" s="13">
        <v>55.49</v>
      </c>
      <c r="I1609" s="13">
        <v>23.65</v>
      </c>
      <c r="J1609" s="13"/>
      <c r="K1609" s="13"/>
    </row>
    <row r="1610" spans="1:11" x14ac:dyDescent="0.25">
      <c r="A1610" s="10">
        <v>42160</v>
      </c>
      <c r="B1610" s="15">
        <f t="shared" si="50"/>
        <v>6</v>
      </c>
      <c r="C1610" s="15">
        <f t="shared" si="51"/>
        <v>2015</v>
      </c>
      <c r="D1610" s="13">
        <v>52.94</v>
      </c>
      <c r="E1610" s="13">
        <v>28.899288992889929</v>
      </c>
      <c r="F1610" s="13">
        <v>12.81</v>
      </c>
      <c r="G1610" s="13"/>
      <c r="H1610" s="13">
        <v>55.49</v>
      </c>
      <c r="I1610" s="13">
        <v>23.65</v>
      </c>
      <c r="J1610" s="13"/>
      <c r="K1610" s="13"/>
    </row>
    <row r="1611" spans="1:11" x14ac:dyDescent="0.25">
      <c r="A1611" s="10">
        <v>42163</v>
      </c>
      <c r="B1611" s="15">
        <f t="shared" si="50"/>
        <v>6</v>
      </c>
      <c r="C1611" s="15">
        <f t="shared" si="51"/>
        <v>2015</v>
      </c>
      <c r="D1611" s="13">
        <v>22.02</v>
      </c>
      <c r="E1611" s="13">
        <v>19.183420423346028</v>
      </c>
      <c r="F1611" s="13">
        <v>2.25</v>
      </c>
      <c r="G1611" s="13"/>
      <c r="H1611" s="13">
        <v>25.38</v>
      </c>
      <c r="I1611" s="13">
        <v>0.96</v>
      </c>
      <c r="J1611" s="13"/>
      <c r="K1611" s="13"/>
    </row>
    <row r="1612" spans="1:11" x14ac:dyDescent="0.25">
      <c r="A1612" s="10">
        <v>42164</v>
      </c>
      <c r="B1612" s="15">
        <f t="shared" si="50"/>
        <v>6</v>
      </c>
      <c r="C1612" s="15">
        <f t="shared" si="51"/>
        <v>2015</v>
      </c>
      <c r="D1612" s="13">
        <v>22.02</v>
      </c>
      <c r="E1612" s="13">
        <v>19.197022068598777</v>
      </c>
      <c r="F1612" s="13">
        <v>2.25</v>
      </c>
      <c r="G1612" s="13"/>
      <c r="H1612" s="13">
        <v>25.38</v>
      </c>
      <c r="I1612" s="13">
        <v>0.96</v>
      </c>
      <c r="J1612" s="13"/>
      <c r="K1612" s="13"/>
    </row>
    <row r="1613" spans="1:11" x14ac:dyDescent="0.25">
      <c r="A1613" s="10">
        <v>42165</v>
      </c>
      <c r="B1613" s="15">
        <f t="shared" si="50"/>
        <v>6</v>
      </c>
      <c r="C1613" s="15">
        <f t="shared" si="51"/>
        <v>2015</v>
      </c>
      <c r="D1613" s="13">
        <v>22.02</v>
      </c>
      <c r="E1613" s="13">
        <v>19.127516778523489</v>
      </c>
      <c r="F1613" s="13">
        <v>2.25</v>
      </c>
      <c r="G1613" s="13"/>
      <c r="H1613" s="13">
        <v>25.38</v>
      </c>
      <c r="I1613" s="13">
        <v>0.96</v>
      </c>
      <c r="J1613" s="13"/>
      <c r="K1613" s="13"/>
    </row>
    <row r="1614" spans="1:11" x14ac:dyDescent="0.25">
      <c r="A1614" s="10">
        <v>42166</v>
      </c>
      <c r="B1614" s="15">
        <f t="shared" si="50"/>
        <v>6</v>
      </c>
      <c r="C1614" s="15">
        <f t="shared" si="51"/>
        <v>2015</v>
      </c>
      <c r="D1614" s="13">
        <v>22.02</v>
      </c>
      <c r="E1614" s="13">
        <v>19.241360930976281</v>
      </c>
      <c r="F1614" s="13">
        <v>2.25</v>
      </c>
      <c r="G1614" s="13"/>
      <c r="H1614" s="13">
        <v>25.38</v>
      </c>
      <c r="I1614" s="13">
        <v>0.96</v>
      </c>
      <c r="J1614" s="13"/>
      <c r="K1614" s="13"/>
    </row>
    <row r="1615" spans="1:11" x14ac:dyDescent="0.25">
      <c r="A1615" s="10">
        <v>42167</v>
      </c>
      <c r="B1615" s="15">
        <f t="shared" si="50"/>
        <v>6</v>
      </c>
      <c r="C1615" s="15">
        <f t="shared" si="51"/>
        <v>2015</v>
      </c>
      <c r="D1615" s="13">
        <v>22.02</v>
      </c>
      <c r="E1615" s="13">
        <v>19.222577209797656</v>
      </c>
      <c r="F1615" s="13">
        <v>2.25</v>
      </c>
      <c r="G1615" s="13"/>
      <c r="H1615" s="13">
        <v>25.38</v>
      </c>
      <c r="I1615" s="13">
        <v>0.96</v>
      </c>
      <c r="J1615" s="13"/>
      <c r="K1615" s="13"/>
    </row>
    <row r="1616" spans="1:11" x14ac:dyDescent="0.25">
      <c r="A1616" s="10">
        <v>42170</v>
      </c>
      <c r="B1616" s="15">
        <f t="shared" si="50"/>
        <v>6</v>
      </c>
      <c r="C1616" s="15">
        <f t="shared" si="51"/>
        <v>2015</v>
      </c>
      <c r="D1616" s="13">
        <v>21.83</v>
      </c>
      <c r="E1616" s="13">
        <v>15.979792608348843</v>
      </c>
      <c r="F1616" s="13">
        <v>2.4900000000000002</v>
      </c>
      <c r="G1616" s="13"/>
      <c r="H1616" s="13">
        <v>23.77</v>
      </c>
      <c r="I1616" s="13">
        <v>5.41</v>
      </c>
      <c r="J1616" s="13"/>
      <c r="K1616" s="13"/>
    </row>
    <row r="1617" spans="1:11" x14ac:dyDescent="0.25">
      <c r="A1617" s="10">
        <v>42171</v>
      </c>
      <c r="B1617" s="15">
        <f t="shared" si="50"/>
        <v>6</v>
      </c>
      <c r="C1617" s="15">
        <f t="shared" si="51"/>
        <v>2015</v>
      </c>
      <c r="D1617" s="13">
        <v>21.83</v>
      </c>
      <c r="E1617" s="13">
        <v>16.032367063844923</v>
      </c>
      <c r="F1617" s="13">
        <v>2.4900000000000002</v>
      </c>
      <c r="G1617" s="13"/>
      <c r="H1617" s="13">
        <v>23.77</v>
      </c>
      <c r="I1617" s="13">
        <v>5.41</v>
      </c>
      <c r="J1617" s="13"/>
      <c r="K1617" s="13"/>
    </row>
    <row r="1618" spans="1:11" x14ac:dyDescent="0.25">
      <c r="A1618" s="10">
        <v>42172</v>
      </c>
      <c r="B1618" s="15">
        <f t="shared" si="50"/>
        <v>6</v>
      </c>
      <c r="C1618" s="15">
        <f t="shared" si="51"/>
        <v>2015</v>
      </c>
      <c r="D1618" s="13">
        <v>21.83</v>
      </c>
      <c r="E1618" s="13">
        <v>15.906484340538158</v>
      </c>
      <c r="F1618" s="13">
        <v>2.4900000000000002</v>
      </c>
      <c r="G1618" s="13"/>
      <c r="H1618" s="13">
        <v>23.77</v>
      </c>
      <c r="I1618" s="13">
        <v>5.41</v>
      </c>
      <c r="J1618" s="13"/>
      <c r="K1618" s="13"/>
    </row>
    <row r="1619" spans="1:11" x14ac:dyDescent="0.25">
      <c r="A1619" s="10">
        <v>42173</v>
      </c>
      <c r="B1619" s="15">
        <f t="shared" si="50"/>
        <v>6</v>
      </c>
      <c r="C1619" s="15">
        <f t="shared" si="51"/>
        <v>2015</v>
      </c>
      <c r="D1619" s="13">
        <v>21.83</v>
      </c>
      <c r="E1619" s="13">
        <v>15.874273639725306</v>
      </c>
      <c r="F1619" s="13">
        <v>2.4900000000000002</v>
      </c>
      <c r="G1619" s="13"/>
      <c r="H1619" s="13">
        <v>23.77</v>
      </c>
      <c r="I1619" s="13">
        <v>5.41</v>
      </c>
      <c r="J1619" s="13"/>
      <c r="K1619" s="13"/>
    </row>
    <row r="1620" spans="1:11" x14ac:dyDescent="0.25">
      <c r="A1620" s="10">
        <v>42174</v>
      </c>
      <c r="B1620" s="15">
        <f t="shared" si="50"/>
        <v>6</v>
      </c>
      <c r="C1620" s="15">
        <f t="shared" si="51"/>
        <v>2015</v>
      </c>
      <c r="D1620" s="13">
        <v>21.83</v>
      </c>
      <c r="E1620" s="13">
        <v>15.882663847780128</v>
      </c>
      <c r="F1620" s="13">
        <v>2.4900000000000002</v>
      </c>
      <c r="G1620" s="13"/>
      <c r="H1620" s="13">
        <v>23.77</v>
      </c>
      <c r="I1620" s="13">
        <v>5.41</v>
      </c>
      <c r="J1620" s="13"/>
      <c r="K1620" s="13"/>
    </row>
    <row r="1621" spans="1:11" x14ac:dyDescent="0.25">
      <c r="A1621" s="10">
        <v>42177</v>
      </c>
      <c r="B1621" s="15">
        <f t="shared" si="50"/>
        <v>6</v>
      </c>
      <c r="C1621" s="15">
        <f t="shared" si="51"/>
        <v>2015</v>
      </c>
      <c r="D1621" s="13">
        <v>32.85</v>
      </c>
      <c r="E1621" s="13">
        <v>23.271604938271608</v>
      </c>
      <c r="F1621" s="13">
        <v>7.92</v>
      </c>
      <c r="G1621" s="13"/>
      <c r="H1621" s="13">
        <v>31.64</v>
      </c>
      <c r="I1621" s="13">
        <v>20.38</v>
      </c>
      <c r="J1621" s="13"/>
      <c r="K1621" s="13"/>
    </row>
    <row r="1622" spans="1:11" x14ac:dyDescent="0.25">
      <c r="A1622" s="10">
        <v>42178</v>
      </c>
      <c r="B1622" s="15">
        <f t="shared" si="50"/>
        <v>6</v>
      </c>
      <c r="C1622" s="15">
        <f t="shared" si="51"/>
        <v>2015</v>
      </c>
      <c r="D1622" s="13">
        <v>32.85</v>
      </c>
      <c r="E1622" s="13">
        <v>23.627898648043693</v>
      </c>
      <c r="F1622" s="13">
        <v>7.92</v>
      </c>
      <c r="G1622" s="13"/>
      <c r="H1622" s="13">
        <v>31.64</v>
      </c>
      <c r="I1622" s="13">
        <v>20.38</v>
      </c>
      <c r="J1622" s="13"/>
      <c r="K1622" s="13"/>
    </row>
    <row r="1623" spans="1:11" x14ac:dyDescent="0.25">
      <c r="A1623" s="10">
        <v>42179</v>
      </c>
      <c r="B1623" s="15">
        <f t="shared" si="50"/>
        <v>6</v>
      </c>
      <c r="C1623" s="15">
        <f t="shared" si="51"/>
        <v>2015</v>
      </c>
      <c r="D1623" s="13">
        <v>32.85</v>
      </c>
      <c r="E1623" s="13">
        <v>23.551985720660419</v>
      </c>
      <c r="F1623" s="13">
        <v>7.92</v>
      </c>
      <c r="G1623" s="13"/>
      <c r="H1623" s="13">
        <v>31.64</v>
      </c>
      <c r="I1623" s="13">
        <v>20.38</v>
      </c>
      <c r="J1623" s="13"/>
      <c r="K1623" s="13"/>
    </row>
    <row r="1624" spans="1:11" x14ac:dyDescent="0.25">
      <c r="A1624" s="10">
        <v>42180</v>
      </c>
      <c r="B1624" s="15">
        <f t="shared" si="50"/>
        <v>6</v>
      </c>
      <c r="C1624" s="15">
        <f t="shared" si="51"/>
        <v>2015</v>
      </c>
      <c r="D1624" s="13">
        <v>32.85</v>
      </c>
      <c r="E1624" s="13">
        <v>23.554087825776506</v>
      </c>
      <c r="F1624" s="13">
        <v>7.92</v>
      </c>
      <c r="G1624" s="13"/>
      <c r="H1624" s="13">
        <v>31.64</v>
      </c>
      <c r="I1624" s="13">
        <v>20.38</v>
      </c>
      <c r="J1624" s="13"/>
      <c r="K1624" s="13"/>
    </row>
    <row r="1625" spans="1:11" x14ac:dyDescent="0.25">
      <c r="A1625" s="10">
        <v>42181</v>
      </c>
      <c r="B1625" s="15">
        <f t="shared" si="50"/>
        <v>6</v>
      </c>
      <c r="C1625" s="15">
        <f t="shared" si="51"/>
        <v>2015</v>
      </c>
      <c r="D1625" s="13">
        <v>32.85</v>
      </c>
      <c r="E1625" s="13">
        <v>23.638480831243282</v>
      </c>
      <c r="F1625" s="13">
        <v>7.92</v>
      </c>
      <c r="G1625" s="13"/>
      <c r="H1625" s="13">
        <v>31.64</v>
      </c>
      <c r="I1625" s="13">
        <v>20.38</v>
      </c>
      <c r="J1625" s="13"/>
      <c r="K1625" s="13"/>
    </row>
    <row r="1626" spans="1:11" x14ac:dyDescent="0.25">
      <c r="A1626" s="10">
        <v>42184</v>
      </c>
      <c r="B1626" s="15">
        <f t="shared" si="50"/>
        <v>6</v>
      </c>
      <c r="C1626" s="15">
        <f t="shared" si="51"/>
        <v>2015</v>
      </c>
      <c r="D1626" s="13">
        <v>17.68</v>
      </c>
      <c r="E1626" s="13">
        <v>17.917222963951936</v>
      </c>
      <c r="F1626" s="13">
        <v>6.06</v>
      </c>
      <c r="G1626" s="13"/>
      <c r="H1626" s="13">
        <v>25.03</v>
      </c>
      <c r="I1626" s="13">
        <v>-4.22</v>
      </c>
      <c r="J1626" s="13"/>
      <c r="K1626" s="13"/>
    </row>
    <row r="1627" spans="1:11" x14ac:dyDescent="0.25">
      <c r="A1627" s="10">
        <v>42185</v>
      </c>
      <c r="B1627" s="15">
        <f t="shared" si="50"/>
        <v>6</v>
      </c>
      <c r="C1627" s="15">
        <f t="shared" si="51"/>
        <v>2015</v>
      </c>
      <c r="D1627" s="13">
        <v>17.68</v>
      </c>
      <c r="E1627" s="13">
        <v>18.078132016165245</v>
      </c>
      <c r="F1627" s="13">
        <v>6.06</v>
      </c>
      <c r="G1627" s="13"/>
      <c r="H1627" s="13">
        <v>25.03</v>
      </c>
      <c r="I1627" s="13">
        <v>-4.22</v>
      </c>
      <c r="J1627" s="13"/>
      <c r="K1627" s="13"/>
    </row>
    <row r="1628" spans="1:11" x14ac:dyDescent="0.25">
      <c r="A1628" s="10">
        <v>42186</v>
      </c>
      <c r="B1628" s="15">
        <f t="shared" si="50"/>
        <v>7</v>
      </c>
      <c r="C1628" s="15">
        <f t="shared" si="51"/>
        <v>2015</v>
      </c>
      <c r="D1628" s="13">
        <v>17.68</v>
      </c>
      <c r="E1628" s="13">
        <v>18.213897937024974</v>
      </c>
      <c r="F1628" s="13">
        <v>6.06</v>
      </c>
      <c r="G1628" s="13"/>
      <c r="H1628" s="13">
        <v>25.03</v>
      </c>
      <c r="I1628" s="13">
        <v>-4.22</v>
      </c>
      <c r="J1628" s="13"/>
      <c r="K1628" s="13"/>
    </row>
    <row r="1629" spans="1:11" x14ac:dyDescent="0.25">
      <c r="A1629" s="10">
        <v>42187</v>
      </c>
      <c r="B1629" s="15">
        <f t="shared" si="50"/>
        <v>7</v>
      </c>
      <c r="C1629" s="15">
        <f t="shared" si="51"/>
        <v>2015</v>
      </c>
      <c r="D1629" s="13">
        <v>17.68</v>
      </c>
      <c r="E1629" s="13">
        <v>18.162952269241178</v>
      </c>
      <c r="F1629" s="13">
        <v>6.06</v>
      </c>
      <c r="G1629" s="13"/>
      <c r="H1629" s="13">
        <v>25.03</v>
      </c>
      <c r="I1629" s="13">
        <v>-4.22</v>
      </c>
      <c r="J1629" s="13"/>
      <c r="K1629" s="13"/>
    </row>
    <row r="1630" spans="1:11" x14ac:dyDescent="0.25">
      <c r="A1630" s="10">
        <v>42191</v>
      </c>
      <c r="B1630" s="15">
        <f t="shared" si="50"/>
        <v>7</v>
      </c>
      <c r="C1630" s="15">
        <f t="shared" si="51"/>
        <v>2015</v>
      </c>
      <c r="D1630" s="13">
        <v>37.450000000000003</v>
      </c>
      <c r="E1630" s="13">
        <v>60.895522388059696</v>
      </c>
      <c r="F1630" s="13">
        <v>29.64</v>
      </c>
      <c r="G1630" s="13"/>
      <c r="H1630" s="13">
        <v>27.87</v>
      </c>
      <c r="I1630" s="13">
        <v>14.35</v>
      </c>
      <c r="J1630" s="13"/>
      <c r="K1630" s="13"/>
    </row>
    <row r="1631" spans="1:11" x14ac:dyDescent="0.25">
      <c r="A1631" s="10">
        <v>42192</v>
      </c>
      <c r="B1631" s="15">
        <f t="shared" si="50"/>
        <v>7</v>
      </c>
      <c r="C1631" s="15">
        <f t="shared" si="51"/>
        <v>2015</v>
      </c>
      <c r="D1631" s="13">
        <v>37.450000000000003</v>
      </c>
      <c r="E1631" s="13">
        <v>61.144414168937324</v>
      </c>
      <c r="F1631" s="13">
        <v>29.64</v>
      </c>
      <c r="G1631" s="13"/>
      <c r="H1631" s="13">
        <v>27.87</v>
      </c>
      <c r="I1631" s="13">
        <v>14.35</v>
      </c>
      <c r="J1631" s="13"/>
      <c r="K1631" s="13"/>
    </row>
    <row r="1632" spans="1:11" x14ac:dyDescent="0.25">
      <c r="A1632" s="10">
        <v>42193</v>
      </c>
      <c r="B1632" s="15">
        <f t="shared" si="50"/>
        <v>7</v>
      </c>
      <c r="C1632" s="15">
        <f t="shared" si="51"/>
        <v>2015</v>
      </c>
      <c r="D1632" s="13">
        <v>37.450000000000003</v>
      </c>
      <c r="E1632" s="13">
        <v>60.785553047404058</v>
      </c>
      <c r="F1632" s="13">
        <v>29.64</v>
      </c>
      <c r="G1632" s="13"/>
      <c r="H1632" s="13">
        <v>27.87</v>
      </c>
      <c r="I1632" s="13">
        <v>14.35</v>
      </c>
      <c r="J1632" s="13"/>
      <c r="K1632" s="13"/>
    </row>
    <row r="1633" spans="1:11" x14ac:dyDescent="0.25">
      <c r="A1633" s="10">
        <v>42194</v>
      </c>
      <c r="B1633" s="15">
        <f t="shared" si="50"/>
        <v>7</v>
      </c>
      <c r="C1633" s="15">
        <f t="shared" si="51"/>
        <v>2015</v>
      </c>
      <c r="D1633" s="13">
        <v>37.450000000000003</v>
      </c>
      <c r="E1633" s="13">
        <v>61.000362450163102</v>
      </c>
      <c r="F1633" s="13">
        <v>29.64</v>
      </c>
      <c r="G1633" s="13"/>
      <c r="H1633" s="13">
        <v>27.87</v>
      </c>
      <c r="I1633" s="13">
        <v>14.35</v>
      </c>
      <c r="J1633" s="13"/>
      <c r="K1633" s="13"/>
    </row>
    <row r="1634" spans="1:11" x14ac:dyDescent="0.25">
      <c r="A1634" s="10">
        <v>42195</v>
      </c>
      <c r="B1634" s="15">
        <f t="shared" si="50"/>
        <v>7</v>
      </c>
      <c r="C1634" s="15">
        <f t="shared" si="51"/>
        <v>2015</v>
      </c>
      <c r="D1634" s="13">
        <v>37.450000000000003</v>
      </c>
      <c r="E1634" s="13">
        <v>60.311772083855928</v>
      </c>
      <c r="F1634" s="13">
        <v>29.64</v>
      </c>
      <c r="G1634" s="13"/>
      <c r="H1634" s="13">
        <v>27.87</v>
      </c>
      <c r="I1634" s="13">
        <v>14.35</v>
      </c>
      <c r="J1634" s="13"/>
      <c r="K1634" s="13"/>
    </row>
    <row r="1635" spans="1:11" x14ac:dyDescent="0.25">
      <c r="A1635" s="10">
        <v>42198</v>
      </c>
      <c r="B1635" s="15">
        <f t="shared" si="50"/>
        <v>7</v>
      </c>
      <c r="C1635" s="15">
        <f t="shared" si="51"/>
        <v>2015</v>
      </c>
      <c r="D1635" s="13">
        <v>24.54</v>
      </c>
      <c r="E1635" s="13">
        <v>32.948554808216684</v>
      </c>
      <c r="F1635" s="13">
        <v>6.76</v>
      </c>
      <c r="G1635" s="13"/>
      <c r="H1635" s="13">
        <v>-6.55</v>
      </c>
      <c r="I1635" s="13">
        <v>-6.3</v>
      </c>
      <c r="J1635" s="13"/>
      <c r="K1635" s="13"/>
    </row>
    <row r="1636" spans="1:11" x14ac:dyDescent="0.25">
      <c r="A1636" s="10">
        <v>42199</v>
      </c>
      <c r="B1636" s="15">
        <f t="shared" si="50"/>
        <v>7</v>
      </c>
      <c r="C1636" s="15">
        <f t="shared" si="51"/>
        <v>2015</v>
      </c>
      <c r="D1636" s="13">
        <v>24.54</v>
      </c>
      <c r="E1636" s="13">
        <v>32.927604687074215</v>
      </c>
      <c r="F1636" s="13">
        <v>6.76</v>
      </c>
      <c r="G1636" s="13"/>
      <c r="H1636" s="13">
        <v>-6.55</v>
      </c>
      <c r="I1636" s="13">
        <v>-6.3</v>
      </c>
      <c r="J1636" s="13"/>
      <c r="K1636" s="13"/>
    </row>
    <row r="1637" spans="1:11" x14ac:dyDescent="0.25">
      <c r="A1637" s="10">
        <v>42200</v>
      </c>
      <c r="B1637" s="15">
        <f t="shared" si="50"/>
        <v>7</v>
      </c>
      <c r="C1637" s="15">
        <f t="shared" si="51"/>
        <v>2015</v>
      </c>
      <c r="D1637" s="13">
        <v>24.54</v>
      </c>
      <c r="E1637" s="13">
        <v>33.114095185895678</v>
      </c>
      <c r="F1637" s="13">
        <v>6.76</v>
      </c>
      <c r="G1637" s="13"/>
      <c r="H1637" s="13">
        <v>-6.55</v>
      </c>
      <c r="I1637" s="13">
        <v>-6.3</v>
      </c>
      <c r="J1637" s="13"/>
      <c r="K1637" s="13"/>
    </row>
    <row r="1638" spans="1:11" x14ac:dyDescent="0.25">
      <c r="A1638" s="10">
        <v>42201</v>
      </c>
      <c r="B1638" s="15">
        <f t="shared" si="50"/>
        <v>7</v>
      </c>
      <c r="C1638" s="15">
        <f t="shared" si="51"/>
        <v>2015</v>
      </c>
      <c r="D1638" s="13">
        <v>24.54</v>
      </c>
      <c r="E1638" s="13">
        <v>33.336398749310284</v>
      </c>
      <c r="F1638" s="13">
        <v>6.76</v>
      </c>
      <c r="G1638" s="13"/>
      <c r="H1638" s="13">
        <v>-6.55</v>
      </c>
      <c r="I1638" s="13">
        <v>-6.3</v>
      </c>
      <c r="J1638" s="13"/>
      <c r="K1638" s="13"/>
    </row>
    <row r="1639" spans="1:11" x14ac:dyDescent="0.25">
      <c r="A1639" s="10">
        <v>42202</v>
      </c>
      <c r="B1639" s="15">
        <f t="shared" si="50"/>
        <v>7</v>
      </c>
      <c r="C1639" s="15">
        <f t="shared" si="51"/>
        <v>2015</v>
      </c>
      <c r="D1639" s="13">
        <v>24.54</v>
      </c>
      <c r="E1639" s="13">
        <v>33.478019948282231</v>
      </c>
      <c r="F1639" s="13">
        <v>6.76</v>
      </c>
      <c r="G1639" s="13"/>
      <c r="H1639" s="13">
        <v>-6.55</v>
      </c>
      <c r="I1639" s="13">
        <v>-6.3</v>
      </c>
      <c r="J1639" s="13"/>
      <c r="K1639" s="13"/>
    </row>
    <row r="1640" spans="1:11" x14ac:dyDescent="0.25">
      <c r="A1640" s="10">
        <v>42205</v>
      </c>
      <c r="B1640" s="15">
        <f t="shared" si="50"/>
        <v>7</v>
      </c>
      <c r="C1640" s="15">
        <f t="shared" si="51"/>
        <v>2015</v>
      </c>
      <c r="D1640" s="13">
        <v>23.12</v>
      </c>
      <c r="E1640" s="13">
        <v>14.300230946882218</v>
      </c>
      <c r="F1640" s="13">
        <v>0.16</v>
      </c>
      <c r="G1640" s="13"/>
      <c r="H1640" s="13">
        <v>5.14</v>
      </c>
      <c r="I1640" s="13">
        <v>-6.95</v>
      </c>
      <c r="J1640" s="13"/>
      <c r="K1640" s="13"/>
    </row>
    <row r="1641" spans="1:11" x14ac:dyDescent="0.25">
      <c r="A1641" s="10">
        <v>42206</v>
      </c>
      <c r="B1641" s="15">
        <f t="shared" si="50"/>
        <v>7</v>
      </c>
      <c r="C1641" s="15">
        <f t="shared" si="51"/>
        <v>2015</v>
      </c>
      <c r="D1641" s="13">
        <v>23.12</v>
      </c>
      <c r="E1641" s="13">
        <v>14.155084125822972</v>
      </c>
      <c r="F1641" s="13">
        <v>0.16</v>
      </c>
      <c r="G1641" s="13"/>
      <c r="H1641" s="13">
        <v>5.14</v>
      </c>
      <c r="I1641" s="13">
        <v>-6.95</v>
      </c>
      <c r="J1641" s="13"/>
      <c r="K1641" s="13"/>
    </row>
    <row r="1642" spans="1:11" x14ac:dyDescent="0.25">
      <c r="A1642" s="10">
        <v>42207</v>
      </c>
      <c r="B1642" s="15">
        <f t="shared" si="50"/>
        <v>7</v>
      </c>
      <c r="C1642" s="15">
        <f t="shared" si="51"/>
        <v>2015</v>
      </c>
      <c r="D1642" s="13">
        <v>23.12</v>
      </c>
      <c r="E1642" s="13">
        <v>14.158968261227477</v>
      </c>
      <c r="F1642" s="13">
        <v>0.16</v>
      </c>
      <c r="G1642" s="13"/>
      <c r="H1642" s="13">
        <v>5.14</v>
      </c>
      <c r="I1642" s="13">
        <v>-6.95</v>
      </c>
      <c r="J1642" s="13"/>
      <c r="K1642" s="13"/>
    </row>
    <row r="1643" spans="1:11" x14ac:dyDescent="0.25">
      <c r="A1643" s="10">
        <v>42208</v>
      </c>
      <c r="B1643" s="15">
        <f t="shared" si="50"/>
        <v>7</v>
      </c>
      <c r="C1643" s="15">
        <f t="shared" si="51"/>
        <v>2015</v>
      </c>
      <c r="D1643" s="13">
        <v>23.12</v>
      </c>
      <c r="E1643" s="13">
        <v>14.097076768964575</v>
      </c>
      <c r="F1643" s="13">
        <v>0.16</v>
      </c>
      <c r="G1643" s="13"/>
      <c r="H1643" s="13">
        <v>5.14</v>
      </c>
      <c r="I1643" s="13">
        <v>-6.95</v>
      </c>
      <c r="J1643" s="13"/>
      <c r="K1643" s="13"/>
    </row>
    <row r="1644" spans="1:11" x14ac:dyDescent="0.25">
      <c r="A1644" s="10">
        <v>42209</v>
      </c>
      <c r="B1644" s="15">
        <f t="shared" si="50"/>
        <v>7</v>
      </c>
      <c r="C1644" s="15">
        <f t="shared" si="51"/>
        <v>2015</v>
      </c>
      <c r="D1644" s="13">
        <v>23.12</v>
      </c>
      <c r="E1644" s="13">
        <v>14.095793116008013</v>
      </c>
      <c r="F1644" s="13">
        <v>0.16</v>
      </c>
      <c r="G1644" s="13"/>
      <c r="H1644" s="13">
        <v>5.14</v>
      </c>
      <c r="I1644" s="13">
        <v>-6.95</v>
      </c>
      <c r="J1644" s="13"/>
      <c r="K1644" s="13"/>
    </row>
    <row r="1645" spans="1:11" x14ac:dyDescent="0.25">
      <c r="A1645" s="10">
        <v>42212</v>
      </c>
      <c r="B1645" s="15">
        <f t="shared" si="50"/>
        <v>7</v>
      </c>
      <c r="C1645" s="15">
        <f t="shared" si="51"/>
        <v>2015</v>
      </c>
      <c r="D1645" s="13">
        <v>5.4</v>
      </c>
      <c r="E1645" s="13">
        <v>7.9073122351456133</v>
      </c>
      <c r="F1645" s="13">
        <v>-6.91</v>
      </c>
      <c r="G1645" s="13"/>
      <c r="H1645" s="13">
        <v>-9.82</v>
      </c>
      <c r="I1645" s="13">
        <v>-8.42</v>
      </c>
      <c r="J1645" s="13"/>
      <c r="K1645" s="13"/>
    </row>
    <row r="1646" spans="1:11" x14ac:dyDescent="0.25">
      <c r="A1646" s="10">
        <v>42213</v>
      </c>
      <c r="B1646" s="15">
        <f t="shared" si="50"/>
        <v>7</v>
      </c>
      <c r="C1646" s="15">
        <f t="shared" si="51"/>
        <v>2015</v>
      </c>
      <c r="D1646" s="13">
        <v>5.4</v>
      </c>
      <c r="E1646" s="13">
        <v>7.9309097485983004</v>
      </c>
      <c r="F1646" s="13">
        <v>-6.91</v>
      </c>
      <c r="G1646" s="13"/>
      <c r="H1646" s="13">
        <v>-9.82</v>
      </c>
      <c r="I1646" s="13">
        <v>-8.42</v>
      </c>
      <c r="J1646" s="13"/>
      <c r="K1646" s="13"/>
    </row>
    <row r="1647" spans="1:11" x14ac:dyDescent="0.25">
      <c r="A1647" s="10">
        <v>42214</v>
      </c>
      <c r="B1647" s="15">
        <f t="shared" si="50"/>
        <v>7</v>
      </c>
      <c r="C1647" s="15">
        <f t="shared" si="51"/>
        <v>2015</v>
      </c>
      <c r="D1647" s="13">
        <v>5.4</v>
      </c>
      <c r="E1647" s="13">
        <v>7.9843408594319003</v>
      </c>
      <c r="F1647" s="13">
        <v>-6.91</v>
      </c>
      <c r="G1647" s="13"/>
      <c r="H1647" s="13">
        <v>-9.82</v>
      </c>
      <c r="I1647" s="13">
        <v>-8.42</v>
      </c>
      <c r="J1647" s="13"/>
      <c r="K1647" s="13"/>
    </row>
    <row r="1648" spans="1:11" x14ac:dyDescent="0.25">
      <c r="A1648" s="10">
        <v>42215</v>
      </c>
      <c r="B1648" s="15">
        <f t="shared" si="50"/>
        <v>7</v>
      </c>
      <c r="C1648" s="15">
        <f t="shared" si="51"/>
        <v>2015</v>
      </c>
      <c r="D1648" s="13">
        <v>5.4</v>
      </c>
      <c r="E1648" s="13">
        <v>8.0230537004848603</v>
      </c>
      <c r="F1648" s="13">
        <v>-6.91</v>
      </c>
      <c r="G1648" s="13"/>
      <c r="H1648" s="13">
        <v>-9.82</v>
      </c>
      <c r="I1648" s="13">
        <v>-8.42</v>
      </c>
      <c r="J1648" s="13"/>
      <c r="K1648" s="13"/>
    </row>
    <row r="1649" spans="1:11" x14ac:dyDescent="0.25">
      <c r="A1649" s="10">
        <v>42216</v>
      </c>
      <c r="B1649" s="15">
        <f t="shared" si="50"/>
        <v>7</v>
      </c>
      <c r="C1649" s="15">
        <f t="shared" si="51"/>
        <v>2015</v>
      </c>
      <c r="D1649" s="13">
        <v>5.4</v>
      </c>
      <c r="E1649" s="13">
        <v>7.9821607354145803</v>
      </c>
      <c r="F1649" s="13">
        <v>-6.91</v>
      </c>
      <c r="G1649" s="13"/>
      <c r="H1649" s="13">
        <v>-9.82</v>
      </c>
      <c r="I1649" s="13">
        <v>-8.42</v>
      </c>
      <c r="J1649" s="13"/>
      <c r="K1649" s="13"/>
    </row>
    <row r="1650" spans="1:11" x14ac:dyDescent="0.25">
      <c r="A1650" s="10">
        <v>42219</v>
      </c>
      <c r="B1650" s="15">
        <f t="shared" si="50"/>
        <v>8</v>
      </c>
      <c r="C1650" s="15">
        <f t="shared" si="51"/>
        <v>2015</v>
      </c>
      <c r="D1650" s="13">
        <v>4.2699999999999996</v>
      </c>
      <c r="E1650" s="13">
        <v>30.523335464425976</v>
      </c>
      <c r="F1650" s="13">
        <v>-4.2300000000000004</v>
      </c>
      <c r="G1650" s="13"/>
      <c r="H1650" s="13">
        <v>-13.44</v>
      </c>
      <c r="I1650" s="13">
        <v>-4.51</v>
      </c>
      <c r="J1650" s="13"/>
      <c r="K1650" s="13"/>
    </row>
    <row r="1651" spans="1:11" x14ac:dyDescent="0.25">
      <c r="A1651" s="10">
        <v>42220</v>
      </c>
      <c r="B1651" s="15">
        <f t="shared" si="50"/>
        <v>8</v>
      </c>
      <c r="C1651" s="15">
        <f t="shared" si="51"/>
        <v>2015</v>
      </c>
      <c r="D1651" s="13">
        <v>4.2699999999999996</v>
      </c>
      <c r="E1651" s="13">
        <v>30.71691176470588</v>
      </c>
      <c r="F1651" s="13">
        <v>-4.2300000000000004</v>
      </c>
      <c r="G1651" s="13"/>
      <c r="H1651" s="13">
        <v>-13.44</v>
      </c>
      <c r="I1651" s="13">
        <v>-4.51</v>
      </c>
      <c r="J1651" s="13"/>
      <c r="K1651" s="13"/>
    </row>
    <row r="1652" spans="1:11" x14ac:dyDescent="0.25">
      <c r="A1652" s="10">
        <v>42221</v>
      </c>
      <c r="B1652" s="15">
        <f t="shared" si="50"/>
        <v>8</v>
      </c>
      <c r="C1652" s="15">
        <f t="shared" si="51"/>
        <v>2015</v>
      </c>
      <c r="D1652" s="13">
        <v>4.2699999999999996</v>
      </c>
      <c r="E1652" s="13">
        <v>30.649303008070433</v>
      </c>
      <c r="F1652" s="13">
        <v>-4.2300000000000004</v>
      </c>
      <c r="G1652" s="13"/>
      <c r="H1652" s="13">
        <v>-13.44</v>
      </c>
      <c r="I1652" s="13">
        <v>-4.51</v>
      </c>
      <c r="J1652" s="13"/>
      <c r="K1652" s="13"/>
    </row>
    <row r="1653" spans="1:11" x14ac:dyDescent="0.25">
      <c r="A1653" s="10">
        <v>42222</v>
      </c>
      <c r="B1653" s="15">
        <f t="shared" si="50"/>
        <v>8</v>
      </c>
      <c r="C1653" s="15">
        <f t="shared" si="51"/>
        <v>2015</v>
      </c>
      <c r="D1653" s="13">
        <v>4.2699999999999996</v>
      </c>
      <c r="E1653" s="13">
        <v>30.595990112606426</v>
      </c>
      <c r="F1653" s="13">
        <v>-4.2300000000000004</v>
      </c>
      <c r="G1653" s="13"/>
      <c r="H1653" s="13">
        <v>-13.44</v>
      </c>
      <c r="I1653" s="13">
        <v>-4.51</v>
      </c>
      <c r="J1653" s="13"/>
      <c r="K1653" s="13"/>
    </row>
    <row r="1654" spans="1:11" x14ac:dyDescent="0.25">
      <c r="A1654" s="10">
        <v>42223</v>
      </c>
      <c r="B1654" s="15">
        <f t="shared" si="50"/>
        <v>8</v>
      </c>
      <c r="C1654" s="15">
        <f t="shared" si="51"/>
        <v>2015</v>
      </c>
      <c r="D1654" s="13">
        <v>4.2699999999999996</v>
      </c>
      <c r="E1654" s="13">
        <v>30.478796169630645</v>
      </c>
      <c r="F1654" s="13">
        <v>-4.2300000000000004</v>
      </c>
      <c r="G1654" s="13"/>
      <c r="H1654" s="13">
        <v>-13.44</v>
      </c>
      <c r="I1654" s="13">
        <v>-4.51</v>
      </c>
      <c r="J1654" s="13"/>
      <c r="K1654" s="13"/>
    </row>
    <row r="1655" spans="1:11" x14ac:dyDescent="0.25">
      <c r="A1655" s="10">
        <v>42226</v>
      </c>
      <c r="B1655" s="15">
        <f t="shared" si="50"/>
        <v>8</v>
      </c>
      <c r="C1655" s="15">
        <f t="shared" si="51"/>
        <v>2015</v>
      </c>
      <c r="D1655" s="13">
        <v>-18.43</v>
      </c>
      <c r="E1655" s="13">
        <v>21.777414669571531</v>
      </c>
      <c r="F1655" s="13">
        <v>-24.7</v>
      </c>
      <c r="G1655" s="13"/>
      <c r="H1655" s="13">
        <v>-23.44</v>
      </c>
      <c r="I1655" s="13">
        <v>-33.75</v>
      </c>
      <c r="J1655" s="13"/>
      <c r="K1655" s="13"/>
    </row>
    <row r="1656" spans="1:11" x14ac:dyDescent="0.25">
      <c r="A1656" s="10">
        <v>42227</v>
      </c>
      <c r="B1656" s="15">
        <f t="shared" si="50"/>
        <v>8</v>
      </c>
      <c r="C1656" s="15">
        <f t="shared" si="51"/>
        <v>2015</v>
      </c>
      <c r="D1656" s="13">
        <v>-18.43</v>
      </c>
      <c r="E1656" s="13">
        <v>21.730072463768114</v>
      </c>
      <c r="F1656" s="13">
        <v>-24.7</v>
      </c>
      <c r="G1656" s="13"/>
      <c r="H1656" s="13">
        <v>-23.44</v>
      </c>
      <c r="I1656" s="13">
        <v>-33.75</v>
      </c>
      <c r="J1656" s="13"/>
      <c r="K1656" s="13"/>
    </row>
    <row r="1657" spans="1:11" x14ac:dyDescent="0.25">
      <c r="A1657" s="10">
        <v>42228</v>
      </c>
      <c r="B1657" s="15">
        <f t="shared" si="50"/>
        <v>8</v>
      </c>
      <c r="C1657" s="15">
        <f t="shared" si="51"/>
        <v>2015</v>
      </c>
      <c r="D1657" s="13">
        <v>-18.43</v>
      </c>
      <c r="E1657" s="13">
        <v>21.504123341699533</v>
      </c>
      <c r="F1657" s="13">
        <v>-24.7</v>
      </c>
      <c r="G1657" s="13"/>
      <c r="H1657" s="13">
        <v>-23.44</v>
      </c>
      <c r="I1657" s="13">
        <v>-33.75</v>
      </c>
      <c r="J1657" s="13"/>
      <c r="K1657" s="13"/>
    </row>
    <row r="1658" spans="1:11" x14ac:dyDescent="0.25">
      <c r="A1658" s="10">
        <v>42229</v>
      </c>
      <c r="B1658" s="15">
        <f t="shared" si="50"/>
        <v>8</v>
      </c>
      <c r="C1658" s="15">
        <f t="shared" si="51"/>
        <v>2015</v>
      </c>
      <c r="D1658" s="13">
        <v>-18.43</v>
      </c>
      <c r="E1658" s="13">
        <v>21.519555077143881</v>
      </c>
      <c r="F1658" s="13">
        <v>-24.7</v>
      </c>
      <c r="G1658" s="13"/>
      <c r="H1658" s="13">
        <v>-23.44</v>
      </c>
      <c r="I1658" s="13">
        <v>-33.75</v>
      </c>
      <c r="J1658" s="13"/>
      <c r="K1658" s="13"/>
    </row>
    <row r="1659" spans="1:11" x14ac:dyDescent="0.25">
      <c r="A1659" s="10">
        <v>42230</v>
      </c>
      <c r="B1659" s="15">
        <f t="shared" si="50"/>
        <v>8</v>
      </c>
      <c r="C1659" s="15">
        <f t="shared" si="51"/>
        <v>2015</v>
      </c>
      <c r="D1659" s="13">
        <v>-18.43</v>
      </c>
      <c r="E1659" s="13">
        <v>21.600936430758146</v>
      </c>
      <c r="F1659" s="13">
        <v>-24.7</v>
      </c>
      <c r="G1659" s="13"/>
      <c r="H1659" s="13">
        <v>-23.44</v>
      </c>
      <c r="I1659" s="13">
        <v>-33.75</v>
      </c>
      <c r="J1659" s="13"/>
      <c r="K1659" s="13"/>
    </row>
    <row r="1660" spans="1:11" x14ac:dyDescent="0.25">
      <c r="A1660" s="10">
        <v>42233</v>
      </c>
      <c r="B1660" s="15">
        <f t="shared" si="50"/>
        <v>8</v>
      </c>
      <c r="C1660" s="15">
        <f t="shared" si="51"/>
        <v>2015</v>
      </c>
      <c r="D1660" s="13">
        <v>-10.88</v>
      </c>
      <c r="E1660" s="13">
        <v>53.628158844765338</v>
      </c>
      <c r="F1660" s="13">
        <v>-21.79</v>
      </c>
      <c r="G1660" s="13"/>
      <c r="H1660" s="13">
        <v>-15.57</v>
      </c>
      <c r="I1660" s="13">
        <v>-38.880000000000003</v>
      </c>
      <c r="J1660" s="13"/>
      <c r="K1660" s="13"/>
    </row>
    <row r="1661" spans="1:11" x14ac:dyDescent="0.25">
      <c r="A1661" s="10">
        <v>42234</v>
      </c>
      <c r="B1661" s="15">
        <f t="shared" si="50"/>
        <v>8</v>
      </c>
      <c r="C1661" s="15">
        <f t="shared" si="51"/>
        <v>2015</v>
      </c>
      <c r="D1661" s="13">
        <v>-10.88</v>
      </c>
      <c r="E1661" s="13">
        <v>53.929932837175535</v>
      </c>
      <c r="F1661" s="13">
        <v>-21.79</v>
      </c>
      <c r="G1661" s="13"/>
      <c r="H1661" s="13">
        <v>-15.57</v>
      </c>
      <c r="I1661" s="13">
        <v>-38.880000000000003</v>
      </c>
      <c r="J1661" s="13"/>
      <c r="K1661" s="13"/>
    </row>
    <row r="1662" spans="1:11" x14ac:dyDescent="0.25">
      <c r="A1662" s="10">
        <v>42235</v>
      </c>
      <c r="B1662" s="15">
        <f t="shared" si="50"/>
        <v>8</v>
      </c>
      <c r="C1662" s="15">
        <f t="shared" si="51"/>
        <v>2015</v>
      </c>
      <c r="D1662" s="13">
        <v>-10.88</v>
      </c>
      <c r="E1662" s="13">
        <v>53.449671674012777</v>
      </c>
      <c r="F1662" s="13">
        <v>-21.79</v>
      </c>
      <c r="G1662" s="13"/>
      <c r="H1662" s="13">
        <v>-15.57</v>
      </c>
      <c r="I1662" s="13">
        <v>-38.880000000000003</v>
      </c>
      <c r="J1662" s="13"/>
      <c r="K1662" s="13"/>
    </row>
    <row r="1663" spans="1:11" x14ac:dyDescent="0.25">
      <c r="A1663" s="10">
        <v>42236</v>
      </c>
      <c r="B1663" s="15">
        <f t="shared" si="50"/>
        <v>8</v>
      </c>
      <c r="C1663" s="15">
        <f t="shared" si="51"/>
        <v>2015</v>
      </c>
      <c r="D1663" s="13">
        <v>-10.88</v>
      </c>
      <c r="E1663" s="13">
        <v>52.860065830442132</v>
      </c>
      <c r="F1663" s="13">
        <v>-21.79</v>
      </c>
      <c r="G1663" s="13"/>
      <c r="H1663" s="13">
        <v>-15.57</v>
      </c>
      <c r="I1663" s="13">
        <v>-38.880000000000003</v>
      </c>
      <c r="J1663" s="13"/>
      <c r="K1663" s="13"/>
    </row>
    <row r="1664" spans="1:11" x14ac:dyDescent="0.25">
      <c r="A1664" s="10">
        <v>42237</v>
      </c>
      <c r="B1664" s="15">
        <f t="shared" si="50"/>
        <v>8</v>
      </c>
      <c r="C1664" s="15">
        <f t="shared" si="51"/>
        <v>2015</v>
      </c>
      <c r="D1664" s="13">
        <v>-10.88</v>
      </c>
      <c r="E1664" s="13">
        <v>52.182313164134541</v>
      </c>
      <c r="F1664" s="13">
        <v>-21.79</v>
      </c>
      <c r="G1664" s="13"/>
      <c r="H1664" s="13">
        <v>-15.57</v>
      </c>
      <c r="I1664" s="13">
        <v>-38.880000000000003</v>
      </c>
      <c r="J1664" s="13"/>
      <c r="K1664" s="13"/>
    </row>
    <row r="1665" spans="1:11" x14ac:dyDescent="0.25">
      <c r="A1665" s="10">
        <v>42240</v>
      </c>
      <c r="B1665" s="15">
        <f t="shared" si="50"/>
        <v>8</v>
      </c>
      <c r="C1665" s="15">
        <f t="shared" si="51"/>
        <v>2015</v>
      </c>
      <c r="D1665" s="13">
        <v>12.67</v>
      </c>
      <c r="E1665" s="13">
        <v>67.817180237562411</v>
      </c>
      <c r="F1665" s="13">
        <v>-3.75</v>
      </c>
      <c r="G1665" s="13"/>
      <c r="H1665" s="13">
        <v>-2.46</v>
      </c>
      <c r="I1665" s="13">
        <v>-32.869999999999997</v>
      </c>
      <c r="J1665" s="13"/>
      <c r="K1665" s="13"/>
    </row>
    <row r="1666" spans="1:11" x14ac:dyDescent="0.25">
      <c r="A1666" s="10">
        <v>42241</v>
      </c>
      <c r="B1666" s="15">
        <f t="shared" si="50"/>
        <v>8</v>
      </c>
      <c r="C1666" s="15">
        <f t="shared" si="51"/>
        <v>2015</v>
      </c>
      <c r="D1666" s="13">
        <v>12.67</v>
      </c>
      <c r="E1666" s="13">
        <v>68.429737710613168</v>
      </c>
      <c r="F1666" s="13">
        <v>-3.75</v>
      </c>
      <c r="G1666" s="13"/>
      <c r="H1666" s="13">
        <v>-2.46</v>
      </c>
      <c r="I1666" s="13">
        <v>-32.869999999999997</v>
      </c>
      <c r="J1666" s="13"/>
      <c r="K1666" s="13"/>
    </row>
    <row r="1667" spans="1:11" x14ac:dyDescent="0.25">
      <c r="A1667" s="10">
        <v>42242</v>
      </c>
      <c r="B1667" s="15">
        <f t="shared" ref="B1667:B1730" si="52">MONTH(A1667)</f>
        <v>8</v>
      </c>
      <c r="C1667" s="15">
        <f t="shared" ref="C1667:C1730" si="53">YEAR(A1667)</f>
        <v>2015</v>
      </c>
      <c r="D1667" s="13">
        <v>12.67</v>
      </c>
      <c r="E1667" s="13">
        <v>69.633230225364571</v>
      </c>
      <c r="F1667" s="13">
        <v>-3.75</v>
      </c>
      <c r="G1667" s="13"/>
      <c r="H1667" s="13">
        <v>-2.46</v>
      </c>
      <c r="I1667" s="13">
        <v>-32.869999999999997</v>
      </c>
      <c r="J1667" s="13"/>
      <c r="K1667" s="13"/>
    </row>
    <row r="1668" spans="1:11" x14ac:dyDescent="0.25">
      <c r="A1668" s="10">
        <v>42243</v>
      </c>
      <c r="B1668" s="15">
        <f t="shared" si="52"/>
        <v>8</v>
      </c>
      <c r="C1668" s="15">
        <f t="shared" si="53"/>
        <v>2015</v>
      </c>
      <c r="D1668" s="13">
        <v>12.67</v>
      </c>
      <c r="E1668" s="13">
        <v>70.079160366450239</v>
      </c>
      <c r="F1668" s="13">
        <v>-3.75</v>
      </c>
      <c r="G1668" s="13"/>
      <c r="H1668" s="13">
        <v>-2.46</v>
      </c>
      <c r="I1668" s="13">
        <v>-32.869999999999997</v>
      </c>
      <c r="J1668" s="13"/>
      <c r="K1668" s="13"/>
    </row>
    <row r="1669" spans="1:11" x14ac:dyDescent="0.25">
      <c r="A1669" s="10">
        <v>42244</v>
      </c>
      <c r="B1669" s="15">
        <f t="shared" si="52"/>
        <v>8</v>
      </c>
      <c r="C1669" s="15">
        <f t="shared" si="53"/>
        <v>2015</v>
      </c>
      <c r="D1669" s="13">
        <v>12.67</v>
      </c>
      <c r="E1669" s="13">
        <v>70.480364970033108</v>
      </c>
      <c r="F1669" s="13">
        <v>-3.75</v>
      </c>
      <c r="G1669" s="13"/>
      <c r="H1669" s="13">
        <v>-2.46</v>
      </c>
      <c r="I1669" s="13">
        <v>-32.869999999999997</v>
      </c>
      <c r="J1669" s="13"/>
      <c r="K1669" s="13"/>
    </row>
    <row r="1670" spans="1:11" x14ac:dyDescent="0.25">
      <c r="A1670" s="10">
        <v>42247</v>
      </c>
      <c r="B1670" s="15">
        <f t="shared" si="52"/>
        <v>8</v>
      </c>
      <c r="C1670" s="15">
        <f t="shared" si="53"/>
        <v>2015</v>
      </c>
      <c r="D1670" s="13">
        <v>-2.79</v>
      </c>
      <c r="E1670" s="13">
        <v>45.03612523414504</v>
      </c>
      <c r="F1670" s="13">
        <v>-20.14</v>
      </c>
      <c r="G1670" s="13"/>
      <c r="H1670" s="13">
        <v>-14.09</v>
      </c>
      <c r="I1670" s="13">
        <v>-55.01</v>
      </c>
      <c r="J1670" s="13"/>
      <c r="K1670" s="13"/>
    </row>
    <row r="1671" spans="1:11" x14ac:dyDescent="0.25">
      <c r="A1671" s="10">
        <v>42248</v>
      </c>
      <c r="B1671" s="15">
        <f t="shared" si="52"/>
        <v>9</v>
      </c>
      <c r="C1671" s="15">
        <f t="shared" si="53"/>
        <v>2015</v>
      </c>
      <c r="D1671" s="13">
        <v>-2.79</v>
      </c>
      <c r="E1671" s="13">
        <v>44.61429707519661</v>
      </c>
      <c r="F1671" s="13">
        <v>-20.14</v>
      </c>
      <c r="G1671" s="13"/>
      <c r="H1671" s="13">
        <v>-14.09</v>
      </c>
      <c r="I1671" s="13">
        <v>-55.01</v>
      </c>
      <c r="J1671" s="13"/>
      <c r="K1671" s="13"/>
    </row>
    <row r="1672" spans="1:11" x14ac:dyDescent="0.25">
      <c r="A1672" s="10">
        <v>42249</v>
      </c>
      <c r="B1672" s="15">
        <f t="shared" si="52"/>
        <v>9</v>
      </c>
      <c r="C1672" s="15">
        <f t="shared" si="53"/>
        <v>2015</v>
      </c>
      <c r="D1672" s="13">
        <v>-2.79</v>
      </c>
      <c r="E1672" s="13">
        <v>44.975948690539816</v>
      </c>
      <c r="F1672" s="13">
        <v>-20.14</v>
      </c>
      <c r="G1672" s="13"/>
      <c r="H1672" s="13">
        <v>-14.09</v>
      </c>
      <c r="I1672" s="13">
        <v>-55.01</v>
      </c>
      <c r="J1672" s="13"/>
      <c r="K1672" s="13"/>
    </row>
    <row r="1673" spans="1:11" x14ac:dyDescent="0.25">
      <c r="A1673" s="10">
        <v>42250</v>
      </c>
      <c r="B1673" s="15">
        <f t="shared" si="52"/>
        <v>9</v>
      </c>
      <c r="C1673" s="15">
        <f t="shared" si="53"/>
        <v>2015</v>
      </c>
      <c r="D1673" s="13">
        <v>-2.79</v>
      </c>
      <c r="E1673" s="13">
        <v>45.40059347181009</v>
      </c>
      <c r="F1673" s="13">
        <v>-20.14</v>
      </c>
      <c r="G1673" s="13"/>
      <c r="H1673" s="13">
        <v>-14.09</v>
      </c>
      <c r="I1673" s="13">
        <v>-55.01</v>
      </c>
      <c r="J1673" s="13"/>
      <c r="K1673" s="13"/>
    </row>
    <row r="1674" spans="1:11" x14ac:dyDescent="0.25">
      <c r="A1674" s="10">
        <v>42251</v>
      </c>
      <c r="B1674" s="15">
        <f t="shared" si="52"/>
        <v>9</v>
      </c>
      <c r="C1674" s="15">
        <f t="shared" si="53"/>
        <v>2015</v>
      </c>
      <c r="D1674" s="13">
        <v>-2.79</v>
      </c>
      <c r="E1674" s="13">
        <v>45.298761887672711</v>
      </c>
      <c r="F1674" s="13">
        <v>-20.14</v>
      </c>
      <c r="G1674" s="13"/>
      <c r="H1674" s="13">
        <v>-14.09</v>
      </c>
      <c r="I1674" s="13">
        <v>-55.01</v>
      </c>
      <c r="J1674" s="13"/>
      <c r="K1674" s="13"/>
    </row>
    <row r="1675" spans="1:11" x14ac:dyDescent="0.25">
      <c r="A1675" s="10">
        <v>42255</v>
      </c>
      <c r="B1675" s="15">
        <f t="shared" si="52"/>
        <v>9</v>
      </c>
      <c r="C1675" s="15">
        <f t="shared" si="53"/>
        <v>2015</v>
      </c>
      <c r="D1675" s="13">
        <v>-10.88</v>
      </c>
      <c r="E1675" s="13">
        <v>11.099205286186267</v>
      </c>
      <c r="F1675" s="13">
        <v>-42.17</v>
      </c>
      <c r="G1675" s="13"/>
      <c r="H1675" s="13">
        <v>-12.73</v>
      </c>
      <c r="I1675" s="13">
        <v>-79</v>
      </c>
      <c r="J1675" s="13"/>
      <c r="K1675" s="13"/>
    </row>
    <row r="1676" spans="1:11" x14ac:dyDescent="0.25">
      <c r="A1676" s="10">
        <v>42256</v>
      </c>
      <c r="B1676" s="15">
        <f t="shared" si="52"/>
        <v>9</v>
      </c>
      <c r="C1676" s="15">
        <f t="shared" si="53"/>
        <v>2015</v>
      </c>
      <c r="D1676" s="13">
        <v>-10.88</v>
      </c>
      <c r="E1676" s="13">
        <v>11.094252052838272</v>
      </c>
      <c r="F1676" s="13">
        <v>-42.17</v>
      </c>
      <c r="G1676" s="13"/>
      <c r="H1676" s="13">
        <v>-12.73</v>
      </c>
      <c r="I1676" s="13">
        <v>-79</v>
      </c>
      <c r="J1676" s="13"/>
      <c r="K1676" s="13"/>
    </row>
    <row r="1677" spans="1:11" x14ac:dyDescent="0.25">
      <c r="A1677" s="10">
        <v>42257</v>
      </c>
      <c r="B1677" s="15">
        <f t="shared" si="52"/>
        <v>9</v>
      </c>
      <c r="C1677" s="15">
        <f t="shared" si="53"/>
        <v>2015</v>
      </c>
      <c r="D1677" s="13">
        <v>-10.88</v>
      </c>
      <c r="E1677" s="13">
        <v>11.023412557644555</v>
      </c>
      <c r="F1677" s="13">
        <v>-42.17</v>
      </c>
      <c r="G1677" s="13"/>
      <c r="H1677" s="13">
        <v>-12.73</v>
      </c>
      <c r="I1677" s="13">
        <v>-79</v>
      </c>
      <c r="J1677" s="13"/>
      <c r="K1677" s="13"/>
    </row>
    <row r="1678" spans="1:11" x14ac:dyDescent="0.25">
      <c r="A1678" s="10">
        <v>42258</v>
      </c>
      <c r="B1678" s="15">
        <f t="shared" si="52"/>
        <v>9</v>
      </c>
      <c r="C1678" s="15">
        <f t="shared" si="53"/>
        <v>2015</v>
      </c>
      <c r="D1678" s="13">
        <v>-10.88</v>
      </c>
      <c r="E1678" s="13">
        <v>10.962165975835612</v>
      </c>
      <c r="F1678" s="13">
        <v>-42.17</v>
      </c>
      <c r="G1678" s="13"/>
      <c r="H1678" s="13">
        <v>-12.73</v>
      </c>
      <c r="I1678" s="13">
        <v>-79</v>
      </c>
      <c r="J1678" s="13"/>
      <c r="K1678" s="13"/>
    </row>
    <row r="1679" spans="1:11" x14ac:dyDescent="0.25">
      <c r="A1679" s="10">
        <v>42261</v>
      </c>
      <c r="B1679" s="15">
        <f t="shared" si="52"/>
        <v>9</v>
      </c>
      <c r="C1679" s="15">
        <f t="shared" si="53"/>
        <v>2015</v>
      </c>
      <c r="D1679" s="13">
        <v>-19.989999999999998</v>
      </c>
      <c r="E1679" s="13">
        <v>18.44848913235554</v>
      </c>
      <c r="F1679" s="13">
        <v>-45.47</v>
      </c>
      <c r="G1679" s="13"/>
      <c r="H1679" s="13">
        <v>-15.85</v>
      </c>
      <c r="I1679" s="13">
        <v>25.41</v>
      </c>
      <c r="J1679" s="13"/>
      <c r="K1679" s="13"/>
    </row>
    <row r="1680" spans="1:11" x14ac:dyDescent="0.25">
      <c r="A1680" s="10">
        <v>42262</v>
      </c>
      <c r="B1680" s="15">
        <f t="shared" si="52"/>
        <v>9</v>
      </c>
      <c r="C1680" s="15">
        <f t="shared" si="53"/>
        <v>2015</v>
      </c>
      <c r="D1680" s="13">
        <v>-19.989999999999998</v>
      </c>
      <c r="E1680" s="13">
        <v>18.533641043848746</v>
      </c>
      <c r="F1680" s="13">
        <v>-45.47</v>
      </c>
      <c r="G1680" s="13"/>
      <c r="H1680" s="13">
        <v>-15.85</v>
      </c>
      <c r="I1680" s="13">
        <v>25.41</v>
      </c>
      <c r="J1680" s="13"/>
      <c r="K1680" s="13"/>
    </row>
    <row r="1681" spans="1:11" x14ac:dyDescent="0.25">
      <c r="A1681" s="10">
        <v>42263</v>
      </c>
      <c r="B1681" s="15">
        <f t="shared" si="52"/>
        <v>9</v>
      </c>
      <c r="C1681" s="15">
        <f t="shared" si="53"/>
        <v>2015</v>
      </c>
      <c r="D1681" s="13">
        <v>-19.989999999999998</v>
      </c>
      <c r="E1681" s="13">
        <v>18.495880946053678</v>
      </c>
      <c r="F1681" s="13">
        <v>-45.47</v>
      </c>
      <c r="G1681" s="13"/>
      <c r="H1681" s="13">
        <v>-15.85</v>
      </c>
      <c r="I1681" s="13">
        <v>25.41</v>
      </c>
      <c r="J1681" s="13"/>
      <c r="K1681" s="13"/>
    </row>
    <row r="1682" spans="1:11" x14ac:dyDescent="0.25">
      <c r="A1682" s="10">
        <v>42264</v>
      </c>
      <c r="B1682" s="15">
        <f t="shared" si="52"/>
        <v>9</v>
      </c>
      <c r="C1682" s="15">
        <f t="shared" si="53"/>
        <v>2015</v>
      </c>
      <c r="D1682" s="13">
        <v>-19.989999999999998</v>
      </c>
      <c r="E1682" s="13">
        <v>18.259728902492348</v>
      </c>
      <c r="F1682" s="13">
        <v>-45.47</v>
      </c>
      <c r="G1682" s="13"/>
      <c r="H1682" s="13">
        <v>-15.85</v>
      </c>
      <c r="I1682" s="13">
        <v>25.41</v>
      </c>
      <c r="J1682" s="13"/>
      <c r="K1682" s="13"/>
    </row>
    <row r="1683" spans="1:11" x14ac:dyDescent="0.25">
      <c r="A1683" s="10">
        <v>42265</v>
      </c>
      <c r="B1683" s="15">
        <f t="shared" si="52"/>
        <v>9</v>
      </c>
      <c r="C1683" s="15">
        <f t="shared" si="53"/>
        <v>2015</v>
      </c>
      <c r="D1683" s="13">
        <v>-19.989999999999998</v>
      </c>
      <c r="E1683" s="13">
        <v>18.46970367094206</v>
      </c>
      <c r="F1683" s="13">
        <v>-45.47</v>
      </c>
      <c r="G1683" s="13"/>
      <c r="H1683" s="13">
        <v>-15.85</v>
      </c>
      <c r="I1683" s="13">
        <v>25.41</v>
      </c>
      <c r="J1683" s="13"/>
      <c r="K1683" s="13"/>
    </row>
    <row r="1684" spans="1:11" x14ac:dyDescent="0.25">
      <c r="A1684" s="10">
        <v>42268</v>
      </c>
      <c r="B1684" s="15">
        <f t="shared" si="52"/>
        <v>9</v>
      </c>
      <c r="C1684" s="15">
        <f t="shared" si="53"/>
        <v>2015</v>
      </c>
      <c r="D1684" s="13">
        <v>4.55</v>
      </c>
      <c r="E1684" s="13">
        <v>34.659395673162884</v>
      </c>
      <c r="F1684" s="13">
        <v>-27.19</v>
      </c>
      <c r="G1684" s="13"/>
      <c r="H1684" s="13">
        <v>4.84</v>
      </c>
      <c r="I1684" s="13">
        <v>39.15</v>
      </c>
      <c r="J1684" s="13"/>
      <c r="K1684" s="13"/>
    </row>
    <row r="1685" spans="1:11" x14ac:dyDescent="0.25">
      <c r="A1685" s="10">
        <v>42269</v>
      </c>
      <c r="B1685" s="15">
        <f t="shared" si="52"/>
        <v>9</v>
      </c>
      <c r="C1685" s="15">
        <f t="shared" si="53"/>
        <v>2015</v>
      </c>
      <c r="D1685" s="13">
        <v>4.55</v>
      </c>
      <c r="E1685" s="13">
        <v>34.871379744558382</v>
      </c>
      <c r="F1685" s="13">
        <v>-27.19</v>
      </c>
      <c r="G1685" s="13"/>
      <c r="H1685" s="13">
        <v>4.84</v>
      </c>
      <c r="I1685" s="13">
        <v>39.15</v>
      </c>
      <c r="J1685" s="13"/>
      <c r="K1685" s="13"/>
    </row>
    <row r="1686" spans="1:11" x14ac:dyDescent="0.25">
      <c r="A1686" s="10">
        <v>42270</v>
      </c>
      <c r="B1686" s="15">
        <f t="shared" si="52"/>
        <v>9</v>
      </c>
      <c r="C1686" s="15">
        <f t="shared" si="53"/>
        <v>2015</v>
      </c>
      <c r="D1686" s="13">
        <v>4.55</v>
      </c>
      <c r="E1686" s="13">
        <v>34.662494412159141</v>
      </c>
      <c r="F1686" s="13">
        <v>-27.19</v>
      </c>
      <c r="G1686" s="13"/>
      <c r="H1686" s="13">
        <v>4.84</v>
      </c>
      <c r="I1686" s="13">
        <v>39.15</v>
      </c>
      <c r="J1686" s="13"/>
      <c r="K1686" s="13"/>
    </row>
    <row r="1687" spans="1:11" x14ac:dyDescent="0.25">
      <c r="A1687" s="10">
        <v>42271</v>
      </c>
      <c r="B1687" s="15">
        <f t="shared" si="52"/>
        <v>9</v>
      </c>
      <c r="C1687" s="15">
        <f t="shared" si="53"/>
        <v>2015</v>
      </c>
      <c r="D1687" s="13">
        <v>4.55</v>
      </c>
      <c r="E1687" s="13">
        <v>34.526672009974178</v>
      </c>
      <c r="F1687" s="13">
        <v>-27.19</v>
      </c>
      <c r="G1687" s="13"/>
      <c r="H1687" s="13">
        <v>4.84</v>
      </c>
      <c r="I1687" s="13">
        <v>39.15</v>
      </c>
      <c r="J1687" s="13"/>
      <c r="K1687" s="13"/>
    </row>
    <row r="1688" spans="1:11" x14ac:dyDescent="0.25">
      <c r="A1688" s="10">
        <v>42272</v>
      </c>
      <c r="B1688" s="15">
        <f t="shared" si="52"/>
        <v>9</v>
      </c>
      <c r="C1688" s="15">
        <f t="shared" si="53"/>
        <v>2015</v>
      </c>
      <c r="D1688" s="13">
        <v>4.55</v>
      </c>
      <c r="E1688" s="13">
        <v>34.634625692335185</v>
      </c>
      <c r="F1688" s="13">
        <v>-27.19</v>
      </c>
      <c r="G1688" s="13"/>
      <c r="H1688" s="13">
        <v>4.84</v>
      </c>
      <c r="I1688" s="13">
        <v>39.15</v>
      </c>
      <c r="J1688" s="13"/>
      <c r="K1688" s="13"/>
    </row>
    <row r="1689" spans="1:11" x14ac:dyDescent="0.25">
      <c r="A1689" s="10">
        <v>42275</v>
      </c>
      <c r="B1689" s="15">
        <f t="shared" si="52"/>
        <v>9</v>
      </c>
      <c r="C1689" s="15">
        <f t="shared" si="53"/>
        <v>2015</v>
      </c>
      <c r="D1689" s="13">
        <v>-27.39</v>
      </c>
      <c r="E1689" s="13">
        <v>1.8055679089211061</v>
      </c>
      <c r="F1689" s="13">
        <v>-55.18</v>
      </c>
      <c r="G1689" s="13"/>
      <c r="H1689" s="13">
        <v>-28.84</v>
      </c>
      <c r="I1689" s="13">
        <v>2.2599999999999998</v>
      </c>
      <c r="J1689" s="13"/>
      <c r="K1689" s="13"/>
    </row>
    <row r="1690" spans="1:11" x14ac:dyDescent="0.25">
      <c r="A1690" s="10">
        <v>42276</v>
      </c>
      <c r="B1690" s="15">
        <f t="shared" si="52"/>
        <v>9</v>
      </c>
      <c r="C1690" s="15">
        <f t="shared" si="53"/>
        <v>2015</v>
      </c>
      <c r="D1690" s="13">
        <v>-27.39</v>
      </c>
      <c r="E1690" s="13">
        <v>1.8052467763450419</v>
      </c>
      <c r="F1690" s="13">
        <v>-55.18</v>
      </c>
      <c r="G1690" s="13"/>
      <c r="H1690" s="13">
        <v>-28.84</v>
      </c>
      <c r="I1690" s="13">
        <v>2.2599999999999998</v>
      </c>
      <c r="J1690" s="13"/>
      <c r="K1690" s="13"/>
    </row>
    <row r="1691" spans="1:11" x14ac:dyDescent="0.25">
      <c r="A1691" s="10">
        <v>42277</v>
      </c>
      <c r="B1691" s="15">
        <f t="shared" si="52"/>
        <v>9</v>
      </c>
      <c r="C1691" s="15">
        <f t="shared" si="53"/>
        <v>2015</v>
      </c>
      <c r="D1691" s="13">
        <v>-27.39</v>
      </c>
      <c r="E1691" s="13">
        <v>1.8163922691481746</v>
      </c>
      <c r="F1691" s="13">
        <v>-55.18</v>
      </c>
      <c r="G1691" s="13"/>
      <c r="H1691" s="13">
        <v>-28.84</v>
      </c>
      <c r="I1691" s="13">
        <v>2.2599999999999998</v>
      </c>
      <c r="J1691" s="13"/>
      <c r="K1691" s="13"/>
    </row>
    <row r="1692" spans="1:11" x14ac:dyDescent="0.25">
      <c r="A1692" s="10">
        <v>42278</v>
      </c>
      <c r="B1692" s="15">
        <f t="shared" si="52"/>
        <v>10</v>
      </c>
      <c r="C1692" s="15">
        <f t="shared" si="53"/>
        <v>2015</v>
      </c>
      <c r="D1692" s="13">
        <v>-27.39</v>
      </c>
      <c r="E1692" s="13">
        <v>1.8134715025906736</v>
      </c>
      <c r="F1692" s="13">
        <v>-55.18</v>
      </c>
      <c r="G1692" s="13"/>
      <c r="H1692" s="13">
        <v>-28.84</v>
      </c>
      <c r="I1692" s="13">
        <v>2.2599999999999998</v>
      </c>
      <c r="J1692" s="13"/>
      <c r="K1692" s="13"/>
    </row>
    <row r="1693" spans="1:11" x14ac:dyDescent="0.25">
      <c r="A1693" s="10">
        <v>42279</v>
      </c>
      <c r="B1693" s="15">
        <f t="shared" si="52"/>
        <v>10</v>
      </c>
      <c r="C1693" s="15">
        <f t="shared" si="53"/>
        <v>2015</v>
      </c>
      <c r="D1693" s="13">
        <v>-27.39</v>
      </c>
      <c r="E1693" s="13">
        <v>1.8110446962262465</v>
      </c>
      <c r="F1693" s="13">
        <v>-55.18</v>
      </c>
      <c r="G1693" s="13"/>
      <c r="H1693" s="13">
        <v>-28.84</v>
      </c>
      <c r="I1693" s="13">
        <v>2.2599999999999998</v>
      </c>
      <c r="J1693" s="13"/>
      <c r="K1693" s="13"/>
    </row>
    <row r="1694" spans="1:11" x14ac:dyDescent="0.25">
      <c r="A1694" s="10">
        <v>42282</v>
      </c>
      <c r="B1694" s="15">
        <f t="shared" si="52"/>
        <v>10</v>
      </c>
      <c r="C1694" s="15">
        <f t="shared" si="53"/>
        <v>2015</v>
      </c>
      <c r="D1694" s="13">
        <v>-31.64</v>
      </c>
      <c r="E1694" s="13">
        <v>10.710773357174787</v>
      </c>
      <c r="F1694" s="13">
        <v>-67.37</v>
      </c>
      <c r="G1694" s="13"/>
      <c r="H1694" s="13">
        <v>-30.31</v>
      </c>
      <c r="I1694" s="13">
        <v>-12</v>
      </c>
      <c r="J1694" s="13"/>
      <c r="K1694" s="13"/>
    </row>
    <row r="1695" spans="1:11" x14ac:dyDescent="0.25">
      <c r="A1695" s="10">
        <v>42283</v>
      </c>
      <c r="B1695" s="15">
        <f t="shared" si="52"/>
        <v>10</v>
      </c>
      <c r="C1695" s="15">
        <f t="shared" si="53"/>
        <v>2015</v>
      </c>
      <c r="D1695" s="13">
        <v>-31.64</v>
      </c>
      <c r="E1695" s="13">
        <v>10.631877884274051</v>
      </c>
      <c r="F1695" s="13">
        <v>-67.37</v>
      </c>
      <c r="G1695" s="13"/>
      <c r="H1695" s="13">
        <v>-30.31</v>
      </c>
      <c r="I1695" s="13">
        <v>-12</v>
      </c>
      <c r="J1695" s="13"/>
      <c r="K1695" s="13"/>
    </row>
    <row r="1696" spans="1:11" x14ac:dyDescent="0.25">
      <c r="A1696" s="10">
        <v>42284</v>
      </c>
      <c r="B1696" s="15">
        <f t="shared" si="52"/>
        <v>10</v>
      </c>
      <c r="C1696" s="15">
        <f t="shared" si="53"/>
        <v>2015</v>
      </c>
      <c r="D1696" s="13">
        <v>-31.64</v>
      </c>
      <c r="E1696" s="13">
        <v>10.663106364040944</v>
      </c>
      <c r="F1696" s="13">
        <v>-67.37</v>
      </c>
      <c r="G1696" s="13"/>
      <c r="H1696" s="13">
        <v>-30.31</v>
      </c>
      <c r="I1696" s="13">
        <v>-12</v>
      </c>
      <c r="J1696" s="13"/>
      <c r="K1696" s="13"/>
    </row>
    <row r="1697" spans="1:11" x14ac:dyDescent="0.25">
      <c r="A1697" s="10">
        <v>42285</v>
      </c>
      <c r="B1697" s="15">
        <f t="shared" si="52"/>
        <v>10</v>
      </c>
      <c r="C1697" s="15">
        <f t="shared" si="53"/>
        <v>2015</v>
      </c>
      <c r="D1697" s="13">
        <v>-31.64</v>
      </c>
      <c r="E1697" s="13">
        <v>10.622450789147013</v>
      </c>
      <c r="F1697" s="13">
        <v>-67.37</v>
      </c>
      <c r="G1697" s="13"/>
      <c r="H1697" s="13">
        <v>-30.31</v>
      </c>
      <c r="I1697" s="13">
        <v>-12</v>
      </c>
      <c r="J1697" s="13"/>
      <c r="K1697" s="13"/>
    </row>
    <row r="1698" spans="1:11" x14ac:dyDescent="0.25">
      <c r="A1698" s="10">
        <v>42286</v>
      </c>
      <c r="B1698" s="15">
        <f t="shared" si="52"/>
        <v>10</v>
      </c>
      <c r="C1698" s="15">
        <f t="shared" si="53"/>
        <v>2015</v>
      </c>
      <c r="D1698" s="13">
        <v>-31.64</v>
      </c>
      <c r="E1698" s="13">
        <v>10.551347542716224</v>
      </c>
      <c r="F1698" s="13">
        <v>-67.37</v>
      </c>
      <c r="G1698" s="13"/>
      <c r="H1698" s="13">
        <v>-30.31</v>
      </c>
      <c r="I1698" s="13">
        <v>-12</v>
      </c>
      <c r="J1698" s="13"/>
      <c r="K1698" s="13"/>
    </row>
    <row r="1699" spans="1:11" x14ac:dyDescent="0.25">
      <c r="A1699" s="10">
        <v>42289</v>
      </c>
      <c r="B1699" s="15">
        <f t="shared" si="52"/>
        <v>10</v>
      </c>
      <c r="C1699" s="15">
        <f t="shared" si="53"/>
        <v>2015</v>
      </c>
      <c r="D1699" s="13">
        <v>-34.270000000000003</v>
      </c>
      <c r="E1699" s="13">
        <v>-3.9365918097754293</v>
      </c>
      <c r="F1699" s="13">
        <v>-85.67</v>
      </c>
      <c r="G1699" s="13"/>
      <c r="H1699" s="13">
        <v>-34.619999999999997</v>
      </c>
      <c r="I1699" s="13">
        <v>-38.14</v>
      </c>
      <c r="J1699" s="13"/>
      <c r="K1699" s="13"/>
    </row>
    <row r="1700" spans="1:11" x14ac:dyDescent="0.25">
      <c r="A1700" s="10">
        <v>42290</v>
      </c>
      <c r="B1700" s="15">
        <f t="shared" si="52"/>
        <v>10</v>
      </c>
      <c r="C1700" s="15">
        <f t="shared" si="53"/>
        <v>2015</v>
      </c>
      <c r="D1700" s="13">
        <v>-34.270000000000003</v>
      </c>
      <c r="E1700" s="13">
        <v>-3.9293248945147679</v>
      </c>
      <c r="F1700" s="13">
        <v>-85.67</v>
      </c>
      <c r="G1700" s="13"/>
      <c r="H1700" s="13">
        <v>-34.619999999999997</v>
      </c>
      <c r="I1700" s="13">
        <v>-38.14</v>
      </c>
      <c r="J1700" s="13"/>
      <c r="K1700" s="13"/>
    </row>
    <row r="1701" spans="1:11" x14ac:dyDescent="0.25">
      <c r="A1701" s="10">
        <v>42291</v>
      </c>
      <c r="B1701" s="15">
        <f t="shared" si="52"/>
        <v>10</v>
      </c>
      <c r="C1701" s="15">
        <f t="shared" si="53"/>
        <v>2015</v>
      </c>
      <c r="D1701" s="13">
        <v>-34.270000000000003</v>
      </c>
      <c r="E1701" s="13">
        <v>-3.8961038961038961</v>
      </c>
      <c r="F1701" s="13">
        <v>-85.67</v>
      </c>
      <c r="G1701" s="13"/>
      <c r="H1701" s="13">
        <v>-34.619999999999997</v>
      </c>
      <c r="I1701" s="13">
        <v>-38.14</v>
      </c>
      <c r="J1701" s="13"/>
      <c r="K1701" s="13"/>
    </row>
    <row r="1702" spans="1:11" x14ac:dyDescent="0.25">
      <c r="A1702" s="10">
        <v>42292</v>
      </c>
      <c r="B1702" s="15">
        <f t="shared" si="52"/>
        <v>10</v>
      </c>
      <c r="C1702" s="15">
        <f t="shared" si="53"/>
        <v>2015</v>
      </c>
      <c r="D1702" s="13">
        <v>-34.270000000000003</v>
      </c>
      <c r="E1702" s="13">
        <v>-3.9272535582498675</v>
      </c>
      <c r="F1702" s="13">
        <v>-85.67</v>
      </c>
      <c r="G1702" s="13"/>
      <c r="H1702" s="13">
        <v>-34.619999999999997</v>
      </c>
      <c r="I1702" s="13">
        <v>-38.14</v>
      </c>
      <c r="J1702" s="13"/>
      <c r="K1702" s="13"/>
    </row>
    <row r="1703" spans="1:11" x14ac:dyDescent="0.25">
      <c r="A1703" s="10">
        <v>42293</v>
      </c>
      <c r="B1703" s="15">
        <f t="shared" si="52"/>
        <v>10</v>
      </c>
      <c r="C1703" s="15">
        <f t="shared" si="53"/>
        <v>2015</v>
      </c>
      <c r="D1703" s="13">
        <v>-34.270000000000003</v>
      </c>
      <c r="E1703" s="13">
        <v>-3.9397144368059225</v>
      </c>
      <c r="F1703" s="13">
        <v>-85.67</v>
      </c>
      <c r="G1703" s="13"/>
      <c r="H1703" s="13">
        <v>-34.619999999999997</v>
      </c>
      <c r="I1703" s="13">
        <v>-38.14</v>
      </c>
      <c r="J1703" s="13"/>
      <c r="K1703" s="13"/>
    </row>
    <row r="1704" spans="1:11" x14ac:dyDescent="0.25">
      <c r="A1704" s="10">
        <v>42296</v>
      </c>
      <c r="B1704" s="15">
        <f t="shared" si="52"/>
        <v>10</v>
      </c>
      <c r="C1704" s="15">
        <f t="shared" si="53"/>
        <v>2015</v>
      </c>
      <c r="D1704" s="13">
        <v>-32.78</v>
      </c>
      <c r="E1704" s="13">
        <v>-0.22077004592016955</v>
      </c>
      <c r="F1704" s="13">
        <v>-82.95</v>
      </c>
      <c r="G1704" s="13"/>
      <c r="H1704" s="13">
        <v>-40.96</v>
      </c>
      <c r="I1704" s="13">
        <v>-35.51</v>
      </c>
      <c r="J1704" s="13"/>
      <c r="K1704" s="13"/>
    </row>
    <row r="1705" spans="1:11" x14ac:dyDescent="0.25">
      <c r="A1705" s="10">
        <v>42297</v>
      </c>
      <c r="B1705" s="15">
        <f t="shared" si="52"/>
        <v>10</v>
      </c>
      <c r="C1705" s="15">
        <f t="shared" si="53"/>
        <v>2015</v>
      </c>
      <c r="D1705" s="13">
        <v>-32.78</v>
      </c>
      <c r="E1705" s="13">
        <v>-0.22038081805359661</v>
      </c>
      <c r="F1705" s="13">
        <v>-82.95</v>
      </c>
      <c r="G1705" s="13"/>
      <c r="H1705" s="13">
        <v>-40.96</v>
      </c>
      <c r="I1705" s="13">
        <v>-35.51</v>
      </c>
      <c r="J1705" s="13"/>
      <c r="K1705" s="13"/>
    </row>
    <row r="1706" spans="1:11" x14ac:dyDescent="0.25">
      <c r="A1706" s="10">
        <v>42298</v>
      </c>
      <c r="B1706" s="15">
        <f t="shared" si="52"/>
        <v>10</v>
      </c>
      <c r="C1706" s="15">
        <f t="shared" si="53"/>
        <v>2015</v>
      </c>
      <c r="D1706" s="13">
        <v>-32.78</v>
      </c>
      <c r="E1706" s="13">
        <v>-0.22053634438955541</v>
      </c>
      <c r="F1706" s="13">
        <v>-82.95</v>
      </c>
      <c r="G1706" s="13"/>
      <c r="H1706" s="13">
        <v>-40.96</v>
      </c>
      <c r="I1706" s="13">
        <v>-35.51</v>
      </c>
      <c r="J1706" s="13"/>
      <c r="K1706" s="13"/>
    </row>
    <row r="1707" spans="1:11" x14ac:dyDescent="0.25">
      <c r="A1707" s="10">
        <v>42299</v>
      </c>
      <c r="B1707" s="15">
        <f t="shared" si="52"/>
        <v>10</v>
      </c>
      <c r="C1707" s="15">
        <f t="shared" si="53"/>
        <v>2015</v>
      </c>
      <c r="D1707" s="13">
        <v>-32.78</v>
      </c>
      <c r="E1707" s="13">
        <v>-0.22510354763191068</v>
      </c>
      <c r="F1707" s="13">
        <v>-82.95</v>
      </c>
      <c r="G1707" s="13"/>
      <c r="H1707" s="13">
        <v>-40.96</v>
      </c>
      <c r="I1707" s="13">
        <v>-35.51</v>
      </c>
      <c r="J1707" s="13"/>
      <c r="K1707" s="13"/>
    </row>
    <row r="1708" spans="1:11" x14ac:dyDescent="0.25">
      <c r="A1708" s="10">
        <v>42300</v>
      </c>
      <c r="B1708" s="15">
        <f t="shared" si="52"/>
        <v>10</v>
      </c>
      <c r="C1708" s="15">
        <f t="shared" si="53"/>
        <v>2015</v>
      </c>
      <c r="D1708" s="13">
        <v>-32.78</v>
      </c>
      <c r="E1708" s="13">
        <v>-0.22698383875068096</v>
      </c>
      <c r="F1708" s="13">
        <v>-82.95</v>
      </c>
      <c r="G1708" s="13"/>
      <c r="H1708" s="13">
        <v>-40.96</v>
      </c>
      <c r="I1708" s="13">
        <v>-35.51</v>
      </c>
      <c r="J1708" s="13"/>
      <c r="K1708" s="13"/>
    </row>
    <row r="1709" spans="1:11" x14ac:dyDescent="0.25">
      <c r="A1709" s="10">
        <v>42303</v>
      </c>
      <c r="B1709" s="15">
        <f t="shared" si="52"/>
        <v>10</v>
      </c>
      <c r="C1709" s="15">
        <f t="shared" si="53"/>
        <v>2015</v>
      </c>
      <c r="D1709" s="13">
        <v>-28.32</v>
      </c>
      <c r="E1709" s="13">
        <v>-7.2178002894356013</v>
      </c>
      <c r="F1709" s="13">
        <v>-71.69</v>
      </c>
      <c r="G1709" s="13"/>
      <c r="H1709" s="13">
        <v>-34.82</v>
      </c>
      <c r="I1709" s="13">
        <v>-26.1</v>
      </c>
      <c r="J1709" s="13"/>
      <c r="K1709" s="13"/>
    </row>
    <row r="1710" spans="1:11" x14ac:dyDescent="0.25">
      <c r="A1710" s="10">
        <v>42304</v>
      </c>
      <c r="B1710" s="15">
        <f t="shared" si="52"/>
        <v>10</v>
      </c>
      <c r="C1710" s="15">
        <f t="shared" si="53"/>
        <v>2015</v>
      </c>
      <c r="D1710" s="13">
        <v>-28.32</v>
      </c>
      <c r="E1710" s="13">
        <v>-7.2230267921795805</v>
      </c>
      <c r="F1710" s="13">
        <v>-71.69</v>
      </c>
      <c r="G1710" s="13"/>
      <c r="H1710" s="13">
        <v>-34.82</v>
      </c>
      <c r="I1710" s="13">
        <v>-26.1</v>
      </c>
      <c r="J1710" s="13"/>
      <c r="K1710" s="13"/>
    </row>
    <row r="1711" spans="1:11" x14ac:dyDescent="0.25">
      <c r="A1711" s="10">
        <v>42305</v>
      </c>
      <c r="B1711" s="15">
        <f t="shared" si="52"/>
        <v>10</v>
      </c>
      <c r="C1711" s="15">
        <f t="shared" si="53"/>
        <v>2015</v>
      </c>
      <c r="D1711" s="13">
        <v>-28.32</v>
      </c>
      <c r="E1711" s="13">
        <v>-7.3076923076923075</v>
      </c>
      <c r="F1711" s="13">
        <v>-71.69</v>
      </c>
      <c r="G1711" s="13"/>
      <c r="H1711" s="13">
        <v>-34.82</v>
      </c>
      <c r="I1711" s="13">
        <v>-26.1</v>
      </c>
      <c r="J1711" s="13"/>
      <c r="K1711" s="13"/>
    </row>
    <row r="1712" spans="1:11" x14ac:dyDescent="0.25">
      <c r="A1712" s="10">
        <v>42306</v>
      </c>
      <c r="B1712" s="15">
        <f t="shared" si="52"/>
        <v>10</v>
      </c>
      <c r="C1712" s="15">
        <f t="shared" si="53"/>
        <v>2015</v>
      </c>
      <c r="D1712" s="13">
        <v>-28.32</v>
      </c>
      <c r="E1712" s="13">
        <v>-7.2704081632653068</v>
      </c>
      <c r="F1712" s="13">
        <v>-71.69</v>
      </c>
      <c r="G1712" s="13"/>
      <c r="H1712" s="13">
        <v>-34.82</v>
      </c>
      <c r="I1712" s="13">
        <v>-26.1</v>
      </c>
      <c r="J1712" s="13"/>
      <c r="K1712" s="13"/>
    </row>
    <row r="1713" spans="1:11" x14ac:dyDescent="0.25">
      <c r="A1713" s="10">
        <v>42307</v>
      </c>
      <c r="B1713" s="15">
        <f t="shared" si="52"/>
        <v>10</v>
      </c>
      <c r="C1713" s="15">
        <f t="shared" si="53"/>
        <v>2015</v>
      </c>
      <c r="D1713" s="13">
        <v>-28.32</v>
      </c>
      <c r="E1713" s="13">
        <v>-7.251249432076329</v>
      </c>
      <c r="F1713" s="13">
        <v>-71.69</v>
      </c>
      <c r="G1713" s="13"/>
      <c r="H1713" s="13">
        <v>-34.82</v>
      </c>
      <c r="I1713" s="13">
        <v>-26.1</v>
      </c>
      <c r="J1713" s="13"/>
      <c r="K1713" s="13"/>
    </row>
    <row r="1714" spans="1:11" x14ac:dyDescent="0.25">
      <c r="A1714" s="10">
        <v>42310</v>
      </c>
      <c r="B1714" s="15">
        <f t="shared" si="52"/>
        <v>11</v>
      </c>
      <c r="C1714" s="15">
        <f t="shared" si="53"/>
        <v>2015</v>
      </c>
      <c r="D1714" s="13">
        <v>-17.11</v>
      </c>
      <c r="E1714" s="13">
        <v>8.5626078271134123</v>
      </c>
      <c r="F1714" s="13">
        <v>-59.52</v>
      </c>
      <c r="G1714" s="13"/>
      <c r="H1714" s="13">
        <v>-29.51</v>
      </c>
      <c r="I1714" s="13">
        <v>19.47</v>
      </c>
      <c r="J1714" s="13"/>
      <c r="K1714" s="13"/>
    </row>
    <row r="1715" spans="1:11" x14ac:dyDescent="0.25">
      <c r="A1715" s="10">
        <v>42311</v>
      </c>
      <c r="B1715" s="15">
        <f t="shared" si="52"/>
        <v>11</v>
      </c>
      <c r="C1715" s="15">
        <f t="shared" si="53"/>
        <v>2015</v>
      </c>
      <c r="D1715" s="13">
        <v>-17.11</v>
      </c>
      <c r="E1715" s="13">
        <v>8.5993069487506837</v>
      </c>
      <c r="F1715" s="13">
        <v>-59.52</v>
      </c>
      <c r="G1715" s="13"/>
      <c r="H1715" s="13">
        <v>-29.51</v>
      </c>
      <c r="I1715" s="13">
        <v>19.47</v>
      </c>
      <c r="J1715" s="13"/>
      <c r="K1715" s="13"/>
    </row>
    <row r="1716" spans="1:11" x14ac:dyDescent="0.25">
      <c r="A1716" s="10">
        <v>42312</v>
      </c>
      <c r="B1716" s="15">
        <f t="shared" si="52"/>
        <v>11</v>
      </c>
      <c r="C1716" s="15">
        <f t="shared" si="53"/>
        <v>2015</v>
      </c>
      <c r="D1716" s="13">
        <v>-17.11</v>
      </c>
      <c r="E1716" s="13">
        <v>8.6816424231264957</v>
      </c>
      <c r="F1716" s="13">
        <v>-59.52</v>
      </c>
      <c r="G1716" s="13"/>
      <c r="H1716" s="13">
        <v>-29.51</v>
      </c>
      <c r="I1716" s="13">
        <v>19.47</v>
      </c>
      <c r="J1716" s="13"/>
      <c r="K1716" s="13"/>
    </row>
    <row r="1717" spans="1:11" x14ac:dyDescent="0.25">
      <c r="A1717" s="10">
        <v>42313</v>
      </c>
      <c r="B1717" s="15">
        <f t="shared" si="52"/>
        <v>11</v>
      </c>
      <c r="C1717" s="15">
        <f t="shared" si="53"/>
        <v>2015</v>
      </c>
      <c r="D1717" s="13">
        <v>-17.11</v>
      </c>
      <c r="E1717" s="13">
        <v>8.6664828600312465</v>
      </c>
      <c r="F1717" s="13">
        <v>-59.52</v>
      </c>
      <c r="G1717" s="13"/>
      <c r="H1717" s="13">
        <v>-29.51</v>
      </c>
      <c r="I1717" s="13">
        <v>19.47</v>
      </c>
      <c r="J1717" s="13"/>
      <c r="K1717" s="13"/>
    </row>
    <row r="1718" spans="1:11" x14ac:dyDescent="0.25">
      <c r="A1718" s="10">
        <v>42314</v>
      </c>
      <c r="B1718" s="15">
        <f t="shared" si="52"/>
        <v>11</v>
      </c>
      <c r="C1718" s="15">
        <f t="shared" si="53"/>
        <v>2015</v>
      </c>
      <c r="D1718" s="13">
        <v>-17.11</v>
      </c>
      <c r="E1718" s="13">
        <v>8.7818960700316619</v>
      </c>
      <c r="F1718" s="13">
        <v>-59.52</v>
      </c>
      <c r="G1718" s="13"/>
      <c r="H1718" s="13">
        <v>-29.51</v>
      </c>
      <c r="I1718" s="13">
        <v>19.47</v>
      </c>
      <c r="J1718" s="13"/>
      <c r="K1718" s="13"/>
    </row>
    <row r="1719" spans="1:11" x14ac:dyDescent="0.25">
      <c r="A1719" s="10">
        <v>42317</v>
      </c>
      <c r="B1719" s="15">
        <f t="shared" si="52"/>
        <v>11</v>
      </c>
      <c r="C1719" s="15">
        <f t="shared" si="53"/>
        <v>2015</v>
      </c>
      <c r="D1719" s="13">
        <v>-19.87</v>
      </c>
      <c r="E1719" s="13">
        <v>22.625360498651037</v>
      </c>
      <c r="F1719" s="13">
        <v>-46.4</v>
      </c>
      <c r="G1719" s="13"/>
      <c r="H1719" s="13">
        <v>28.51</v>
      </c>
      <c r="I1719" s="13">
        <v>36.49</v>
      </c>
      <c r="J1719" s="13"/>
      <c r="K1719" s="13"/>
    </row>
    <row r="1720" spans="1:11" x14ac:dyDescent="0.25">
      <c r="A1720" s="10">
        <v>42318</v>
      </c>
      <c r="B1720" s="15">
        <f t="shared" si="52"/>
        <v>11</v>
      </c>
      <c r="C1720" s="15">
        <f t="shared" si="53"/>
        <v>2015</v>
      </c>
      <c r="D1720" s="13">
        <v>-19.87</v>
      </c>
      <c r="E1720" s="13">
        <v>22.680220087662036</v>
      </c>
      <c r="F1720" s="13">
        <v>-46.4</v>
      </c>
      <c r="G1720" s="13"/>
      <c r="H1720" s="13">
        <v>28.51</v>
      </c>
      <c r="I1720" s="13">
        <v>36.49</v>
      </c>
      <c r="J1720" s="13"/>
      <c r="K1720" s="13"/>
    </row>
    <row r="1721" spans="1:11" x14ac:dyDescent="0.25">
      <c r="A1721" s="10">
        <v>42319</v>
      </c>
      <c r="B1721" s="15">
        <f t="shared" si="52"/>
        <v>11</v>
      </c>
      <c r="C1721" s="15">
        <f t="shared" si="53"/>
        <v>2015</v>
      </c>
      <c r="D1721" s="13">
        <v>-19.87</v>
      </c>
      <c r="E1721" s="13">
        <v>22.637996835148467</v>
      </c>
      <c r="F1721" s="13">
        <v>-46.4</v>
      </c>
      <c r="G1721" s="13"/>
      <c r="H1721" s="13">
        <v>28.51</v>
      </c>
      <c r="I1721" s="13">
        <v>36.49</v>
      </c>
      <c r="J1721" s="13"/>
      <c r="K1721" s="13"/>
    </row>
    <row r="1722" spans="1:11" x14ac:dyDescent="0.25">
      <c r="A1722" s="10">
        <v>42320</v>
      </c>
      <c r="B1722" s="15">
        <f t="shared" si="52"/>
        <v>11</v>
      </c>
      <c r="C1722" s="15">
        <f t="shared" si="53"/>
        <v>2015</v>
      </c>
      <c r="D1722" s="13">
        <v>-19.87</v>
      </c>
      <c r="E1722" s="13">
        <v>22.483128408985852</v>
      </c>
      <c r="F1722" s="13">
        <v>-46.4</v>
      </c>
      <c r="G1722" s="13"/>
      <c r="H1722" s="13">
        <v>28.51</v>
      </c>
      <c r="I1722" s="13">
        <v>36.49</v>
      </c>
      <c r="J1722" s="13"/>
      <c r="K1722" s="13"/>
    </row>
    <row r="1723" spans="1:11" x14ac:dyDescent="0.25">
      <c r="A1723" s="10">
        <v>42321</v>
      </c>
      <c r="B1723" s="15">
        <f t="shared" si="52"/>
        <v>11</v>
      </c>
      <c r="C1723" s="15">
        <f t="shared" si="53"/>
        <v>2015</v>
      </c>
      <c r="D1723" s="13">
        <v>-19.87</v>
      </c>
      <c r="E1723" s="13">
        <v>22.56657696947202</v>
      </c>
      <c r="F1723" s="13">
        <v>-46.4</v>
      </c>
      <c r="G1723" s="13"/>
      <c r="H1723" s="13">
        <v>28.51</v>
      </c>
      <c r="I1723" s="13">
        <v>36.49</v>
      </c>
      <c r="J1723" s="13"/>
      <c r="K1723" s="13"/>
    </row>
    <row r="1724" spans="1:11" x14ac:dyDescent="0.25">
      <c r="A1724" s="10">
        <v>42324</v>
      </c>
      <c r="B1724" s="15">
        <f t="shared" si="52"/>
        <v>11</v>
      </c>
      <c r="C1724" s="15">
        <f t="shared" si="53"/>
        <v>2015</v>
      </c>
      <c r="D1724" s="13">
        <v>-34.44</v>
      </c>
      <c r="E1724" s="13">
        <v>7.2163983526769</v>
      </c>
      <c r="F1724" s="13">
        <v>-67.06</v>
      </c>
      <c r="G1724" s="13"/>
      <c r="H1724" s="13">
        <v>16.61</v>
      </c>
      <c r="I1724" s="13">
        <v>14.03</v>
      </c>
      <c r="J1724" s="13"/>
      <c r="K1724" s="13"/>
    </row>
    <row r="1725" spans="1:11" x14ac:dyDescent="0.25">
      <c r="A1725" s="10">
        <v>42325</v>
      </c>
      <c r="B1725" s="15">
        <f t="shared" si="52"/>
        <v>11</v>
      </c>
      <c r="C1725" s="15">
        <f t="shared" si="53"/>
        <v>2015</v>
      </c>
      <c r="D1725" s="13">
        <v>-34.44</v>
      </c>
      <c r="E1725" s="13">
        <v>7.2455596278545249</v>
      </c>
      <c r="F1725" s="13">
        <v>-67.06</v>
      </c>
      <c r="G1725" s="13"/>
      <c r="H1725" s="13">
        <v>16.61</v>
      </c>
      <c r="I1725" s="13">
        <v>14.03</v>
      </c>
      <c r="J1725" s="13"/>
      <c r="K1725" s="13"/>
    </row>
    <row r="1726" spans="1:11" x14ac:dyDescent="0.25">
      <c r="A1726" s="10">
        <v>42326</v>
      </c>
      <c r="B1726" s="15">
        <f t="shared" si="52"/>
        <v>11</v>
      </c>
      <c r="C1726" s="15">
        <f t="shared" si="53"/>
        <v>2015</v>
      </c>
      <c r="D1726" s="13">
        <v>-34.44</v>
      </c>
      <c r="E1726" s="13">
        <v>7.2340026271345463</v>
      </c>
      <c r="F1726" s="13">
        <v>-67.06</v>
      </c>
      <c r="G1726" s="13"/>
      <c r="H1726" s="13">
        <v>16.61</v>
      </c>
      <c r="I1726" s="13">
        <v>14.03</v>
      </c>
      <c r="J1726" s="13"/>
      <c r="K1726" s="13"/>
    </row>
    <row r="1727" spans="1:11" x14ac:dyDescent="0.25">
      <c r="A1727" s="10">
        <v>42327</v>
      </c>
      <c r="B1727" s="15">
        <f t="shared" si="52"/>
        <v>11</v>
      </c>
      <c r="C1727" s="15">
        <f t="shared" si="53"/>
        <v>2015</v>
      </c>
      <c r="D1727" s="13">
        <v>-34.44</v>
      </c>
      <c r="E1727" s="13">
        <v>7.1841222512113312</v>
      </c>
      <c r="F1727" s="13">
        <v>-67.06</v>
      </c>
      <c r="G1727" s="13"/>
      <c r="H1727" s="13">
        <v>16.61</v>
      </c>
      <c r="I1727" s="13">
        <v>14.03</v>
      </c>
      <c r="J1727" s="13"/>
      <c r="K1727" s="13"/>
    </row>
    <row r="1728" spans="1:11" x14ac:dyDescent="0.25">
      <c r="A1728" s="10">
        <v>42328</v>
      </c>
      <c r="B1728" s="15">
        <f t="shared" si="52"/>
        <v>11</v>
      </c>
      <c r="C1728" s="15">
        <f t="shared" si="53"/>
        <v>2015</v>
      </c>
      <c r="D1728" s="13">
        <v>-34.44</v>
      </c>
      <c r="E1728" s="13">
        <v>7.2441980644555102</v>
      </c>
      <c r="F1728" s="13">
        <v>-67.06</v>
      </c>
      <c r="G1728" s="13"/>
      <c r="H1728" s="13">
        <v>16.61</v>
      </c>
      <c r="I1728" s="13">
        <v>14.03</v>
      </c>
      <c r="J1728" s="13"/>
      <c r="K1728" s="13"/>
    </row>
    <row r="1729" spans="1:11" x14ac:dyDescent="0.25">
      <c r="A1729" s="10">
        <v>42331</v>
      </c>
      <c r="B1729" s="15">
        <f t="shared" si="52"/>
        <v>11</v>
      </c>
      <c r="C1729" s="15">
        <f t="shared" si="53"/>
        <v>2015</v>
      </c>
      <c r="D1729" s="13">
        <v>-40.4</v>
      </c>
      <c r="E1729" s="13">
        <v>-10.297160052661276</v>
      </c>
      <c r="F1729" s="13">
        <v>-75</v>
      </c>
      <c r="G1729" s="13"/>
      <c r="H1729" s="13">
        <v>8.8699999999999992</v>
      </c>
      <c r="I1729" s="13">
        <v>5.58</v>
      </c>
      <c r="J1729" s="13"/>
      <c r="K1729" s="13"/>
    </row>
    <row r="1730" spans="1:11" x14ac:dyDescent="0.25">
      <c r="A1730" s="10">
        <v>42332</v>
      </c>
      <c r="B1730" s="15">
        <f t="shared" si="52"/>
        <v>11</v>
      </c>
      <c r="C1730" s="15">
        <f t="shared" si="53"/>
        <v>2015</v>
      </c>
      <c r="D1730" s="13">
        <v>-40.4</v>
      </c>
      <c r="E1730" s="13">
        <v>-10.291353383458645</v>
      </c>
      <c r="F1730" s="13">
        <v>-75</v>
      </c>
      <c r="G1730" s="13"/>
      <c r="H1730" s="13">
        <v>8.8699999999999992</v>
      </c>
      <c r="I1730" s="13">
        <v>5.58</v>
      </c>
      <c r="J1730" s="13"/>
      <c r="K1730" s="13"/>
    </row>
    <row r="1731" spans="1:11" x14ac:dyDescent="0.25">
      <c r="A1731" s="10">
        <v>42333</v>
      </c>
      <c r="B1731" s="15">
        <f t="shared" ref="B1731:B1794" si="54">MONTH(A1731)</f>
        <v>11</v>
      </c>
      <c r="C1731" s="15">
        <f t="shared" ref="C1731:C1794" si="55">YEAR(A1731)</f>
        <v>2015</v>
      </c>
      <c r="D1731" s="13">
        <v>-40.4</v>
      </c>
      <c r="E1731" s="13">
        <v>-10.304912478825521</v>
      </c>
      <c r="F1731" s="13">
        <v>-75</v>
      </c>
      <c r="G1731" s="13"/>
      <c r="H1731" s="13">
        <v>8.8699999999999992</v>
      </c>
      <c r="I1731" s="13">
        <v>5.58</v>
      </c>
      <c r="J1731" s="13"/>
      <c r="K1731" s="13"/>
    </row>
    <row r="1732" spans="1:11" x14ac:dyDescent="0.25">
      <c r="A1732" s="10">
        <v>42335</v>
      </c>
      <c r="B1732" s="15">
        <f t="shared" si="54"/>
        <v>11</v>
      </c>
      <c r="C1732" s="15">
        <f t="shared" si="55"/>
        <v>2015</v>
      </c>
      <c r="D1732" s="13">
        <v>-40.4</v>
      </c>
      <c r="E1732" s="13">
        <v>-10.339943342776204</v>
      </c>
      <c r="F1732" s="13">
        <v>-75</v>
      </c>
      <c r="G1732" s="13"/>
      <c r="H1732" s="13">
        <v>8.8699999999999992</v>
      </c>
      <c r="I1732" s="13">
        <v>5.58</v>
      </c>
      <c r="J1732" s="13"/>
      <c r="K1732" s="13"/>
    </row>
    <row r="1733" spans="1:11" x14ac:dyDescent="0.25">
      <c r="A1733" s="10">
        <v>42338</v>
      </c>
      <c r="B1733" s="15">
        <f t="shared" si="54"/>
        <v>11</v>
      </c>
      <c r="C1733" s="15">
        <f t="shared" si="55"/>
        <v>2015</v>
      </c>
      <c r="D1733" s="13">
        <v>-42.63</v>
      </c>
      <c r="E1733" s="13">
        <v>12.42071381236391</v>
      </c>
      <c r="F1733" s="13">
        <v>-69.7</v>
      </c>
      <c r="G1733" s="13"/>
      <c r="H1733" s="13">
        <v>17.95</v>
      </c>
      <c r="I1733" s="13">
        <v>18.43</v>
      </c>
      <c r="J1733" s="13"/>
      <c r="K1733" s="13"/>
    </row>
    <row r="1734" spans="1:11" x14ac:dyDescent="0.25">
      <c r="A1734" s="10">
        <v>42339</v>
      </c>
      <c r="B1734" s="15">
        <f t="shared" si="54"/>
        <v>12</v>
      </c>
      <c r="C1734" s="15">
        <f t="shared" si="55"/>
        <v>2015</v>
      </c>
      <c r="D1734" s="13">
        <v>-42.63</v>
      </c>
      <c r="E1734" s="13">
        <v>12.341266108550466</v>
      </c>
      <c r="F1734" s="13">
        <v>-69.7</v>
      </c>
      <c r="G1734" s="13"/>
      <c r="H1734" s="13">
        <v>17.95</v>
      </c>
      <c r="I1734" s="13">
        <v>18.43</v>
      </c>
      <c r="J1734" s="13"/>
      <c r="K1734" s="13"/>
    </row>
    <row r="1735" spans="1:11" x14ac:dyDescent="0.25">
      <c r="A1735" s="10">
        <v>42340</v>
      </c>
      <c r="B1735" s="15">
        <f t="shared" si="54"/>
        <v>12</v>
      </c>
      <c r="C1735" s="15">
        <f t="shared" si="55"/>
        <v>2015</v>
      </c>
      <c r="D1735" s="13">
        <v>-42.63</v>
      </c>
      <c r="E1735" s="13">
        <v>12.364527377250024</v>
      </c>
      <c r="F1735" s="13">
        <v>-69.7</v>
      </c>
      <c r="G1735" s="13"/>
      <c r="H1735" s="13">
        <v>17.95</v>
      </c>
      <c r="I1735" s="13">
        <v>18.43</v>
      </c>
      <c r="J1735" s="13"/>
      <c r="K1735" s="13"/>
    </row>
    <row r="1736" spans="1:11" x14ac:dyDescent="0.25">
      <c r="A1736" s="10">
        <v>42341</v>
      </c>
      <c r="B1736" s="15">
        <f t="shared" si="54"/>
        <v>12</v>
      </c>
      <c r="C1736" s="15">
        <f t="shared" si="55"/>
        <v>2015</v>
      </c>
      <c r="D1736" s="13">
        <v>-42.63</v>
      </c>
      <c r="E1736" s="13">
        <v>11.994880234046441</v>
      </c>
      <c r="F1736" s="13">
        <v>-69.7</v>
      </c>
      <c r="G1736" s="13"/>
      <c r="H1736" s="13">
        <v>17.95</v>
      </c>
      <c r="I1736" s="13">
        <v>18.43</v>
      </c>
      <c r="J1736" s="13"/>
      <c r="K1736" s="13"/>
    </row>
    <row r="1737" spans="1:11" x14ac:dyDescent="0.25">
      <c r="A1737" s="10">
        <v>42342</v>
      </c>
      <c r="B1737" s="15">
        <f t="shared" si="54"/>
        <v>12</v>
      </c>
      <c r="C1737" s="15">
        <f t="shared" si="55"/>
        <v>2015</v>
      </c>
      <c r="D1737" s="13">
        <v>-42.63</v>
      </c>
      <c r="E1737" s="13">
        <v>12.054391767732451</v>
      </c>
      <c r="F1737" s="13">
        <v>-69.7</v>
      </c>
      <c r="G1737" s="13"/>
      <c r="H1737" s="13">
        <v>17.95</v>
      </c>
      <c r="I1737" s="13">
        <v>18.43</v>
      </c>
      <c r="J1737" s="13"/>
      <c r="K1737" s="13"/>
    </row>
    <row r="1738" spans="1:11" x14ac:dyDescent="0.25">
      <c r="A1738" s="10">
        <v>42345</v>
      </c>
      <c r="B1738" s="15">
        <f t="shared" si="54"/>
        <v>12</v>
      </c>
      <c r="C1738" s="15">
        <f t="shared" si="55"/>
        <v>2015</v>
      </c>
      <c r="D1738" s="13">
        <v>-7.68</v>
      </c>
      <c r="E1738" s="13">
        <v>37.277341947392713</v>
      </c>
      <c r="F1738" s="13">
        <v>-38.54</v>
      </c>
      <c r="G1738" s="13"/>
      <c r="H1738" s="13">
        <v>38.33</v>
      </c>
      <c r="I1738" s="13">
        <v>52.83</v>
      </c>
      <c r="J1738" s="13"/>
      <c r="K1738" s="13"/>
    </row>
    <row r="1739" spans="1:11" x14ac:dyDescent="0.25">
      <c r="A1739" s="10">
        <v>42346</v>
      </c>
      <c r="B1739" s="15">
        <f t="shared" si="54"/>
        <v>12</v>
      </c>
      <c r="C1739" s="15">
        <f t="shared" si="55"/>
        <v>2015</v>
      </c>
      <c r="D1739" s="13">
        <v>-7.68</v>
      </c>
      <c r="E1739" s="13">
        <v>37.078857982190399</v>
      </c>
      <c r="F1739" s="13">
        <v>-38.54</v>
      </c>
      <c r="G1739" s="13"/>
      <c r="H1739" s="13">
        <v>38.33</v>
      </c>
      <c r="I1739" s="13">
        <v>52.83</v>
      </c>
      <c r="J1739" s="13"/>
      <c r="K1739" s="13"/>
    </row>
    <row r="1740" spans="1:11" x14ac:dyDescent="0.25">
      <c r="A1740" s="10">
        <v>42347</v>
      </c>
      <c r="B1740" s="15">
        <f t="shared" si="54"/>
        <v>12</v>
      </c>
      <c r="C1740" s="15">
        <f t="shared" si="55"/>
        <v>2015</v>
      </c>
      <c r="D1740" s="13">
        <v>-7.68</v>
      </c>
      <c r="E1740" s="13">
        <v>36.634920634920633</v>
      </c>
      <c r="F1740" s="13">
        <v>-38.54</v>
      </c>
      <c r="G1740" s="13"/>
      <c r="H1740" s="13">
        <v>38.33</v>
      </c>
      <c r="I1740" s="13">
        <v>52.83</v>
      </c>
      <c r="J1740" s="13"/>
      <c r="K1740" s="13"/>
    </row>
    <row r="1741" spans="1:11" x14ac:dyDescent="0.25">
      <c r="A1741" s="10">
        <v>42348</v>
      </c>
      <c r="B1741" s="15">
        <f t="shared" si="54"/>
        <v>12</v>
      </c>
      <c r="C1741" s="15">
        <f t="shared" si="55"/>
        <v>2015</v>
      </c>
      <c r="D1741" s="13">
        <v>-7.68</v>
      </c>
      <c r="E1741" s="13">
        <v>36.919561243144422</v>
      </c>
      <c r="F1741" s="13">
        <v>-38.54</v>
      </c>
      <c r="G1741" s="13"/>
      <c r="H1741" s="13">
        <v>38.33</v>
      </c>
      <c r="I1741" s="13">
        <v>52.83</v>
      </c>
      <c r="J1741" s="13"/>
      <c r="K1741" s="13"/>
    </row>
    <row r="1742" spans="1:11" x14ac:dyDescent="0.25">
      <c r="A1742" s="10">
        <v>42349</v>
      </c>
      <c r="B1742" s="15">
        <f t="shared" si="54"/>
        <v>12</v>
      </c>
      <c r="C1742" s="15">
        <f t="shared" si="55"/>
        <v>2015</v>
      </c>
      <c r="D1742" s="13">
        <v>-7.68</v>
      </c>
      <c r="E1742" s="13">
        <v>36.761627377810136</v>
      </c>
      <c r="F1742" s="13">
        <v>-38.54</v>
      </c>
      <c r="G1742" s="13"/>
      <c r="H1742" s="13">
        <v>38.33</v>
      </c>
      <c r="I1742" s="13">
        <v>52.83</v>
      </c>
      <c r="J1742" s="13"/>
      <c r="K1742" s="13"/>
    </row>
    <row r="1743" spans="1:11" x14ac:dyDescent="0.25">
      <c r="A1743" s="10">
        <v>42352</v>
      </c>
      <c r="B1743" s="15">
        <f t="shared" si="54"/>
        <v>12</v>
      </c>
      <c r="C1743" s="15">
        <f t="shared" si="55"/>
        <v>2015</v>
      </c>
      <c r="D1743" s="13">
        <v>-29.6</v>
      </c>
      <c r="E1743" s="13">
        <v>-7.452229299363057</v>
      </c>
      <c r="F1743" s="13">
        <v>-59.34</v>
      </c>
      <c r="G1743" s="13"/>
      <c r="H1743" s="13">
        <v>16.559999999999999</v>
      </c>
      <c r="I1743" s="13">
        <v>28.09</v>
      </c>
      <c r="J1743" s="13"/>
      <c r="K1743" s="13"/>
    </row>
    <row r="1744" spans="1:11" x14ac:dyDescent="0.25">
      <c r="A1744" s="10">
        <v>42353</v>
      </c>
      <c r="B1744" s="15">
        <f t="shared" si="54"/>
        <v>12</v>
      </c>
      <c r="C1744" s="15">
        <f t="shared" si="55"/>
        <v>2015</v>
      </c>
      <c r="D1744" s="13">
        <v>-29.6</v>
      </c>
      <c r="E1744" s="13">
        <v>-7.4951953875720685</v>
      </c>
      <c r="F1744" s="13">
        <v>-59.34</v>
      </c>
      <c r="G1744" s="13"/>
      <c r="H1744" s="13">
        <v>16.559999999999999</v>
      </c>
      <c r="I1744" s="13">
        <v>28.09</v>
      </c>
      <c r="J1744" s="13"/>
      <c r="K1744" s="13"/>
    </row>
    <row r="1745" spans="1:11" x14ac:dyDescent="0.25">
      <c r="A1745" s="10">
        <v>42354</v>
      </c>
      <c r="B1745" s="15">
        <f t="shared" si="54"/>
        <v>12</v>
      </c>
      <c r="C1745" s="15">
        <f t="shared" si="55"/>
        <v>2015</v>
      </c>
      <c r="D1745" s="13">
        <v>-29.6</v>
      </c>
      <c r="E1745" s="13">
        <v>-7.5061864173769592</v>
      </c>
      <c r="F1745" s="13">
        <v>-59.34</v>
      </c>
      <c r="G1745" s="13"/>
      <c r="H1745" s="13">
        <v>16.559999999999999</v>
      </c>
      <c r="I1745" s="13">
        <v>28.09</v>
      </c>
      <c r="J1745" s="13"/>
      <c r="K1745" s="13"/>
    </row>
    <row r="1746" spans="1:11" x14ac:dyDescent="0.25">
      <c r="A1746" s="10">
        <v>42355</v>
      </c>
      <c r="B1746" s="15">
        <f t="shared" si="54"/>
        <v>12</v>
      </c>
      <c r="C1746" s="15">
        <f t="shared" si="55"/>
        <v>2015</v>
      </c>
      <c r="D1746" s="13">
        <v>-29.6</v>
      </c>
      <c r="E1746" s="13">
        <v>-7.5658198614318701</v>
      </c>
      <c r="F1746" s="13">
        <v>-59.34</v>
      </c>
      <c r="G1746" s="13"/>
      <c r="H1746" s="13">
        <v>16.559999999999999</v>
      </c>
      <c r="I1746" s="13">
        <v>28.09</v>
      </c>
      <c r="J1746" s="13"/>
      <c r="K1746" s="13"/>
    </row>
    <row r="1747" spans="1:11" x14ac:dyDescent="0.25">
      <c r="A1747" s="10">
        <v>42356</v>
      </c>
      <c r="B1747" s="15">
        <f t="shared" si="54"/>
        <v>12</v>
      </c>
      <c r="C1747" s="15">
        <f t="shared" si="55"/>
        <v>2015</v>
      </c>
      <c r="D1747" s="13">
        <v>-29.6</v>
      </c>
      <c r="E1747" s="13">
        <v>-7.5379659456971924</v>
      </c>
      <c r="F1747" s="13">
        <v>-59.34</v>
      </c>
      <c r="G1747" s="13"/>
      <c r="H1747" s="13">
        <v>16.559999999999999</v>
      </c>
      <c r="I1747" s="13">
        <v>28.09</v>
      </c>
      <c r="J1747" s="13"/>
      <c r="K1747" s="13"/>
    </row>
    <row r="1748" spans="1:11" x14ac:dyDescent="0.25">
      <c r="A1748" s="10">
        <v>42359</v>
      </c>
      <c r="B1748" s="15">
        <f t="shared" si="54"/>
        <v>12</v>
      </c>
      <c r="C1748" s="15">
        <f t="shared" si="55"/>
        <v>2015</v>
      </c>
      <c r="D1748" s="13">
        <v>-21.92</v>
      </c>
      <c r="E1748" s="13">
        <v>-12.793255131964811</v>
      </c>
      <c r="F1748" s="13">
        <v>-57.97</v>
      </c>
      <c r="G1748" s="13"/>
      <c r="H1748" s="13">
        <v>28.77</v>
      </c>
      <c r="I1748" s="13">
        <v>32.479999999999997</v>
      </c>
      <c r="J1748" s="13"/>
      <c r="K1748" s="13"/>
    </row>
    <row r="1749" spans="1:11" x14ac:dyDescent="0.25">
      <c r="A1749" s="10">
        <v>42360</v>
      </c>
      <c r="B1749" s="15">
        <f t="shared" si="54"/>
        <v>12</v>
      </c>
      <c r="C1749" s="15">
        <f t="shared" si="55"/>
        <v>2015</v>
      </c>
      <c r="D1749" s="13">
        <v>-21.92</v>
      </c>
      <c r="E1749" s="13">
        <v>-12.74420303085631</v>
      </c>
      <c r="F1749" s="13">
        <v>-57.97</v>
      </c>
      <c r="G1749" s="13"/>
      <c r="H1749" s="13">
        <v>28.77</v>
      </c>
      <c r="I1749" s="13">
        <v>32.479999999999997</v>
      </c>
      <c r="J1749" s="13"/>
      <c r="K1749" s="13"/>
    </row>
    <row r="1750" spans="1:11" x14ac:dyDescent="0.25">
      <c r="A1750" s="10">
        <v>42361</v>
      </c>
      <c r="B1750" s="15">
        <f t="shared" si="54"/>
        <v>12</v>
      </c>
      <c r="C1750" s="15">
        <f t="shared" si="55"/>
        <v>2015</v>
      </c>
      <c r="D1750" s="13">
        <v>-21.92</v>
      </c>
      <c r="E1750" s="13">
        <v>-12.796773306444221</v>
      </c>
      <c r="F1750" s="13">
        <v>-57.97</v>
      </c>
      <c r="G1750" s="13"/>
      <c r="H1750" s="13">
        <v>28.77</v>
      </c>
      <c r="I1750" s="13">
        <v>32.479999999999997</v>
      </c>
      <c r="J1750" s="13"/>
      <c r="K1750" s="13"/>
    </row>
    <row r="1751" spans="1:11" x14ac:dyDescent="0.25">
      <c r="A1751" s="10">
        <v>42362</v>
      </c>
      <c r="B1751" s="15">
        <f t="shared" si="54"/>
        <v>12</v>
      </c>
      <c r="C1751" s="15">
        <f t="shared" si="55"/>
        <v>2015</v>
      </c>
      <c r="D1751" s="13">
        <v>-21.92</v>
      </c>
      <c r="E1751" s="13">
        <v>-12.726775458109218</v>
      </c>
      <c r="F1751" s="13">
        <v>-57.97</v>
      </c>
      <c r="G1751" s="13"/>
      <c r="H1751" s="13">
        <v>28.77</v>
      </c>
      <c r="I1751" s="13">
        <v>32.479999999999997</v>
      </c>
      <c r="J1751" s="13"/>
      <c r="K1751" s="13"/>
    </row>
    <row r="1752" spans="1:11" x14ac:dyDescent="0.25">
      <c r="A1752" s="10">
        <v>42366</v>
      </c>
      <c r="B1752" s="15">
        <f t="shared" si="54"/>
        <v>12</v>
      </c>
      <c r="C1752" s="15">
        <f t="shared" si="55"/>
        <v>2015</v>
      </c>
      <c r="D1752" s="13">
        <v>-19.600000000000001</v>
      </c>
      <c r="E1752" s="13">
        <v>-12.950296397628819</v>
      </c>
      <c r="F1752" s="13">
        <v>-53.32</v>
      </c>
      <c r="G1752" s="13"/>
      <c r="H1752" s="13">
        <v>25.16</v>
      </c>
      <c r="I1752" s="13">
        <v>37.479999999999997</v>
      </c>
      <c r="J1752" s="13"/>
      <c r="K1752" s="13"/>
    </row>
    <row r="1753" spans="1:11" x14ac:dyDescent="0.25">
      <c r="A1753" s="10">
        <v>42367</v>
      </c>
      <c r="B1753" s="15">
        <f t="shared" si="54"/>
        <v>12</v>
      </c>
      <c r="C1753" s="15">
        <f t="shared" si="55"/>
        <v>2015</v>
      </c>
      <c r="D1753" s="13">
        <v>-19.600000000000001</v>
      </c>
      <c r="E1753" s="13">
        <v>-13.007236420261977</v>
      </c>
      <c r="F1753" s="13">
        <v>-53.32</v>
      </c>
      <c r="G1753" s="13"/>
      <c r="H1753" s="13">
        <v>25.16</v>
      </c>
      <c r="I1753" s="13">
        <v>37.479999999999997</v>
      </c>
      <c r="J1753" s="13"/>
      <c r="K1753" s="13"/>
    </row>
    <row r="1754" spans="1:11" x14ac:dyDescent="0.25">
      <c r="A1754" s="10">
        <v>42368</v>
      </c>
      <c r="B1754" s="15">
        <f t="shared" si="54"/>
        <v>12</v>
      </c>
      <c r="C1754" s="15">
        <f t="shared" si="55"/>
        <v>2015</v>
      </c>
      <c r="D1754" s="13">
        <v>-19.600000000000001</v>
      </c>
      <c r="E1754" s="13">
        <v>-12.992954524659163</v>
      </c>
      <c r="F1754" s="13">
        <v>-53.32</v>
      </c>
      <c r="G1754" s="13"/>
      <c r="H1754" s="13">
        <v>25.16</v>
      </c>
      <c r="I1754" s="13">
        <v>37.479999999999997</v>
      </c>
      <c r="J1754" s="13"/>
      <c r="K1754" s="13"/>
    </row>
    <row r="1755" spans="1:11" x14ac:dyDescent="0.25">
      <c r="A1755" s="10">
        <v>42369</v>
      </c>
      <c r="B1755" s="15">
        <f t="shared" si="54"/>
        <v>12</v>
      </c>
      <c r="C1755" s="15">
        <f t="shared" si="55"/>
        <v>2015</v>
      </c>
      <c r="D1755" s="13">
        <v>-19.600000000000001</v>
      </c>
      <c r="E1755" s="13">
        <v>-13.07550644567219</v>
      </c>
      <c r="F1755" s="13">
        <v>-53.32</v>
      </c>
      <c r="G1755" s="13"/>
      <c r="H1755" s="13">
        <v>25.16</v>
      </c>
      <c r="I1755" s="13">
        <v>37.479999999999997</v>
      </c>
      <c r="J1755" s="13"/>
      <c r="K1755" s="13"/>
    </row>
    <row r="1756" spans="1:11" x14ac:dyDescent="0.25">
      <c r="A1756" s="10">
        <v>42373</v>
      </c>
      <c r="B1756" s="15">
        <f t="shared" si="54"/>
        <v>1</v>
      </c>
      <c r="C1756" s="15">
        <f t="shared" si="55"/>
        <v>2016</v>
      </c>
      <c r="D1756" s="13">
        <v>-20.57</v>
      </c>
      <c r="E1756" s="13">
        <v>-12.56810416474282</v>
      </c>
      <c r="F1756" s="13">
        <v>-52.97</v>
      </c>
      <c r="G1756" s="13"/>
      <c r="H1756" s="13">
        <v>29.91</v>
      </c>
      <c r="I1756" s="13">
        <v>28.57</v>
      </c>
      <c r="J1756" s="13"/>
      <c r="K1756" s="13"/>
    </row>
    <row r="1757" spans="1:11" x14ac:dyDescent="0.25">
      <c r="A1757" s="10">
        <v>42374</v>
      </c>
      <c r="B1757" s="15">
        <f t="shared" si="54"/>
        <v>1</v>
      </c>
      <c r="C1757" s="15">
        <f t="shared" si="55"/>
        <v>2016</v>
      </c>
      <c r="D1757" s="13">
        <v>-20.57</v>
      </c>
      <c r="E1757" s="13">
        <v>-12.665177740554624</v>
      </c>
      <c r="F1757" s="13">
        <v>-52.97</v>
      </c>
      <c r="G1757" s="13"/>
      <c r="H1757" s="13">
        <v>29.91</v>
      </c>
      <c r="I1757" s="13">
        <v>28.57</v>
      </c>
      <c r="J1757" s="13"/>
      <c r="K1757" s="13"/>
    </row>
    <row r="1758" spans="1:11" x14ac:dyDescent="0.25">
      <c r="A1758" s="10">
        <v>42375</v>
      </c>
      <c r="B1758" s="15">
        <f t="shared" si="54"/>
        <v>1</v>
      </c>
      <c r="C1758" s="15">
        <f t="shared" si="55"/>
        <v>2016</v>
      </c>
      <c r="D1758" s="13">
        <v>-20.57</v>
      </c>
      <c r="E1758" s="13">
        <v>-12.627574689181666</v>
      </c>
      <c r="F1758" s="13">
        <v>-52.97</v>
      </c>
      <c r="G1758" s="13"/>
      <c r="H1758" s="13">
        <v>29.91</v>
      </c>
      <c r="I1758" s="13">
        <v>28.57</v>
      </c>
      <c r="J1758" s="13"/>
      <c r="K1758" s="13"/>
    </row>
    <row r="1759" spans="1:11" x14ac:dyDescent="0.25">
      <c r="A1759" s="10">
        <v>42376</v>
      </c>
      <c r="B1759" s="15">
        <f t="shared" si="54"/>
        <v>1</v>
      </c>
      <c r="C1759" s="15">
        <f t="shared" si="55"/>
        <v>2016</v>
      </c>
      <c r="D1759" s="13">
        <v>-20.57</v>
      </c>
      <c r="E1759" s="13">
        <v>-12.447411743186391</v>
      </c>
      <c r="F1759" s="13">
        <v>-52.97</v>
      </c>
      <c r="G1759" s="13"/>
      <c r="H1759" s="13">
        <v>29.91</v>
      </c>
      <c r="I1759" s="13">
        <v>28.57</v>
      </c>
      <c r="J1759" s="13"/>
      <c r="K1759" s="13"/>
    </row>
    <row r="1760" spans="1:11" x14ac:dyDescent="0.25">
      <c r="A1760" s="10">
        <v>42377</v>
      </c>
      <c r="B1760" s="15">
        <f t="shared" si="54"/>
        <v>1</v>
      </c>
      <c r="C1760" s="15">
        <f t="shared" si="55"/>
        <v>2016</v>
      </c>
      <c r="D1760" s="13">
        <v>-20.57</v>
      </c>
      <c r="E1760" s="13">
        <v>-12.45310641412755</v>
      </c>
      <c r="F1760" s="13">
        <v>-52.97</v>
      </c>
      <c r="G1760" s="13"/>
      <c r="H1760" s="13">
        <v>29.91</v>
      </c>
      <c r="I1760" s="13">
        <v>28.57</v>
      </c>
      <c r="J1760" s="13"/>
      <c r="K1760" s="13"/>
    </row>
    <row r="1761" spans="1:11" x14ac:dyDescent="0.25">
      <c r="A1761" s="10">
        <v>42380</v>
      </c>
      <c r="B1761" s="15">
        <f t="shared" si="54"/>
        <v>1</v>
      </c>
      <c r="C1761" s="15">
        <f t="shared" si="55"/>
        <v>2016</v>
      </c>
      <c r="D1761" s="13">
        <v>-21.73</v>
      </c>
      <c r="E1761" s="13">
        <v>7.7907726309973295</v>
      </c>
      <c r="F1761" s="13">
        <v>-49.92</v>
      </c>
      <c r="G1761" s="13"/>
      <c r="H1761" s="13">
        <v>31.47</v>
      </c>
      <c r="I1761" s="13">
        <v>33.22</v>
      </c>
      <c r="J1761" s="13"/>
      <c r="K1761" s="13"/>
    </row>
    <row r="1762" spans="1:11" x14ac:dyDescent="0.25">
      <c r="A1762" s="10">
        <v>42381</v>
      </c>
      <c r="B1762" s="15">
        <f t="shared" si="54"/>
        <v>1</v>
      </c>
      <c r="C1762" s="15">
        <f t="shared" si="55"/>
        <v>2016</v>
      </c>
      <c r="D1762" s="13">
        <v>-21.73</v>
      </c>
      <c r="E1762" s="13">
        <v>7.7943615257048107</v>
      </c>
      <c r="F1762" s="13">
        <v>-49.92</v>
      </c>
      <c r="G1762" s="13"/>
      <c r="H1762" s="13">
        <v>31.47</v>
      </c>
      <c r="I1762" s="13">
        <v>33.22</v>
      </c>
      <c r="J1762" s="13"/>
      <c r="K1762" s="13"/>
    </row>
    <row r="1763" spans="1:11" x14ac:dyDescent="0.25">
      <c r="A1763" s="10">
        <v>42382</v>
      </c>
      <c r="B1763" s="15">
        <f t="shared" si="54"/>
        <v>1</v>
      </c>
      <c r="C1763" s="15">
        <f t="shared" si="55"/>
        <v>2016</v>
      </c>
      <c r="D1763" s="13">
        <v>-21.73</v>
      </c>
      <c r="E1763" s="13">
        <v>7.7807412857537033</v>
      </c>
      <c r="F1763" s="13">
        <v>-49.92</v>
      </c>
      <c r="G1763" s="13"/>
      <c r="H1763" s="13">
        <v>31.47</v>
      </c>
      <c r="I1763" s="13">
        <v>33.22</v>
      </c>
      <c r="J1763" s="13"/>
      <c r="K1763" s="13"/>
    </row>
    <row r="1764" spans="1:11" x14ac:dyDescent="0.25">
      <c r="A1764" s="10">
        <v>42383</v>
      </c>
      <c r="B1764" s="15">
        <f t="shared" si="54"/>
        <v>1</v>
      </c>
      <c r="C1764" s="15">
        <f t="shared" si="55"/>
        <v>2016</v>
      </c>
      <c r="D1764" s="13">
        <v>-21.73</v>
      </c>
      <c r="E1764" s="13">
        <v>7.7871870397643601</v>
      </c>
      <c r="F1764" s="13">
        <v>-49.92</v>
      </c>
      <c r="G1764" s="13"/>
      <c r="H1764" s="13">
        <v>31.47</v>
      </c>
      <c r="I1764" s="13">
        <v>33.22</v>
      </c>
      <c r="J1764" s="13"/>
      <c r="K1764" s="13"/>
    </row>
    <row r="1765" spans="1:11" x14ac:dyDescent="0.25">
      <c r="A1765" s="10">
        <v>42384</v>
      </c>
      <c r="B1765" s="15">
        <f t="shared" si="54"/>
        <v>1</v>
      </c>
      <c r="C1765" s="15">
        <f t="shared" si="55"/>
        <v>2016</v>
      </c>
      <c r="D1765" s="13">
        <v>-21.73</v>
      </c>
      <c r="E1765" s="13">
        <v>7.751511819681145</v>
      </c>
      <c r="F1765" s="13">
        <v>-49.92</v>
      </c>
      <c r="G1765" s="13"/>
      <c r="H1765" s="13">
        <v>31.47</v>
      </c>
      <c r="I1765" s="13">
        <v>33.22</v>
      </c>
      <c r="J1765" s="13"/>
      <c r="K1765" s="13"/>
    </row>
    <row r="1766" spans="1:11" x14ac:dyDescent="0.25">
      <c r="A1766" s="10">
        <v>42388</v>
      </c>
      <c r="B1766" s="15">
        <f t="shared" si="54"/>
        <v>1</v>
      </c>
      <c r="C1766" s="15">
        <f t="shared" si="55"/>
        <v>2016</v>
      </c>
      <c r="D1766" s="13">
        <v>-18.03</v>
      </c>
      <c r="E1766" s="13">
        <v>11.591013296652912</v>
      </c>
      <c r="F1766" s="13">
        <v>-60.38</v>
      </c>
      <c r="G1766" s="13"/>
      <c r="H1766" s="13">
        <v>30.84</v>
      </c>
      <c r="I1766" s="13">
        <v>32.369999999999997</v>
      </c>
      <c r="J1766" s="13"/>
      <c r="K1766" s="13"/>
    </row>
    <row r="1767" spans="1:11" x14ac:dyDescent="0.25">
      <c r="A1767" s="10">
        <v>42389</v>
      </c>
      <c r="B1767" s="15">
        <f t="shared" si="54"/>
        <v>1</v>
      </c>
      <c r="C1767" s="15">
        <f t="shared" si="55"/>
        <v>2016</v>
      </c>
      <c r="D1767" s="13">
        <v>-18.03</v>
      </c>
      <c r="E1767" s="13">
        <v>11.608044815869226</v>
      </c>
      <c r="F1767" s="13">
        <v>-60.38</v>
      </c>
      <c r="G1767" s="13"/>
      <c r="H1767" s="13">
        <v>30.84</v>
      </c>
      <c r="I1767" s="13">
        <v>32.369999999999997</v>
      </c>
      <c r="J1767" s="13"/>
      <c r="K1767" s="13"/>
    </row>
    <row r="1768" spans="1:11" x14ac:dyDescent="0.25">
      <c r="A1768" s="10">
        <v>42390</v>
      </c>
      <c r="B1768" s="15">
        <f t="shared" si="54"/>
        <v>1</v>
      </c>
      <c r="C1768" s="15">
        <f t="shared" si="55"/>
        <v>2016</v>
      </c>
      <c r="D1768" s="13">
        <v>-18.03</v>
      </c>
      <c r="E1768" s="13">
        <v>11.626195732155999</v>
      </c>
      <c r="F1768" s="13">
        <v>-60.38</v>
      </c>
      <c r="G1768" s="13"/>
      <c r="H1768" s="13">
        <v>30.84</v>
      </c>
      <c r="I1768" s="13">
        <v>32.369999999999997</v>
      </c>
      <c r="J1768" s="13"/>
      <c r="K1768" s="13"/>
    </row>
    <row r="1769" spans="1:11" x14ac:dyDescent="0.25">
      <c r="A1769" s="10">
        <v>42391</v>
      </c>
      <c r="B1769" s="15">
        <f t="shared" si="54"/>
        <v>1</v>
      </c>
      <c r="C1769" s="15">
        <f t="shared" si="55"/>
        <v>2016</v>
      </c>
      <c r="D1769" s="13">
        <v>-18.03</v>
      </c>
      <c r="E1769" s="13">
        <v>11.710209375579026</v>
      </c>
      <c r="F1769" s="13">
        <v>-60.38</v>
      </c>
      <c r="G1769" s="13"/>
      <c r="H1769" s="13">
        <v>30.84</v>
      </c>
      <c r="I1769" s="13">
        <v>32.369999999999997</v>
      </c>
      <c r="J1769" s="13"/>
      <c r="K1769" s="13"/>
    </row>
    <row r="1770" spans="1:11" x14ac:dyDescent="0.25">
      <c r="A1770" s="10">
        <v>42394</v>
      </c>
      <c r="B1770" s="15">
        <f t="shared" si="54"/>
        <v>1</v>
      </c>
      <c r="C1770" s="15">
        <f t="shared" si="55"/>
        <v>2016</v>
      </c>
      <c r="D1770" s="13">
        <v>-53.87</v>
      </c>
      <c r="E1770" s="13">
        <v>-25.490919148151562</v>
      </c>
      <c r="F1770" s="13">
        <v>-95.79</v>
      </c>
      <c r="G1770" s="13"/>
      <c r="H1770" s="13">
        <v>-8.4499999999999993</v>
      </c>
      <c r="I1770" s="13">
        <v>-1.5</v>
      </c>
      <c r="J1770" s="13"/>
      <c r="K1770" s="13"/>
    </row>
    <row r="1771" spans="1:11" x14ac:dyDescent="0.25">
      <c r="A1771" s="10">
        <v>42395</v>
      </c>
      <c r="B1771" s="15">
        <f t="shared" si="54"/>
        <v>1</v>
      </c>
      <c r="C1771" s="15">
        <f t="shared" si="55"/>
        <v>2016</v>
      </c>
      <c r="D1771" s="13">
        <v>-53.87</v>
      </c>
      <c r="E1771" s="13">
        <v>-25.439322844787927</v>
      </c>
      <c r="F1771" s="13">
        <v>-95.79</v>
      </c>
      <c r="G1771" s="13"/>
      <c r="H1771" s="13">
        <v>-8.4499999999999993</v>
      </c>
      <c r="I1771" s="13">
        <v>-1.5</v>
      </c>
      <c r="J1771" s="13"/>
      <c r="K1771" s="13"/>
    </row>
    <row r="1772" spans="1:11" x14ac:dyDescent="0.25">
      <c r="A1772" s="10">
        <v>42396</v>
      </c>
      <c r="B1772" s="15">
        <f t="shared" si="54"/>
        <v>1</v>
      </c>
      <c r="C1772" s="15">
        <f t="shared" si="55"/>
        <v>2016</v>
      </c>
      <c r="D1772" s="13">
        <v>-53.87</v>
      </c>
      <c r="E1772" s="13">
        <v>-25.38793499219539</v>
      </c>
      <c r="F1772" s="13">
        <v>-95.79</v>
      </c>
      <c r="G1772" s="13"/>
      <c r="H1772" s="13">
        <v>-8.4499999999999993</v>
      </c>
      <c r="I1772" s="13">
        <v>-1.5</v>
      </c>
      <c r="J1772" s="13"/>
      <c r="K1772" s="13"/>
    </row>
    <row r="1773" spans="1:11" x14ac:dyDescent="0.25">
      <c r="A1773" s="10">
        <v>42397</v>
      </c>
      <c r="B1773" s="15">
        <f t="shared" si="54"/>
        <v>1</v>
      </c>
      <c r="C1773" s="15">
        <f t="shared" si="55"/>
        <v>2016</v>
      </c>
      <c r="D1773" s="13">
        <v>-53.87</v>
      </c>
      <c r="E1773" s="13">
        <v>-25.281155709975316</v>
      </c>
      <c r="F1773" s="13">
        <v>-95.79</v>
      </c>
      <c r="G1773" s="13"/>
      <c r="H1773" s="13">
        <v>-8.4499999999999993</v>
      </c>
      <c r="I1773" s="13">
        <v>-1.5</v>
      </c>
      <c r="J1773" s="13"/>
      <c r="K1773" s="13"/>
    </row>
    <row r="1774" spans="1:11" x14ac:dyDescent="0.25">
      <c r="A1774" s="10">
        <v>42398</v>
      </c>
      <c r="B1774" s="15">
        <f t="shared" si="54"/>
        <v>1</v>
      </c>
      <c r="C1774" s="15">
        <f t="shared" si="55"/>
        <v>2016</v>
      </c>
      <c r="D1774" s="13">
        <v>-53.87</v>
      </c>
      <c r="E1774" s="13">
        <v>-25.521506368838843</v>
      </c>
      <c r="F1774" s="13">
        <v>-95.79</v>
      </c>
      <c r="G1774" s="13"/>
      <c r="H1774" s="13">
        <v>-8.4499999999999993</v>
      </c>
      <c r="I1774" s="13">
        <v>-1.5</v>
      </c>
      <c r="J1774" s="13"/>
      <c r="K1774" s="13"/>
    </row>
    <row r="1775" spans="1:11" x14ac:dyDescent="0.25">
      <c r="A1775" s="10">
        <v>42401</v>
      </c>
      <c r="B1775" s="15">
        <f t="shared" si="54"/>
        <v>2</v>
      </c>
      <c r="C1775" s="15">
        <f t="shared" si="55"/>
        <v>2016</v>
      </c>
      <c r="D1775" s="13">
        <v>-66.62</v>
      </c>
      <c r="E1775" s="13">
        <v>4.6941025169943051</v>
      </c>
      <c r="F1775" s="13">
        <v>-93.69</v>
      </c>
      <c r="G1775" s="13"/>
      <c r="H1775" s="13">
        <v>-0.77</v>
      </c>
      <c r="I1775" s="13">
        <v>9.9</v>
      </c>
      <c r="J1775" s="13"/>
      <c r="K1775" s="13"/>
    </row>
    <row r="1776" spans="1:11" x14ac:dyDescent="0.25">
      <c r="A1776" s="10">
        <v>42402</v>
      </c>
      <c r="B1776" s="15">
        <f t="shared" si="54"/>
        <v>2</v>
      </c>
      <c r="C1776" s="15">
        <f t="shared" si="55"/>
        <v>2016</v>
      </c>
      <c r="D1776" s="13">
        <v>-66.62</v>
      </c>
      <c r="E1776" s="13">
        <v>4.6812019054598757</v>
      </c>
      <c r="F1776" s="13">
        <v>-93.69</v>
      </c>
      <c r="G1776" s="13"/>
      <c r="H1776" s="13">
        <v>-0.77</v>
      </c>
      <c r="I1776" s="13">
        <v>9.9</v>
      </c>
      <c r="J1776" s="13"/>
      <c r="K1776" s="13"/>
    </row>
    <row r="1777" spans="1:11" x14ac:dyDescent="0.25">
      <c r="A1777" s="10">
        <v>42403</v>
      </c>
      <c r="B1777" s="15">
        <f t="shared" si="54"/>
        <v>2</v>
      </c>
      <c r="C1777" s="15">
        <f t="shared" si="55"/>
        <v>2016</v>
      </c>
      <c r="D1777" s="13">
        <v>-66.62</v>
      </c>
      <c r="E1777" s="13">
        <v>4.6023597225974964</v>
      </c>
      <c r="F1777" s="13">
        <v>-93.69</v>
      </c>
      <c r="G1777" s="13"/>
      <c r="H1777" s="13">
        <v>-0.77</v>
      </c>
      <c r="I1777" s="13">
        <v>9.9</v>
      </c>
      <c r="J1777" s="13"/>
      <c r="K1777" s="13"/>
    </row>
    <row r="1778" spans="1:11" x14ac:dyDescent="0.25">
      <c r="A1778" s="10">
        <v>42404</v>
      </c>
      <c r="B1778" s="15">
        <f t="shared" si="54"/>
        <v>2</v>
      </c>
      <c r="C1778" s="15">
        <f t="shared" si="55"/>
        <v>2016</v>
      </c>
      <c r="D1778" s="13">
        <v>-66.62</v>
      </c>
      <c r="E1778" s="13">
        <v>4.5600571122612887</v>
      </c>
      <c r="F1778" s="13">
        <v>-93.69</v>
      </c>
      <c r="G1778" s="13"/>
      <c r="H1778" s="13">
        <v>-0.77</v>
      </c>
      <c r="I1778" s="13">
        <v>9.9</v>
      </c>
      <c r="J1778" s="13"/>
      <c r="K1778" s="13"/>
    </row>
    <row r="1779" spans="1:11" x14ac:dyDescent="0.25">
      <c r="A1779" s="10">
        <v>42405</v>
      </c>
      <c r="B1779" s="15">
        <f t="shared" si="54"/>
        <v>2</v>
      </c>
      <c r="C1779" s="15">
        <f t="shared" si="55"/>
        <v>2016</v>
      </c>
      <c r="D1779" s="13">
        <v>-66.62</v>
      </c>
      <c r="E1779" s="13">
        <v>4.5804948010039448</v>
      </c>
      <c r="F1779" s="13">
        <v>-93.69</v>
      </c>
      <c r="G1779" s="13"/>
      <c r="H1779" s="13">
        <v>-0.77</v>
      </c>
      <c r="I1779" s="13">
        <v>9.9</v>
      </c>
      <c r="J1779" s="13"/>
      <c r="K1779" s="13"/>
    </row>
    <row r="1780" spans="1:11" x14ac:dyDescent="0.25">
      <c r="A1780" s="10">
        <v>42408</v>
      </c>
      <c r="B1780" s="15">
        <f t="shared" si="54"/>
        <v>2</v>
      </c>
      <c r="C1780" s="15">
        <f t="shared" si="55"/>
        <v>2016</v>
      </c>
      <c r="D1780" s="13">
        <v>-86.43</v>
      </c>
      <c r="E1780" s="13">
        <v>1.9830281375614116</v>
      </c>
      <c r="F1780" s="13">
        <v>-115.08</v>
      </c>
      <c r="G1780" s="13"/>
      <c r="H1780" s="13">
        <v>-34.54</v>
      </c>
      <c r="I1780" s="13">
        <v>-15.29</v>
      </c>
      <c r="J1780" s="13"/>
      <c r="K1780" s="13"/>
    </row>
    <row r="1781" spans="1:11" x14ac:dyDescent="0.25">
      <c r="A1781" s="10">
        <v>42409</v>
      </c>
      <c r="B1781" s="15">
        <f t="shared" si="54"/>
        <v>2</v>
      </c>
      <c r="C1781" s="15">
        <f t="shared" si="55"/>
        <v>2016</v>
      </c>
      <c r="D1781" s="13">
        <v>-86.43</v>
      </c>
      <c r="E1781" s="13">
        <v>1.9661677442210612</v>
      </c>
      <c r="F1781" s="13">
        <v>-115.08</v>
      </c>
      <c r="G1781" s="13"/>
      <c r="H1781" s="13">
        <v>-34.54</v>
      </c>
      <c r="I1781" s="13">
        <v>-15.29</v>
      </c>
      <c r="J1781" s="13"/>
      <c r="K1781" s="13"/>
    </row>
    <row r="1782" spans="1:11" x14ac:dyDescent="0.25">
      <c r="A1782" s="10">
        <v>42410</v>
      </c>
      <c r="B1782" s="15">
        <f t="shared" si="54"/>
        <v>2</v>
      </c>
      <c r="C1782" s="15">
        <f t="shared" si="55"/>
        <v>2016</v>
      </c>
      <c r="D1782" s="13">
        <v>-86.43</v>
      </c>
      <c r="E1782" s="13">
        <v>1.9665160775976616</v>
      </c>
      <c r="F1782" s="13">
        <v>-115.08</v>
      </c>
      <c r="G1782" s="13"/>
      <c r="H1782" s="13">
        <v>-34.54</v>
      </c>
      <c r="I1782" s="13">
        <v>-15.29</v>
      </c>
      <c r="J1782" s="13"/>
      <c r="K1782" s="13"/>
    </row>
    <row r="1783" spans="1:11" x14ac:dyDescent="0.25">
      <c r="A1783" s="10">
        <v>42411</v>
      </c>
      <c r="B1783" s="15">
        <f t="shared" si="54"/>
        <v>2</v>
      </c>
      <c r="C1783" s="15">
        <f t="shared" si="55"/>
        <v>2016</v>
      </c>
      <c r="D1783" s="13">
        <v>-86.43</v>
      </c>
      <c r="E1783" s="13">
        <v>1.9609575125872272</v>
      </c>
      <c r="F1783" s="13">
        <v>-115.08</v>
      </c>
      <c r="G1783" s="13"/>
      <c r="H1783" s="13">
        <v>-34.54</v>
      </c>
      <c r="I1783" s="13">
        <v>-15.29</v>
      </c>
      <c r="J1783" s="13"/>
      <c r="K1783" s="13"/>
    </row>
    <row r="1784" spans="1:11" x14ac:dyDescent="0.25">
      <c r="A1784" s="10">
        <v>42412</v>
      </c>
      <c r="B1784" s="15">
        <f t="shared" si="54"/>
        <v>2</v>
      </c>
      <c r="C1784" s="15">
        <f t="shared" si="55"/>
        <v>2016</v>
      </c>
      <c r="D1784" s="13">
        <v>-86.43</v>
      </c>
      <c r="E1784" s="13">
        <v>1.971931071238231</v>
      </c>
      <c r="F1784" s="13">
        <v>-115.08</v>
      </c>
      <c r="G1784" s="13"/>
      <c r="H1784" s="13">
        <v>-34.54</v>
      </c>
      <c r="I1784" s="13">
        <v>-15.29</v>
      </c>
      <c r="J1784" s="13"/>
      <c r="K1784" s="13"/>
    </row>
    <row r="1785" spans="1:11" x14ac:dyDescent="0.25">
      <c r="A1785" s="10">
        <v>42416</v>
      </c>
      <c r="B1785" s="15">
        <f t="shared" si="54"/>
        <v>2</v>
      </c>
      <c r="C1785" s="15">
        <f t="shared" si="55"/>
        <v>2016</v>
      </c>
      <c r="D1785" s="13">
        <v>-76.010000000000005</v>
      </c>
      <c r="E1785" s="13">
        <v>2.0285432187415848</v>
      </c>
      <c r="F1785" s="13">
        <v>-97.59</v>
      </c>
      <c r="G1785" s="13"/>
      <c r="H1785" s="13">
        <v>-29.21</v>
      </c>
      <c r="I1785" s="13">
        <v>-17.989999999999998</v>
      </c>
      <c r="J1785" s="13"/>
      <c r="K1785" s="13"/>
    </row>
    <row r="1786" spans="1:11" x14ac:dyDescent="0.25">
      <c r="A1786" s="10">
        <v>42417</v>
      </c>
      <c r="B1786" s="15">
        <f t="shared" si="54"/>
        <v>2</v>
      </c>
      <c r="C1786" s="15">
        <f t="shared" si="55"/>
        <v>2016</v>
      </c>
      <c r="D1786" s="13">
        <v>-76.010000000000005</v>
      </c>
      <c r="E1786" s="13">
        <v>2.0310955333872558</v>
      </c>
      <c r="F1786" s="13">
        <v>-97.59</v>
      </c>
      <c r="G1786" s="13"/>
      <c r="H1786" s="13">
        <v>-29.21</v>
      </c>
      <c r="I1786" s="13">
        <v>-17.989999999999998</v>
      </c>
      <c r="J1786" s="13"/>
      <c r="K1786" s="13"/>
    </row>
    <row r="1787" spans="1:11" x14ac:dyDescent="0.25">
      <c r="A1787" s="10">
        <v>42418</v>
      </c>
      <c r="B1787" s="15">
        <f t="shared" si="54"/>
        <v>2</v>
      </c>
      <c r="C1787" s="15">
        <f t="shared" si="55"/>
        <v>2016</v>
      </c>
      <c r="D1787" s="13">
        <v>-76.010000000000005</v>
      </c>
      <c r="E1787" s="13">
        <v>2.0354859047104381</v>
      </c>
      <c r="F1787" s="13">
        <v>-97.59</v>
      </c>
      <c r="G1787" s="13"/>
      <c r="H1787" s="13">
        <v>-29.21</v>
      </c>
      <c r="I1787" s="13">
        <v>-17.989999999999998</v>
      </c>
      <c r="J1787" s="13"/>
      <c r="K1787" s="13"/>
    </row>
    <row r="1788" spans="1:11" x14ac:dyDescent="0.25">
      <c r="A1788" s="10">
        <v>42419</v>
      </c>
      <c r="B1788" s="15">
        <f t="shared" si="54"/>
        <v>2</v>
      </c>
      <c r="C1788" s="15">
        <f t="shared" si="55"/>
        <v>2016</v>
      </c>
      <c r="D1788" s="13">
        <v>-76.010000000000005</v>
      </c>
      <c r="E1788" s="13">
        <v>2.0301832554796979</v>
      </c>
      <c r="F1788" s="13">
        <v>-97.59</v>
      </c>
      <c r="G1788" s="13"/>
      <c r="H1788" s="13">
        <v>-29.21</v>
      </c>
      <c r="I1788" s="13">
        <v>-17.989999999999998</v>
      </c>
      <c r="J1788" s="13"/>
      <c r="K1788" s="13"/>
    </row>
    <row r="1789" spans="1:11" x14ac:dyDescent="0.25">
      <c r="A1789" s="10">
        <v>42422</v>
      </c>
      <c r="B1789" s="15">
        <f t="shared" si="54"/>
        <v>2</v>
      </c>
      <c r="C1789" s="15">
        <f t="shared" si="55"/>
        <v>2016</v>
      </c>
      <c r="D1789" s="13">
        <v>-61.1</v>
      </c>
      <c r="E1789" s="13">
        <v>4.3714855795392706</v>
      </c>
      <c r="F1789" s="13">
        <v>-77.040000000000006</v>
      </c>
      <c r="G1789" s="13"/>
      <c r="H1789" s="13">
        <v>-5.94</v>
      </c>
      <c r="I1789" s="13">
        <v>5.9</v>
      </c>
      <c r="J1789" s="13"/>
      <c r="K1789" s="13"/>
    </row>
    <row r="1790" spans="1:11" x14ac:dyDescent="0.25">
      <c r="A1790" s="10">
        <v>42423</v>
      </c>
      <c r="B1790" s="15">
        <f t="shared" si="54"/>
        <v>2</v>
      </c>
      <c r="C1790" s="15">
        <f t="shared" si="55"/>
        <v>2016</v>
      </c>
      <c r="D1790" s="13">
        <v>-61.1</v>
      </c>
      <c r="E1790" s="13">
        <v>4.3750567305073984</v>
      </c>
      <c r="F1790" s="13">
        <v>-77.040000000000006</v>
      </c>
      <c r="G1790" s="13"/>
      <c r="H1790" s="13">
        <v>-5.94</v>
      </c>
      <c r="I1790" s="13">
        <v>5.9</v>
      </c>
      <c r="J1790" s="13"/>
      <c r="K1790" s="13"/>
    </row>
    <row r="1791" spans="1:11" x14ac:dyDescent="0.25">
      <c r="A1791" s="10">
        <v>42424</v>
      </c>
      <c r="B1791" s="15">
        <f t="shared" si="54"/>
        <v>2</v>
      </c>
      <c r="C1791" s="15">
        <f t="shared" si="55"/>
        <v>2016</v>
      </c>
      <c r="D1791" s="13">
        <v>-61.1</v>
      </c>
      <c r="E1791" s="13">
        <v>4.3774407410771055</v>
      </c>
      <c r="F1791" s="13">
        <v>-77.040000000000006</v>
      </c>
      <c r="G1791" s="13"/>
      <c r="H1791" s="13">
        <v>-5.94</v>
      </c>
      <c r="I1791" s="13">
        <v>5.9</v>
      </c>
      <c r="J1791" s="13"/>
      <c r="K1791" s="13"/>
    </row>
    <row r="1792" spans="1:11" x14ac:dyDescent="0.25">
      <c r="A1792" s="10">
        <v>42425</v>
      </c>
      <c r="B1792" s="15">
        <f t="shared" si="54"/>
        <v>2</v>
      </c>
      <c r="C1792" s="15">
        <f t="shared" si="55"/>
        <v>2016</v>
      </c>
      <c r="D1792" s="13">
        <v>-61.1</v>
      </c>
      <c r="E1792" s="13">
        <v>4.3734688322293804</v>
      </c>
      <c r="F1792" s="13">
        <v>-77.040000000000006</v>
      </c>
      <c r="G1792" s="13"/>
      <c r="H1792" s="13">
        <v>-5.94</v>
      </c>
      <c r="I1792" s="13">
        <v>5.9</v>
      </c>
      <c r="J1792" s="13"/>
      <c r="K1792" s="13"/>
    </row>
    <row r="1793" spans="1:11" x14ac:dyDescent="0.25">
      <c r="A1793" s="10">
        <v>42426</v>
      </c>
      <c r="B1793" s="15">
        <f t="shared" si="54"/>
        <v>2</v>
      </c>
      <c r="C1793" s="15">
        <f t="shared" si="55"/>
        <v>2016</v>
      </c>
      <c r="D1793" s="13">
        <v>-61.1</v>
      </c>
      <c r="E1793" s="13">
        <v>4.4094776324215541</v>
      </c>
      <c r="F1793" s="13">
        <v>-77.040000000000006</v>
      </c>
      <c r="G1793" s="13"/>
      <c r="H1793" s="13">
        <v>-5.94</v>
      </c>
      <c r="I1793" s="13">
        <v>5.9</v>
      </c>
      <c r="J1793" s="13"/>
      <c r="K1793" s="13"/>
    </row>
    <row r="1794" spans="1:11" x14ac:dyDescent="0.25">
      <c r="A1794" s="10">
        <v>42429</v>
      </c>
      <c r="B1794" s="15">
        <f t="shared" si="54"/>
        <v>2</v>
      </c>
      <c r="C1794" s="15">
        <f t="shared" si="55"/>
        <v>2016</v>
      </c>
      <c r="D1794" s="13">
        <v>-87.53</v>
      </c>
      <c r="E1794" s="13">
        <v>-3.1091895869745194</v>
      </c>
      <c r="F1794" s="13">
        <v>-101.95</v>
      </c>
      <c r="G1794" s="13"/>
      <c r="H1794" s="13">
        <v>-32.93</v>
      </c>
      <c r="I1794" s="13">
        <v>-12.65</v>
      </c>
      <c r="J1794" s="13"/>
      <c r="K1794" s="13"/>
    </row>
    <row r="1795" spans="1:11" x14ac:dyDescent="0.25">
      <c r="A1795" s="10">
        <v>42430</v>
      </c>
      <c r="B1795" s="15">
        <f t="shared" ref="B1795:B1858" si="56">MONTH(A1795)</f>
        <v>3</v>
      </c>
      <c r="C1795" s="15">
        <f t="shared" ref="C1795:C1858" si="57">YEAR(A1795)</f>
        <v>2016</v>
      </c>
      <c r="D1795" s="13">
        <v>-87.53</v>
      </c>
      <c r="E1795" s="13">
        <v>-3.1111929307805593</v>
      </c>
      <c r="F1795" s="13">
        <v>-101.95</v>
      </c>
      <c r="G1795" s="13"/>
      <c r="H1795" s="13">
        <v>-32.93</v>
      </c>
      <c r="I1795" s="13">
        <v>-12.65</v>
      </c>
      <c r="J1795" s="13"/>
      <c r="K1795" s="13"/>
    </row>
    <row r="1796" spans="1:11" x14ac:dyDescent="0.25">
      <c r="A1796" s="10">
        <v>42431</v>
      </c>
      <c r="B1796" s="15">
        <f t="shared" si="56"/>
        <v>3</v>
      </c>
      <c r="C1796" s="15">
        <f t="shared" si="57"/>
        <v>2016</v>
      </c>
      <c r="D1796" s="13">
        <v>-87.53</v>
      </c>
      <c r="E1796" s="13">
        <v>-3.1106202834529726</v>
      </c>
      <c r="F1796" s="13">
        <v>-101.95</v>
      </c>
      <c r="G1796" s="13"/>
      <c r="H1796" s="13">
        <v>-32.93</v>
      </c>
      <c r="I1796" s="13">
        <v>-12.65</v>
      </c>
      <c r="J1796" s="13"/>
      <c r="K1796" s="13"/>
    </row>
    <row r="1797" spans="1:11" x14ac:dyDescent="0.25">
      <c r="A1797" s="10">
        <v>42432</v>
      </c>
      <c r="B1797" s="15">
        <f t="shared" si="56"/>
        <v>3</v>
      </c>
      <c r="C1797" s="15">
        <f t="shared" si="57"/>
        <v>2016</v>
      </c>
      <c r="D1797" s="13">
        <v>-87.53</v>
      </c>
      <c r="E1797" s="13">
        <v>-3.0853491556366959</v>
      </c>
      <c r="F1797" s="13">
        <v>-101.95</v>
      </c>
      <c r="G1797" s="13"/>
      <c r="H1797" s="13">
        <v>-32.93</v>
      </c>
      <c r="I1797" s="13">
        <v>-12.65</v>
      </c>
      <c r="J1797" s="13"/>
      <c r="K1797" s="13"/>
    </row>
    <row r="1798" spans="1:11" x14ac:dyDescent="0.25">
      <c r="A1798" s="10">
        <v>42433</v>
      </c>
      <c r="B1798" s="15">
        <f t="shared" si="56"/>
        <v>3</v>
      </c>
      <c r="C1798" s="15">
        <f t="shared" si="57"/>
        <v>2016</v>
      </c>
      <c r="D1798" s="13">
        <v>-87.53</v>
      </c>
      <c r="E1798" s="13">
        <v>-3.0724479592764289</v>
      </c>
      <c r="F1798" s="13">
        <v>-101.95</v>
      </c>
      <c r="G1798" s="13"/>
      <c r="H1798" s="13">
        <v>-32.93</v>
      </c>
      <c r="I1798" s="13">
        <v>-12.65</v>
      </c>
      <c r="J1798" s="13"/>
      <c r="K1798" s="13"/>
    </row>
    <row r="1799" spans="1:11" x14ac:dyDescent="0.25">
      <c r="A1799" s="10">
        <v>42436</v>
      </c>
      <c r="B1799" s="15">
        <f t="shared" si="56"/>
        <v>3</v>
      </c>
      <c r="C1799" s="15">
        <f t="shared" si="57"/>
        <v>2016</v>
      </c>
      <c r="D1799" s="13">
        <v>-79.62</v>
      </c>
      <c r="E1799" s="13">
        <v>8.7722484562295691</v>
      </c>
      <c r="F1799" s="13">
        <v>-97.24</v>
      </c>
      <c r="G1799" s="13"/>
      <c r="H1799" s="13">
        <v>-25.02</v>
      </c>
      <c r="I1799" s="13">
        <v>-8.52</v>
      </c>
      <c r="J1799" s="13"/>
      <c r="K1799" s="13"/>
    </row>
    <row r="1800" spans="1:11" x14ac:dyDescent="0.25">
      <c r="A1800" s="10">
        <v>42437</v>
      </c>
      <c r="B1800" s="15">
        <f t="shared" si="56"/>
        <v>3</v>
      </c>
      <c r="C1800" s="15">
        <f t="shared" si="57"/>
        <v>2016</v>
      </c>
      <c r="D1800" s="13">
        <v>-79.62</v>
      </c>
      <c r="E1800" s="13">
        <v>8.7746389317830875</v>
      </c>
      <c r="F1800" s="13">
        <v>-97.24</v>
      </c>
      <c r="G1800" s="13"/>
      <c r="H1800" s="13">
        <v>-25.02</v>
      </c>
      <c r="I1800" s="13">
        <v>-8.52</v>
      </c>
      <c r="J1800" s="13"/>
      <c r="K1800" s="13"/>
    </row>
    <row r="1801" spans="1:11" x14ac:dyDescent="0.25">
      <c r="A1801" s="10">
        <v>42438</v>
      </c>
      <c r="B1801" s="15">
        <f t="shared" si="56"/>
        <v>3</v>
      </c>
      <c r="C1801" s="15">
        <f t="shared" si="57"/>
        <v>2016</v>
      </c>
      <c r="D1801" s="13">
        <v>-79.62</v>
      </c>
      <c r="E1801" s="13">
        <v>8.7842138765117763</v>
      </c>
      <c r="F1801" s="13">
        <v>-97.24</v>
      </c>
      <c r="G1801" s="13"/>
      <c r="H1801" s="13">
        <v>-25.02</v>
      </c>
      <c r="I1801" s="13">
        <v>-8.52</v>
      </c>
      <c r="J1801" s="13"/>
      <c r="K1801" s="13"/>
    </row>
    <row r="1802" spans="1:11" x14ac:dyDescent="0.25">
      <c r="A1802" s="10">
        <v>42439</v>
      </c>
      <c r="B1802" s="15">
        <f t="shared" si="56"/>
        <v>3</v>
      </c>
      <c r="C1802" s="15">
        <f t="shared" si="57"/>
        <v>2016</v>
      </c>
      <c r="D1802" s="13">
        <v>-79.62</v>
      </c>
      <c r="E1802" s="13">
        <v>8.6435218324982106</v>
      </c>
      <c r="F1802" s="13">
        <v>-97.24</v>
      </c>
      <c r="G1802" s="13"/>
      <c r="H1802" s="13">
        <v>-25.02</v>
      </c>
      <c r="I1802" s="13">
        <v>-8.52</v>
      </c>
      <c r="J1802" s="13"/>
      <c r="K1802" s="13"/>
    </row>
    <row r="1803" spans="1:11" x14ac:dyDescent="0.25">
      <c r="A1803" s="10">
        <v>42440</v>
      </c>
      <c r="B1803" s="15">
        <f t="shared" si="56"/>
        <v>3</v>
      </c>
      <c r="C1803" s="15">
        <f t="shared" si="57"/>
        <v>2016</v>
      </c>
      <c r="D1803" s="13">
        <v>-79.62</v>
      </c>
      <c r="E1803" s="13">
        <v>8.6636771300448441</v>
      </c>
      <c r="F1803" s="13">
        <v>-97.24</v>
      </c>
      <c r="G1803" s="13"/>
      <c r="H1803" s="13">
        <v>-25.02</v>
      </c>
      <c r="I1803" s="13">
        <v>-8.52</v>
      </c>
      <c r="J1803" s="13"/>
      <c r="K1803" s="13"/>
    </row>
    <row r="1804" spans="1:11" x14ac:dyDescent="0.25">
      <c r="A1804" s="10">
        <v>42443</v>
      </c>
      <c r="B1804" s="15">
        <f t="shared" si="56"/>
        <v>3</v>
      </c>
      <c r="C1804" s="15">
        <f t="shared" si="57"/>
        <v>2016</v>
      </c>
      <c r="D1804" s="13">
        <v>-66.900000000000006</v>
      </c>
      <c r="E1804" s="13">
        <v>36.149135446685875</v>
      </c>
      <c r="F1804" s="13">
        <v>-89.32</v>
      </c>
      <c r="G1804" s="13"/>
      <c r="H1804" s="13">
        <v>-19.77</v>
      </c>
      <c r="I1804" s="13">
        <v>4.5599999999999996</v>
      </c>
      <c r="J1804" s="13"/>
      <c r="K1804" s="13"/>
    </row>
    <row r="1805" spans="1:11" x14ac:dyDescent="0.25">
      <c r="A1805" s="10">
        <v>42444</v>
      </c>
      <c r="B1805" s="15">
        <f t="shared" si="56"/>
        <v>3</v>
      </c>
      <c r="C1805" s="15">
        <f t="shared" si="57"/>
        <v>2016</v>
      </c>
      <c r="D1805" s="13">
        <v>-66.900000000000006</v>
      </c>
      <c r="E1805" s="13">
        <v>36.13611811307166</v>
      </c>
      <c r="F1805" s="13">
        <v>-89.32</v>
      </c>
      <c r="G1805" s="13"/>
      <c r="H1805" s="13">
        <v>-19.77</v>
      </c>
      <c r="I1805" s="13">
        <v>4.5599999999999996</v>
      </c>
      <c r="J1805" s="13"/>
      <c r="K1805" s="13"/>
    </row>
    <row r="1806" spans="1:11" x14ac:dyDescent="0.25">
      <c r="A1806" s="10">
        <v>42445</v>
      </c>
      <c r="B1806" s="15">
        <f t="shared" si="56"/>
        <v>3</v>
      </c>
      <c r="C1806" s="15">
        <f t="shared" si="57"/>
        <v>2016</v>
      </c>
      <c r="D1806" s="13">
        <v>-66.900000000000006</v>
      </c>
      <c r="E1806" s="13">
        <v>35.769025129210476</v>
      </c>
      <c r="F1806" s="13">
        <v>-89.32</v>
      </c>
      <c r="G1806" s="13"/>
      <c r="H1806" s="13">
        <v>-19.77</v>
      </c>
      <c r="I1806" s="13">
        <v>4.5599999999999996</v>
      </c>
      <c r="J1806" s="13"/>
      <c r="K1806" s="13"/>
    </row>
    <row r="1807" spans="1:11" x14ac:dyDescent="0.25">
      <c r="A1807" s="10">
        <v>42446</v>
      </c>
      <c r="B1807" s="15">
        <f t="shared" si="56"/>
        <v>3</v>
      </c>
      <c r="C1807" s="15">
        <f t="shared" si="57"/>
        <v>2016</v>
      </c>
      <c r="D1807" s="13">
        <v>-66.900000000000006</v>
      </c>
      <c r="E1807" s="13">
        <v>35.468763806662544</v>
      </c>
      <c r="F1807" s="13">
        <v>-89.32</v>
      </c>
      <c r="G1807" s="13"/>
      <c r="H1807" s="13">
        <v>-19.77</v>
      </c>
      <c r="I1807" s="13">
        <v>4.5599999999999996</v>
      </c>
      <c r="J1807" s="13"/>
      <c r="K1807" s="13"/>
    </row>
    <row r="1808" spans="1:11" x14ac:dyDescent="0.25">
      <c r="A1808" s="10">
        <v>42447</v>
      </c>
      <c r="B1808" s="15">
        <f t="shared" si="56"/>
        <v>3</v>
      </c>
      <c r="C1808" s="15">
        <f t="shared" si="57"/>
        <v>2016</v>
      </c>
      <c r="D1808" s="13">
        <v>-66.900000000000006</v>
      </c>
      <c r="E1808" s="13">
        <v>35.626164906363719</v>
      </c>
      <c r="F1808" s="13">
        <v>-89.32</v>
      </c>
      <c r="G1808" s="13"/>
      <c r="H1808" s="13">
        <v>-19.77</v>
      </c>
      <c r="I1808" s="13">
        <v>4.5599999999999996</v>
      </c>
      <c r="J1808" s="13"/>
      <c r="K1808" s="13"/>
    </row>
    <row r="1809" spans="1:11" x14ac:dyDescent="0.25">
      <c r="A1809" s="10">
        <v>42450</v>
      </c>
      <c r="B1809" s="15">
        <f t="shared" si="56"/>
        <v>3</v>
      </c>
      <c r="C1809" s="15">
        <f t="shared" si="57"/>
        <v>2016</v>
      </c>
      <c r="D1809" s="13">
        <v>-16.97</v>
      </c>
      <c r="E1809" s="13">
        <v>10.47246196280808</v>
      </c>
      <c r="F1809" s="13">
        <v>-54.12</v>
      </c>
      <c r="G1809" s="13"/>
      <c r="H1809" s="13">
        <v>21.65</v>
      </c>
      <c r="I1809" s="13">
        <v>28.43</v>
      </c>
      <c r="J1809" s="13"/>
      <c r="K1809" s="13"/>
    </row>
    <row r="1810" spans="1:11" x14ac:dyDescent="0.25">
      <c r="A1810" s="10">
        <v>42451</v>
      </c>
      <c r="B1810" s="15">
        <f t="shared" si="56"/>
        <v>3</v>
      </c>
      <c r="C1810" s="15">
        <f t="shared" si="57"/>
        <v>2016</v>
      </c>
      <c r="D1810" s="13">
        <v>-16.97</v>
      </c>
      <c r="E1810" s="13">
        <v>10.495808810415552</v>
      </c>
      <c r="F1810" s="13">
        <v>-54.12</v>
      </c>
      <c r="G1810" s="13"/>
      <c r="H1810" s="13">
        <v>21.65</v>
      </c>
      <c r="I1810" s="13">
        <v>28.43</v>
      </c>
      <c r="J1810" s="13"/>
      <c r="K1810" s="13"/>
    </row>
    <row r="1811" spans="1:11" x14ac:dyDescent="0.25">
      <c r="A1811" s="10">
        <v>42452</v>
      </c>
      <c r="B1811" s="15">
        <f t="shared" si="56"/>
        <v>3</v>
      </c>
      <c r="C1811" s="15">
        <f t="shared" si="57"/>
        <v>2016</v>
      </c>
      <c r="D1811" s="13">
        <v>-16.97</v>
      </c>
      <c r="E1811" s="13">
        <v>10.524903871948492</v>
      </c>
      <c r="F1811" s="13">
        <v>-54.12</v>
      </c>
      <c r="G1811" s="13"/>
      <c r="H1811" s="13">
        <v>21.65</v>
      </c>
      <c r="I1811" s="13">
        <v>28.43</v>
      </c>
      <c r="J1811" s="13"/>
      <c r="K1811" s="13"/>
    </row>
    <row r="1812" spans="1:11" x14ac:dyDescent="0.25">
      <c r="A1812" s="10">
        <v>42453</v>
      </c>
      <c r="B1812" s="15">
        <f t="shared" si="56"/>
        <v>3</v>
      </c>
      <c r="C1812" s="15">
        <f t="shared" si="57"/>
        <v>2016</v>
      </c>
      <c r="D1812" s="13">
        <v>-16.97</v>
      </c>
      <c r="E1812" s="13">
        <v>10.534323816342969</v>
      </c>
      <c r="F1812" s="13">
        <v>-54.12</v>
      </c>
      <c r="G1812" s="13"/>
      <c r="H1812" s="13">
        <v>21.65</v>
      </c>
      <c r="I1812" s="13">
        <v>28.43</v>
      </c>
      <c r="J1812" s="13"/>
      <c r="K1812" s="13"/>
    </row>
    <row r="1813" spans="1:11" x14ac:dyDescent="0.25">
      <c r="A1813" s="10">
        <v>42457</v>
      </c>
      <c r="B1813" s="15">
        <f t="shared" si="56"/>
        <v>3</v>
      </c>
      <c r="C1813" s="15">
        <f t="shared" si="57"/>
        <v>2016</v>
      </c>
      <c r="D1813" s="13">
        <v>-9.1199999999999992</v>
      </c>
      <c r="E1813" s="13">
        <v>29.036004645760745</v>
      </c>
      <c r="F1813" s="13">
        <v>-46.8</v>
      </c>
      <c r="G1813" s="13"/>
      <c r="H1813" s="13">
        <v>38.46</v>
      </c>
      <c r="I1813" s="13">
        <v>44.84</v>
      </c>
      <c r="J1813" s="13"/>
      <c r="K1813" s="13"/>
    </row>
    <row r="1814" spans="1:11" x14ac:dyDescent="0.25">
      <c r="A1814" s="10">
        <v>42458</v>
      </c>
      <c r="B1814" s="15">
        <f t="shared" si="56"/>
        <v>3</v>
      </c>
      <c r="C1814" s="15">
        <f t="shared" si="57"/>
        <v>2016</v>
      </c>
      <c r="D1814" s="13">
        <v>-9.1199999999999992</v>
      </c>
      <c r="E1814" s="13">
        <v>28.789086721587385</v>
      </c>
      <c r="F1814" s="13">
        <v>-46.8</v>
      </c>
      <c r="G1814" s="13"/>
      <c r="H1814" s="13">
        <v>38.46</v>
      </c>
      <c r="I1814" s="13">
        <v>44.84</v>
      </c>
      <c r="J1814" s="13"/>
      <c r="K1814" s="13"/>
    </row>
    <row r="1815" spans="1:11" x14ac:dyDescent="0.25">
      <c r="A1815" s="10">
        <v>42459</v>
      </c>
      <c r="B1815" s="15">
        <f t="shared" si="56"/>
        <v>3</v>
      </c>
      <c r="C1815" s="15">
        <f t="shared" si="57"/>
        <v>2016</v>
      </c>
      <c r="D1815" s="13">
        <v>-9.1199999999999992</v>
      </c>
      <c r="E1815" s="13">
        <v>28.669724770642205</v>
      </c>
      <c r="F1815" s="13">
        <v>-46.8</v>
      </c>
      <c r="G1815" s="13"/>
      <c r="H1815" s="13">
        <v>38.46</v>
      </c>
      <c r="I1815" s="13">
        <v>44.84</v>
      </c>
      <c r="J1815" s="13"/>
      <c r="K1815" s="13"/>
    </row>
    <row r="1816" spans="1:11" x14ac:dyDescent="0.25">
      <c r="A1816" s="10">
        <v>42460</v>
      </c>
      <c r="B1816" s="15">
        <f t="shared" si="56"/>
        <v>3</v>
      </c>
      <c r="C1816" s="15">
        <f t="shared" si="57"/>
        <v>2016</v>
      </c>
      <c r="D1816" s="13">
        <v>-9.1199999999999992</v>
      </c>
      <c r="E1816" s="13">
        <v>28.563895236421164</v>
      </c>
      <c r="F1816" s="13">
        <v>-46.8</v>
      </c>
      <c r="G1816" s="13"/>
      <c r="H1816" s="13">
        <v>38.46</v>
      </c>
      <c r="I1816" s="13">
        <v>44.84</v>
      </c>
      <c r="J1816" s="13"/>
      <c r="K1816" s="13"/>
    </row>
    <row r="1817" spans="1:11" x14ac:dyDescent="0.25">
      <c r="A1817" s="10">
        <v>42461</v>
      </c>
      <c r="B1817" s="15">
        <f t="shared" si="56"/>
        <v>4</v>
      </c>
      <c r="C1817" s="15">
        <f t="shared" si="57"/>
        <v>2016</v>
      </c>
      <c r="D1817" s="13">
        <v>-9.1199999999999992</v>
      </c>
      <c r="E1817" s="13">
        <v>28.543825750922185</v>
      </c>
      <c r="F1817" s="13">
        <v>-46.8</v>
      </c>
      <c r="G1817" s="13"/>
      <c r="H1817" s="13">
        <v>38.46</v>
      </c>
      <c r="I1817" s="13">
        <v>44.84</v>
      </c>
      <c r="J1817" s="13"/>
      <c r="K1817" s="13"/>
    </row>
    <row r="1818" spans="1:11" x14ac:dyDescent="0.25">
      <c r="A1818" s="10">
        <v>42464</v>
      </c>
      <c r="B1818" s="15">
        <f t="shared" si="56"/>
        <v>4</v>
      </c>
      <c r="C1818" s="15">
        <f t="shared" si="57"/>
        <v>2016</v>
      </c>
      <c r="D1818" s="13">
        <v>-15.32</v>
      </c>
      <c r="E1818" s="13">
        <v>2.4407374890254609</v>
      </c>
      <c r="F1818" s="13">
        <v>-48.1</v>
      </c>
      <c r="G1818" s="13"/>
      <c r="H1818" s="13">
        <v>28.84</v>
      </c>
      <c r="I1818" s="13">
        <v>43.56</v>
      </c>
      <c r="J1818" s="13"/>
      <c r="K1818" s="13"/>
    </row>
    <row r="1819" spans="1:11" x14ac:dyDescent="0.25">
      <c r="A1819" s="10">
        <v>42465</v>
      </c>
      <c r="B1819" s="15">
        <f t="shared" si="56"/>
        <v>4</v>
      </c>
      <c r="C1819" s="15">
        <f t="shared" si="57"/>
        <v>2016</v>
      </c>
      <c r="D1819" s="13">
        <v>-15.32</v>
      </c>
      <c r="E1819" s="13">
        <v>2.4424529959585306</v>
      </c>
      <c r="F1819" s="13">
        <v>-48.1</v>
      </c>
      <c r="G1819" s="13"/>
      <c r="H1819" s="13">
        <v>28.84</v>
      </c>
      <c r="I1819" s="13">
        <v>43.56</v>
      </c>
      <c r="J1819" s="13"/>
      <c r="K1819" s="13"/>
    </row>
    <row r="1820" spans="1:11" x14ac:dyDescent="0.25">
      <c r="A1820" s="10">
        <v>42466</v>
      </c>
      <c r="B1820" s="15">
        <f t="shared" si="56"/>
        <v>4</v>
      </c>
      <c r="C1820" s="15">
        <f t="shared" si="57"/>
        <v>2016</v>
      </c>
      <c r="D1820" s="13">
        <v>-15.32</v>
      </c>
      <c r="E1820" s="13">
        <v>2.4392383960691411</v>
      </c>
      <c r="F1820" s="13">
        <v>-48.1</v>
      </c>
      <c r="G1820" s="13"/>
      <c r="H1820" s="13">
        <v>28.84</v>
      </c>
      <c r="I1820" s="13">
        <v>43.56</v>
      </c>
      <c r="J1820" s="13"/>
      <c r="K1820" s="13"/>
    </row>
    <row r="1821" spans="1:11" x14ac:dyDescent="0.25">
      <c r="A1821" s="10">
        <v>42467</v>
      </c>
      <c r="B1821" s="15">
        <f t="shared" si="56"/>
        <v>4</v>
      </c>
      <c r="C1821" s="15">
        <f t="shared" si="57"/>
        <v>2016</v>
      </c>
      <c r="D1821" s="13">
        <v>-15.32</v>
      </c>
      <c r="E1821" s="13">
        <v>2.4439560439560437</v>
      </c>
      <c r="F1821" s="13">
        <v>-48.1</v>
      </c>
      <c r="G1821" s="13"/>
      <c r="H1821" s="13">
        <v>28.84</v>
      </c>
      <c r="I1821" s="13">
        <v>43.56</v>
      </c>
      <c r="J1821" s="13"/>
      <c r="K1821" s="13"/>
    </row>
    <row r="1822" spans="1:11" x14ac:dyDescent="0.25">
      <c r="A1822" s="10">
        <v>42468</v>
      </c>
      <c r="B1822" s="15">
        <f t="shared" si="56"/>
        <v>4</v>
      </c>
      <c r="C1822" s="15">
        <f t="shared" si="57"/>
        <v>2016</v>
      </c>
      <c r="D1822" s="13">
        <v>-15.32</v>
      </c>
      <c r="E1822" s="13">
        <v>2.4388104219668394</v>
      </c>
      <c r="F1822" s="13">
        <v>-48.1</v>
      </c>
      <c r="G1822" s="13"/>
      <c r="H1822" s="13">
        <v>28.84</v>
      </c>
      <c r="I1822" s="13">
        <v>43.56</v>
      </c>
      <c r="J1822" s="13"/>
      <c r="K1822" s="13"/>
    </row>
    <row r="1823" spans="1:11" x14ac:dyDescent="0.25">
      <c r="A1823" s="10">
        <v>42471</v>
      </c>
      <c r="B1823" s="15">
        <f t="shared" si="56"/>
        <v>4</v>
      </c>
      <c r="C1823" s="15">
        <f t="shared" si="57"/>
        <v>2016</v>
      </c>
      <c r="D1823" s="13">
        <v>-16.760000000000002</v>
      </c>
      <c r="E1823" s="13">
        <v>-0.37699456426442218</v>
      </c>
      <c r="F1823" s="13">
        <v>-45.87</v>
      </c>
      <c r="G1823" s="13"/>
      <c r="H1823" s="13">
        <v>31.16</v>
      </c>
      <c r="I1823" s="13">
        <v>35.799999999999997</v>
      </c>
      <c r="J1823" s="13"/>
      <c r="K1823" s="13"/>
    </row>
    <row r="1824" spans="1:11" x14ac:dyDescent="0.25">
      <c r="A1824" s="10">
        <v>42472</v>
      </c>
      <c r="B1824" s="15">
        <f t="shared" si="56"/>
        <v>4</v>
      </c>
      <c r="C1824" s="15">
        <f t="shared" si="57"/>
        <v>2016</v>
      </c>
      <c r="D1824" s="13">
        <v>-16.760000000000002</v>
      </c>
      <c r="E1824" s="13">
        <v>-0.37772312016865772</v>
      </c>
      <c r="F1824" s="13">
        <v>-45.87</v>
      </c>
      <c r="G1824" s="13"/>
      <c r="H1824" s="13">
        <v>31.16</v>
      </c>
      <c r="I1824" s="13">
        <v>35.799999999999997</v>
      </c>
      <c r="J1824" s="13"/>
      <c r="K1824" s="13"/>
    </row>
    <row r="1825" spans="1:11" x14ac:dyDescent="0.25">
      <c r="A1825" s="10">
        <v>42473</v>
      </c>
      <c r="B1825" s="15">
        <f t="shared" si="56"/>
        <v>4</v>
      </c>
      <c r="C1825" s="15">
        <f t="shared" si="57"/>
        <v>2016</v>
      </c>
      <c r="D1825" s="13">
        <v>-16.760000000000002</v>
      </c>
      <c r="E1825" s="13">
        <v>-0.38147622427253369</v>
      </c>
      <c r="F1825" s="13">
        <v>-45.87</v>
      </c>
      <c r="G1825" s="13"/>
      <c r="H1825" s="13">
        <v>31.16</v>
      </c>
      <c r="I1825" s="13">
        <v>35.799999999999997</v>
      </c>
      <c r="J1825" s="13"/>
      <c r="K1825" s="13"/>
    </row>
    <row r="1826" spans="1:11" x14ac:dyDescent="0.25">
      <c r="A1826" s="10">
        <v>42474</v>
      </c>
      <c r="B1826" s="15">
        <f t="shared" si="56"/>
        <v>4</v>
      </c>
      <c r="C1826" s="15">
        <f t="shared" si="57"/>
        <v>2016</v>
      </c>
      <c r="D1826" s="13">
        <v>-16.760000000000002</v>
      </c>
      <c r="E1826" s="13">
        <v>-0.38167938931297707</v>
      </c>
      <c r="F1826" s="13">
        <v>-45.87</v>
      </c>
      <c r="G1826" s="13"/>
      <c r="H1826" s="13">
        <v>31.16</v>
      </c>
      <c r="I1826" s="13">
        <v>35.799999999999997</v>
      </c>
      <c r="J1826" s="13"/>
      <c r="K1826" s="13"/>
    </row>
    <row r="1827" spans="1:11" x14ac:dyDescent="0.25">
      <c r="A1827" s="10">
        <v>42475</v>
      </c>
      <c r="B1827" s="15">
        <f t="shared" si="56"/>
        <v>4</v>
      </c>
      <c r="C1827" s="15">
        <f t="shared" si="57"/>
        <v>2016</v>
      </c>
      <c r="D1827" s="13">
        <v>-16.760000000000002</v>
      </c>
      <c r="E1827" s="13">
        <v>-0.38120567375886527</v>
      </c>
      <c r="F1827" s="13">
        <v>-45.87</v>
      </c>
      <c r="G1827" s="13"/>
      <c r="H1827" s="13">
        <v>31.16</v>
      </c>
      <c r="I1827" s="13">
        <v>35.799999999999997</v>
      </c>
      <c r="J1827" s="13"/>
      <c r="K1827" s="13"/>
    </row>
    <row r="1828" spans="1:11" x14ac:dyDescent="0.25">
      <c r="A1828" s="10">
        <v>42478</v>
      </c>
      <c r="B1828" s="15">
        <f t="shared" si="56"/>
        <v>4</v>
      </c>
      <c r="C1828" s="15">
        <f t="shared" si="57"/>
        <v>2016</v>
      </c>
      <c r="D1828" s="13">
        <v>-5.49</v>
      </c>
      <c r="E1828" s="13">
        <v>-12.782885431400285</v>
      </c>
      <c r="F1828" s="13">
        <v>-38.659999999999997</v>
      </c>
      <c r="G1828" s="13"/>
      <c r="H1828" s="13">
        <v>40.549999999999997</v>
      </c>
      <c r="I1828" s="13">
        <v>56.38</v>
      </c>
      <c r="J1828" s="13"/>
      <c r="K1828" s="13"/>
    </row>
    <row r="1829" spans="1:11" x14ac:dyDescent="0.25">
      <c r="A1829" s="10">
        <v>42479</v>
      </c>
      <c r="B1829" s="15">
        <f t="shared" si="56"/>
        <v>4</v>
      </c>
      <c r="C1829" s="15">
        <f t="shared" si="57"/>
        <v>2016</v>
      </c>
      <c r="D1829" s="13">
        <v>-5.49</v>
      </c>
      <c r="E1829" s="13">
        <v>-12.733356815780205</v>
      </c>
      <c r="F1829" s="13">
        <v>-38.659999999999997</v>
      </c>
      <c r="G1829" s="13"/>
      <c r="H1829" s="13">
        <v>40.549999999999997</v>
      </c>
      <c r="I1829" s="13">
        <v>56.38</v>
      </c>
      <c r="J1829" s="13"/>
      <c r="K1829" s="13"/>
    </row>
    <row r="1830" spans="1:11" x14ac:dyDescent="0.25">
      <c r="A1830" s="10">
        <v>42480</v>
      </c>
      <c r="B1830" s="15">
        <f t="shared" si="56"/>
        <v>4</v>
      </c>
      <c r="C1830" s="15">
        <f t="shared" si="57"/>
        <v>2016</v>
      </c>
      <c r="D1830" s="13">
        <v>-5.49</v>
      </c>
      <c r="E1830" s="13">
        <v>-12.802124833997345</v>
      </c>
      <c r="F1830" s="13">
        <v>-38.659999999999997</v>
      </c>
      <c r="G1830" s="13"/>
      <c r="H1830" s="13">
        <v>40.549999999999997</v>
      </c>
      <c r="I1830" s="13">
        <v>56.38</v>
      </c>
      <c r="J1830" s="13"/>
      <c r="K1830" s="13"/>
    </row>
    <row r="1831" spans="1:11" x14ac:dyDescent="0.25">
      <c r="A1831" s="10">
        <v>42481</v>
      </c>
      <c r="B1831" s="15">
        <f t="shared" si="56"/>
        <v>4</v>
      </c>
      <c r="C1831" s="15">
        <f t="shared" si="57"/>
        <v>2016</v>
      </c>
      <c r="D1831" s="13">
        <v>-5.49</v>
      </c>
      <c r="E1831" s="13">
        <v>-12.812333864965444</v>
      </c>
      <c r="F1831" s="13">
        <v>-38.659999999999997</v>
      </c>
      <c r="G1831" s="13"/>
      <c r="H1831" s="13">
        <v>40.549999999999997</v>
      </c>
      <c r="I1831" s="13">
        <v>56.38</v>
      </c>
      <c r="J1831" s="13"/>
      <c r="K1831" s="13"/>
    </row>
    <row r="1832" spans="1:11" x14ac:dyDescent="0.25">
      <c r="A1832" s="10">
        <v>42482</v>
      </c>
      <c r="B1832" s="15">
        <f t="shared" si="56"/>
        <v>4</v>
      </c>
      <c r="C1832" s="15">
        <f t="shared" si="57"/>
        <v>2016</v>
      </c>
      <c r="D1832" s="13">
        <v>-5.49</v>
      </c>
      <c r="E1832" s="13">
        <v>-12.876224398931434</v>
      </c>
      <c r="F1832" s="13">
        <v>-38.659999999999997</v>
      </c>
      <c r="G1832" s="13"/>
      <c r="H1832" s="13">
        <v>40.549999999999997</v>
      </c>
      <c r="I1832" s="13">
        <v>56.38</v>
      </c>
      <c r="J1832" s="13"/>
      <c r="K1832" s="13"/>
    </row>
    <row r="1833" spans="1:11" x14ac:dyDescent="0.25">
      <c r="A1833" s="10">
        <v>42485</v>
      </c>
      <c r="B1833" s="15">
        <f t="shared" si="56"/>
        <v>4</v>
      </c>
      <c r="C1833" s="15">
        <f t="shared" si="57"/>
        <v>2016</v>
      </c>
      <c r="D1833" s="13">
        <v>2.61</v>
      </c>
      <c r="E1833" s="13">
        <v>-14.321228802272927</v>
      </c>
      <c r="F1833" s="13">
        <v>-25.93</v>
      </c>
      <c r="G1833" s="13"/>
      <c r="H1833" s="13">
        <v>45.44</v>
      </c>
      <c r="I1833" s="13">
        <v>63.47</v>
      </c>
      <c r="J1833" s="13"/>
      <c r="K1833" s="13"/>
    </row>
    <row r="1834" spans="1:11" x14ac:dyDescent="0.25">
      <c r="A1834" s="10">
        <v>42486</v>
      </c>
      <c r="B1834" s="15">
        <f t="shared" si="56"/>
        <v>4</v>
      </c>
      <c r="C1834" s="15">
        <f t="shared" si="57"/>
        <v>2016</v>
      </c>
      <c r="D1834" s="13">
        <v>2.61</v>
      </c>
      <c r="E1834" s="13">
        <v>-14.276863161621526</v>
      </c>
      <c r="F1834" s="13">
        <v>-25.93</v>
      </c>
      <c r="G1834" s="13"/>
      <c r="H1834" s="13">
        <v>45.44</v>
      </c>
      <c r="I1834" s="13">
        <v>63.47</v>
      </c>
      <c r="J1834" s="13"/>
      <c r="K1834" s="13"/>
    </row>
    <row r="1835" spans="1:11" x14ac:dyDescent="0.25">
      <c r="A1835" s="10">
        <v>42487</v>
      </c>
      <c r="B1835" s="15">
        <f t="shared" si="56"/>
        <v>4</v>
      </c>
      <c r="C1835" s="15">
        <f t="shared" si="57"/>
        <v>2016</v>
      </c>
      <c r="D1835" s="13">
        <v>2.61</v>
      </c>
      <c r="E1835" s="13">
        <v>-14.250375474865271</v>
      </c>
      <c r="F1835" s="13">
        <v>-25.93</v>
      </c>
      <c r="G1835" s="13"/>
      <c r="H1835" s="13">
        <v>45.44</v>
      </c>
      <c r="I1835" s="13">
        <v>63.47</v>
      </c>
      <c r="J1835" s="13"/>
      <c r="K1835" s="13"/>
    </row>
    <row r="1836" spans="1:11" x14ac:dyDescent="0.25">
      <c r="A1836" s="10">
        <v>42488</v>
      </c>
      <c r="B1836" s="15">
        <f t="shared" si="56"/>
        <v>4</v>
      </c>
      <c r="C1836" s="15">
        <f t="shared" si="57"/>
        <v>2016</v>
      </c>
      <c r="D1836" s="13">
        <v>2.61</v>
      </c>
      <c r="E1836" s="13">
        <v>-14.210201744339704</v>
      </c>
      <c r="F1836" s="13">
        <v>-25.93</v>
      </c>
      <c r="G1836" s="13"/>
      <c r="H1836" s="13">
        <v>45.44</v>
      </c>
      <c r="I1836" s="13">
        <v>63.47</v>
      </c>
      <c r="J1836" s="13"/>
      <c r="K1836" s="13"/>
    </row>
    <row r="1837" spans="1:11" x14ac:dyDescent="0.25">
      <c r="A1837" s="10">
        <v>42489</v>
      </c>
      <c r="B1837" s="15">
        <f t="shared" si="56"/>
        <v>4</v>
      </c>
      <c r="C1837" s="15">
        <f t="shared" si="57"/>
        <v>2016</v>
      </c>
      <c r="D1837" s="13">
        <v>2.61</v>
      </c>
      <c r="E1837" s="13">
        <v>-14.082416623013794</v>
      </c>
      <c r="F1837" s="13">
        <v>-25.93</v>
      </c>
      <c r="G1837" s="13"/>
      <c r="H1837" s="13">
        <v>45.44</v>
      </c>
      <c r="I1837" s="13">
        <v>63.47</v>
      </c>
      <c r="J1837" s="13"/>
      <c r="K1837" s="13"/>
    </row>
    <row r="1838" spans="1:11" x14ac:dyDescent="0.25">
      <c r="A1838" s="10">
        <v>42492</v>
      </c>
      <c r="B1838" s="15">
        <f t="shared" si="56"/>
        <v>5</v>
      </c>
      <c r="C1838" s="15">
        <f t="shared" si="57"/>
        <v>2016</v>
      </c>
      <c r="D1838" s="13">
        <v>15.99</v>
      </c>
      <c r="E1838" s="13">
        <v>-22.421719143030618</v>
      </c>
      <c r="F1838" s="13">
        <v>-6.48</v>
      </c>
      <c r="G1838" s="13"/>
      <c r="H1838" s="13">
        <v>60.09</v>
      </c>
      <c r="I1838" s="13">
        <v>72.5</v>
      </c>
      <c r="J1838" s="13"/>
      <c r="K1838" s="13"/>
    </row>
    <row r="1839" spans="1:11" x14ac:dyDescent="0.25">
      <c r="A1839" s="10">
        <v>42493</v>
      </c>
      <c r="B1839" s="15">
        <f t="shared" si="56"/>
        <v>5</v>
      </c>
      <c r="C1839" s="15">
        <f t="shared" si="57"/>
        <v>2016</v>
      </c>
      <c r="D1839" s="13">
        <v>15.99</v>
      </c>
      <c r="E1839" s="13">
        <v>-22.488038277511965</v>
      </c>
      <c r="F1839" s="13">
        <v>-6.48</v>
      </c>
      <c r="G1839" s="13"/>
      <c r="H1839" s="13">
        <v>60.09</v>
      </c>
      <c r="I1839" s="13">
        <v>72.5</v>
      </c>
      <c r="J1839" s="13"/>
      <c r="K1839" s="13"/>
    </row>
    <row r="1840" spans="1:11" x14ac:dyDescent="0.25">
      <c r="A1840" s="10">
        <v>42494</v>
      </c>
      <c r="B1840" s="15">
        <f t="shared" si="56"/>
        <v>5</v>
      </c>
      <c r="C1840" s="15">
        <f t="shared" si="57"/>
        <v>2016</v>
      </c>
      <c r="D1840" s="13">
        <v>15.99</v>
      </c>
      <c r="E1840" s="13">
        <v>-22.507618632999563</v>
      </c>
      <c r="F1840" s="13">
        <v>-6.48</v>
      </c>
      <c r="G1840" s="13"/>
      <c r="H1840" s="13">
        <v>60.09</v>
      </c>
      <c r="I1840" s="13">
        <v>72.5</v>
      </c>
      <c r="J1840" s="13"/>
      <c r="K1840" s="13"/>
    </row>
    <row r="1841" spans="1:11" x14ac:dyDescent="0.25">
      <c r="A1841" s="10">
        <v>42495</v>
      </c>
      <c r="B1841" s="15">
        <f t="shared" si="56"/>
        <v>5</v>
      </c>
      <c r="C1841" s="15">
        <f t="shared" si="57"/>
        <v>2016</v>
      </c>
      <c r="D1841" s="13">
        <v>15.99</v>
      </c>
      <c r="E1841" s="13">
        <v>-22.667485092949843</v>
      </c>
      <c r="F1841" s="13">
        <v>-6.48</v>
      </c>
      <c r="G1841" s="13"/>
      <c r="H1841" s="13">
        <v>60.09</v>
      </c>
      <c r="I1841" s="13">
        <v>72.5</v>
      </c>
      <c r="J1841" s="13"/>
      <c r="K1841" s="13"/>
    </row>
    <row r="1842" spans="1:11" x14ac:dyDescent="0.25">
      <c r="A1842" s="10">
        <v>42496</v>
      </c>
      <c r="B1842" s="15">
        <f t="shared" si="56"/>
        <v>5</v>
      </c>
      <c r="C1842" s="15">
        <f t="shared" si="57"/>
        <v>2016</v>
      </c>
      <c r="D1842" s="13">
        <v>15.99</v>
      </c>
      <c r="E1842" s="13">
        <v>-22.671461147167165</v>
      </c>
      <c r="F1842" s="13">
        <v>-6.48</v>
      </c>
      <c r="G1842" s="13"/>
      <c r="H1842" s="13">
        <v>60.09</v>
      </c>
      <c r="I1842" s="13">
        <v>72.5</v>
      </c>
      <c r="J1842" s="13"/>
      <c r="K1842" s="13"/>
    </row>
    <row r="1843" spans="1:11" x14ac:dyDescent="0.25">
      <c r="A1843" s="10">
        <v>42499</v>
      </c>
      <c r="B1843" s="15">
        <f t="shared" si="56"/>
        <v>5</v>
      </c>
      <c r="C1843" s="15">
        <f t="shared" si="57"/>
        <v>2016</v>
      </c>
      <c r="D1843" s="13">
        <v>26.97</v>
      </c>
      <c r="E1843" s="13">
        <v>-3.1455935330814517</v>
      </c>
      <c r="F1843" s="13">
        <v>14.61</v>
      </c>
      <c r="G1843" s="13"/>
      <c r="H1843" s="13">
        <v>74.540000000000006</v>
      </c>
      <c r="I1843" s="13">
        <v>98.3</v>
      </c>
      <c r="J1843" s="13"/>
      <c r="K1843" s="13"/>
    </row>
    <row r="1844" spans="1:11" x14ac:dyDescent="0.25">
      <c r="A1844" s="10">
        <v>42500</v>
      </c>
      <c r="B1844" s="15">
        <f t="shared" si="56"/>
        <v>5</v>
      </c>
      <c r="C1844" s="15">
        <f t="shared" si="57"/>
        <v>2016</v>
      </c>
      <c r="D1844" s="13">
        <v>26.97</v>
      </c>
      <c r="E1844" s="13">
        <v>-3.1491907107670656</v>
      </c>
      <c r="F1844" s="13">
        <v>14.61</v>
      </c>
      <c r="G1844" s="13"/>
      <c r="H1844" s="13">
        <v>74.540000000000006</v>
      </c>
      <c r="I1844" s="13">
        <v>98.3</v>
      </c>
      <c r="J1844" s="13"/>
      <c r="K1844" s="13"/>
    </row>
    <row r="1845" spans="1:11" x14ac:dyDescent="0.25">
      <c r="A1845" s="10">
        <v>42501</v>
      </c>
      <c r="B1845" s="15">
        <f t="shared" si="56"/>
        <v>5</v>
      </c>
      <c r="C1845" s="15">
        <f t="shared" si="57"/>
        <v>2016</v>
      </c>
      <c r="D1845" s="13">
        <v>26.97</v>
      </c>
      <c r="E1845" s="13">
        <v>-3.1334792122538291</v>
      </c>
      <c r="F1845" s="13">
        <v>14.61</v>
      </c>
      <c r="G1845" s="13"/>
      <c r="H1845" s="13">
        <v>74.540000000000006</v>
      </c>
      <c r="I1845" s="13">
        <v>98.3</v>
      </c>
      <c r="J1845" s="13"/>
      <c r="K1845" s="13"/>
    </row>
    <row r="1846" spans="1:11" x14ac:dyDescent="0.25">
      <c r="A1846" s="10">
        <v>42502</v>
      </c>
      <c r="B1846" s="15">
        <f t="shared" si="56"/>
        <v>5</v>
      </c>
      <c r="C1846" s="15">
        <f t="shared" si="57"/>
        <v>2016</v>
      </c>
      <c r="D1846" s="13">
        <v>26.97</v>
      </c>
      <c r="E1846" s="13">
        <v>-3.1472527472527476</v>
      </c>
      <c r="F1846" s="13">
        <v>14.61</v>
      </c>
      <c r="G1846" s="13"/>
      <c r="H1846" s="13">
        <v>74.540000000000006</v>
      </c>
      <c r="I1846" s="13">
        <v>98.3</v>
      </c>
      <c r="J1846" s="13"/>
      <c r="K1846" s="13"/>
    </row>
    <row r="1847" spans="1:11" x14ac:dyDescent="0.25">
      <c r="A1847" s="10">
        <v>42503</v>
      </c>
      <c r="B1847" s="15">
        <f t="shared" si="56"/>
        <v>5</v>
      </c>
      <c r="C1847" s="15">
        <f t="shared" si="57"/>
        <v>2016</v>
      </c>
      <c r="D1847" s="13">
        <v>26.97</v>
      </c>
      <c r="E1847" s="13">
        <v>-3.1667403803626715</v>
      </c>
      <c r="F1847" s="13">
        <v>14.61</v>
      </c>
      <c r="G1847" s="13"/>
      <c r="H1847" s="13">
        <v>74.540000000000006</v>
      </c>
      <c r="I1847" s="13">
        <v>98.3</v>
      </c>
      <c r="J1847" s="13"/>
      <c r="K1847" s="13"/>
    </row>
    <row r="1848" spans="1:11" x14ac:dyDescent="0.25">
      <c r="A1848" s="10">
        <v>42506</v>
      </c>
      <c r="B1848" s="15">
        <f t="shared" si="56"/>
        <v>5</v>
      </c>
      <c r="C1848" s="15">
        <f t="shared" si="57"/>
        <v>2016</v>
      </c>
      <c r="D1848" s="13">
        <v>19.16</v>
      </c>
      <c r="E1848" s="13">
        <v>-25.344644750795336</v>
      </c>
      <c r="F1848" s="13">
        <v>12.19</v>
      </c>
      <c r="G1848" s="13"/>
      <c r="H1848" s="13">
        <v>64.94</v>
      </c>
      <c r="I1848" s="13">
        <v>73.349999999999994</v>
      </c>
      <c r="J1848" s="13"/>
      <c r="K1848" s="13"/>
    </row>
    <row r="1849" spans="1:11" x14ac:dyDescent="0.25">
      <c r="A1849" s="10">
        <v>42507</v>
      </c>
      <c r="B1849" s="15">
        <f t="shared" si="56"/>
        <v>5</v>
      </c>
      <c r="C1849" s="15">
        <f t="shared" si="57"/>
        <v>2016</v>
      </c>
      <c r="D1849" s="13">
        <v>19.16</v>
      </c>
      <c r="E1849" s="13">
        <v>-25.355848289275926</v>
      </c>
      <c r="F1849" s="13">
        <v>12.19</v>
      </c>
      <c r="G1849" s="13"/>
      <c r="H1849" s="13">
        <v>64.94</v>
      </c>
      <c r="I1849" s="13">
        <v>73.349999999999994</v>
      </c>
      <c r="J1849" s="13"/>
      <c r="K1849" s="13"/>
    </row>
    <row r="1850" spans="1:11" x14ac:dyDescent="0.25">
      <c r="A1850" s="10">
        <v>42508</v>
      </c>
      <c r="B1850" s="15">
        <f t="shared" si="56"/>
        <v>5</v>
      </c>
      <c r="C1850" s="15">
        <f t="shared" si="57"/>
        <v>2016</v>
      </c>
      <c r="D1850" s="13">
        <v>19.16</v>
      </c>
      <c r="E1850" s="13">
        <v>-25.572893446277309</v>
      </c>
      <c r="F1850" s="13">
        <v>12.19</v>
      </c>
      <c r="G1850" s="13"/>
      <c r="H1850" s="13">
        <v>64.94</v>
      </c>
      <c r="I1850" s="13">
        <v>73.349999999999994</v>
      </c>
      <c r="J1850" s="13"/>
      <c r="K1850" s="13"/>
    </row>
    <row r="1851" spans="1:11" x14ac:dyDescent="0.25">
      <c r="A1851" s="10">
        <v>42509</v>
      </c>
      <c r="B1851" s="15">
        <f t="shared" si="56"/>
        <v>5</v>
      </c>
      <c r="C1851" s="15">
        <f t="shared" si="57"/>
        <v>2016</v>
      </c>
      <c r="D1851" s="13">
        <v>19.16</v>
      </c>
      <c r="E1851" s="13">
        <v>-25.602570969469735</v>
      </c>
      <c r="F1851" s="13">
        <v>12.19</v>
      </c>
      <c r="G1851" s="13"/>
      <c r="H1851" s="13">
        <v>64.94</v>
      </c>
      <c r="I1851" s="13">
        <v>73.349999999999994</v>
      </c>
      <c r="J1851" s="13"/>
      <c r="K1851" s="13"/>
    </row>
    <row r="1852" spans="1:11" x14ac:dyDescent="0.25">
      <c r="A1852" s="10">
        <v>42510</v>
      </c>
      <c r="B1852" s="15">
        <f t="shared" si="56"/>
        <v>5</v>
      </c>
      <c r="C1852" s="15">
        <f t="shared" si="57"/>
        <v>2016</v>
      </c>
      <c r="D1852" s="13">
        <v>19.16</v>
      </c>
      <c r="E1852" s="13">
        <v>-25.556941721618248</v>
      </c>
      <c r="F1852" s="13">
        <v>12.19</v>
      </c>
      <c r="G1852" s="13"/>
      <c r="H1852" s="13">
        <v>64.94</v>
      </c>
      <c r="I1852" s="13">
        <v>73.349999999999994</v>
      </c>
      <c r="J1852" s="13"/>
      <c r="K1852" s="13"/>
    </row>
    <row r="1853" spans="1:11" x14ac:dyDescent="0.25">
      <c r="A1853" s="10">
        <v>42513</v>
      </c>
      <c r="B1853" s="15">
        <f t="shared" si="56"/>
        <v>5</v>
      </c>
      <c r="C1853" s="15">
        <f t="shared" si="57"/>
        <v>2016</v>
      </c>
      <c r="D1853" s="13">
        <v>38.29</v>
      </c>
      <c r="E1853" s="13">
        <v>-12.84771754636234</v>
      </c>
      <c r="F1853" s="13">
        <v>32.76</v>
      </c>
      <c r="G1853" s="13"/>
      <c r="H1853" s="13">
        <v>90.39</v>
      </c>
      <c r="I1853" s="13">
        <v>77.61</v>
      </c>
      <c r="J1853" s="13"/>
      <c r="K1853" s="13"/>
    </row>
    <row r="1854" spans="1:11" x14ac:dyDescent="0.25">
      <c r="A1854" s="10">
        <v>42514</v>
      </c>
      <c r="B1854" s="15">
        <f t="shared" si="56"/>
        <v>5</v>
      </c>
      <c r="C1854" s="15">
        <f t="shared" si="57"/>
        <v>2016</v>
      </c>
      <c r="D1854" s="13">
        <v>38.29</v>
      </c>
      <c r="E1854" s="13">
        <v>-12.935368043087971</v>
      </c>
      <c r="F1854" s="13">
        <v>32.76</v>
      </c>
      <c r="G1854" s="13"/>
      <c r="H1854" s="13">
        <v>90.39</v>
      </c>
      <c r="I1854" s="13">
        <v>77.61</v>
      </c>
      <c r="J1854" s="13"/>
      <c r="K1854" s="13"/>
    </row>
    <row r="1855" spans="1:11" x14ac:dyDescent="0.25">
      <c r="A1855" s="10">
        <v>42515</v>
      </c>
      <c r="B1855" s="15">
        <f t="shared" si="56"/>
        <v>5</v>
      </c>
      <c r="C1855" s="15">
        <f t="shared" si="57"/>
        <v>2016</v>
      </c>
      <c r="D1855" s="13">
        <v>38.29</v>
      </c>
      <c r="E1855" s="13">
        <v>-12.920290504796917</v>
      </c>
      <c r="F1855" s="13">
        <v>32.76</v>
      </c>
      <c r="G1855" s="13"/>
      <c r="H1855" s="13">
        <v>90.39</v>
      </c>
      <c r="I1855" s="13">
        <v>77.61</v>
      </c>
      <c r="J1855" s="13"/>
      <c r="K1855" s="13"/>
    </row>
    <row r="1856" spans="1:11" x14ac:dyDescent="0.25">
      <c r="A1856" s="10">
        <v>42516</v>
      </c>
      <c r="B1856" s="15">
        <f t="shared" si="56"/>
        <v>5</v>
      </c>
      <c r="C1856" s="15">
        <f t="shared" si="57"/>
        <v>2016</v>
      </c>
      <c r="D1856" s="13">
        <v>38.29</v>
      </c>
      <c r="E1856" s="13">
        <v>-12.875268048606147</v>
      </c>
      <c r="F1856" s="13">
        <v>32.76</v>
      </c>
      <c r="G1856" s="13"/>
      <c r="H1856" s="13">
        <v>90.39</v>
      </c>
      <c r="I1856" s="13">
        <v>77.61</v>
      </c>
      <c r="J1856" s="13"/>
      <c r="K1856" s="13"/>
    </row>
    <row r="1857" spans="1:11" x14ac:dyDescent="0.25">
      <c r="A1857" s="10">
        <v>42517</v>
      </c>
      <c r="B1857" s="15">
        <f t="shared" si="56"/>
        <v>5</v>
      </c>
      <c r="C1857" s="15">
        <f t="shared" si="57"/>
        <v>2016</v>
      </c>
      <c r="D1857" s="13">
        <v>38.29</v>
      </c>
      <c r="E1857" s="13">
        <v>-12.965628936476516</v>
      </c>
      <c r="F1857" s="13">
        <v>32.76</v>
      </c>
      <c r="G1857" s="13"/>
      <c r="H1857" s="13">
        <v>90.39</v>
      </c>
      <c r="I1857" s="13">
        <v>77.61</v>
      </c>
      <c r="J1857" s="13"/>
      <c r="K1857" s="13"/>
    </row>
    <row r="1858" spans="1:11" x14ac:dyDescent="0.25">
      <c r="A1858" s="10">
        <v>42521</v>
      </c>
      <c r="B1858" s="15">
        <f t="shared" si="56"/>
        <v>5</v>
      </c>
      <c r="C1858" s="15">
        <f t="shared" si="57"/>
        <v>2016</v>
      </c>
      <c r="D1858" s="13">
        <v>17.48</v>
      </c>
      <c r="E1858" s="13">
        <v>-29.229939796926949</v>
      </c>
      <c r="F1858" s="13">
        <v>18.78</v>
      </c>
      <c r="G1858" s="13"/>
      <c r="H1858" s="13">
        <v>70.03</v>
      </c>
      <c r="I1858" s="13">
        <v>96.32</v>
      </c>
      <c r="J1858" s="13"/>
      <c r="K1858" s="13"/>
    </row>
    <row r="1859" spans="1:11" x14ac:dyDescent="0.25">
      <c r="A1859" s="10">
        <v>42522</v>
      </c>
      <c r="B1859" s="15">
        <f t="shared" ref="B1859:B1922" si="58">MONTH(A1859)</f>
        <v>6</v>
      </c>
      <c r="C1859" s="15">
        <f t="shared" ref="C1859:C1922" si="59">YEAR(A1859)</f>
        <v>2016</v>
      </c>
      <c r="D1859" s="13">
        <v>17.48</v>
      </c>
      <c r="E1859" s="13">
        <v>-29.083594099240052</v>
      </c>
      <c r="F1859" s="13">
        <v>18.78</v>
      </c>
      <c r="G1859" s="13"/>
      <c r="H1859" s="13">
        <v>70.03</v>
      </c>
      <c r="I1859" s="13">
        <v>96.32</v>
      </c>
      <c r="J1859" s="13"/>
      <c r="K1859" s="13"/>
    </row>
    <row r="1860" spans="1:11" x14ac:dyDescent="0.25">
      <c r="A1860" s="10">
        <v>42523</v>
      </c>
      <c r="B1860" s="15">
        <f t="shared" si="58"/>
        <v>6</v>
      </c>
      <c r="C1860" s="15">
        <f t="shared" si="59"/>
        <v>2016</v>
      </c>
      <c r="D1860" s="13">
        <v>17.48</v>
      </c>
      <c r="E1860" s="13">
        <v>-29.177504708942507</v>
      </c>
      <c r="F1860" s="13">
        <v>18.78</v>
      </c>
      <c r="G1860" s="13"/>
      <c r="H1860" s="13">
        <v>70.03</v>
      </c>
      <c r="I1860" s="13">
        <v>96.32</v>
      </c>
      <c r="J1860" s="13"/>
      <c r="K1860" s="13"/>
    </row>
    <row r="1861" spans="1:11" x14ac:dyDescent="0.25">
      <c r="A1861" s="10">
        <v>42524</v>
      </c>
      <c r="B1861" s="15">
        <f t="shared" si="58"/>
        <v>6</v>
      </c>
      <c r="C1861" s="15">
        <f t="shared" si="59"/>
        <v>2016</v>
      </c>
      <c r="D1861" s="13">
        <v>17.48</v>
      </c>
      <c r="E1861" s="13">
        <v>-28.6229652441707</v>
      </c>
      <c r="F1861" s="13">
        <v>18.78</v>
      </c>
      <c r="G1861" s="13"/>
      <c r="H1861" s="13">
        <v>70.03</v>
      </c>
      <c r="I1861" s="13">
        <v>96.32</v>
      </c>
      <c r="J1861" s="13"/>
      <c r="K1861" s="13"/>
    </row>
    <row r="1862" spans="1:11" x14ac:dyDescent="0.25">
      <c r="A1862" s="10">
        <v>42527</v>
      </c>
      <c r="B1862" s="15">
        <f t="shared" si="58"/>
        <v>6</v>
      </c>
      <c r="C1862" s="15">
        <f t="shared" si="59"/>
        <v>2016</v>
      </c>
      <c r="D1862" s="13">
        <v>21.61</v>
      </c>
      <c r="E1862" s="13">
        <v>-9.9374504448947221</v>
      </c>
      <c r="F1862" s="13">
        <v>24.19</v>
      </c>
      <c r="G1862" s="13"/>
      <c r="H1862" s="13">
        <v>75.989999999999995</v>
      </c>
      <c r="I1862" s="13">
        <v>100.36</v>
      </c>
      <c r="J1862" s="13"/>
      <c r="K1862" s="13"/>
    </row>
    <row r="1863" spans="1:11" x14ac:dyDescent="0.25">
      <c r="A1863" s="10">
        <v>42528</v>
      </c>
      <c r="B1863" s="15">
        <f t="shared" si="58"/>
        <v>6</v>
      </c>
      <c r="C1863" s="15">
        <f t="shared" si="59"/>
        <v>2016</v>
      </c>
      <c r="D1863" s="13">
        <v>21.61</v>
      </c>
      <c r="E1863" s="13">
        <v>-9.9330750264177521</v>
      </c>
      <c r="F1863" s="13">
        <v>24.19</v>
      </c>
      <c r="G1863" s="13"/>
      <c r="H1863" s="13">
        <v>75.989999999999995</v>
      </c>
      <c r="I1863" s="13">
        <v>100.36</v>
      </c>
      <c r="J1863" s="13"/>
      <c r="K1863" s="13"/>
    </row>
    <row r="1864" spans="1:11" x14ac:dyDescent="0.25">
      <c r="A1864" s="10">
        <v>42529</v>
      </c>
      <c r="B1864" s="15">
        <f t="shared" si="58"/>
        <v>6</v>
      </c>
      <c r="C1864" s="15">
        <f t="shared" si="59"/>
        <v>2016</v>
      </c>
      <c r="D1864" s="13">
        <v>21.61</v>
      </c>
      <c r="E1864" s="13">
        <v>-9.9016853932584272</v>
      </c>
      <c r="F1864" s="13">
        <v>24.19</v>
      </c>
      <c r="G1864" s="13"/>
      <c r="H1864" s="13">
        <v>75.989999999999995</v>
      </c>
      <c r="I1864" s="13">
        <v>100.36</v>
      </c>
      <c r="J1864" s="13"/>
      <c r="K1864" s="13"/>
    </row>
    <row r="1865" spans="1:11" x14ac:dyDescent="0.25">
      <c r="A1865" s="10">
        <v>42530</v>
      </c>
      <c r="B1865" s="15">
        <f t="shared" si="58"/>
        <v>6</v>
      </c>
      <c r="C1865" s="15">
        <f t="shared" si="59"/>
        <v>2016</v>
      </c>
      <c r="D1865" s="13">
        <v>21.61</v>
      </c>
      <c r="E1865" s="13">
        <v>-9.9699487360791945</v>
      </c>
      <c r="F1865" s="13">
        <v>24.19</v>
      </c>
      <c r="G1865" s="13"/>
      <c r="H1865" s="13">
        <v>75.989999999999995</v>
      </c>
      <c r="I1865" s="13">
        <v>100.36</v>
      </c>
      <c r="J1865" s="13"/>
      <c r="K1865" s="13"/>
    </row>
    <row r="1866" spans="1:11" x14ac:dyDescent="0.25">
      <c r="A1866" s="10">
        <v>42531</v>
      </c>
      <c r="B1866" s="15">
        <f t="shared" si="58"/>
        <v>6</v>
      </c>
      <c r="C1866" s="15">
        <f t="shared" si="59"/>
        <v>2016</v>
      </c>
      <c r="D1866" s="13">
        <v>21.61</v>
      </c>
      <c r="E1866" s="13">
        <v>-10.027558005156013</v>
      </c>
      <c r="F1866" s="13">
        <v>24.19</v>
      </c>
      <c r="G1866" s="13"/>
      <c r="H1866" s="13">
        <v>75.989999999999995</v>
      </c>
      <c r="I1866" s="13">
        <v>100.36</v>
      </c>
      <c r="J1866" s="13"/>
      <c r="K1866" s="13"/>
    </row>
    <row r="1867" spans="1:11" x14ac:dyDescent="0.25">
      <c r="A1867" s="10">
        <v>42534</v>
      </c>
      <c r="B1867" s="15">
        <f t="shared" si="58"/>
        <v>6</v>
      </c>
      <c r="C1867" s="15">
        <f t="shared" si="59"/>
        <v>2016</v>
      </c>
      <c r="D1867" s="13">
        <v>7.63</v>
      </c>
      <c r="E1867" s="13">
        <v>-10.097431355181577</v>
      </c>
      <c r="F1867" s="13">
        <v>20.100000000000001</v>
      </c>
      <c r="G1867" s="13"/>
      <c r="H1867" s="13">
        <v>62.9</v>
      </c>
      <c r="I1867" s="13">
        <v>79.98</v>
      </c>
      <c r="J1867" s="13"/>
      <c r="K1867" s="13"/>
    </row>
    <row r="1868" spans="1:11" x14ac:dyDescent="0.25">
      <c r="A1868" s="10">
        <v>42535</v>
      </c>
      <c r="B1868" s="15">
        <f t="shared" si="58"/>
        <v>6</v>
      </c>
      <c r="C1868" s="15">
        <f t="shared" si="59"/>
        <v>2016</v>
      </c>
      <c r="D1868" s="13">
        <v>7.63</v>
      </c>
      <c r="E1868" s="13">
        <v>-10.173121542031055</v>
      </c>
      <c r="F1868" s="13">
        <v>20.100000000000001</v>
      </c>
      <c r="G1868" s="13"/>
      <c r="H1868" s="13">
        <v>62.9</v>
      </c>
      <c r="I1868" s="13">
        <v>79.98</v>
      </c>
      <c r="J1868" s="13"/>
      <c r="K1868" s="13"/>
    </row>
    <row r="1869" spans="1:11" x14ac:dyDescent="0.25">
      <c r="A1869" s="10">
        <v>42536</v>
      </c>
      <c r="B1869" s="15">
        <f t="shared" si="58"/>
        <v>6</v>
      </c>
      <c r="C1869" s="15">
        <f t="shared" si="59"/>
        <v>2016</v>
      </c>
      <c r="D1869" s="13">
        <v>7.63</v>
      </c>
      <c r="E1869" s="13">
        <v>-10.127032068934886</v>
      </c>
      <c r="F1869" s="13">
        <v>20.100000000000001</v>
      </c>
      <c r="G1869" s="13"/>
      <c r="H1869" s="13">
        <v>62.9</v>
      </c>
      <c r="I1869" s="13">
        <v>79.98</v>
      </c>
      <c r="J1869" s="13"/>
      <c r="K1869" s="13"/>
    </row>
    <row r="1870" spans="1:11" x14ac:dyDescent="0.25">
      <c r="A1870" s="10">
        <v>42537</v>
      </c>
      <c r="B1870" s="15">
        <f t="shared" si="58"/>
        <v>6</v>
      </c>
      <c r="C1870" s="15">
        <f t="shared" si="59"/>
        <v>2016</v>
      </c>
      <c r="D1870" s="13">
        <v>7.63</v>
      </c>
      <c r="E1870" s="13">
        <v>-10.157711841753541</v>
      </c>
      <c r="F1870" s="13">
        <v>20.100000000000001</v>
      </c>
      <c r="G1870" s="13"/>
      <c r="H1870" s="13">
        <v>62.9</v>
      </c>
      <c r="I1870" s="13">
        <v>79.98</v>
      </c>
      <c r="J1870" s="13"/>
      <c r="K1870" s="13"/>
    </row>
    <row r="1871" spans="1:11" x14ac:dyDescent="0.25">
      <c r="A1871" s="10">
        <v>42538</v>
      </c>
      <c r="B1871" s="15">
        <f t="shared" si="58"/>
        <v>6</v>
      </c>
      <c r="C1871" s="15">
        <f t="shared" si="59"/>
        <v>2016</v>
      </c>
      <c r="D1871" s="13">
        <v>7.63</v>
      </c>
      <c r="E1871" s="13">
        <v>-10.111761575306014</v>
      </c>
      <c r="F1871" s="13">
        <v>20.100000000000001</v>
      </c>
      <c r="G1871" s="13"/>
      <c r="H1871" s="13">
        <v>62.9</v>
      </c>
      <c r="I1871" s="13">
        <v>79.98</v>
      </c>
      <c r="J1871" s="13"/>
      <c r="K1871" s="13"/>
    </row>
    <row r="1872" spans="1:11" x14ac:dyDescent="0.25">
      <c r="A1872" s="10">
        <v>42541</v>
      </c>
      <c r="B1872" s="15">
        <f t="shared" si="58"/>
        <v>6</v>
      </c>
      <c r="C1872" s="15">
        <f t="shared" si="59"/>
        <v>2016</v>
      </c>
      <c r="D1872" s="13">
        <v>-20.3</v>
      </c>
      <c r="E1872" s="13">
        <v>2.1485411140583555</v>
      </c>
      <c r="F1872" s="13">
        <v>-10.23</v>
      </c>
      <c r="G1872" s="13"/>
      <c r="H1872" s="13">
        <v>39.35</v>
      </c>
      <c r="I1872" s="13">
        <v>72.2</v>
      </c>
      <c r="J1872" s="13"/>
      <c r="K1872" s="13"/>
    </row>
    <row r="1873" spans="1:11" x14ac:dyDescent="0.25">
      <c r="A1873" s="10">
        <v>42542</v>
      </c>
      <c r="B1873" s="15">
        <f t="shared" si="58"/>
        <v>6</v>
      </c>
      <c r="C1873" s="15">
        <f t="shared" si="59"/>
        <v>2016</v>
      </c>
      <c r="D1873" s="13">
        <v>-20.3</v>
      </c>
      <c r="E1873" s="13">
        <v>2.1619217081850532</v>
      </c>
      <c r="F1873" s="13">
        <v>-10.23</v>
      </c>
      <c r="G1873" s="13"/>
      <c r="H1873" s="13">
        <v>39.35</v>
      </c>
      <c r="I1873" s="13">
        <v>72.2</v>
      </c>
      <c r="J1873" s="13"/>
      <c r="K1873" s="13"/>
    </row>
    <row r="1874" spans="1:11" x14ac:dyDescent="0.25">
      <c r="A1874" s="10">
        <v>42543</v>
      </c>
      <c r="B1874" s="15">
        <f t="shared" si="58"/>
        <v>6</v>
      </c>
      <c r="C1874" s="15">
        <f t="shared" si="59"/>
        <v>2016</v>
      </c>
      <c r="D1874" s="13">
        <v>-20.3</v>
      </c>
      <c r="E1874" s="13">
        <v>2.1513944223107573</v>
      </c>
      <c r="F1874" s="13">
        <v>-10.23</v>
      </c>
      <c r="G1874" s="13"/>
      <c r="H1874" s="13">
        <v>39.35</v>
      </c>
      <c r="I1874" s="13">
        <v>72.2</v>
      </c>
      <c r="J1874" s="13"/>
      <c r="K1874" s="13"/>
    </row>
    <row r="1875" spans="1:11" x14ac:dyDescent="0.25">
      <c r="A1875" s="10">
        <v>42544</v>
      </c>
      <c r="B1875" s="15">
        <f t="shared" si="58"/>
        <v>6</v>
      </c>
      <c r="C1875" s="15">
        <f t="shared" si="59"/>
        <v>2016</v>
      </c>
      <c r="D1875" s="13">
        <v>-20.3</v>
      </c>
      <c r="E1875" s="13">
        <v>2.1343873517786562</v>
      </c>
      <c r="F1875" s="13">
        <v>-10.23</v>
      </c>
      <c r="G1875" s="13"/>
      <c r="H1875" s="13">
        <v>39.35</v>
      </c>
      <c r="I1875" s="13">
        <v>72.2</v>
      </c>
      <c r="J1875" s="13"/>
      <c r="K1875" s="13"/>
    </row>
    <row r="1876" spans="1:11" x14ac:dyDescent="0.25">
      <c r="A1876" s="10">
        <v>42545</v>
      </c>
      <c r="B1876" s="15">
        <f t="shared" si="58"/>
        <v>6</v>
      </c>
      <c r="C1876" s="15">
        <f t="shared" si="59"/>
        <v>2016</v>
      </c>
      <c r="D1876" s="13">
        <v>-20.3</v>
      </c>
      <c r="E1876" s="13">
        <v>2.1862348178137654</v>
      </c>
      <c r="F1876" s="13">
        <v>-10.23</v>
      </c>
      <c r="G1876" s="13"/>
      <c r="H1876" s="13">
        <v>39.35</v>
      </c>
      <c r="I1876" s="13">
        <v>72.2</v>
      </c>
      <c r="J1876" s="13"/>
      <c r="K1876" s="13"/>
    </row>
    <row r="1877" spans="1:11" x14ac:dyDescent="0.25">
      <c r="A1877" s="10">
        <v>42548</v>
      </c>
      <c r="B1877" s="15">
        <f t="shared" si="58"/>
        <v>6</v>
      </c>
      <c r="C1877" s="15">
        <f t="shared" si="59"/>
        <v>2016</v>
      </c>
      <c r="D1877" s="13">
        <v>-11.58</v>
      </c>
      <c r="E1877" s="13">
        <v>-0.30847396116857195</v>
      </c>
      <c r="F1877" s="13">
        <v>5.27</v>
      </c>
      <c r="G1877" s="13"/>
      <c r="H1877" s="13">
        <v>43.04</v>
      </c>
      <c r="I1877" s="13">
        <v>79.040000000000006</v>
      </c>
      <c r="J1877" s="13"/>
      <c r="K1877" s="13"/>
    </row>
    <row r="1878" spans="1:11" x14ac:dyDescent="0.25">
      <c r="A1878" s="10">
        <v>42549</v>
      </c>
      <c r="B1878" s="15">
        <f t="shared" si="58"/>
        <v>6</v>
      </c>
      <c r="C1878" s="15">
        <f t="shared" si="59"/>
        <v>2016</v>
      </c>
      <c r="D1878" s="13">
        <v>-11.58</v>
      </c>
      <c r="E1878" s="13">
        <v>-0.30727519204699505</v>
      </c>
      <c r="F1878" s="13">
        <v>5.27</v>
      </c>
      <c r="G1878" s="13"/>
      <c r="H1878" s="13">
        <v>43.04</v>
      </c>
      <c r="I1878" s="13">
        <v>79.040000000000006</v>
      </c>
      <c r="J1878" s="13"/>
      <c r="K1878" s="13"/>
    </row>
    <row r="1879" spans="1:11" x14ac:dyDescent="0.25">
      <c r="A1879" s="10">
        <v>42550</v>
      </c>
      <c r="B1879" s="15">
        <f t="shared" si="58"/>
        <v>6</v>
      </c>
      <c r="C1879" s="15">
        <f t="shared" si="59"/>
        <v>2016</v>
      </c>
      <c r="D1879" s="13">
        <v>-11.58</v>
      </c>
      <c r="E1879" s="13">
        <v>-0.3056729299649375</v>
      </c>
      <c r="F1879" s="13">
        <v>5.27</v>
      </c>
      <c r="G1879" s="13"/>
      <c r="H1879" s="13">
        <v>43.04</v>
      </c>
      <c r="I1879" s="13">
        <v>79.040000000000006</v>
      </c>
      <c r="J1879" s="13"/>
      <c r="K1879" s="13"/>
    </row>
    <row r="1880" spans="1:11" x14ac:dyDescent="0.25">
      <c r="A1880" s="10">
        <v>42551</v>
      </c>
      <c r="B1880" s="15">
        <f t="shared" si="58"/>
        <v>6</v>
      </c>
      <c r="C1880" s="15">
        <f t="shared" si="59"/>
        <v>2016</v>
      </c>
      <c r="D1880" s="13">
        <v>-11.58</v>
      </c>
      <c r="E1880" s="13">
        <v>-0.30619596541786742</v>
      </c>
      <c r="F1880" s="13">
        <v>5.27</v>
      </c>
      <c r="G1880" s="13"/>
      <c r="H1880" s="13">
        <v>43.04</v>
      </c>
      <c r="I1880" s="13">
        <v>79.040000000000006</v>
      </c>
      <c r="J1880" s="13"/>
      <c r="K1880" s="13"/>
    </row>
    <row r="1881" spans="1:11" x14ac:dyDescent="0.25">
      <c r="A1881" s="10">
        <v>42552</v>
      </c>
      <c r="B1881" s="15">
        <f t="shared" si="58"/>
        <v>7</v>
      </c>
      <c r="C1881" s="15">
        <f t="shared" si="59"/>
        <v>2016</v>
      </c>
      <c r="D1881" s="13">
        <v>-11.58</v>
      </c>
      <c r="E1881" s="13">
        <v>-0.30534351145038174</v>
      </c>
      <c r="F1881" s="13">
        <v>5.27</v>
      </c>
      <c r="G1881" s="13"/>
      <c r="H1881" s="13">
        <v>43.04</v>
      </c>
      <c r="I1881" s="13">
        <v>79.040000000000006</v>
      </c>
      <c r="J1881" s="13"/>
      <c r="K1881" s="13"/>
    </row>
    <row r="1882" spans="1:11" x14ac:dyDescent="0.25">
      <c r="A1882" s="10">
        <v>42556</v>
      </c>
      <c r="B1882" s="15">
        <f t="shared" si="58"/>
        <v>7</v>
      </c>
      <c r="C1882" s="15">
        <f t="shared" si="59"/>
        <v>2016</v>
      </c>
      <c r="D1882" s="13">
        <v>-10.91</v>
      </c>
      <c r="E1882" s="13">
        <v>5.363431151241536</v>
      </c>
      <c r="F1882" s="13">
        <v>4.1900000000000004</v>
      </c>
      <c r="G1882" s="13"/>
      <c r="H1882" s="13">
        <v>34.4</v>
      </c>
      <c r="I1882" s="13">
        <v>38.270000000000003</v>
      </c>
      <c r="J1882" s="13"/>
      <c r="K1882" s="13"/>
    </row>
    <row r="1883" spans="1:11" x14ac:dyDescent="0.25">
      <c r="A1883" s="10">
        <v>42557</v>
      </c>
      <c r="B1883" s="15">
        <f t="shared" si="58"/>
        <v>7</v>
      </c>
      <c r="C1883" s="15">
        <f t="shared" si="59"/>
        <v>2016</v>
      </c>
      <c r="D1883" s="13">
        <v>-10.91</v>
      </c>
      <c r="E1883" s="13">
        <v>5.3518334985133791</v>
      </c>
      <c r="F1883" s="13">
        <v>4.1900000000000004</v>
      </c>
      <c r="G1883" s="13"/>
      <c r="H1883" s="13">
        <v>34.4</v>
      </c>
      <c r="I1883" s="13">
        <v>38.270000000000003</v>
      </c>
      <c r="J1883" s="13"/>
      <c r="K1883" s="13"/>
    </row>
    <row r="1884" spans="1:11" x14ac:dyDescent="0.25">
      <c r="A1884" s="10">
        <v>42558</v>
      </c>
      <c r="B1884" s="15">
        <f t="shared" si="58"/>
        <v>7</v>
      </c>
      <c r="C1884" s="15">
        <f t="shared" si="59"/>
        <v>2016</v>
      </c>
      <c r="D1884" s="13">
        <v>-10.91</v>
      </c>
      <c r="E1884" s="13">
        <v>5.3711908852518313</v>
      </c>
      <c r="F1884" s="13">
        <v>4.1900000000000004</v>
      </c>
      <c r="G1884" s="13"/>
      <c r="H1884" s="13">
        <v>34.4</v>
      </c>
      <c r="I1884" s="13">
        <v>38.270000000000003</v>
      </c>
      <c r="J1884" s="13"/>
      <c r="K1884" s="13"/>
    </row>
    <row r="1885" spans="1:11" x14ac:dyDescent="0.25">
      <c r="A1885" s="10">
        <v>42559</v>
      </c>
      <c r="B1885" s="15">
        <f t="shared" si="58"/>
        <v>7</v>
      </c>
      <c r="C1885" s="15">
        <f t="shared" si="59"/>
        <v>2016</v>
      </c>
      <c r="D1885" s="13">
        <v>-10.91</v>
      </c>
      <c r="E1885" s="13">
        <v>5.3745928338762221</v>
      </c>
      <c r="F1885" s="13">
        <v>4.1900000000000004</v>
      </c>
      <c r="G1885" s="13"/>
      <c r="H1885" s="13">
        <v>34.4</v>
      </c>
      <c r="I1885" s="13">
        <v>38.270000000000003</v>
      </c>
      <c r="J1885" s="13"/>
      <c r="K1885" s="13"/>
    </row>
    <row r="1886" spans="1:11" x14ac:dyDescent="0.25">
      <c r="A1886" s="10">
        <v>42562</v>
      </c>
      <c r="B1886" s="15">
        <f t="shared" si="58"/>
        <v>7</v>
      </c>
      <c r="C1886" s="15">
        <f t="shared" si="59"/>
        <v>2016</v>
      </c>
      <c r="D1886" s="13">
        <v>-11.89</v>
      </c>
      <c r="E1886" s="13">
        <v>22.178002894356005</v>
      </c>
      <c r="F1886" s="13">
        <v>8.0500000000000007</v>
      </c>
      <c r="G1886" s="13"/>
      <c r="H1886" s="13">
        <v>45.51</v>
      </c>
      <c r="I1886" s="13">
        <v>76.42</v>
      </c>
      <c r="J1886" s="13"/>
      <c r="K1886" s="13"/>
    </row>
    <row r="1887" spans="1:11" x14ac:dyDescent="0.25">
      <c r="A1887" s="10">
        <v>42563</v>
      </c>
      <c r="B1887" s="15">
        <f t="shared" si="58"/>
        <v>7</v>
      </c>
      <c r="C1887" s="15">
        <f t="shared" si="59"/>
        <v>2016</v>
      </c>
      <c r="D1887" s="13">
        <v>-11.89</v>
      </c>
      <c r="E1887" s="13">
        <v>22.175997105905761</v>
      </c>
      <c r="F1887" s="13">
        <v>8.0500000000000007</v>
      </c>
      <c r="G1887" s="13"/>
      <c r="H1887" s="13">
        <v>45.51</v>
      </c>
      <c r="I1887" s="13">
        <v>76.42</v>
      </c>
      <c r="J1887" s="13"/>
      <c r="K1887" s="13"/>
    </row>
    <row r="1888" spans="1:11" x14ac:dyDescent="0.25">
      <c r="A1888" s="10">
        <v>42564</v>
      </c>
      <c r="B1888" s="15">
        <f t="shared" si="58"/>
        <v>7</v>
      </c>
      <c r="C1888" s="15">
        <f t="shared" si="59"/>
        <v>2016</v>
      </c>
      <c r="D1888" s="13">
        <v>-11.89</v>
      </c>
      <c r="E1888" s="13">
        <v>22.113997113997115</v>
      </c>
      <c r="F1888" s="13">
        <v>8.0500000000000007</v>
      </c>
      <c r="G1888" s="13"/>
      <c r="H1888" s="13">
        <v>45.51</v>
      </c>
      <c r="I1888" s="13">
        <v>76.42</v>
      </c>
      <c r="J1888" s="13"/>
      <c r="K1888" s="13"/>
    </row>
    <row r="1889" spans="1:11" x14ac:dyDescent="0.25">
      <c r="A1889" s="10">
        <v>42565</v>
      </c>
      <c r="B1889" s="15">
        <f t="shared" si="58"/>
        <v>7</v>
      </c>
      <c r="C1889" s="15">
        <f t="shared" si="59"/>
        <v>2016</v>
      </c>
      <c r="D1889" s="13">
        <v>-11.89</v>
      </c>
      <c r="E1889" s="13">
        <v>22.054326317683039</v>
      </c>
      <c r="F1889" s="13">
        <v>8.0500000000000007</v>
      </c>
      <c r="G1889" s="13"/>
      <c r="H1889" s="13">
        <v>45.51</v>
      </c>
      <c r="I1889" s="13">
        <v>76.42</v>
      </c>
      <c r="J1889" s="13"/>
      <c r="K1889" s="13"/>
    </row>
    <row r="1890" spans="1:11" x14ac:dyDescent="0.25">
      <c r="A1890" s="10">
        <v>42566</v>
      </c>
      <c r="B1890" s="15">
        <f t="shared" si="58"/>
        <v>7</v>
      </c>
      <c r="C1890" s="15">
        <f t="shared" si="59"/>
        <v>2016</v>
      </c>
      <c r="D1890" s="13">
        <v>-11.89</v>
      </c>
      <c r="E1890" s="13">
        <v>22.222222222222221</v>
      </c>
      <c r="F1890" s="13">
        <v>8.0500000000000007</v>
      </c>
      <c r="G1890" s="13"/>
      <c r="H1890" s="13">
        <v>45.51</v>
      </c>
      <c r="I1890" s="13">
        <v>76.42</v>
      </c>
      <c r="J1890" s="13"/>
      <c r="K1890" s="13"/>
    </row>
    <row r="1891" spans="1:11" x14ac:dyDescent="0.25">
      <c r="A1891" s="10">
        <v>42569</v>
      </c>
      <c r="B1891" s="15">
        <f t="shared" si="58"/>
        <v>7</v>
      </c>
      <c r="C1891" s="15">
        <f t="shared" si="59"/>
        <v>2016</v>
      </c>
      <c r="D1891" s="13">
        <v>-1.65</v>
      </c>
      <c r="E1891" s="13">
        <v>11.60690091229338</v>
      </c>
      <c r="F1891" s="13">
        <v>14.67</v>
      </c>
      <c r="G1891" s="13"/>
      <c r="H1891" s="13">
        <v>56.94</v>
      </c>
      <c r="I1891" s="13">
        <v>79.319999999999993</v>
      </c>
      <c r="J1891" s="13"/>
      <c r="K1891" s="13"/>
    </row>
    <row r="1892" spans="1:11" x14ac:dyDescent="0.25">
      <c r="A1892" s="10">
        <v>42570</v>
      </c>
      <c r="B1892" s="15">
        <f t="shared" si="58"/>
        <v>7</v>
      </c>
      <c r="C1892" s="15">
        <f t="shared" si="59"/>
        <v>2016</v>
      </c>
      <c r="D1892" s="13">
        <v>-1.65</v>
      </c>
      <c r="E1892" s="13">
        <v>11.659559023682061</v>
      </c>
      <c r="F1892" s="13">
        <v>14.67</v>
      </c>
      <c r="G1892" s="13"/>
      <c r="H1892" s="13">
        <v>56.94</v>
      </c>
      <c r="I1892" s="13">
        <v>79.319999999999993</v>
      </c>
      <c r="J1892" s="13"/>
      <c r="K1892" s="13"/>
    </row>
    <row r="1893" spans="1:11" x14ac:dyDescent="0.25">
      <c r="A1893" s="10">
        <v>42571</v>
      </c>
      <c r="B1893" s="15">
        <f t="shared" si="58"/>
        <v>7</v>
      </c>
      <c r="C1893" s="15">
        <f t="shared" si="59"/>
        <v>2016</v>
      </c>
      <c r="D1893" s="13">
        <v>-1.65</v>
      </c>
      <c r="E1893" s="13">
        <v>11.668028693362389</v>
      </c>
      <c r="F1893" s="13">
        <v>14.67</v>
      </c>
      <c r="G1893" s="13"/>
      <c r="H1893" s="13">
        <v>56.94</v>
      </c>
      <c r="I1893" s="13">
        <v>79.319999999999993</v>
      </c>
      <c r="J1893" s="13"/>
      <c r="K1893" s="13"/>
    </row>
    <row r="1894" spans="1:11" x14ac:dyDescent="0.25">
      <c r="A1894" s="10">
        <v>42572</v>
      </c>
      <c r="B1894" s="15">
        <f t="shared" si="58"/>
        <v>7</v>
      </c>
      <c r="C1894" s="15">
        <f t="shared" si="59"/>
        <v>2016</v>
      </c>
      <c r="D1894" s="13">
        <v>-1.65</v>
      </c>
      <c r="E1894" s="13">
        <v>11.657443527170461</v>
      </c>
      <c r="F1894" s="13">
        <v>14.67</v>
      </c>
      <c r="G1894" s="13"/>
      <c r="H1894" s="13">
        <v>56.94</v>
      </c>
      <c r="I1894" s="13">
        <v>79.319999999999993</v>
      </c>
      <c r="J1894" s="13"/>
      <c r="K1894" s="13"/>
    </row>
    <row r="1895" spans="1:11" x14ac:dyDescent="0.25">
      <c r="A1895" s="10">
        <v>42573</v>
      </c>
      <c r="B1895" s="15">
        <f t="shared" si="58"/>
        <v>7</v>
      </c>
      <c r="C1895" s="15">
        <f t="shared" si="59"/>
        <v>2016</v>
      </c>
      <c r="D1895" s="13">
        <v>-1.65</v>
      </c>
      <c r="E1895" s="13">
        <v>11.710562289255446</v>
      </c>
      <c r="F1895" s="13">
        <v>14.67</v>
      </c>
      <c r="G1895" s="13"/>
      <c r="H1895" s="13">
        <v>56.94</v>
      </c>
      <c r="I1895" s="13">
        <v>79.319999999999993</v>
      </c>
      <c r="J1895" s="13"/>
      <c r="K1895" s="13"/>
    </row>
    <row r="1896" spans="1:11" x14ac:dyDescent="0.25">
      <c r="A1896" s="10">
        <v>42576</v>
      </c>
      <c r="B1896" s="15">
        <f t="shared" si="58"/>
        <v>7</v>
      </c>
      <c r="C1896" s="15">
        <f t="shared" si="59"/>
        <v>2016</v>
      </c>
      <c r="D1896" s="13">
        <v>11.72</v>
      </c>
      <c r="E1896" s="13">
        <v>27.088262056414923</v>
      </c>
      <c r="F1896" s="13">
        <v>26.72</v>
      </c>
      <c r="G1896" s="13"/>
      <c r="H1896" s="13">
        <v>66.739999999999995</v>
      </c>
      <c r="I1896" s="13">
        <v>78.44</v>
      </c>
      <c r="J1896" s="13"/>
      <c r="K1896" s="13"/>
    </row>
    <row r="1897" spans="1:11" x14ac:dyDescent="0.25">
      <c r="A1897" s="10">
        <v>42577</v>
      </c>
      <c r="B1897" s="15">
        <f t="shared" si="58"/>
        <v>7</v>
      </c>
      <c r="C1897" s="15">
        <f t="shared" si="59"/>
        <v>2016</v>
      </c>
      <c r="D1897" s="13">
        <v>11.72</v>
      </c>
      <c r="E1897" s="13">
        <v>27.098124886218823</v>
      </c>
      <c r="F1897" s="13">
        <v>26.72</v>
      </c>
      <c r="G1897" s="13"/>
      <c r="H1897" s="13">
        <v>66.739999999999995</v>
      </c>
      <c r="I1897" s="13">
        <v>78.44</v>
      </c>
      <c r="J1897" s="13"/>
      <c r="K1897" s="13"/>
    </row>
    <row r="1898" spans="1:11" x14ac:dyDescent="0.25">
      <c r="A1898" s="10">
        <v>42578</v>
      </c>
      <c r="B1898" s="15">
        <f t="shared" si="58"/>
        <v>7</v>
      </c>
      <c r="C1898" s="15">
        <f t="shared" si="59"/>
        <v>2016</v>
      </c>
      <c r="D1898" s="13">
        <v>11.72</v>
      </c>
      <c r="E1898" s="13">
        <v>26.928991406603348</v>
      </c>
      <c r="F1898" s="13">
        <v>26.72</v>
      </c>
      <c r="G1898" s="13"/>
      <c r="H1898" s="13">
        <v>66.739999999999995</v>
      </c>
      <c r="I1898" s="13">
        <v>78.44</v>
      </c>
      <c r="J1898" s="13"/>
      <c r="K1898" s="13"/>
    </row>
    <row r="1899" spans="1:11" x14ac:dyDescent="0.25">
      <c r="A1899" s="10">
        <v>42579</v>
      </c>
      <c r="B1899" s="15">
        <f t="shared" si="58"/>
        <v>7</v>
      </c>
      <c r="C1899" s="15">
        <f t="shared" si="59"/>
        <v>2016</v>
      </c>
      <c r="D1899" s="13">
        <v>11.72</v>
      </c>
      <c r="E1899" s="13">
        <v>26.882788513635543</v>
      </c>
      <c r="F1899" s="13">
        <v>26.72</v>
      </c>
      <c r="G1899" s="13"/>
      <c r="H1899" s="13">
        <v>66.739999999999995</v>
      </c>
      <c r="I1899" s="13">
        <v>78.44</v>
      </c>
      <c r="J1899" s="13"/>
      <c r="K1899" s="13"/>
    </row>
    <row r="1900" spans="1:11" x14ac:dyDescent="0.25">
      <c r="A1900" s="10">
        <v>42580</v>
      </c>
      <c r="B1900" s="15">
        <f t="shared" si="58"/>
        <v>7</v>
      </c>
      <c r="C1900" s="15">
        <f t="shared" si="59"/>
        <v>2016</v>
      </c>
      <c r="D1900" s="13">
        <v>11.72</v>
      </c>
      <c r="E1900" s="13">
        <v>26.651745747538047</v>
      </c>
      <c r="F1900" s="13">
        <v>26.72</v>
      </c>
      <c r="G1900" s="13"/>
      <c r="H1900" s="13">
        <v>66.739999999999995</v>
      </c>
      <c r="I1900" s="13">
        <v>78.44</v>
      </c>
      <c r="J1900" s="13"/>
      <c r="K1900" s="13"/>
    </row>
    <row r="1901" spans="1:11" x14ac:dyDescent="0.25">
      <c r="A1901" s="10">
        <v>42583</v>
      </c>
      <c r="B1901" s="15">
        <f t="shared" si="58"/>
        <v>8</v>
      </c>
      <c r="C1901" s="15">
        <f t="shared" si="59"/>
        <v>2016</v>
      </c>
      <c r="D1901" s="13">
        <v>-2.04</v>
      </c>
      <c r="E1901" s="13">
        <v>-21.086118827851962</v>
      </c>
      <c r="F1901" s="13">
        <v>3.97</v>
      </c>
      <c r="G1901" s="13"/>
      <c r="H1901" s="13">
        <v>47.35</v>
      </c>
      <c r="I1901" s="13">
        <v>64.459999999999994</v>
      </c>
      <c r="J1901" s="13"/>
      <c r="K1901" s="13"/>
    </row>
    <row r="1902" spans="1:11" x14ac:dyDescent="0.25">
      <c r="A1902" s="10">
        <v>42584</v>
      </c>
      <c r="B1902" s="15">
        <f t="shared" si="58"/>
        <v>8</v>
      </c>
      <c r="C1902" s="15">
        <f t="shared" si="59"/>
        <v>2016</v>
      </c>
      <c r="D1902" s="13">
        <v>-2.04</v>
      </c>
      <c r="E1902" s="13">
        <v>-20.962138084632517</v>
      </c>
      <c r="F1902" s="13">
        <v>3.97</v>
      </c>
      <c r="G1902" s="13"/>
      <c r="H1902" s="13">
        <v>47.35</v>
      </c>
      <c r="I1902" s="13">
        <v>64.459999999999994</v>
      </c>
      <c r="J1902" s="13"/>
      <c r="K1902" s="13"/>
    </row>
    <row r="1903" spans="1:11" x14ac:dyDescent="0.25">
      <c r="A1903" s="10">
        <v>42585</v>
      </c>
      <c r="B1903" s="15">
        <f t="shared" si="58"/>
        <v>8</v>
      </c>
      <c r="C1903" s="15">
        <f t="shared" si="59"/>
        <v>2016</v>
      </c>
      <c r="D1903" s="13">
        <v>-2.04</v>
      </c>
      <c r="E1903" s="13">
        <v>-21.108818516192699</v>
      </c>
      <c r="F1903" s="13">
        <v>3.97</v>
      </c>
      <c r="G1903" s="13"/>
      <c r="H1903" s="13">
        <v>47.35</v>
      </c>
      <c r="I1903" s="13">
        <v>64.459999999999994</v>
      </c>
      <c r="J1903" s="13"/>
      <c r="K1903" s="13"/>
    </row>
    <row r="1904" spans="1:11" x14ac:dyDescent="0.25">
      <c r="A1904" s="10">
        <v>42586</v>
      </c>
      <c r="B1904" s="15">
        <f t="shared" si="58"/>
        <v>8</v>
      </c>
      <c r="C1904" s="15">
        <f t="shared" si="59"/>
        <v>2016</v>
      </c>
      <c r="D1904" s="13">
        <v>-2.04</v>
      </c>
      <c r="E1904" s="13">
        <v>-21.144859813084114</v>
      </c>
      <c r="F1904" s="13">
        <v>3.97</v>
      </c>
      <c r="G1904" s="13"/>
      <c r="H1904" s="13">
        <v>47.35</v>
      </c>
      <c r="I1904" s="13">
        <v>64.459999999999994</v>
      </c>
      <c r="J1904" s="13"/>
      <c r="K1904" s="13"/>
    </row>
    <row r="1905" spans="1:11" x14ac:dyDescent="0.25">
      <c r="A1905" s="10">
        <v>42587</v>
      </c>
      <c r="B1905" s="15">
        <f t="shared" si="58"/>
        <v>8</v>
      </c>
      <c r="C1905" s="15">
        <f t="shared" si="59"/>
        <v>2016</v>
      </c>
      <c r="D1905" s="13">
        <v>-2.04</v>
      </c>
      <c r="E1905" s="13">
        <v>-21.226883175462337</v>
      </c>
      <c r="F1905" s="13">
        <v>3.97</v>
      </c>
      <c r="G1905" s="13"/>
      <c r="H1905" s="13">
        <v>47.35</v>
      </c>
      <c r="I1905" s="13">
        <v>64.459999999999994</v>
      </c>
      <c r="J1905" s="13"/>
      <c r="K1905" s="13"/>
    </row>
    <row r="1906" spans="1:11" x14ac:dyDescent="0.25">
      <c r="A1906" s="10">
        <v>42590</v>
      </c>
      <c r="B1906" s="15">
        <f t="shared" si="58"/>
        <v>8</v>
      </c>
      <c r="C1906" s="15">
        <f t="shared" si="59"/>
        <v>2016</v>
      </c>
      <c r="D1906" s="13">
        <v>-6.58</v>
      </c>
      <c r="E1906" s="13">
        <v>16.077547339945895</v>
      </c>
      <c r="F1906" s="13">
        <v>-5.08</v>
      </c>
      <c r="G1906" s="13"/>
      <c r="H1906" s="13">
        <v>46.24</v>
      </c>
      <c r="I1906" s="13">
        <v>67.45</v>
      </c>
      <c r="J1906" s="13"/>
      <c r="K1906" s="13"/>
    </row>
    <row r="1907" spans="1:11" x14ac:dyDescent="0.25">
      <c r="A1907" s="10">
        <v>42591</v>
      </c>
      <c r="B1907" s="15">
        <f t="shared" si="58"/>
        <v>8</v>
      </c>
      <c r="C1907" s="15">
        <f t="shared" si="59"/>
        <v>2016</v>
      </c>
      <c r="D1907" s="13">
        <v>-6.58</v>
      </c>
      <c r="E1907" s="13">
        <v>16.038499595214535</v>
      </c>
      <c r="F1907" s="13">
        <v>-5.08</v>
      </c>
      <c r="G1907" s="13"/>
      <c r="H1907" s="13">
        <v>46.24</v>
      </c>
      <c r="I1907" s="13">
        <v>67.45</v>
      </c>
      <c r="J1907" s="13"/>
      <c r="K1907" s="13"/>
    </row>
    <row r="1908" spans="1:11" x14ac:dyDescent="0.25">
      <c r="A1908" s="10">
        <v>42592</v>
      </c>
      <c r="B1908" s="15">
        <f t="shared" si="58"/>
        <v>8</v>
      </c>
      <c r="C1908" s="15">
        <f t="shared" si="59"/>
        <v>2016</v>
      </c>
      <c r="D1908" s="13">
        <v>-6.58</v>
      </c>
      <c r="E1908" s="13">
        <v>15.956685161983174</v>
      </c>
      <c r="F1908" s="13">
        <v>-5.08</v>
      </c>
      <c r="G1908" s="13"/>
      <c r="H1908" s="13">
        <v>46.24</v>
      </c>
      <c r="I1908" s="13">
        <v>67.45</v>
      </c>
      <c r="J1908" s="13"/>
      <c r="K1908" s="13"/>
    </row>
    <row r="1909" spans="1:11" x14ac:dyDescent="0.25">
      <c r="A1909" s="10">
        <v>42593</v>
      </c>
      <c r="B1909" s="15">
        <f t="shared" si="58"/>
        <v>8</v>
      </c>
      <c r="C1909" s="15">
        <f t="shared" si="59"/>
        <v>2016</v>
      </c>
      <c r="D1909" s="13">
        <v>-6.58</v>
      </c>
      <c r="E1909" s="13">
        <v>16.012572968118544</v>
      </c>
      <c r="F1909" s="13">
        <v>-5.08</v>
      </c>
      <c r="G1909" s="13"/>
      <c r="H1909" s="13">
        <v>46.24</v>
      </c>
      <c r="I1909" s="13">
        <v>67.45</v>
      </c>
      <c r="J1909" s="13"/>
      <c r="K1909" s="13"/>
    </row>
    <row r="1910" spans="1:11" x14ac:dyDescent="0.25">
      <c r="A1910" s="10">
        <v>42594</v>
      </c>
      <c r="B1910" s="15">
        <f t="shared" si="58"/>
        <v>8</v>
      </c>
      <c r="C1910" s="15">
        <f t="shared" si="59"/>
        <v>2016</v>
      </c>
      <c r="D1910" s="13">
        <v>-6.58</v>
      </c>
      <c r="E1910" s="13">
        <v>15.97956623050726</v>
      </c>
      <c r="F1910" s="13">
        <v>-5.08</v>
      </c>
      <c r="G1910" s="13"/>
      <c r="H1910" s="13">
        <v>46.24</v>
      </c>
      <c r="I1910" s="13">
        <v>67.45</v>
      </c>
      <c r="J1910" s="13"/>
      <c r="K1910" s="13"/>
    </row>
    <row r="1911" spans="1:11" x14ac:dyDescent="0.25">
      <c r="A1911" s="10">
        <v>42597</v>
      </c>
      <c r="B1911" s="15">
        <f t="shared" si="58"/>
        <v>8</v>
      </c>
      <c r="C1911" s="15">
        <f t="shared" si="59"/>
        <v>2016</v>
      </c>
      <c r="D1911" s="13">
        <v>-17.46</v>
      </c>
      <c r="E1911" s="13">
        <v>3.6036841634623982</v>
      </c>
      <c r="F1911" s="13">
        <v>-16.63</v>
      </c>
      <c r="G1911" s="13"/>
      <c r="H1911" s="13">
        <v>36.93</v>
      </c>
      <c r="I1911" s="13">
        <v>77.5</v>
      </c>
      <c r="J1911" s="13"/>
      <c r="K1911" s="13"/>
    </row>
    <row r="1912" spans="1:11" x14ac:dyDescent="0.25">
      <c r="A1912" s="10">
        <v>42598</v>
      </c>
      <c r="B1912" s="15">
        <f t="shared" si="58"/>
        <v>8</v>
      </c>
      <c r="C1912" s="15">
        <f t="shared" si="59"/>
        <v>2016</v>
      </c>
      <c r="D1912" s="13">
        <v>-17.46</v>
      </c>
      <c r="E1912" s="13">
        <v>3.5739623980134803</v>
      </c>
      <c r="F1912" s="13">
        <v>-16.63</v>
      </c>
      <c r="G1912" s="13"/>
      <c r="H1912" s="13">
        <v>36.93</v>
      </c>
      <c r="I1912" s="13">
        <v>77.5</v>
      </c>
      <c r="J1912" s="13"/>
      <c r="K1912" s="13"/>
    </row>
    <row r="1913" spans="1:11" x14ac:dyDescent="0.25">
      <c r="A1913" s="10">
        <v>42599</v>
      </c>
      <c r="B1913" s="15">
        <f t="shared" si="58"/>
        <v>8</v>
      </c>
      <c r="C1913" s="15">
        <f t="shared" si="59"/>
        <v>2016</v>
      </c>
      <c r="D1913" s="13">
        <v>-17.46</v>
      </c>
      <c r="E1913" s="13">
        <v>3.5707956760588342</v>
      </c>
      <c r="F1913" s="13">
        <v>-16.63</v>
      </c>
      <c r="G1913" s="13"/>
      <c r="H1913" s="13">
        <v>36.93</v>
      </c>
      <c r="I1913" s="13">
        <v>77.5</v>
      </c>
      <c r="J1913" s="13"/>
      <c r="K1913" s="13"/>
    </row>
    <row r="1914" spans="1:11" x14ac:dyDescent="0.25">
      <c r="A1914" s="10">
        <v>42600</v>
      </c>
      <c r="B1914" s="15">
        <f t="shared" si="58"/>
        <v>8</v>
      </c>
      <c r="C1914" s="15">
        <f t="shared" si="59"/>
        <v>2016</v>
      </c>
      <c r="D1914" s="13">
        <v>-17.46</v>
      </c>
      <c r="E1914" s="13">
        <v>3.5500352360817478</v>
      </c>
      <c r="F1914" s="13">
        <v>-16.63</v>
      </c>
      <c r="G1914" s="13"/>
      <c r="H1914" s="13">
        <v>36.93</v>
      </c>
      <c r="I1914" s="13">
        <v>77.5</v>
      </c>
      <c r="J1914" s="13"/>
      <c r="K1914" s="13"/>
    </row>
    <row r="1915" spans="1:11" x14ac:dyDescent="0.25">
      <c r="A1915" s="10">
        <v>42601</v>
      </c>
      <c r="B1915" s="15">
        <f t="shared" si="58"/>
        <v>8</v>
      </c>
      <c r="C1915" s="15">
        <f t="shared" si="59"/>
        <v>2016</v>
      </c>
      <c r="D1915" s="13">
        <v>-17.46</v>
      </c>
      <c r="E1915" s="13">
        <v>3.5584988962472406</v>
      </c>
      <c r="F1915" s="13">
        <v>-16.63</v>
      </c>
      <c r="G1915" s="13"/>
      <c r="H1915" s="13">
        <v>36.93</v>
      </c>
      <c r="I1915" s="13">
        <v>77.5</v>
      </c>
      <c r="J1915" s="13"/>
      <c r="K1915" s="13"/>
    </row>
    <row r="1916" spans="1:11" x14ac:dyDescent="0.25">
      <c r="A1916" s="10">
        <v>42604</v>
      </c>
      <c r="B1916" s="15">
        <f t="shared" si="58"/>
        <v>8</v>
      </c>
      <c r="C1916" s="15">
        <f t="shared" si="59"/>
        <v>2016</v>
      </c>
      <c r="D1916" s="13">
        <v>-25.94</v>
      </c>
      <c r="E1916" s="13">
        <v>8.1219619973486523</v>
      </c>
      <c r="F1916" s="13">
        <v>-23.27</v>
      </c>
      <c r="G1916" s="13"/>
      <c r="H1916" s="13">
        <v>27.11</v>
      </c>
      <c r="I1916" s="13">
        <v>32.29</v>
      </c>
      <c r="J1916" s="13"/>
      <c r="K1916" s="13"/>
    </row>
    <row r="1917" spans="1:11" x14ac:dyDescent="0.25">
      <c r="A1917" s="10">
        <v>42605</v>
      </c>
      <c r="B1917" s="15">
        <f t="shared" si="58"/>
        <v>8</v>
      </c>
      <c r="C1917" s="15">
        <f t="shared" si="59"/>
        <v>2016</v>
      </c>
      <c r="D1917" s="13">
        <v>-25.94</v>
      </c>
      <c r="E1917" s="13">
        <v>8.1305848004954431</v>
      </c>
      <c r="F1917" s="13">
        <v>-23.27</v>
      </c>
      <c r="G1917" s="13"/>
      <c r="H1917" s="13">
        <v>27.11</v>
      </c>
      <c r="I1917" s="13">
        <v>32.29</v>
      </c>
      <c r="J1917" s="13"/>
      <c r="K1917" s="13"/>
    </row>
    <row r="1918" spans="1:11" x14ac:dyDescent="0.25">
      <c r="A1918" s="10">
        <v>42606</v>
      </c>
      <c r="B1918" s="15">
        <f t="shared" si="58"/>
        <v>8</v>
      </c>
      <c r="C1918" s="15">
        <f t="shared" si="59"/>
        <v>2016</v>
      </c>
      <c r="D1918" s="13">
        <v>-25.94</v>
      </c>
      <c r="E1918" s="13">
        <v>8.1609093330965266</v>
      </c>
      <c r="F1918" s="13">
        <v>-23.27</v>
      </c>
      <c r="G1918" s="13"/>
      <c r="H1918" s="13">
        <v>27.11</v>
      </c>
      <c r="I1918" s="13">
        <v>32.29</v>
      </c>
      <c r="J1918" s="13"/>
      <c r="K1918" s="13"/>
    </row>
    <row r="1919" spans="1:11" x14ac:dyDescent="0.25">
      <c r="A1919" s="10">
        <v>42607</v>
      </c>
      <c r="B1919" s="15">
        <f t="shared" si="58"/>
        <v>8</v>
      </c>
      <c r="C1919" s="15">
        <f t="shared" si="59"/>
        <v>2016</v>
      </c>
      <c r="D1919" s="13">
        <v>-25.94</v>
      </c>
      <c r="E1919" s="13">
        <v>8.1478854508378404</v>
      </c>
      <c r="F1919" s="13">
        <v>-23.27</v>
      </c>
      <c r="G1919" s="13"/>
      <c r="H1919" s="13">
        <v>27.11</v>
      </c>
      <c r="I1919" s="13">
        <v>32.29</v>
      </c>
      <c r="J1919" s="13"/>
      <c r="K1919" s="13"/>
    </row>
    <row r="1920" spans="1:11" x14ac:dyDescent="0.25">
      <c r="A1920" s="10">
        <v>42608</v>
      </c>
      <c r="B1920" s="15">
        <f t="shared" si="58"/>
        <v>8</v>
      </c>
      <c r="C1920" s="15">
        <f t="shared" si="59"/>
        <v>2016</v>
      </c>
      <c r="D1920" s="13">
        <v>-25.94</v>
      </c>
      <c r="E1920" s="13">
        <v>8.209021884769987</v>
      </c>
      <c r="F1920" s="13">
        <v>-23.27</v>
      </c>
      <c r="G1920" s="13"/>
      <c r="H1920" s="13">
        <v>27.11</v>
      </c>
      <c r="I1920" s="13">
        <v>32.29</v>
      </c>
      <c r="J1920" s="13"/>
      <c r="K1920" s="13"/>
    </row>
    <row r="1921" spans="1:11" x14ac:dyDescent="0.25">
      <c r="A1921" s="10">
        <v>42611</v>
      </c>
      <c r="B1921" s="15">
        <f t="shared" si="58"/>
        <v>8</v>
      </c>
      <c r="C1921" s="15">
        <f t="shared" si="59"/>
        <v>2016</v>
      </c>
      <c r="D1921" s="13">
        <v>-29.59</v>
      </c>
      <c r="E1921" s="13">
        <v>27.475867000357525</v>
      </c>
      <c r="F1921" s="13">
        <v>-25.33</v>
      </c>
      <c r="G1921" s="13"/>
      <c r="H1921" s="13">
        <v>20.04</v>
      </c>
      <c r="I1921" s="13">
        <v>811.29</v>
      </c>
      <c r="J1921" s="13"/>
      <c r="K1921" s="13"/>
    </row>
    <row r="1922" spans="1:11" x14ac:dyDescent="0.25">
      <c r="A1922" s="10">
        <v>42612</v>
      </c>
      <c r="B1922" s="15">
        <f t="shared" si="58"/>
        <v>8</v>
      </c>
      <c r="C1922" s="15">
        <f t="shared" si="59"/>
        <v>2016</v>
      </c>
      <c r="D1922" s="13">
        <v>-29.59</v>
      </c>
      <c r="E1922" s="13">
        <v>27.591778116865626</v>
      </c>
      <c r="F1922" s="13">
        <v>-25.33</v>
      </c>
      <c r="G1922" s="13"/>
      <c r="H1922" s="13">
        <v>20.04</v>
      </c>
      <c r="I1922" s="13">
        <v>811.29</v>
      </c>
      <c r="J1922" s="13"/>
      <c r="K1922" s="13"/>
    </row>
    <row r="1923" spans="1:11" x14ac:dyDescent="0.25">
      <c r="A1923" s="10">
        <v>42613</v>
      </c>
      <c r="B1923" s="15">
        <f t="shared" ref="B1923:B1986" si="60">MONTH(A1923)</f>
        <v>8</v>
      </c>
      <c r="C1923" s="15">
        <f t="shared" ref="C1923:C1986" si="61">YEAR(A1923)</f>
        <v>2016</v>
      </c>
      <c r="D1923" s="13">
        <v>-29.59</v>
      </c>
      <c r="E1923" s="13">
        <v>27.554679096450339</v>
      </c>
      <c r="F1923" s="13">
        <v>-25.33</v>
      </c>
      <c r="G1923" s="13"/>
      <c r="H1923" s="13">
        <v>20.04</v>
      </c>
      <c r="I1923" s="13">
        <v>811.29</v>
      </c>
      <c r="J1923" s="13"/>
      <c r="K1923" s="13"/>
    </row>
    <row r="1924" spans="1:11" x14ac:dyDescent="0.25">
      <c r="A1924" s="10">
        <v>42614</v>
      </c>
      <c r="B1924" s="15">
        <f t="shared" si="60"/>
        <v>9</v>
      </c>
      <c r="C1924" s="15">
        <f t="shared" si="61"/>
        <v>2016</v>
      </c>
      <c r="D1924" s="13">
        <v>-29.59</v>
      </c>
      <c r="E1924" s="13">
        <v>27.45623436941765</v>
      </c>
      <c r="F1924" s="13">
        <v>-25.33</v>
      </c>
      <c r="G1924" s="13"/>
      <c r="H1924" s="13">
        <v>20.04</v>
      </c>
      <c r="I1924" s="13">
        <v>811.29</v>
      </c>
      <c r="J1924" s="13"/>
      <c r="K1924" s="13"/>
    </row>
    <row r="1925" spans="1:11" x14ac:dyDescent="0.25">
      <c r="A1925" s="10">
        <v>42615</v>
      </c>
      <c r="B1925" s="15">
        <f t="shared" si="60"/>
        <v>9</v>
      </c>
      <c r="C1925" s="15">
        <f t="shared" si="61"/>
        <v>2016</v>
      </c>
      <c r="D1925" s="13">
        <v>-29.59</v>
      </c>
      <c r="E1925" s="13">
        <v>27.562090917241996</v>
      </c>
      <c r="F1925" s="13">
        <v>-25.33</v>
      </c>
      <c r="G1925" s="13"/>
      <c r="H1925" s="13">
        <v>20.04</v>
      </c>
      <c r="I1925" s="13">
        <v>811.29</v>
      </c>
      <c r="J1925" s="13"/>
      <c r="K1925" s="13"/>
    </row>
    <row r="1926" spans="1:11" x14ac:dyDescent="0.25">
      <c r="A1926" s="10">
        <v>42619</v>
      </c>
      <c r="B1926" s="15">
        <f t="shared" si="60"/>
        <v>9</v>
      </c>
      <c r="C1926" s="15">
        <f t="shared" si="61"/>
        <v>2016</v>
      </c>
      <c r="D1926" s="13">
        <v>-24.94</v>
      </c>
      <c r="E1926" s="13">
        <v>28.759331674369001</v>
      </c>
      <c r="F1926" s="13">
        <v>-22.22</v>
      </c>
      <c r="G1926" s="13"/>
      <c r="H1926" s="13">
        <v>27.42</v>
      </c>
      <c r="I1926" s="13">
        <v>43.1</v>
      </c>
      <c r="J1926" s="13"/>
      <c r="K1926" s="13"/>
    </row>
    <row r="1927" spans="1:11" x14ac:dyDescent="0.25">
      <c r="A1927" s="10">
        <v>42620</v>
      </c>
      <c r="B1927" s="15">
        <f t="shared" si="60"/>
        <v>9</v>
      </c>
      <c r="C1927" s="15">
        <f t="shared" si="61"/>
        <v>2016</v>
      </c>
      <c r="D1927" s="13">
        <v>-24.94</v>
      </c>
      <c r="E1927" s="13">
        <v>28.797721811871497</v>
      </c>
      <c r="F1927" s="13">
        <v>-22.22</v>
      </c>
      <c r="G1927" s="13"/>
      <c r="H1927" s="13">
        <v>27.42</v>
      </c>
      <c r="I1927" s="13">
        <v>43.1</v>
      </c>
      <c r="J1927" s="13"/>
      <c r="K1927" s="13"/>
    </row>
    <row r="1928" spans="1:11" x14ac:dyDescent="0.25">
      <c r="A1928" s="10">
        <v>42621</v>
      </c>
      <c r="B1928" s="15">
        <f t="shared" si="60"/>
        <v>9</v>
      </c>
      <c r="C1928" s="15">
        <f t="shared" si="61"/>
        <v>2016</v>
      </c>
      <c r="D1928" s="13">
        <v>-24.94</v>
      </c>
      <c r="E1928" s="13">
        <v>28.74400426363475</v>
      </c>
      <c r="F1928" s="13">
        <v>-22.22</v>
      </c>
      <c r="G1928" s="13"/>
      <c r="H1928" s="13">
        <v>27.42</v>
      </c>
      <c r="I1928" s="13">
        <v>43.1</v>
      </c>
      <c r="J1928" s="13"/>
      <c r="K1928" s="13"/>
    </row>
    <row r="1929" spans="1:11" x14ac:dyDescent="0.25">
      <c r="A1929" s="10">
        <v>42622</v>
      </c>
      <c r="B1929" s="15">
        <f t="shared" si="60"/>
        <v>9</v>
      </c>
      <c r="C1929" s="15">
        <f t="shared" si="61"/>
        <v>2016</v>
      </c>
      <c r="D1929" s="13">
        <v>-24.94</v>
      </c>
      <c r="E1929" s="13">
        <v>28.818238489625077</v>
      </c>
      <c r="F1929" s="13">
        <v>-22.22</v>
      </c>
      <c r="G1929" s="13"/>
      <c r="H1929" s="13">
        <v>27.42</v>
      </c>
      <c r="I1929" s="13">
        <v>43.1</v>
      </c>
      <c r="J1929" s="13"/>
      <c r="K1929" s="13"/>
    </row>
    <row r="1930" spans="1:11" x14ac:dyDescent="0.25">
      <c r="A1930" s="10">
        <v>42625</v>
      </c>
      <c r="B1930" s="15">
        <f t="shared" si="60"/>
        <v>9</v>
      </c>
      <c r="C1930" s="15">
        <f t="shared" si="61"/>
        <v>2016</v>
      </c>
      <c r="D1930" s="13">
        <v>-24.46</v>
      </c>
      <c r="E1930" s="13">
        <v>24.848646723646723</v>
      </c>
      <c r="F1930" s="13">
        <v>-34.18</v>
      </c>
      <c r="G1930" s="13"/>
      <c r="H1930" s="13">
        <v>20.03</v>
      </c>
      <c r="I1930" s="13">
        <v>3.85</v>
      </c>
      <c r="J1930" s="13"/>
      <c r="K1930" s="13"/>
    </row>
    <row r="1931" spans="1:11" x14ac:dyDescent="0.25">
      <c r="A1931" s="10">
        <v>42626</v>
      </c>
      <c r="B1931" s="15">
        <f t="shared" si="60"/>
        <v>9</v>
      </c>
      <c r="C1931" s="15">
        <f t="shared" si="61"/>
        <v>2016</v>
      </c>
      <c r="D1931" s="13">
        <v>-24.46</v>
      </c>
      <c r="E1931" s="13">
        <v>24.881875724346976</v>
      </c>
      <c r="F1931" s="13">
        <v>-34.18</v>
      </c>
      <c r="G1931" s="13"/>
      <c r="H1931" s="13">
        <v>20.03</v>
      </c>
      <c r="I1931" s="13">
        <v>3.85</v>
      </c>
      <c r="J1931" s="13"/>
      <c r="K1931" s="13"/>
    </row>
    <row r="1932" spans="1:11" x14ac:dyDescent="0.25">
      <c r="A1932" s="10">
        <v>42627</v>
      </c>
      <c r="B1932" s="15">
        <f t="shared" si="60"/>
        <v>9</v>
      </c>
      <c r="C1932" s="15">
        <f t="shared" si="61"/>
        <v>2016</v>
      </c>
      <c r="D1932" s="13">
        <v>-24.46</v>
      </c>
      <c r="E1932" s="13">
        <v>24.811094319495066</v>
      </c>
      <c r="F1932" s="13">
        <v>-34.18</v>
      </c>
      <c r="G1932" s="13"/>
      <c r="H1932" s="13">
        <v>20.03</v>
      </c>
      <c r="I1932" s="13">
        <v>3.85</v>
      </c>
      <c r="J1932" s="13"/>
      <c r="K1932" s="13"/>
    </row>
    <row r="1933" spans="1:11" x14ac:dyDescent="0.25">
      <c r="A1933" s="10">
        <v>42628</v>
      </c>
      <c r="B1933" s="15">
        <f t="shared" si="60"/>
        <v>9</v>
      </c>
      <c r="C1933" s="15">
        <f t="shared" si="61"/>
        <v>2016</v>
      </c>
      <c r="D1933" s="13">
        <v>-24.46</v>
      </c>
      <c r="E1933" s="13">
        <v>24.828751890401207</v>
      </c>
      <c r="F1933" s="13">
        <v>-34.18</v>
      </c>
      <c r="G1933" s="13"/>
      <c r="H1933" s="13">
        <v>20.03</v>
      </c>
      <c r="I1933" s="13">
        <v>3.85</v>
      </c>
      <c r="J1933" s="13"/>
      <c r="K1933" s="13"/>
    </row>
    <row r="1934" spans="1:11" x14ac:dyDescent="0.25">
      <c r="A1934" s="10">
        <v>42629</v>
      </c>
      <c r="B1934" s="15">
        <f t="shared" si="60"/>
        <v>9</v>
      </c>
      <c r="C1934" s="15">
        <f t="shared" si="61"/>
        <v>2016</v>
      </c>
      <c r="D1934" s="13">
        <v>-24.46</v>
      </c>
      <c r="E1934" s="13">
        <v>25.024657042948085</v>
      </c>
      <c r="F1934" s="13">
        <v>-34.18</v>
      </c>
      <c r="G1934" s="13"/>
      <c r="H1934" s="13">
        <v>20.03</v>
      </c>
      <c r="I1934" s="13">
        <v>3.85</v>
      </c>
      <c r="J1934" s="13"/>
      <c r="K1934" s="13"/>
    </row>
    <row r="1935" spans="1:11" x14ac:dyDescent="0.25">
      <c r="A1935" s="10">
        <v>42632</v>
      </c>
      <c r="B1935" s="15">
        <f t="shared" si="60"/>
        <v>9</v>
      </c>
      <c r="C1935" s="15">
        <f t="shared" si="61"/>
        <v>2016</v>
      </c>
      <c r="D1935" s="13">
        <v>-46.09</v>
      </c>
      <c r="E1935" s="13">
        <v>16.530922760225543</v>
      </c>
      <c r="F1935" s="13">
        <v>-51.67</v>
      </c>
      <c r="G1935" s="13"/>
      <c r="H1935" s="13">
        <v>5.47</v>
      </c>
      <c r="I1935" s="13">
        <v>14.28</v>
      </c>
      <c r="J1935" s="13"/>
      <c r="K1935" s="13"/>
    </row>
    <row r="1936" spans="1:11" x14ac:dyDescent="0.25">
      <c r="A1936" s="10">
        <v>42633</v>
      </c>
      <c r="B1936" s="15">
        <f t="shared" si="60"/>
        <v>9</v>
      </c>
      <c r="C1936" s="15">
        <f t="shared" si="61"/>
        <v>2016</v>
      </c>
      <c r="D1936" s="13">
        <v>-46.09</v>
      </c>
      <c r="E1936" s="13">
        <v>16.562051649928264</v>
      </c>
      <c r="F1936" s="13">
        <v>-51.67</v>
      </c>
      <c r="G1936" s="13"/>
      <c r="H1936" s="13">
        <v>5.47</v>
      </c>
      <c r="I1936" s="13">
        <v>14.28</v>
      </c>
      <c r="J1936" s="13"/>
      <c r="K1936" s="13"/>
    </row>
    <row r="1937" spans="1:11" x14ac:dyDescent="0.25">
      <c r="A1937" s="10">
        <v>42634</v>
      </c>
      <c r="B1937" s="15">
        <f t="shared" si="60"/>
        <v>9</v>
      </c>
      <c r="C1937" s="15">
        <f t="shared" si="61"/>
        <v>2016</v>
      </c>
      <c r="D1937" s="13">
        <v>-46.09</v>
      </c>
      <c r="E1937" s="13">
        <v>16.513187304425568</v>
      </c>
      <c r="F1937" s="13">
        <v>-51.67</v>
      </c>
      <c r="G1937" s="13"/>
      <c r="H1937" s="13">
        <v>5.47</v>
      </c>
      <c r="I1937" s="13">
        <v>14.28</v>
      </c>
      <c r="J1937" s="13"/>
      <c r="K1937" s="13"/>
    </row>
    <row r="1938" spans="1:11" x14ac:dyDescent="0.25">
      <c r="A1938" s="10">
        <v>42635</v>
      </c>
      <c r="B1938" s="15">
        <f t="shared" si="60"/>
        <v>9</v>
      </c>
      <c r="C1938" s="15">
        <f t="shared" si="61"/>
        <v>2016</v>
      </c>
      <c r="D1938" s="13">
        <v>-46.09</v>
      </c>
      <c r="E1938" s="13">
        <v>16.48077094672972</v>
      </c>
      <c r="F1938" s="13">
        <v>-51.67</v>
      </c>
      <c r="G1938" s="13"/>
      <c r="H1938" s="13">
        <v>5.47</v>
      </c>
      <c r="I1938" s="13">
        <v>14.28</v>
      </c>
      <c r="J1938" s="13"/>
      <c r="K1938" s="13"/>
    </row>
    <row r="1939" spans="1:11" x14ac:dyDescent="0.25">
      <c r="A1939" s="10">
        <v>42636</v>
      </c>
      <c r="B1939" s="15">
        <f t="shared" si="60"/>
        <v>9</v>
      </c>
      <c r="C1939" s="15">
        <f t="shared" si="61"/>
        <v>2016</v>
      </c>
      <c r="D1939" s="13">
        <v>-46.09</v>
      </c>
      <c r="E1939" s="13">
        <v>16.458741757262519</v>
      </c>
      <c r="F1939" s="13">
        <v>-51.67</v>
      </c>
      <c r="G1939" s="13"/>
      <c r="H1939" s="13">
        <v>5.47</v>
      </c>
      <c r="I1939" s="13">
        <v>14.28</v>
      </c>
      <c r="J1939" s="13"/>
      <c r="K1939" s="13"/>
    </row>
    <row r="1940" spans="1:11" x14ac:dyDescent="0.25">
      <c r="A1940" s="10">
        <v>42639</v>
      </c>
      <c r="B1940" s="15">
        <f t="shared" si="60"/>
        <v>9</v>
      </c>
      <c r="C1940" s="15">
        <f t="shared" si="61"/>
        <v>2016</v>
      </c>
      <c r="D1940" s="13">
        <v>-44.94</v>
      </c>
      <c r="E1940" s="13">
        <v>-5.785123966942149</v>
      </c>
      <c r="F1940" s="13">
        <v>-53.3</v>
      </c>
      <c r="G1940" s="13"/>
      <c r="H1940" s="13">
        <v>7.02</v>
      </c>
      <c r="I1940" s="13">
        <v>15.14</v>
      </c>
      <c r="J1940" s="13"/>
      <c r="K1940" s="13"/>
    </row>
    <row r="1941" spans="1:11" x14ac:dyDescent="0.25">
      <c r="A1941" s="10">
        <v>42640</v>
      </c>
      <c r="B1941" s="15">
        <f t="shared" si="60"/>
        <v>9</v>
      </c>
      <c r="C1941" s="15">
        <f t="shared" si="61"/>
        <v>2016</v>
      </c>
      <c r="D1941" s="13">
        <v>-44.94</v>
      </c>
      <c r="E1941" s="13">
        <v>-5.8057611700704541</v>
      </c>
      <c r="F1941" s="13">
        <v>-53.3</v>
      </c>
      <c r="G1941" s="13"/>
      <c r="H1941" s="13">
        <v>7.02</v>
      </c>
      <c r="I1941" s="13">
        <v>15.14</v>
      </c>
      <c r="J1941" s="13"/>
      <c r="K1941" s="13"/>
    </row>
    <row r="1942" spans="1:11" x14ac:dyDescent="0.25">
      <c r="A1942" s="10">
        <v>42641</v>
      </c>
      <c r="B1942" s="15">
        <f t="shared" si="60"/>
        <v>9</v>
      </c>
      <c r="C1942" s="15">
        <f t="shared" si="61"/>
        <v>2016</v>
      </c>
      <c r="D1942" s="13">
        <v>-44.94</v>
      </c>
      <c r="E1942" s="13">
        <v>-5.8052434456928843</v>
      </c>
      <c r="F1942" s="13">
        <v>-53.3</v>
      </c>
      <c r="G1942" s="13"/>
      <c r="H1942" s="13">
        <v>7.02</v>
      </c>
      <c r="I1942" s="13">
        <v>15.14</v>
      </c>
      <c r="J1942" s="13"/>
      <c r="K1942" s="13"/>
    </row>
    <row r="1943" spans="1:11" x14ac:dyDescent="0.25">
      <c r="A1943" s="10">
        <v>42642</v>
      </c>
      <c r="B1943" s="15">
        <f t="shared" si="60"/>
        <v>9</v>
      </c>
      <c r="C1943" s="15">
        <f t="shared" si="61"/>
        <v>2016</v>
      </c>
      <c r="D1943" s="13">
        <v>-44.94</v>
      </c>
      <c r="E1943" s="13">
        <v>-5.801621958827198</v>
      </c>
      <c r="F1943" s="13">
        <v>-53.3</v>
      </c>
      <c r="G1943" s="13"/>
      <c r="H1943" s="13">
        <v>7.02</v>
      </c>
      <c r="I1943" s="13">
        <v>15.14</v>
      </c>
      <c r="J1943" s="13"/>
      <c r="K1943" s="13"/>
    </row>
    <row r="1944" spans="1:11" x14ac:dyDescent="0.25">
      <c r="A1944" s="10">
        <v>42643</v>
      </c>
      <c r="B1944" s="15">
        <f t="shared" si="60"/>
        <v>9</v>
      </c>
      <c r="C1944" s="15">
        <f t="shared" si="61"/>
        <v>2016</v>
      </c>
      <c r="D1944" s="13">
        <v>-44.94</v>
      </c>
      <c r="E1944" s="13">
        <v>-5.7928457020822215</v>
      </c>
      <c r="F1944" s="13">
        <v>-53.3</v>
      </c>
      <c r="G1944" s="13"/>
      <c r="H1944" s="13">
        <v>7.02</v>
      </c>
      <c r="I1944" s="13">
        <v>15.14</v>
      </c>
      <c r="J1944" s="13"/>
      <c r="K1944" s="13"/>
    </row>
    <row r="1945" spans="1:11" x14ac:dyDescent="0.25">
      <c r="A1945" s="10">
        <v>42646</v>
      </c>
      <c r="B1945" s="15">
        <f t="shared" si="60"/>
        <v>10</v>
      </c>
      <c r="C1945" s="15">
        <f t="shared" si="61"/>
        <v>2016</v>
      </c>
      <c r="D1945" s="13">
        <v>-36.53</v>
      </c>
      <c r="E1945" s="13">
        <v>11.392630921580873</v>
      </c>
      <c r="F1945" s="13">
        <v>-44.32</v>
      </c>
      <c r="G1945" s="13"/>
      <c r="H1945" s="13">
        <v>11.44</v>
      </c>
      <c r="I1945" s="13">
        <v>19.22</v>
      </c>
      <c r="J1945" s="13"/>
      <c r="K1945" s="13"/>
    </row>
    <row r="1946" spans="1:11" x14ac:dyDescent="0.25">
      <c r="A1946" s="10">
        <v>42647</v>
      </c>
      <c r="B1946" s="15">
        <f t="shared" si="60"/>
        <v>10</v>
      </c>
      <c r="C1946" s="15">
        <f t="shared" si="61"/>
        <v>2016</v>
      </c>
      <c r="D1946" s="13">
        <v>-36.53</v>
      </c>
      <c r="E1946" s="13">
        <v>11.399750044634885</v>
      </c>
      <c r="F1946" s="13">
        <v>-44.32</v>
      </c>
      <c r="G1946" s="13"/>
      <c r="H1946" s="13">
        <v>11.44</v>
      </c>
      <c r="I1946" s="13">
        <v>19.22</v>
      </c>
      <c r="J1946" s="13"/>
      <c r="K1946" s="13"/>
    </row>
    <row r="1947" spans="1:11" x14ac:dyDescent="0.25">
      <c r="A1947" s="10">
        <v>42648</v>
      </c>
      <c r="B1947" s="15">
        <f t="shared" si="60"/>
        <v>10</v>
      </c>
      <c r="C1947" s="15">
        <f t="shared" si="61"/>
        <v>2016</v>
      </c>
      <c r="D1947" s="13">
        <v>-36.53</v>
      </c>
      <c r="E1947" s="13">
        <v>11.399750044634885</v>
      </c>
      <c r="F1947" s="13">
        <v>-44.32</v>
      </c>
      <c r="G1947" s="13"/>
      <c r="H1947" s="13">
        <v>11.44</v>
      </c>
      <c r="I1947" s="13">
        <v>19.22</v>
      </c>
      <c r="J1947" s="13"/>
      <c r="K1947" s="13"/>
    </row>
    <row r="1948" spans="1:11" x14ac:dyDescent="0.25">
      <c r="A1948" s="10">
        <v>42649</v>
      </c>
      <c r="B1948" s="15">
        <f t="shared" si="60"/>
        <v>10</v>
      </c>
      <c r="C1948" s="15">
        <f t="shared" si="61"/>
        <v>2016</v>
      </c>
      <c r="D1948" s="13">
        <v>-36.53</v>
      </c>
      <c r="E1948" s="13">
        <v>11.453942057583639</v>
      </c>
      <c r="F1948" s="13">
        <v>-44.32</v>
      </c>
      <c r="G1948" s="13"/>
      <c r="H1948" s="13">
        <v>11.44</v>
      </c>
      <c r="I1948" s="13">
        <v>19.22</v>
      </c>
      <c r="J1948" s="13"/>
      <c r="K1948" s="13"/>
    </row>
    <row r="1949" spans="1:11" x14ac:dyDescent="0.25">
      <c r="A1949" s="10">
        <v>42650</v>
      </c>
      <c r="B1949" s="15">
        <f t="shared" si="60"/>
        <v>10</v>
      </c>
      <c r="C1949" s="15">
        <f t="shared" si="61"/>
        <v>2016</v>
      </c>
      <c r="D1949" s="13">
        <v>-36.53</v>
      </c>
      <c r="E1949" s="13">
        <v>11.402803821769801</v>
      </c>
      <c r="F1949" s="13">
        <v>-44.32</v>
      </c>
      <c r="G1949" s="13"/>
      <c r="H1949" s="13">
        <v>11.44</v>
      </c>
      <c r="I1949" s="13">
        <v>19.22</v>
      </c>
      <c r="J1949" s="13"/>
      <c r="K1949" s="13"/>
    </row>
    <row r="1950" spans="1:11" x14ac:dyDescent="0.25">
      <c r="A1950" s="10">
        <v>42653</v>
      </c>
      <c r="B1950" s="15">
        <f t="shared" si="60"/>
        <v>10</v>
      </c>
      <c r="C1950" s="15">
        <f t="shared" si="61"/>
        <v>2016</v>
      </c>
      <c r="D1950" s="13">
        <v>-21.5</v>
      </c>
      <c r="E1950" s="13">
        <v>14.968124270449854</v>
      </c>
      <c r="F1950" s="13">
        <v>-31.38</v>
      </c>
      <c r="G1950" s="13"/>
      <c r="H1950" s="13">
        <v>26.96</v>
      </c>
      <c r="I1950" s="13">
        <v>30.46</v>
      </c>
      <c r="J1950" s="13"/>
      <c r="K1950" s="13"/>
    </row>
    <row r="1951" spans="1:11" x14ac:dyDescent="0.25">
      <c r="A1951" s="10">
        <v>42654</v>
      </c>
      <c r="B1951" s="15">
        <f t="shared" si="60"/>
        <v>10</v>
      </c>
      <c r="C1951" s="15">
        <f t="shared" si="61"/>
        <v>2016</v>
      </c>
      <c r="D1951" s="13">
        <v>-21.5</v>
      </c>
      <c r="E1951" s="13">
        <v>15.081878223106852</v>
      </c>
      <c r="F1951" s="13">
        <v>-31.38</v>
      </c>
      <c r="G1951" s="13"/>
      <c r="H1951" s="13">
        <v>26.96</v>
      </c>
      <c r="I1951" s="13">
        <v>30.46</v>
      </c>
      <c r="J1951" s="13"/>
      <c r="K1951" s="13"/>
    </row>
    <row r="1952" spans="1:11" x14ac:dyDescent="0.25">
      <c r="A1952" s="10">
        <v>42655</v>
      </c>
      <c r="B1952" s="15">
        <f t="shared" si="60"/>
        <v>10</v>
      </c>
      <c r="C1952" s="15">
        <f t="shared" si="61"/>
        <v>2016</v>
      </c>
      <c r="D1952" s="13">
        <v>-21.5</v>
      </c>
      <c r="E1952" s="13">
        <v>15.146283845175359</v>
      </c>
      <c r="F1952" s="13">
        <v>-31.38</v>
      </c>
      <c r="G1952" s="13"/>
      <c r="H1952" s="13">
        <v>26.96</v>
      </c>
      <c r="I1952" s="13">
        <v>30.46</v>
      </c>
      <c r="J1952" s="13"/>
      <c r="K1952" s="13"/>
    </row>
    <row r="1953" spans="1:11" x14ac:dyDescent="0.25">
      <c r="A1953" s="10">
        <v>42656</v>
      </c>
      <c r="B1953" s="15">
        <f t="shared" si="60"/>
        <v>10</v>
      </c>
      <c r="C1953" s="15">
        <f t="shared" si="61"/>
        <v>2016</v>
      </c>
      <c r="D1953" s="13">
        <v>-21.5</v>
      </c>
      <c r="E1953" s="13">
        <v>15.077785817655574</v>
      </c>
      <c r="F1953" s="13">
        <v>-31.38</v>
      </c>
      <c r="G1953" s="13"/>
      <c r="H1953" s="13">
        <v>26.96</v>
      </c>
      <c r="I1953" s="13">
        <v>30.46</v>
      </c>
      <c r="J1953" s="13"/>
      <c r="K1953" s="13"/>
    </row>
    <row r="1954" spans="1:11" x14ac:dyDescent="0.25">
      <c r="A1954" s="10">
        <v>42657</v>
      </c>
      <c r="B1954" s="15">
        <f t="shared" si="60"/>
        <v>10</v>
      </c>
      <c r="C1954" s="15">
        <f t="shared" si="61"/>
        <v>2016</v>
      </c>
      <c r="D1954" s="13">
        <v>-21.5</v>
      </c>
      <c r="E1954" s="13">
        <v>15.197374418816667</v>
      </c>
      <c r="F1954" s="13">
        <v>-31.38</v>
      </c>
      <c r="G1954" s="13"/>
      <c r="H1954" s="13">
        <v>26.96</v>
      </c>
      <c r="I1954" s="13">
        <v>30.46</v>
      </c>
      <c r="J1954" s="13"/>
      <c r="K1954" s="13"/>
    </row>
    <row r="1955" spans="1:11" x14ac:dyDescent="0.25">
      <c r="A1955" s="10">
        <v>42660</v>
      </c>
      <c r="B1955" s="15">
        <f t="shared" si="60"/>
        <v>10</v>
      </c>
      <c r="C1955" s="15">
        <f t="shared" si="61"/>
        <v>2016</v>
      </c>
      <c r="D1955" s="13">
        <v>-44.68</v>
      </c>
      <c r="E1955" s="13">
        <v>5.8106756388105847</v>
      </c>
      <c r="F1955" s="13">
        <v>-51.92</v>
      </c>
      <c r="G1955" s="13"/>
      <c r="H1955" s="13">
        <v>2.89</v>
      </c>
      <c r="I1955" s="13">
        <v>0.14000000000000001</v>
      </c>
      <c r="J1955" s="13"/>
      <c r="K1955" s="13"/>
    </row>
    <row r="1956" spans="1:11" x14ac:dyDescent="0.25">
      <c r="A1956" s="10">
        <v>42661</v>
      </c>
      <c r="B1956" s="15">
        <f t="shared" si="60"/>
        <v>10</v>
      </c>
      <c r="C1956" s="15">
        <f t="shared" si="61"/>
        <v>2016</v>
      </c>
      <c r="D1956" s="13">
        <v>-44.68</v>
      </c>
      <c r="E1956" s="13">
        <v>5.8207323738385854</v>
      </c>
      <c r="F1956" s="13">
        <v>-51.92</v>
      </c>
      <c r="G1956" s="13"/>
      <c r="H1956" s="13">
        <v>2.89</v>
      </c>
      <c r="I1956" s="13">
        <v>0.14000000000000001</v>
      </c>
      <c r="J1956" s="13"/>
      <c r="K1956" s="13"/>
    </row>
    <row r="1957" spans="1:11" x14ac:dyDescent="0.25">
      <c r="A1957" s="10">
        <v>42662</v>
      </c>
      <c r="B1957" s="15">
        <f t="shared" si="60"/>
        <v>10</v>
      </c>
      <c r="C1957" s="15">
        <f t="shared" si="61"/>
        <v>2016</v>
      </c>
      <c r="D1957" s="13">
        <v>-44.68</v>
      </c>
      <c r="E1957" s="13">
        <v>5.8239154210718187</v>
      </c>
      <c r="F1957" s="13">
        <v>-51.92</v>
      </c>
      <c r="G1957" s="13"/>
      <c r="H1957" s="13">
        <v>2.89</v>
      </c>
      <c r="I1957" s="13">
        <v>0.14000000000000001</v>
      </c>
      <c r="J1957" s="13"/>
      <c r="K1957" s="13"/>
    </row>
    <row r="1958" spans="1:11" x14ac:dyDescent="0.25">
      <c r="A1958" s="10">
        <v>42663</v>
      </c>
      <c r="B1958" s="15">
        <f t="shared" si="60"/>
        <v>10</v>
      </c>
      <c r="C1958" s="15">
        <f t="shared" si="61"/>
        <v>2016</v>
      </c>
      <c r="D1958" s="13">
        <v>-44.68</v>
      </c>
      <c r="E1958" s="13">
        <v>5.847364568081991</v>
      </c>
      <c r="F1958" s="13">
        <v>-51.92</v>
      </c>
      <c r="G1958" s="13"/>
      <c r="H1958" s="13">
        <v>2.89</v>
      </c>
      <c r="I1958" s="13">
        <v>0.14000000000000001</v>
      </c>
      <c r="J1958" s="13"/>
      <c r="K1958" s="13"/>
    </row>
    <row r="1959" spans="1:11" x14ac:dyDescent="0.25">
      <c r="A1959" s="10">
        <v>42664</v>
      </c>
      <c r="B1959" s="15">
        <f t="shared" si="60"/>
        <v>10</v>
      </c>
      <c r="C1959" s="15">
        <f t="shared" si="61"/>
        <v>2016</v>
      </c>
      <c r="D1959" s="13">
        <v>-44.68</v>
      </c>
      <c r="E1959" s="13">
        <v>5.8720823378055496</v>
      </c>
      <c r="F1959" s="13">
        <v>-51.92</v>
      </c>
      <c r="G1959" s="13"/>
      <c r="H1959" s="13">
        <v>2.89</v>
      </c>
      <c r="I1959" s="13">
        <v>0.14000000000000001</v>
      </c>
      <c r="J1959" s="13"/>
      <c r="K1959" s="13"/>
    </row>
    <row r="1960" spans="1:11" x14ac:dyDescent="0.25">
      <c r="A1960" s="10">
        <v>42667</v>
      </c>
      <c r="B1960" s="15">
        <f t="shared" si="60"/>
        <v>10</v>
      </c>
      <c r="C1960" s="15">
        <f t="shared" si="61"/>
        <v>2016</v>
      </c>
      <c r="D1960" s="13">
        <v>-32.75</v>
      </c>
      <c r="E1960" s="13">
        <v>35.367647058823522</v>
      </c>
      <c r="F1960" s="13">
        <v>-27.95</v>
      </c>
      <c r="G1960" s="13"/>
      <c r="H1960" s="13">
        <v>12.2</v>
      </c>
      <c r="I1960" s="13">
        <v>21.24</v>
      </c>
      <c r="J1960" s="13"/>
      <c r="K1960" s="13"/>
    </row>
    <row r="1961" spans="1:11" x14ac:dyDescent="0.25">
      <c r="A1961" s="10">
        <v>42668</v>
      </c>
      <c r="B1961" s="15">
        <f t="shared" si="60"/>
        <v>10</v>
      </c>
      <c r="C1961" s="15">
        <f t="shared" si="61"/>
        <v>2016</v>
      </c>
      <c r="D1961" s="13">
        <v>-32.75</v>
      </c>
      <c r="E1961" s="13">
        <v>35.34815359176924</v>
      </c>
      <c r="F1961" s="13">
        <v>-27.95</v>
      </c>
      <c r="G1961" s="13"/>
      <c r="H1961" s="13">
        <v>12.2</v>
      </c>
      <c r="I1961" s="13">
        <v>21.24</v>
      </c>
      <c r="J1961" s="13"/>
      <c r="K1961" s="13"/>
    </row>
    <row r="1962" spans="1:11" x14ac:dyDescent="0.25">
      <c r="A1962" s="10">
        <v>42669</v>
      </c>
      <c r="B1962" s="15">
        <f t="shared" si="60"/>
        <v>10</v>
      </c>
      <c r="C1962" s="15">
        <f t="shared" si="61"/>
        <v>2016</v>
      </c>
      <c r="D1962" s="13">
        <v>-32.75</v>
      </c>
      <c r="E1962" s="13">
        <v>35.280095351609056</v>
      </c>
      <c r="F1962" s="13">
        <v>-27.95</v>
      </c>
      <c r="G1962" s="13"/>
      <c r="H1962" s="13">
        <v>12.2</v>
      </c>
      <c r="I1962" s="13">
        <v>21.24</v>
      </c>
      <c r="J1962" s="13"/>
      <c r="K1962" s="13"/>
    </row>
    <row r="1963" spans="1:11" x14ac:dyDescent="0.25">
      <c r="A1963" s="10">
        <v>42670</v>
      </c>
      <c r="B1963" s="15">
        <f t="shared" si="60"/>
        <v>10</v>
      </c>
      <c r="C1963" s="15">
        <f t="shared" si="61"/>
        <v>2016</v>
      </c>
      <c r="D1963" s="13">
        <v>-32.75</v>
      </c>
      <c r="E1963" s="13">
        <v>35.322195704057279</v>
      </c>
      <c r="F1963" s="13">
        <v>-27.95</v>
      </c>
      <c r="G1963" s="13"/>
      <c r="H1963" s="13">
        <v>12.2</v>
      </c>
      <c r="I1963" s="13">
        <v>21.24</v>
      </c>
      <c r="J1963" s="13"/>
      <c r="K1963" s="13"/>
    </row>
    <row r="1964" spans="1:11" x14ac:dyDescent="0.25">
      <c r="A1964" s="10">
        <v>42671</v>
      </c>
      <c r="B1964" s="15">
        <f t="shared" si="60"/>
        <v>10</v>
      </c>
      <c r="C1964" s="15">
        <f t="shared" si="61"/>
        <v>2016</v>
      </c>
      <c r="D1964" s="13">
        <v>-32.75</v>
      </c>
      <c r="E1964" s="13">
        <v>35.035964672675952</v>
      </c>
      <c r="F1964" s="13">
        <v>-27.95</v>
      </c>
      <c r="G1964" s="13"/>
      <c r="H1964" s="13">
        <v>12.2</v>
      </c>
      <c r="I1964" s="13">
        <v>21.24</v>
      </c>
      <c r="J1964" s="13"/>
      <c r="K1964" s="13"/>
    </row>
    <row r="1965" spans="1:11" x14ac:dyDescent="0.25">
      <c r="A1965" s="10">
        <v>42674</v>
      </c>
      <c r="B1965" s="15">
        <f t="shared" si="60"/>
        <v>10</v>
      </c>
      <c r="C1965" s="15">
        <f t="shared" si="61"/>
        <v>2016</v>
      </c>
      <c r="D1965" s="13">
        <v>-46.86</v>
      </c>
      <c r="E1965" s="13">
        <v>-1.1749703980326076</v>
      </c>
      <c r="F1965" s="13">
        <v>-51.93</v>
      </c>
      <c r="G1965" s="13"/>
      <c r="H1965" s="13">
        <v>4.76</v>
      </c>
      <c r="I1965" s="13">
        <v>5.07</v>
      </c>
      <c r="J1965" s="13"/>
      <c r="K1965" s="13"/>
    </row>
    <row r="1966" spans="1:11" x14ac:dyDescent="0.25">
      <c r="A1966" s="10">
        <v>42675</v>
      </c>
      <c r="B1966" s="15">
        <f t="shared" si="60"/>
        <v>11</v>
      </c>
      <c r="C1966" s="15">
        <f t="shared" si="61"/>
        <v>2016</v>
      </c>
      <c r="D1966" s="13">
        <v>-46.86</v>
      </c>
      <c r="E1966" s="13">
        <v>-1.1671039536777346</v>
      </c>
      <c r="F1966" s="13">
        <v>-51.93</v>
      </c>
      <c r="G1966" s="13"/>
      <c r="H1966" s="13">
        <v>4.76</v>
      </c>
      <c r="I1966" s="13">
        <v>5.07</v>
      </c>
      <c r="J1966" s="13"/>
      <c r="K1966" s="13"/>
    </row>
    <row r="1967" spans="1:11" x14ac:dyDescent="0.25">
      <c r="A1967" s="10">
        <v>42676</v>
      </c>
      <c r="B1967" s="15">
        <f t="shared" si="60"/>
        <v>11</v>
      </c>
      <c r="C1967" s="15">
        <f t="shared" si="61"/>
        <v>2016</v>
      </c>
      <c r="D1967" s="13">
        <v>-46.86</v>
      </c>
      <c r="E1967" s="13">
        <v>-1.1627906976744187</v>
      </c>
      <c r="F1967" s="13">
        <v>-51.93</v>
      </c>
      <c r="G1967" s="13"/>
      <c r="H1967" s="13">
        <v>4.76</v>
      </c>
      <c r="I1967" s="13">
        <v>5.07</v>
      </c>
      <c r="J1967" s="13"/>
      <c r="K1967" s="13"/>
    </row>
    <row r="1968" spans="1:11" x14ac:dyDescent="0.25">
      <c r="A1968" s="10">
        <v>42677</v>
      </c>
      <c r="B1968" s="15">
        <f t="shared" si="60"/>
        <v>11</v>
      </c>
      <c r="C1968" s="15">
        <f t="shared" si="61"/>
        <v>2016</v>
      </c>
      <c r="D1968" s="13">
        <v>-46.86</v>
      </c>
      <c r="E1968" s="13">
        <v>-1.1618481491488786</v>
      </c>
      <c r="F1968" s="13">
        <v>-51.93</v>
      </c>
      <c r="G1968" s="13"/>
      <c r="H1968" s="13">
        <v>4.76</v>
      </c>
      <c r="I1968" s="13">
        <v>5.07</v>
      </c>
      <c r="J1968" s="13"/>
      <c r="K1968" s="13"/>
    </row>
    <row r="1969" spans="1:11" x14ac:dyDescent="0.25">
      <c r="A1969" s="10">
        <v>42678</v>
      </c>
      <c r="B1969" s="15">
        <f t="shared" si="60"/>
        <v>11</v>
      </c>
      <c r="C1969" s="15">
        <f t="shared" si="61"/>
        <v>2016</v>
      </c>
      <c r="D1969" s="13">
        <v>-46.86</v>
      </c>
      <c r="E1969" s="13">
        <v>-1.1585092052088011</v>
      </c>
      <c r="F1969" s="13">
        <v>-51.93</v>
      </c>
      <c r="G1969" s="13"/>
      <c r="H1969" s="13">
        <v>4.76</v>
      </c>
      <c r="I1969" s="13">
        <v>5.07</v>
      </c>
      <c r="J1969" s="13"/>
      <c r="K1969" s="13"/>
    </row>
    <row r="1970" spans="1:11" x14ac:dyDescent="0.25">
      <c r="A1970" s="10">
        <v>42681</v>
      </c>
      <c r="B1970" s="15">
        <f t="shared" si="60"/>
        <v>11</v>
      </c>
      <c r="C1970" s="15">
        <f t="shared" si="61"/>
        <v>2016</v>
      </c>
      <c r="D1970" s="13">
        <v>-28.36</v>
      </c>
      <c r="E1970" s="13">
        <v>-4.5026272875520927</v>
      </c>
      <c r="F1970" s="13">
        <v>-34.08</v>
      </c>
      <c r="G1970" s="13"/>
      <c r="H1970" s="13">
        <v>22.2</v>
      </c>
      <c r="I1970" s="13">
        <v>21.32</v>
      </c>
      <c r="J1970" s="13"/>
      <c r="K1970" s="13"/>
    </row>
    <row r="1971" spans="1:11" x14ac:dyDescent="0.25">
      <c r="A1971" s="10">
        <v>42682</v>
      </c>
      <c r="B1971" s="15">
        <f t="shared" si="60"/>
        <v>11</v>
      </c>
      <c r="C1971" s="15">
        <f t="shared" si="61"/>
        <v>2016</v>
      </c>
      <c r="D1971" s="13">
        <v>-28.36</v>
      </c>
      <c r="E1971" s="13">
        <v>-4.5087544225709877</v>
      </c>
      <c r="F1971" s="13">
        <v>-34.08</v>
      </c>
      <c r="G1971" s="13"/>
      <c r="H1971" s="13">
        <v>22.2</v>
      </c>
      <c r="I1971" s="13">
        <v>21.32</v>
      </c>
      <c r="J1971" s="13"/>
      <c r="K1971" s="13"/>
    </row>
    <row r="1972" spans="1:11" x14ac:dyDescent="0.25">
      <c r="A1972" s="10">
        <v>42683</v>
      </c>
      <c r="B1972" s="15">
        <f t="shared" si="60"/>
        <v>11</v>
      </c>
      <c r="C1972" s="15">
        <f t="shared" si="61"/>
        <v>2016</v>
      </c>
      <c r="D1972" s="13">
        <v>-28.36</v>
      </c>
      <c r="E1972" s="13">
        <v>-4.5558712989274905</v>
      </c>
      <c r="F1972" s="13">
        <v>-34.08</v>
      </c>
      <c r="G1972" s="13"/>
      <c r="H1972" s="13">
        <v>22.2</v>
      </c>
      <c r="I1972" s="13">
        <v>21.32</v>
      </c>
      <c r="J1972" s="13"/>
      <c r="K1972" s="13"/>
    </row>
    <row r="1973" spans="1:11" x14ac:dyDescent="0.25">
      <c r="A1973" s="10">
        <v>42684</v>
      </c>
      <c r="B1973" s="15">
        <f t="shared" si="60"/>
        <v>11</v>
      </c>
      <c r="C1973" s="15">
        <f t="shared" si="61"/>
        <v>2016</v>
      </c>
      <c r="D1973" s="13">
        <v>-28.36</v>
      </c>
      <c r="E1973" s="13">
        <v>-4.5642391404169347</v>
      </c>
      <c r="F1973" s="13">
        <v>-34.08</v>
      </c>
      <c r="G1973" s="13"/>
      <c r="H1973" s="13">
        <v>22.2</v>
      </c>
      <c r="I1973" s="13">
        <v>21.32</v>
      </c>
      <c r="J1973" s="13"/>
      <c r="K1973" s="13"/>
    </row>
    <row r="1974" spans="1:11" x14ac:dyDescent="0.25">
      <c r="A1974" s="10">
        <v>42685</v>
      </c>
      <c r="B1974" s="15">
        <f t="shared" si="60"/>
        <v>11</v>
      </c>
      <c r="C1974" s="15">
        <f t="shared" si="61"/>
        <v>2016</v>
      </c>
      <c r="D1974" s="13">
        <v>-28.36</v>
      </c>
      <c r="E1974" s="13">
        <v>-4.5806451612903221</v>
      </c>
      <c r="F1974" s="13">
        <v>-34.08</v>
      </c>
      <c r="G1974" s="13"/>
      <c r="H1974" s="13">
        <v>22.2</v>
      </c>
      <c r="I1974" s="13">
        <v>21.32</v>
      </c>
      <c r="J1974" s="13"/>
      <c r="K1974" s="13"/>
    </row>
    <row r="1975" spans="1:11" x14ac:dyDescent="0.25">
      <c r="A1975" s="10">
        <v>42688</v>
      </c>
      <c r="B1975" s="15">
        <f t="shared" si="60"/>
        <v>11</v>
      </c>
      <c r="C1975" s="15">
        <f t="shared" si="61"/>
        <v>2016</v>
      </c>
      <c r="D1975" s="13">
        <v>-24.82</v>
      </c>
      <c r="E1975" s="13">
        <v>-6.7542388671511091</v>
      </c>
      <c r="F1975" s="13">
        <v>-25.72</v>
      </c>
      <c r="G1975" s="13"/>
      <c r="H1975" s="13">
        <v>24.75</v>
      </c>
      <c r="I1975" s="13">
        <v>23.48</v>
      </c>
      <c r="J1975" s="13"/>
      <c r="K1975" s="13"/>
    </row>
    <row r="1976" spans="1:11" x14ac:dyDescent="0.25">
      <c r="A1976" s="10">
        <v>42689</v>
      </c>
      <c r="B1976" s="15">
        <f t="shared" si="60"/>
        <v>11</v>
      </c>
      <c r="C1976" s="15">
        <f t="shared" si="61"/>
        <v>2016</v>
      </c>
      <c r="D1976" s="13">
        <v>-24.82</v>
      </c>
      <c r="E1976" s="13">
        <v>-6.7630597014925371</v>
      </c>
      <c r="F1976" s="13">
        <v>-25.72</v>
      </c>
      <c r="G1976" s="13"/>
      <c r="H1976" s="13">
        <v>24.75</v>
      </c>
      <c r="I1976" s="13">
        <v>23.48</v>
      </c>
      <c r="J1976" s="13"/>
      <c r="K1976" s="13"/>
    </row>
    <row r="1977" spans="1:11" x14ac:dyDescent="0.25">
      <c r="A1977" s="10">
        <v>42690</v>
      </c>
      <c r="B1977" s="15">
        <f t="shared" si="60"/>
        <v>11</v>
      </c>
      <c r="C1977" s="15">
        <f t="shared" si="61"/>
        <v>2016</v>
      </c>
      <c r="D1977" s="13">
        <v>-24.82</v>
      </c>
      <c r="E1977" s="13">
        <v>-6.785212915301825</v>
      </c>
      <c r="F1977" s="13">
        <v>-25.72</v>
      </c>
      <c r="G1977" s="13"/>
      <c r="H1977" s="13">
        <v>24.75</v>
      </c>
      <c r="I1977" s="13">
        <v>23.48</v>
      </c>
      <c r="J1977" s="13"/>
      <c r="K1977" s="13"/>
    </row>
    <row r="1978" spans="1:11" x14ac:dyDescent="0.25">
      <c r="A1978" s="10">
        <v>42691</v>
      </c>
      <c r="B1978" s="15">
        <f t="shared" si="60"/>
        <v>11</v>
      </c>
      <c r="C1978" s="15">
        <f t="shared" si="61"/>
        <v>2016</v>
      </c>
      <c r="D1978" s="13">
        <v>-24.82</v>
      </c>
      <c r="E1978" s="13">
        <v>-6.8235294117647056</v>
      </c>
      <c r="F1978" s="13">
        <v>-25.72</v>
      </c>
      <c r="G1978" s="13"/>
      <c r="H1978" s="13">
        <v>24.75</v>
      </c>
      <c r="I1978" s="13">
        <v>23.48</v>
      </c>
      <c r="J1978" s="13"/>
      <c r="K1978" s="13"/>
    </row>
    <row r="1979" spans="1:11" x14ac:dyDescent="0.25">
      <c r="A1979" s="10">
        <v>42692</v>
      </c>
      <c r="B1979" s="15">
        <f t="shared" si="60"/>
        <v>11</v>
      </c>
      <c r="C1979" s="15">
        <f t="shared" si="61"/>
        <v>2016</v>
      </c>
      <c r="D1979" s="13">
        <v>-24.82</v>
      </c>
      <c r="E1979" s="13">
        <v>-6.8493150684931505</v>
      </c>
      <c r="F1979" s="13">
        <v>-25.72</v>
      </c>
      <c r="G1979" s="13"/>
      <c r="H1979" s="13">
        <v>24.75</v>
      </c>
      <c r="I1979" s="13">
        <v>23.48</v>
      </c>
      <c r="J1979" s="13"/>
      <c r="K1979" s="13"/>
    </row>
    <row r="1980" spans="1:11" x14ac:dyDescent="0.25">
      <c r="A1980" s="10">
        <v>42695</v>
      </c>
      <c r="B1980" s="15">
        <f t="shared" si="60"/>
        <v>11</v>
      </c>
      <c r="C1980" s="15">
        <f t="shared" si="61"/>
        <v>2016</v>
      </c>
      <c r="D1980" s="13">
        <v>-0.95</v>
      </c>
      <c r="E1980" s="13">
        <v>32.671497129952009</v>
      </c>
      <c r="F1980" s="13">
        <v>-8.18</v>
      </c>
      <c r="G1980" s="13"/>
      <c r="H1980" s="13">
        <v>53.87</v>
      </c>
      <c r="I1980" s="13">
        <v>44.95</v>
      </c>
      <c r="J1980" s="13"/>
      <c r="K1980" s="13"/>
    </row>
    <row r="1981" spans="1:11" x14ac:dyDescent="0.25">
      <c r="A1981" s="10">
        <v>42696</v>
      </c>
      <c r="B1981" s="15">
        <f t="shared" si="60"/>
        <v>11</v>
      </c>
      <c r="C1981" s="15">
        <f t="shared" si="61"/>
        <v>2016</v>
      </c>
      <c r="D1981" s="13">
        <v>-0.95</v>
      </c>
      <c r="E1981" s="13">
        <v>32.680722891566262</v>
      </c>
      <c r="F1981" s="13">
        <v>-8.18</v>
      </c>
      <c r="G1981" s="13"/>
      <c r="H1981" s="13">
        <v>53.87</v>
      </c>
      <c r="I1981" s="13">
        <v>44.95</v>
      </c>
      <c r="J1981" s="13"/>
      <c r="K1981" s="13"/>
    </row>
    <row r="1982" spans="1:11" x14ac:dyDescent="0.25">
      <c r="A1982" s="10">
        <v>42697</v>
      </c>
      <c r="B1982" s="15">
        <f t="shared" si="60"/>
        <v>11</v>
      </c>
      <c r="C1982" s="15">
        <f t="shared" si="61"/>
        <v>2016</v>
      </c>
      <c r="D1982" s="13">
        <v>-0.95</v>
      </c>
      <c r="E1982" s="13">
        <v>32.891246684350129</v>
      </c>
      <c r="F1982" s="13">
        <v>-8.18</v>
      </c>
      <c r="G1982" s="13"/>
      <c r="H1982" s="13">
        <v>53.87</v>
      </c>
      <c r="I1982" s="13">
        <v>44.95</v>
      </c>
      <c r="J1982" s="13"/>
      <c r="K1982" s="13"/>
    </row>
    <row r="1983" spans="1:11" x14ac:dyDescent="0.25">
      <c r="A1983" s="10">
        <v>42699</v>
      </c>
      <c r="B1983" s="15">
        <f t="shared" si="60"/>
        <v>11</v>
      </c>
      <c r="C1983" s="15">
        <f t="shared" si="61"/>
        <v>2016</v>
      </c>
      <c r="D1983" s="13">
        <v>-0.95</v>
      </c>
      <c r="E1983" s="13">
        <v>32.804232804232804</v>
      </c>
      <c r="F1983" s="13">
        <v>-8.18</v>
      </c>
      <c r="G1983" s="13"/>
      <c r="H1983" s="13">
        <v>53.87</v>
      </c>
      <c r="I1983" s="13">
        <v>44.95</v>
      </c>
      <c r="J1983" s="13"/>
      <c r="K1983" s="13"/>
    </row>
    <row r="1984" spans="1:11" x14ac:dyDescent="0.25">
      <c r="A1984" s="10">
        <v>42702</v>
      </c>
      <c r="B1984" s="15">
        <f t="shared" si="60"/>
        <v>11</v>
      </c>
      <c r="C1984" s="15">
        <f t="shared" si="61"/>
        <v>2016</v>
      </c>
      <c r="D1984" s="13">
        <v>-13.61</v>
      </c>
      <c r="E1984" s="13">
        <v>6.1151418072175643</v>
      </c>
      <c r="F1984" s="13">
        <v>-22.54</v>
      </c>
      <c r="G1984" s="13"/>
      <c r="H1984" s="13">
        <v>48.63</v>
      </c>
      <c r="I1984" s="13">
        <v>32.119999999999997</v>
      </c>
      <c r="J1984" s="13"/>
      <c r="K1984" s="13"/>
    </row>
    <row r="1985" spans="1:11" x14ac:dyDescent="0.25">
      <c r="A1985" s="10">
        <v>42703</v>
      </c>
      <c r="B1985" s="15">
        <f t="shared" si="60"/>
        <v>11</v>
      </c>
      <c r="C1985" s="15">
        <f t="shared" si="61"/>
        <v>2016</v>
      </c>
      <c r="D1985" s="13">
        <v>-13.61</v>
      </c>
      <c r="E1985" s="13">
        <v>6.0956137879214802</v>
      </c>
      <c r="F1985" s="13">
        <v>-22.54</v>
      </c>
      <c r="G1985" s="13"/>
      <c r="H1985" s="13">
        <v>48.63</v>
      </c>
      <c r="I1985" s="13">
        <v>32.119999999999997</v>
      </c>
      <c r="J1985" s="13"/>
      <c r="K1985" s="13"/>
    </row>
    <row r="1986" spans="1:11" x14ac:dyDescent="0.25">
      <c r="A1986" s="10">
        <v>42704</v>
      </c>
      <c r="B1986" s="15">
        <f t="shared" si="60"/>
        <v>11</v>
      </c>
      <c r="C1986" s="15">
        <f t="shared" si="61"/>
        <v>2016</v>
      </c>
      <c r="D1986" s="13">
        <v>-13.61</v>
      </c>
      <c r="E1986" s="13">
        <v>6.1313179026924898</v>
      </c>
      <c r="F1986" s="13">
        <v>-22.54</v>
      </c>
      <c r="G1986" s="13"/>
      <c r="H1986" s="13">
        <v>48.63</v>
      </c>
      <c r="I1986" s="13">
        <v>32.119999999999997</v>
      </c>
      <c r="J1986" s="13"/>
      <c r="K1986" s="13"/>
    </row>
    <row r="1987" spans="1:11" x14ac:dyDescent="0.25">
      <c r="A1987" s="10">
        <v>42705</v>
      </c>
      <c r="B1987" s="15">
        <f t="shared" ref="B1987:B2050" si="62">MONTH(A1987)</f>
        <v>12</v>
      </c>
      <c r="C1987" s="15">
        <f t="shared" ref="C1987:C2050" si="63">YEAR(A1987)</f>
        <v>2016</v>
      </c>
      <c r="D1987" s="13">
        <v>-13.61</v>
      </c>
      <c r="E1987" s="13">
        <v>6.0881801125703561</v>
      </c>
      <c r="F1987" s="13">
        <v>-22.54</v>
      </c>
      <c r="G1987" s="13"/>
      <c r="H1987" s="13">
        <v>48.63</v>
      </c>
      <c r="I1987" s="13">
        <v>32.119999999999997</v>
      </c>
      <c r="J1987" s="13"/>
      <c r="K1987" s="13"/>
    </row>
    <row r="1988" spans="1:11" x14ac:dyDescent="0.25">
      <c r="A1988" s="10">
        <v>42706</v>
      </c>
      <c r="B1988" s="15">
        <f t="shared" si="62"/>
        <v>12</v>
      </c>
      <c r="C1988" s="15">
        <f t="shared" si="63"/>
        <v>2016</v>
      </c>
      <c r="D1988" s="13">
        <v>-13.61</v>
      </c>
      <c r="E1988" s="13">
        <v>6.0824742268041243</v>
      </c>
      <c r="F1988" s="13">
        <v>-22.54</v>
      </c>
      <c r="G1988" s="13"/>
      <c r="H1988" s="13">
        <v>48.63</v>
      </c>
      <c r="I1988" s="13">
        <v>32.119999999999997</v>
      </c>
      <c r="J1988" s="13"/>
      <c r="K1988" s="13"/>
    </row>
    <row r="1989" spans="1:11" x14ac:dyDescent="0.25">
      <c r="A1989" s="10">
        <v>42709</v>
      </c>
      <c r="B1989" s="15">
        <f t="shared" si="62"/>
        <v>12</v>
      </c>
      <c r="C1989" s="15">
        <f t="shared" si="63"/>
        <v>2016</v>
      </c>
      <c r="D1989" s="13">
        <v>-12.33</v>
      </c>
      <c r="E1989" s="13">
        <v>8.0932912098123033</v>
      </c>
      <c r="F1989" s="13">
        <v>-20.14</v>
      </c>
      <c r="G1989" s="13"/>
      <c r="H1989" s="13">
        <v>18.96</v>
      </c>
      <c r="I1989" s="13">
        <v>-10.130000000000001</v>
      </c>
      <c r="J1989" s="13"/>
      <c r="K1989" s="13"/>
    </row>
    <row r="1990" spans="1:11" x14ac:dyDescent="0.25">
      <c r="A1990" s="10">
        <v>42710</v>
      </c>
      <c r="B1990" s="15">
        <f t="shared" si="62"/>
        <v>12</v>
      </c>
      <c r="C1990" s="15">
        <f t="shared" si="63"/>
        <v>2016</v>
      </c>
      <c r="D1990" s="13">
        <v>-12.33</v>
      </c>
      <c r="E1990" s="13">
        <v>8.1272744238126347</v>
      </c>
      <c r="F1990" s="13">
        <v>-20.14</v>
      </c>
      <c r="G1990" s="13"/>
      <c r="H1990" s="13">
        <v>18.96</v>
      </c>
      <c r="I1990" s="13">
        <v>-10.130000000000001</v>
      </c>
      <c r="J1990" s="13"/>
      <c r="K1990" s="13"/>
    </row>
    <row r="1991" spans="1:11" x14ac:dyDescent="0.25">
      <c r="A1991" s="10">
        <v>42711</v>
      </c>
      <c r="B1991" s="15">
        <f t="shared" si="62"/>
        <v>12</v>
      </c>
      <c r="C1991" s="15">
        <f t="shared" si="63"/>
        <v>2016</v>
      </c>
      <c r="D1991" s="13">
        <v>-12.33</v>
      </c>
      <c r="E1991" s="13">
        <v>8.101571946795648</v>
      </c>
      <c r="F1991" s="13">
        <v>-20.14</v>
      </c>
      <c r="G1991" s="13"/>
      <c r="H1991" s="13">
        <v>18.96</v>
      </c>
      <c r="I1991" s="13">
        <v>-10.130000000000001</v>
      </c>
      <c r="J1991" s="13"/>
      <c r="K1991" s="13"/>
    </row>
    <row r="1992" spans="1:11" x14ac:dyDescent="0.25">
      <c r="A1992" s="10">
        <v>42712</v>
      </c>
      <c r="B1992" s="15">
        <f t="shared" si="62"/>
        <v>12</v>
      </c>
      <c r="C1992" s="15">
        <f t="shared" si="63"/>
        <v>2016</v>
      </c>
      <c r="D1992" s="13">
        <v>-12.33</v>
      </c>
      <c r="E1992" s="13">
        <v>8.2053697597739053</v>
      </c>
      <c r="F1992" s="13">
        <v>-20.14</v>
      </c>
      <c r="G1992" s="13"/>
      <c r="H1992" s="13">
        <v>18.96</v>
      </c>
      <c r="I1992" s="13">
        <v>-10.130000000000001</v>
      </c>
      <c r="J1992" s="13"/>
      <c r="K1992" s="13"/>
    </row>
    <row r="1993" spans="1:11" x14ac:dyDescent="0.25">
      <c r="A1993" s="10">
        <v>42713</v>
      </c>
      <c r="B1993" s="15">
        <f t="shared" si="62"/>
        <v>12</v>
      </c>
      <c r="C1993" s="15">
        <f t="shared" si="63"/>
        <v>2016</v>
      </c>
      <c r="D1993" s="13">
        <v>-12.33</v>
      </c>
      <c r="E1993" s="13">
        <v>8.2488872052277689</v>
      </c>
      <c r="F1993" s="13">
        <v>-20.14</v>
      </c>
      <c r="G1993" s="13"/>
      <c r="H1993" s="13">
        <v>18.96</v>
      </c>
      <c r="I1993" s="13">
        <v>-10.130000000000001</v>
      </c>
      <c r="J1993" s="13"/>
      <c r="K1993" s="13"/>
    </row>
    <row r="1994" spans="1:11" x14ac:dyDescent="0.25">
      <c r="A1994" s="10">
        <v>42716</v>
      </c>
      <c r="B1994" s="15">
        <f t="shared" si="62"/>
        <v>12</v>
      </c>
      <c r="C1994" s="15">
        <f t="shared" si="63"/>
        <v>2016</v>
      </c>
      <c r="D1994" s="13">
        <v>-10.78</v>
      </c>
      <c r="E1994" s="13">
        <v>6.8083505736317482</v>
      </c>
      <c r="F1994" s="13">
        <v>-14.35</v>
      </c>
      <c r="G1994" s="13"/>
      <c r="H1994" s="13">
        <v>34.31</v>
      </c>
      <c r="I1994" s="13">
        <v>30.69</v>
      </c>
      <c r="J1994" s="13"/>
      <c r="K1994" s="13"/>
    </row>
    <row r="1995" spans="1:11" x14ac:dyDescent="0.25">
      <c r="A1995" s="10">
        <v>42717</v>
      </c>
      <c r="B1995" s="15">
        <f t="shared" si="62"/>
        <v>12</v>
      </c>
      <c r="C1995" s="15">
        <f t="shared" si="63"/>
        <v>2016</v>
      </c>
      <c r="D1995" s="13">
        <v>-10.78</v>
      </c>
      <c r="E1995" s="13">
        <v>6.8141176470588238</v>
      </c>
      <c r="F1995" s="13">
        <v>-14.35</v>
      </c>
      <c r="G1995" s="13"/>
      <c r="H1995" s="13">
        <v>34.31</v>
      </c>
      <c r="I1995" s="13">
        <v>30.69</v>
      </c>
      <c r="J1995" s="13"/>
      <c r="K1995" s="13"/>
    </row>
    <row r="1996" spans="1:11" x14ac:dyDescent="0.25">
      <c r="A1996" s="10">
        <v>42718</v>
      </c>
      <c r="B1996" s="15">
        <f t="shared" si="62"/>
        <v>12</v>
      </c>
      <c r="C1996" s="15">
        <f t="shared" si="63"/>
        <v>2016</v>
      </c>
      <c r="D1996" s="13">
        <v>-10.78</v>
      </c>
      <c r="E1996" s="13">
        <v>6.8723303274798289</v>
      </c>
      <c r="F1996" s="13">
        <v>-14.35</v>
      </c>
      <c r="G1996" s="13"/>
      <c r="H1996" s="13">
        <v>34.31</v>
      </c>
      <c r="I1996" s="13">
        <v>30.69</v>
      </c>
      <c r="J1996" s="13"/>
      <c r="K1996" s="13"/>
    </row>
    <row r="1997" spans="1:11" x14ac:dyDescent="0.25">
      <c r="A1997" s="10">
        <v>42719</v>
      </c>
      <c r="B1997" s="15">
        <f t="shared" si="62"/>
        <v>12</v>
      </c>
      <c r="C1997" s="15">
        <f t="shared" si="63"/>
        <v>2016</v>
      </c>
      <c r="D1997" s="13">
        <v>-10.78</v>
      </c>
      <c r="E1997" s="13">
        <v>6.9535151747983104</v>
      </c>
      <c r="F1997" s="13">
        <v>-14.35</v>
      </c>
      <c r="G1997" s="13"/>
      <c r="H1997" s="13">
        <v>34.31</v>
      </c>
      <c r="I1997" s="13">
        <v>30.69</v>
      </c>
      <c r="J1997" s="13"/>
      <c r="K1997" s="13"/>
    </row>
    <row r="1998" spans="1:11" x14ac:dyDescent="0.25">
      <c r="A1998" s="10">
        <v>42720</v>
      </c>
      <c r="B1998" s="15">
        <f t="shared" si="62"/>
        <v>12</v>
      </c>
      <c r="C1998" s="15">
        <f t="shared" si="63"/>
        <v>2016</v>
      </c>
      <c r="D1998" s="13">
        <v>-10.78</v>
      </c>
      <c r="E1998" s="13">
        <v>6.9302192016846949</v>
      </c>
      <c r="F1998" s="13">
        <v>-14.35</v>
      </c>
      <c r="G1998" s="13"/>
      <c r="H1998" s="13">
        <v>34.31</v>
      </c>
      <c r="I1998" s="13">
        <v>30.69</v>
      </c>
      <c r="J1998" s="13"/>
      <c r="K1998" s="13"/>
    </row>
    <row r="1999" spans="1:11" x14ac:dyDescent="0.25">
      <c r="A1999" s="10">
        <v>42723</v>
      </c>
      <c r="B1999" s="15">
        <f t="shared" si="62"/>
        <v>12</v>
      </c>
      <c r="C1999" s="15">
        <f t="shared" si="63"/>
        <v>2016</v>
      </c>
      <c r="D1999" s="13">
        <v>-22.87</v>
      </c>
      <c r="E1999" s="13">
        <v>-2.3168621418957893</v>
      </c>
      <c r="F1999" s="13">
        <v>-17.86</v>
      </c>
      <c r="G1999" s="13"/>
      <c r="H1999" s="13">
        <v>26.43</v>
      </c>
      <c r="I1999" s="13">
        <v>18.59</v>
      </c>
      <c r="J1999" s="13"/>
      <c r="K1999" s="13"/>
    </row>
    <row r="2000" spans="1:11" x14ac:dyDescent="0.25">
      <c r="A2000" s="10">
        <v>42724</v>
      </c>
      <c r="B2000" s="15">
        <f t="shared" si="62"/>
        <v>12</v>
      </c>
      <c r="C2000" s="15">
        <f t="shared" si="63"/>
        <v>2016</v>
      </c>
      <c r="D2000" s="13">
        <v>-22.87</v>
      </c>
      <c r="E2000" s="13">
        <v>-2.3206547905633128</v>
      </c>
      <c r="F2000" s="13">
        <v>-17.86</v>
      </c>
      <c r="G2000" s="13"/>
      <c r="H2000" s="13">
        <v>26.43</v>
      </c>
      <c r="I2000" s="13">
        <v>18.59</v>
      </c>
      <c r="J2000" s="13"/>
      <c r="K2000" s="13"/>
    </row>
    <row r="2001" spans="1:11" x14ac:dyDescent="0.25">
      <c r="A2001" s="10">
        <v>42725</v>
      </c>
      <c r="B2001" s="15">
        <f t="shared" si="62"/>
        <v>12</v>
      </c>
      <c r="C2001" s="15">
        <f t="shared" si="63"/>
        <v>2016</v>
      </c>
      <c r="D2001" s="13">
        <v>-22.87</v>
      </c>
      <c r="E2001" s="13">
        <v>-2.3121941859349517</v>
      </c>
      <c r="F2001" s="13">
        <v>-17.86</v>
      </c>
      <c r="G2001" s="13"/>
      <c r="H2001" s="13">
        <v>26.43</v>
      </c>
      <c r="I2001" s="13">
        <v>18.59</v>
      </c>
      <c r="J2001" s="13"/>
      <c r="K2001" s="13"/>
    </row>
    <row r="2002" spans="1:11" x14ac:dyDescent="0.25">
      <c r="A2002" s="10">
        <v>42726</v>
      </c>
      <c r="B2002" s="15">
        <f t="shared" si="62"/>
        <v>12</v>
      </c>
      <c r="C2002" s="15">
        <f t="shared" si="63"/>
        <v>2016</v>
      </c>
      <c r="D2002" s="13">
        <v>-22.87</v>
      </c>
      <c r="E2002" s="13">
        <v>-2.3095352180162911</v>
      </c>
      <c r="F2002" s="13">
        <v>-17.86</v>
      </c>
      <c r="G2002" s="13"/>
      <c r="H2002" s="13">
        <v>26.43</v>
      </c>
      <c r="I2002" s="13">
        <v>18.59</v>
      </c>
      <c r="J2002" s="13"/>
      <c r="K2002" s="13"/>
    </row>
    <row r="2003" spans="1:11" x14ac:dyDescent="0.25">
      <c r="A2003" s="10">
        <v>42727</v>
      </c>
      <c r="B2003" s="15">
        <f t="shared" si="62"/>
        <v>12</v>
      </c>
      <c r="C2003" s="15">
        <f t="shared" si="63"/>
        <v>2016</v>
      </c>
      <c r="D2003" s="13">
        <v>-22.87</v>
      </c>
      <c r="E2003" s="13">
        <v>-2.3053376697914674</v>
      </c>
      <c r="F2003" s="13">
        <v>-17.86</v>
      </c>
      <c r="G2003" s="13"/>
      <c r="H2003" s="13">
        <v>26.43</v>
      </c>
      <c r="I2003" s="13">
        <v>18.59</v>
      </c>
      <c r="J2003" s="13"/>
      <c r="K2003" s="13"/>
    </row>
    <row r="2004" spans="1:11" x14ac:dyDescent="0.25">
      <c r="A2004" s="10">
        <v>42731</v>
      </c>
      <c r="B2004" s="15">
        <f t="shared" si="62"/>
        <v>12</v>
      </c>
      <c r="C2004" s="15">
        <f t="shared" si="63"/>
        <v>2016</v>
      </c>
      <c r="D2004" s="13">
        <v>-24.26</v>
      </c>
      <c r="E2004" s="13">
        <v>13.438546150167383</v>
      </c>
      <c r="F2004" s="13">
        <v>-22.52</v>
      </c>
      <c r="G2004" s="13"/>
      <c r="H2004" s="13">
        <v>30.59</v>
      </c>
      <c r="I2004" s="13">
        <v>20.399999999999999</v>
      </c>
      <c r="J2004" s="13"/>
      <c r="K2004" s="13"/>
    </row>
    <row r="2005" spans="1:11" x14ac:dyDescent="0.25">
      <c r="A2005" s="10">
        <v>42732</v>
      </c>
      <c r="B2005" s="15">
        <f t="shared" si="62"/>
        <v>12</v>
      </c>
      <c r="C2005" s="15">
        <f t="shared" si="63"/>
        <v>2016</v>
      </c>
      <c r="D2005" s="13">
        <v>-24.26</v>
      </c>
      <c r="E2005" s="13">
        <v>13.500528490439129</v>
      </c>
      <c r="F2005" s="13">
        <v>-22.52</v>
      </c>
      <c r="G2005" s="13"/>
      <c r="H2005" s="13">
        <v>30.59</v>
      </c>
      <c r="I2005" s="13">
        <v>20.399999999999999</v>
      </c>
      <c r="J2005" s="13"/>
      <c r="K2005" s="13"/>
    </row>
    <row r="2006" spans="1:11" x14ac:dyDescent="0.25">
      <c r="A2006" s="10">
        <v>42733</v>
      </c>
      <c r="B2006" s="15">
        <f t="shared" si="62"/>
        <v>12</v>
      </c>
      <c r="C2006" s="15">
        <f t="shared" si="63"/>
        <v>2016</v>
      </c>
      <c r="D2006" s="13">
        <v>-24.26</v>
      </c>
      <c r="E2006" s="13">
        <v>13.393708293612967</v>
      </c>
      <c r="F2006" s="13">
        <v>-22.52</v>
      </c>
      <c r="G2006" s="13"/>
      <c r="H2006" s="13">
        <v>30.59</v>
      </c>
      <c r="I2006" s="13">
        <v>20.399999999999999</v>
      </c>
      <c r="J2006" s="13"/>
      <c r="K2006" s="13"/>
    </row>
    <row r="2007" spans="1:11" x14ac:dyDescent="0.25">
      <c r="A2007" s="10">
        <v>42734</v>
      </c>
      <c r="B2007" s="15">
        <f t="shared" si="62"/>
        <v>12</v>
      </c>
      <c r="C2007" s="15">
        <f t="shared" si="63"/>
        <v>2016</v>
      </c>
      <c r="D2007" s="13">
        <v>-24.26</v>
      </c>
      <c r="E2007" s="13">
        <v>13.364405973556551</v>
      </c>
      <c r="F2007" s="13">
        <v>-22.52</v>
      </c>
      <c r="G2007" s="13"/>
      <c r="H2007" s="13">
        <v>30.59</v>
      </c>
      <c r="I2007" s="13">
        <v>20.399999999999999</v>
      </c>
      <c r="J2007" s="13"/>
      <c r="K2007" s="13"/>
    </row>
    <row r="2008" spans="1:11" x14ac:dyDescent="0.25">
      <c r="A2008" s="10">
        <v>42738</v>
      </c>
      <c r="B2008" s="15">
        <f t="shared" si="62"/>
        <v>1</v>
      </c>
      <c r="C2008" s="15">
        <f t="shared" si="63"/>
        <v>2017</v>
      </c>
      <c r="D2008" s="13">
        <v>-14.55</v>
      </c>
      <c r="E2008" s="13">
        <v>27.249134948096888</v>
      </c>
      <c r="F2008" s="13">
        <v>-11.24</v>
      </c>
      <c r="G2008" s="13"/>
      <c r="H2008" s="13">
        <v>43.45</v>
      </c>
      <c r="I2008" s="13">
        <v>38.18</v>
      </c>
      <c r="J2008" s="13"/>
      <c r="K2008" s="13"/>
    </row>
    <row r="2009" spans="1:11" x14ac:dyDescent="0.25">
      <c r="A2009" s="10">
        <v>42739</v>
      </c>
      <c r="B2009" s="15">
        <f t="shared" si="62"/>
        <v>1</v>
      </c>
      <c r="C2009" s="15">
        <f t="shared" si="63"/>
        <v>2017</v>
      </c>
      <c r="D2009" s="13">
        <v>-14.55</v>
      </c>
      <c r="E2009" s="13">
        <v>27.036048064085449</v>
      </c>
      <c r="F2009" s="13">
        <v>-11.24</v>
      </c>
      <c r="G2009" s="13"/>
      <c r="H2009" s="13">
        <v>43.45</v>
      </c>
      <c r="I2009" s="13">
        <v>38.18</v>
      </c>
      <c r="J2009" s="13"/>
      <c r="K2009" s="13"/>
    </row>
    <row r="2010" spans="1:11" x14ac:dyDescent="0.25">
      <c r="A2010" s="10">
        <v>42740</v>
      </c>
      <c r="B2010" s="15">
        <f t="shared" si="62"/>
        <v>1</v>
      </c>
      <c r="C2010" s="15">
        <f t="shared" si="63"/>
        <v>2017</v>
      </c>
      <c r="D2010" s="13">
        <v>-14.55</v>
      </c>
      <c r="E2010" s="13">
        <v>26.737715740828069</v>
      </c>
      <c r="F2010" s="13">
        <v>-11.24</v>
      </c>
      <c r="G2010" s="13"/>
      <c r="H2010" s="13">
        <v>43.45</v>
      </c>
      <c r="I2010" s="13">
        <v>38.18</v>
      </c>
      <c r="J2010" s="13"/>
      <c r="K2010" s="13"/>
    </row>
    <row r="2011" spans="1:11" x14ac:dyDescent="0.25">
      <c r="A2011" s="10">
        <v>42741</v>
      </c>
      <c r="B2011" s="15">
        <f t="shared" si="62"/>
        <v>1</v>
      </c>
      <c r="C2011" s="15">
        <f t="shared" si="63"/>
        <v>2017</v>
      </c>
      <c r="D2011" s="13">
        <v>-14.55</v>
      </c>
      <c r="E2011" s="13">
        <v>26.923076923076927</v>
      </c>
      <c r="F2011" s="13">
        <v>-11.24</v>
      </c>
      <c r="G2011" s="13"/>
      <c r="H2011" s="13">
        <v>43.45</v>
      </c>
      <c r="I2011" s="13">
        <v>38.18</v>
      </c>
      <c r="J2011" s="13"/>
      <c r="K2011" s="13"/>
    </row>
    <row r="2012" spans="1:11" x14ac:dyDescent="0.25">
      <c r="A2012" s="10">
        <v>42744</v>
      </c>
      <c r="B2012" s="15">
        <f t="shared" si="62"/>
        <v>1</v>
      </c>
      <c r="C2012" s="15">
        <f t="shared" si="63"/>
        <v>2017</v>
      </c>
      <c r="D2012" s="13">
        <v>-8.59</v>
      </c>
      <c r="E2012" s="13">
        <v>27.37419598940598</v>
      </c>
      <c r="F2012" s="13">
        <v>0.84</v>
      </c>
      <c r="G2012" s="13"/>
      <c r="H2012" s="13">
        <v>59.18</v>
      </c>
      <c r="I2012" s="13">
        <v>58.56</v>
      </c>
      <c r="J2012" s="13"/>
      <c r="K2012" s="13"/>
    </row>
    <row r="2013" spans="1:11" x14ac:dyDescent="0.25">
      <c r="A2013" s="10">
        <v>42745</v>
      </c>
      <c r="B2013" s="15">
        <f t="shared" si="62"/>
        <v>1</v>
      </c>
      <c r="C2013" s="15">
        <f t="shared" si="63"/>
        <v>2017</v>
      </c>
      <c r="D2013" s="13">
        <v>-8.59</v>
      </c>
      <c r="E2013" s="13">
        <v>27.423481474462243</v>
      </c>
      <c r="F2013" s="13">
        <v>0.84</v>
      </c>
      <c r="G2013" s="13"/>
      <c r="H2013" s="13">
        <v>59.18</v>
      </c>
      <c r="I2013" s="13">
        <v>58.56</v>
      </c>
      <c r="J2013" s="13"/>
      <c r="K2013" s="13"/>
    </row>
    <row r="2014" spans="1:11" x14ac:dyDescent="0.25">
      <c r="A2014" s="10">
        <v>42746</v>
      </c>
      <c r="B2014" s="15">
        <f t="shared" si="62"/>
        <v>1</v>
      </c>
      <c r="C2014" s="15">
        <f t="shared" si="63"/>
        <v>2017</v>
      </c>
      <c r="D2014" s="13">
        <v>-8.59</v>
      </c>
      <c r="E2014" s="13">
        <v>27.353497164461249</v>
      </c>
      <c r="F2014" s="13">
        <v>0.84</v>
      </c>
      <c r="G2014" s="13"/>
      <c r="H2014" s="13">
        <v>59.18</v>
      </c>
      <c r="I2014" s="13">
        <v>58.56</v>
      </c>
      <c r="J2014" s="13"/>
      <c r="K2014" s="13"/>
    </row>
    <row r="2015" spans="1:11" x14ac:dyDescent="0.25">
      <c r="A2015" s="10">
        <v>42747</v>
      </c>
      <c r="B2015" s="15">
        <f t="shared" si="62"/>
        <v>1</v>
      </c>
      <c r="C2015" s="15">
        <f t="shared" si="63"/>
        <v>2017</v>
      </c>
      <c r="D2015" s="13">
        <v>-8.59</v>
      </c>
      <c r="E2015" s="13">
        <v>27.276154571159285</v>
      </c>
      <c r="F2015" s="13">
        <v>0.84</v>
      </c>
      <c r="G2015" s="13"/>
      <c r="H2015" s="13">
        <v>59.18</v>
      </c>
      <c r="I2015" s="13">
        <v>58.56</v>
      </c>
      <c r="J2015" s="13"/>
      <c r="K2015" s="13"/>
    </row>
    <row r="2016" spans="1:11" x14ac:dyDescent="0.25">
      <c r="A2016" s="10">
        <v>42748</v>
      </c>
      <c r="B2016" s="15">
        <f t="shared" si="62"/>
        <v>1</v>
      </c>
      <c r="C2016" s="15">
        <f t="shared" si="63"/>
        <v>2017</v>
      </c>
      <c r="D2016" s="13">
        <v>-8.59</v>
      </c>
      <c r="E2016" s="13">
        <v>27.196692040221784</v>
      </c>
      <c r="F2016" s="13">
        <v>0.84</v>
      </c>
      <c r="G2016" s="13"/>
      <c r="H2016" s="13">
        <v>59.18</v>
      </c>
      <c r="I2016" s="13">
        <v>58.56</v>
      </c>
      <c r="J2016" s="13"/>
      <c r="K2016" s="13"/>
    </row>
    <row r="2017" spans="1:11" x14ac:dyDescent="0.25">
      <c r="A2017" s="10">
        <v>42752</v>
      </c>
      <c r="B2017" s="15">
        <f t="shared" si="62"/>
        <v>1</v>
      </c>
      <c r="C2017" s="15">
        <f t="shared" si="63"/>
        <v>2017</v>
      </c>
      <c r="D2017" s="13">
        <v>-4.18</v>
      </c>
      <c r="E2017" s="13">
        <v>32.533607169529503</v>
      </c>
      <c r="F2017" s="13">
        <v>17.579999999999998</v>
      </c>
      <c r="G2017" s="13"/>
      <c r="H2017" s="13">
        <v>54.45</v>
      </c>
      <c r="I2017" s="13">
        <v>75.430000000000007</v>
      </c>
      <c r="J2017" s="13"/>
      <c r="K2017" s="13"/>
    </row>
    <row r="2018" spans="1:11" x14ac:dyDescent="0.25">
      <c r="A2018" s="10">
        <v>42753</v>
      </c>
      <c r="B2018" s="15">
        <f t="shared" si="62"/>
        <v>1</v>
      </c>
      <c r="C2018" s="15">
        <f t="shared" si="63"/>
        <v>2017</v>
      </c>
      <c r="D2018" s="13">
        <v>-4.18</v>
      </c>
      <c r="E2018" s="13">
        <v>32.784571966133591</v>
      </c>
      <c r="F2018" s="13">
        <v>17.579999999999998</v>
      </c>
      <c r="G2018" s="13"/>
      <c r="H2018" s="13">
        <v>54.45</v>
      </c>
      <c r="I2018" s="13">
        <v>75.430000000000007</v>
      </c>
      <c r="J2018" s="13"/>
      <c r="K2018" s="13"/>
    </row>
    <row r="2019" spans="1:11" x14ac:dyDescent="0.25">
      <c r="A2019" s="10">
        <v>42754</v>
      </c>
      <c r="B2019" s="15">
        <f t="shared" si="62"/>
        <v>1</v>
      </c>
      <c r="C2019" s="15">
        <f t="shared" si="63"/>
        <v>2017</v>
      </c>
      <c r="D2019" s="13">
        <v>-4.18</v>
      </c>
      <c r="E2019" s="13">
        <v>32.683109819000279</v>
      </c>
      <c r="F2019" s="13">
        <v>17.579999999999998</v>
      </c>
      <c r="G2019" s="13"/>
      <c r="H2019" s="13">
        <v>54.45</v>
      </c>
      <c r="I2019" s="13">
        <v>75.430000000000007</v>
      </c>
      <c r="J2019" s="13"/>
      <c r="K2019" s="13"/>
    </row>
    <row r="2020" spans="1:11" x14ac:dyDescent="0.25">
      <c r="A2020" s="10">
        <v>42755</v>
      </c>
      <c r="B2020" s="15">
        <f t="shared" si="62"/>
        <v>1</v>
      </c>
      <c r="C2020" s="15">
        <f t="shared" si="63"/>
        <v>2017</v>
      </c>
      <c r="D2020" s="13">
        <v>-4.18</v>
      </c>
      <c r="E2020" s="13">
        <v>32.573137676418355</v>
      </c>
      <c r="F2020" s="13">
        <v>17.579999999999998</v>
      </c>
      <c r="G2020" s="13"/>
      <c r="H2020" s="13">
        <v>54.45</v>
      </c>
      <c r="I2020" s="13">
        <v>75.430000000000007</v>
      </c>
      <c r="J2020" s="13"/>
      <c r="K2020" s="13"/>
    </row>
    <row r="2021" spans="1:11" x14ac:dyDescent="0.25">
      <c r="A2021" s="10">
        <v>42758</v>
      </c>
      <c r="B2021" s="15">
        <f t="shared" si="62"/>
        <v>1</v>
      </c>
      <c r="C2021" s="15">
        <f t="shared" si="63"/>
        <v>2017</v>
      </c>
      <c r="D2021" s="13">
        <v>8.9</v>
      </c>
      <c r="E2021" s="13">
        <v>25.462317628473187</v>
      </c>
      <c r="F2021" s="13">
        <v>27.44</v>
      </c>
      <c r="G2021" s="13"/>
      <c r="H2021" s="13">
        <v>63.1</v>
      </c>
      <c r="I2021" s="13">
        <v>60.13</v>
      </c>
      <c r="J2021" s="13"/>
      <c r="K2021" s="13"/>
    </row>
    <row r="2022" spans="1:11" x14ac:dyDescent="0.25">
      <c r="A2022" s="10">
        <v>42759</v>
      </c>
      <c r="B2022" s="15">
        <f t="shared" si="62"/>
        <v>1</v>
      </c>
      <c r="C2022" s="15">
        <f t="shared" si="63"/>
        <v>2017</v>
      </c>
      <c r="D2022" s="13">
        <v>8.9</v>
      </c>
      <c r="E2022" s="13">
        <v>25.535880708294503</v>
      </c>
      <c r="F2022" s="13">
        <v>27.44</v>
      </c>
      <c r="G2022" s="13"/>
      <c r="H2022" s="13">
        <v>63.1</v>
      </c>
      <c r="I2022" s="13">
        <v>60.13</v>
      </c>
      <c r="J2022" s="13"/>
      <c r="K2022" s="13"/>
    </row>
    <row r="2023" spans="1:11" x14ac:dyDescent="0.25">
      <c r="A2023" s="10">
        <v>42760</v>
      </c>
      <c r="B2023" s="15">
        <f t="shared" si="62"/>
        <v>1</v>
      </c>
      <c r="C2023" s="15">
        <f t="shared" si="63"/>
        <v>2017</v>
      </c>
      <c r="D2023" s="13">
        <v>8.9</v>
      </c>
      <c r="E2023" s="13">
        <v>25.502606105733431</v>
      </c>
      <c r="F2023" s="13">
        <v>27.44</v>
      </c>
      <c r="G2023" s="13"/>
      <c r="H2023" s="13">
        <v>63.1</v>
      </c>
      <c r="I2023" s="13">
        <v>60.13</v>
      </c>
      <c r="J2023" s="13"/>
      <c r="K2023" s="13"/>
    </row>
    <row r="2024" spans="1:11" x14ac:dyDescent="0.25">
      <c r="A2024" s="10">
        <v>42761</v>
      </c>
      <c r="B2024" s="15">
        <f t="shared" si="62"/>
        <v>1</v>
      </c>
      <c r="C2024" s="15">
        <f t="shared" si="63"/>
        <v>2017</v>
      </c>
      <c r="D2024" s="13">
        <v>8.9</v>
      </c>
      <c r="E2024" s="13">
        <v>25.655430711610485</v>
      </c>
      <c r="F2024" s="13">
        <v>27.44</v>
      </c>
      <c r="G2024" s="13"/>
      <c r="H2024" s="13">
        <v>63.1</v>
      </c>
      <c r="I2024" s="13">
        <v>60.13</v>
      </c>
      <c r="J2024" s="13"/>
      <c r="K2024" s="13"/>
    </row>
    <row r="2025" spans="1:11" x14ac:dyDescent="0.25">
      <c r="A2025" s="10">
        <v>42762</v>
      </c>
      <c r="B2025" s="15">
        <f t="shared" si="62"/>
        <v>1</v>
      </c>
      <c r="C2025" s="15">
        <f t="shared" si="63"/>
        <v>2017</v>
      </c>
      <c r="D2025" s="13">
        <v>8.9</v>
      </c>
      <c r="E2025" s="13">
        <v>25.621844024686741</v>
      </c>
      <c r="F2025" s="13">
        <v>27.44</v>
      </c>
      <c r="G2025" s="13"/>
      <c r="H2025" s="13">
        <v>63.1</v>
      </c>
      <c r="I2025" s="13">
        <v>60.13</v>
      </c>
      <c r="J2025" s="13"/>
      <c r="K2025" s="13"/>
    </row>
    <row r="2026" spans="1:11" x14ac:dyDescent="0.25">
      <c r="A2026" s="10">
        <v>42765</v>
      </c>
      <c r="B2026" s="15">
        <f t="shared" si="62"/>
        <v>1</v>
      </c>
      <c r="C2026" s="15">
        <f t="shared" si="63"/>
        <v>2017</v>
      </c>
      <c r="D2026" s="13">
        <v>0.92</v>
      </c>
      <c r="E2026" s="13">
        <v>15.759446315001872</v>
      </c>
      <c r="F2026" s="13">
        <v>11.28</v>
      </c>
      <c r="G2026" s="13"/>
      <c r="H2026" s="13">
        <v>60.3</v>
      </c>
      <c r="I2026" s="13">
        <v>62</v>
      </c>
      <c r="J2026" s="13"/>
      <c r="K2026" s="13"/>
    </row>
    <row r="2027" spans="1:11" x14ac:dyDescent="0.25">
      <c r="A2027" s="10">
        <v>42766</v>
      </c>
      <c r="B2027" s="15">
        <f t="shared" si="62"/>
        <v>1</v>
      </c>
      <c r="C2027" s="15">
        <f t="shared" si="63"/>
        <v>2017</v>
      </c>
      <c r="D2027" s="13">
        <v>0.92</v>
      </c>
      <c r="E2027" s="13">
        <v>15.609078276980085</v>
      </c>
      <c r="F2027" s="13">
        <v>11.28</v>
      </c>
      <c r="G2027" s="13"/>
      <c r="H2027" s="13">
        <v>60.3</v>
      </c>
      <c r="I2027" s="13">
        <v>62</v>
      </c>
      <c r="J2027" s="13"/>
      <c r="K2027" s="13"/>
    </row>
    <row r="2028" spans="1:11" x14ac:dyDescent="0.25">
      <c r="A2028" s="10">
        <v>42767</v>
      </c>
      <c r="B2028" s="15">
        <f t="shared" si="62"/>
        <v>2</v>
      </c>
      <c r="C2028" s="15">
        <f t="shared" si="63"/>
        <v>2017</v>
      </c>
      <c r="D2028" s="13">
        <v>0.92</v>
      </c>
      <c r="E2028" s="13">
        <v>15.649670288845549</v>
      </c>
      <c r="F2028" s="13">
        <v>11.28</v>
      </c>
      <c r="G2028" s="13"/>
      <c r="H2028" s="13">
        <v>60.3</v>
      </c>
      <c r="I2028" s="13">
        <v>62</v>
      </c>
      <c r="J2028" s="13"/>
      <c r="K2028" s="13"/>
    </row>
    <row r="2029" spans="1:11" x14ac:dyDescent="0.25">
      <c r="A2029" s="10">
        <v>42768</v>
      </c>
      <c r="B2029" s="15">
        <f t="shared" si="62"/>
        <v>2</v>
      </c>
      <c r="C2029" s="15">
        <f t="shared" si="63"/>
        <v>2017</v>
      </c>
      <c r="D2029" s="13">
        <v>0.92</v>
      </c>
      <c r="E2029" s="13">
        <v>15.662762595277933</v>
      </c>
      <c r="F2029" s="13">
        <v>11.28</v>
      </c>
      <c r="G2029" s="13"/>
      <c r="H2029" s="13">
        <v>60.3</v>
      </c>
      <c r="I2029" s="13">
        <v>62</v>
      </c>
      <c r="J2029" s="13"/>
      <c r="K2029" s="13"/>
    </row>
    <row r="2030" spans="1:11" x14ac:dyDescent="0.25">
      <c r="A2030" s="10">
        <v>42769</v>
      </c>
      <c r="B2030" s="15">
        <f t="shared" si="62"/>
        <v>2</v>
      </c>
      <c r="C2030" s="15">
        <f t="shared" si="63"/>
        <v>2017</v>
      </c>
      <c r="D2030" s="13">
        <v>0.92</v>
      </c>
      <c r="E2030" s="13">
        <v>15.62934792690845</v>
      </c>
      <c r="F2030" s="13">
        <v>11.28</v>
      </c>
      <c r="G2030" s="13"/>
      <c r="H2030" s="13">
        <v>60.3</v>
      </c>
      <c r="I2030" s="13">
        <v>62</v>
      </c>
      <c r="J2030" s="13"/>
      <c r="K2030" s="13"/>
    </row>
    <row r="2031" spans="1:11" x14ac:dyDescent="0.25">
      <c r="A2031" s="10">
        <v>42772</v>
      </c>
      <c r="B2031" s="15">
        <f t="shared" si="62"/>
        <v>2</v>
      </c>
      <c r="C2031" s="15">
        <f t="shared" si="63"/>
        <v>2017</v>
      </c>
      <c r="D2031" s="13">
        <v>15.96</v>
      </c>
      <c r="E2031" s="13">
        <v>20.253046795050704</v>
      </c>
      <c r="F2031" s="13">
        <v>24.7</v>
      </c>
      <c r="G2031" s="13"/>
      <c r="H2031" s="13">
        <v>64.53</v>
      </c>
      <c r="I2031" s="13">
        <v>70.33</v>
      </c>
      <c r="J2031" s="13"/>
      <c r="K2031" s="13"/>
    </row>
    <row r="2032" spans="1:11" x14ac:dyDescent="0.25">
      <c r="A2032" s="10">
        <v>42773</v>
      </c>
      <c r="B2032" s="15">
        <f t="shared" si="62"/>
        <v>2</v>
      </c>
      <c r="C2032" s="15">
        <f t="shared" si="63"/>
        <v>2017</v>
      </c>
      <c r="D2032" s="13">
        <v>15.96</v>
      </c>
      <c r="E2032" s="13">
        <v>20.383895131086142</v>
      </c>
      <c r="F2032" s="13">
        <v>24.7</v>
      </c>
      <c r="G2032" s="13"/>
      <c r="H2032" s="13">
        <v>64.53</v>
      </c>
      <c r="I2032" s="13">
        <v>70.33</v>
      </c>
      <c r="J2032" s="13"/>
      <c r="K2032" s="13"/>
    </row>
    <row r="2033" spans="1:11" x14ac:dyDescent="0.25">
      <c r="A2033" s="10">
        <v>42774</v>
      </c>
      <c r="B2033" s="15">
        <f t="shared" si="62"/>
        <v>2</v>
      </c>
      <c r="C2033" s="15">
        <f t="shared" si="63"/>
        <v>2017</v>
      </c>
      <c r="D2033" s="13">
        <v>15.96</v>
      </c>
      <c r="E2033" s="13">
        <v>20.351500420678693</v>
      </c>
      <c r="F2033" s="13">
        <v>24.7</v>
      </c>
      <c r="G2033" s="13"/>
      <c r="H2033" s="13">
        <v>64.53</v>
      </c>
      <c r="I2033" s="13">
        <v>70.33</v>
      </c>
      <c r="J2033" s="13"/>
      <c r="K2033" s="13"/>
    </row>
    <row r="2034" spans="1:11" x14ac:dyDescent="0.25">
      <c r="A2034" s="10">
        <v>42775</v>
      </c>
      <c r="B2034" s="15">
        <f t="shared" si="62"/>
        <v>2</v>
      </c>
      <c r="C2034" s="15">
        <f t="shared" si="63"/>
        <v>2017</v>
      </c>
      <c r="D2034" s="13">
        <v>15.96</v>
      </c>
      <c r="E2034" s="13">
        <v>20.433639947437584</v>
      </c>
      <c r="F2034" s="13">
        <v>24.7</v>
      </c>
      <c r="G2034" s="13"/>
      <c r="H2034" s="13">
        <v>64.53</v>
      </c>
      <c r="I2034" s="13">
        <v>70.33</v>
      </c>
      <c r="J2034" s="13"/>
      <c r="K2034" s="13"/>
    </row>
    <row r="2035" spans="1:11" x14ac:dyDescent="0.25">
      <c r="A2035" s="10">
        <v>42776</v>
      </c>
      <c r="B2035" s="15">
        <f t="shared" si="62"/>
        <v>2</v>
      </c>
      <c r="C2035" s="15">
        <f t="shared" si="63"/>
        <v>2017</v>
      </c>
      <c r="D2035" s="13">
        <v>15.96</v>
      </c>
      <c r="E2035" s="13">
        <v>20.464373002444066</v>
      </c>
      <c r="F2035" s="13">
        <v>24.7</v>
      </c>
      <c r="G2035" s="13"/>
      <c r="H2035" s="13">
        <v>64.53</v>
      </c>
      <c r="I2035" s="13">
        <v>70.33</v>
      </c>
      <c r="J2035" s="13"/>
      <c r="K2035" s="13"/>
    </row>
    <row r="2036" spans="1:11" x14ac:dyDescent="0.25">
      <c r="A2036" s="10">
        <v>42779</v>
      </c>
      <c r="B2036" s="15">
        <f t="shared" si="62"/>
        <v>2</v>
      </c>
      <c r="C2036" s="15">
        <f t="shared" si="63"/>
        <v>2017</v>
      </c>
      <c r="D2036" s="13">
        <v>10.63</v>
      </c>
      <c r="E2036" s="13">
        <v>27.017080305746905</v>
      </c>
      <c r="F2036" s="13">
        <v>29.86</v>
      </c>
      <c r="G2036" s="13"/>
      <c r="H2036" s="13">
        <v>59.01</v>
      </c>
      <c r="I2036" s="13">
        <v>61.24</v>
      </c>
      <c r="J2036" s="13"/>
      <c r="K2036" s="13"/>
    </row>
    <row r="2037" spans="1:11" x14ac:dyDescent="0.25">
      <c r="A2037" s="10">
        <v>42780</v>
      </c>
      <c r="B2037" s="15">
        <f t="shared" si="62"/>
        <v>2</v>
      </c>
      <c r="C2037" s="15">
        <f t="shared" si="63"/>
        <v>2017</v>
      </c>
      <c r="D2037" s="13">
        <v>10.63</v>
      </c>
      <c r="E2037" s="13">
        <v>27.068166776968891</v>
      </c>
      <c r="F2037" s="13">
        <v>29.86</v>
      </c>
      <c r="G2037" s="13"/>
      <c r="H2037" s="13">
        <v>59.01</v>
      </c>
      <c r="I2037" s="13">
        <v>61.24</v>
      </c>
      <c r="J2037" s="13"/>
      <c r="K2037" s="13"/>
    </row>
    <row r="2038" spans="1:11" x14ac:dyDescent="0.25">
      <c r="A2038" s="10">
        <v>42781</v>
      </c>
      <c r="B2038" s="15">
        <f t="shared" si="62"/>
        <v>2</v>
      </c>
      <c r="C2038" s="15">
        <f t="shared" si="63"/>
        <v>2017</v>
      </c>
      <c r="D2038" s="13">
        <v>10.63</v>
      </c>
      <c r="E2038" s="13">
        <v>27.014531043593127</v>
      </c>
      <c r="F2038" s="13">
        <v>29.86</v>
      </c>
      <c r="G2038" s="13"/>
      <c r="H2038" s="13">
        <v>59.01</v>
      </c>
      <c r="I2038" s="13">
        <v>61.24</v>
      </c>
      <c r="J2038" s="13"/>
      <c r="K2038" s="13"/>
    </row>
    <row r="2039" spans="1:11" x14ac:dyDescent="0.25">
      <c r="A2039" s="10">
        <v>42782</v>
      </c>
      <c r="B2039" s="15">
        <f t="shared" si="62"/>
        <v>2</v>
      </c>
      <c r="C2039" s="15">
        <f t="shared" si="63"/>
        <v>2017</v>
      </c>
      <c r="D2039" s="13">
        <v>10.63</v>
      </c>
      <c r="E2039" s="13">
        <v>26.82721139430285</v>
      </c>
      <c r="F2039" s="13">
        <v>29.86</v>
      </c>
      <c r="G2039" s="13"/>
      <c r="H2039" s="13">
        <v>59.01</v>
      </c>
      <c r="I2039" s="13">
        <v>61.24</v>
      </c>
      <c r="J2039" s="13"/>
      <c r="K2039" s="13"/>
    </row>
    <row r="2040" spans="1:11" x14ac:dyDescent="0.25">
      <c r="A2040" s="10">
        <v>42783</v>
      </c>
      <c r="B2040" s="15">
        <f t="shared" si="62"/>
        <v>2</v>
      </c>
      <c r="C2040" s="15">
        <f t="shared" si="63"/>
        <v>2017</v>
      </c>
      <c r="D2040" s="13">
        <v>10.63</v>
      </c>
      <c r="E2040" s="13">
        <v>26.981434360569221</v>
      </c>
      <c r="F2040" s="13">
        <v>29.86</v>
      </c>
      <c r="G2040" s="13"/>
      <c r="H2040" s="13">
        <v>59.01</v>
      </c>
      <c r="I2040" s="13">
        <v>61.24</v>
      </c>
      <c r="J2040" s="13"/>
      <c r="K2040" s="13"/>
    </row>
    <row r="2041" spans="1:11" x14ac:dyDescent="0.25">
      <c r="A2041" s="10">
        <v>42787</v>
      </c>
      <c r="B2041" s="15">
        <f t="shared" si="62"/>
        <v>2</v>
      </c>
      <c r="C2041" s="15">
        <f t="shared" si="63"/>
        <v>2017</v>
      </c>
      <c r="D2041" s="13">
        <v>32.36</v>
      </c>
      <c r="E2041" s="13">
        <v>32.01708590412909</v>
      </c>
      <c r="F2041" s="13">
        <v>47.58</v>
      </c>
      <c r="G2041" s="13"/>
      <c r="H2041" s="13">
        <v>83.98</v>
      </c>
      <c r="I2041" s="13">
        <v>81.430000000000007</v>
      </c>
      <c r="J2041" s="13"/>
      <c r="K2041" s="13"/>
    </row>
    <row r="2042" spans="1:11" x14ac:dyDescent="0.25">
      <c r="A2042" s="10">
        <v>42788</v>
      </c>
      <c r="B2042" s="15">
        <f t="shared" si="62"/>
        <v>2</v>
      </c>
      <c r="C2042" s="15">
        <f t="shared" si="63"/>
        <v>2017</v>
      </c>
      <c r="D2042" s="13">
        <v>32.36</v>
      </c>
      <c r="E2042" s="13">
        <v>31.956418758882041</v>
      </c>
      <c r="F2042" s="13">
        <v>47.58</v>
      </c>
      <c r="G2042" s="13"/>
      <c r="H2042" s="13">
        <v>83.98</v>
      </c>
      <c r="I2042" s="13">
        <v>81.430000000000007</v>
      </c>
      <c r="J2042" s="13"/>
      <c r="K2042" s="13"/>
    </row>
    <row r="2043" spans="1:11" x14ac:dyDescent="0.25">
      <c r="A2043" s="10">
        <v>42789</v>
      </c>
      <c r="B2043" s="15">
        <f t="shared" si="62"/>
        <v>2</v>
      </c>
      <c r="C2043" s="15">
        <f t="shared" si="63"/>
        <v>2017</v>
      </c>
      <c r="D2043" s="13">
        <v>32.36</v>
      </c>
      <c r="E2043" s="13">
        <v>31.88392097551753</v>
      </c>
      <c r="F2043" s="13">
        <v>47.58</v>
      </c>
      <c r="G2043" s="13"/>
      <c r="H2043" s="13">
        <v>83.98</v>
      </c>
      <c r="I2043" s="13">
        <v>81.430000000000007</v>
      </c>
      <c r="J2043" s="13"/>
      <c r="K2043" s="13"/>
    </row>
    <row r="2044" spans="1:11" x14ac:dyDescent="0.25">
      <c r="A2044" s="10">
        <v>42790</v>
      </c>
      <c r="B2044" s="15">
        <f t="shared" si="62"/>
        <v>2</v>
      </c>
      <c r="C2044" s="15">
        <f t="shared" si="63"/>
        <v>2017</v>
      </c>
      <c r="D2044" s="13">
        <v>32.36</v>
      </c>
      <c r="E2044" s="13">
        <v>31.941287878787875</v>
      </c>
      <c r="F2044" s="13">
        <v>47.58</v>
      </c>
      <c r="G2044" s="13"/>
      <c r="H2044" s="13">
        <v>83.98</v>
      </c>
      <c r="I2044" s="13">
        <v>81.430000000000007</v>
      </c>
      <c r="J2044" s="13"/>
      <c r="K2044" s="13"/>
    </row>
    <row r="2045" spans="1:11" x14ac:dyDescent="0.25">
      <c r="A2045" s="10">
        <v>42793</v>
      </c>
      <c r="B2045" s="15">
        <f t="shared" si="62"/>
        <v>2</v>
      </c>
      <c r="C2045" s="15">
        <f t="shared" si="63"/>
        <v>2017</v>
      </c>
      <c r="D2045" s="13">
        <v>42.52</v>
      </c>
      <c r="E2045" s="13">
        <v>23.070382616910724</v>
      </c>
      <c r="F2045" s="13">
        <v>59.48</v>
      </c>
      <c r="G2045" s="13"/>
      <c r="H2045" s="13">
        <v>97.8</v>
      </c>
      <c r="I2045" s="13">
        <v>75.010000000000005</v>
      </c>
      <c r="J2045" s="13"/>
      <c r="K2045" s="13"/>
    </row>
    <row r="2046" spans="1:11" x14ac:dyDescent="0.25">
      <c r="A2046" s="10">
        <v>42794</v>
      </c>
      <c r="B2046" s="15">
        <f t="shared" si="62"/>
        <v>2</v>
      </c>
      <c r="C2046" s="15">
        <f t="shared" si="63"/>
        <v>2017</v>
      </c>
      <c r="D2046" s="13">
        <v>42.52</v>
      </c>
      <c r="E2046" s="13">
        <v>23.092198581560282</v>
      </c>
      <c r="F2046" s="13">
        <v>59.48</v>
      </c>
      <c r="G2046" s="13"/>
      <c r="H2046" s="13">
        <v>97.8</v>
      </c>
      <c r="I2046" s="13">
        <v>75.010000000000005</v>
      </c>
      <c r="J2046" s="13"/>
      <c r="K2046" s="13"/>
    </row>
    <row r="2047" spans="1:11" x14ac:dyDescent="0.25">
      <c r="A2047" s="10">
        <v>42795</v>
      </c>
      <c r="B2047" s="15">
        <f t="shared" si="62"/>
        <v>3</v>
      </c>
      <c r="C2047" s="15">
        <f t="shared" si="63"/>
        <v>2017</v>
      </c>
      <c r="D2047" s="13">
        <v>42.52</v>
      </c>
      <c r="E2047" s="13">
        <v>23.155698843163286</v>
      </c>
      <c r="F2047" s="13">
        <v>59.48</v>
      </c>
      <c r="G2047" s="13"/>
      <c r="H2047" s="13">
        <v>97.8</v>
      </c>
      <c r="I2047" s="13">
        <v>75.010000000000005</v>
      </c>
      <c r="J2047" s="13"/>
      <c r="K2047" s="13"/>
    </row>
    <row r="2048" spans="1:11" x14ac:dyDescent="0.25">
      <c r="A2048" s="10">
        <v>42796</v>
      </c>
      <c r="B2048" s="15">
        <f t="shared" si="62"/>
        <v>3</v>
      </c>
      <c r="C2048" s="15">
        <f t="shared" si="63"/>
        <v>2017</v>
      </c>
      <c r="D2048" s="13">
        <v>42.52</v>
      </c>
      <c r="E2048" s="13">
        <v>23.24386065105654</v>
      </c>
      <c r="F2048" s="13">
        <v>59.48</v>
      </c>
      <c r="G2048" s="13"/>
      <c r="H2048" s="13">
        <v>97.8</v>
      </c>
      <c r="I2048" s="13">
        <v>75.010000000000005</v>
      </c>
      <c r="J2048" s="13"/>
      <c r="K2048" s="13"/>
    </row>
    <row r="2049" spans="1:11" x14ac:dyDescent="0.25">
      <c r="A2049" s="10">
        <v>42797</v>
      </c>
      <c r="B2049" s="15">
        <f t="shared" si="62"/>
        <v>3</v>
      </c>
      <c r="C2049" s="15">
        <f t="shared" si="63"/>
        <v>2017</v>
      </c>
      <c r="D2049" s="13">
        <v>42.52</v>
      </c>
      <c r="E2049" s="13">
        <v>22.994350282485875</v>
      </c>
      <c r="F2049" s="13">
        <v>59.48</v>
      </c>
      <c r="G2049" s="13"/>
      <c r="H2049" s="13">
        <v>97.8</v>
      </c>
      <c r="I2049" s="13">
        <v>75.010000000000005</v>
      </c>
      <c r="J2049" s="13"/>
      <c r="K2049" s="13"/>
    </row>
    <row r="2050" spans="1:11" x14ac:dyDescent="0.25">
      <c r="A2050" s="10">
        <v>42800</v>
      </c>
      <c r="B2050" s="15">
        <f t="shared" si="62"/>
        <v>3</v>
      </c>
      <c r="C2050" s="15">
        <f t="shared" si="63"/>
        <v>2017</v>
      </c>
      <c r="D2050" s="13">
        <v>29.29</v>
      </c>
      <c r="E2050" s="13">
        <v>-10.304405369635091</v>
      </c>
      <c r="F2050" s="13">
        <v>44.52</v>
      </c>
      <c r="G2050" s="13"/>
      <c r="H2050" s="13">
        <v>79.930000000000007</v>
      </c>
      <c r="I2050" s="13">
        <v>81.31</v>
      </c>
      <c r="J2050" s="13"/>
      <c r="K2050" s="13"/>
    </row>
    <row r="2051" spans="1:11" x14ac:dyDescent="0.25">
      <c r="A2051" s="10">
        <v>42801</v>
      </c>
      <c r="B2051" s="15">
        <f t="shared" ref="B2051:B2114" si="64">MONTH(A2051)</f>
        <v>3</v>
      </c>
      <c r="C2051" s="15">
        <f t="shared" ref="C2051:C2114" si="65">YEAR(A2051)</f>
        <v>2017</v>
      </c>
      <c r="D2051" s="13">
        <v>29.29</v>
      </c>
      <c r="E2051" s="13">
        <v>-10.317084713677236</v>
      </c>
      <c r="F2051" s="13">
        <v>44.52</v>
      </c>
      <c r="G2051" s="13"/>
      <c r="H2051" s="13">
        <v>79.930000000000007</v>
      </c>
      <c r="I2051" s="13">
        <v>81.31</v>
      </c>
      <c r="J2051" s="13"/>
      <c r="K2051" s="13"/>
    </row>
    <row r="2052" spans="1:11" x14ac:dyDescent="0.25">
      <c r="A2052" s="10">
        <v>42802</v>
      </c>
      <c r="B2052" s="15">
        <f t="shared" si="64"/>
        <v>3</v>
      </c>
      <c r="C2052" s="15">
        <f t="shared" si="65"/>
        <v>2017</v>
      </c>
      <c r="D2052" s="13">
        <v>29.29</v>
      </c>
      <c r="E2052" s="13">
        <v>-10.34253724262264</v>
      </c>
      <c r="F2052" s="13">
        <v>44.52</v>
      </c>
      <c r="G2052" s="13"/>
      <c r="H2052" s="13">
        <v>79.930000000000007</v>
      </c>
      <c r="I2052" s="13">
        <v>81.31</v>
      </c>
      <c r="J2052" s="13"/>
      <c r="K2052" s="13"/>
    </row>
    <row r="2053" spans="1:11" x14ac:dyDescent="0.25">
      <c r="A2053" s="10">
        <v>42803</v>
      </c>
      <c r="B2053" s="15">
        <f t="shared" si="64"/>
        <v>3</v>
      </c>
      <c r="C2053" s="15">
        <f t="shared" si="65"/>
        <v>2017</v>
      </c>
      <c r="D2053" s="13">
        <v>29.29</v>
      </c>
      <c r="E2053" s="13">
        <v>-10.307328605200945</v>
      </c>
      <c r="F2053" s="13">
        <v>44.52</v>
      </c>
      <c r="G2053" s="13"/>
      <c r="H2053" s="13">
        <v>79.930000000000007</v>
      </c>
      <c r="I2053" s="13">
        <v>81.31</v>
      </c>
      <c r="J2053" s="13"/>
      <c r="K2053" s="13"/>
    </row>
    <row r="2054" spans="1:11" x14ac:dyDescent="0.25">
      <c r="A2054" s="10">
        <v>42804</v>
      </c>
      <c r="B2054" s="15">
        <f t="shared" si="64"/>
        <v>3</v>
      </c>
      <c r="C2054" s="15">
        <f t="shared" si="65"/>
        <v>2017</v>
      </c>
      <c r="D2054" s="13">
        <v>29.29</v>
      </c>
      <c r="E2054" s="13">
        <v>-10.216515137313714</v>
      </c>
      <c r="F2054" s="13">
        <v>44.52</v>
      </c>
      <c r="G2054" s="13"/>
      <c r="H2054" s="13">
        <v>79.930000000000007</v>
      </c>
      <c r="I2054" s="13">
        <v>81.31</v>
      </c>
      <c r="J2054" s="13"/>
      <c r="K2054" s="13"/>
    </row>
    <row r="2055" spans="1:11" x14ac:dyDescent="0.25">
      <c r="A2055" s="10">
        <v>42807</v>
      </c>
      <c r="B2055" s="15">
        <f t="shared" si="64"/>
        <v>3</v>
      </c>
      <c r="C2055" s="15">
        <f t="shared" si="65"/>
        <v>2017</v>
      </c>
      <c r="D2055" s="13">
        <v>32.83</v>
      </c>
      <c r="E2055" s="13">
        <v>16.530554773303297</v>
      </c>
      <c r="F2055" s="13">
        <v>46.85</v>
      </c>
      <c r="G2055" s="13"/>
      <c r="H2055" s="13">
        <v>94.54</v>
      </c>
      <c r="I2055" s="13">
        <v>82.17</v>
      </c>
      <c r="J2055" s="13"/>
      <c r="K2055" s="13"/>
    </row>
    <row r="2056" spans="1:11" x14ac:dyDescent="0.25">
      <c r="A2056" s="10">
        <v>42808</v>
      </c>
      <c r="B2056" s="15">
        <f t="shared" si="64"/>
        <v>3</v>
      </c>
      <c r="C2056" s="15">
        <f t="shared" si="65"/>
        <v>2017</v>
      </c>
      <c r="D2056" s="13">
        <v>32.83</v>
      </c>
      <c r="E2056" s="13">
        <v>16.610073571024333</v>
      </c>
      <c r="F2056" s="13">
        <v>46.85</v>
      </c>
      <c r="G2056" s="13"/>
      <c r="H2056" s="13">
        <v>94.54</v>
      </c>
      <c r="I2056" s="13">
        <v>82.17</v>
      </c>
      <c r="J2056" s="13"/>
      <c r="K2056" s="13"/>
    </row>
    <row r="2057" spans="1:11" x14ac:dyDescent="0.25">
      <c r="A2057" s="10">
        <v>42809</v>
      </c>
      <c r="B2057" s="15">
        <f t="shared" si="64"/>
        <v>3</v>
      </c>
      <c r="C2057" s="15">
        <f t="shared" si="65"/>
        <v>2017</v>
      </c>
      <c r="D2057" s="13">
        <v>32.83</v>
      </c>
      <c r="E2057" s="13">
        <v>16.408870667163622</v>
      </c>
      <c r="F2057" s="13">
        <v>46.85</v>
      </c>
      <c r="G2057" s="13"/>
      <c r="H2057" s="13">
        <v>94.54</v>
      </c>
      <c r="I2057" s="13">
        <v>82.17</v>
      </c>
      <c r="J2057" s="13"/>
      <c r="K2057" s="13"/>
    </row>
    <row r="2058" spans="1:11" x14ac:dyDescent="0.25">
      <c r="A2058" s="10">
        <v>42810</v>
      </c>
      <c r="B2058" s="15">
        <f t="shared" si="64"/>
        <v>3</v>
      </c>
      <c r="C2058" s="15">
        <f t="shared" si="65"/>
        <v>2017</v>
      </c>
      <c r="D2058" s="13">
        <v>32.83</v>
      </c>
      <c r="E2058" s="13">
        <v>16.360089186176143</v>
      </c>
      <c r="F2058" s="13">
        <v>46.85</v>
      </c>
      <c r="G2058" s="13"/>
      <c r="H2058" s="13">
        <v>94.54</v>
      </c>
      <c r="I2058" s="13">
        <v>82.17</v>
      </c>
      <c r="J2058" s="13"/>
      <c r="K2058" s="13"/>
    </row>
    <row r="2059" spans="1:11" x14ac:dyDescent="0.25">
      <c r="A2059" s="10">
        <v>42811</v>
      </c>
      <c r="B2059" s="15">
        <f t="shared" si="64"/>
        <v>3</v>
      </c>
      <c r="C2059" s="15">
        <f t="shared" si="65"/>
        <v>2017</v>
      </c>
      <c r="D2059" s="13">
        <v>32.83</v>
      </c>
      <c r="E2059" s="13">
        <v>16.402757078986586</v>
      </c>
      <c r="F2059" s="13">
        <v>46.85</v>
      </c>
      <c r="G2059" s="13"/>
      <c r="H2059" s="13">
        <v>94.54</v>
      </c>
      <c r="I2059" s="13">
        <v>82.17</v>
      </c>
      <c r="J2059" s="13"/>
      <c r="K2059" s="13"/>
    </row>
    <row r="2060" spans="1:11" x14ac:dyDescent="0.25">
      <c r="A2060" s="10">
        <v>42814</v>
      </c>
      <c r="B2060" s="15">
        <f t="shared" si="64"/>
        <v>3</v>
      </c>
      <c r="C2060" s="15">
        <f t="shared" si="65"/>
        <v>2017</v>
      </c>
      <c r="D2060" s="13">
        <v>39.03</v>
      </c>
      <c r="E2060" s="13">
        <v>9.7699543634162236</v>
      </c>
      <c r="F2060" s="13">
        <v>41.64</v>
      </c>
      <c r="G2060" s="13"/>
      <c r="H2060" s="13">
        <v>96.11</v>
      </c>
      <c r="I2060" s="13">
        <v>88.12</v>
      </c>
      <c r="J2060" s="13"/>
      <c r="K2060" s="13"/>
    </row>
    <row r="2061" spans="1:11" x14ac:dyDescent="0.25">
      <c r="A2061" s="10">
        <v>42815</v>
      </c>
      <c r="B2061" s="15">
        <f t="shared" si="64"/>
        <v>3</v>
      </c>
      <c r="C2061" s="15">
        <f t="shared" si="65"/>
        <v>2017</v>
      </c>
      <c r="D2061" s="13">
        <v>39.03</v>
      </c>
      <c r="E2061" s="13">
        <v>9.7057735011102881</v>
      </c>
      <c r="F2061" s="13">
        <v>41.64</v>
      </c>
      <c r="G2061" s="13"/>
      <c r="H2061" s="13">
        <v>96.11</v>
      </c>
      <c r="I2061" s="13">
        <v>88.12</v>
      </c>
      <c r="J2061" s="13"/>
      <c r="K2061" s="13"/>
    </row>
    <row r="2062" spans="1:11" x14ac:dyDescent="0.25">
      <c r="A2062" s="10">
        <v>42816</v>
      </c>
      <c r="B2062" s="15">
        <f t="shared" si="64"/>
        <v>3</v>
      </c>
      <c r="C2062" s="15">
        <f t="shared" si="65"/>
        <v>2017</v>
      </c>
      <c r="D2062" s="13">
        <v>39.03</v>
      </c>
      <c r="E2062" s="13">
        <v>9.7174617878647531</v>
      </c>
      <c r="F2062" s="13">
        <v>41.64</v>
      </c>
      <c r="G2062" s="13"/>
      <c r="H2062" s="13">
        <v>96.11</v>
      </c>
      <c r="I2062" s="13">
        <v>88.12</v>
      </c>
      <c r="J2062" s="13"/>
      <c r="K2062" s="13"/>
    </row>
    <row r="2063" spans="1:11" x14ac:dyDescent="0.25">
      <c r="A2063" s="10">
        <v>42817</v>
      </c>
      <c r="B2063" s="15">
        <f t="shared" si="64"/>
        <v>3</v>
      </c>
      <c r="C2063" s="15">
        <f t="shared" si="65"/>
        <v>2017</v>
      </c>
      <c r="D2063" s="13">
        <v>39.03</v>
      </c>
      <c r="E2063" s="13">
        <v>9.7309833024118735</v>
      </c>
      <c r="F2063" s="13">
        <v>41.64</v>
      </c>
      <c r="G2063" s="13"/>
      <c r="H2063" s="13">
        <v>96.11</v>
      </c>
      <c r="I2063" s="13">
        <v>88.12</v>
      </c>
      <c r="J2063" s="13"/>
      <c r="K2063" s="13"/>
    </row>
    <row r="2064" spans="1:11" x14ac:dyDescent="0.25">
      <c r="A2064" s="10">
        <v>42818</v>
      </c>
      <c r="B2064" s="15">
        <f t="shared" si="64"/>
        <v>3</v>
      </c>
      <c r="C2064" s="15">
        <f t="shared" si="65"/>
        <v>2017</v>
      </c>
      <c r="D2064" s="13">
        <v>39.03</v>
      </c>
      <c r="E2064" s="13">
        <v>9.7156617578957114</v>
      </c>
      <c r="F2064" s="13">
        <v>41.64</v>
      </c>
      <c r="G2064" s="13"/>
      <c r="H2064" s="13">
        <v>96.11</v>
      </c>
      <c r="I2064" s="13">
        <v>88.12</v>
      </c>
      <c r="J2064" s="13"/>
      <c r="K2064" s="13"/>
    </row>
    <row r="2065" spans="1:11" x14ac:dyDescent="0.25">
      <c r="A2065" s="10">
        <v>42821</v>
      </c>
      <c r="B2065" s="15">
        <f t="shared" si="64"/>
        <v>3</v>
      </c>
      <c r="C2065" s="15">
        <f t="shared" si="65"/>
        <v>2017</v>
      </c>
      <c r="D2065" s="13">
        <v>39.58</v>
      </c>
      <c r="E2065" s="13">
        <v>-11.119293078055964</v>
      </c>
      <c r="F2065" s="13">
        <v>45.33</v>
      </c>
      <c r="G2065" s="13"/>
      <c r="H2065" s="13">
        <v>91.86</v>
      </c>
      <c r="I2065" s="13">
        <v>87.09</v>
      </c>
      <c r="J2065" s="13"/>
      <c r="K2065" s="13"/>
    </row>
    <row r="2066" spans="1:11" x14ac:dyDescent="0.25">
      <c r="A2066" s="10">
        <v>42822</v>
      </c>
      <c r="B2066" s="15">
        <f t="shared" si="64"/>
        <v>3</v>
      </c>
      <c r="C2066" s="15">
        <f t="shared" si="65"/>
        <v>2017</v>
      </c>
      <c r="D2066" s="13">
        <v>39.58</v>
      </c>
      <c r="E2066" s="13">
        <v>-11.172770995190529</v>
      </c>
      <c r="F2066" s="13">
        <v>45.33</v>
      </c>
      <c r="G2066" s="13"/>
      <c r="H2066" s="13">
        <v>91.86</v>
      </c>
      <c r="I2066" s="13">
        <v>87.09</v>
      </c>
      <c r="J2066" s="13"/>
      <c r="K2066" s="13"/>
    </row>
    <row r="2067" spans="1:11" x14ac:dyDescent="0.25">
      <c r="A2067" s="10">
        <v>42823</v>
      </c>
      <c r="B2067" s="15">
        <f t="shared" si="64"/>
        <v>3</v>
      </c>
      <c r="C2067" s="15">
        <f t="shared" si="65"/>
        <v>2017</v>
      </c>
      <c r="D2067" s="13">
        <v>39.58</v>
      </c>
      <c r="E2067" s="13">
        <v>-11.220509009845811</v>
      </c>
      <c r="F2067" s="13">
        <v>45.33</v>
      </c>
      <c r="G2067" s="13"/>
      <c r="H2067" s="13">
        <v>91.86</v>
      </c>
      <c r="I2067" s="13">
        <v>87.09</v>
      </c>
      <c r="J2067" s="13"/>
      <c r="K2067" s="13"/>
    </row>
    <row r="2068" spans="1:11" x14ac:dyDescent="0.25">
      <c r="A2068" s="10">
        <v>42824</v>
      </c>
      <c r="B2068" s="15">
        <f t="shared" si="64"/>
        <v>3</v>
      </c>
      <c r="C2068" s="15">
        <f t="shared" si="65"/>
        <v>2017</v>
      </c>
      <c r="D2068" s="13">
        <v>39.58</v>
      </c>
      <c r="E2068" s="13">
        <v>-11.317219411654488</v>
      </c>
      <c r="F2068" s="13">
        <v>45.33</v>
      </c>
      <c r="G2068" s="13"/>
      <c r="H2068" s="13">
        <v>91.86</v>
      </c>
      <c r="I2068" s="13">
        <v>87.09</v>
      </c>
      <c r="J2068" s="13"/>
      <c r="K2068" s="13"/>
    </row>
    <row r="2069" spans="1:11" x14ac:dyDescent="0.25">
      <c r="A2069" s="10">
        <v>42825</v>
      </c>
      <c r="B2069" s="15">
        <f t="shared" si="64"/>
        <v>3</v>
      </c>
      <c r="C2069" s="15">
        <f t="shared" si="65"/>
        <v>2017</v>
      </c>
      <c r="D2069" s="13">
        <v>39.58</v>
      </c>
      <c r="E2069" s="13">
        <v>-11.343788149121984</v>
      </c>
      <c r="F2069" s="13">
        <v>45.33</v>
      </c>
      <c r="G2069" s="13"/>
      <c r="H2069" s="13">
        <v>91.86</v>
      </c>
      <c r="I2069" s="13">
        <v>87.09</v>
      </c>
      <c r="J2069" s="13"/>
      <c r="K2069" s="13"/>
    </row>
    <row r="2070" spans="1:11" x14ac:dyDescent="0.25">
      <c r="A2070" s="10">
        <v>42828</v>
      </c>
      <c r="B2070" s="15">
        <f t="shared" si="64"/>
        <v>4</v>
      </c>
      <c r="C2070" s="15">
        <f t="shared" si="65"/>
        <v>2017</v>
      </c>
      <c r="D2070" s="13">
        <v>63.63</v>
      </c>
      <c r="E2070" s="13">
        <v>12.317210348706412</v>
      </c>
      <c r="F2070" s="13">
        <v>60.92</v>
      </c>
      <c r="G2070" s="13"/>
      <c r="H2070" s="13">
        <v>112.91</v>
      </c>
      <c r="I2070" s="13">
        <v>108.69</v>
      </c>
      <c r="J2070" s="13"/>
      <c r="K2070" s="13"/>
    </row>
    <row r="2071" spans="1:11" x14ac:dyDescent="0.25">
      <c r="A2071" s="10">
        <v>42829</v>
      </c>
      <c r="B2071" s="15">
        <f t="shared" si="64"/>
        <v>4</v>
      </c>
      <c r="C2071" s="15">
        <f t="shared" si="65"/>
        <v>2017</v>
      </c>
      <c r="D2071" s="13">
        <v>63.63</v>
      </c>
      <c r="E2071" s="13">
        <v>12.312593703148428</v>
      </c>
      <c r="F2071" s="13">
        <v>60.92</v>
      </c>
      <c r="G2071" s="13"/>
      <c r="H2071" s="13">
        <v>112.91</v>
      </c>
      <c r="I2071" s="13">
        <v>108.69</v>
      </c>
      <c r="J2071" s="13"/>
      <c r="K2071" s="13"/>
    </row>
    <row r="2072" spans="1:11" x14ac:dyDescent="0.25">
      <c r="A2072" s="10">
        <v>42830</v>
      </c>
      <c r="B2072" s="15">
        <f t="shared" si="64"/>
        <v>4</v>
      </c>
      <c r="C2072" s="15">
        <f t="shared" si="65"/>
        <v>2017</v>
      </c>
      <c r="D2072" s="13">
        <v>63.63</v>
      </c>
      <c r="E2072" s="13">
        <v>12.324141812042768</v>
      </c>
      <c r="F2072" s="13">
        <v>60.92</v>
      </c>
      <c r="G2072" s="13"/>
      <c r="H2072" s="13">
        <v>112.91</v>
      </c>
      <c r="I2072" s="13">
        <v>108.69</v>
      </c>
      <c r="J2072" s="13"/>
      <c r="K2072" s="13"/>
    </row>
    <row r="2073" spans="1:11" x14ac:dyDescent="0.25">
      <c r="A2073" s="10">
        <v>42831</v>
      </c>
      <c r="B2073" s="15">
        <f t="shared" si="64"/>
        <v>4</v>
      </c>
      <c r="C2073" s="15">
        <f t="shared" si="65"/>
        <v>2017</v>
      </c>
      <c r="D2073" s="13">
        <v>63.63</v>
      </c>
      <c r="E2073" s="13">
        <v>12.347303138507799</v>
      </c>
      <c r="F2073" s="13">
        <v>60.92</v>
      </c>
      <c r="G2073" s="13"/>
      <c r="H2073" s="13">
        <v>112.91</v>
      </c>
      <c r="I2073" s="13">
        <v>108.69</v>
      </c>
      <c r="J2073" s="13"/>
      <c r="K2073" s="13"/>
    </row>
    <row r="2074" spans="1:11" x14ac:dyDescent="0.25">
      <c r="A2074" s="10">
        <v>42832</v>
      </c>
      <c r="B2074" s="15">
        <f t="shared" si="64"/>
        <v>4</v>
      </c>
      <c r="C2074" s="15">
        <f t="shared" si="65"/>
        <v>2017</v>
      </c>
      <c r="D2074" s="13">
        <v>63.63</v>
      </c>
      <c r="E2074" s="13">
        <v>12.410275783906309</v>
      </c>
      <c r="F2074" s="13">
        <v>60.92</v>
      </c>
      <c r="G2074" s="13"/>
      <c r="H2074" s="13">
        <v>112.91</v>
      </c>
      <c r="I2074" s="13">
        <v>108.69</v>
      </c>
      <c r="J2074" s="13"/>
      <c r="K2074" s="13"/>
    </row>
    <row r="2075" spans="1:11" x14ac:dyDescent="0.25">
      <c r="A2075" s="10">
        <v>42835</v>
      </c>
      <c r="B2075" s="15">
        <f t="shared" si="64"/>
        <v>4</v>
      </c>
      <c r="C2075" s="15">
        <f t="shared" si="65"/>
        <v>2017</v>
      </c>
      <c r="D2075" s="13">
        <v>46.09</v>
      </c>
      <c r="E2075" s="13">
        <v>5.5885962428018505</v>
      </c>
      <c r="F2075" s="13">
        <v>47.94</v>
      </c>
      <c r="G2075" s="13"/>
      <c r="H2075" s="13">
        <v>92.11</v>
      </c>
      <c r="I2075" s="13">
        <v>96.85</v>
      </c>
      <c r="J2075" s="13"/>
      <c r="K2075" s="13"/>
    </row>
    <row r="2076" spans="1:11" x14ac:dyDescent="0.25">
      <c r="A2076" s="10">
        <v>42836</v>
      </c>
      <c r="B2076" s="15">
        <f t="shared" si="64"/>
        <v>4</v>
      </c>
      <c r="C2076" s="15">
        <f t="shared" si="65"/>
        <v>2017</v>
      </c>
      <c r="D2076" s="13">
        <v>46.09</v>
      </c>
      <c r="E2076" s="13">
        <v>5.5838521033767208</v>
      </c>
      <c r="F2076" s="13">
        <v>47.94</v>
      </c>
      <c r="G2076" s="13"/>
      <c r="H2076" s="13">
        <v>92.11</v>
      </c>
      <c r="I2076" s="13">
        <v>96.85</v>
      </c>
      <c r="J2076" s="13"/>
      <c r="K2076" s="13"/>
    </row>
    <row r="2077" spans="1:11" x14ac:dyDescent="0.25">
      <c r="A2077" s="10">
        <v>42837</v>
      </c>
      <c r="B2077" s="15">
        <f t="shared" si="64"/>
        <v>4</v>
      </c>
      <c r="C2077" s="15">
        <f t="shared" si="65"/>
        <v>2017</v>
      </c>
      <c r="D2077" s="13">
        <v>46.09</v>
      </c>
      <c r="E2077" s="13">
        <v>5.5513878469617399</v>
      </c>
      <c r="F2077" s="13">
        <v>47.94</v>
      </c>
      <c r="G2077" s="13"/>
      <c r="H2077" s="13">
        <v>92.11</v>
      </c>
      <c r="I2077" s="13">
        <v>96.85</v>
      </c>
      <c r="J2077" s="13"/>
      <c r="K2077" s="13"/>
    </row>
    <row r="2078" spans="1:11" x14ac:dyDescent="0.25">
      <c r="A2078" s="10">
        <v>42838</v>
      </c>
      <c r="B2078" s="15">
        <f t="shared" si="64"/>
        <v>4</v>
      </c>
      <c r="C2078" s="15">
        <f t="shared" si="65"/>
        <v>2017</v>
      </c>
      <c r="D2078" s="13">
        <v>46.09</v>
      </c>
      <c r="E2078" s="13">
        <v>5.5785902751601961</v>
      </c>
      <c r="F2078" s="13">
        <v>47.94</v>
      </c>
      <c r="G2078" s="13"/>
      <c r="H2078" s="13">
        <v>92.11</v>
      </c>
      <c r="I2078" s="13">
        <v>96.85</v>
      </c>
      <c r="J2078" s="13"/>
      <c r="K2078" s="13"/>
    </row>
    <row r="2079" spans="1:11" x14ac:dyDescent="0.25">
      <c r="A2079" s="10">
        <v>42842</v>
      </c>
      <c r="B2079" s="15">
        <f t="shared" si="64"/>
        <v>4</v>
      </c>
      <c r="C2079" s="15">
        <f t="shared" si="65"/>
        <v>2017</v>
      </c>
      <c r="D2079" s="13">
        <v>53.64</v>
      </c>
      <c r="E2079" s="13">
        <v>5.8270676691729326</v>
      </c>
      <c r="F2079" s="13">
        <v>48.15</v>
      </c>
      <c r="G2079" s="13"/>
      <c r="H2079" s="13">
        <v>155.30000000000001</v>
      </c>
      <c r="I2079" s="13">
        <v>101.96</v>
      </c>
      <c r="J2079" s="13"/>
      <c r="K2079" s="13"/>
    </row>
    <row r="2080" spans="1:11" x14ac:dyDescent="0.25">
      <c r="A2080" s="10">
        <v>42843</v>
      </c>
      <c r="B2080" s="15">
        <f t="shared" si="64"/>
        <v>4</v>
      </c>
      <c r="C2080" s="15">
        <f t="shared" si="65"/>
        <v>2017</v>
      </c>
      <c r="D2080" s="13">
        <v>53.64</v>
      </c>
      <c r="E2080" s="13">
        <v>5.7771151695862848</v>
      </c>
      <c r="F2080" s="13">
        <v>48.15</v>
      </c>
      <c r="G2080" s="13"/>
      <c r="H2080" s="13">
        <v>155.30000000000001</v>
      </c>
      <c r="I2080" s="13">
        <v>101.96</v>
      </c>
      <c r="J2080" s="13"/>
      <c r="K2080" s="13"/>
    </row>
    <row r="2081" spans="1:11" x14ac:dyDescent="0.25">
      <c r="A2081" s="10">
        <v>42844</v>
      </c>
      <c r="B2081" s="15">
        <f t="shared" si="64"/>
        <v>4</v>
      </c>
      <c r="C2081" s="15">
        <f t="shared" si="65"/>
        <v>2017</v>
      </c>
      <c r="D2081" s="13">
        <v>53.64</v>
      </c>
      <c r="E2081" s="13">
        <v>5.7895228312634233</v>
      </c>
      <c r="F2081" s="13">
        <v>48.15</v>
      </c>
      <c r="G2081" s="13"/>
      <c r="H2081" s="13">
        <v>155.30000000000001</v>
      </c>
      <c r="I2081" s="13">
        <v>101.96</v>
      </c>
      <c r="J2081" s="13"/>
      <c r="K2081" s="13"/>
    </row>
    <row r="2082" spans="1:11" x14ac:dyDescent="0.25">
      <c r="A2082" s="10">
        <v>42845</v>
      </c>
      <c r="B2082" s="15">
        <f t="shared" si="64"/>
        <v>4</v>
      </c>
      <c r="C2082" s="15">
        <f t="shared" si="65"/>
        <v>2017</v>
      </c>
      <c r="D2082" s="13">
        <v>53.64</v>
      </c>
      <c r="E2082" s="13">
        <v>5.7868209818928511</v>
      </c>
      <c r="F2082" s="13">
        <v>48.15</v>
      </c>
      <c r="G2082" s="13"/>
      <c r="H2082" s="13">
        <v>155.30000000000001</v>
      </c>
      <c r="I2082" s="13">
        <v>101.96</v>
      </c>
      <c r="J2082" s="13"/>
      <c r="K2082" s="13"/>
    </row>
    <row r="2083" spans="1:11" x14ac:dyDescent="0.25">
      <c r="A2083" s="10">
        <v>42846</v>
      </c>
      <c r="B2083" s="15">
        <f t="shared" si="64"/>
        <v>4</v>
      </c>
      <c r="C2083" s="15">
        <f t="shared" si="65"/>
        <v>2017</v>
      </c>
      <c r="D2083" s="13">
        <v>53.64</v>
      </c>
      <c r="E2083" s="13">
        <v>5.7803468208092488</v>
      </c>
      <c r="F2083" s="13">
        <v>48.15</v>
      </c>
      <c r="G2083" s="13"/>
      <c r="H2083" s="13">
        <v>155.30000000000001</v>
      </c>
      <c r="I2083" s="13">
        <v>101.96</v>
      </c>
      <c r="J2083" s="13"/>
      <c r="K2083" s="13"/>
    </row>
    <row r="2084" spans="1:11" x14ac:dyDescent="0.25">
      <c r="A2084" s="10">
        <v>42849</v>
      </c>
      <c r="B2084" s="15">
        <f t="shared" si="64"/>
        <v>4</v>
      </c>
      <c r="C2084" s="15">
        <f t="shared" si="65"/>
        <v>2017</v>
      </c>
      <c r="D2084" s="13">
        <v>54.85</v>
      </c>
      <c r="E2084" s="13">
        <v>-7.61939817797</v>
      </c>
      <c r="F2084" s="13">
        <v>41.18</v>
      </c>
      <c r="G2084" s="13"/>
      <c r="H2084" s="13">
        <v>102.53</v>
      </c>
      <c r="I2084" s="13">
        <v>103.96</v>
      </c>
      <c r="J2084" s="13"/>
      <c r="K2084" s="13"/>
    </row>
    <row r="2085" spans="1:11" x14ac:dyDescent="0.25">
      <c r="A2085" s="10">
        <v>42850</v>
      </c>
      <c r="B2085" s="15">
        <f t="shared" si="64"/>
        <v>4</v>
      </c>
      <c r="C2085" s="15">
        <f t="shared" si="65"/>
        <v>2017</v>
      </c>
      <c r="D2085" s="13">
        <v>54.85</v>
      </c>
      <c r="E2085" s="13">
        <v>-7.5789473684210522</v>
      </c>
      <c r="F2085" s="13">
        <v>41.18</v>
      </c>
      <c r="G2085" s="13"/>
      <c r="H2085" s="13">
        <v>102.53</v>
      </c>
      <c r="I2085" s="13">
        <v>103.96</v>
      </c>
      <c r="J2085" s="13"/>
      <c r="K2085" s="13"/>
    </row>
    <row r="2086" spans="1:11" x14ac:dyDescent="0.25">
      <c r="A2086" s="10">
        <v>42851</v>
      </c>
      <c r="B2086" s="15">
        <f t="shared" si="64"/>
        <v>4</v>
      </c>
      <c r="C2086" s="15">
        <f t="shared" si="65"/>
        <v>2017</v>
      </c>
      <c r="D2086" s="13">
        <v>54.85</v>
      </c>
      <c r="E2086" s="13">
        <v>-7.5942401173988801</v>
      </c>
      <c r="F2086" s="13">
        <v>41.18</v>
      </c>
      <c r="G2086" s="13"/>
      <c r="H2086" s="13">
        <v>102.53</v>
      </c>
      <c r="I2086" s="13">
        <v>103.96</v>
      </c>
      <c r="J2086" s="13"/>
      <c r="K2086" s="13"/>
    </row>
    <row r="2087" spans="1:11" x14ac:dyDescent="0.25">
      <c r="A2087" s="10">
        <v>42852</v>
      </c>
      <c r="B2087" s="15">
        <f t="shared" si="64"/>
        <v>4</v>
      </c>
      <c r="C2087" s="15">
        <f t="shared" si="65"/>
        <v>2017</v>
      </c>
      <c r="D2087" s="13">
        <v>54.85</v>
      </c>
      <c r="E2087" s="13">
        <v>-7.6158940397350987</v>
      </c>
      <c r="F2087" s="13">
        <v>41.18</v>
      </c>
      <c r="G2087" s="13"/>
      <c r="H2087" s="13">
        <v>102.53</v>
      </c>
      <c r="I2087" s="13">
        <v>103.96</v>
      </c>
      <c r="J2087" s="13"/>
      <c r="K2087" s="13"/>
    </row>
    <row r="2088" spans="1:11" x14ac:dyDescent="0.25">
      <c r="A2088" s="10">
        <v>42853</v>
      </c>
      <c r="B2088" s="15">
        <f t="shared" si="64"/>
        <v>4</v>
      </c>
      <c r="C2088" s="15">
        <f t="shared" si="65"/>
        <v>2017</v>
      </c>
      <c r="D2088" s="13">
        <v>54.85</v>
      </c>
      <c r="E2088" s="13">
        <v>-7.599816429554842</v>
      </c>
      <c r="F2088" s="13">
        <v>41.18</v>
      </c>
      <c r="G2088" s="13"/>
      <c r="H2088" s="13">
        <v>102.53</v>
      </c>
      <c r="I2088" s="13">
        <v>103.96</v>
      </c>
      <c r="J2088" s="13"/>
      <c r="K2088" s="13"/>
    </row>
    <row r="2089" spans="1:11" x14ac:dyDescent="0.25">
      <c r="A2089" s="10">
        <v>42856</v>
      </c>
      <c r="B2089" s="15">
        <f t="shared" si="64"/>
        <v>5</v>
      </c>
      <c r="C2089" s="15">
        <f t="shared" si="65"/>
        <v>2017</v>
      </c>
      <c r="D2089" s="13">
        <v>56.33</v>
      </c>
      <c r="E2089" s="13">
        <v>7.9188841989355847</v>
      </c>
      <c r="F2089" s="13">
        <v>46</v>
      </c>
      <c r="G2089" s="13"/>
      <c r="H2089" s="13">
        <v>113.17</v>
      </c>
      <c r="I2089" s="13">
        <v>106.07</v>
      </c>
      <c r="J2089" s="13"/>
      <c r="K2089" s="13"/>
    </row>
    <row r="2090" spans="1:11" x14ac:dyDescent="0.25">
      <c r="A2090" s="10">
        <v>42857</v>
      </c>
      <c r="B2090" s="15">
        <f t="shared" si="64"/>
        <v>5</v>
      </c>
      <c r="C2090" s="15">
        <f t="shared" si="65"/>
        <v>2017</v>
      </c>
      <c r="D2090" s="13">
        <v>56.33</v>
      </c>
      <c r="E2090" s="13">
        <v>7.8978676672462713</v>
      </c>
      <c r="F2090" s="13">
        <v>46</v>
      </c>
      <c r="G2090" s="13"/>
      <c r="H2090" s="13">
        <v>113.17</v>
      </c>
      <c r="I2090" s="13">
        <v>106.07</v>
      </c>
      <c r="J2090" s="13"/>
      <c r="K2090" s="13"/>
    </row>
    <row r="2091" spans="1:11" x14ac:dyDescent="0.25">
      <c r="A2091" s="10">
        <v>42858</v>
      </c>
      <c r="B2091" s="15">
        <f t="shared" si="64"/>
        <v>5</v>
      </c>
      <c r="C2091" s="15">
        <f t="shared" si="65"/>
        <v>2017</v>
      </c>
      <c r="D2091" s="13">
        <v>56.33</v>
      </c>
      <c r="E2091" s="13">
        <v>7.9305274765668079</v>
      </c>
      <c r="F2091" s="13">
        <v>46</v>
      </c>
      <c r="G2091" s="13"/>
      <c r="H2091" s="13">
        <v>113.17</v>
      </c>
      <c r="I2091" s="13">
        <v>106.07</v>
      </c>
      <c r="J2091" s="13"/>
      <c r="K2091" s="13"/>
    </row>
    <row r="2092" spans="1:11" x14ac:dyDescent="0.25">
      <c r="A2092" s="10">
        <v>42859</v>
      </c>
      <c r="B2092" s="15">
        <f t="shared" si="64"/>
        <v>5</v>
      </c>
      <c r="C2092" s="15">
        <f t="shared" si="65"/>
        <v>2017</v>
      </c>
      <c r="D2092" s="13">
        <v>56.33</v>
      </c>
      <c r="E2092" s="13">
        <v>7.8568827385287694</v>
      </c>
      <c r="F2092" s="13">
        <v>46</v>
      </c>
      <c r="G2092" s="13"/>
      <c r="H2092" s="13">
        <v>113.17</v>
      </c>
      <c r="I2092" s="13">
        <v>106.07</v>
      </c>
      <c r="J2092" s="13"/>
      <c r="K2092" s="13"/>
    </row>
    <row r="2093" spans="1:11" x14ac:dyDescent="0.25">
      <c r="A2093" s="10">
        <v>42860</v>
      </c>
      <c r="B2093" s="15">
        <f t="shared" si="64"/>
        <v>5</v>
      </c>
      <c r="C2093" s="15">
        <f t="shared" si="65"/>
        <v>2017</v>
      </c>
      <c r="D2093" s="13">
        <v>56.33</v>
      </c>
      <c r="E2093" s="13">
        <v>7.8490222828558451</v>
      </c>
      <c r="F2093" s="13">
        <v>46</v>
      </c>
      <c r="G2093" s="13"/>
      <c r="H2093" s="13">
        <v>113.17</v>
      </c>
      <c r="I2093" s="13">
        <v>106.07</v>
      </c>
      <c r="J2093" s="13"/>
      <c r="K2093" s="13"/>
    </row>
    <row r="2094" spans="1:11" x14ac:dyDescent="0.25">
      <c r="A2094" s="10">
        <v>42863</v>
      </c>
      <c r="B2094" s="15">
        <f t="shared" si="64"/>
        <v>5</v>
      </c>
      <c r="C2094" s="15">
        <f t="shared" si="65"/>
        <v>2017</v>
      </c>
      <c r="D2094" s="13">
        <v>42.28</v>
      </c>
      <c r="E2094" s="13">
        <v>7.3612891411829322</v>
      </c>
      <c r="F2094" s="13">
        <v>33.020000000000003</v>
      </c>
      <c r="G2094" s="13"/>
      <c r="H2094" s="13">
        <v>94.42</v>
      </c>
      <c r="I2094" s="13">
        <v>83.17</v>
      </c>
      <c r="J2094" s="13"/>
      <c r="K2094" s="13"/>
    </row>
    <row r="2095" spans="1:11" x14ac:dyDescent="0.25">
      <c r="A2095" s="10">
        <v>42864</v>
      </c>
      <c r="B2095" s="15">
        <f t="shared" si="64"/>
        <v>5</v>
      </c>
      <c r="C2095" s="15">
        <f t="shared" si="65"/>
        <v>2017</v>
      </c>
      <c r="D2095" s="13">
        <v>42.28</v>
      </c>
      <c r="E2095" s="13">
        <v>7.3951434878587197</v>
      </c>
      <c r="F2095" s="13">
        <v>33.020000000000003</v>
      </c>
      <c r="G2095" s="13"/>
      <c r="H2095" s="13">
        <v>94.42</v>
      </c>
      <c r="I2095" s="13">
        <v>83.17</v>
      </c>
      <c r="J2095" s="13"/>
      <c r="K2095" s="13"/>
    </row>
    <row r="2096" spans="1:11" x14ac:dyDescent="0.25">
      <c r="A2096" s="10">
        <v>42865</v>
      </c>
      <c r="B2096" s="15">
        <f t="shared" si="64"/>
        <v>5</v>
      </c>
      <c r="C2096" s="15">
        <f t="shared" si="65"/>
        <v>2017</v>
      </c>
      <c r="D2096" s="13">
        <v>42.28</v>
      </c>
      <c r="E2096" s="13">
        <v>7.3992269464384313</v>
      </c>
      <c r="F2096" s="13">
        <v>33.020000000000003</v>
      </c>
      <c r="G2096" s="13"/>
      <c r="H2096" s="13">
        <v>94.42</v>
      </c>
      <c r="I2096" s="13">
        <v>83.17</v>
      </c>
      <c r="J2096" s="13"/>
      <c r="K2096" s="13"/>
    </row>
    <row r="2097" spans="1:11" x14ac:dyDescent="0.25">
      <c r="A2097" s="10">
        <v>42866</v>
      </c>
      <c r="B2097" s="15">
        <f t="shared" si="64"/>
        <v>5</v>
      </c>
      <c r="C2097" s="15">
        <f t="shared" si="65"/>
        <v>2017</v>
      </c>
      <c r="D2097" s="13">
        <v>42.28</v>
      </c>
      <c r="E2097" s="13">
        <v>7.4026332750207153</v>
      </c>
      <c r="F2097" s="13">
        <v>33.020000000000003</v>
      </c>
      <c r="G2097" s="13"/>
      <c r="H2097" s="13">
        <v>94.42</v>
      </c>
      <c r="I2097" s="13">
        <v>83.17</v>
      </c>
      <c r="J2097" s="13"/>
      <c r="K2097" s="13"/>
    </row>
    <row r="2098" spans="1:11" x14ac:dyDescent="0.25">
      <c r="A2098" s="10">
        <v>42867</v>
      </c>
      <c r="B2098" s="15">
        <f t="shared" si="64"/>
        <v>5</v>
      </c>
      <c r="C2098" s="15">
        <f t="shared" si="65"/>
        <v>2017</v>
      </c>
      <c r="D2098" s="13">
        <v>42.28</v>
      </c>
      <c r="E2098" s="13">
        <v>7.3572474377745234</v>
      </c>
      <c r="F2098" s="13">
        <v>33.020000000000003</v>
      </c>
      <c r="G2098" s="13"/>
      <c r="H2098" s="13">
        <v>94.42</v>
      </c>
      <c r="I2098" s="13">
        <v>83.17</v>
      </c>
      <c r="J2098" s="13"/>
      <c r="K2098" s="13"/>
    </row>
    <row r="2099" spans="1:11" x14ac:dyDescent="0.25">
      <c r="A2099" s="10">
        <v>42870</v>
      </c>
      <c r="B2099" s="15">
        <f t="shared" si="64"/>
        <v>5</v>
      </c>
      <c r="C2099" s="15">
        <f t="shared" si="65"/>
        <v>2017</v>
      </c>
      <c r="D2099" s="13">
        <v>44</v>
      </c>
      <c r="E2099" s="13">
        <v>-4.1556547890276132</v>
      </c>
      <c r="F2099" s="13">
        <v>34.1</v>
      </c>
      <c r="G2099" s="13"/>
      <c r="H2099" s="13">
        <v>92.21</v>
      </c>
      <c r="I2099" s="13">
        <v>85.33</v>
      </c>
      <c r="J2099" s="13"/>
      <c r="K2099" s="13"/>
    </row>
    <row r="2100" spans="1:11" x14ac:dyDescent="0.25">
      <c r="A2100" s="10">
        <v>42871</v>
      </c>
      <c r="B2100" s="15">
        <f t="shared" si="64"/>
        <v>5</v>
      </c>
      <c r="C2100" s="15">
        <f t="shared" si="65"/>
        <v>2017</v>
      </c>
      <c r="D2100" s="13">
        <v>44</v>
      </c>
      <c r="E2100" s="13">
        <v>-4.1147807255008111</v>
      </c>
      <c r="F2100" s="13">
        <v>34.1</v>
      </c>
      <c r="G2100" s="13"/>
      <c r="H2100" s="13">
        <v>92.21</v>
      </c>
      <c r="I2100" s="13">
        <v>85.33</v>
      </c>
      <c r="J2100" s="13"/>
      <c r="K2100" s="13"/>
    </row>
    <row r="2101" spans="1:11" x14ac:dyDescent="0.25">
      <c r="A2101" s="10">
        <v>42872</v>
      </c>
      <c r="B2101" s="15">
        <f t="shared" si="64"/>
        <v>5</v>
      </c>
      <c r="C2101" s="15">
        <f t="shared" si="65"/>
        <v>2017</v>
      </c>
      <c r="D2101" s="13">
        <v>44</v>
      </c>
      <c r="E2101" s="13">
        <v>-4.0867538985481273</v>
      </c>
      <c r="F2101" s="13">
        <v>34.1</v>
      </c>
      <c r="G2101" s="13"/>
      <c r="H2101" s="13">
        <v>92.21</v>
      </c>
      <c r="I2101" s="13">
        <v>85.33</v>
      </c>
      <c r="J2101" s="13"/>
      <c r="K2101" s="13"/>
    </row>
    <row r="2102" spans="1:11" x14ac:dyDescent="0.25">
      <c r="A2102" s="10">
        <v>42873</v>
      </c>
      <c r="B2102" s="15">
        <f t="shared" si="64"/>
        <v>5</v>
      </c>
      <c r="C2102" s="15">
        <f t="shared" si="65"/>
        <v>2017</v>
      </c>
      <c r="D2102" s="13">
        <v>44</v>
      </c>
      <c r="E2102" s="13">
        <v>-4.1077380416178713</v>
      </c>
      <c r="F2102" s="13">
        <v>34.1</v>
      </c>
      <c r="G2102" s="13"/>
      <c r="H2102" s="13">
        <v>92.21</v>
      </c>
      <c r="I2102" s="13">
        <v>85.33</v>
      </c>
      <c r="J2102" s="13"/>
      <c r="K2102" s="13"/>
    </row>
    <row r="2103" spans="1:11" x14ac:dyDescent="0.25">
      <c r="A2103" s="10">
        <v>42874</v>
      </c>
      <c r="B2103" s="15">
        <f t="shared" si="64"/>
        <v>5</v>
      </c>
      <c r="C2103" s="15">
        <f t="shared" si="65"/>
        <v>2017</v>
      </c>
      <c r="D2103" s="13">
        <v>44</v>
      </c>
      <c r="E2103" s="13">
        <v>-4.0699750089253834</v>
      </c>
      <c r="F2103" s="13">
        <v>34.1</v>
      </c>
      <c r="G2103" s="13"/>
      <c r="H2103" s="13">
        <v>92.21</v>
      </c>
      <c r="I2103" s="13">
        <v>85.33</v>
      </c>
      <c r="J2103" s="13"/>
      <c r="K2103" s="13"/>
    </row>
    <row r="2104" spans="1:11" x14ac:dyDescent="0.25">
      <c r="A2104" s="10">
        <v>42877</v>
      </c>
      <c r="B2104" s="15">
        <f t="shared" si="64"/>
        <v>5</v>
      </c>
      <c r="C2104" s="15">
        <f t="shared" si="65"/>
        <v>2017</v>
      </c>
      <c r="D2104" s="13">
        <v>27.7</v>
      </c>
      <c r="E2104" s="13">
        <v>-2.6877892488430049</v>
      </c>
      <c r="F2104" s="13">
        <v>15.61</v>
      </c>
      <c r="G2104" s="13"/>
      <c r="H2104" s="13">
        <v>73.06</v>
      </c>
      <c r="I2104" s="13">
        <v>78.900000000000006</v>
      </c>
      <c r="J2104" s="13"/>
      <c r="K2104" s="13"/>
    </row>
    <row r="2105" spans="1:11" x14ac:dyDescent="0.25">
      <c r="A2105" s="10">
        <v>42878</v>
      </c>
      <c r="B2105" s="15">
        <f t="shared" si="64"/>
        <v>5</v>
      </c>
      <c r="C2105" s="15">
        <f t="shared" si="65"/>
        <v>2017</v>
      </c>
      <c r="D2105" s="13">
        <v>27.7</v>
      </c>
      <c r="E2105" s="13">
        <v>-2.7007690931854764</v>
      </c>
      <c r="F2105" s="13">
        <v>15.61</v>
      </c>
      <c r="G2105" s="13"/>
      <c r="H2105" s="13">
        <v>73.06</v>
      </c>
      <c r="I2105" s="13">
        <v>78.900000000000006</v>
      </c>
      <c r="J2105" s="13"/>
      <c r="K2105" s="13"/>
    </row>
    <row r="2106" spans="1:11" x14ac:dyDescent="0.25">
      <c r="A2106" s="10">
        <v>42879</v>
      </c>
      <c r="B2106" s="15">
        <f t="shared" si="64"/>
        <v>5</v>
      </c>
      <c r="C2106" s="15">
        <f t="shared" si="65"/>
        <v>2017</v>
      </c>
      <c r="D2106" s="13">
        <v>27.7</v>
      </c>
      <c r="E2106" s="13">
        <v>-2.6923419809218152</v>
      </c>
      <c r="F2106" s="13">
        <v>15.61</v>
      </c>
      <c r="G2106" s="13"/>
      <c r="H2106" s="13">
        <v>73.06</v>
      </c>
      <c r="I2106" s="13">
        <v>78.900000000000006</v>
      </c>
      <c r="J2106" s="13"/>
      <c r="K2106" s="13"/>
    </row>
    <row r="2107" spans="1:11" x14ac:dyDescent="0.25">
      <c r="A2107" s="10">
        <v>42880</v>
      </c>
      <c r="B2107" s="15">
        <f t="shared" si="64"/>
        <v>5</v>
      </c>
      <c r="C2107" s="15">
        <f t="shared" si="65"/>
        <v>2017</v>
      </c>
      <c r="D2107" s="13">
        <v>27.7</v>
      </c>
      <c r="E2107" s="13">
        <v>-2.6942635382282094</v>
      </c>
      <c r="F2107" s="13">
        <v>15.61</v>
      </c>
      <c r="G2107" s="13"/>
      <c r="H2107" s="13">
        <v>73.06</v>
      </c>
      <c r="I2107" s="13">
        <v>78.900000000000006</v>
      </c>
      <c r="J2107" s="13"/>
      <c r="K2107" s="13"/>
    </row>
    <row r="2108" spans="1:11" x14ac:dyDescent="0.25">
      <c r="A2108" s="10">
        <v>42881</v>
      </c>
      <c r="B2108" s="15">
        <f t="shared" si="64"/>
        <v>5</v>
      </c>
      <c r="C2108" s="15">
        <f t="shared" si="65"/>
        <v>2017</v>
      </c>
      <c r="D2108" s="13">
        <v>27.7</v>
      </c>
      <c r="E2108" s="13">
        <v>-2.7007690931854764</v>
      </c>
      <c r="F2108" s="13">
        <v>15.61</v>
      </c>
      <c r="G2108" s="13"/>
      <c r="H2108" s="13">
        <v>73.06</v>
      </c>
      <c r="I2108" s="13">
        <v>78.900000000000006</v>
      </c>
      <c r="J2108" s="13"/>
      <c r="K2108" s="13"/>
    </row>
    <row r="2109" spans="1:11" x14ac:dyDescent="0.25">
      <c r="A2109" s="10">
        <v>42885</v>
      </c>
      <c r="B2109" s="15">
        <f t="shared" si="64"/>
        <v>5</v>
      </c>
      <c r="C2109" s="15">
        <f t="shared" si="65"/>
        <v>2017</v>
      </c>
      <c r="D2109" s="13">
        <v>34.89</v>
      </c>
      <c r="E2109" s="13">
        <v>4.8645265134579274</v>
      </c>
      <c r="F2109" s="13">
        <v>21.6</v>
      </c>
      <c r="G2109" s="13"/>
      <c r="H2109" s="13">
        <v>85.42</v>
      </c>
      <c r="I2109" s="13">
        <v>89.61</v>
      </c>
      <c r="J2109" s="13"/>
      <c r="K2109" s="13"/>
    </row>
    <row r="2110" spans="1:11" x14ac:dyDescent="0.25">
      <c r="A2110" s="10">
        <v>42886</v>
      </c>
      <c r="B2110" s="15">
        <f t="shared" si="64"/>
        <v>5</v>
      </c>
      <c r="C2110" s="15">
        <f t="shared" si="65"/>
        <v>2017</v>
      </c>
      <c r="D2110" s="13">
        <v>34.89</v>
      </c>
      <c r="E2110" s="13">
        <v>4.839427097233342</v>
      </c>
      <c r="F2110" s="13">
        <v>21.6</v>
      </c>
      <c r="G2110" s="13"/>
      <c r="H2110" s="13">
        <v>85.42</v>
      </c>
      <c r="I2110" s="13">
        <v>89.61</v>
      </c>
      <c r="J2110" s="13"/>
      <c r="K2110" s="13"/>
    </row>
    <row r="2111" spans="1:11" x14ac:dyDescent="0.25">
      <c r="A2111" s="10">
        <v>42887</v>
      </c>
      <c r="B2111" s="15">
        <f t="shared" si="64"/>
        <v>6</v>
      </c>
      <c r="C2111" s="15">
        <f t="shared" si="65"/>
        <v>2017</v>
      </c>
      <c r="D2111" s="13">
        <v>34.89</v>
      </c>
      <c r="E2111" s="13">
        <v>4.8523771296048528</v>
      </c>
      <c r="F2111" s="13">
        <v>21.6</v>
      </c>
      <c r="G2111" s="13"/>
      <c r="H2111" s="13">
        <v>85.42</v>
      </c>
      <c r="I2111" s="13">
        <v>89.61</v>
      </c>
      <c r="J2111" s="13"/>
      <c r="K2111" s="13"/>
    </row>
    <row r="2112" spans="1:11" x14ac:dyDescent="0.25">
      <c r="A2112" s="10">
        <v>42888</v>
      </c>
      <c r="B2112" s="15">
        <f t="shared" si="64"/>
        <v>6</v>
      </c>
      <c r="C2112" s="15">
        <f t="shared" si="65"/>
        <v>2017</v>
      </c>
      <c r="D2112" s="13">
        <v>34.89</v>
      </c>
      <c r="E2112" s="13">
        <v>4.8226950354609937</v>
      </c>
      <c r="F2112" s="13">
        <v>21.6</v>
      </c>
      <c r="G2112" s="13"/>
      <c r="H2112" s="13">
        <v>85.42</v>
      </c>
      <c r="I2112" s="13">
        <v>89.61</v>
      </c>
      <c r="J2112" s="13"/>
      <c r="K2112" s="13"/>
    </row>
    <row r="2113" spans="1:11" x14ac:dyDescent="0.25">
      <c r="A2113" s="10">
        <v>42891</v>
      </c>
      <c r="B2113" s="15">
        <f t="shared" si="64"/>
        <v>6</v>
      </c>
      <c r="C2113" s="15">
        <f t="shared" si="65"/>
        <v>2017</v>
      </c>
      <c r="D2113" s="13">
        <v>37.49</v>
      </c>
      <c r="E2113" s="13">
        <v>7.5897618201208665</v>
      </c>
      <c r="F2113" s="13">
        <v>27.57</v>
      </c>
      <c r="G2113" s="13"/>
      <c r="H2113" s="13">
        <v>94.31</v>
      </c>
      <c r="I2113" s="13">
        <v>100.77</v>
      </c>
      <c r="J2113" s="13"/>
      <c r="K2113" s="13"/>
    </row>
    <row r="2114" spans="1:11" x14ac:dyDescent="0.25">
      <c r="A2114" s="10">
        <v>42892</v>
      </c>
      <c r="B2114" s="15">
        <f t="shared" si="64"/>
        <v>6</v>
      </c>
      <c r="C2114" s="15">
        <f t="shared" si="65"/>
        <v>2017</v>
      </c>
      <c r="D2114" s="13">
        <v>37.49</v>
      </c>
      <c r="E2114" s="13">
        <v>7.5742793791574279</v>
      </c>
      <c r="F2114" s="13">
        <v>27.57</v>
      </c>
      <c r="G2114" s="13"/>
      <c r="H2114" s="13">
        <v>94.31</v>
      </c>
      <c r="I2114" s="13">
        <v>100.77</v>
      </c>
      <c r="J2114" s="13"/>
      <c r="K2114" s="13"/>
    </row>
    <row r="2115" spans="1:11" x14ac:dyDescent="0.25">
      <c r="A2115" s="10">
        <v>42893</v>
      </c>
      <c r="B2115" s="15">
        <f t="shared" ref="B2115:B2178" si="66">MONTH(A2115)</f>
        <v>6</v>
      </c>
      <c r="C2115" s="15">
        <f t="shared" ref="C2115:C2178" si="67">YEAR(A2115)</f>
        <v>2017</v>
      </c>
      <c r="D2115" s="13">
        <v>37.49</v>
      </c>
      <c r="E2115" s="13">
        <v>7.5877387827632159</v>
      </c>
      <c r="F2115" s="13">
        <v>27.57</v>
      </c>
      <c r="G2115" s="13"/>
      <c r="H2115" s="13">
        <v>94.31</v>
      </c>
      <c r="I2115" s="13">
        <v>100.77</v>
      </c>
      <c r="J2115" s="13"/>
      <c r="K2115" s="13"/>
    </row>
    <row r="2116" spans="1:11" x14ac:dyDescent="0.25">
      <c r="A2116" s="10">
        <v>42894</v>
      </c>
      <c r="B2116" s="15">
        <f t="shared" si="66"/>
        <v>6</v>
      </c>
      <c r="C2116" s="15">
        <f t="shared" si="67"/>
        <v>2017</v>
      </c>
      <c r="D2116" s="13">
        <v>37.49</v>
      </c>
      <c r="E2116" s="13">
        <v>7.6168391009632535</v>
      </c>
      <c r="F2116" s="13">
        <v>27.57</v>
      </c>
      <c r="G2116" s="13"/>
      <c r="H2116" s="13">
        <v>94.31</v>
      </c>
      <c r="I2116" s="13">
        <v>100.77</v>
      </c>
      <c r="J2116" s="13"/>
      <c r="K2116" s="13"/>
    </row>
    <row r="2117" spans="1:11" x14ac:dyDescent="0.25">
      <c r="A2117" s="10">
        <v>42895</v>
      </c>
      <c r="B2117" s="15">
        <f t="shared" si="66"/>
        <v>6</v>
      </c>
      <c r="C2117" s="15">
        <f t="shared" si="67"/>
        <v>2017</v>
      </c>
      <c r="D2117" s="13">
        <v>37.49</v>
      </c>
      <c r="E2117" s="13">
        <v>7.6304503216583264</v>
      </c>
      <c r="F2117" s="13">
        <v>27.57</v>
      </c>
      <c r="G2117" s="13"/>
      <c r="H2117" s="13">
        <v>94.31</v>
      </c>
      <c r="I2117" s="13">
        <v>100.77</v>
      </c>
      <c r="J2117" s="13"/>
      <c r="K2117" s="13"/>
    </row>
    <row r="2118" spans="1:11" x14ac:dyDescent="0.25">
      <c r="A2118" s="10">
        <v>42898</v>
      </c>
      <c r="B2118" s="15">
        <f t="shared" si="66"/>
        <v>6</v>
      </c>
      <c r="C2118" s="15">
        <f t="shared" si="67"/>
        <v>2017</v>
      </c>
      <c r="D2118" s="13">
        <v>37.64</v>
      </c>
      <c r="E2118" s="13">
        <v>3.3660714285714284</v>
      </c>
      <c r="F2118" s="13">
        <v>26.92</v>
      </c>
      <c r="G2118" s="13"/>
      <c r="H2118" s="13">
        <v>93.54</v>
      </c>
      <c r="I2118" s="13">
        <v>98.11</v>
      </c>
      <c r="J2118" s="13"/>
      <c r="K2118" s="13"/>
    </row>
    <row r="2119" spans="1:11" x14ac:dyDescent="0.25">
      <c r="A2119" s="10">
        <v>42899</v>
      </c>
      <c r="B2119" s="15">
        <f t="shared" si="66"/>
        <v>6</v>
      </c>
      <c r="C2119" s="15">
        <f t="shared" si="67"/>
        <v>2017</v>
      </c>
      <c r="D2119" s="13">
        <v>37.64</v>
      </c>
      <c r="E2119" s="13">
        <v>3.3618690922061711</v>
      </c>
      <c r="F2119" s="13">
        <v>26.92</v>
      </c>
      <c r="G2119" s="13"/>
      <c r="H2119" s="13">
        <v>93.54</v>
      </c>
      <c r="I2119" s="13">
        <v>98.11</v>
      </c>
      <c r="J2119" s="13"/>
      <c r="K2119" s="13"/>
    </row>
    <row r="2120" spans="1:11" x14ac:dyDescent="0.25">
      <c r="A2120" s="10">
        <v>42900</v>
      </c>
      <c r="B2120" s="15">
        <f t="shared" si="66"/>
        <v>6</v>
      </c>
      <c r="C2120" s="15">
        <f t="shared" si="67"/>
        <v>2017</v>
      </c>
      <c r="D2120" s="13">
        <v>37.64</v>
      </c>
      <c r="E2120" s="13">
        <v>3.360969956316306</v>
      </c>
      <c r="F2120" s="13">
        <v>26.92</v>
      </c>
      <c r="G2120" s="13"/>
      <c r="H2120" s="13">
        <v>93.54</v>
      </c>
      <c r="I2120" s="13">
        <v>98.11</v>
      </c>
      <c r="J2120" s="13"/>
      <c r="K2120" s="13"/>
    </row>
    <row r="2121" spans="1:11" x14ac:dyDescent="0.25">
      <c r="A2121" s="10">
        <v>42901</v>
      </c>
      <c r="B2121" s="15">
        <f t="shared" si="66"/>
        <v>6</v>
      </c>
      <c r="C2121" s="15">
        <f t="shared" si="67"/>
        <v>2017</v>
      </c>
      <c r="D2121" s="13">
        <v>37.64</v>
      </c>
      <c r="E2121" s="13">
        <v>3.3832899578210536</v>
      </c>
      <c r="F2121" s="13">
        <v>26.92</v>
      </c>
      <c r="G2121" s="13"/>
      <c r="H2121" s="13">
        <v>93.54</v>
      </c>
      <c r="I2121" s="13">
        <v>98.11</v>
      </c>
      <c r="J2121" s="13"/>
      <c r="K2121" s="13"/>
    </row>
    <row r="2122" spans="1:11" x14ac:dyDescent="0.25">
      <c r="A2122" s="10">
        <v>42902</v>
      </c>
      <c r="B2122" s="15">
        <f t="shared" si="66"/>
        <v>6</v>
      </c>
      <c r="C2122" s="15">
        <f t="shared" si="67"/>
        <v>2017</v>
      </c>
      <c r="D2122" s="13">
        <v>37.64</v>
      </c>
      <c r="E2122" s="13">
        <v>3.366973296418684</v>
      </c>
      <c r="F2122" s="13">
        <v>26.92</v>
      </c>
      <c r="G2122" s="13"/>
      <c r="H2122" s="13">
        <v>93.54</v>
      </c>
      <c r="I2122" s="13">
        <v>98.11</v>
      </c>
      <c r="J2122" s="13"/>
      <c r="K2122" s="13"/>
    </row>
    <row r="2123" spans="1:11" x14ac:dyDescent="0.25">
      <c r="A2123" s="10">
        <v>42905</v>
      </c>
      <c r="B2123" s="15">
        <f t="shared" si="66"/>
        <v>6</v>
      </c>
      <c r="C2123" s="15">
        <f t="shared" si="67"/>
        <v>2017</v>
      </c>
      <c r="D2123" s="13">
        <v>41.59</v>
      </c>
      <c r="E2123" s="13">
        <v>1.4531754574811626</v>
      </c>
      <c r="F2123" s="13">
        <v>28.48</v>
      </c>
      <c r="G2123" s="13"/>
      <c r="H2123" s="13">
        <v>95.18</v>
      </c>
      <c r="I2123" s="13">
        <v>90.82</v>
      </c>
      <c r="J2123" s="13"/>
      <c r="K2123" s="13"/>
    </row>
    <row r="2124" spans="1:11" x14ac:dyDescent="0.25">
      <c r="A2124" s="10">
        <v>42906</v>
      </c>
      <c r="B2124" s="15">
        <f t="shared" si="66"/>
        <v>6</v>
      </c>
      <c r="C2124" s="15">
        <f t="shared" si="67"/>
        <v>2017</v>
      </c>
      <c r="D2124" s="13">
        <v>41.59</v>
      </c>
      <c r="E2124" s="13">
        <v>1.4550026944494343</v>
      </c>
      <c r="F2124" s="13">
        <v>28.48</v>
      </c>
      <c r="G2124" s="13"/>
      <c r="H2124" s="13">
        <v>95.18</v>
      </c>
      <c r="I2124" s="13">
        <v>90.82</v>
      </c>
      <c r="J2124" s="13"/>
      <c r="K2124" s="13"/>
    </row>
    <row r="2125" spans="1:11" x14ac:dyDescent="0.25">
      <c r="A2125" s="10">
        <v>42907</v>
      </c>
      <c r="B2125" s="15">
        <f t="shared" si="66"/>
        <v>6</v>
      </c>
      <c r="C2125" s="15">
        <f t="shared" si="67"/>
        <v>2017</v>
      </c>
      <c r="D2125" s="13">
        <v>41.59</v>
      </c>
      <c r="E2125" s="13">
        <v>1.4508328855454058</v>
      </c>
      <c r="F2125" s="13">
        <v>28.48</v>
      </c>
      <c r="G2125" s="13"/>
      <c r="H2125" s="13">
        <v>95.18</v>
      </c>
      <c r="I2125" s="13">
        <v>90.82</v>
      </c>
      <c r="J2125" s="13"/>
      <c r="K2125" s="13"/>
    </row>
    <row r="2126" spans="1:11" x14ac:dyDescent="0.25">
      <c r="A2126" s="10">
        <v>42908</v>
      </c>
      <c r="B2126" s="15">
        <f t="shared" si="66"/>
        <v>6</v>
      </c>
      <c r="C2126" s="15">
        <f t="shared" si="67"/>
        <v>2017</v>
      </c>
      <c r="D2126" s="13">
        <v>41.59</v>
      </c>
      <c r="E2126" s="13">
        <v>1.4529147982062782</v>
      </c>
      <c r="F2126" s="13">
        <v>28.48</v>
      </c>
      <c r="G2126" s="13"/>
      <c r="H2126" s="13">
        <v>95.18</v>
      </c>
      <c r="I2126" s="13">
        <v>90.82</v>
      </c>
      <c r="J2126" s="13"/>
      <c r="K2126" s="13"/>
    </row>
    <row r="2127" spans="1:11" x14ac:dyDescent="0.25">
      <c r="A2127" s="10">
        <v>42909</v>
      </c>
      <c r="B2127" s="15">
        <f t="shared" si="66"/>
        <v>6</v>
      </c>
      <c r="C2127" s="15">
        <f t="shared" si="67"/>
        <v>2017</v>
      </c>
      <c r="D2127" s="13">
        <v>41.59</v>
      </c>
      <c r="E2127" s="13">
        <v>1.4474624731951395</v>
      </c>
      <c r="F2127" s="13">
        <v>28.48</v>
      </c>
      <c r="G2127" s="13"/>
      <c r="H2127" s="13">
        <v>95.18</v>
      </c>
      <c r="I2127" s="13">
        <v>90.82</v>
      </c>
      <c r="J2127" s="13"/>
      <c r="K2127" s="13"/>
    </row>
    <row r="2128" spans="1:11" x14ac:dyDescent="0.25">
      <c r="A2128" s="10">
        <v>42912</v>
      </c>
      <c r="B2128" s="15">
        <f t="shared" si="66"/>
        <v>6</v>
      </c>
      <c r="C2128" s="15">
        <f t="shared" si="67"/>
        <v>2017</v>
      </c>
      <c r="D2128" s="13">
        <v>50.81</v>
      </c>
      <c r="E2128" s="13">
        <v>6.8252974326862876</v>
      </c>
      <c r="F2128" s="13">
        <v>34.479999999999997</v>
      </c>
      <c r="G2128" s="13"/>
      <c r="H2128" s="13">
        <v>102.47</v>
      </c>
      <c r="I2128" s="13">
        <v>92.35</v>
      </c>
      <c r="J2128" s="13"/>
      <c r="K2128" s="13"/>
    </row>
    <row r="2129" spans="1:11" x14ac:dyDescent="0.25">
      <c r="A2129" s="10">
        <v>42913</v>
      </c>
      <c r="B2129" s="15">
        <f t="shared" si="66"/>
        <v>6</v>
      </c>
      <c r="C2129" s="15">
        <f t="shared" si="67"/>
        <v>2017</v>
      </c>
      <c r="D2129" s="13">
        <v>50.81</v>
      </c>
      <c r="E2129" s="13">
        <v>6.7301755314457088</v>
      </c>
      <c r="F2129" s="13">
        <v>34.479999999999997</v>
      </c>
      <c r="G2129" s="13"/>
      <c r="H2129" s="13">
        <v>102.47</v>
      </c>
      <c r="I2129" s="13">
        <v>92.35</v>
      </c>
      <c r="J2129" s="13"/>
      <c r="K2129" s="13"/>
    </row>
    <row r="2130" spans="1:11" x14ac:dyDescent="0.25">
      <c r="A2130" s="10">
        <v>42914</v>
      </c>
      <c r="B2130" s="15">
        <f t="shared" si="66"/>
        <v>6</v>
      </c>
      <c r="C2130" s="15">
        <f t="shared" si="67"/>
        <v>2017</v>
      </c>
      <c r="D2130" s="13">
        <v>50.81</v>
      </c>
      <c r="E2130" s="13">
        <v>6.707102672292546</v>
      </c>
      <c r="F2130" s="13">
        <v>34.479999999999997</v>
      </c>
      <c r="G2130" s="13"/>
      <c r="H2130" s="13">
        <v>102.47</v>
      </c>
      <c r="I2130" s="13">
        <v>92.35</v>
      </c>
      <c r="J2130" s="13"/>
      <c r="K2130" s="13"/>
    </row>
    <row r="2131" spans="1:11" x14ac:dyDescent="0.25">
      <c r="A2131" s="10">
        <v>42915</v>
      </c>
      <c r="B2131" s="15">
        <f t="shared" si="66"/>
        <v>6</v>
      </c>
      <c r="C2131" s="15">
        <f t="shared" si="67"/>
        <v>2017</v>
      </c>
      <c r="D2131" s="13">
        <v>50.81</v>
      </c>
      <c r="E2131" s="13">
        <v>6.66958041958042</v>
      </c>
      <c r="F2131" s="13">
        <v>34.479999999999997</v>
      </c>
      <c r="G2131" s="13"/>
      <c r="H2131" s="13">
        <v>102.47</v>
      </c>
      <c r="I2131" s="13">
        <v>92.35</v>
      </c>
      <c r="J2131" s="13"/>
      <c r="K2131" s="13"/>
    </row>
    <row r="2132" spans="1:11" x14ac:dyDescent="0.25">
      <c r="A2132" s="10">
        <v>42916</v>
      </c>
      <c r="B2132" s="15">
        <f t="shared" si="66"/>
        <v>6</v>
      </c>
      <c r="C2132" s="15">
        <f t="shared" si="67"/>
        <v>2017</v>
      </c>
      <c r="D2132" s="13">
        <v>50.81</v>
      </c>
      <c r="E2132" s="13">
        <v>6.6795062593014087</v>
      </c>
      <c r="F2132" s="13">
        <v>34.479999999999997</v>
      </c>
      <c r="G2132" s="13"/>
      <c r="H2132" s="13">
        <v>102.47</v>
      </c>
      <c r="I2132" s="13">
        <v>92.35</v>
      </c>
      <c r="J2132" s="13"/>
      <c r="K2132" s="13"/>
    </row>
    <row r="2133" spans="1:11" x14ac:dyDescent="0.25">
      <c r="A2133" s="10">
        <v>42919</v>
      </c>
      <c r="B2133" s="15">
        <f t="shared" si="66"/>
        <v>7</v>
      </c>
      <c r="C2133" s="15">
        <f t="shared" si="67"/>
        <v>2017</v>
      </c>
      <c r="D2133" s="13">
        <v>44.44</v>
      </c>
      <c r="E2133" s="13">
        <v>9.0492957746478879</v>
      </c>
      <c r="F2133" s="13">
        <v>38.340000000000003</v>
      </c>
      <c r="G2133" s="13"/>
      <c r="H2133" s="13">
        <v>93.58</v>
      </c>
      <c r="I2133" s="13">
        <v>97.32</v>
      </c>
      <c r="J2133" s="13"/>
      <c r="K2133" s="13"/>
    </row>
    <row r="2134" spans="1:11" x14ac:dyDescent="0.25">
      <c r="A2134" s="10">
        <v>42921</v>
      </c>
      <c r="B2134" s="15">
        <f t="shared" si="66"/>
        <v>7</v>
      </c>
      <c r="C2134" s="15">
        <f t="shared" si="67"/>
        <v>2017</v>
      </c>
      <c r="D2134" s="13">
        <v>44.44</v>
      </c>
      <c r="E2134" s="13">
        <v>9.0556730091613815</v>
      </c>
      <c r="F2134" s="13">
        <v>38.340000000000003</v>
      </c>
      <c r="G2134" s="13"/>
      <c r="H2134" s="13">
        <v>93.58</v>
      </c>
      <c r="I2134" s="13">
        <v>97.32</v>
      </c>
      <c r="J2134" s="13"/>
      <c r="K2134" s="13"/>
    </row>
    <row r="2135" spans="1:11" x14ac:dyDescent="0.25">
      <c r="A2135" s="10">
        <v>42922</v>
      </c>
      <c r="B2135" s="15">
        <f t="shared" si="66"/>
        <v>7</v>
      </c>
      <c r="C2135" s="15">
        <f t="shared" si="67"/>
        <v>2017</v>
      </c>
      <c r="D2135" s="13">
        <v>44.44</v>
      </c>
      <c r="E2135" s="13">
        <v>9.0001751006828918</v>
      </c>
      <c r="F2135" s="13">
        <v>38.340000000000003</v>
      </c>
      <c r="G2135" s="13"/>
      <c r="H2135" s="13">
        <v>93.58</v>
      </c>
      <c r="I2135" s="13">
        <v>97.32</v>
      </c>
      <c r="J2135" s="13"/>
      <c r="K2135" s="13"/>
    </row>
    <row r="2136" spans="1:11" x14ac:dyDescent="0.25">
      <c r="A2136" s="10">
        <v>42923</v>
      </c>
      <c r="B2136" s="15">
        <f t="shared" si="66"/>
        <v>7</v>
      </c>
      <c r="C2136" s="15">
        <f t="shared" si="67"/>
        <v>2017</v>
      </c>
      <c r="D2136" s="13">
        <v>44.44</v>
      </c>
      <c r="E2136" s="13">
        <v>9.0175438596491233</v>
      </c>
      <c r="F2136" s="13">
        <v>38.340000000000003</v>
      </c>
      <c r="G2136" s="13"/>
      <c r="H2136" s="13">
        <v>93.58</v>
      </c>
      <c r="I2136" s="13">
        <v>97.32</v>
      </c>
      <c r="J2136" s="13"/>
      <c r="K2136" s="13"/>
    </row>
    <row r="2137" spans="1:11" x14ac:dyDescent="0.25">
      <c r="A2137" s="10">
        <v>42926</v>
      </c>
      <c r="B2137" s="15">
        <f t="shared" si="66"/>
        <v>7</v>
      </c>
      <c r="C2137" s="15">
        <f t="shared" si="67"/>
        <v>2017</v>
      </c>
      <c r="D2137" s="13">
        <v>38.700000000000003</v>
      </c>
      <c r="E2137" s="13">
        <v>16.738310378103343</v>
      </c>
      <c r="F2137" s="13">
        <v>33.99</v>
      </c>
      <c r="G2137" s="13"/>
      <c r="H2137" s="13">
        <v>87.24</v>
      </c>
      <c r="I2137" s="13">
        <v>71.069999999999993</v>
      </c>
      <c r="J2137" s="13"/>
      <c r="K2137" s="13"/>
    </row>
    <row r="2138" spans="1:11" x14ac:dyDescent="0.25">
      <c r="A2138" s="10">
        <v>42927</v>
      </c>
      <c r="B2138" s="15">
        <f t="shared" si="66"/>
        <v>7</v>
      </c>
      <c r="C2138" s="15">
        <f t="shared" si="67"/>
        <v>2017</v>
      </c>
      <c r="D2138" s="13">
        <v>38.700000000000003</v>
      </c>
      <c r="E2138" s="13">
        <v>16.641953772350629</v>
      </c>
      <c r="F2138" s="13">
        <v>33.99</v>
      </c>
      <c r="G2138" s="13"/>
      <c r="H2138" s="13">
        <v>87.24</v>
      </c>
      <c r="I2138" s="13">
        <v>71.069999999999993</v>
      </c>
      <c r="J2138" s="13"/>
      <c r="K2138" s="13"/>
    </row>
    <row r="2139" spans="1:11" x14ac:dyDescent="0.25">
      <c r="A2139" s="10">
        <v>42928</v>
      </c>
      <c r="B2139" s="15">
        <f t="shared" si="66"/>
        <v>7</v>
      </c>
      <c r="C2139" s="15">
        <f t="shared" si="67"/>
        <v>2017</v>
      </c>
      <c r="D2139" s="13">
        <v>38.700000000000003</v>
      </c>
      <c r="E2139" s="13">
        <v>16.72217353198948</v>
      </c>
      <c r="F2139" s="13">
        <v>33.99</v>
      </c>
      <c r="G2139" s="13"/>
      <c r="H2139" s="13">
        <v>87.24</v>
      </c>
      <c r="I2139" s="13">
        <v>71.069999999999993</v>
      </c>
      <c r="J2139" s="13"/>
      <c r="K2139" s="13"/>
    </row>
    <row r="2140" spans="1:11" x14ac:dyDescent="0.25">
      <c r="A2140" s="10">
        <v>42929</v>
      </c>
      <c r="B2140" s="15">
        <f t="shared" si="66"/>
        <v>7</v>
      </c>
      <c r="C2140" s="15">
        <f t="shared" si="67"/>
        <v>2017</v>
      </c>
      <c r="D2140" s="13">
        <v>38.700000000000003</v>
      </c>
      <c r="E2140" s="13">
        <v>16.744186046511626</v>
      </c>
      <c r="F2140" s="13">
        <v>33.99</v>
      </c>
      <c r="G2140" s="13"/>
      <c r="H2140" s="13">
        <v>87.24</v>
      </c>
      <c r="I2140" s="13">
        <v>71.069999999999993</v>
      </c>
      <c r="J2140" s="13"/>
      <c r="K2140" s="13"/>
    </row>
    <row r="2141" spans="1:11" x14ac:dyDescent="0.25">
      <c r="A2141" s="10">
        <v>42930</v>
      </c>
      <c r="B2141" s="15">
        <f t="shared" si="66"/>
        <v>7</v>
      </c>
      <c r="C2141" s="15">
        <f t="shared" si="67"/>
        <v>2017</v>
      </c>
      <c r="D2141" s="13">
        <v>38.700000000000003</v>
      </c>
      <c r="E2141" s="13">
        <v>16.639051190372371</v>
      </c>
      <c r="F2141" s="13">
        <v>33.99</v>
      </c>
      <c r="G2141" s="13"/>
      <c r="H2141" s="13">
        <v>87.24</v>
      </c>
      <c r="I2141" s="13">
        <v>71.069999999999993</v>
      </c>
      <c r="J2141" s="13"/>
      <c r="K2141" s="13"/>
    </row>
    <row r="2142" spans="1:11" x14ac:dyDescent="0.25">
      <c r="A2142" s="10">
        <v>42933</v>
      </c>
      <c r="B2142" s="15">
        <f t="shared" si="66"/>
        <v>7</v>
      </c>
      <c r="C2142" s="15">
        <f t="shared" si="67"/>
        <v>2017</v>
      </c>
      <c r="D2142" s="13">
        <v>25.98</v>
      </c>
      <c r="E2142" s="13">
        <v>20.517511761630949</v>
      </c>
      <c r="F2142" s="13">
        <v>27.66</v>
      </c>
      <c r="G2142" s="13"/>
      <c r="H2142" s="13">
        <v>86.58</v>
      </c>
      <c r="I2142" s="13">
        <v>91.44</v>
      </c>
      <c r="J2142" s="13"/>
      <c r="K2142" s="13"/>
    </row>
    <row r="2143" spans="1:11" x14ac:dyDescent="0.25">
      <c r="A2143" s="10">
        <v>42934</v>
      </c>
      <c r="B2143" s="15">
        <f t="shared" si="66"/>
        <v>7</v>
      </c>
      <c r="C2143" s="15">
        <f t="shared" si="67"/>
        <v>2017</v>
      </c>
      <c r="D2143" s="13">
        <v>25.98</v>
      </c>
      <c r="E2143" s="13">
        <v>20.386080332409971</v>
      </c>
      <c r="F2143" s="13">
        <v>27.66</v>
      </c>
      <c r="G2143" s="13"/>
      <c r="H2143" s="13">
        <v>86.58</v>
      </c>
      <c r="I2143" s="13">
        <v>91.44</v>
      </c>
      <c r="J2143" s="13"/>
      <c r="K2143" s="13"/>
    </row>
    <row r="2144" spans="1:11" x14ac:dyDescent="0.25">
      <c r="A2144" s="10">
        <v>42935</v>
      </c>
      <c r="B2144" s="15">
        <f t="shared" si="66"/>
        <v>7</v>
      </c>
      <c r="C2144" s="15">
        <f t="shared" si="67"/>
        <v>2017</v>
      </c>
      <c r="D2144" s="13">
        <v>25.98</v>
      </c>
      <c r="E2144" s="13">
        <v>20.453361125586245</v>
      </c>
      <c r="F2144" s="13">
        <v>27.66</v>
      </c>
      <c r="G2144" s="13"/>
      <c r="H2144" s="13">
        <v>86.58</v>
      </c>
      <c r="I2144" s="13">
        <v>91.44</v>
      </c>
      <c r="J2144" s="13"/>
      <c r="K2144" s="13"/>
    </row>
    <row r="2145" spans="1:11" x14ac:dyDescent="0.25">
      <c r="A2145" s="10">
        <v>42936</v>
      </c>
      <c r="B2145" s="15">
        <f t="shared" si="66"/>
        <v>7</v>
      </c>
      <c r="C2145" s="15">
        <f t="shared" si="67"/>
        <v>2017</v>
      </c>
      <c r="D2145" s="13">
        <v>25.98</v>
      </c>
      <c r="E2145" s="13">
        <v>20.251096396938689</v>
      </c>
      <c r="F2145" s="13">
        <v>27.66</v>
      </c>
      <c r="G2145" s="13"/>
      <c r="H2145" s="13">
        <v>86.58</v>
      </c>
      <c r="I2145" s="13">
        <v>91.44</v>
      </c>
      <c r="J2145" s="13"/>
      <c r="K2145" s="13"/>
    </row>
    <row r="2146" spans="1:11" x14ac:dyDescent="0.25">
      <c r="A2146" s="10">
        <v>42937</v>
      </c>
      <c r="B2146" s="15">
        <f t="shared" si="66"/>
        <v>7</v>
      </c>
      <c r="C2146" s="15">
        <f t="shared" si="67"/>
        <v>2017</v>
      </c>
      <c r="D2146" s="13">
        <v>25.98</v>
      </c>
      <c r="E2146" s="13">
        <v>20.195523540005148</v>
      </c>
      <c r="F2146" s="13">
        <v>27.66</v>
      </c>
      <c r="G2146" s="13"/>
      <c r="H2146" s="13">
        <v>86.58</v>
      </c>
      <c r="I2146" s="13">
        <v>91.44</v>
      </c>
      <c r="J2146" s="13"/>
      <c r="K2146" s="13"/>
    </row>
    <row r="2147" spans="1:11" x14ac:dyDescent="0.25">
      <c r="A2147" s="10">
        <v>42940</v>
      </c>
      <c r="B2147" s="15">
        <f t="shared" si="66"/>
        <v>7</v>
      </c>
      <c r="C2147" s="15">
        <f t="shared" si="67"/>
        <v>2017</v>
      </c>
      <c r="D2147" s="13">
        <v>44.09</v>
      </c>
      <c r="E2147" s="13">
        <v>25.365183021137653</v>
      </c>
      <c r="F2147" s="13">
        <v>42.07</v>
      </c>
      <c r="G2147" s="13"/>
      <c r="H2147" s="13">
        <v>99.92</v>
      </c>
      <c r="I2147" s="13">
        <v>101.95</v>
      </c>
      <c r="J2147" s="13"/>
      <c r="K2147" s="13"/>
    </row>
    <row r="2148" spans="1:11" x14ac:dyDescent="0.25">
      <c r="A2148" s="10">
        <v>42941</v>
      </c>
      <c r="B2148" s="15">
        <f t="shared" si="66"/>
        <v>7</v>
      </c>
      <c r="C2148" s="15">
        <f t="shared" si="67"/>
        <v>2017</v>
      </c>
      <c r="D2148" s="13">
        <v>44.09</v>
      </c>
      <c r="E2148" s="13">
        <v>25.336880954424512</v>
      </c>
      <c r="F2148" s="13">
        <v>42.07</v>
      </c>
      <c r="G2148" s="13"/>
      <c r="H2148" s="13">
        <v>99.92</v>
      </c>
      <c r="I2148" s="13">
        <v>101.95</v>
      </c>
      <c r="J2148" s="13"/>
      <c r="K2148" s="13"/>
    </row>
    <row r="2149" spans="1:11" x14ac:dyDescent="0.25">
      <c r="A2149" s="10">
        <v>42942</v>
      </c>
      <c r="B2149" s="15">
        <f t="shared" si="66"/>
        <v>7</v>
      </c>
      <c r="C2149" s="15">
        <f t="shared" si="67"/>
        <v>2017</v>
      </c>
      <c r="D2149" s="13">
        <v>44.09</v>
      </c>
      <c r="E2149" s="13">
        <v>25.161950221616092</v>
      </c>
      <c r="F2149" s="13">
        <v>42.07</v>
      </c>
      <c r="G2149" s="13"/>
      <c r="H2149" s="13">
        <v>99.92</v>
      </c>
      <c r="I2149" s="13">
        <v>101.95</v>
      </c>
      <c r="J2149" s="13"/>
      <c r="K2149" s="13"/>
    </row>
    <row r="2150" spans="1:11" x14ac:dyDescent="0.25">
      <c r="A2150" s="10">
        <v>42943</v>
      </c>
      <c r="B2150" s="15">
        <f t="shared" si="66"/>
        <v>7</v>
      </c>
      <c r="C2150" s="15">
        <f t="shared" si="67"/>
        <v>2017</v>
      </c>
      <c r="D2150" s="13">
        <v>44.09</v>
      </c>
      <c r="E2150" s="13">
        <v>25.282631038026722</v>
      </c>
      <c r="F2150" s="13">
        <v>42.07</v>
      </c>
      <c r="G2150" s="13"/>
      <c r="H2150" s="13">
        <v>99.92</v>
      </c>
      <c r="I2150" s="13">
        <v>101.95</v>
      </c>
      <c r="J2150" s="13"/>
      <c r="K2150" s="13"/>
    </row>
    <row r="2151" spans="1:11" x14ac:dyDescent="0.25">
      <c r="A2151" s="10">
        <v>42944</v>
      </c>
      <c r="B2151" s="15">
        <f t="shared" si="66"/>
        <v>7</v>
      </c>
      <c r="C2151" s="15">
        <f t="shared" si="67"/>
        <v>2017</v>
      </c>
      <c r="D2151" s="13">
        <v>44.09</v>
      </c>
      <c r="E2151" s="13">
        <v>25.123404255319148</v>
      </c>
      <c r="F2151" s="13">
        <v>42.07</v>
      </c>
      <c r="G2151" s="13"/>
      <c r="H2151" s="13">
        <v>99.92</v>
      </c>
      <c r="I2151" s="13">
        <v>101.95</v>
      </c>
      <c r="J2151" s="13"/>
      <c r="K2151" s="13"/>
    </row>
    <row r="2152" spans="1:11" x14ac:dyDescent="0.25">
      <c r="A2152" s="10">
        <v>42947</v>
      </c>
      <c r="B2152" s="15">
        <f t="shared" si="66"/>
        <v>7</v>
      </c>
      <c r="C2152" s="15">
        <f t="shared" si="67"/>
        <v>2017</v>
      </c>
      <c r="D2152" s="13">
        <v>44.15</v>
      </c>
      <c r="E2152" s="13">
        <v>10.253378378378379</v>
      </c>
      <c r="F2152" s="13">
        <v>30.9</v>
      </c>
      <c r="G2152" s="13"/>
      <c r="H2152" s="13">
        <v>99.27</v>
      </c>
      <c r="I2152" s="13">
        <v>95.72</v>
      </c>
      <c r="J2152" s="13"/>
      <c r="K2152" s="13"/>
    </row>
    <row r="2153" spans="1:11" x14ac:dyDescent="0.25">
      <c r="A2153" s="10">
        <v>42948</v>
      </c>
      <c r="B2153" s="15">
        <f t="shared" si="66"/>
        <v>8</v>
      </c>
      <c r="C2153" s="15">
        <f t="shared" si="67"/>
        <v>2017</v>
      </c>
      <c r="D2153" s="13">
        <v>44.15</v>
      </c>
      <c r="E2153" s="13">
        <v>10.287263791204136</v>
      </c>
      <c r="F2153" s="13">
        <v>30.9</v>
      </c>
      <c r="G2153" s="13"/>
      <c r="H2153" s="13">
        <v>99.27</v>
      </c>
      <c r="I2153" s="13">
        <v>95.72</v>
      </c>
      <c r="J2153" s="13"/>
      <c r="K2153" s="13"/>
    </row>
    <row r="2154" spans="1:11" x14ac:dyDescent="0.25">
      <c r="A2154" s="10">
        <v>42949</v>
      </c>
      <c r="B2154" s="15">
        <f t="shared" si="66"/>
        <v>8</v>
      </c>
      <c r="C2154" s="15">
        <f t="shared" si="67"/>
        <v>2017</v>
      </c>
      <c r="D2154" s="13">
        <v>44.15</v>
      </c>
      <c r="E2154" s="13">
        <v>10.241268770035431</v>
      </c>
      <c r="F2154" s="13">
        <v>30.9</v>
      </c>
      <c r="G2154" s="13"/>
      <c r="H2154" s="13">
        <v>99.27</v>
      </c>
      <c r="I2154" s="13">
        <v>95.72</v>
      </c>
      <c r="J2154" s="13"/>
      <c r="K2154" s="13"/>
    </row>
    <row r="2155" spans="1:11" x14ac:dyDescent="0.25">
      <c r="A2155" s="10">
        <v>42950</v>
      </c>
      <c r="B2155" s="15">
        <f t="shared" si="66"/>
        <v>8</v>
      </c>
      <c r="C2155" s="15">
        <f t="shared" si="67"/>
        <v>2017</v>
      </c>
      <c r="D2155" s="13">
        <v>44.15</v>
      </c>
      <c r="E2155" s="13">
        <v>10.229187731715538</v>
      </c>
      <c r="F2155" s="13">
        <v>30.9</v>
      </c>
      <c r="G2155" s="13"/>
      <c r="H2155" s="13">
        <v>99.27</v>
      </c>
      <c r="I2155" s="13">
        <v>95.72</v>
      </c>
      <c r="J2155" s="13"/>
      <c r="K2155" s="13"/>
    </row>
    <row r="2156" spans="1:11" x14ac:dyDescent="0.25">
      <c r="A2156" s="10">
        <v>42951</v>
      </c>
      <c r="B2156" s="15">
        <f t="shared" si="66"/>
        <v>8</v>
      </c>
      <c r="C2156" s="15">
        <f t="shared" si="67"/>
        <v>2017</v>
      </c>
      <c r="D2156" s="13">
        <v>44.15</v>
      </c>
      <c r="E2156" s="13">
        <v>10.316111488783141</v>
      </c>
      <c r="F2156" s="13">
        <v>30.9</v>
      </c>
      <c r="G2156" s="13"/>
      <c r="H2156" s="13">
        <v>99.27</v>
      </c>
      <c r="I2156" s="13">
        <v>95.72</v>
      </c>
      <c r="J2156" s="13"/>
      <c r="K2156" s="13"/>
    </row>
    <row r="2157" spans="1:11" x14ac:dyDescent="0.25">
      <c r="A2157" s="10">
        <v>42954</v>
      </c>
      <c r="B2157" s="15">
        <f t="shared" si="66"/>
        <v>8</v>
      </c>
      <c r="C2157" s="15">
        <f t="shared" si="67"/>
        <v>2017</v>
      </c>
      <c r="D2157" s="13">
        <v>42.33</v>
      </c>
      <c r="E2157" s="13">
        <v>2.7558721275332823</v>
      </c>
      <c r="F2157" s="13">
        <v>22.87</v>
      </c>
      <c r="G2157" s="13"/>
      <c r="H2157" s="13">
        <v>94.7</v>
      </c>
      <c r="I2157" s="13">
        <v>86.4</v>
      </c>
      <c r="J2157" s="13"/>
      <c r="K2157" s="13"/>
    </row>
    <row r="2158" spans="1:11" x14ac:dyDescent="0.25">
      <c r="A2158" s="10">
        <v>42955</v>
      </c>
      <c r="B2158" s="15">
        <f t="shared" si="66"/>
        <v>8</v>
      </c>
      <c r="C2158" s="15">
        <f t="shared" si="67"/>
        <v>2017</v>
      </c>
      <c r="D2158" s="13">
        <v>42.33</v>
      </c>
      <c r="E2158" s="13">
        <v>2.7661928674780829</v>
      </c>
      <c r="F2158" s="13">
        <v>22.87</v>
      </c>
      <c r="G2158" s="13"/>
      <c r="H2158" s="13">
        <v>94.7</v>
      </c>
      <c r="I2158" s="13">
        <v>86.4</v>
      </c>
      <c r="J2158" s="13"/>
      <c r="K2158" s="13"/>
    </row>
    <row r="2159" spans="1:11" x14ac:dyDescent="0.25">
      <c r="A2159" s="10">
        <v>42956</v>
      </c>
      <c r="B2159" s="15">
        <f t="shared" si="66"/>
        <v>8</v>
      </c>
      <c r="C2159" s="15">
        <f t="shared" si="67"/>
        <v>2017</v>
      </c>
      <c r="D2159" s="13">
        <v>42.33</v>
      </c>
      <c r="E2159" s="13">
        <v>2.7643106234583654</v>
      </c>
      <c r="F2159" s="13">
        <v>22.87</v>
      </c>
      <c r="G2159" s="13"/>
      <c r="H2159" s="13">
        <v>94.7</v>
      </c>
      <c r="I2159" s="13">
        <v>86.4</v>
      </c>
      <c r="J2159" s="13"/>
      <c r="K2159" s="13"/>
    </row>
    <row r="2160" spans="1:11" x14ac:dyDescent="0.25">
      <c r="A2160" s="10">
        <v>42957</v>
      </c>
      <c r="B2160" s="15">
        <f t="shared" si="66"/>
        <v>8</v>
      </c>
      <c r="C2160" s="15">
        <f t="shared" si="67"/>
        <v>2017</v>
      </c>
      <c r="D2160" s="13">
        <v>42.33</v>
      </c>
      <c r="E2160" s="13">
        <v>2.7612574341546301</v>
      </c>
      <c r="F2160" s="13">
        <v>22.87</v>
      </c>
      <c r="G2160" s="13"/>
      <c r="H2160" s="13">
        <v>94.7</v>
      </c>
      <c r="I2160" s="13">
        <v>86.4</v>
      </c>
      <c r="J2160" s="13"/>
      <c r="K2160" s="13"/>
    </row>
    <row r="2161" spans="1:11" x14ac:dyDescent="0.25">
      <c r="A2161" s="10">
        <v>42958</v>
      </c>
      <c r="B2161" s="15">
        <f t="shared" si="66"/>
        <v>8</v>
      </c>
      <c r="C2161" s="15">
        <f t="shared" si="67"/>
        <v>2017</v>
      </c>
      <c r="D2161" s="13">
        <v>42.33</v>
      </c>
      <c r="E2161" s="13">
        <v>2.7495769881556686</v>
      </c>
      <c r="F2161" s="13">
        <v>22.87</v>
      </c>
      <c r="G2161" s="13"/>
      <c r="H2161" s="13">
        <v>94.7</v>
      </c>
      <c r="I2161" s="13">
        <v>86.4</v>
      </c>
      <c r="J2161" s="13"/>
      <c r="K2161" s="13"/>
    </row>
    <row r="2162" spans="1:11" x14ac:dyDescent="0.25">
      <c r="A2162" s="10">
        <v>42961</v>
      </c>
      <c r="B2162" s="15">
        <f t="shared" si="66"/>
        <v>8</v>
      </c>
      <c r="C2162" s="15">
        <f t="shared" si="67"/>
        <v>2017</v>
      </c>
      <c r="D2162" s="13">
        <v>41.35</v>
      </c>
      <c r="E2162" s="13">
        <v>13.049753778230599</v>
      </c>
      <c r="F2162" s="13">
        <v>27.35</v>
      </c>
      <c r="G2162" s="13"/>
      <c r="H2162" s="13">
        <v>90.44</v>
      </c>
      <c r="I2162" s="13">
        <v>81.62</v>
      </c>
      <c r="J2162" s="13"/>
      <c r="K2162" s="13"/>
    </row>
    <row r="2163" spans="1:11" x14ac:dyDescent="0.25">
      <c r="A2163" s="10">
        <v>42962</v>
      </c>
      <c r="B2163" s="15">
        <f t="shared" si="66"/>
        <v>8</v>
      </c>
      <c r="C2163" s="15">
        <f t="shared" si="67"/>
        <v>2017</v>
      </c>
      <c r="D2163" s="13">
        <v>41.35</v>
      </c>
      <c r="E2163" s="13">
        <v>13.099803971703741</v>
      </c>
      <c r="F2163" s="13">
        <v>27.35</v>
      </c>
      <c r="G2163" s="13"/>
      <c r="H2163" s="13">
        <v>90.44</v>
      </c>
      <c r="I2163" s="13">
        <v>81.62</v>
      </c>
      <c r="J2163" s="13"/>
      <c r="K2163" s="13"/>
    </row>
    <row r="2164" spans="1:11" x14ac:dyDescent="0.25">
      <c r="A2164" s="10">
        <v>42963</v>
      </c>
      <c r="B2164" s="15">
        <f t="shared" si="66"/>
        <v>8</v>
      </c>
      <c r="C2164" s="15">
        <f t="shared" si="67"/>
        <v>2017</v>
      </c>
      <c r="D2164" s="13">
        <v>41.35</v>
      </c>
      <c r="E2164" s="13">
        <v>13.060842963970087</v>
      </c>
      <c r="F2164" s="13">
        <v>27.35</v>
      </c>
      <c r="G2164" s="13"/>
      <c r="H2164" s="13">
        <v>90.44</v>
      </c>
      <c r="I2164" s="13">
        <v>81.62</v>
      </c>
      <c r="J2164" s="13"/>
      <c r="K2164" s="13"/>
    </row>
    <row r="2165" spans="1:11" x14ac:dyDescent="0.25">
      <c r="A2165" s="10">
        <v>42964</v>
      </c>
      <c r="B2165" s="15">
        <f t="shared" si="66"/>
        <v>8</v>
      </c>
      <c r="C2165" s="15">
        <f t="shared" si="67"/>
        <v>2017</v>
      </c>
      <c r="D2165" s="13">
        <v>41.35</v>
      </c>
      <c r="E2165" s="13">
        <v>13.110978418493561</v>
      </c>
      <c r="F2165" s="13">
        <v>27.35</v>
      </c>
      <c r="G2165" s="13"/>
      <c r="H2165" s="13">
        <v>90.44</v>
      </c>
      <c r="I2165" s="13">
        <v>81.62</v>
      </c>
      <c r="J2165" s="13"/>
      <c r="K2165" s="13"/>
    </row>
    <row r="2166" spans="1:11" x14ac:dyDescent="0.25">
      <c r="A2166" s="10">
        <v>42965</v>
      </c>
      <c r="B2166" s="15">
        <f t="shared" si="66"/>
        <v>8</v>
      </c>
      <c r="C2166" s="15">
        <f t="shared" si="67"/>
        <v>2017</v>
      </c>
      <c r="D2166" s="13">
        <v>41.35</v>
      </c>
      <c r="E2166" s="13">
        <v>13.069727891156463</v>
      </c>
      <c r="F2166" s="13">
        <v>27.35</v>
      </c>
      <c r="G2166" s="13"/>
      <c r="H2166" s="13">
        <v>90.44</v>
      </c>
      <c r="I2166" s="13">
        <v>81.62</v>
      </c>
      <c r="J2166" s="13"/>
      <c r="K2166" s="13"/>
    </row>
    <row r="2167" spans="1:11" x14ac:dyDescent="0.25">
      <c r="A2167" s="10">
        <v>42968</v>
      </c>
      <c r="B2167" s="15">
        <f t="shared" si="66"/>
        <v>8</v>
      </c>
      <c r="C2167" s="15">
        <f t="shared" si="67"/>
        <v>2017</v>
      </c>
      <c r="D2167" s="13">
        <v>29.96</v>
      </c>
      <c r="E2167" s="13">
        <v>4.071440663619434</v>
      </c>
      <c r="F2167" s="13">
        <v>15.09</v>
      </c>
      <c r="G2167" s="13"/>
      <c r="H2167" s="13">
        <v>88.21</v>
      </c>
      <c r="I2167" s="13">
        <v>85.52</v>
      </c>
      <c r="J2167" s="13"/>
      <c r="K2167" s="13"/>
    </row>
    <row r="2168" spans="1:11" x14ac:dyDescent="0.25">
      <c r="A2168" s="10">
        <v>42969</v>
      </c>
      <c r="B2168" s="15">
        <f t="shared" si="66"/>
        <v>8</v>
      </c>
      <c r="C2168" s="15">
        <f t="shared" si="67"/>
        <v>2017</v>
      </c>
      <c r="D2168" s="13">
        <v>29.96</v>
      </c>
      <c r="E2168" s="13">
        <v>4.0901360544217686</v>
      </c>
      <c r="F2168" s="13">
        <v>15.09</v>
      </c>
      <c r="G2168" s="13"/>
      <c r="H2168" s="13">
        <v>88.21</v>
      </c>
      <c r="I2168" s="13">
        <v>85.52</v>
      </c>
      <c r="J2168" s="13"/>
      <c r="K2168" s="13"/>
    </row>
    <row r="2169" spans="1:11" x14ac:dyDescent="0.25">
      <c r="A2169" s="10">
        <v>42970</v>
      </c>
      <c r="B2169" s="15">
        <f t="shared" si="66"/>
        <v>8</v>
      </c>
      <c r="C2169" s="15">
        <f t="shared" si="67"/>
        <v>2017</v>
      </c>
      <c r="D2169" s="13">
        <v>29.96</v>
      </c>
      <c r="E2169" s="13">
        <v>4.0745446844557387</v>
      </c>
      <c r="F2169" s="13">
        <v>15.09</v>
      </c>
      <c r="G2169" s="13"/>
      <c r="H2169" s="13">
        <v>88.21</v>
      </c>
      <c r="I2169" s="13">
        <v>85.52</v>
      </c>
      <c r="J2169" s="13"/>
      <c r="K2169" s="13"/>
    </row>
    <row r="2170" spans="1:11" x14ac:dyDescent="0.25">
      <c r="A2170" s="10">
        <v>42971</v>
      </c>
      <c r="B2170" s="15">
        <f t="shared" si="66"/>
        <v>8</v>
      </c>
      <c r="C2170" s="15">
        <f t="shared" si="67"/>
        <v>2017</v>
      </c>
      <c r="D2170" s="13">
        <v>29.96</v>
      </c>
      <c r="E2170" s="13">
        <v>4.077307790116131</v>
      </c>
      <c r="F2170" s="13">
        <v>15.09</v>
      </c>
      <c r="G2170" s="13"/>
      <c r="H2170" s="13">
        <v>88.21</v>
      </c>
      <c r="I2170" s="13">
        <v>85.52</v>
      </c>
      <c r="J2170" s="13"/>
      <c r="K2170" s="13"/>
    </row>
    <row r="2171" spans="1:11" x14ac:dyDescent="0.25">
      <c r="A2171" s="10">
        <v>42972</v>
      </c>
      <c r="B2171" s="15">
        <f t="shared" si="66"/>
        <v>8</v>
      </c>
      <c r="C2171" s="15">
        <f t="shared" si="67"/>
        <v>2017</v>
      </c>
      <c r="D2171" s="13">
        <v>29.96</v>
      </c>
      <c r="E2171" s="13">
        <v>4.0338812479033885</v>
      </c>
      <c r="F2171" s="13">
        <v>15.09</v>
      </c>
      <c r="G2171" s="13"/>
      <c r="H2171" s="13">
        <v>88.21</v>
      </c>
      <c r="I2171" s="13">
        <v>85.52</v>
      </c>
      <c r="J2171" s="13"/>
      <c r="K2171" s="13"/>
    </row>
    <row r="2172" spans="1:11" x14ac:dyDescent="0.25">
      <c r="A2172" s="10">
        <v>42975</v>
      </c>
      <c r="B2172" s="15">
        <f t="shared" si="66"/>
        <v>8</v>
      </c>
      <c r="C2172" s="15">
        <f t="shared" si="67"/>
        <v>2017</v>
      </c>
      <c r="D2172" s="13">
        <v>38.39</v>
      </c>
      <c r="E2172" s="13">
        <v>21.466143441596394</v>
      </c>
      <c r="F2172" s="13">
        <v>22.11</v>
      </c>
      <c r="G2172" s="13"/>
      <c r="H2172" s="13">
        <v>98.96</v>
      </c>
      <c r="I2172" s="13">
        <v>89.5</v>
      </c>
      <c r="J2172" s="13"/>
      <c r="K2172" s="13"/>
    </row>
    <row r="2173" spans="1:11" x14ac:dyDescent="0.25">
      <c r="A2173" s="10">
        <v>42976</v>
      </c>
      <c r="B2173" s="15">
        <f t="shared" si="66"/>
        <v>8</v>
      </c>
      <c r="C2173" s="15">
        <f t="shared" si="67"/>
        <v>2017</v>
      </c>
      <c r="D2173" s="13">
        <v>38.39</v>
      </c>
      <c r="E2173" s="13">
        <v>21.475108586702305</v>
      </c>
      <c r="F2173" s="13">
        <v>22.11</v>
      </c>
      <c r="G2173" s="13"/>
      <c r="H2173" s="13">
        <v>98.96</v>
      </c>
      <c r="I2173" s="13">
        <v>89.5</v>
      </c>
      <c r="J2173" s="13"/>
      <c r="K2173" s="13"/>
    </row>
    <row r="2174" spans="1:11" x14ac:dyDescent="0.25">
      <c r="A2174" s="10">
        <v>42977</v>
      </c>
      <c r="B2174" s="15">
        <f t="shared" si="66"/>
        <v>8</v>
      </c>
      <c r="C2174" s="15">
        <f t="shared" si="67"/>
        <v>2017</v>
      </c>
      <c r="D2174" s="13">
        <v>38.39</v>
      </c>
      <c r="E2174" s="13">
        <v>21.63959262688326</v>
      </c>
      <c r="F2174" s="13">
        <v>22.11</v>
      </c>
      <c r="G2174" s="13"/>
      <c r="H2174" s="13">
        <v>98.96</v>
      </c>
      <c r="I2174" s="13">
        <v>89.5</v>
      </c>
      <c r="J2174" s="13"/>
      <c r="K2174" s="13"/>
    </row>
    <row r="2175" spans="1:11" x14ac:dyDescent="0.25">
      <c r="A2175" s="10">
        <v>42978</v>
      </c>
      <c r="B2175" s="15">
        <f t="shared" si="66"/>
        <v>8</v>
      </c>
      <c r="C2175" s="15">
        <f t="shared" si="67"/>
        <v>2017</v>
      </c>
      <c r="D2175" s="13">
        <v>38.39</v>
      </c>
      <c r="E2175" s="13">
        <v>21.590527376553577</v>
      </c>
      <c r="F2175" s="13">
        <v>22.11</v>
      </c>
      <c r="G2175" s="13"/>
      <c r="H2175" s="13">
        <v>98.96</v>
      </c>
      <c r="I2175" s="13">
        <v>89.5</v>
      </c>
      <c r="J2175" s="13"/>
      <c r="K2175" s="13"/>
    </row>
    <row r="2176" spans="1:11" x14ac:dyDescent="0.25">
      <c r="A2176" s="10">
        <v>42979</v>
      </c>
      <c r="B2176" s="15">
        <f t="shared" si="66"/>
        <v>9</v>
      </c>
      <c r="C2176" s="15">
        <f t="shared" si="67"/>
        <v>2017</v>
      </c>
      <c r="D2176" s="13">
        <v>38.39</v>
      </c>
      <c r="E2176" s="13">
        <v>21.683393775828627</v>
      </c>
      <c r="F2176" s="13">
        <v>22.11</v>
      </c>
      <c r="G2176" s="13"/>
      <c r="H2176" s="13">
        <v>98.96</v>
      </c>
      <c r="I2176" s="13">
        <v>89.5</v>
      </c>
      <c r="J2176" s="13"/>
      <c r="K2176" s="13"/>
    </row>
    <row r="2177" spans="1:11" x14ac:dyDescent="0.25">
      <c r="A2177" s="10">
        <v>42983</v>
      </c>
      <c r="B2177" s="15">
        <f t="shared" si="66"/>
        <v>9</v>
      </c>
      <c r="C2177" s="15">
        <f t="shared" si="67"/>
        <v>2017</v>
      </c>
      <c r="D2177" s="13">
        <v>34.630000000000003</v>
      </c>
      <c r="E2177" s="13">
        <v>21.591672263263934</v>
      </c>
      <c r="F2177" s="13">
        <v>21.84</v>
      </c>
      <c r="G2177" s="13"/>
      <c r="H2177" s="13">
        <v>88.34</v>
      </c>
      <c r="I2177" s="13">
        <v>83.49</v>
      </c>
      <c r="J2177" s="13"/>
      <c r="K2177" s="13"/>
    </row>
    <row r="2178" spans="1:11" x14ac:dyDescent="0.25">
      <c r="A2178" s="10">
        <v>42984</v>
      </c>
      <c r="B2178" s="15">
        <f t="shared" si="66"/>
        <v>9</v>
      </c>
      <c r="C2178" s="15">
        <f t="shared" si="67"/>
        <v>2017</v>
      </c>
      <c r="D2178" s="13">
        <v>34.630000000000003</v>
      </c>
      <c r="E2178" s="13">
        <v>21.586235837180023</v>
      </c>
      <c r="F2178" s="13">
        <v>21.84</v>
      </c>
      <c r="G2178" s="13"/>
      <c r="H2178" s="13">
        <v>88.34</v>
      </c>
      <c r="I2178" s="13">
        <v>83.49</v>
      </c>
      <c r="J2178" s="13"/>
      <c r="K2178" s="13"/>
    </row>
    <row r="2179" spans="1:11" x14ac:dyDescent="0.25">
      <c r="A2179" s="10">
        <v>42985</v>
      </c>
      <c r="B2179" s="15">
        <f t="shared" ref="B2179:B2242" si="68">MONTH(A2179)</f>
        <v>9</v>
      </c>
      <c r="C2179" s="15">
        <f t="shared" ref="C2179:C2242" si="69">YEAR(A2179)</f>
        <v>2017</v>
      </c>
      <c r="D2179" s="13">
        <v>34.630000000000003</v>
      </c>
      <c r="E2179" s="13">
        <v>21.395890524914734</v>
      </c>
      <c r="F2179" s="13">
        <v>21.84</v>
      </c>
      <c r="G2179" s="13"/>
      <c r="H2179" s="13">
        <v>88.34</v>
      </c>
      <c r="I2179" s="13">
        <v>83.49</v>
      </c>
      <c r="J2179" s="13"/>
      <c r="K2179" s="13"/>
    </row>
    <row r="2180" spans="1:11" x14ac:dyDescent="0.25">
      <c r="A2180" s="10">
        <v>42986</v>
      </c>
      <c r="B2180" s="15">
        <f t="shared" si="68"/>
        <v>9</v>
      </c>
      <c r="C2180" s="15">
        <f t="shared" si="69"/>
        <v>2017</v>
      </c>
      <c r="D2180" s="13">
        <v>34.630000000000003</v>
      </c>
      <c r="E2180" s="13">
        <v>21.374553311726086</v>
      </c>
      <c r="F2180" s="13">
        <v>21.84</v>
      </c>
      <c r="G2180" s="13"/>
      <c r="H2180" s="13">
        <v>88.34</v>
      </c>
      <c r="I2180" s="13">
        <v>83.49</v>
      </c>
      <c r="J2180" s="13"/>
      <c r="K2180" s="13"/>
    </row>
    <row r="2181" spans="1:11" x14ac:dyDescent="0.25">
      <c r="A2181" s="10">
        <v>42989</v>
      </c>
      <c r="B2181" s="15">
        <f t="shared" si="68"/>
        <v>9</v>
      </c>
      <c r="C2181" s="15">
        <f t="shared" si="69"/>
        <v>2017</v>
      </c>
      <c r="D2181" s="13">
        <v>33.590000000000003</v>
      </c>
      <c r="E2181" s="13">
        <v>15.705798677934899</v>
      </c>
      <c r="F2181" s="13">
        <v>29.63</v>
      </c>
      <c r="G2181" s="13"/>
      <c r="H2181" s="13">
        <v>81.77</v>
      </c>
      <c r="I2181" s="13">
        <v>88.63</v>
      </c>
      <c r="J2181" s="13"/>
      <c r="K2181" s="13"/>
    </row>
    <row r="2182" spans="1:11" x14ac:dyDescent="0.25">
      <c r="A2182" s="10">
        <v>42990</v>
      </c>
      <c r="B2182" s="15">
        <f t="shared" si="68"/>
        <v>9</v>
      </c>
      <c r="C2182" s="15">
        <f t="shared" si="69"/>
        <v>2017</v>
      </c>
      <c r="D2182" s="13">
        <v>33.590000000000003</v>
      </c>
      <c r="E2182" s="13">
        <v>15.687421646468868</v>
      </c>
      <c r="F2182" s="13">
        <v>29.63</v>
      </c>
      <c r="G2182" s="13"/>
      <c r="H2182" s="13">
        <v>81.77</v>
      </c>
      <c r="I2182" s="13">
        <v>88.63</v>
      </c>
      <c r="J2182" s="13"/>
      <c r="K2182" s="13"/>
    </row>
    <row r="2183" spans="1:11" x14ac:dyDescent="0.25">
      <c r="A2183" s="10">
        <v>42991</v>
      </c>
      <c r="B2183" s="15">
        <f t="shared" si="68"/>
        <v>9</v>
      </c>
      <c r="C2183" s="15">
        <f t="shared" si="69"/>
        <v>2017</v>
      </c>
      <c r="D2183" s="13">
        <v>33.590000000000003</v>
      </c>
      <c r="E2183" s="13">
        <v>15.793016407236014</v>
      </c>
      <c r="F2183" s="13">
        <v>29.63</v>
      </c>
      <c r="G2183" s="13"/>
      <c r="H2183" s="13">
        <v>81.77</v>
      </c>
      <c r="I2183" s="13">
        <v>88.63</v>
      </c>
      <c r="J2183" s="13"/>
      <c r="K2183" s="13"/>
    </row>
    <row r="2184" spans="1:11" x14ac:dyDescent="0.25">
      <c r="A2184" s="10">
        <v>42992</v>
      </c>
      <c r="B2184" s="15">
        <f t="shared" si="68"/>
        <v>9</v>
      </c>
      <c r="C2184" s="15">
        <f t="shared" si="69"/>
        <v>2017</v>
      </c>
      <c r="D2184" s="13">
        <v>33.590000000000003</v>
      </c>
      <c r="E2184" s="13">
        <v>15.749286793086089</v>
      </c>
      <c r="F2184" s="13">
        <v>29.63</v>
      </c>
      <c r="G2184" s="13"/>
      <c r="H2184" s="13">
        <v>81.77</v>
      </c>
      <c r="I2184" s="13">
        <v>88.63</v>
      </c>
      <c r="J2184" s="13"/>
      <c r="K2184" s="13"/>
    </row>
    <row r="2185" spans="1:11" x14ac:dyDescent="0.25">
      <c r="A2185" s="10">
        <v>42993</v>
      </c>
      <c r="B2185" s="15">
        <f t="shared" si="68"/>
        <v>9</v>
      </c>
      <c r="C2185" s="15">
        <f t="shared" si="69"/>
        <v>2017</v>
      </c>
      <c r="D2185" s="13">
        <v>33.590000000000003</v>
      </c>
      <c r="E2185" s="13">
        <v>15.718951511598695</v>
      </c>
      <c r="F2185" s="13">
        <v>29.63</v>
      </c>
      <c r="G2185" s="13"/>
      <c r="H2185" s="13">
        <v>81.77</v>
      </c>
      <c r="I2185" s="13">
        <v>88.63</v>
      </c>
      <c r="J2185" s="13"/>
      <c r="K2185" s="13"/>
    </row>
    <row r="2186" spans="1:11" x14ac:dyDescent="0.25">
      <c r="A2186" s="10">
        <v>42996</v>
      </c>
      <c r="B2186" s="15">
        <f t="shared" si="68"/>
        <v>9</v>
      </c>
      <c r="C2186" s="15">
        <f t="shared" si="69"/>
        <v>2017</v>
      </c>
      <c r="D2186" s="13">
        <v>38.03</v>
      </c>
      <c r="E2186" s="13">
        <v>21.561244979919678</v>
      </c>
      <c r="F2186" s="13">
        <v>38.32</v>
      </c>
      <c r="G2186" s="13"/>
      <c r="H2186" s="13">
        <v>86.82</v>
      </c>
      <c r="I2186" s="13">
        <v>88.54</v>
      </c>
      <c r="J2186" s="13"/>
      <c r="K2186" s="13"/>
    </row>
    <row r="2187" spans="1:11" x14ac:dyDescent="0.25">
      <c r="A2187" s="10">
        <v>42997</v>
      </c>
      <c r="B2187" s="15">
        <f t="shared" si="68"/>
        <v>9</v>
      </c>
      <c r="C2187" s="15">
        <f t="shared" si="69"/>
        <v>2017</v>
      </c>
      <c r="D2187" s="13">
        <v>38.03</v>
      </c>
      <c r="E2187" s="13">
        <v>21.489326217478318</v>
      </c>
      <c r="F2187" s="13">
        <v>38.32</v>
      </c>
      <c r="G2187" s="13"/>
      <c r="H2187" s="13">
        <v>86.82</v>
      </c>
      <c r="I2187" s="13">
        <v>88.54</v>
      </c>
      <c r="J2187" s="13"/>
      <c r="K2187" s="13"/>
    </row>
    <row r="2188" spans="1:11" x14ac:dyDescent="0.25">
      <c r="A2188" s="10">
        <v>42998</v>
      </c>
      <c r="B2188" s="15">
        <f t="shared" si="68"/>
        <v>9</v>
      </c>
      <c r="C2188" s="15">
        <f t="shared" si="69"/>
        <v>2017</v>
      </c>
      <c r="D2188" s="13">
        <v>38.03</v>
      </c>
      <c r="E2188" s="13">
        <v>21.671852661676898</v>
      </c>
      <c r="F2188" s="13">
        <v>38.32</v>
      </c>
      <c r="G2188" s="13"/>
      <c r="H2188" s="13">
        <v>86.82</v>
      </c>
      <c r="I2188" s="13">
        <v>88.54</v>
      </c>
      <c r="J2188" s="13"/>
      <c r="K2188" s="13"/>
    </row>
    <row r="2189" spans="1:11" x14ac:dyDescent="0.25">
      <c r="A2189" s="10">
        <v>42999</v>
      </c>
      <c r="B2189" s="15">
        <f t="shared" si="68"/>
        <v>9</v>
      </c>
      <c r="C2189" s="15">
        <f t="shared" si="69"/>
        <v>2017</v>
      </c>
      <c r="D2189" s="13">
        <v>38.03</v>
      </c>
      <c r="E2189" s="13">
        <v>21.584722338554318</v>
      </c>
      <c r="F2189" s="13">
        <v>38.32</v>
      </c>
      <c r="G2189" s="13"/>
      <c r="H2189" s="13">
        <v>86.82</v>
      </c>
      <c r="I2189" s="13">
        <v>88.54</v>
      </c>
      <c r="J2189" s="13"/>
      <c r="K2189" s="13"/>
    </row>
    <row r="2190" spans="1:11" x14ac:dyDescent="0.25">
      <c r="A2190" s="10">
        <v>43000</v>
      </c>
      <c r="B2190" s="15">
        <f t="shared" si="68"/>
        <v>9</v>
      </c>
      <c r="C2190" s="15">
        <f t="shared" si="69"/>
        <v>2017</v>
      </c>
      <c r="D2190" s="13">
        <v>38.03</v>
      </c>
      <c r="E2190" s="13">
        <v>21.561244979919678</v>
      </c>
      <c r="F2190" s="13">
        <v>38.32</v>
      </c>
      <c r="G2190" s="13"/>
      <c r="H2190" s="13">
        <v>86.82</v>
      </c>
      <c r="I2190" s="13">
        <v>88.54</v>
      </c>
      <c r="J2190" s="13"/>
      <c r="K2190" s="13"/>
    </row>
    <row r="2191" spans="1:11" x14ac:dyDescent="0.25">
      <c r="A2191" s="10">
        <v>43003</v>
      </c>
      <c r="B2191" s="15">
        <f t="shared" si="68"/>
        <v>9</v>
      </c>
      <c r="C2191" s="15">
        <f t="shared" si="69"/>
        <v>2017</v>
      </c>
      <c r="D2191" s="13">
        <v>45.88</v>
      </c>
      <c r="E2191" s="13">
        <v>23.645112274185379</v>
      </c>
      <c r="F2191" s="13">
        <v>50.1</v>
      </c>
      <c r="G2191" s="13"/>
      <c r="H2191" s="13">
        <v>99.26</v>
      </c>
      <c r="I2191" s="13">
        <v>61.74</v>
      </c>
      <c r="J2191" s="13"/>
      <c r="K2191" s="13"/>
    </row>
    <row r="2192" spans="1:11" x14ac:dyDescent="0.25">
      <c r="A2192" s="10">
        <v>43004</v>
      </c>
      <c r="B2192" s="15">
        <f t="shared" si="68"/>
        <v>9</v>
      </c>
      <c r="C2192" s="15">
        <f t="shared" si="69"/>
        <v>2017</v>
      </c>
      <c r="D2192" s="13">
        <v>45.88</v>
      </c>
      <c r="E2192" s="13">
        <v>23.755406666101266</v>
      </c>
      <c r="F2192" s="13">
        <v>50.1</v>
      </c>
      <c r="G2192" s="13"/>
      <c r="H2192" s="13">
        <v>99.26</v>
      </c>
      <c r="I2192" s="13">
        <v>61.74</v>
      </c>
      <c r="J2192" s="13"/>
      <c r="K2192" s="13"/>
    </row>
    <row r="2193" spans="1:11" x14ac:dyDescent="0.25">
      <c r="A2193" s="10">
        <v>43005</v>
      </c>
      <c r="B2193" s="15">
        <f t="shared" si="68"/>
        <v>9</v>
      </c>
      <c r="C2193" s="15">
        <f t="shared" si="69"/>
        <v>2017</v>
      </c>
      <c r="D2193" s="13">
        <v>45.88</v>
      </c>
      <c r="E2193" s="13">
        <v>23.85250787703313</v>
      </c>
      <c r="F2193" s="13">
        <v>50.1</v>
      </c>
      <c r="G2193" s="13"/>
      <c r="H2193" s="13">
        <v>99.26</v>
      </c>
      <c r="I2193" s="13">
        <v>61.74</v>
      </c>
      <c r="J2193" s="13"/>
      <c r="K2193" s="13"/>
    </row>
    <row r="2194" spans="1:11" x14ac:dyDescent="0.25">
      <c r="A2194" s="10">
        <v>43006</v>
      </c>
      <c r="B2194" s="15">
        <f t="shared" si="68"/>
        <v>9</v>
      </c>
      <c r="C2194" s="15">
        <f t="shared" si="69"/>
        <v>2017</v>
      </c>
      <c r="D2194" s="13">
        <v>45.88</v>
      </c>
      <c r="E2194" s="13">
        <v>23.76951799049559</v>
      </c>
      <c r="F2194" s="13">
        <v>50.1</v>
      </c>
      <c r="G2194" s="13"/>
      <c r="H2194" s="13">
        <v>99.26</v>
      </c>
      <c r="I2194" s="13">
        <v>61.74</v>
      </c>
      <c r="J2194" s="13"/>
      <c r="K2194" s="13"/>
    </row>
    <row r="2195" spans="1:11" x14ac:dyDescent="0.25">
      <c r="A2195" s="10">
        <v>43007</v>
      </c>
      <c r="B2195" s="15">
        <f t="shared" si="68"/>
        <v>9</v>
      </c>
      <c r="C2195" s="15">
        <f t="shared" si="69"/>
        <v>2017</v>
      </c>
      <c r="D2195" s="13">
        <v>45.88</v>
      </c>
      <c r="E2195" s="13">
        <v>23.713173044361668</v>
      </c>
      <c r="F2195" s="13">
        <v>50.1</v>
      </c>
      <c r="G2195" s="13"/>
      <c r="H2195" s="13">
        <v>99.26</v>
      </c>
      <c r="I2195" s="13">
        <v>61.74</v>
      </c>
      <c r="J2195" s="13"/>
      <c r="K2195" s="13"/>
    </row>
    <row r="2196" spans="1:11" x14ac:dyDescent="0.25">
      <c r="A2196" s="10">
        <v>43010</v>
      </c>
      <c r="B2196" s="15">
        <f t="shared" si="68"/>
        <v>10</v>
      </c>
      <c r="C2196" s="15">
        <f t="shared" si="69"/>
        <v>2017</v>
      </c>
      <c r="D2196" s="13">
        <v>41.77</v>
      </c>
      <c r="E2196" s="13">
        <v>27.809036658141515</v>
      </c>
      <c r="F2196" s="13">
        <v>47.13</v>
      </c>
      <c r="G2196" s="13"/>
      <c r="H2196" s="13">
        <v>95.38</v>
      </c>
      <c r="I2196" s="13">
        <v>104.09</v>
      </c>
      <c r="J2196" s="13"/>
      <c r="K2196" s="13"/>
    </row>
    <row r="2197" spans="1:11" x14ac:dyDescent="0.25">
      <c r="A2197" s="10">
        <v>43011</v>
      </c>
      <c r="B2197" s="15">
        <f t="shared" si="68"/>
        <v>10</v>
      </c>
      <c r="C2197" s="15">
        <f t="shared" si="69"/>
        <v>2017</v>
      </c>
      <c r="D2197" s="13">
        <v>41.77</v>
      </c>
      <c r="E2197" s="13">
        <v>27.780616590018735</v>
      </c>
      <c r="F2197" s="13">
        <v>47.13</v>
      </c>
      <c r="G2197" s="13"/>
      <c r="H2197" s="13">
        <v>95.38</v>
      </c>
      <c r="I2197" s="13">
        <v>104.09</v>
      </c>
      <c r="J2197" s="13"/>
      <c r="K2197" s="13"/>
    </row>
    <row r="2198" spans="1:11" x14ac:dyDescent="0.25">
      <c r="A2198" s="10">
        <v>43012</v>
      </c>
      <c r="B2198" s="15">
        <f t="shared" si="68"/>
        <v>10</v>
      </c>
      <c r="C2198" s="15">
        <f t="shared" si="69"/>
        <v>2017</v>
      </c>
      <c r="D2198" s="13">
        <v>41.77</v>
      </c>
      <c r="E2198" s="13">
        <v>27.740454120248319</v>
      </c>
      <c r="F2198" s="13">
        <v>47.13</v>
      </c>
      <c r="G2198" s="13"/>
      <c r="H2198" s="13">
        <v>95.38</v>
      </c>
      <c r="I2198" s="13">
        <v>104.09</v>
      </c>
      <c r="J2198" s="13"/>
      <c r="K2198" s="13"/>
    </row>
    <row r="2199" spans="1:11" x14ac:dyDescent="0.25">
      <c r="A2199" s="10">
        <v>43013</v>
      </c>
      <c r="B2199" s="15">
        <f t="shared" si="68"/>
        <v>10</v>
      </c>
      <c r="C2199" s="15">
        <f t="shared" si="69"/>
        <v>2017</v>
      </c>
      <c r="D2199" s="13">
        <v>41.77</v>
      </c>
      <c r="E2199" s="13">
        <v>27.856532877882149</v>
      </c>
      <c r="F2199" s="13">
        <v>47.13</v>
      </c>
      <c r="G2199" s="13"/>
      <c r="H2199" s="13">
        <v>95.38</v>
      </c>
      <c r="I2199" s="13">
        <v>104.09</v>
      </c>
      <c r="J2199" s="13"/>
      <c r="K2199" s="13"/>
    </row>
    <row r="2200" spans="1:11" x14ac:dyDescent="0.25">
      <c r="A2200" s="10">
        <v>43014</v>
      </c>
      <c r="B2200" s="15">
        <f t="shared" si="68"/>
        <v>10</v>
      </c>
      <c r="C2200" s="15">
        <f t="shared" si="69"/>
        <v>2017</v>
      </c>
      <c r="D2200" s="13">
        <v>41.77</v>
      </c>
      <c r="E2200" s="13">
        <v>27.80192619108497</v>
      </c>
      <c r="F2200" s="13">
        <v>47.13</v>
      </c>
      <c r="G2200" s="13"/>
      <c r="H2200" s="13">
        <v>95.38</v>
      </c>
      <c r="I2200" s="13">
        <v>104.09</v>
      </c>
      <c r="J2200" s="13"/>
      <c r="K2200" s="13"/>
    </row>
    <row r="2201" spans="1:11" x14ac:dyDescent="0.25">
      <c r="A2201" s="10">
        <v>43017</v>
      </c>
      <c r="B2201" s="15">
        <f t="shared" si="68"/>
        <v>10</v>
      </c>
      <c r="C2201" s="15">
        <f t="shared" si="69"/>
        <v>2017</v>
      </c>
      <c r="D2201" s="13">
        <v>50.81</v>
      </c>
      <c r="E2201" s="13">
        <v>37.073004514864984</v>
      </c>
      <c r="F2201" s="13">
        <v>58.61</v>
      </c>
      <c r="G2201" s="13"/>
      <c r="H2201" s="13">
        <v>99.83</v>
      </c>
      <c r="I2201" s="13">
        <v>112.95</v>
      </c>
      <c r="J2201" s="13"/>
      <c r="K2201" s="13"/>
    </row>
    <row r="2202" spans="1:11" x14ac:dyDescent="0.25">
      <c r="A2202" s="10">
        <v>43018</v>
      </c>
      <c r="B2202" s="15">
        <f t="shared" si="68"/>
        <v>10</v>
      </c>
      <c r="C2202" s="15">
        <f t="shared" si="69"/>
        <v>2017</v>
      </c>
      <c r="D2202" s="13">
        <v>50.81</v>
      </c>
      <c r="E2202" s="13">
        <v>36.862612231068951</v>
      </c>
      <c r="F2202" s="13">
        <v>58.61</v>
      </c>
      <c r="G2202" s="13"/>
      <c r="H2202" s="13">
        <v>99.83</v>
      </c>
      <c r="I2202" s="13">
        <v>112.95</v>
      </c>
      <c r="J2202" s="13"/>
      <c r="K2202" s="13"/>
    </row>
    <row r="2203" spans="1:11" x14ac:dyDescent="0.25">
      <c r="A2203" s="10">
        <v>43019</v>
      </c>
      <c r="B2203" s="15">
        <f t="shared" si="68"/>
        <v>10</v>
      </c>
      <c r="C2203" s="15">
        <f t="shared" si="69"/>
        <v>2017</v>
      </c>
      <c r="D2203" s="13">
        <v>50.81</v>
      </c>
      <c r="E2203" s="13">
        <v>36.704056675381636</v>
      </c>
      <c r="F2203" s="13">
        <v>58.61</v>
      </c>
      <c r="G2203" s="13"/>
      <c r="H2203" s="13">
        <v>99.83</v>
      </c>
      <c r="I2203" s="13">
        <v>112.95</v>
      </c>
      <c r="J2203" s="13"/>
      <c r="K2203" s="13"/>
    </row>
    <row r="2204" spans="1:11" x14ac:dyDescent="0.25">
      <c r="A2204" s="10">
        <v>43020</v>
      </c>
      <c r="B2204" s="15">
        <f t="shared" si="68"/>
        <v>10</v>
      </c>
      <c r="C2204" s="15">
        <f t="shared" si="69"/>
        <v>2017</v>
      </c>
      <c r="D2204" s="13">
        <v>50.81</v>
      </c>
      <c r="E2204" s="13">
        <v>36.790937526418126</v>
      </c>
      <c r="F2204" s="13">
        <v>58.61</v>
      </c>
      <c r="G2204" s="13"/>
      <c r="H2204" s="13">
        <v>99.83</v>
      </c>
      <c r="I2204" s="13">
        <v>112.95</v>
      </c>
      <c r="J2204" s="13"/>
      <c r="K2204" s="13"/>
    </row>
    <row r="2205" spans="1:11" x14ac:dyDescent="0.25">
      <c r="A2205" s="10">
        <v>43021</v>
      </c>
      <c r="B2205" s="15">
        <f t="shared" si="68"/>
        <v>10</v>
      </c>
      <c r="C2205" s="15">
        <f t="shared" si="69"/>
        <v>2017</v>
      </c>
      <c r="D2205" s="13">
        <v>50.81</v>
      </c>
      <c r="E2205" s="13">
        <v>36.81272204364744</v>
      </c>
      <c r="F2205" s="13">
        <v>58.61</v>
      </c>
      <c r="G2205" s="13"/>
      <c r="H2205" s="13">
        <v>99.83</v>
      </c>
      <c r="I2205" s="13">
        <v>112.95</v>
      </c>
      <c r="J2205" s="13"/>
      <c r="K2205" s="13"/>
    </row>
    <row r="2206" spans="1:11" x14ac:dyDescent="0.25">
      <c r="A2206" s="10">
        <v>43024</v>
      </c>
      <c r="B2206" s="15">
        <f t="shared" si="68"/>
        <v>10</v>
      </c>
      <c r="C2206" s="15">
        <f t="shared" si="69"/>
        <v>2017</v>
      </c>
      <c r="D2206" s="13">
        <v>47.86</v>
      </c>
      <c r="E2206" s="13">
        <v>27.384484951250528</v>
      </c>
      <c r="F2206" s="13">
        <v>64.11</v>
      </c>
      <c r="G2206" s="13"/>
      <c r="H2206" s="13">
        <v>111.35</v>
      </c>
      <c r="I2206" s="13">
        <v>112.52</v>
      </c>
      <c r="J2206" s="13"/>
      <c r="K2206" s="13"/>
    </row>
    <row r="2207" spans="1:11" x14ac:dyDescent="0.25">
      <c r="A2207" s="10">
        <v>43025</v>
      </c>
      <c r="B2207" s="15">
        <f t="shared" si="68"/>
        <v>10</v>
      </c>
      <c r="C2207" s="15">
        <f t="shared" si="69"/>
        <v>2017</v>
      </c>
      <c r="D2207" s="13">
        <v>47.86</v>
      </c>
      <c r="E2207" s="13">
        <v>27.451980282168957</v>
      </c>
      <c r="F2207" s="13">
        <v>64.11</v>
      </c>
      <c r="G2207" s="13"/>
      <c r="H2207" s="13">
        <v>111.35</v>
      </c>
      <c r="I2207" s="13">
        <v>112.52</v>
      </c>
      <c r="J2207" s="13"/>
      <c r="K2207" s="13"/>
    </row>
    <row r="2208" spans="1:11" x14ac:dyDescent="0.25">
      <c r="A2208" s="10">
        <v>43026</v>
      </c>
      <c r="B2208" s="15">
        <f t="shared" si="68"/>
        <v>10</v>
      </c>
      <c r="C2208" s="15">
        <f t="shared" si="69"/>
        <v>2017</v>
      </c>
      <c r="D2208" s="13">
        <v>47.86</v>
      </c>
      <c r="E2208" s="13">
        <v>27.403071180113681</v>
      </c>
      <c r="F2208" s="13">
        <v>64.11</v>
      </c>
      <c r="G2208" s="13"/>
      <c r="H2208" s="13">
        <v>111.35</v>
      </c>
      <c r="I2208" s="13">
        <v>112.52</v>
      </c>
      <c r="J2208" s="13"/>
      <c r="K2208" s="13"/>
    </row>
    <row r="2209" spans="1:11" x14ac:dyDescent="0.25">
      <c r="A2209" s="10">
        <v>43027</v>
      </c>
      <c r="B2209" s="15">
        <f t="shared" si="68"/>
        <v>10</v>
      </c>
      <c r="C2209" s="15">
        <f t="shared" si="69"/>
        <v>2017</v>
      </c>
      <c r="D2209" s="13">
        <v>47.86</v>
      </c>
      <c r="E2209" s="13">
        <v>27.257383966244721</v>
      </c>
      <c r="F2209" s="13">
        <v>64.11</v>
      </c>
      <c r="G2209" s="13"/>
      <c r="H2209" s="13">
        <v>111.35</v>
      </c>
      <c r="I2209" s="13">
        <v>112.52</v>
      </c>
      <c r="J2209" s="13"/>
      <c r="K2209" s="13"/>
    </row>
    <row r="2210" spans="1:11" x14ac:dyDescent="0.25">
      <c r="A2210" s="10">
        <v>43028</v>
      </c>
      <c r="B2210" s="15">
        <f t="shared" si="68"/>
        <v>10</v>
      </c>
      <c r="C2210" s="15">
        <f t="shared" si="69"/>
        <v>2017</v>
      </c>
      <c r="D2210" s="13">
        <v>47.86</v>
      </c>
      <c r="E2210" s="13">
        <v>27.412373758805057</v>
      </c>
      <c r="F2210" s="13">
        <v>64.11</v>
      </c>
      <c r="G2210" s="13"/>
      <c r="H2210" s="13">
        <v>111.35</v>
      </c>
      <c r="I2210" s="13">
        <v>112.52</v>
      </c>
      <c r="J2210" s="13"/>
      <c r="K2210" s="13"/>
    </row>
    <row r="2211" spans="1:11" x14ac:dyDescent="0.25">
      <c r="A2211" s="10">
        <v>43031</v>
      </c>
      <c r="B2211" s="15">
        <f t="shared" si="68"/>
        <v>10</v>
      </c>
      <c r="C2211" s="15">
        <f t="shared" si="69"/>
        <v>2017</v>
      </c>
      <c r="D2211" s="13">
        <v>70.849999999999994</v>
      </c>
      <c r="E2211" s="13">
        <v>22.950540563548138</v>
      </c>
      <c r="F2211" s="13">
        <v>77.03</v>
      </c>
      <c r="G2211" s="13"/>
      <c r="H2211" s="13">
        <v>118.04</v>
      </c>
      <c r="I2211" s="13">
        <v>119.34</v>
      </c>
      <c r="J2211" s="13"/>
      <c r="K2211" s="13"/>
    </row>
    <row r="2212" spans="1:11" x14ac:dyDescent="0.25">
      <c r="A2212" s="10">
        <v>43032</v>
      </c>
      <c r="B2212" s="15">
        <f t="shared" si="68"/>
        <v>10</v>
      </c>
      <c r="C2212" s="15">
        <f t="shared" si="69"/>
        <v>2017</v>
      </c>
      <c r="D2212" s="13">
        <v>70.849999999999994</v>
      </c>
      <c r="E2212" s="13">
        <v>22.927119653031721</v>
      </c>
      <c r="F2212" s="13">
        <v>77.03</v>
      </c>
      <c r="G2212" s="13"/>
      <c r="H2212" s="13">
        <v>118.04</v>
      </c>
      <c r="I2212" s="13">
        <v>119.34</v>
      </c>
      <c r="J2212" s="13"/>
      <c r="K2212" s="13"/>
    </row>
    <row r="2213" spans="1:11" x14ac:dyDescent="0.25">
      <c r="A2213" s="10">
        <v>43033</v>
      </c>
      <c r="B2213" s="15">
        <f t="shared" si="68"/>
        <v>10</v>
      </c>
      <c r="C2213" s="15">
        <f t="shared" si="69"/>
        <v>2017</v>
      </c>
      <c r="D2213" s="13">
        <v>70.849999999999994</v>
      </c>
      <c r="E2213" s="13">
        <v>22.824246528953605</v>
      </c>
      <c r="F2213" s="13">
        <v>77.03</v>
      </c>
      <c r="G2213" s="13"/>
      <c r="H2213" s="13">
        <v>118.04</v>
      </c>
      <c r="I2213" s="13">
        <v>119.34</v>
      </c>
      <c r="J2213" s="13"/>
      <c r="K2213" s="13"/>
    </row>
    <row r="2214" spans="1:11" x14ac:dyDescent="0.25">
      <c r="A2214" s="10">
        <v>43034</v>
      </c>
      <c r="B2214" s="15">
        <f t="shared" si="68"/>
        <v>10</v>
      </c>
      <c r="C2214" s="15">
        <f t="shared" si="69"/>
        <v>2017</v>
      </c>
      <c r="D2214" s="13">
        <v>70.849999999999994</v>
      </c>
      <c r="E2214" s="13">
        <v>23.141630901287552</v>
      </c>
      <c r="F2214" s="13">
        <v>77.03</v>
      </c>
      <c r="G2214" s="13"/>
      <c r="H2214" s="13">
        <v>118.04</v>
      </c>
      <c r="I2214" s="13">
        <v>119.34</v>
      </c>
      <c r="J2214" s="13"/>
      <c r="K2214" s="13"/>
    </row>
    <row r="2215" spans="1:11" x14ac:dyDescent="0.25">
      <c r="A2215" s="10">
        <v>43035</v>
      </c>
      <c r="B2215" s="15">
        <f t="shared" si="68"/>
        <v>10</v>
      </c>
      <c r="C2215" s="15">
        <f t="shared" si="69"/>
        <v>2017</v>
      </c>
      <c r="D2215" s="13">
        <v>70.849999999999994</v>
      </c>
      <c r="E2215" s="13">
        <v>23.225361819434873</v>
      </c>
      <c r="F2215" s="13">
        <v>77.03</v>
      </c>
      <c r="G2215" s="13"/>
      <c r="H2215" s="13">
        <v>118.04</v>
      </c>
      <c r="I2215" s="13">
        <v>119.34</v>
      </c>
      <c r="J2215" s="13"/>
      <c r="K2215" s="13"/>
    </row>
    <row r="2216" spans="1:11" x14ac:dyDescent="0.25">
      <c r="A2216" s="10">
        <v>43038</v>
      </c>
      <c r="B2216" s="15">
        <f t="shared" si="68"/>
        <v>10</v>
      </c>
      <c r="C2216" s="15">
        <f t="shared" si="69"/>
        <v>2017</v>
      </c>
      <c r="D2216" s="13">
        <v>57.34</v>
      </c>
      <c r="E2216" s="13">
        <v>9.8034166022834572</v>
      </c>
      <c r="F2216" s="13">
        <v>67.37</v>
      </c>
      <c r="G2216" s="13"/>
      <c r="H2216" s="13">
        <v>109.37</v>
      </c>
      <c r="I2216" s="13">
        <v>111.32</v>
      </c>
      <c r="J2216" s="13"/>
      <c r="K2216" s="13"/>
    </row>
    <row r="2217" spans="1:11" x14ac:dyDescent="0.25">
      <c r="A2217" s="10">
        <v>43039</v>
      </c>
      <c r="B2217" s="15">
        <f t="shared" si="68"/>
        <v>10</v>
      </c>
      <c r="C2217" s="15">
        <f t="shared" si="69"/>
        <v>2017</v>
      </c>
      <c r="D2217" s="13">
        <v>57.34</v>
      </c>
      <c r="E2217" s="13">
        <v>9.8076262452765359</v>
      </c>
      <c r="F2217" s="13">
        <v>67.37</v>
      </c>
      <c r="G2217" s="13"/>
      <c r="H2217" s="13">
        <v>109.37</v>
      </c>
      <c r="I2217" s="13">
        <v>111.32</v>
      </c>
      <c r="J2217" s="13"/>
      <c r="K2217" s="13"/>
    </row>
    <row r="2218" spans="1:11" x14ac:dyDescent="0.25">
      <c r="A2218" s="10">
        <v>43040</v>
      </c>
      <c r="B2218" s="15">
        <f t="shared" si="68"/>
        <v>11</v>
      </c>
      <c r="C2218" s="15">
        <f t="shared" si="69"/>
        <v>2017</v>
      </c>
      <c r="D2218" s="13">
        <v>57.34</v>
      </c>
      <c r="E2218" s="13">
        <v>9.8304209348368765</v>
      </c>
      <c r="F2218" s="13">
        <v>67.37</v>
      </c>
      <c r="G2218" s="13"/>
      <c r="H2218" s="13">
        <v>109.37</v>
      </c>
      <c r="I2218" s="13">
        <v>111.32</v>
      </c>
      <c r="J2218" s="13"/>
      <c r="K2218" s="13"/>
    </row>
    <row r="2219" spans="1:11" x14ac:dyDescent="0.25">
      <c r="A2219" s="10">
        <v>43041</v>
      </c>
      <c r="B2219" s="15">
        <f t="shared" si="68"/>
        <v>11</v>
      </c>
      <c r="C2219" s="15">
        <f t="shared" si="69"/>
        <v>2017</v>
      </c>
      <c r="D2219" s="13">
        <v>57.34</v>
      </c>
      <c r="E2219" s="13">
        <v>9.7975291695264239</v>
      </c>
      <c r="F2219" s="13">
        <v>67.37</v>
      </c>
      <c r="G2219" s="13"/>
      <c r="H2219" s="13">
        <v>109.37</v>
      </c>
      <c r="I2219" s="13">
        <v>111.32</v>
      </c>
      <c r="J2219" s="13"/>
      <c r="K2219" s="13"/>
    </row>
    <row r="2220" spans="1:11" x14ac:dyDescent="0.25">
      <c r="A2220" s="10">
        <v>43042</v>
      </c>
      <c r="B2220" s="15">
        <f t="shared" si="68"/>
        <v>11</v>
      </c>
      <c r="C2220" s="15">
        <f t="shared" si="69"/>
        <v>2017</v>
      </c>
      <c r="D2220" s="13">
        <v>57.34</v>
      </c>
      <c r="E2220" s="13">
        <v>9.8388903248039963</v>
      </c>
      <c r="F2220" s="13">
        <v>67.37</v>
      </c>
      <c r="G2220" s="13"/>
      <c r="H2220" s="13">
        <v>109.37</v>
      </c>
      <c r="I2220" s="13">
        <v>111.32</v>
      </c>
      <c r="J2220" s="13"/>
      <c r="K2220" s="13"/>
    </row>
    <row r="2221" spans="1:11" x14ac:dyDescent="0.25">
      <c r="A2221" s="10">
        <v>43045</v>
      </c>
      <c r="B2221" s="15">
        <f t="shared" si="68"/>
        <v>11</v>
      </c>
      <c r="C2221" s="15">
        <f t="shared" si="69"/>
        <v>2017</v>
      </c>
      <c r="D2221" s="13">
        <v>55.28</v>
      </c>
      <c r="E2221" s="13">
        <v>12.860711516926521</v>
      </c>
      <c r="F2221" s="13">
        <v>60.9</v>
      </c>
      <c r="G2221" s="13"/>
      <c r="H2221" s="13">
        <v>107.19</v>
      </c>
      <c r="I2221" s="13">
        <v>101.66</v>
      </c>
      <c r="J2221" s="13"/>
      <c r="K2221" s="13"/>
    </row>
    <row r="2222" spans="1:11" x14ac:dyDescent="0.25">
      <c r="A2222" s="10">
        <v>43046</v>
      </c>
      <c r="B2222" s="15">
        <f t="shared" si="68"/>
        <v>11</v>
      </c>
      <c r="C2222" s="15">
        <f t="shared" si="69"/>
        <v>2017</v>
      </c>
      <c r="D2222" s="13">
        <v>55.28</v>
      </c>
      <c r="E2222" s="13">
        <v>12.887354337505394</v>
      </c>
      <c r="F2222" s="13">
        <v>60.9</v>
      </c>
      <c r="G2222" s="13"/>
      <c r="H2222" s="13">
        <v>107.19</v>
      </c>
      <c r="I2222" s="13">
        <v>101.66</v>
      </c>
      <c r="J2222" s="13"/>
      <c r="K2222" s="13"/>
    </row>
    <row r="2223" spans="1:11" x14ac:dyDescent="0.25">
      <c r="A2223" s="10">
        <v>43047</v>
      </c>
      <c r="B2223" s="15">
        <f t="shared" si="68"/>
        <v>11</v>
      </c>
      <c r="C2223" s="15">
        <f t="shared" si="69"/>
        <v>2017</v>
      </c>
      <c r="D2223" s="13">
        <v>55.28</v>
      </c>
      <c r="E2223" s="13">
        <v>12.87846114034331</v>
      </c>
      <c r="F2223" s="13">
        <v>60.9</v>
      </c>
      <c r="G2223" s="13"/>
      <c r="H2223" s="13">
        <v>107.19</v>
      </c>
      <c r="I2223" s="13">
        <v>101.66</v>
      </c>
      <c r="J2223" s="13"/>
      <c r="K2223" s="13"/>
    </row>
    <row r="2224" spans="1:11" x14ac:dyDescent="0.25">
      <c r="A2224" s="10">
        <v>43048</v>
      </c>
      <c r="B2224" s="15">
        <f t="shared" si="68"/>
        <v>11</v>
      </c>
      <c r="C2224" s="15">
        <f t="shared" si="69"/>
        <v>2017</v>
      </c>
      <c r="D2224" s="13">
        <v>55.28</v>
      </c>
      <c r="E2224" s="13">
        <v>12.826460481099657</v>
      </c>
      <c r="F2224" s="13">
        <v>60.9</v>
      </c>
      <c r="G2224" s="13"/>
      <c r="H2224" s="13">
        <v>107.19</v>
      </c>
      <c r="I2224" s="13">
        <v>101.66</v>
      </c>
      <c r="J2224" s="13"/>
      <c r="K2224" s="13"/>
    </row>
    <row r="2225" spans="1:11" x14ac:dyDescent="0.25">
      <c r="A2225" s="10">
        <v>43049</v>
      </c>
      <c r="B2225" s="15">
        <f t="shared" si="68"/>
        <v>11</v>
      </c>
      <c r="C2225" s="15">
        <f t="shared" si="69"/>
        <v>2017</v>
      </c>
      <c r="D2225" s="13">
        <v>55.28</v>
      </c>
      <c r="E2225" s="13">
        <v>12.801166080768242</v>
      </c>
      <c r="F2225" s="13">
        <v>60.9</v>
      </c>
      <c r="G2225" s="13"/>
      <c r="H2225" s="13">
        <v>107.19</v>
      </c>
      <c r="I2225" s="13">
        <v>101.66</v>
      </c>
      <c r="J2225" s="13"/>
      <c r="K2225" s="13"/>
    </row>
    <row r="2226" spans="1:11" x14ac:dyDescent="0.25">
      <c r="A2226" s="10">
        <v>43052</v>
      </c>
      <c r="B2226" s="15">
        <f t="shared" si="68"/>
        <v>11</v>
      </c>
      <c r="C2226" s="15">
        <f t="shared" si="69"/>
        <v>2017</v>
      </c>
      <c r="D2226" s="13">
        <v>46.18</v>
      </c>
      <c r="E2226" s="13">
        <v>21.36305186455208</v>
      </c>
      <c r="F2226" s="13">
        <v>53.95</v>
      </c>
      <c r="G2226" s="13"/>
      <c r="H2226" s="13">
        <v>98.53</v>
      </c>
      <c r="I2226" s="13">
        <v>71.39</v>
      </c>
      <c r="J2226" s="13"/>
      <c r="K2226" s="13"/>
    </row>
    <row r="2227" spans="1:11" x14ac:dyDescent="0.25">
      <c r="A2227" s="10">
        <v>43053</v>
      </c>
      <c r="B2227" s="15">
        <f t="shared" si="68"/>
        <v>11</v>
      </c>
      <c r="C2227" s="15">
        <f t="shared" si="69"/>
        <v>2017</v>
      </c>
      <c r="D2227" s="13">
        <v>46.18</v>
      </c>
      <c r="E2227" s="13">
        <v>21.125805357748391</v>
      </c>
      <c r="F2227" s="13">
        <v>53.95</v>
      </c>
      <c r="G2227" s="13"/>
      <c r="H2227" s="13">
        <v>98.53</v>
      </c>
      <c r="I2227" s="13">
        <v>71.39</v>
      </c>
      <c r="J2227" s="13"/>
      <c r="K2227" s="13"/>
    </row>
    <row r="2228" spans="1:11" x14ac:dyDescent="0.25">
      <c r="A2228" s="10">
        <v>43054</v>
      </c>
      <c r="B2228" s="15">
        <f t="shared" si="68"/>
        <v>11</v>
      </c>
      <c r="C2228" s="15">
        <f t="shared" si="69"/>
        <v>2017</v>
      </c>
      <c r="D2228" s="13">
        <v>46.18</v>
      </c>
      <c r="E2228" s="13">
        <v>21.134763802900519</v>
      </c>
      <c r="F2228" s="13">
        <v>53.95</v>
      </c>
      <c r="G2228" s="13"/>
      <c r="H2228" s="13">
        <v>98.53</v>
      </c>
      <c r="I2228" s="13">
        <v>71.39</v>
      </c>
      <c r="J2228" s="13"/>
      <c r="K2228" s="13"/>
    </row>
    <row r="2229" spans="1:11" x14ac:dyDescent="0.25">
      <c r="A2229" s="10">
        <v>43055</v>
      </c>
      <c r="B2229" s="15">
        <f t="shared" si="68"/>
        <v>11</v>
      </c>
      <c r="C2229" s="15">
        <f t="shared" si="69"/>
        <v>2017</v>
      </c>
      <c r="D2229" s="13">
        <v>46.18</v>
      </c>
      <c r="E2229" s="13">
        <v>21.174271390942305</v>
      </c>
      <c r="F2229" s="13">
        <v>53.95</v>
      </c>
      <c r="G2229" s="13"/>
      <c r="H2229" s="13">
        <v>98.53</v>
      </c>
      <c r="I2229" s="13">
        <v>71.39</v>
      </c>
      <c r="J2229" s="13"/>
      <c r="K2229" s="13"/>
    </row>
    <row r="2230" spans="1:11" x14ac:dyDescent="0.25">
      <c r="A2230" s="10">
        <v>43056</v>
      </c>
      <c r="B2230" s="15">
        <f t="shared" si="68"/>
        <v>11</v>
      </c>
      <c r="C2230" s="15">
        <f t="shared" si="69"/>
        <v>2017</v>
      </c>
      <c r="D2230" s="13">
        <v>46.18</v>
      </c>
      <c r="E2230" s="13">
        <v>21.131179513270585</v>
      </c>
      <c r="F2230" s="13">
        <v>53.95</v>
      </c>
      <c r="G2230" s="13"/>
      <c r="H2230" s="13">
        <v>98.53</v>
      </c>
      <c r="I2230" s="13">
        <v>71.39</v>
      </c>
      <c r="J2230" s="13"/>
      <c r="K2230" s="13"/>
    </row>
    <row r="2231" spans="1:11" x14ac:dyDescent="0.25">
      <c r="A2231" s="10">
        <v>43059</v>
      </c>
      <c r="B2231" s="15">
        <f t="shared" si="68"/>
        <v>11</v>
      </c>
      <c r="C2231" s="15">
        <f t="shared" si="69"/>
        <v>2017</v>
      </c>
      <c r="D2231" s="13">
        <v>38.58</v>
      </c>
      <c r="E2231" s="13">
        <v>28.801568360040914</v>
      </c>
      <c r="F2231" s="13">
        <v>57.33</v>
      </c>
      <c r="G2231" s="13"/>
      <c r="H2231" s="13">
        <v>98.68</v>
      </c>
      <c r="I2231" s="13">
        <v>69.12</v>
      </c>
      <c r="J2231" s="13"/>
      <c r="K2231" s="13"/>
    </row>
    <row r="2232" spans="1:11" x14ac:dyDescent="0.25">
      <c r="A2232" s="10">
        <v>43060</v>
      </c>
      <c r="B2232" s="15">
        <f t="shared" si="68"/>
        <v>11</v>
      </c>
      <c r="C2232" s="15">
        <f t="shared" si="69"/>
        <v>2017</v>
      </c>
      <c r="D2232" s="13">
        <v>38.58</v>
      </c>
      <c r="E2232" s="13">
        <v>28.78929879867087</v>
      </c>
      <c r="F2232" s="13">
        <v>57.33</v>
      </c>
      <c r="G2232" s="13"/>
      <c r="H2232" s="13">
        <v>98.68</v>
      </c>
      <c r="I2232" s="13">
        <v>69.12</v>
      </c>
      <c r="J2232" s="13"/>
      <c r="K2232" s="13"/>
    </row>
    <row r="2233" spans="1:11" x14ac:dyDescent="0.25">
      <c r="A2233" s="10">
        <v>43061</v>
      </c>
      <c r="B2233" s="15">
        <f t="shared" si="68"/>
        <v>11</v>
      </c>
      <c r="C2233" s="15">
        <f t="shared" si="69"/>
        <v>2017</v>
      </c>
      <c r="D2233" s="13">
        <v>38.58</v>
      </c>
      <c r="E2233" s="13">
        <v>28.58714043993232</v>
      </c>
      <c r="F2233" s="13">
        <v>57.33</v>
      </c>
      <c r="G2233" s="13"/>
      <c r="H2233" s="13">
        <v>98.68</v>
      </c>
      <c r="I2233" s="13">
        <v>69.12</v>
      </c>
      <c r="J2233" s="13"/>
      <c r="K2233" s="13"/>
    </row>
    <row r="2234" spans="1:11" x14ac:dyDescent="0.25">
      <c r="A2234" s="10">
        <v>43063</v>
      </c>
      <c r="B2234" s="15">
        <f t="shared" si="68"/>
        <v>11</v>
      </c>
      <c r="C2234" s="15">
        <f t="shared" si="69"/>
        <v>2017</v>
      </c>
      <c r="D2234" s="13">
        <v>38.58</v>
      </c>
      <c r="E2234" s="13">
        <v>28.323554065381391</v>
      </c>
      <c r="F2234" s="13">
        <v>57.33</v>
      </c>
      <c r="G2234" s="13"/>
      <c r="H2234" s="13">
        <v>98.68</v>
      </c>
      <c r="I2234" s="13">
        <v>69.12</v>
      </c>
      <c r="J2234" s="13"/>
      <c r="K2234" s="13"/>
    </row>
    <row r="2235" spans="1:11" x14ac:dyDescent="0.25">
      <c r="A2235" s="10">
        <v>43066</v>
      </c>
      <c r="B2235" s="15">
        <f t="shared" si="68"/>
        <v>11</v>
      </c>
      <c r="C2235" s="15">
        <f t="shared" si="69"/>
        <v>2017</v>
      </c>
      <c r="D2235" s="13">
        <v>69.010000000000005</v>
      </c>
      <c r="E2235" s="13">
        <v>27.597511768661732</v>
      </c>
      <c r="F2235" s="13">
        <v>80.52</v>
      </c>
      <c r="G2235" s="13"/>
      <c r="H2235" s="13">
        <v>121.68</v>
      </c>
      <c r="I2235" s="13">
        <v>87.36</v>
      </c>
      <c r="J2235" s="13"/>
      <c r="K2235" s="13"/>
    </row>
    <row r="2236" spans="1:11" x14ac:dyDescent="0.25">
      <c r="A2236" s="10">
        <v>43067</v>
      </c>
      <c r="B2236" s="15">
        <f t="shared" si="68"/>
        <v>11</v>
      </c>
      <c r="C2236" s="15">
        <f t="shared" si="69"/>
        <v>2017</v>
      </c>
      <c r="D2236" s="13">
        <v>69.010000000000005</v>
      </c>
      <c r="E2236" s="13">
        <v>27.730382633668384</v>
      </c>
      <c r="F2236" s="13">
        <v>80.52</v>
      </c>
      <c r="G2236" s="13"/>
      <c r="H2236" s="13">
        <v>121.68</v>
      </c>
      <c r="I2236" s="13">
        <v>87.36</v>
      </c>
      <c r="J2236" s="13"/>
      <c r="K2236" s="13"/>
    </row>
    <row r="2237" spans="1:11" x14ac:dyDescent="0.25">
      <c r="A2237" s="10">
        <v>43068</v>
      </c>
      <c r="B2237" s="15">
        <f t="shared" si="68"/>
        <v>11</v>
      </c>
      <c r="C2237" s="15">
        <f t="shared" si="69"/>
        <v>2017</v>
      </c>
      <c r="D2237" s="13">
        <v>69.010000000000005</v>
      </c>
      <c r="E2237" s="13">
        <v>27.711656959567819</v>
      </c>
      <c r="F2237" s="13">
        <v>80.52</v>
      </c>
      <c r="G2237" s="13"/>
      <c r="H2237" s="13">
        <v>121.68</v>
      </c>
      <c r="I2237" s="13">
        <v>87.36</v>
      </c>
      <c r="J2237" s="13"/>
      <c r="K2237" s="13"/>
    </row>
    <row r="2238" spans="1:11" x14ac:dyDescent="0.25">
      <c r="A2238" s="10">
        <v>43069</v>
      </c>
      <c r="B2238" s="15">
        <f t="shared" si="68"/>
        <v>11</v>
      </c>
      <c r="C2238" s="15">
        <f t="shared" si="69"/>
        <v>2017</v>
      </c>
      <c r="D2238" s="13">
        <v>69.010000000000005</v>
      </c>
      <c r="E2238" s="13">
        <v>27.583599395059654</v>
      </c>
      <c r="F2238" s="13">
        <v>80.52</v>
      </c>
      <c r="G2238" s="13"/>
      <c r="H2238" s="13">
        <v>121.68</v>
      </c>
      <c r="I2238" s="13">
        <v>87.36</v>
      </c>
      <c r="J2238" s="13"/>
      <c r="K2238" s="13"/>
    </row>
    <row r="2239" spans="1:11" x14ac:dyDescent="0.25">
      <c r="A2239" s="10">
        <v>43070</v>
      </c>
      <c r="B2239" s="15">
        <f t="shared" si="68"/>
        <v>12</v>
      </c>
      <c r="C2239" s="15">
        <f t="shared" si="69"/>
        <v>2017</v>
      </c>
      <c r="D2239" s="13">
        <v>69.010000000000005</v>
      </c>
      <c r="E2239" s="13">
        <v>27.613760619059633</v>
      </c>
      <c r="F2239" s="13">
        <v>80.52</v>
      </c>
      <c r="G2239" s="13"/>
      <c r="H2239" s="13">
        <v>121.68</v>
      </c>
      <c r="I2239" s="13">
        <v>87.36</v>
      </c>
      <c r="J2239" s="13"/>
      <c r="K2239" s="13"/>
    </row>
    <row r="2240" spans="1:11" x14ac:dyDescent="0.25">
      <c r="A2240" s="10">
        <v>43073</v>
      </c>
      <c r="B2240" s="15">
        <f t="shared" si="68"/>
        <v>12</v>
      </c>
      <c r="C2240" s="15">
        <f t="shared" si="69"/>
        <v>2017</v>
      </c>
      <c r="D2240" s="13">
        <v>60.16</v>
      </c>
      <c r="E2240" s="13">
        <v>15.188806473364801</v>
      </c>
      <c r="F2240" s="13">
        <v>69.48</v>
      </c>
      <c r="G2240" s="13"/>
      <c r="H2240" s="13">
        <v>106.31</v>
      </c>
      <c r="I2240" s="13">
        <v>64.88</v>
      </c>
      <c r="J2240" s="13"/>
      <c r="K2240" s="13"/>
    </row>
    <row r="2241" spans="1:11" x14ac:dyDescent="0.25">
      <c r="A2241" s="10">
        <v>43074</v>
      </c>
      <c r="B2241" s="15">
        <f t="shared" si="68"/>
        <v>12</v>
      </c>
      <c r="C2241" s="15">
        <f t="shared" si="69"/>
        <v>2017</v>
      </c>
      <c r="D2241" s="13">
        <v>60.16</v>
      </c>
      <c r="E2241" s="13">
        <v>15.240189445196211</v>
      </c>
      <c r="F2241" s="13">
        <v>69.48</v>
      </c>
      <c r="G2241" s="13"/>
      <c r="H2241" s="13">
        <v>106.31</v>
      </c>
      <c r="I2241" s="13">
        <v>64.88</v>
      </c>
      <c r="J2241" s="13"/>
      <c r="K2241" s="13"/>
    </row>
    <row r="2242" spans="1:11" x14ac:dyDescent="0.25">
      <c r="A2242" s="10">
        <v>43075</v>
      </c>
      <c r="B2242" s="15">
        <f t="shared" si="68"/>
        <v>12</v>
      </c>
      <c r="C2242" s="15">
        <f t="shared" si="69"/>
        <v>2017</v>
      </c>
      <c r="D2242" s="13">
        <v>60.16</v>
      </c>
      <c r="E2242" s="13">
        <v>15.277660025434505</v>
      </c>
      <c r="F2242" s="13">
        <v>69.48</v>
      </c>
      <c r="G2242" s="13"/>
      <c r="H2242" s="13">
        <v>106.31</v>
      </c>
      <c r="I2242" s="13">
        <v>64.88</v>
      </c>
      <c r="J2242" s="13"/>
      <c r="K2242" s="13"/>
    </row>
    <row r="2243" spans="1:11" x14ac:dyDescent="0.25">
      <c r="A2243" s="10">
        <v>43076</v>
      </c>
      <c r="B2243" s="15">
        <f t="shared" ref="B2243:B2306" si="70">MONTH(A2243)</f>
        <v>12</v>
      </c>
      <c r="C2243" s="15">
        <f t="shared" ref="C2243:C2306" si="71">YEAR(A2243)</f>
        <v>2017</v>
      </c>
      <c r="D2243" s="13">
        <v>60.16</v>
      </c>
      <c r="E2243" s="13">
        <v>15.30880978676408</v>
      </c>
      <c r="F2243" s="13">
        <v>69.48</v>
      </c>
      <c r="G2243" s="13"/>
      <c r="H2243" s="13">
        <v>106.31</v>
      </c>
      <c r="I2243" s="13">
        <v>64.88</v>
      </c>
      <c r="J2243" s="13"/>
      <c r="K2243" s="13"/>
    </row>
    <row r="2244" spans="1:11" x14ac:dyDescent="0.25">
      <c r="A2244" s="10">
        <v>43077</v>
      </c>
      <c r="B2244" s="15">
        <f t="shared" si="70"/>
        <v>12</v>
      </c>
      <c r="C2244" s="15">
        <f t="shared" si="71"/>
        <v>2017</v>
      </c>
      <c r="D2244" s="13">
        <v>60.16</v>
      </c>
      <c r="E2244" s="13">
        <v>15.317919075144509</v>
      </c>
      <c r="F2244" s="13">
        <v>69.48</v>
      </c>
      <c r="G2244" s="13"/>
      <c r="H2244" s="13">
        <v>106.31</v>
      </c>
      <c r="I2244" s="13">
        <v>64.88</v>
      </c>
      <c r="J2244" s="13"/>
      <c r="K2244" s="13"/>
    </row>
    <row r="2245" spans="1:11" x14ac:dyDescent="0.25">
      <c r="A2245" s="10">
        <v>43080</v>
      </c>
      <c r="B2245" s="15">
        <f t="shared" si="70"/>
        <v>12</v>
      </c>
      <c r="C2245" s="15">
        <f t="shared" si="71"/>
        <v>2017</v>
      </c>
      <c r="D2245" s="13">
        <v>52.9</v>
      </c>
      <c r="E2245" s="13">
        <v>12.440516655336506</v>
      </c>
      <c r="F2245" s="13">
        <v>55.85</v>
      </c>
      <c r="G2245" s="13"/>
      <c r="H2245" s="13">
        <v>96.22</v>
      </c>
      <c r="I2245" s="13">
        <v>63.73</v>
      </c>
      <c r="J2245" s="13"/>
      <c r="K2245" s="13"/>
    </row>
    <row r="2246" spans="1:11" x14ac:dyDescent="0.25">
      <c r="A2246" s="10">
        <v>43081</v>
      </c>
      <c r="B2246" s="15">
        <f t="shared" si="70"/>
        <v>12</v>
      </c>
      <c r="C2246" s="15">
        <f t="shared" si="71"/>
        <v>2017</v>
      </c>
      <c r="D2246" s="13">
        <v>52.9</v>
      </c>
      <c r="E2246" s="13">
        <v>12.470187393526407</v>
      </c>
      <c r="F2246" s="13">
        <v>55.85</v>
      </c>
      <c r="G2246" s="13"/>
      <c r="H2246" s="13">
        <v>96.22</v>
      </c>
      <c r="I2246" s="13">
        <v>63.73</v>
      </c>
      <c r="J2246" s="13"/>
      <c r="K2246" s="13"/>
    </row>
    <row r="2247" spans="1:11" x14ac:dyDescent="0.25">
      <c r="A2247" s="10">
        <v>43082</v>
      </c>
      <c r="B2247" s="15">
        <f t="shared" si="70"/>
        <v>12</v>
      </c>
      <c r="C2247" s="15">
        <f t="shared" si="71"/>
        <v>2017</v>
      </c>
      <c r="D2247" s="13">
        <v>52.9</v>
      </c>
      <c r="E2247" s="13">
        <v>12.380549682875264</v>
      </c>
      <c r="F2247" s="13">
        <v>55.85</v>
      </c>
      <c r="G2247" s="13"/>
      <c r="H2247" s="13">
        <v>96.22</v>
      </c>
      <c r="I2247" s="13">
        <v>63.73</v>
      </c>
      <c r="J2247" s="13"/>
      <c r="K2247" s="13"/>
    </row>
    <row r="2248" spans="1:11" x14ac:dyDescent="0.25">
      <c r="A2248" s="10">
        <v>43083</v>
      </c>
      <c r="B2248" s="15">
        <f t="shared" si="70"/>
        <v>12</v>
      </c>
      <c r="C2248" s="15">
        <f t="shared" si="71"/>
        <v>2017</v>
      </c>
      <c r="D2248" s="13">
        <v>52.9</v>
      </c>
      <c r="E2248" s="13">
        <v>12.431009594973254</v>
      </c>
      <c r="F2248" s="13">
        <v>55.85</v>
      </c>
      <c r="G2248" s="13"/>
      <c r="H2248" s="13">
        <v>96.22</v>
      </c>
      <c r="I2248" s="13">
        <v>63.73</v>
      </c>
      <c r="J2248" s="13"/>
      <c r="K2248" s="13"/>
    </row>
    <row r="2249" spans="1:11" x14ac:dyDescent="0.25">
      <c r="A2249" s="10">
        <v>43084</v>
      </c>
      <c r="B2249" s="15">
        <f t="shared" si="70"/>
        <v>12</v>
      </c>
      <c r="C2249" s="15">
        <f t="shared" si="71"/>
        <v>2017</v>
      </c>
      <c r="D2249" s="13">
        <v>52.9</v>
      </c>
      <c r="E2249" s="13">
        <v>12.457454050374405</v>
      </c>
      <c r="F2249" s="13">
        <v>55.85</v>
      </c>
      <c r="G2249" s="13"/>
      <c r="H2249" s="13">
        <v>96.22</v>
      </c>
      <c r="I2249" s="13">
        <v>63.73</v>
      </c>
      <c r="J2249" s="13"/>
      <c r="K2249" s="13"/>
    </row>
    <row r="2250" spans="1:11" x14ac:dyDescent="0.25">
      <c r="A2250" s="10">
        <v>43087</v>
      </c>
      <c r="B2250" s="15">
        <f t="shared" si="70"/>
        <v>12</v>
      </c>
      <c r="C2250" s="15">
        <f t="shared" si="71"/>
        <v>2017</v>
      </c>
      <c r="D2250" s="13">
        <v>46.92</v>
      </c>
      <c r="E2250" s="13">
        <v>5.7380527968763264</v>
      </c>
      <c r="F2250" s="13">
        <v>45.95</v>
      </c>
      <c r="G2250" s="13"/>
      <c r="H2250" s="13">
        <v>90.76</v>
      </c>
      <c r="I2250" s="13">
        <v>61.05</v>
      </c>
      <c r="J2250" s="13"/>
      <c r="K2250" s="13"/>
    </row>
    <row r="2251" spans="1:11" x14ac:dyDescent="0.25">
      <c r="A2251" s="10">
        <v>43088</v>
      </c>
      <c r="B2251" s="15">
        <f t="shared" si="70"/>
        <v>12</v>
      </c>
      <c r="C2251" s="15">
        <f t="shared" si="71"/>
        <v>2017</v>
      </c>
      <c r="D2251" s="13">
        <v>46.92</v>
      </c>
      <c r="E2251" s="13">
        <v>5.7104240581179253</v>
      </c>
      <c r="F2251" s="13">
        <v>45.95</v>
      </c>
      <c r="G2251" s="13"/>
      <c r="H2251" s="13">
        <v>90.76</v>
      </c>
      <c r="I2251" s="13">
        <v>61.05</v>
      </c>
      <c r="J2251" s="13"/>
      <c r="K2251" s="13"/>
    </row>
    <row r="2252" spans="1:11" x14ac:dyDescent="0.25">
      <c r="A2252" s="10">
        <v>43089</v>
      </c>
      <c r="B2252" s="15">
        <f t="shared" si="70"/>
        <v>12</v>
      </c>
      <c r="C2252" s="15">
        <f t="shared" si="71"/>
        <v>2017</v>
      </c>
      <c r="D2252" s="13">
        <v>46.92</v>
      </c>
      <c r="E2252" s="13">
        <v>5.6955093099671412</v>
      </c>
      <c r="F2252" s="13">
        <v>45.95</v>
      </c>
      <c r="G2252" s="13"/>
      <c r="H2252" s="13">
        <v>90.76</v>
      </c>
      <c r="I2252" s="13">
        <v>61.05</v>
      </c>
      <c r="J2252" s="13"/>
      <c r="K2252" s="13"/>
    </row>
    <row r="2253" spans="1:11" x14ac:dyDescent="0.25">
      <c r="A2253" s="10">
        <v>43090</v>
      </c>
      <c r="B2253" s="15">
        <f t="shared" si="70"/>
        <v>12</v>
      </c>
      <c r="C2253" s="15">
        <f t="shared" si="71"/>
        <v>2017</v>
      </c>
      <c r="D2253" s="13">
        <v>46.92</v>
      </c>
      <c r="E2253" s="13">
        <v>5.6935904994525393</v>
      </c>
      <c r="F2253" s="13">
        <v>45.95</v>
      </c>
      <c r="G2253" s="13"/>
      <c r="H2253" s="13">
        <v>90.76</v>
      </c>
      <c r="I2253" s="13">
        <v>61.05</v>
      </c>
      <c r="J2253" s="13"/>
      <c r="K2253" s="13"/>
    </row>
    <row r="2254" spans="1:11" x14ac:dyDescent="0.25">
      <c r="A2254" s="10">
        <v>43091</v>
      </c>
      <c r="B2254" s="15">
        <f t="shared" si="70"/>
        <v>12</v>
      </c>
      <c r="C2254" s="15">
        <f t="shared" si="71"/>
        <v>2017</v>
      </c>
      <c r="D2254" s="13">
        <v>46.92</v>
      </c>
      <c r="E2254" s="13">
        <v>5.7012735093193889</v>
      </c>
      <c r="F2254" s="13">
        <v>45.95</v>
      </c>
      <c r="G2254" s="13"/>
      <c r="H2254" s="13">
        <v>90.76</v>
      </c>
      <c r="I2254" s="13">
        <v>61.05</v>
      </c>
      <c r="J2254" s="13"/>
      <c r="K2254" s="13"/>
    </row>
    <row r="2255" spans="1:11" x14ac:dyDescent="0.25">
      <c r="A2255" s="10">
        <v>43095</v>
      </c>
      <c r="B2255" s="15">
        <f t="shared" si="70"/>
        <v>12</v>
      </c>
      <c r="C2255" s="15">
        <f t="shared" si="71"/>
        <v>2017</v>
      </c>
      <c r="D2255" s="13">
        <v>39.79</v>
      </c>
      <c r="E2255" s="13">
        <v>11.165457918704673</v>
      </c>
      <c r="F2255" s="13">
        <v>40.520000000000003</v>
      </c>
      <c r="G2255" s="13"/>
      <c r="H2255" s="13">
        <v>86.81</v>
      </c>
      <c r="I2255" s="13">
        <v>56.28</v>
      </c>
      <c r="J2255" s="13"/>
      <c r="K2255" s="13"/>
    </row>
    <row r="2256" spans="1:11" x14ac:dyDescent="0.25">
      <c r="A2256" s="10">
        <v>43096</v>
      </c>
      <c r="B2256" s="15">
        <f t="shared" si="70"/>
        <v>12</v>
      </c>
      <c r="C2256" s="15">
        <f t="shared" si="71"/>
        <v>2017</v>
      </c>
      <c r="D2256" s="13">
        <v>39.79</v>
      </c>
      <c r="E2256" s="13">
        <v>11.139155308766615</v>
      </c>
      <c r="F2256" s="13">
        <v>40.520000000000003</v>
      </c>
      <c r="G2256" s="13"/>
      <c r="H2256" s="13">
        <v>86.81</v>
      </c>
      <c r="I2256" s="13">
        <v>56.28</v>
      </c>
      <c r="J2256" s="13"/>
      <c r="K2256" s="13"/>
    </row>
    <row r="2257" spans="1:11" x14ac:dyDescent="0.25">
      <c r="A2257" s="10">
        <v>43097</v>
      </c>
      <c r="B2257" s="15">
        <f t="shared" si="70"/>
        <v>12</v>
      </c>
      <c r="C2257" s="15">
        <f t="shared" si="71"/>
        <v>2017</v>
      </c>
      <c r="D2257" s="13">
        <v>39.79</v>
      </c>
      <c r="E2257" s="13">
        <v>11.087848588895403</v>
      </c>
      <c r="F2257" s="13">
        <v>40.520000000000003</v>
      </c>
      <c r="G2257" s="13"/>
      <c r="H2257" s="13">
        <v>86.81</v>
      </c>
      <c r="I2257" s="13">
        <v>56.28</v>
      </c>
      <c r="J2257" s="13"/>
      <c r="K2257" s="13"/>
    </row>
    <row r="2258" spans="1:11" x14ac:dyDescent="0.25">
      <c r="A2258" s="10">
        <v>43098</v>
      </c>
      <c r="B2258" s="15">
        <f t="shared" si="70"/>
        <v>12</v>
      </c>
      <c r="C2258" s="15">
        <f t="shared" si="71"/>
        <v>2017</v>
      </c>
      <c r="D2258" s="13">
        <v>39.79</v>
      </c>
      <c r="E2258" s="13">
        <v>11.037012337445816</v>
      </c>
      <c r="F2258" s="13">
        <v>40.520000000000003</v>
      </c>
      <c r="G2258" s="13"/>
      <c r="H2258" s="13">
        <v>86.81</v>
      </c>
      <c r="I2258" s="13">
        <v>56.28</v>
      </c>
      <c r="J2258" s="13"/>
      <c r="K2258" s="13"/>
    </row>
    <row r="2259" spans="1:11" x14ac:dyDescent="0.25">
      <c r="A2259" s="10">
        <v>43102</v>
      </c>
      <c r="B2259" s="15">
        <f t="shared" si="70"/>
        <v>1</v>
      </c>
      <c r="C2259" s="15">
        <f t="shared" si="71"/>
        <v>2018</v>
      </c>
      <c r="D2259" s="13">
        <v>17.23</v>
      </c>
      <c r="E2259" s="13">
        <v>14.149456747117856</v>
      </c>
      <c r="F2259" s="13">
        <v>18.43</v>
      </c>
      <c r="G2259" s="13"/>
      <c r="H2259" s="13">
        <v>62.63</v>
      </c>
      <c r="I2259" s="13">
        <v>46.91</v>
      </c>
      <c r="J2259" s="13"/>
      <c r="K2259" s="13"/>
    </row>
    <row r="2260" spans="1:11" x14ac:dyDescent="0.25">
      <c r="A2260" s="10">
        <v>43103</v>
      </c>
      <c r="B2260" s="15">
        <f t="shared" si="70"/>
        <v>1</v>
      </c>
      <c r="C2260" s="15">
        <f t="shared" si="71"/>
        <v>2018</v>
      </c>
      <c r="D2260" s="13">
        <v>17.23</v>
      </c>
      <c r="E2260" s="13">
        <v>14.202464202464201</v>
      </c>
      <c r="F2260" s="13">
        <v>18.43</v>
      </c>
      <c r="G2260" s="13"/>
      <c r="H2260" s="13">
        <v>62.63</v>
      </c>
      <c r="I2260" s="13">
        <v>46.91</v>
      </c>
      <c r="J2260" s="13"/>
      <c r="K2260" s="13"/>
    </row>
    <row r="2261" spans="1:11" x14ac:dyDescent="0.25">
      <c r="A2261" s="10">
        <v>43104</v>
      </c>
      <c r="B2261" s="15">
        <f t="shared" si="70"/>
        <v>1</v>
      </c>
      <c r="C2261" s="15">
        <f t="shared" si="71"/>
        <v>2018</v>
      </c>
      <c r="D2261" s="13">
        <v>17.23</v>
      </c>
      <c r="E2261" s="13">
        <v>14.137731001906022</v>
      </c>
      <c r="F2261" s="13">
        <v>18.43</v>
      </c>
      <c r="G2261" s="13"/>
      <c r="H2261" s="13">
        <v>62.63</v>
      </c>
      <c r="I2261" s="13">
        <v>46.91</v>
      </c>
      <c r="J2261" s="13"/>
      <c r="K2261" s="13"/>
    </row>
    <row r="2262" spans="1:11" x14ac:dyDescent="0.25">
      <c r="A2262" s="10">
        <v>43105</v>
      </c>
      <c r="B2262" s="15">
        <f t="shared" si="70"/>
        <v>1</v>
      </c>
      <c r="C2262" s="15">
        <f t="shared" si="71"/>
        <v>2018</v>
      </c>
      <c r="D2262" s="13">
        <v>17.23</v>
      </c>
      <c r="E2262" s="13">
        <v>14.183571666112401</v>
      </c>
      <c r="F2262" s="13">
        <v>18.43</v>
      </c>
      <c r="G2262" s="13"/>
      <c r="H2262" s="13">
        <v>62.63</v>
      </c>
      <c r="I2262" s="13">
        <v>46.91</v>
      </c>
      <c r="J2262" s="13"/>
      <c r="K2262" s="13"/>
    </row>
    <row r="2263" spans="1:11" x14ac:dyDescent="0.25">
      <c r="A2263" s="10">
        <v>43108</v>
      </c>
      <c r="B2263" s="15">
        <f t="shared" si="70"/>
        <v>1</v>
      </c>
      <c r="C2263" s="15">
        <f t="shared" si="71"/>
        <v>2018</v>
      </c>
      <c r="D2263" s="13">
        <v>9.27</v>
      </c>
      <c r="E2263" s="13">
        <v>8.1404095277893873</v>
      </c>
      <c r="F2263" s="13">
        <v>11.51</v>
      </c>
      <c r="G2263" s="13"/>
      <c r="H2263" s="13">
        <v>54.12</v>
      </c>
      <c r="I2263" s="13">
        <v>34.909999999999997</v>
      </c>
      <c r="J2263" s="13"/>
      <c r="K2263" s="13"/>
    </row>
    <row r="2264" spans="1:11" x14ac:dyDescent="0.25">
      <c r="A2264" s="10">
        <v>43109</v>
      </c>
      <c r="B2264" s="15">
        <f t="shared" si="70"/>
        <v>1</v>
      </c>
      <c r="C2264" s="15">
        <f t="shared" si="71"/>
        <v>2018</v>
      </c>
      <c r="D2264" s="13">
        <v>9.27</v>
      </c>
      <c r="E2264" s="13">
        <v>8.1608713866778384</v>
      </c>
      <c r="F2264" s="13">
        <v>11.51</v>
      </c>
      <c r="G2264" s="13"/>
      <c r="H2264" s="13">
        <v>54.12</v>
      </c>
      <c r="I2264" s="13">
        <v>34.909999999999997</v>
      </c>
      <c r="J2264" s="13"/>
      <c r="K2264" s="13"/>
    </row>
    <row r="2265" spans="1:11" x14ac:dyDescent="0.25">
      <c r="A2265" s="10">
        <v>43110</v>
      </c>
      <c r="B2265" s="15">
        <f t="shared" si="70"/>
        <v>1</v>
      </c>
      <c r="C2265" s="15">
        <f t="shared" si="71"/>
        <v>2018</v>
      </c>
      <c r="D2265" s="13">
        <v>9.27</v>
      </c>
      <c r="E2265" s="13">
        <v>8.1540393470071173</v>
      </c>
      <c r="F2265" s="13">
        <v>11.51</v>
      </c>
      <c r="G2265" s="13"/>
      <c r="H2265" s="13">
        <v>54.12</v>
      </c>
      <c r="I2265" s="13">
        <v>34.909999999999997</v>
      </c>
      <c r="J2265" s="13"/>
      <c r="K2265" s="13"/>
    </row>
    <row r="2266" spans="1:11" x14ac:dyDescent="0.25">
      <c r="A2266" s="10">
        <v>43111</v>
      </c>
      <c r="B2266" s="15">
        <f t="shared" si="70"/>
        <v>1</v>
      </c>
      <c r="C2266" s="15">
        <f t="shared" si="71"/>
        <v>2018</v>
      </c>
      <c r="D2266" s="13">
        <v>9.27</v>
      </c>
      <c r="E2266" s="13">
        <v>8.0957526390158758</v>
      </c>
      <c r="F2266" s="13">
        <v>11.51</v>
      </c>
      <c r="G2266" s="13"/>
      <c r="H2266" s="13">
        <v>54.12</v>
      </c>
      <c r="I2266" s="13">
        <v>34.909999999999997</v>
      </c>
      <c r="J2266" s="13"/>
      <c r="K2266" s="13"/>
    </row>
    <row r="2267" spans="1:11" x14ac:dyDescent="0.25">
      <c r="A2267" s="10">
        <v>43112</v>
      </c>
      <c r="B2267" s="15">
        <f t="shared" si="70"/>
        <v>1</v>
      </c>
      <c r="C2267" s="15">
        <f t="shared" si="71"/>
        <v>2018</v>
      </c>
      <c r="D2267" s="13">
        <v>9.27</v>
      </c>
      <c r="E2267" s="13">
        <v>7.9934345506770628</v>
      </c>
      <c r="F2267" s="13">
        <v>11.51</v>
      </c>
      <c r="G2267" s="13"/>
      <c r="H2267" s="13">
        <v>54.12</v>
      </c>
      <c r="I2267" s="13">
        <v>34.909999999999997</v>
      </c>
      <c r="J2267" s="13"/>
      <c r="K2267" s="13"/>
    </row>
    <row r="2268" spans="1:11" x14ac:dyDescent="0.25">
      <c r="A2268" s="10">
        <v>43116</v>
      </c>
      <c r="B2268" s="15">
        <f t="shared" si="70"/>
        <v>1</v>
      </c>
      <c r="C2268" s="15">
        <f t="shared" si="71"/>
        <v>2018</v>
      </c>
      <c r="D2268" s="13">
        <v>8.9499999999999993</v>
      </c>
      <c r="E2268" s="13">
        <v>18.296761562933355</v>
      </c>
      <c r="F2268" s="13">
        <v>21.53</v>
      </c>
      <c r="G2268" s="13"/>
      <c r="H2268" s="13">
        <v>52.51</v>
      </c>
      <c r="I2268" s="13">
        <v>35.68</v>
      </c>
      <c r="J2268" s="13"/>
      <c r="K2268" s="13"/>
    </row>
    <row r="2269" spans="1:11" x14ac:dyDescent="0.25">
      <c r="A2269" s="10">
        <v>43117</v>
      </c>
      <c r="B2269" s="15">
        <f t="shared" si="70"/>
        <v>1</v>
      </c>
      <c r="C2269" s="15">
        <f t="shared" si="71"/>
        <v>2018</v>
      </c>
      <c r="D2269" s="13">
        <v>8.9499999999999993</v>
      </c>
      <c r="E2269" s="13">
        <v>18.409389363099148</v>
      </c>
      <c r="F2269" s="13">
        <v>21.53</v>
      </c>
      <c r="G2269" s="13"/>
      <c r="H2269" s="13">
        <v>52.51</v>
      </c>
      <c r="I2269" s="13">
        <v>35.68</v>
      </c>
      <c r="J2269" s="13"/>
      <c r="K2269" s="13"/>
    </row>
    <row r="2270" spans="1:11" x14ac:dyDescent="0.25">
      <c r="A2270" s="10">
        <v>43118</v>
      </c>
      <c r="B2270" s="15">
        <f t="shared" si="70"/>
        <v>1</v>
      </c>
      <c r="C2270" s="15">
        <f t="shared" si="71"/>
        <v>2018</v>
      </c>
      <c r="D2270" s="13">
        <v>8.9499999999999993</v>
      </c>
      <c r="E2270" s="13">
        <v>18.329655961428454</v>
      </c>
      <c r="F2270" s="13">
        <v>21.53</v>
      </c>
      <c r="G2270" s="13"/>
      <c r="H2270" s="13">
        <v>52.51</v>
      </c>
      <c r="I2270" s="13">
        <v>35.68</v>
      </c>
      <c r="J2270" s="13"/>
      <c r="K2270" s="13"/>
    </row>
    <row r="2271" spans="1:11" x14ac:dyDescent="0.25">
      <c r="A2271" s="10">
        <v>43119</v>
      </c>
      <c r="B2271" s="15">
        <f t="shared" si="70"/>
        <v>1</v>
      </c>
      <c r="C2271" s="15">
        <f t="shared" si="71"/>
        <v>2018</v>
      </c>
      <c r="D2271" s="13">
        <v>8.9499999999999993</v>
      </c>
      <c r="E2271" s="13">
        <v>18.355155482815057</v>
      </c>
      <c r="F2271" s="13">
        <v>21.53</v>
      </c>
      <c r="G2271" s="13"/>
      <c r="H2271" s="13">
        <v>52.51</v>
      </c>
      <c r="I2271" s="13">
        <v>35.68</v>
      </c>
      <c r="J2271" s="13"/>
      <c r="K2271" s="13"/>
    </row>
    <row r="2272" spans="1:11" x14ac:dyDescent="0.25">
      <c r="A2272" s="10">
        <v>43122</v>
      </c>
      <c r="B2272" s="15">
        <f t="shared" si="70"/>
        <v>1</v>
      </c>
      <c r="C2272" s="15">
        <f t="shared" si="71"/>
        <v>2018</v>
      </c>
      <c r="D2272" s="13">
        <v>8.11</v>
      </c>
      <c r="E2272" s="13">
        <v>26.247960848287114</v>
      </c>
      <c r="F2272" s="13">
        <v>20.239999999999998</v>
      </c>
      <c r="G2272" s="13"/>
      <c r="H2272" s="13">
        <v>57.49</v>
      </c>
      <c r="I2272" s="13">
        <v>32.89</v>
      </c>
      <c r="J2272" s="13"/>
      <c r="K2272" s="13"/>
    </row>
    <row r="2273" spans="1:11" x14ac:dyDescent="0.25">
      <c r="A2273" s="10">
        <v>43123</v>
      </c>
      <c r="B2273" s="15">
        <f t="shared" si="70"/>
        <v>1</v>
      </c>
      <c r="C2273" s="15">
        <f t="shared" si="71"/>
        <v>2018</v>
      </c>
      <c r="D2273" s="13">
        <v>8.11</v>
      </c>
      <c r="E2273" s="13">
        <v>26.168984305115067</v>
      </c>
      <c r="F2273" s="13">
        <v>20.239999999999998</v>
      </c>
      <c r="G2273" s="13"/>
      <c r="H2273" s="13">
        <v>57.49</v>
      </c>
      <c r="I2273" s="13">
        <v>32.89</v>
      </c>
      <c r="J2273" s="13"/>
      <c r="K2273" s="13"/>
    </row>
    <row r="2274" spans="1:11" x14ac:dyDescent="0.25">
      <c r="A2274" s="10">
        <v>43124</v>
      </c>
      <c r="B2274" s="15">
        <f t="shared" si="70"/>
        <v>1</v>
      </c>
      <c r="C2274" s="15">
        <f t="shared" si="71"/>
        <v>2018</v>
      </c>
      <c r="D2274" s="13">
        <v>8.11</v>
      </c>
      <c r="E2274" s="13">
        <v>25.939061744317268</v>
      </c>
      <c r="F2274" s="13">
        <v>20.239999999999998</v>
      </c>
      <c r="G2274" s="13"/>
      <c r="H2274" s="13">
        <v>57.49</v>
      </c>
      <c r="I2274" s="13">
        <v>32.89</v>
      </c>
      <c r="J2274" s="13"/>
      <c r="K2274" s="13"/>
    </row>
    <row r="2275" spans="1:11" x14ac:dyDescent="0.25">
      <c r="A2275" s="10">
        <v>43125</v>
      </c>
      <c r="B2275" s="15">
        <f t="shared" si="70"/>
        <v>1</v>
      </c>
      <c r="C2275" s="15">
        <f t="shared" si="71"/>
        <v>2018</v>
      </c>
      <c r="D2275" s="13">
        <v>8.11</v>
      </c>
      <c r="E2275" s="13">
        <v>25.962081484469543</v>
      </c>
      <c r="F2275" s="13">
        <v>20.239999999999998</v>
      </c>
      <c r="G2275" s="13"/>
      <c r="H2275" s="13">
        <v>57.49</v>
      </c>
      <c r="I2275" s="13">
        <v>32.89</v>
      </c>
      <c r="J2275" s="13"/>
      <c r="K2275" s="13"/>
    </row>
    <row r="2276" spans="1:11" x14ac:dyDescent="0.25">
      <c r="A2276" s="10">
        <v>43126</v>
      </c>
      <c r="B2276" s="15">
        <f t="shared" si="70"/>
        <v>1</v>
      </c>
      <c r="C2276" s="15">
        <f t="shared" si="71"/>
        <v>2018</v>
      </c>
      <c r="D2276" s="13">
        <v>8.11</v>
      </c>
      <c r="E2276" s="13">
        <v>25.911909171430871</v>
      </c>
      <c r="F2276" s="13">
        <v>20.239999999999998</v>
      </c>
      <c r="G2276" s="13"/>
      <c r="H2276" s="13">
        <v>57.49</v>
      </c>
      <c r="I2276" s="13">
        <v>32.89</v>
      </c>
      <c r="J2276" s="13"/>
      <c r="K2276" s="13"/>
    </row>
    <row r="2277" spans="1:11" x14ac:dyDescent="0.25">
      <c r="A2277" s="10">
        <v>43129</v>
      </c>
      <c r="B2277" s="15">
        <f t="shared" si="70"/>
        <v>1</v>
      </c>
      <c r="C2277" s="15">
        <f t="shared" si="71"/>
        <v>2018</v>
      </c>
      <c r="D2277" s="13">
        <v>17.47</v>
      </c>
      <c r="E2277" s="13">
        <v>24.093368871658186</v>
      </c>
      <c r="F2277" s="13">
        <v>36.69</v>
      </c>
      <c r="G2277" s="13"/>
      <c r="H2277" s="13">
        <v>72.73</v>
      </c>
      <c r="I2277" s="13">
        <v>38.68</v>
      </c>
      <c r="J2277" s="13"/>
      <c r="K2277" s="13"/>
    </row>
    <row r="2278" spans="1:11" x14ac:dyDescent="0.25">
      <c r="A2278" s="10">
        <v>43130</v>
      </c>
      <c r="B2278" s="15">
        <f t="shared" si="70"/>
        <v>1</v>
      </c>
      <c r="C2278" s="15">
        <f t="shared" si="71"/>
        <v>2018</v>
      </c>
      <c r="D2278" s="13">
        <v>17.47</v>
      </c>
      <c r="E2278" s="13">
        <v>24.056451612903224</v>
      </c>
      <c r="F2278" s="13">
        <v>36.69</v>
      </c>
      <c r="G2278" s="13"/>
      <c r="H2278" s="13">
        <v>72.73</v>
      </c>
      <c r="I2278" s="13">
        <v>38.68</v>
      </c>
      <c r="J2278" s="13"/>
      <c r="K2278" s="13"/>
    </row>
    <row r="2279" spans="1:11" x14ac:dyDescent="0.25">
      <c r="A2279" s="10">
        <v>43131</v>
      </c>
      <c r="B2279" s="15">
        <f t="shared" si="70"/>
        <v>1</v>
      </c>
      <c r="C2279" s="15">
        <f t="shared" si="71"/>
        <v>2018</v>
      </c>
      <c r="D2279" s="13">
        <v>17.47</v>
      </c>
      <c r="E2279" s="13">
        <v>24.01771336553945</v>
      </c>
      <c r="F2279" s="13">
        <v>36.69</v>
      </c>
      <c r="G2279" s="13"/>
      <c r="H2279" s="13">
        <v>72.73</v>
      </c>
      <c r="I2279" s="13">
        <v>38.68</v>
      </c>
      <c r="J2279" s="13"/>
      <c r="K2279" s="13"/>
    </row>
    <row r="2280" spans="1:11" x14ac:dyDescent="0.25">
      <c r="A2280" s="10">
        <v>43132</v>
      </c>
      <c r="B2280" s="15">
        <f t="shared" si="70"/>
        <v>2</v>
      </c>
      <c r="C2280" s="15">
        <f t="shared" si="71"/>
        <v>2018</v>
      </c>
      <c r="D2280" s="13">
        <v>17.47</v>
      </c>
      <c r="E2280" s="13">
        <v>23.848736808442599</v>
      </c>
      <c r="F2280" s="13">
        <v>36.69</v>
      </c>
      <c r="G2280" s="13"/>
      <c r="H2280" s="13">
        <v>72.73</v>
      </c>
      <c r="I2280" s="13">
        <v>38.68</v>
      </c>
      <c r="J2280" s="13"/>
      <c r="K2280" s="13"/>
    </row>
    <row r="2281" spans="1:11" x14ac:dyDescent="0.25">
      <c r="A2281" s="10">
        <v>43133</v>
      </c>
      <c r="B2281" s="15">
        <f t="shared" si="70"/>
        <v>2</v>
      </c>
      <c r="C2281" s="15">
        <f t="shared" si="71"/>
        <v>2018</v>
      </c>
      <c r="D2281" s="13">
        <v>17.47</v>
      </c>
      <c r="E2281" s="13">
        <v>23.940609951845907</v>
      </c>
      <c r="F2281" s="13">
        <v>36.69</v>
      </c>
      <c r="G2281" s="13"/>
      <c r="H2281" s="13">
        <v>72.73</v>
      </c>
      <c r="I2281" s="13">
        <v>38.68</v>
      </c>
      <c r="J2281" s="13"/>
      <c r="K2281" s="13"/>
    </row>
    <row r="2282" spans="1:11" x14ac:dyDescent="0.25">
      <c r="A2282" s="10">
        <v>43136</v>
      </c>
      <c r="B2282" s="15">
        <f t="shared" si="70"/>
        <v>2</v>
      </c>
      <c r="C2282" s="15">
        <f t="shared" si="71"/>
        <v>2018</v>
      </c>
      <c r="D2282" s="13">
        <v>23.63</v>
      </c>
      <c r="E2282" s="13">
        <v>15.735424921161156</v>
      </c>
      <c r="F2282" s="13">
        <v>46.64</v>
      </c>
      <c r="G2282" s="13"/>
      <c r="H2282" s="13">
        <v>68.69</v>
      </c>
      <c r="I2282" s="13">
        <v>62.68</v>
      </c>
      <c r="J2282" s="13"/>
      <c r="K2282" s="13"/>
    </row>
    <row r="2283" spans="1:11" x14ac:dyDescent="0.25">
      <c r="A2283" s="10">
        <v>43137</v>
      </c>
      <c r="B2283" s="15">
        <f t="shared" si="70"/>
        <v>2</v>
      </c>
      <c r="C2283" s="15">
        <f t="shared" si="71"/>
        <v>2018</v>
      </c>
      <c r="D2283" s="13">
        <v>23.63</v>
      </c>
      <c r="E2283" s="13">
        <v>15.72398190045249</v>
      </c>
      <c r="F2283" s="13">
        <v>46.64</v>
      </c>
      <c r="G2283" s="13"/>
      <c r="H2283" s="13">
        <v>68.69</v>
      </c>
      <c r="I2283" s="13">
        <v>62.68</v>
      </c>
      <c r="J2283" s="13"/>
      <c r="K2283" s="13"/>
    </row>
    <row r="2284" spans="1:11" x14ac:dyDescent="0.25">
      <c r="A2284" s="10">
        <v>43138</v>
      </c>
      <c r="B2284" s="15">
        <f t="shared" si="70"/>
        <v>2</v>
      </c>
      <c r="C2284" s="15">
        <f t="shared" si="71"/>
        <v>2018</v>
      </c>
      <c r="D2284" s="13">
        <v>23.63</v>
      </c>
      <c r="E2284" s="13">
        <v>15.870167998695157</v>
      </c>
      <c r="F2284" s="13">
        <v>46.64</v>
      </c>
      <c r="G2284" s="13"/>
      <c r="H2284" s="13">
        <v>68.69</v>
      </c>
      <c r="I2284" s="13">
        <v>62.68</v>
      </c>
      <c r="J2284" s="13"/>
      <c r="K2284" s="13"/>
    </row>
    <row r="2285" spans="1:11" x14ac:dyDescent="0.25">
      <c r="A2285" s="10">
        <v>43139</v>
      </c>
      <c r="B2285" s="15">
        <f t="shared" si="70"/>
        <v>2</v>
      </c>
      <c r="C2285" s="15">
        <f t="shared" si="71"/>
        <v>2018</v>
      </c>
      <c r="D2285" s="13">
        <v>23.63</v>
      </c>
      <c r="E2285" s="13">
        <v>15.892200898325848</v>
      </c>
      <c r="F2285" s="13">
        <v>46.64</v>
      </c>
      <c r="G2285" s="13"/>
      <c r="H2285" s="13">
        <v>68.69</v>
      </c>
      <c r="I2285" s="13">
        <v>62.68</v>
      </c>
      <c r="J2285" s="13"/>
      <c r="K2285" s="13"/>
    </row>
    <row r="2286" spans="1:11" x14ac:dyDescent="0.25">
      <c r="A2286" s="10">
        <v>43140</v>
      </c>
      <c r="B2286" s="15">
        <f t="shared" si="70"/>
        <v>2</v>
      </c>
      <c r="C2286" s="15">
        <f t="shared" si="71"/>
        <v>2018</v>
      </c>
      <c r="D2286" s="13">
        <v>23.63</v>
      </c>
      <c r="E2286" s="13">
        <v>15.907790403008256</v>
      </c>
      <c r="F2286" s="13">
        <v>46.64</v>
      </c>
      <c r="G2286" s="13"/>
      <c r="H2286" s="13">
        <v>68.69</v>
      </c>
      <c r="I2286" s="13">
        <v>62.68</v>
      </c>
      <c r="J2286" s="13"/>
      <c r="K2286" s="13"/>
    </row>
    <row r="2287" spans="1:11" x14ac:dyDescent="0.25">
      <c r="A2287" s="10">
        <v>43143</v>
      </c>
      <c r="B2287" s="15">
        <f t="shared" si="70"/>
        <v>2</v>
      </c>
      <c r="C2287" s="15">
        <f t="shared" si="71"/>
        <v>2018</v>
      </c>
      <c r="D2287" s="13">
        <v>11.69</v>
      </c>
      <c r="E2287" s="13">
        <v>44.479700593930517</v>
      </c>
      <c r="F2287" s="13">
        <v>30.47</v>
      </c>
      <c r="G2287" s="13"/>
      <c r="H2287" s="13">
        <v>76.319999999999993</v>
      </c>
      <c r="I2287" s="13">
        <v>69.11</v>
      </c>
      <c r="J2287" s="13"/>
      <c r="K2287" s="13"/>
    </row>
    <row r="2288" spans="1:11" x14ac:dyDescent="0.25">
      <c r="A2288" s="10">
        <v>43144</v>
      </c>
      <c r="B2288" s="15">
        <f t="shared" si="70"/>
        <v>2</v>
      </c>
      <c r="C2288" s="15">
        <f t="shared" si="71"/>
        <v>2018</v>
      </c>
      <c r="D2288" s="13">
        <v>11.69</v>
      </c>
      <c r="E2288" s="13">
        <v>44.267206477732792</v>
      </c>
      <c r="F2288" s="13">
        <v>30.47</v>
      </c>
      <c r="G2288" s="13"/>
      <c r="H2288" s="13">
        <v>76.319999999999993</v>
      </c>
      <c r="I2288" s="13">
        <v>69.11</v>
      </c>
      <c r="J2288" s="13"/>
      <c r="K2288" s="13"/>
    </row>
    <row r="2289" spans="1:11" x14ac:dyDescent="0.25">
      <c r="A2289" s="10">
        <v>43145</v>
      </c>
      <c r="B2289" s="15">
        <f t="shared" si="70"/>
        <v>2</v>
      </c>
      <c r="C2289" s="15">
        <f t="shared" si="71"/>
        <v>2018</v>
      </c>
      <c r="D2289" s="13">
        <v>11.69</v>
      </c>
      <c r="E2289" s="13">
        <v>43.918701799485866</v>
      </c>
      <c r="F2289" s="13">
        <v>30.47</v>
      </c>
      <c r="G2289" s="13"/>
      <c r="H2289" s="13">
        <v>76.319999999999993</v>
      </c>
      <c r="I2289" s="13">
        <v>69.11</v>
      </c>
      <c r="J2289" s="13"/>
      <c r="K2289" s="13"/>
    </row>
    <row r="2290" spans="1:11" x14ac:dyDescent="0.25">
      <c r="A2290" s="10">
        <v>43146</v>
      </c>
      <c r="B2290" s="15">
        <f t="shared" si="70"/>
        <v>2</v>
      </c>
      <c r="C2290" s="15">
        <f t="shared" si="71"/>
        <v>2018</v>
      </c>
      <c r="D2290" s="13">
        <v>11.69</v>
      </c>
      <c r="E2290" s="13">
        <v>43.718512594962021</v>
      </c>
      <c r="F2290" s="13">
        <v>30.47</v>
      </c>
      <c r="G2290" s="13"/>
      <c r="H2290" s="13">
        <v>76.319999999999993</v>
      </c>
      <c r="I2290" s="13">
        <v>69.11</v>
      </c>
      <c r="J2290" s="13"/>
      <c r="K2290" s="13"/>
    </row>
    <row r="2291" spans="1:11" x14ac:dyDescent="0.25">
      <c r="A2291" s="10">
        <v>43147</v>
      </c>
      <c r="B2291" s="15">
        <f t="shared" si="70"/>
        <v>2</v>
      </c>
      <c r="C2291" s="15">
        <f t="shared" si="71"/>
        <v>2018</v>
      </c>
      <c r="D2291" s="13">
        <v>11.69</v>
      </c>
      <c r="E2291" s="13">
        <v>44.074492099322804</v>
      </c>
      <c r="F2291" s="13">
        <v>30.47</v>
      </c>
      <c r="G2291" s="13"/>
      <c r="H2291" s="13">
        <v>76.319999999999993</v>
      </c>
      <c r="I2291" s="13">
        <v>69.11</v>
      </c>
      <c r="J2291" s="13"/>
      <c r="K2291" s="13"/>
    </row>
    <row r="2292" spans="1:11" x14ac:dyDescent="0.25">
      <c r="A2292" s="10">
        <v>43151</v>
      </c>
      <c r="B2292" s="15">
        <f t="shared" si="70"/>
        <v>2</v>
      </c>
      <c r="C2292" s="15">
        <f t="shared" si="71"/>
        <v>2018</v>
      </c>
      <c r="D2292" s="13">
        <v>16.05</v>
      </c>
      <c r="E2292" s="13">
        <v>36.162451361867703</v>
      </c>
      <c r="F2292" s="13">
        <v>32.119999999999997</v>
      </c>
      <c r="G2292" s="13"/>
      <c r="H2292" s="13">
        <v>75.89</v>
      </c>
      <c r="I2292" s="13">
        <v>65.510000000000005</v>
      </c>
      <c r="J2292" s="13"/>
      <c r="K2292" s="13"/>
    </row>
    <row r="2293" spans="1:11" x14ac:dyDescent="0.25">
      <c r="A2293" s="10">
        <v>43152</v>
      </c>
      <c r="B2293" s="15">
        <f t="shared" si="70"/>
        <v>2</v>
      </c>
      <c r="C2293" s="15">
        <f t="shared" si="71"/>
        <v>2018</v>
      </c>
      <c r="D2293" s="13">
        <v>16.05</v>
      </c>
      <c r="E2293" s="13">
        <v>36.321446018563755</v>
      </c>
      <c r="F2293" s="13">
        <v>32.119999999999997</v>
      </c>
      <c r="G2293" s="13"/>
      <c r="H2293" s="13">
        <v>75.89</v>
      </c>
      <c r="I2293" s="13">
        <v>65.510000000000005</v>
      </c>
      <c r="J2293" s="13"/>
      <c r="K2293" s="13"/>
    </row>
    <row r="2294" spans="1:11" x14ac:dyDescent="0.25">
      <c r="A2294" s="10">
        <v>43153</v>
      </c>
      <c r="B2294" s="15">
        <f t="shared" si="70"/>
        <v>2</v>
      </c>
      <c r="C2294" s="15">
        <f t="shared" si="71"/>
        <v>2018</v>
      </c>
      <c r="D2294" s="13">
        <v>16.05</v>
      </c>
      <c r="E2294" s="13">
        <v>36.182983210317133</v>
      </c>
      <c r="F2294" s="13">
        <v>32.119999999999997</v>
      </c>
      <c r="G2294" s="13"/>
      <c r="H2294" s="13">
        <v>75.89</v>
      </c>
      <c r="I2294" s="13">
        <v>65.510000000000005</v>
      </c>
      <c r="J2294" s="13"/>
      <c r="K2294" s="13"/>
    </row>
    <row r="2295" spans="1:11" x14ac:dyDescent="0.25">
      <c r="A2295" s="10">
        <v>43154</v>
      </c>
      <c r="B2295" s="15">
        <f t="shared" si="70"/>
        <v>2</v>
      </c>
      <c r="C2295" s="15">
        <f t="shared" si="71"/>
        <v>2018</v>
      </c>
      <c r="D2295" s="13">
        <v>16.05</v>
      </c>
      <c r="E2295" s="13">
        <v>36.288944928007808</v>
      </c>
      <c r="F2295" s="13">
        <v>32.119999999999997</v>
      </c>
      <c r="G2295" s="13"/>
      <c r="H2295" s="13">
        <v>75.89</v>
      </c>
      <c r="I2295" s="13">
        <v>65.510000000000005</v>
      </c>
      <c r="J2295" s="13"/>
      <c r="K2295" s="13"/>
    </row>
    <row r="2296" spans="1:11" x14ac:dyDescent="0.25">
      <c r="A2296" s="10">
        <v>43157</v>
      </c>
      <c r="B2296" s="15">
        <f t="shared" si="70"/>
        <v>2</v>
      </c>
      <c r="C2296" s="15">
        <f t="shared" si="71"/>
        <v>2018</v>
      </c>
      <c r="D2296" s="13">
        <v>28.92</v>
      </c>
      <c r="E2296" s="13">
        <v>37.17115946735953</v>
      </c>
      <c r="F2296" s="13">
        <v>43.39</v>
      </c>
      <c r="G2296" s="13"/>
      <c r="H2296" s="13">
        <v>82.99</v>
      </c>
      <c r="I2296" s="13">
        <v>70.959999999999994</v>
      </c>
      <c r="J2296" s="13"/>
      <c r="K2296" s="13"/>
    </row>
    <row r="2297" spans="1:11" x14ac:dyDescent="0.25">
      <c r="A2297" s="10">
        <v>43158</v>
      </c>
      <c r="B2297" s="15">
        <f t="shared" si="70"/>
        <v>2</v>
      </c>
      <c r="C2297" s="15">
        <f t="shared" si="71"/>
        <v>2018</v>
      </c>
      <c r="D2297" s="13">
        <v>28.92</v>
      </c>
      <c r="E2297" s="13">
        <v>37.429482462595047</v>
      </c>
      <c r="F2297" s="13">
        <v>43.39</v>
      </c>
      <c r="G2297" s="13"/>
      <c r="H2297" s="13">
        <v>82.99</v>
      </c>
      <c r="I2297" s="13">
        <v>70.959999999999994</v>
      </c>
      <c r="J2297" s="13"/>
      <c r="K2297" s="13"/>
    </row>
    <row r="2298" spans="1:11" x14ac:dyDescent="0.25">
      <c r="A2298" s="10">
        <v>43159</v>
      </c>
      <c r="B2298" s="15">
        <f t="shared" si="70"/>
        <v>2</v>
      </c>
      <c r="C2298" s="15">
        <f t="shared" si="71"/>
        <v>2018</v>
      </c>
      <c r="D2298" s="13">
        <v>28.92</v>
      </c>
      <c r="E2298" s="13">
        <v>37.546133027146723</v>
      </c>
      <c r="F2298" s="13">
        <v>43.39</v>
      </c>
      <c r="G2298" s="13"/>
      <c r="H2298" s="13">
        <v>82.99</v>
      </c>
      <c r="I2298" s="13">
        <v>70.959999999999994</v>
      </c>
      <c r="J2298" s="13"/>
      <c r="K2298" s="13"/>
    </row>
    <row r="2299" spans="1:11" x14ac:dyDescent="0.25">
      <c r="A2299" s="10">
        <v>43160</v>
      </c>
      <c r="B2299" s="15">
        <f t="shared" si="70"/>
        <v>3</v>
      </c>
      <c r="C2299" s="15">
        <f t="shared" si="71"/>
        <v>2018</v>
      </c>
      <c r="D2299" s="13">
        <v>28.92</v>
      </c>
      <c r="E2299" s="13">
        <v>37.319638053313774</v>
      </c>
      <c r="F2299" s="13">
        <v>43.39</v>
      </c>
      <c r="G2299" s="13"/>
      <c r="H2299" s="13">
        <v>82.99</v>
      </c>
      <c r="I2299" s="13">
        <v>70.959999999999994</v>
      </c>
      <c r="J2299" s="13"/>
      <c r="K2299" s="13"/>
    </row>
    <row r="2300" spans="1:11" x14ac:dyDescent="0.25">
      <c r="A2300" s="10">
        <v>43161</v>
      </c>
      <c r="B2300" s="15">
        <f t="shared" si="70"/>
        <v>3</v>
      </c>
      <c r="C2300" s="15">
        <f t="shared" si="71"/>
        <v>2018</v>
      </c>
      <c r="D2300" s="13">
        <v>28.92</v>
      </c>
      <c r="E2300" s="13">
        <v>37.168141592920357</v>
      </c>
      <c r="F2300" s="13">
        <v>43.39</v>
      </c>
      <c r="G2300" s="13"/>
      <c r="H2300" s="13">
        <v>82.99</v>
      </c>
      <c r="I2300" s="13">
        <v>70.959999999999994</v>
      </c>
      <c r="J2300" s="13"/>
      <c r="K2300" s="13"/>
    </row>
    <row r="2301" spans="1:11" x14ac:dyDescent="0.25">
      <c r="A2301" s="10">
        <v>43164</v>
      </c>
      <c r="B2301" s="15">
        <f t="shared" si="70"/>
        <v>3</v>
      </c>
      <c r="C2301" s="15">
        <f t="shared" si="71"/>
        <v>2018</v>
      </c>
      <c r="D2301" s="13">
        <v>20.07</v>
      </c>
      <c r="E2301" s="13">
        <v>21.880826915281716</v>
      </c>
      <c r="F2301" s="13">
        <v>23.54</v>
      </c>
      <c r="G2301" s="13"/>
      <c r="H2301" s="13">
        <v>67.95</v>
      </c>
      <c r="I2301" s="13">
        <v>28.1</v>
      </c>
      <c r="J2301" s="13"/>
      <c r="K2301" s="13"/>
    </row>
    <row r="2302" spans="1:11" x14ac:dyDescent="0.25">
      <c r="A2302" s="10">
        <v>43165</v>
      </c>
      <c r="B2302" s="15">
        <f t="shared" si="70"/>
        <v>3</v>
      </c>
      <c r="C2302" s="15">
        <f t="shared" si="71"/>
        <v>2018</v>
      </c>
      <c r="D2302" s="13">
        <v>20.07</v>
      </c>
      <c r="E2302" s="13">
        <v>21.762618932430254</v>
      </c>
      <c r="F2302" s="13">
        <v>23.54</v>
      </c>
      <c r="G2302" s="13"/>
      <c r="H2302" s="13">
        <v>67.95</v>
      </c>
      <c r="I2302" s="13">
        <v>28.1</v>
      </c>
      <c r="J2302" s="13"/>
      <c r="K2302" s="13"/>
    </row>
    <row r="2303" spans="1:11" x14ac:dyDescent="0.25">
      <c r="A2303" s="10">
        <v>43166</v>
      </c>
      <c r="B2303" s="15">
        <f t="shared" si="70"/>
        <v>3</v>
      </c>
      <c r="C2303" s="15">
        <f t="shared" si="71"/>
        <v>2018</v>
      </c>
      <c r="D2303" s="13">
        <v>20.07</v>
      </c>
      <c r="E2303" s="13">
        <v>21.745085401224618</v>
      </c>
      <c r="F2303" s="13">
        <v>23.54</v>
      </c>
      <c r="G2303" s="13"/>
      <c r="H2303" s="13">
        <v>67.95</v>
      </c>
      <c r="I2303" s="13">
        <v>28.1</v>
      </c>
      <c r="J2303" s="13"/>
      <c r="K2303" s="13"/>
    </row>
    <row r="2304" spans="1:11" x14ac:dyDescent="0.25">
      <c r="A2304" s="10">
        <v>43167</v>
      </c>
      <c r="B2304" s="15">
        <f t="shared" si="70"/>
        <v>3</v>
      </c>
      <c r="C2304" s="15">
        <f t="shared" si="71"/>
        <v>2018</v>
      </c>
      <c r="D2304" s="13">
        <v>20.07</v>
      </c>
      <c r="E2304" s="13">
        <v>21.925264012997559</v>
      </c>
      <c r="F2304" s="13">
        <v>23.54</v>
      </c>
      <c r="G2304" s="13"/>
      <c r="H2304" s="13">
        <v>67.95</v>
      </c>
      <c r="I2304" s="13">
        <v>28.1</v>
      </c>
      <c r="J2304" s="13"/>
      <c r="K2304" s="13"/>
    </row>
    <row r="2305" spans="1:11" x14ac:dyDescent="0.25">
      <c r="A2305" s="10">
        <v>43168</v>
      </c>
      <c r="B2305" s="15">
        <f t="shared" si="70"/>
        <v>3</v>
      </c>
      <c r="C2305" s="15">
        <f t="shared" si="71"/>
        <v>2018</v>
      </c>
      <c r="D2305" s="13">
        <v>20.07</v>
      </c>
      <c r="E2305" s="13">
        <v>21.934173100365705</v>
      </c>
      <c r="F2305" s="13">
        <v>23.54</v>
      </c>
      <c r="G2305" s="13"/>
      <c r="H2305" s="13">
        <v>67.95</v>
      </c>
      <c r="I2305" s="13">
        <v>28.1</v>
      </c>
      <c r="J2305" s="13"/>
      <c r="K2305" s="13"/>
    </row>
    <row r="2306" spans="1:11" x14ac:dyDescent="0.25">
      <c r="A2306" s="10">
        <v>43171</v>
      </c>
      <c r="B2306" s="15">
        <f t="shared" si="70"/>
        <v>3</v>
      </c>
      <c r="C2306" s="15">
        <f t="shared" si="71"/>
        <v>2018</v>
      </c>
      <c r="D2306" s="13">
        <v>16.84</v>
      </c>
      <c r="E2306" s="13">
        <v>21.075251378527405</v>
      </c>
      <c r="F2306" s="13">
        <v>16.100000000000001</v>
      </c>
      <c r="G2306" s="13"/>
      <c r="H2306" s="13">
        <v>66.290000000000006</v>
      </c>
      <c r="I2306" s="13">
        <v>54.95</v>
      </c>
      <c r="J2306" s="13"/>
      <c r="K2306" s="13"/>
    </row>
    <row r="2307" spans="1:11" x14ac:dyDescent="0.25">
      <c r="A2307" s="10">
        <v>43172</v>
      </c>
      <c r="B2307" s="15">
        <f t="shared" ref="B2307:B2370" si="72">MONTH(A2307)</f>
        <v>3</v>
      </c>
      <c r="C2307" s="15">
        <f t="shared" ref="C2307:C2370" si="73">YEAR(A2307)</f>
        <v>2018</v>
      </c>
      <c r="D2307" s="13">
        <v>16.84</v>
      </c>
      <c r="E2307" s="13">
        <v>20.978287190249414</v>
      </c>
      <c r="F2307" s="13">
        <v>16.100000000000001</v>
      </c>
      <c r="G2307" s="13"/>
      <c r="H2307" s="13">
        <v>66.290000000000006</v>
      </c>
      <c r="I2307" s="13">
        <v>54.95</v>
      </c>
      <c r="J2307" s="13"/>
      <c r="K2307" s="13"/>
    </row>
    <row r="2308" spans="1:11" x14ac:dyDescent="0.25">
      <c r="A2308" s="10">
        <v>43173</v>
      </c>
      <c r="B2308" s="15">
        <f t="shared" si="72"/>
        <v>3</v>
      </c>
      <c r="C2308" s="15">
        <f t="shared" si="73"/>
        <v>2018</v>
      </c>
      <c r="D2308" s="13">
        <v>16.84</v>
      </c>
      <c r="E2308" s="13">
        <v>21.019005256773148</v>
      </c>
      <c r="F2308" s="13">
        <v>16.100000000000001</v>
      </c>
      <c r="G2308" s="13"/>
      <c r="H2308" s="13">
        <v>66.290000000000006</v>
      </c>
      <c r="I2308" s="13">
        <v>54.95</v>
      </c>
      <c r="J2308" s="13"/>
      <c r="K2308" s="13"/>
    </row>
    <row r="2309" spans="1:11" x14ac:dyDescent="0.25">
      <c r="A2309" s="10">
        <v>43174</v>
      </c>
      <c r="B2309" s="15">
        <f t="shared" si="72"/>
        <v>3</v>
      </c>
      <c r="C2309" s="15">
        <f t="shared" si="73"/>
        <v>2018</v>
      </c>
      <c r="D2309" s="13">
        <v>16.84</v>
      </c>
      <c r="E2309" s="13">
        <v>21.123211963589078</v>
      </c>
      <c r="F2309" s="13">
        <v>16.100000000000001</v>
      </c>
      <c r="G2309" s="13"/>
      <c r="H2309" s="13">
        <v>66.290000000000006</v>
      </c>
      <c r="I2309" s="13">
        <v>54.95</v>
      </c>
      <c r="J2309" s="13"/>
      <c r="K2309" s="13"/>
    </row>
    <row r="2310" spans="1:11" x14ac:dyDescent="0.25">
      <c r="A2310" s="10">
        <v>43175</v>
      </c>
      <c r="B2310" s="15">
        <f t="shared" si="72"/>
        <v>3</v>
      </c>
      <c r="C2310" s="15">
        <f t="shared" si="73"/>
        <v>2018</v>
      </c>
      <c r="D2310" s="13">
        <v>16.84</v>
      </c>
      <c r="E2310" s="13">
        <v>21.15243753560674</v>
      </c>
      <c r="F2310" s="13">
        <v>16.100000000000001</v>
      </c>
      <c r="G2310" s="13"/>
      <c r="H2310" s="13">
        <v>66.290000000000006</v>
      </c>
      <c r="I2310" s="13">
        <v>54.95</v>
      </c>
      <c r="J2310" s="13"/>
      <c r="K2310" s="13"/>
    </row>
    <row r="2311" spans="1:11" x14ac:dyDescent="0.25">
      <c r="A2311" s="10">
        <v>43178</v>
      </c>
      <c r="B2311" s="15">
        <f t="shared" si="72"/>
        <v>3</v>
      </c>
      <c r="C2311" s="15">
        <f t="shared" si="73"/>
        <v>2018</v>
      </c>
      <c r="D2311" s="13">
        <v>26.88</v>
      </c>
      <c r="E2311" s="13">
        <v>34.184707694802555</v>
      </c>
      <c r="F2311" s="13">
        <v>22.2</v>
      </c>
      <c r="G2311" s="13"/>
      <c r="H2311" s="13">
        <v>70.17</v>
      </c>
      <c r="I2311" s="13">
        <v>43.06</v>
      </c>
      <c r="J2311" s="13"/>
      <c r="K2311" s="13"/>
    </row>
    <row r="2312" spans="1:11" x14ac:dyDescent="0.25">
      <c r="A2312" s="10">
        <v>43179</v>
      </c>
      <c r="B2312" s="15">
        <f t="shared" si="72"/>
        <v>3</v>
      </c>
      <c r="C2312" s="15">
        <f t="shared" si="73"/>
        <v>2018</v>
      </c>
      <c r="D2312" s="13">
        <v>26.88</v>
      </c>
      <c r="E2312" s="13">
        <v>34.444444444444443</v>
      </c>
      <c r="F2312" s="13">
        <v>22.2</v>
      </c>
      <c r="G2312" s="13"/>
      <c r="H2312" s="13">
        <v>70.17</v>
      </c>
      <c r="I2312" s="13">
        <v>43.06</v>
      </c>
      <c r="J2312" s="13"/>
      <c r="K2312" s="13"/>
    </row>
    <row r="2313" spans="1:11" x14ac:dyDescent="0.25">
      <c r="A2313" s="10">
        <v>43180</v>
      </c>
      <c r="B2313" s="15">
        <f t="shared" si="72"/>
        <v>3</v>
      </c>
      <c r="C2313" s="15">
        <f t="shared" si="73"/>
        <v>2018</v>
      </c>
      <c r="D2313" s="13">
        <v>26.88</v>
      </c>
      <c r="E2313" s="13">
        <v>34.17639429312581</v>
      </c>
      <c r="F2313" s="13">
        <v>22.2</v>
      </c>
      <c r="G2313" s="13"/>
      <c r="H2313" s="13">
        <v>70.17</v>
      </c>
      <c r="I2313" s="13">
        <v>43.06</v>
      </c>
      <c r="J2313" s="13"/>
      <c r="K2313" s="13"/>
    </row>
    <row r="2314" spans="1:11" x14ac:dyDescent="0.25">
      <c r="A2314" s="10">
        <v>43181</v>
      </c>
      <c r="B2314" s="15">
        <f t="shared" si="72"/>
        <v>3</v>
      </c>
      <c r="C2314" s="15">
        <f t="shared" si="73"/>
        <v>2018</v>
      </c>
      <c r="D2314" s="13">
        <v>26.88</v>
      </c>
      <c r="E2314" s="13">
        <v>34.27642276422764</v>
      </c>
      <c r="F2314" s="13">
        <v>22.2</v>
      </c>
      <c r="G2314" s="13"/>
      <c r="H2314" s="13">
        <v>70.17</v>
      </c>
      <c r="I2314" s="13">
        <v>43.06</v>
      </c>
      <c r="J2314" s="13"/>
      <c r="K2314" s="13"/>
    </row>
    <row r="2315" spans="1:11" x14ac:dyDescent="0.25">
      <c r="A2315" s="10">
        <v>43182</v>
      </c>
      <c r="B2315" s="15">
        <f t="shared" si="72"/>
        <v>3</v>
      </c>
      <c r="C2315" s="15">
        <f t="shared" si="73"/>
        <v>2018</v>
      </c>
      <c r="D2315" s="13">
        <v>26.88</v>
      </c>
      <c r="E2315" s="13">
        <v>34.134887863330903</v>
      </c>
      <c r="F2315" s="13">
        <v>22.2</v>
      </c>
      <c r="G2315" s="13"/>
      <c r="H2315" s="13">
        <v>70.17</v>
      </c>
      <c r="I2315" s="13">
        <v>43.06</v>
      </c>
      <c r="J2315" s="13"/>
      <c r="K2315" s="13"/>
    </row>
    <row r="2316" spans="1:11" x14ac:dyDescent="0.25">
      <c r="A2316" s="10">
        <v>43185</v>
      </c>
      <c r="B2316" s="15">
        <f t="shared" si="72"/>
        <v>3</v>
      </c>
      <c r="C2316" s="15">
        <f t="shared" si="73"/>
        <v>2018</v>
      </c>
      <c r="D2316" s="13">
        <v>36.380000000000003</v>
      </c>
      <c r="E2316" s="13">
        <v>32.518887638643307</v>
      </c>
      <c r="F2316" s="13">
        <v>45.01</v>
      </c>
      <c r="G2316" s="13"/>
      <c r="H2316" s="13">
        <v>89.16</v>
      </c>
      <c r="I2316" s="13">
        <v>62.3</v>
      </c>
      <c r="J2316" s="13"/>
      <c r="K2316" s="13"/>
    </row>
    <row r="2317" spans="1:11" x14ac:dyDescent="0.25">
      <c r="A2317" s="10">
        <v>43186</v>
      </c>
      <c r="B2317" s="15">
        <f t="shared" si="72"/>
        <v>3</v>
      </c>
      <c r="C2317" s="15">
        <f t="shared" si="73"/>
        <v>2018</v>
      </c>
      <c r="D2317" s="13">
        <v>36.380000000000003</v>
      </c>
      <c r="E2317" s="13">
        <v>32.626401096685754</v>
      </c>
      <c r="F2317" s="13">
        <v>45.01</v>
      </c>
      <c r="G2317" s="13"/>
      <c r="H2317" s="13">
        <v>89.16</v>
      </c>
      <c r="I2317" s="13">
        <v>62.3</v>
      </c>
      <c r="J2317" s="13"/>
      <c r="K2317" s="13"/>
    </row>
    <row r="2318" spans="1:11" x14ac:dyDescent="0.25">
      <c r="A2318" s="10">
        <v>43187</v>
      </c>
      <c r="B2318" s="15">
        <f t="shared" si="72"/>
        <v>3</v>
      </c>
      <c r="C2318" s="15">
        <f t="shared" si="73"/>
        <v>2018</v>
      </c>
      <c r="D2318" s="13">
        <v>36.380000000000003</v>
      </c>
      <c r="E2318" s="13">
        <v>32.875599252457953</v>
      </c>
      <c r="F2318" s="13">
        <v>45.01</v>
      </c>
      <c r="G2318" s="13"/>
      <c r="H2318" s="13">
        <v>89.16</v>
      </c>
      <c r="I2318" s="13">
        <v>62.3</v>
      </c>
      <c r="J2318" s="13"/>
      <c r="K2318" s="13"/>
    </row>
    <row r="2319" spans="1:11" x14ac:dyDescent="0.25">
      <c r="A2319" s="10">
        <v>43188</v>
      </c>
      <c r="B2319" s="15">
        <f t="shared" si="72"/>
        <v>3</v>
      </c>
      <c r="C2319" s="15">
        <f t="shared" si="73"/>
        <v>2018</v>
      </c>
      <c r="D2319" s="13">
        <v>36.380000000000003</v>
      </c>
      <c r="E2319" s="13">
        <v>32.891634826436878</v>
      </c>
      <c r="F2319" s="13">
        <v>45.01</v>
      </c>
      <c r="G2319" s="13"/>
      <c r="H2319" s="13">
        <v>89.16</v>
      </c>
      <c r="I2319" s="13">
        <v>62.3</v>
      </c>
      <c r="J2319" s="13"/>
      <c r="K2319" s="13"/>
    </row>
    <row r="2320" spans="1:11" x14ac:dyDescent="0.25">
      <c r="A2320" s="10">
        <v>43192</v>
      </c>
      <c r="B2320" s="15">
        <f t="shared" si="72"/>
        <v>4</v>
      </c>
      <c r="C2320" s="15">
        <f t="shared" si="73"/>
        <v>2018</v>
      </c>
      <c r="D2320" s="13">
        <v>47.64</v>
      </c>
      <c r="E2320" s="13">
        <v>4.975609756097561</v>
      </c>
      <c r="F2320" s="13">
        <v>34.119999999999997</v>
      </c>
      <c r="G2320" s="13"/>
      <c r="H2320" s="13">
        <v>92.82</v>
      </c>
      <c r="I2320" s="13">
        <v>75.81</v>
      </c>
      <c r="J2320" s="13"/>
      <c r="K2320" s="13"/>
    </row>
    <row r="2321" spans="1:11" x14ac:dyDescent="0.25">
      <c r="A2321" s="10">
        <v>43193</v>
      </c>
      <c r="B2321" s="15">
        <f t="shared" si="72"/>
        <v>4</v>
      </c>
      <c r="C2321" s="15">
        <f t="shared" si="73"/>
        <v>2018</v>
      </c>
      <c r="D2321" s="13">
        <v>47.64</v>
      </c>
      <c r="E2321" s="13">
        <v>4.988181595892085</v>
      </c>
      <c r="F2321" s="13">
        <v>34.119999999999997</v>
      </c>
      <c r="G2321" s="13"/>
      <c r="H2321" s="13">
        <v>92.82</v>
      </c>
      <c r="I2321" s="13">
        <v>75.81</v>
      </c>
      <c r="J2321" s="13"/>
      <c r="K2321" s="13"/>
    </row>
    <row r="2322" spans="1:11" x14ac:dyDescent="0.25">
      <c r="A2322" s="10">
        <v>43194</v>
      </c>
      <c r="B2322" s="15">
        <f t="shared" si="72"/>
        <v>4</v>
      </c>
      <c r="C2322" s="15">
        <f t="shared" si="73"/>
        <v>2018</v>
      </c>
      <c r="D2322" s="13">
        <v>47.64</v>
      </c>
      <c r="E2322" s="13">
        <v>4.9849311721104508</v>
      </c>
      <c r="F2322" s="13">
        <v>34.119999999999997</v>
      </c>
      <c r="G2322" s="13"/>
      <c r="H2322" s="13">
        <v>92.82</v>
      </c>
      <c r="I2322" s="13">
        <v>75.81</v>
      </c>
      <c r="J2322" s="13"/>
      <c r="K2322" s="13"/>
    </row>
    <row r="2323" spans="1:11" x14ac:dyDescent="0.25">
      <c r="A2323" s="10">
        <v>43195</v>
      </c>
      <c r="B2323" s="15">
        <f t="shared" si="72"/>
        <v>4</v>
      </c>
      <c r="C2323" s="15">
        <f t="shared" si="73"/>
        <v>2018</v>
      </c>
      <c r="D2323" s="13">
        <v>47.64</v>
      </c>
      <c r="E2323" s="13">
        <v>5.0008171269815334</v>
      </c>
      <c r="F2323" s="13">
        <v>34.119999999999997</v>
      </c>
      <c r="G2323" s="13"/>
      <c r="H2323" s="13">
        <v>92.82</v>
      </c>
      <c r="I2323" s="13">
        <v>75.81</v>
      </c>
      <c r="J2323" s="13"/>
      <c r="K2323" s="13"/>
    </row>
    <row r="2324" spans="1:11" x14ac:dyDescent="0.25">
      <c r="A2324" s="10">
        <v>43196</v>
      </c>
      <c r="B2324" s="15">
        <f t="shared" si="72"/>
        <v>4</v>
      </c>
      <c r="C2324" s="15">
        <f t="shared" si="73"/>
        <v>2018</v>
      </c>
      <c r="D2324" s="13">
        <v>47.64</v>
      </c>
      <c r="E2324" s="13">
        <v>4.9833075482452571</v>
      </c>
      <c r="F2324" s="13">
        <v>34.119999999999997</v>
      </c>
      <c r="G2324" s="13"/>
      <c r="H2324" s="13">
        <v>92.82</v>
      </c>
      <c r="I2324" s="13">
        <v>75.81</v>
      </c>
      <c r="J2324" s="13"/>
      <c r="K2324" s="13"/>
    </row>
    <row r="2325" spans="1:11" x14ac:dyDescent="0.25">
      <c r="A2325" s="10">
        <v>43199</v>
      </c>
      <c r="B2325" s="15">
        <f t="shared" si="72"/>
        <v>4</v>
      </c>
      <c r="C2325" s="15">
        <f t="shared" si="73"/>
        <v>2018</v>
      </c>
      <c r="D2325" s="13">
        <v>55.02</v>
      </c>
      <c r="E2325" s="13">
        <v>1.2501014692751036</v>
      </c>
      <c r="F2325" s="13">
        <v>36.01</v>
      </c>
      <c r="G2325" s="13"/>
      <c r="H2325" s="13">
        <v>102.62</v>
      </c>
      <c r="I2325" s="13">
        <v>86.76</v>
      </c>
      <c r="J2325" s="13"/>
      <c r="K2325" s="13"/>
    </row>
    <row r="2326" spans="1:11" x14ac:dyDescent="0.25">
      <c r="A2326" s="10">
        <v>43200</v>
      </c>
      <c r="B2326" s="15">
        <f t="shared" si="72"/>
        <v>4</v>
      </c>
      <c r="C2326" s="15">
        <f t="shared" si="73"/>
        <v>2018</v>
      </c>
      <c r="D2326" s="13">
        <v>55.02</v>
      </c>
      <c r="E2326" s="13">
        <v>1.2465598186822082</v>
      </c>
      <c r="F2326" s="13">
        <v>36.01</v>
      </c>
      <c r="G2326" s="13"/>
      <c r="H2326" s="13">
        <v>102.62</v>
      </c>
      <c r="I2326" s="13">
        <v>86.76</v>
      </c>
      <c r="J2326" s="13"/>
      <c r="K2326" s="13"/>
    </row>
    <row r="2327" spans="1:11" x14ac:dyDescent="0.25">
      <c r="A2327" s="10">
        <v>43201</v>
      </c>
      <c r="B2327" s="15">
        <f t="shared" si="72"/>
        <v>4</v>
      </c>
      <c r="C2327" s="15">
        <f t="shared" si="73"/>
        <v>2018</v>
      </c>
      <c r="D2327" s="13">
        <v>55.02</v>
      </c>
      <c r="E2327" s="13">
        <v>1.2454508693894057</v>
      </c>
      <c r="F2327" s="13">
        <v>36.01</v>
      </c>
      <c r="G2327" s="13"/>
      <c r="H2327" s="13">
        <v>102.62</v>
      </c>
      <c r="I2327" s="13">
        <v>86.76</v>
      </c>
      <c r="J2327" s="13"/>
      <c r="K2327" s="13"/>
    </row>
    <row r="2328" spans="1:11" x14ac:dyDescent="0.25">
      <c r="A2328" s="10">
        <v>43202</v>
      </c>
      <c r="B2328" s="15">
        <f t="shared" si="72"/>
        <v>4</v>
      </c>
      <c r="C2328" s="15">
        <f t="shared" si="73"/>
        <v>2018</v>
      </c>
      <c r="D2328" s="13">
        <v>55.02</v>
      </c>
      <c r="E2328" s="13">
        <v>1.2494929006085194</v>
      </c>
      <c r="F2328" s="13">
        <v>36.01</v>
      </c>
      <c r="G2328" s="13"/>
      <c r="H2328" s="13">
        <v>102.62</v>
      </c>
      <c r="I2328" s="13">
        <v>86.76</v>
      </c>
      <c r="J2328" s="13"/>
      <c r="K2328" s="13"/>
    </row>
    <row r="2329" spans="1:11" x14ac:dyDescent="0.25">
      <c r="A2329" s="10">
        <v>43203</v>
      </c>
      <c r="B2329" s="15">
        <f t="shared" si="72"/>
        <v>4</v>
      </c>
      <c r="C2329" s="15">
        <f t="shared" si="73"/>
        <v>2018</v>
      </c>
      <c r="D2329" s="13">
        <v>55.02</v>
      </c>
      <c r="E2329" s="13">
        <v>1.2490875172357854</v>
      </c>
      <c r="F2329" s="13">
        <v>36.01</v>
      </c>
      <c r="G2329" s="13"/>
      <c r="H2329" s="13">
        <v>102.62</v>
      </c>
      <c r="I2329" s="13">
        <v>86.76</v>
      </c>
      <c r="J2329" s="13"/>
      <c r="K2329" s="13"/>
    </row>
    <row r="2330" spans="1:11" x14ac:dyDescent="0.25">
      <c r="A2330" s="10">
        <v>43206</v>
      </c>
      <c r="B2330" s="15">
        <f t="shared" si="72"/>
        <v>4</v>
      </c>
      <c r="C2330" s="15">
        <f t="shared" si="73"/>
        <v>2018</v>
      </c>
      <c r="D2330" s="13">
        <v>48.16</v>
      </c>
      <c r="E2330" s="13">
        <v>8.0546130231055102</v>
      </c>
      <c r="F2330" s="13">
        <v>36.51</v>
      </c>
      <c r="G2330" s="13"/>
      <c r="H2330" s="13">
        <v>97.97</v>
      </c>
      <c r="I2330" s="13">
        <v>69.680000000000007</v>
      </c>
      <c r="J2330" s="13"/>
      <c r="K2330" s="13"/>
    </row>
    <row r="2331" spans="1:11" x14ac:dyDescent="0.25">
      <c r="A2331" s="10">
        <v>43207</v>
      </c>
      <c r="B2331" s="15">
        <f t="shared" si="72"/>
        <v>4</v>
      </c>
      <c r="C2331" s="15">
        <f t="shared" si="73"/>
        <v>2018</v>
      </c>
      <c r="D2331" s="13">
        <v>48.16</v>
      </c>
      <c r="E2331" s="13">
        <v>8.0598221503637824</v>
      </c>
      <c r="F2331" s="13">
        <v>36.51</v>
      </c>
      <c r="G2331" s="13"/>
      <c r="H2331" s="13">
        <v>97.97</v>
      </c>
      <c r="I2331" s="13">
        <v>69.680000000000007</v>
      </c>
      <c r="J2331" s="13"/>
      <c r="K2331" s="13"/>
    </row>
    <row r="2332" spans="1:11" x14ac:dyDescent="0.25">
      <c r="A2332" s="10">
        <v>43208</v>
      </c>
      <c r="B2332" s="15">
        <f t="shared" si="72"/>
        <v>4</v>
      </c>
      <c r="C2332" s="15">
        <f t="shared" si="73"/>
        <v>2018</v>
      </c>
      <c r="D2332" s="13">
        <v>48.16</v>
      </c>
      <c r="E2332" s="13">
        <v>8.0585192369867436</v>
      </c>
      <c r="F2332" s="13">
        <v>36.51</v>
      </c>
      <c r="G2332" s="13"/>
      <c r="H2332" s="13">
        <v>97.97</v>
      </c>
      <c r="I2332" s="13">
        <v>69.680000000000007</v>
      </c>
      <c r="J2332" s="13"/>
      <c r="K2332" s="13"/>
    </row>
    <row r="2333" spans="1:11" x14ac:dyDescent="0.25">
      <c r="A2333" s="10">
        <v>43209</v>
      </c>
      <c r="B2333" s="15">
        <f t="shared" si="72"/>
        <v>4</v>
      </c>
      <c r="C2333" s="15">
        <f t="shared" si="73"/>
        <v>2018</v>
      </c>
      <c r="D2333" s="13">
        <v>48.16</v>
      </c>
      <c r="E2333" s="13">
        <v>8.0767984445884657</v>
      </c>
      <c r="F2333" s="13">
        <v>36.51</v>
      </c>
      <c r="G2333" s="13"/>
      <c r="H2333" s="13">
        <v>97.97</v>
      </c>
      <c r="I2333" s="13">
        <v>69.680000000000007</v>
      </c>
      <c r="J2333" s="13"/>
      <c r="K2333" s="13"/>
    </row>
    <row r="2334" spans="1:11" x14ac:dyDescent="0.25">
      <c r="A2334" s="10">
        <v>43210</v>
      </c>
      <c r="B2334" s="15">
        <f t="shared" si="72"/>
        <v>4</v>
      </c>
      <c r="C2334" s="15">
        <f t="shared" si="73"/>
        <v>2018</v>
      </c>
      <c r="D2334" s="13">
        <v>48.16</v>
      </c>
      <c r="E2334" s="13">
        <v>8.1149275598241903</v>
      </c>
      <c r="F2334" s="13">
        <v>36.51</v>
      </c>
      <c r="G2334" s="13"/>
      <c r="H2334" s="13">
        <v>97.97</v>
      </c>
      <c r="I2334" s="13">
        <v>69.680000000000007</v>
      </c>
      <c r="J2334" s="13"/>
      <c r="K2334" s="13"/>
    </row>
    <row r="2335" spans="1:11" x14ac:dyDescent="0.25">
      <c r="A2335" s="10">
        <v>43213</v>
      </c>
      <c r="B2335" s="15">
        <f t="shared" si="72"/>
        <v>4</v>
      </c>
      <c r="C2335" s="15">
        <f t="shared" si="73"/>
        <v>2018</v>
      </c>
      <c r="D2335" s="13">
        <v>68.13</v>
      </c>
      <c r="E2335" s="13">
        <v>0.40140902760711072</v>
      </c>
      <c r="F2335" s="13">
        <v>55.79</v>
      </c>
      <c r="G2335" s="13"/>
      <c r="H2335" s="13">
        <v>113.23</v>
      </c>
      <c r="I2335" s="13">
        <v>103.6</v>
      </c>
      <c r="J2335" s="13"/>
      <c r="K2335" s="13"/>
    </row>
    <row r="2336" spans="1:11" x14ac:dyDescent="0.25">
      <c r="A2336" s="10">
        <v>43214</v>
      </c>
      <c r="B2336" s="15">
        <f t="shared" si="72"/>
        <v>4</v>
      </c>
      <c r="C2336" s="15">
        <f t="shared" si="73"/>
        <v>2018</v>
      </c>
      <c r="D2336" s="13">
        <v>68.13</v>
      </c>
      <c r="E2336" s="13">
        <v>0.40065412919051507</v>
      </c>
      <c r="F2336" s="13">
        <v>55.79</v>
      </c>
      <c r="G2336" s="13"/>
      <c r="H2336" s="13">
        <v>113.23</v>
      </c>
      <c r="I2336" s="13">
        <v>103.6</v>
      </c>
      <c r="J2336" s="13"/>
      <c r="K2336" s="13"/>
    </row>
    <row r="2337" spans="1:11" x14ac:dyDescent="0.25">
      <c r="A2337" s="10">
        <v>43215</v>
      </c>
      <c r="B2337" s="15">
        <f t="shared" si="72"/>
        <v>4</v>
      </c>
      <c r="C2337" s="15">
        <f t="shared" si="73"/>
        <v>2018</v>
      </c>
      <c r="D2337" s="13">
        <v>68.13</v>
      </c>
      <c r="E2337" s="13">
        <v>0.4029936672423719</v>
      </c>
      <c r="F2337" s="13">
        <v>55.79</v>
      </c>
      <c r="G2337" s="13"/>
      <c r="H2337" s="13">
        <v>113.23</v>
      </c>
      <c r="I2337" s="13">
        <v>103.6</v>
      </c>
      <c r="J2337" s="13"/>
      <c r="K2337" s="13"/>
    </row>
    <row r="2338" spans="1:11" x14ac:dyDescent="0.25">
      <c r="A2338" s="10">
        <v>43216</v>
      </c>
      <c r="B2338" s="15">
        <f t="shared" si="72"/>
        <v>4</v>
      </c>
      <c r="C2338" s="15">
        <f t="shared" si="73"/>
        <v>2018</v>
      </c>
      <c r="D2338" s="13">
        <v>68.13</v>
      </c>
      <c r="E2338" s="13">
        <v>0.40492521279233123</v>
      </c>
      <c r="F2338" s="13">
        <v>55.79</v>
      </c>
      <c r="G2338" s="13"/>
      <c r="H2338" s="13">
        <v>113.23</v>
      </c>
      <c r="I2338" s="13">
        <v>103.6</v>
      </c>
      <c r="J2338" s="13"/>
      <c r="K2338" s="13"/>
    </row>
    <row r="2339" spans="1:11" x14ac:dyDescent="0.25">
      <c r="A2339" s="10">
        <v>43217</v>
      </c>
      <c r="B2339" s="15">
        <f t="shared" si="72"/>
        <v>4</v>
      </c>
      <c r="C2339" s="15">
        <f t="shared" si="73"/>
        <v>2018</v>
      </c>
      <c r="D2339" s="13">
        <v>68.13</v>
      </c>
      <c r="E2339" s="13">
        <v>0.40402374670184693</v>
      </c>
      <c r="F2339" s="13">
        <v>55.79</v>
      </c>
      <c r="G2339" s="13"/>
      <c r="H2339" s="13">
        <v>113.23</v>
      </c>
      <c r="I2339" s="13">
        <v>103.6</v>
      </c>
      <c r="J2339" s="13"/>
      <c r="K2339" s="13"/>
    </row>
    <row r="2340" spans="1:11" x14ac:dyDescent="0.25">
      <c r="A2340" s="10">
        <v>43220</v>
      </c>
      <c r="B2340" s="15">
        <f t="shared" si="72"/>
        <v>4</v>
      </c>
      <c r="C2340" s="15">
        <f t="shared" si="73"/>
        <v>2018</v>
      </c>
      <c r="D2340" s="13">
        <v>55.58</v>
      </c>
      <c r="E2340" s="13">
        <v>-11.749606690403246</v>
      </c>
      <c r="F2340" s="13">
        <v>50.08</v>
      </c>
      <c r="G2340" s="13"/>
      <c r="H2340" s="13">
        <v>103.54</v>
      </c>
      <c r="I2340" s="13">
        <v>98.59</v>
      </c>
      <c r="J2340" s="13"/>
      <c r="K2340" s="13"/>
    </row>
    <row r="2341" spans="1:11" x14ac:dyDescent="0.25">
      <c r="A2341" s="10">
        <v>43221</v>
      </c>
      <c r="B2341" s="15">
        <f t="shared" si="72"/>
        <v>5</v>
      </c>
      <c r="C2341" s="15">
        <f t="shared" si="73"/>
        <v>2018</v>
      </c>
      <c r="D2341" s="13">
        <v>55.58</v>
      </c>
      <c r="E2341" s="13">
        <v>-11.831901942799966</v>
      </c>
      <c r="F2341" s="13">
        <v>50.08</v>
      </c>
      <c r="G2341" s="13"/>
      <c r="H2341" s="13">
        <v>103.54</v>
      </c>
      <c r="I2341" s="13">
        <v>98.59</v>
      </c>
      <c r="J2341" s="13"/>
      <c r="K2341" s="13"/>
    </row>
    <row r="2342" spans="1:11" x14ac:dyDescent="0.25">
      <c r="A2342" s="10">
        <v>43222</v>
      </c>
      <c r="B2342" s="15">
        <f t="shared" si="72"/>
        <v>5</v>
      </c>
      <c r="C2342" s="15">
        <f t="shared" si="73"/>
        <v>2018</v>
      </c>
      <c r="D2342" s="13">
        <v>55.58</v>
      </c>
      <c r="E2342" s="13">
        <v>-11.874476987447698</v>
      </c>
      <c r="F2342" s="13">
        <v>50.08</v>
      </c>
      <c r="G2342" s="13"/>
      <c r="H2342" s="13">
        <v>103.54</v>
      </c>
      <c r="I2342" s="13">
        <v>98.59</v>
      </c>
      <c r="J2342" s="13"/>
      <c r="K2342" s="13"/>
    </row>
    <row r="2343" spans="1:11" x14ac:dyDescent="0.25">
      <c r="A2343" s="10">
        <v>43223</v>
      </c>
      <c r="B2343" s="15">
        <f t="shared" si="72"/>
        <v>5</v>
      </c>
      <c r="C2343" s="15">
        <f t="shared" si="73"/>
        <v>2018</v>
      </c>
      <c r="D2343" s="13">
        <v>55.58</v>
      </c>
      <c r="E2343" s="13">
        <v>-11.837824309668806</v>
      </c>
      <c r="F2343" s="13">
        <v>50.08</v>
      </c>
      <c r="G2343" s="13"/>
      <c r="H2343" s="13">
        <v>103.54</v>
      </c>
      <c r="I2343" s="13">
        <v>98.59</v>
      </c>
      <c r="J2343" s="13"/>
      <c r="K2343" s="13"/>
    </row>
    <row r="2344" spans="1:11" x14ac:dyDescent="0.25">
      <c r="A2344" s="10">
        <v>43224</v>
      </c>
      <c r="B2344" s="15">
        <f t="shared" si="72"/>
        <v>5</v>
      </c>
      <c r="C2344" s="15">
        <f t="shared" si="73"/>
        <v>2018</v>
      </c>
      <c r="D2344" s="13">
        <v>55.58</v>
      </c>
      <c r="E2344" s="13">
        <v>-11.866532865027596</v>
      </c>
      <c r="F2344" s="13">
        <v>50.08</v>
      </c>
      <c r="G2344" s="13"/>
      <c r="H2344" s="13">
        <v>103.54</v>
      </c>
      <c r="I2344" s="13">
        <v>98.59</v>
      </c>
      <c r="J2344" s="13"/>
      <c r="K2344" s="13"/>
    </row>
    <row r="2345" spans="1:11" x14ac:dyDescent="0.25">
      <c r="A2345" s="10">
        <v>43227</v>
      </c>
      <c r="B2345" s="15">
        <f t="shared" si="72"/>
        <v>5</v>
      </c>
      <c r="C2345" s="15">
        <f t="shared" si="73"/>
        <v>2018</v>
      </c>
      <c r="D2345" s="13">
        <v>47.92</v>
      </c>
      <c r="E2345" s="13">
        <v>-11.694630872483222</v>
      </c>
      <c r="F2345" s="13">
        <v>40.14</v>
      </c>
      <c r="G2345" s="13"/>
      <c r="H2345" s="13">
        <v>93.93</v>
      </c>
      <c r="I2345" s="13">
        <v>84.93</v>
      </c>
      <c r="J2345" s="13"/>
      <c r="K2345" s="13"/>
    </row>
    <row r="2346" spans="1:11" x14ac:dyDescent="0.25">
      <c r="A2346" s="10">
        <v>43228</v>
      </c>
      <c r="B2346" s="15">
        <f t="shared" si="72"/>
        <v>5</v>
      </c>
      <c r="C2346" s="15">
        <f t="shared" si="73"/>
        <v>2018</v>
      </c>
      <c r="D2346" s="13">
        <v>47.92</v>
      </c>
      <c r="E2346" s="13">
        <v>-11.751812510537853</v>
      </c>
      <c r="F2346" s="13">
        <v>40.14</v>
      </c>
      <c r="G2346" s="13"/>
      <c r="H2346" s="13">
        <v>93.93</v>
      </c>
      <c r="I2346" s="13">
        <v>84.93</v>
      </c>
      <c r="J2346" s="13"/>
      <c r="K2346" s="13"/>
    </row>
    <row r="2347" spans="1:11" x14ac:dyDescent="0.25">
      <c r="A2347" s="10">
        <v>43229</v>
      </c>
      <c r="B2347" s="15">
        <f t="shared" si="72"/>
        <v>5</v>
      </c>
      <c r="C2347" s="15">
        <f t="shared" si="73"/>
        <v>2018</v>
      </c>
      <c r="D2347" s="13">
        <v>47.92</v>
      </c>
      <c r="E2347" s="13">
        <v>-11.763713080168776</v>
      </c>
      <c r="F2347" s="13">
        <v>40.14</v>
      </c>
      <c r="G2347" s="13"/>
      <c r="H2347" s="13">
        <v>93.93</v>
      </c>
      <c r="I2347" s="13">
        <v>84.93</v>
      </c>
      <c r="J2347" s="13"/>
      <c r="K2347" s="13"/>
    </row>
    <row r="2348" spans="1:11" x14ac:dyDescent="0.25">
      <c r="A2348" s="10">
        <v>43230</v>
      </c>
      <c r="B2348" s="15">
        <f t="shared" si="72"/>
        <v>5</v>
      </c>
      <c r="C2348" s="15">
        <f t="shared" si="73"/>
        <v>2018</v>
      </c>
      <c r="D2348" s="13">
        <v>47.92</v>
      </c>
      <c r="E2348" s="13">
        <v>-11.701502560228322</v>
      </c>
      <c r="F2348" s="13">
        <v>40.14</v>
      </c>
      <c r="G2348" s="13"/>
      <c r="H2348" s="13">
        <v>93.93</v>
      </c>
      <c r="I2348" s="13">
        <v>84.93</v>
      </c>
      <c r="J2348" s="13"/>
      <c r="K2348" s="13"/>
    </row>
    <row r="2349" spans="1:11" x14ac:dyDescent="0.25">
      <c r="A2349" s="10">
        <v>43231</v>
      </c>
      <c r="B2349" s="15">
        <f t="shared" si="72"/>
        <v>5</v>
      </c>
      <c r="C2349" s="15">
        <f t="shared" si="73"/>
        <v>2018</v>
      </c>
      <c r="D2349" s="13">
        <v>47.92</v>
      </c>
      <c r="E2349" s="13">
        <v>-11.673086585161615</v>
      </c>
      <c r="F2349" s="13">
        <v>40.14</v>
      </c>
      <c r="G2349" s="13"/>
      <c r="H2349" s="13">
        <v>93.93</v>
      </c>
      <c r="I2349" s="13">
        <v>84.93</v>
      </c>
      <c r="J2349" s="13"/>
      <c r="K2349" s="13"/>
    </row>
    <row r="2350" spans="1:11" x14ac:dyDescent="0.25">
      <c r="A2350" s="10">
        <v>43234</v>
      </c>
      <c r="B2350" s="15">
        <f t="shared" si="72"/>
        <v>5</v>
      </c>
      <c r="C2350" s="15">
        <f t="shared" si="73"/>
        <v>2018</v>
      </c>
      <c r="D2350" s="13">
        <v>57.06</v>
      </c>
      <c r="E2350" s="13">
        <v>-9.6771488469601685</v>
      </c>
      <c r="F2350" s="13">
        <v>52.86</v>
      </c>
      <c r="G2350" s="13"/>
      <c r="H2350" s="13">
        <v>107.14</v>
      </c>
      <c r="I2350" s="13">
        <v>72.19</v>
      </c>
      <c r="J2350" s="13"/>
      <c r="K2350" s="13"/>
    </row>
    <row r="2351" spans="1:11" x14ac:dyDescent="0.25">
      <c r="A2351" s="10">
        <v>43235</v>
      </c>
      <c r="B2351" s="15">
        <f t="shared" si="72"/>
        <v>5</v>
      </c>
      <c r="C2351" s="15">
        <f t="shared" si="73"/>
        <v>2018</v>
      </c>
      <c r="D2351" s="13">
        <v>57.06</v>
      </c>
      <c r="E2351" s="13">
        <v>-9.7490918307003458</v>
      </c>
      <c r="F2351" s="13">
        <v>52.86</v>
      </c>
      <c r="G2351" s="13"/>
      <c r="H2351" s="13">
        <v>107.14</v>
      </c>
      <c r="I2351" s="13">
        <v>72.19</v>
      </c>
      <c r="J2351" s="13"/>
      <c r="K2351" s="13"/>
    </row>
    <row r="2352" spans="1:11" x14ac:dyDescent="0.25">
      <c r="A2352" s="10">
        <v>43236</v>
      </c>
      <c r="B2352" s="15">
        <f t="shared" si="72"/>
        <v>5</v>
      </c>
      <c r="C2352" s="15">
        <f t="shared" si="73"/>
        <v>2018</v>
      </c>
      <c r="D2352" s="13">
        <v>57.06</v>
      </c>
      <c r="E2352" s="13">
        <v>-9.7738629626492752</v>
      </c>
      <c r="F2352" s="13">
        <v>52.86</v>
      </c>
      <c r="G2352" s="13"/>
      <c r="H2352" s="13">
        <v>107.14</v>
      </c>
      <c r="I2352" s="13">
        <v>72.19</v>
      </c>
      <c r="J2352" s="13"/>
      <c r="K2352" s="13"/>
    </row>
    <row r="2353" spans="1:11" x14ac:dyDescent="0.25">
      <c r="A2353" s="10">
        <v>43237</v>
      </c>
      <c r="B2353" s="15">
        <f t="shared" si="72"/>
        <v>5</v>
      </c>
      <c r="C2353" s="15">
        <f t="shared" si="73"/>
        <v>2018</v>
      </c>
      <c r="D2353" s="13">
        <v>57.06</v>
      </c>
      <c r="E2353" s="13">
        <v>-9.7854659543797151</v>
      </c>
      <c r="F2353" s="13">
        <v>52.86</v>
      </c>
      <c r="G2353" s="13"/>
      <c r="H2353" s="13">
        <v>107.14</v>
      </c>
      <c r="I2353" s="13">
        <v>72.19</v>
      </c>
      <c r="J2353" s="13"/>
      <c r="K2353" s="13"/>
    </row>
    <row r="2354" spans="1:11" x14ac:dyDescent="0.25">
      <c r="A2354" s="10">
        <v>43238</v>
      </c>
      <c r="B2354" s="15">
        <f t="shared" si="72"/>
        <v>5</v>
      </c>
      <c r="C2354" s="15">
        <f t="shared" si="73"/>
        <v>2018</v>
      </c>
      <c r="D2354" s="13">
        <v>57.06</v>
      </c>
      <c r="E2354" s="13">
        <v>-9.8004246284501058</v>
      </c>
      <c r="F2354" s="13">
        <v>52.86</v>
      </c>
      <c r="G2354" s="13"/>
      <c r="H2354" s="13">
        <v>107.14</v>
      </c>
      <c r="I2354" s="13">
        <v>72.19</v>
      </c>
      <c r="J2354" s="13"/>
      <c r="K2354" s="13"/>
    </row>
    <row r="2355" spans="1:11" x14ac:dyDescent="0.25">
      <c r="A2355" s="10">
        <v>43241</v>
      </c>
      <c r="B2355" s="15">
        <f t="shared" si="72"/>
        <v>5</v>
      </c>
      <c r="C2355" s="15">
        <f t="shared" si="73"/>
        <v>2018</v>
      </c>
      <c r="D2355" s="13">
        <v>48.9</v>
      </c>
      <c r="E2355" s="13">
        <v>-10.661577608142494</v>
      </c>
      <c r="F2355" s="13">
        <v>42.15</v>
      </c>
      <c r="G2355" s="13"/>
      <c r="H2355" s="13">
        <v>98.44</v>
      </c>
      <c r="I2355" s="13">
        <v>67.430000000000007</v>
      </c>
      <c r="J2355" s="13"/>
      <c r="K2355" s="13"/>
    </row>
    <row r="2356" spans="1:11" x14ac:dyDescent="0.25">
      <c r="A2356" s="10">
        <v>43242</v>
      </c>
      <c r="B2356" s="15">
        <f t="shared" si="72"/>
        <v>5</v>
      </c>
      <c r="C2356" s="15">
        <f t="shared" si="73"/>
        <v>2018</v>
      </c>
      <c r="D2356" s="13">
        <v>48.9</v>
      </c>
      <c r="E2356" s="13">
        <v>-10.672440142638818</v>
      </c>
      <c r="F2356" s="13">
        <v>42.15</v>
      </c>
      <c r="G2356" s="13"/>
      <c r="H2356" s="13">
        <v>98.44</v>
      </c>
      <c r="I2356" s="13">
        <v>67.430000000000007</v>
      </c>
      <c r="J2356" s="13"/>
      <c r="K2356" s="13"/>
    </row>
    <row r="2357" spans="1:11" x14ac:dyDescent="0.25">
      <c r="A2357" s="10">
        <v>43243</v>
      </c>
      <c r="B2357" s="15">
        <f t="shared" si="72"/>
        <v>5</v>
      </c>
      <c r="C2357" s="15">
        <f t="shared" si="73"/>
        <v>2018</v>
      </c>
      <c r="D2357" s="13">
        <v>48.9</v>
      </c>
      <c r="E2357" s="13">
        <v>-10.747264021887826</v>
      </c>
      <c r="F2357" s="13">
        <v>42.15</v>
      </c>
      <c r="G2357" s="13"/>
      <c r="H2357" s="13">
        <v>98.44</v>
      </c>
      <c r="I2357" s="13">
        <v>67.430000000000007</v>
      </c>
      <c r="J2357" s="13"/>
      <c r="K2357" s="13"/>
    </row>
    <row r="2358" spans="1:11" x14ac:dyDescent="0.25">
      <c r="A2358" s="10">
        <v>43244</v>
      </c>
      <c r="B2358" s="15">
        <f t="shared" si="72"/>
        <v>5</v>
      </c>
      <c r="C2358" s="15">
        <f t="shared" si="73"/>
        <v>2018</v>
      </c>
      <c r="D2358" s="13">
        <v>48.9</v>
      </c>
      <c r="E2358" s="13">
        <v>-10.726171175014933</v>
      </c>
      <c r="F2358" s="13">
        <v>42.15</v>
      </c>
      <c r="G2358" s="13"/>
      <c r="H2358" s="13">
        <v>98.44</v>
      </c>
      <c r="I2358" s="13">
        <v>67.430000000000007</v>
      </c>
      <c r="J2358" s="13"/>
      <c r="K2358" s="13"/>
    </row>
    <row r="2359" spans="1:11" x14ac:dyDescent="0.25">
      <c r="A2359" s="10">
        <v>43245</v>
      </c>
      <c r="B2359" s="15">
        <f t="shared" si="72"/>
        <v>5</v>
      </c>
      <c r="C2359" s="15">
        <f t="shared" si="73"/>
        <v>2018</v>
      </c>
      <c r="D2359" s="13">
        <v>48.9</v>
      </c>
      <c r="E2359" s="13">
        <v>-10.789699570815451</v>
      </c>
      <c r="F2359" s="13">
        <v>42.15</v>
      </c>
      <c r="G2359" s="13"/>
      <c r="H2359" s="13">
        <v>98.44</v>
      </c>
      <c r="I2359" s="13">
        <v>67.430000000000007</v>
      </c>
      <c r="J2359" s="13"/>
      <c r="K2359" s="13"/>
    </row>
    <row r="2360" spans="1:11" x14ac:dyDescent="0.25">
      <c r="A2360" s="10">
        <v>43249</v>
      </c>
      <c r="B2360" s="15">
        <f t="shared" si="72"/>
        <v>5</v>
      </c>
      <c r="C2360" s="15">
        <f t="shared" si="73"/>
        <v>2018</v>
      </c>
      <c r="D2360" s="13">
        <v>45.15</v>
      </c>
      <c r="E2360" s="13">
        <v>-15.46195181140579</v>
      </c>
      <c r="F2360" s="13">
        <v>44.22</v>
      </c>
      <c r="G2360" s="13"/>
      <c r="H2360" s="13">
        <v>97.16</v>
      </c>
      <c r="I2360" s="13">
        <v>90.69</v>
      </c>
      <c r="J2360" s="13"/>
      <c r="K2360" s="13"/>
    </row>
    <row r="2361" spans="1:11" x14ac:dyDescent="0.25">
      <c r="A2361" s="10">
        <v>43250</v>
      </c>
      <c r="B2361" s="15">
        <f t="shared" si="72"/>
        <v>5</v>
      </c>
      <c r="C2361" s="15">
        <f t="shared" si="73"/>
        <v>2018</v>
      </c>
      <c r="D2361" s="13">
        <v>45.15</v>
      </c>
      <c r="E2361" s="13">
        <v>-15.298859446016637</v>
      </c>
      <c r="F2361" s="13">
        <v>44.22</v>
      </c>
      <c r="G2361" s="13"/>
      <c r="H2361" s="13">
        <v>97.16</v>
      </c>
      <c r="I2361" s="13">
        <v>90.69</v>
      </c>
      <c r="J2361" s="13"/>
      <c r="K2361" s="13"/>
    </row>
    <row r="2362" spans="1:11" x14ac:dyDescent="0.25">
      <c r="A2362" s="10">
        <v>43251</v>
      </c>
      <c r="B2362" s="15">
        <f t="shared" si="72"/>
        <v>5</v>
      </c>
      <c r="C2362" s="15">
        <f t="shared" si="73"/>
        <v>2018</v>
      </c>
      <c r="D2362" s="13">
        <v>45.15</v>
      </c>
      <c r="E2362" s="13">
        <v>-15.260906757912744</v>
      </c>
      <c r="F2362" s="13">
        <v>44.22</v>
      </c>
      <c r="G2362" s="13"/>
      <c r="H2362" s="13">
        <v>97.16</v>
      </c>
      <c r="I2362" s="13">
        <v>90.69</v>
      </c>
      <c r="J2362" s="13"/>
      <c r="K2362" s="13"/>
    </row>
    <row r="2363" spans="1:11" x14ac:dyDescent="0.25">
      <c r="A2363" s="10">
        <v>43252</v>
      </c>
      <c r="B2363" s="15">
        <f t="shared" si="72"/>
        <v>6</v>
      </c>
      <c r="C2363" s="15">
        <f t="shared" si="73"/>
        <v>2018</v>
      </c>
      <c r="D2363" s="13">
        <v>45.15</v>
      </c>
      <c r="E2363" s="13">
        <v>-15.300171526586622</v>
      </c>
      <c r="F2363" s="13">
        <v>44.22</v>
      </c>
      <c r="G2363" s="13"/>
      <c r="H2363" s="13">
        <v>97.16</v>
      </c>
      <c r="I2363" s="13">
        <v>90.69</v>
      </c>
      <c r="J2363" s="13"/>
      <c r="K2363" s="13"/>
    </row>
    <row r="2364" spans="1:11" x14ac:dyDescent="0.25">
      <c r="A2364" s="10">
        <v>43255</v>
      </c>
      <c r="B2364" s="15">
        <f t="shared" si="72"/>
        <v>6</v>
      </c>
      <c r="C2364" s="15">
        <f t="shared" si="73"/>
        <v>2018</v>
      </c>
      <c r="D2364" s="13">
        <v>49.93</v>
      </c>
      <c r="E2364" s="13">
        <v>-10.258163788681827</v>
      </c>
      <c r="F2364" s="13">
        <v>45.04</v>
      </c>
      <c r="G2364" s="13"/>
      <c r="H2364" s="13">
        <v>100.32</v>
      </c>
      <c r="I2364" s="13">
        <v>97.17</v>
      </c>
      <c r="J2364" s="13"/>
      <c r="K2364" s="13"/>
    </row>
    <row r="2365" spans="1:11" x14ac:dyDescent="0.25">
      <c r="A2365" s="10">
        <v>43256</v>
      </c>
      <c r="B2365" s="15">
        <f t="shared" si="72"/>
        <v>6</v>
      </c>
      <c r="C2365" s="15">
        <f t="shared" si="73"/>
        <v>2018</v>
      </c>
      <c r="D2365" s="13">
        <v>49.93</v>
      </c>
      <c r="E2365" s="13">
        <v>-10.241529401723991</v>
      </c>
      <c r="F2365" s="13">
        <v>45.04</v>
      </c>
      <c r="G2365" s="13"/>
      <c r="H2365" s="13">
        <v>100.32</v>
      </c>
      <c r="I2365" s="13">
        <v>97.17</v>
      </c>
      <c r="J2365" s="13"/>
      <c r="K2365" s="13"/>
    </row>
    <row r="2366" spans="1:11" x14ac:dyDescent="0.25">
      <c r="A2366" s="10">
        <v>43257</v>
      </c>
      <c r="B2366" s="15">
        <f t="shared" si="72"/>
        <v>6</v>
      </c>
      <c r="C2366" s="15">
        <f t="shared" si="73"/>
        <v>2018</v>
      </c>
      <c r="D2366" s="13">
        <v>49.93</v>
      </c>
      <c r="E2366" s="13">
        <v>-10.192814066083411</v>
      </c>
      <c r="F2366" s="13">
        <v>45.04</v>
      </c>
      <c r="G2366" s="13"/>
      <c r="H2366" s="13">
        <v>100.32</v>
      </c>
      <c r="I2366" s="13">
        <v>97.17</v>
      </c>
      <c r="J2366" s="13"/>
      <c r="K2366" s="13"/>
    </row>
    <row r="2367" spans="1:11" x14ac:dyDescent="0.25">
      <c r="A2367" s="10">
        <v>43258</v>
      </c>
      <c r="B2367" s="15">
        <f t="shared" si="72"/>
        <v>6</v>
      </c>
      <c r="C2367" s="15">
        <f t="shared" si="73"/>
        <v>2018</v>
      </c>
      <c r="D2367" s="13">
        <v>49.93</v>
      </c>
      <c r="E2367" s="13">
        <v>-10.172077646859371</v>
      </c>
      <c r="F2367" s="13">
        <v>45.04</v>
      </c>
      <c r="G2367" s="13"/>
      <c r="H2367" s="13">
        <v>100.32</v>
      </c>
      <c r="I2367" s="13">
        <v>97.17</v>
      </c>
      <c r="J2367" s="13"/>
      <c r="K2367" s="13"/>
    </row>
    <row r="2368" spans="1:11" x14ac:dyDescent="0.25">
      <c r="A2368" s="10">
        <v>43259</v>
      </c>
      <c r="B2368" s="15">
        <f t="shared" si="72"/>
        <v>6</v>
      </c>
      <c r="C2368" s="15">
        <f t="shared" si="73"/>
        <v>2018</v>
      </c>
      <c r="D2368" s="13">
        <v>49.93</v>
      </c>
      <c r="E2368" s="13">
        <v>-10.198878123406425</v>
      </c>
      <c r="F2368" s="13">
        <v>45.04</v>
      </c>
      <c r="G2368" s="13"/>
      <c r="H2368" s="13">
        <v>100.32</v>
      </c>
      <c r="I2368" s="13">
        <v>97.17</v>
      </c>
      <c r="J2368" s="13"/>
      <c r="K2368" s="13"/>
    </row>
    <row r="2369" spans="1:11" x14ac:dyDescent="0.25">
      <c r="A2369" s="10">
        <v>43262</v>
      </c>
      <c r="B2369" s="15">
        <f t="shared" si="72"/>
        <v>6</v>
      </c>
      <c r="C2369" s="15">
        <f t="shared" si="73"/>
        <v>2018</v>
      </c>
      <c r="D2369" s="13">
        <v>53.83</v>
      </c>
      <c r="E2369" s="13">
        <v>-7.7151587166864717</v>
      </c>
      <c r="F2369" s="13">
        <v>47.76</v>
      </c>
      <c r="G2369" s="13"/>
      <c r="H2369" s="13">
        <v>99.6</v>
      </c>
      <c r="I2369" s="13">
        <v>99.79</v>
      </c>
      <c r="J2369" s="13"/>
      <c r="K2369" s="13"/>
    </row>
    <row r="2370" spans="1:11" x14ac:dyDescent="0.25">
      <c r="A2370" s="10">
        <v>43263</v>
      </c>
      <c r="B2370" s="15">
        <f t="shared" si="72"/>
        <v>6</v>
      </c>
      <c r="C2370" s="15">
        <f t="shared" si="73"/>
        <v>2018</v>
      </c>
      <c r="D2370" s="13">
        <v>53.83</v>
      </c>
      <c r="E2370" s="13">
        <v>-7.7407817423145708</v>
      </c>
      <c r="F2370" s="13">
        <v>47.76</v>
      </c>
      <c r="G2370" s="13"/>
      <c r="H2370" s="13">
        <v>99.6</v>
      </c>
      <c r="I2370" s="13">
        <v>99.79</v>
      </c>
      <c r="J2370" s="13"/>
      <c r="K2370" s="13"/>
    </row>
    <row r="2371" spans="1:11" x14ac:dyDescent="0.25">
      <c r="A2371" s="10">
        <v>43264</v>
      </c>
      <c r="B2371" s="15">
        <f t="shared" ref="B2371:B2434" si="74">MONTH(A2371)</f>
        <v>6</v>
      </c>
      <c r="C2371" s="15">
        <f t="shared" ref="C2371:C2434" si="75">YEAR(A2371)</f>
        <v>2018</v>
      </c>
      <c r="D2371" s="13">
        <v>53.83</v>
      </c>
      <c r="E2371" s="13">
        <v>-7.7105776571380096</v>
      </c>
      <c r="F2371" s="13">
        <v>47.76</v>
      </c>
      <c r="G2371" s="13"/>
      <c r="H2371" s="13">
        <v>99.6</v>
      </c>
      <c r="I2371" s="13">
        <v>99.79</v>
      </c>
      <c r="J2371" s="13"/>
      <c r="K2371" s="13"/>
    </row>
    <row r="2372" spans="1:11" x14ac:dyDescent="0.25">
      <c r="A2372" s="10">
        <v>43265</v>
      </c>
      <c r="B2372" s="15">
        <f t="shared" si="74"/>
        <v>6</v>
      </c>
      <c r="C2372" s="15">
        <f t="shared" si="75"/>
        <v>2018</v>
      </c>
      <c r="D2372" s="13">
        <v>53.83</v>
      </c>
      <c r="E2372" s="13">
        <v>-7.8585631537996017</v>
      </c>
      <c r="F2372" s="13">
        <v>47.76</v>
      </c>
      <c r="G2372" s="13"/>
      <c r="H2372" s="13">
        <v>99.6</v>
      </c>
      <c r="I2372" s="13">
        <v>99.79</v>
      </c>
      <c r="J2372" s="13"/>
      <c r="K2372" s="13"/>
    </row>
    <row r="2373" spans="1:11" x14ac:dyDescent="0.25">
      <c r="A2373" s="10">
        <v>43266</v>
      </c>
      <c r="B2373" s="15">
        <f t="shared" si="74"/>
        <v>6</v>
      </c>
      <c r="C2373" s="15">
        <f t="shared" si="75"/>
        <v>2018</v>
      </c>
      <c r="D2373" s="13">
        <v>53.83</v>
      </c>
      <c r="E2373" s="13">
        <v>-7.8314810028431117</v>
      </c>
      <c r="F2373" s="13">
        <v>47.76</v>
      </c>
      <c r="G2373" s="13"/>
      <c r="H2373" s="13">
        <v>99.6</v>
      </c>
      <c r="I2373" s="13">
        <v>99.79</v>
      </c>
      <c r="J2373" s="13"/>
      <c r="K2373" s="13"/>
    </row>
    <row r="2374" spans="1:11" x14ac:dyDescent="0.25">
      <c r="A2374" s="10">
        <v>43269</v>
      </c>
      <c r="B2374" s="15">
        <f t="shared" si="74"/>
        <v>6</v>
      </c>
      <c r="C2374" s="15">
        <f t="shared" si="75"/>
        <v>2018</v>
      </c>
      <c r="D2374" s="13">
        <v>59.99</v>
      </c>
      <c r="E2374" s="13">
        <v>-2.7017725004302191</v>
      </c>
      <c r="F2374" s="13">
        <v>47.13</v>
      </c>
      <c r="G2374" s="13"/>
      <c r="H2374" s="13">
        <v>99.06</v>
      </c>
      <c r="I2374" s="13">
        <v>106.78</v>
      </c>
      <c r="J2374" s="13"/>
      <c r="K2374" s="13"/>
    </row>
    <row r="2375" spans="1:11" x14ac:dyDescent="0.25">
      <c r="A2375" s="10">
        <v>43270</v>
      </c>
      <c r="B2375" s="15">
        <f t="shared" si="74"/>
        <v>6</v>
      </c>
      <c r="C2375" s="15">
        <f t="shared" si="75"/>
        <v>2018</v>
      </c>
      <c r="D2375" s="13">
        <v>59.99</v>
      </c>
      <c r="E2375" s="13">
        <v>-2.7096996893337937</v>
      </c>
      <c r="F2375" s="13">
        <v>47.13</v>
      </c>
      <c r="G2375" s="13"/>
      <c r="H2375" s="13">
        <v>99.06</v>
      </c>
      <c r="I2375" s="13">
        <v>106.78</v>
      </c>
      <c r="J2375" s="13"/>
      <c r="K2375" s="13"/>
    </row>
    <row r="2376" spans="1:11" x14ac:dyDescent="0.25">
      <c r="A2376" s="10">
        <v>43271</v>
      </c>
      <c r="B2376" s="15">
        <f t="shared" si="74"/>
        <v>6</v>
      </c>
      <c r="C2376" s="15">
        <f t="shared" si="75"/>
        <v>2018</v>
      </c>
      <c r="D2376" s="13">
        <v>59.99</v>
      </c>
      <c r="E2376" s="13">
        <v>-2.7139152981849612</v>
      </c>
      <c r="F2376" s="13">
        <v>47.13</v>
      </c>
      <c r="G2376" s="13"/>
      <c r="H2376" s="13">
        <v>99.06</v>
      </c>
      <c r="I2376" s="13">
        <v>106.78</v>
      </c>
      <c r="J2376" s="13"/>
      <c r="K2376" s="13"/>
    </row>
    <row r="2377" spans="1:11" x14ac:dyDescent="0.25">
      <c r="A2377" s="10">
        <v>43272</v>
      </c>
      <c r="B2377" s="15">
        <f t="shared" si="74"/>
        <v>6</v>
      </c>
      <c r="C2377" s="15">
        <f t="shared" si="75"/>
        <v>2018</v>
      </c>
      <c r="D2377" s="13">
        <v>59.99</v>
      </c>
      <c r="E2377" s="13">
        <v>-2.7066632186880444</v>
      </c>
      <c r="F2377" s="13">
        <v>47.13</v>
      </c>
      <c r="G2377" s="13"/>
      <c r="H2377" s="13">
        <v>99.06</v>
      </c>
      <c r="I2377" s="13">
        <v>106.78</v>
      </c>
      <c r="J2377" s="13"/>
      <c r="K2377" s="13"/>
    </row>
    <row r="2378" spans="1:11" x14ac:dyDescent="0.25">
      <c r="A2378" s="10">
        <v>43273</v>
      </c>
      <c r="B2378" s="15">
        <f t="shared" si="74"/>
        <v>6</v>
      </c>
      <c r="C2378" s="15">
        <f t="shared" si="75"/>
        <v>2018</v>
      </c>
      <c r="D2378" s="13">
        <v>59.99</v>
      </c>
      <c r="E2378" s="13">
        <v>-2.6941226941226941</v>
      </c>
      <c r="F2378" s="13">
        <v>47.13</v>
      </c>
      <c r="G2378" s="13"/>
      <c r="H2378" s="13">
        <v>99.06</v>
      </c>
      <c r="I2378" s="13">
        <v>106.78</v>
      </c>
      <c r="J2378" s="13"/>
      <c r="K2378" s="13"/>
    </row>
    <row r="2379" spans="1:11" x14ac:dyDescent="0.25">
      <c r="A2379" s="10">
        <v>43276</v>
      </c>
      <c r="B2379" s="15">
        <f t="shared" si="74"/>
        <v>6</v>
      </c>
      <c r="C2379" s="15">
        <f t="shared" si="75"/>
        <v>2018</v>
      </c>
      <c r="D2379" s="13">
        <v>60.4</v>
      </c>
      <c r="E2379" s="13">
        <v>-3.8454964963254148</v>
      </c>
      <c r="F2379" s="13">
        <v>44.42</v>
      </c>
      <c r="G2379" s="13"/>
      <c r="H2379" s="13">
        <v>96.92</v>
      </c>
      <c r="I2379" s="13">
        <v>105.49</v>
      </c>
      <c r="J2379" s="13"/>
      <c r="K2379" s="13"/>
    </row>
    <row r="2380" spans="1:11" x14ac:dyDescent="0.25">
      <c r="A2380" s="10">
        <v>43277</v>
      </c>
      <c r="B2380" s="15">
        <f t="shared" si="74"/>
        <v>6</v>
      </c>
      <c r="C2380" s="15">
        <f t="shared" si="75"/>
        <v>2018</v>
      </c>
      <c r="D2380" s="13">
        <v>60.4</v>
      </c>
      <c r="E2380" s="13">
        <v>-3.8643194504078999</v>
      </c>
      <c r="F2380" s="13">
        <v>44.42</v>
      </c>
      <c r="G2380" s="13"/>
      <c r="H2380" s="13">
        <v>96.92</v>
      </c>
      <c r="I2380" s="13">
        <v>105.49</v>
      </c>
      <c r="J2380" s="13"/>
      <c r="K2380" s="13"/>
    </row>
    <row r="2381" spans="1:11" x14ac:dyDescent="0.25">
      <c r="A2381" s="10">
        <v>43278</v>
      </c>
      <c r="B2381" s="15">
        <f t="shared" si="74"/>
        <v>6</v>
      </c>
      <c r="C2381" s="15">
        <f t="shared" si="75"/>
        <v>2018</v>
      </c>
      <c r="D2381" s="13">
        <v>60.4</v>
      </c>
      <c r="E2381" s="13">
        <v>-3.8954293628808863</v>
      </c>
      <c r="F2381" s="13">
        <v>44.42</v>
      </c>
      <c r="G2381" s="13"/>
      <c r="H2381" s="13">
        <v>96.92</v>
      </c>
      <c r="I2381" s="13">
        <v>105.49</v>
      </c>
      <c r="J2381" s="13"/>
      <c r="K2381" s="13"/>
    </row>
    <row r="2382" spans="1:11" x14ac:dyDescent="0.25">
      <c r="A2382" s="10">
        <v>43279</v>
      </c>
      <c r="B2382" s="15">
        <f t="shared" si="74"/>
        <v>6</v>
      </c>
      <c r="C2382" s="15">
        <f t="shared" si="75"/>
        <v>2018</v>
      </c>
      <c r="D2382" s="13">
        <v>60.4</v>
      </c>
      <c r="E2382" s="13">
        <v>-3.890377798910694</v>
      </c>
      <c r="F2382" s="13">
        <v>44.42</v>
      </c>
      <c r="G2382" s="13"/>
      <c r="H2382" s="13">
        <v>96.92</v>
      </c>
      <c r="I2382" s="13">
        <v>105.49</v>
      </c>
      <c r="J2382" s="13"/>
      <c r="K2382" s="13"/>
    </row>
    <row r="2383" spans="1:11" x14ac:dyDescent="0.25">
      <c r="A2383" s="10">
        <v>43280</v>
      </c>
      <c r="B2383" s="15">
        <f t="shared" si="74"/>
        <v>6</v>
      </c>
      <c r="C2383" s="15">
        <f t="shared" si="75"/>
        <v>2018</v>
      </c>
      <c r="D2383" s="13">
        <v>60.4</v>
      </c>
      <c r="E2383" s="13">
        <v>-3.8517504065736543</v>
      </c>
      <c r="F2383" s="13">
        <v>44.42</v>
      </c>
      <c r="G2383" s="13"/>
      <c r="H2383" s="13">
        <v>96.92</v>
      </c>
      <c r="I2383" s="13">
        <v>105.49</v>
      </c>
      <c r="J2383" s="13"/>
      <c r="K2383" s="13"/>
    </row>
    <row r="2384" spans="1:11" x14ac:dyDescent="0.25">
      <c r="A2384" s="10">
        <v>43283</v>
      </c>
      <c r="B2384" s="15">
        <f t="shared" si="74"/>
        <v>7</v>
      </c>
      <c r="C2384" s="15">
        <f t="shared" si="75"/>
        <v>2018</v>
      </c>
      <c r="D2384" s="13">
        <v>65.790000000000006</v>
      </c>
      <c r="E2384" s="13">
        <v>2.8954377523842258</v>
      </c>
      <c r="F2384" s="13">
        <v>45.06</v>
      </c>
      <c r="G2384" s="13"/>
      <c r="H2384" s="13">
        <v>102.06</v>
      </c>
      <c r="I2384" s="13">
        <v>113.35</v>
      </c>
      <c r="J2384" s="13"/>
      <c r="K2384" s="13"/>
    </row>
    <row r="2385" spans="1:11" x14ac:dyDescent="0.25">
      <c r="A2385" s="10">
        <v>43284</v>
      </c>
      <c r="B2385" s="15">
        <f t="shared" si="74"/>
        <v>7</v>
      </c>
      <c r="C2385" s="15">
        <f t="shared" si="75"/>
        <v>2018</v>
      </c>
      <c r="D2385" s="13">
        <v>65.790000000000006</v>
      </c>
      <c r="E2385" s="13">
        <v>2.8914628914628917</v>
      </c>
      <c r="F2385" s="13">
        <v>45.06</v>
      </c>
      <c r="G2385" s="13"/>
      <c r="H2385" s="13">
        <v>102.06</v>
      </c>
      <c r="I2385" s="13">
        <v>113.35</v>
      </c>
      <c r="J2385" s="13"/>
      <c r="K2385" s="13"/>
    </row>
    <row r="2386" spans="1:11" x14ac:dyDescent="0.25">
      <c r="A2386" s="10">
        <v>43286</v>
      </c>
      <c r="B2386" s="15">
        <f t="shared" si="74"/>
        <v>7</v>
      </c>
      <c r="C2386" s="15">
        <f t="shared" si="75"/>
        <v>2018</v>
      </c>
      <c r="D2386" s="13">
        <v>65.790000000000006</v>
      </c>
      <c r="E2386" s="13">
        <v>2.8830524424672768</v>
      </c>
      <c r="F2386" s="13">
        <v>45.06</v>
      </c>
      <c r="G2386" s="13"/>
      <c r="H2386" s="13">
        <v>102.06</v>
      </c>
      <c r="I2386" s="13">
        <v>113.35</v>
      </c>
      <c r="J2386" s="13"/>
      <c r="K2386" s="13"/>
    </row>
    <row r="2387" spans="1:11" x14ac:dyDescent="0.25">
      <c r="A2387" s="10">
        <v>43287</v>
      </c>
      <c r="B2387" s="15">
        <f t="shared" si="74"/>
        <v>7</v>
      </c>
      <c r="C2387" s="15">
        <f t="shared" si="75"/>
        <v>2018</v>
      </c>
      <c r="D2387" s="13">
        <v>65.790000000000006</v>
      </c>
      <c r="E2387" s="13">
        <v>2.8693060876968923</v>
      </c>
      <c r="F2387" s="13">
        <v>45.06</v>
      </c>
      <c r="G2387" s="13"/>
      <c r="H2387" s="13">
        <v>102.06</v>
      </c>
      <c r="I2387" s="13">
        <v>113.35</v>
      </c>
      <c r="J2387" s="13"/>
      <c r="K2387" s="13"/>
    </row>
    <row r="2388" spans="1:11" x14ac:dyDescent="0.25">
      <c r="A2388" s="10">
        <v>43290</v>
      </c>
      <c r="B2388" s="15">
        <f t="shared" si="74"/>
        <v>7</v>
      </c>
      <c r="C2388" s="15">
        <f t="shared" si="75"/>
        <v>2018</v>
      </c>
      <c r="D2388" s="13">
        <v>56.8</v>
      </c>
      <c r="E2388" s="13">
        <v>3.9662950038301132</v>
      </c>
      <c r="F2388" s="13">
        <v>41.95</v>
      </c>
      <c r="G2388" s="13"/>
      <c r="H2388" s="13">
        <v>93.79</v>
      </c>
      <c r="I2388" s="13">
        <v>83.72</v>
      </c>
      <c r="J2388" s="13"/>
      <c r="K2388" s="13"/>
    </row>
    <row r="2389" spans="1:11" x14ac:dyDescent="0.25">
      <c r="A2389" s="10">
        <v>43291</v>
      </c>
      <c r="B2389" s="15">
        <f t="shared" si="74"/>
        <v>7</v>
      </c>
      <c r="C2389" s="15">
        <f t="shared" si="75"/>
        <v>2018</v>
      </c>
      <c r="D2389" s="13">
        <v>56.8</v>
      </c>
      <c r="E2389" s="13">
        <v>3.9686595128598197</v>
      </c>
      <c r="F2389" s="13">
        <v>41.95</v>
      </c>
      <c r="G2389" s="13"/>
      <c r="H2389" s="13">
        <v>93.79</v>
      </c>
      <c r="I2389" s="13">
        <v>83.72</v>
      </c>
      <c r="J2389" s="13"/>
      <c r="K2389" s="13"/>
    </row>
    <row r="2390" spans="1:11" x14ac:dyDescent="0.25">
      <c r="A2390" s="10">
        <v>43292</v>
      </c>
      <c r="B2390" s="15">
        <f t="shared" si="74"/>
        <v>7</v>
      </c>
      <c r="C2390" s="15">
        <f t="shared" si="75"/>
        <v>2018</v>
      </c>
      <c r="D2390" s="13">
        <v>56.8</v>
      </c>
      <c r="E2390" s="13">
        <v>3.9924605894448253</v>
      </c>
      <c r="F2390" s="13">
        <v>41.95</v>
      </c>
      <c r="G2390" s="13"/>
      <c r="H2390" s="13">
        <v>93.79</v>
      </c>
      <c r="I2390" s="13">
        <v>83.72</v>
      </c>
      <c r="J2390" s="13"/>
      <c r="K2390" s="13"/>
    </row>
    <row r="2391" spans="1:11" x14ac:dyDescent="0.25">
      <c r="A2391" s="10">
        <v>43293</v>
      </c>
      <c r="B2391" s="15">
        <f t="shared" si="74"/>
        <v>7</v>
      </c>
      <c r="C2391" s="15">
        <f t="shared" si="75"/>
        <v>2018</v>
      </c>
      <c r="D2391" s="13">
        <v>56.8</v>
      </c>
      <c r="E2391" s="13">
        <v>3.9928026732927768</v>
      </c>
      <c r="F2391" s="13">
        <v>41.95</v>
      </c>
      <c r="G2391" s="13"/>
      <c r="H2391" s="13">
        <v>93.79</v>
      </c>
      <c r="I2391" s="13">
        <v>83.72</v>
      </c>
      <c r="J2391" s="13"/>
      <c r="K2391" s="13"/>
    </row>
    <row r="2392" spans="1:11" x14ac:dyDescent="0.25">
      <c r="A2392" s="10">
        <v>43294</v>
      </c>
      <c r="B2392" s="15">
        <f t="shared" si="74"/>
        <v>7</v>
      </c>
      <c r="C2392" s="15">
        <f t="shared" si="75"/>
        <v>2018</v>
      </c>
      <c r="D2392" s="13">
        <v>56.8</v>
      </c>
      <c r="E2392" s="13">
        <v>3.9880188275566963</v>
      </c>
      <c r="F2392" s="13">
        <v>41.95</v>
      </c>
      <c r="G2392" s="13"/>
      <c r="H2392" s="13">
        <v>93.79</v>
      </c>
      <c r="I2392" s="13">
        <v>83.72</v>
      </c>
      <c r="J2392" s="13"/>
      <c r="K2392" s="13"/>
    </row>
    <row r="2393" spans="1:11" x14ac:dyDescent="0.25">
      <c r="A2393" s="10">
        <v>43297</v>
      </c>
      <c r="B2393" s="15">
        <f t="shared" si="74"/>
        <v>7</v>
      </c>
      <c r="C2393" s="15">
        <f t="shared" si="75"/>
        <v>2018</v>
      </c>
      <c r="D2393" s="13">
        <v>67.3</v>
      </c>
      <c r="E2393" s="13">
        <v>-4.3470834400888201</v>
      </c>
      <c r="F2393" s="13">
        <v>49.67</v>
      </c>
      <c r="G2393" s="13"/>
      <c r="H2393" s="13">
        <v>99.62</v>
      </c>
      <c r="I2393" s="13">
        <v>91.65</v>
      </c>
      <c r="J2393" s="13"/>
      <c r="K2393" s="13"/>
    </row>
    <row r="2394" spans="1:11" x14ac:dyDescent="0.25">
      <c r="A2394" s="10">
        <v>43298</v>
      </c>
      <c r="B2394" s="15">
        <f t="shared" si="74"/>
        <v>7</v>
      </c>
      <c r="C2394" s="15">
        <f t="shared" si="75"/>
        <v>2018</v>
      </c>
      <c r="D2394" s="13">
        <v>67.3</v>
      </c>
      <c r="E2394" s="13">
        <v>-4.365726048546188</v>
      </c>
      <c r="F2394" s="13">
        <v>49.67</v>
      </c>
      <c r="G2394" s="13"/>
      <c r="H2394" s="13">
        <v>99.62</v>
      </c>
      <c r="I2394" s="13">
        <v>91.65</v>
      </c>
      <c r="J2394" s="13"/>
      <c r="K2394" s="13"/>
    </row>
    <row r="2395" spans="1:11" x14ac:dyDescent="0.25">
      <c r="A2395" s="10">
        <v>43299</v>
      </c>
      <c r="B2395" s="15">
        <f t="shared" si="74"/>
        <v>7</v>
      </c>
      <c r="C2395" s="15">
        <f t="shared" si="75"/>
        <v>2018</v>
      </c>
      <c r="D2395" s="13">
        <v>67.3</v>
      </c>
      <c r="E2395" s="13">
        <v>-4.3736037119780029</v>
      </c>
      <c r="F2395" s="13">
        <v>49.67</v>
      </c>
      <c r="G2395" s="13"/>
      <c r="H2395" s="13">
        <v>99.62</v>
      </c>
      <c r="I2395" s="13">
        <v>91.65</v>
      </c>
      <c r="J2395" s="13"/>
      <c r="K2395" s="13"/>
    </row>
    <row r="2396" spans="1:11" x14ac:dyDescent="0.25">
      <c r="A2396" s="10">
        <v>43300</v>
      </c>
      <c r="B2396" s="15">
        <f t="shared" si="74"/>
        <v>7</v>
      </c>
      <c r="C2396" s="15">
        <f t="shared" si="75"/>
        <v>2018</v>
      </c>
      <c r="D2396" s="13">
        <v>67.3</v>
      </c>
      <c r="E2396" s="13">
        <v>-4.3724765913581312</v>
      </c>
      <c r="F2396" s="13">
        <v>49.67</v>
      </c>
      <c r="G2396" s="13"/>
      <c r="H2396" s="13">
        <v>99.62</v>
      </c>
      <c r="I2396" s="13">
        <v>91.65</v>
      </c>
      <c r="J2396" s="13"/>
      <c r="K2396" s="13"/>
    </row>
    <row r="2397" spans="1:11" x14ac:dyDescent="0.25">
      <c r="A2397" s="10">
        <v>43301</v>
      </c>
      <c r="B2397" s="15">
        <f t="shared" si="74"/>
        <v>7</v>
      </c>
      <c r="C2397" s="15">
        <f t="shared" si="75"/>
        <v>2018</v>
      </c>
      <c r="D2397" s="13">
        <v>67.3</v>
      </c>
      <c r="E2397" s="13">
        <v>-4.3437446663253114</v>
      </c>
      <c r="F2397" s="13">
        <v>49.67</v>
      </c>
      <c r="G2397" s="13"/>
      <c r="H2397" s="13">
        <v>99.62</v>
      </c>
      <c r="I2397" s="13">
        <v>91.65</v>
      </c>
      <c r="J2397" s="13"/>
      <c r="K2397" s="13"/>
    </row>
    <row r="2398" spans="1:11" x14ac:dyDescent="0.25">
      <c r="A2398" s="10">
        <v>43304</v>
      </c>
      <c r="B2398" s="15">
        <f t="shared" si="74"/>
        <v>7</v>
      </c>
      <c r="C2398" s="15">
        <f t="shared" si="75"/>
        <v>2018</v>
      </c>
      <c r="D2398" s="13">
        <v>60.1</v>
      </c>
      <c r="E2398" s="13">
        <v>3.7981180496150557</v>
      </c>
      <c r="F2398" s="13">
        <v>26.22</v>
      </c>
      <c r="G2398" s="13"/>
      <c r="H2398" s="13">
        <v>92.66</v>
      </c>
      <c r="I2398" s="13">
        <v>84.09</v>
      </c>
      <c r="J2398" s="13"/>
      <c r="K2398" s="13"/>
    </row>
    <row r="2399" spans="1:11" x14ac:dyDescent="0.25">
      <c r="A2399" s="10">
        <v>43305</v>
      </c>
      <c r="B2399" s="15">
        <f t="shared" si="74"/>
        <v>7</v>
      </c>
      <c r="C2399" s="15">
        <f t="shared" si="75"/>
        <v>2018</v>
      </c>
      <c r="D2399" s="13">
        <v>60.1</v>
      </c>
      <c r="E2399" s="13">
        <v>3.8000684697021567</v>
      </c>
      <c r="F2399" s="13">
        <v>26.22</v>
      </c>
      <c r="G2399" s="13"/>
      <c r="H2399" s="13">
        <v>92.66</v>
      </c>
      <c r="I2399" s="13">
        <v>84.09</v>
      </c>
      <c r="J2399" s="13"/>
      <c r="K2399" s="13"/>
    </row>
    <row r="2400" spans="1:11" x14ac:dyDescent="0.25">
      <c r="A2400" s="10">
        <v>43306</v>
      </c>
      <c r="B2400" s="15">
        <f t="shared" si="74"/>
        <v>7</v>
      </c>
      <c r="C2400" s="15">
        <f t="shared" si="75"/>
        <v>2018</v>
      </c>
      <c r="D2400" s="13">
        <v>60.1</v>
      </c>
      <c r="E2400" s="13">
        <v>3.7858117326057301</v>
      </c>
      <c r="F2400" s="13">
        <v>26.22</v>
      </c>
      <c r="G2400" s="13"/>
      <c r="H2400" s="13">
        <v>92.66</v>
      </c>
      <c r="I2400" s="13">
        <v>84.09</v>
      </c>
      <c r="J2400" s="13"/>
      <c r="K2400" s="13"/>
    </row>
    <row r="2401" spans="1:11" x14ac:dyDescent="0.25">
      <c r="A2401" s="10">
        <v>43307</v>
      </c>
      <c r="B2401" s="15">
        <f t="shared" si="74"/>
        <v>7</v>
      </c>
      <c r="C2401" s="15">
        <f t="shared" si="75"/>
        <v>2018</v>
      </c>
      <c r="D2401" s="13">
        <v>60.1</v>
      </c>
      <c r="E2401" s="13">
        <v>3.8141053174125941</v>
      </c>
      <c r="F2401" s="13">
        <v>26.22</v>
      </c>
      <c r="G2401" s="13"/>
      <c r="H2401" s="13">
        <v>92.66</v>
      </c>
      <c r="I2401" s="13">
        <v>84.09</v>
      </c>
      <c r="J2401" s="13"/>
      <c r="K2401" s="13"/>
    </row>
    <row r="2402" spans="1:11" x14ac:dyDescent="0.25">
      <c r="A2402" s="10">
        <v>43308</v>
      </c>
      <c r="B2402" s="15">
        <f t="shared" si="74"/>
        <v>7</v>
      </c>
      <c r="C2402" s="15">
        <f t="shared" si="75"/>
        <v>2018</v>
      </c>
      <c r="D2402" s="13">
        <v>60.1</v>
      </c>
      <c r="E2402" s="13">
        <v>3.8091969800960883</v>
      </c>
      <c r="F2402" s="13">
        <v>26.22</v>
      </c>
      <c r="G2402" s="13"/>
      <c r="H2402" s="13">
        <v>92.66</v>
      </c>
      <c r="I2402" s="13">
        <v>84.09</v>
      </c>
      <c r="J2402" s="13"/>
      <c r="K2402" s="13"/>
    </row>
    <row r="2403" spans="1:11" x14ac:dyDescent="0.25">
      <c r="A2403" s="10">
        <v>43311</v>
      </c>
      <c r="B2403" s="15">
        <f t="shared" si="74"/>
        <v>7</v>
      </c>
      <c r="C2403" s="15">
        <f t="shared" si="75"/>
        <v>2018</v>
      </c>
      <c r="D2403" s="13">
        <v>45.17</v>
      </c>
      <c r="E2403" s="13">
        <v>-5.5451127819548871</v>
      </c>
      <c r="F2403" s="13">
        <v>26.66</v>
      </c>
      <c r="G2403" s="13"/>
      <c r="H2403" s="13">
        <v>81.78</v>
      </c>
      <c r="I2403" s="13">
        <v>63.06</v>
      </c>
      <c r="J2403" s="13"/>
      <c r="K2403" s="13"/>
    </row>
    <row r="2404" spans="1:11" x14ac:dyDescent="0.25">
      <c r="A2404" s="10">
        <v>43312</v>
      </c>
      <c r="B2404" s="15">
        <f t="shared" si="74"/>
        <v>7</v>
      </c>
      <c r="C2404" s="15">
        <f t="shared" si="75"/>
        <v>2018</v>
      </c>
      <c r="D2404" s="13">
        <v>45.17</v>
      </c>
      <c r="E2404" s="13">
        <v>-5.5512787614404244</v>
      </c>
      <c r="F2404" s="13">
        <v>26.66</v>
      </c>
      <c r="G2404" s="13"/>
      <c r="H2404" s="13">
        <v>81.78</v>
      </c>
      <c r="I2404" s="13">
        <v>63.06</v>
      </c>
      <c r="J2404" s="13"/>
      <c r="K2404" s="13"/>
    </row>
    <row r="2405" spans="1:11" x14ac:dyDescent="0.25">
      <c r="A2405" s="10">
        <v>43313</v>
      </c>
      <c r="B2405" s="15">
        <f t="shared" si="74"/>
        <v>8</v>
      </c>
      <c r="C2405" s="15">
        <f t="shared" si="75"/>
        <v>2018</v>
      </c>
      <c r="D2405" s="13">
        <v>45.17</v>
      </c>
      <c r="E2405" s="13">
        <v>-5.5669926230914397</v>
      </c>
      <c r="F2405" s="13">
        <v>26.66</v>
      </c>
      <c r="G2405" s="13"/>
      <c r="H2405" s="13">
        <v>81.78</v>
      </c>
      <c r="I2405" s="13">
        <v>63.06</v>
      </c>
      <c r="J2405" s="13"/>
      <c r="K2405" s="13"/>
    </row>
    <row r="2406" spans="1:11" x14ac:dyDescent="0.25">
      <c r="A2406" s="10">
        <v>43314</v>
      </c>
      <c r="B2406" s="15">
        <f t="shared" si="74"/>
        <v>8</v>
      </c>
      <c r="C2406" s="15">
        <f t="shared" si="75"/>
        <v>2018</v>
      </c>
      <c r="D2406" s="13">
        <v>45.17</v>
      </c>
      <c r="E2406" s="13">
        <v>-5.6035227076498018</v>
      </c>
      <c r="F2406" s="13">
        <v>26.66</v>
      </c>
      <c r="G2406" s="13"/>
      <c r="H2406" s="13">
        <v>81.78</v>
      </c>
      <c r="I2406" s="13">
        <v>63.06</v>
      </c>
      <c r="J2406" s="13"/>
      <c r="K2406" s="13"/>
    </row>
    <row r="2407" spans="1:11" x14ac:dyDescent="0.25">
      <c r="A2407" s="10">
        <v>43315</v>
      </c>
      <c r="B2407" s="15">
        <f t="shared" si="74"/>
        <v>8</v>
      </c>
      <c r="C2407" s="15">
        <f t="shared" si="75"/>
        <v>2018</v>
      </c>
      <c r="D2407" s="13">
        <v>45.17</v>
      </c>
      <c r="E2407" s="13">
        <v>-5.6107893144289784</v>
      </c>
      <c r="F2407" s="13">
        <v>26.66</v>
      </c>
      <c r="G2407" s="13"/>
      <c r="H2407" s="13">
        <v>81.78</v>
      </c>
      <c r="I2407" s="13">
        <v>63.06</v>
      </c>
      <c r="J2407" s="13"/>
      <c r="K2407" s="13"/>
    </row>
    <row r="2408" spans="1:11" x14ac:dyDescent="0.25">
      <c r="A2408" s="10">
        <v>43318</v>
      </c>
      <c r="B2408" s="15">
        <f t="shared" si="74"/>
        <v>8</v>
      </c>
      <c r="C2408" s="15">
        <f t="shared" si="75"/>
        <v>2018</v>
      </c>
      <c r="D2408" s="13">
        <v>53.34</v>
      </c>
      <c r="E2408" s="13">
        <v>7.2535272223664853</v>
      </c>
      <c r="F2408" s="13">
        <v>38.409999999999997</v>
      </c>
      <c r="G2408" s="13"/>
      <c r="H2408" s="13">
        <v>93.24</v>
      </c>
      <c r="I2408" s="13">
        <v>78.83</v>
      </c>
      <c r="J2408" s="13"/>
      <c r="K2408" s="13"/>
    </row>
    <row r="2409" spans="1:11" x14ac:dyDescent="0.25">
      <c r="A2409" s="10">
        <v>43319</v>
      </c>
      <c r="B2409" s="15">
        <f t="shared" si="74"/>
        <v>8</v>
      </c>
      <c r="C2409" s="15">
        <f t="shared" si="75"/>
        <v>2018</v>
      </c>
      <c r="D2409" s="13">
        <v>53.34</v>
      </c>
      <c r="E2409" s="13">
        <v>7.226006725877383</v>
      </c>
      <c r="F2409" s="13">
        <v>38.409999999999997</v>
      </c>
      <c r="G2409" s="13"/>
      <c r="H2409" s="13">
        <v>93.24</v>
      </c>
      <c r="I2409" s="13">
        <v>78.83</v>
      </c>
      <c r="J2409" s="13"/>
      <c r="K2409" s="13"/>
    </row>
    <row r="2410" spans="1:11" x14ac:dyDescent="0.25">
      <c r="A2410" s="10">
        <v>43320</v>
      </c>
      <c r="B2410" s="15">
        <f t="shared" si="74"/>
        <v>8</v>
      </c>
      <c r="C2410" s="15">
        <f t="shared" si="75"/>
        <v>2018</v>
      </c>
      <c r="D2410" s="13">
        <v>53.34</v>
      </c>
      <c r="E2410" s="13">
        <v>7.217915590008614</v>
      </c>
      <c r="F2410" s="13">
        <v>38.409999999999997</v>
      </c>
      <c r="G2410" s="13"/>
      <c r="H2410" s="13">
        <v>93.24</v>
      </c>
      <c r="I2410" s="13">
        <v>78.83</v>
      </c>
      <c r="J2410" s="13"/>
      <c r="K2410" s="13"/>
    </row>
    <row r="2411" spans="1:11" x14ac:dyDescent="0.25">
      <c r="A2411" s="10">
        <v>43321</v>
      </c>
      <c r="B2411" s="15">
        <f t="shared" si="74"/>
        <v>8</v>
      </c>
      <c r="C2411" s="15">
        <f t="shared" si="75"/>
        <v>2018</v>
      </c>
      <c r="D2411" s="13">
        <v>53.34</v>
      </c>
      <c r="E2411" s="13">
        <v>7.2705188269998269</v>
      </c>
      <c r="F2411" s="13">
        <v>38.409999999999997</v>
      </c>
      <c r="G2411" s="13"/>
      <c r="H2411" s="13">
        <v>93.24</v>
      </c>
      <c r="I2411" s="13">
        <v>78.83</v>
      </c>
      <c r="J2411" s="13"/>
      <c r="K2411" s="13"/>
    </row>
    <row r="2412" spans="1:11" x14ac:dyDescent="0.25">
      <c r="A2412" s="10">
        <v>43322</v>
      </c>
      <c r="B2412" s="15">
        <f t="shared" si="74"/>
        <v>8</v>
      </c>
      <c r="C2412" s="15">
        <f t="shared" si="75"/>
        <v>2018</v>
      </c>
      <c r="D2412" s="13">
        <v>53.34</v>
      </c>
      <c r="E2412" s="13">
        <v>7.3444347063978972</v>
      </c>
      <c r="F2412" s="13">
        <v>38.409999999999997</v>
      </c>
      <c r="G2412" s="13"/>
      <c r="H2412" s="13">
        <v>93.24</v>
      </c>
      <c r="I2412" s="13">
        <v>78.83</v>
      </c>
      <c r="J2412" s="13"/>
      <c r="K2412" s="13"/>
    </row>
    <row r="2413" spans="1:11" x14ac:dyDescent="0.25">
      <c r="A2413" s="10">
        <v>43325</v>
      </c>
      <c r="B2413" s="15">
        <f t="shared" si="74"/>
        <v>8</v>
      </c>
      <c r="C2413" s="15">
        <f t="shared" si="75"/>
        <v>2018</v>
      </c>
      <c r="D2413" s="13">
        <v>51.57</v>
      </c>
      <c r="E2413" s="13">
        <v>-3.2784011220196354</v>
      </c>
      <c r="F2413" s="13">
        <v>45.8</v>
      </c>
      <c r="G2413" s="13"/>
      <c r="H2413" s="13">
        <v>88.54</v>
      </c>
      <c r="I2413" s="13">
        <v>79.069999999999993</v>
      </c>
      <c r="J2413" s="13"/>
      <c r="K2413" s="13"/>
    </row>
    <row r="2414" spans="1:11" x14ac:dyDescent="0.25">
      <c r="A2414" s="10">
        <v>43326</v>
      </c>
      <c r="B2414" s="15">
        <f t="shared" si="74"/>
        <v>8</v>
      </c>
      <c r="C2414" s="15">
        <f t="shared" si="75"/>
        <v>2018</v>
      </c>
      <c r="D2414" s="13">
        <v>51.57</v>
      </c>
      <c r="E2414" s="13">
        <v>-3.2974783988714513</v>
      </c>
      <c r="F2414" s="13">
        <v>45.8</v>
      </c>
      <c r="G2414" s="13"/>
      <c r="H2414" s="13">
        <v>88.54</v>
      </c>
      <c r="I2414" s="13">
        <v>79.069999999999993</v>
      </c>
      <c r="J2414" s="13"/>
      <c r="K2414" s="13"/>
    </row>
    <row r="2415" spans="1:11" x14ac:dyDescent="0.25">
      <c r="A2415" s="10">
        <v>43327</v>
      </c>
      <c r="B2415" s="15">
        <f t="shared" si="74"/>
        <v>8</v>
      </c>
      <c r="C2415" s="15">
        <f t="shared" si="75"/>
        <v>2018</v>
      </c>
      <c r="D2415" s="13">
        <v>51.57</v>
      </c>
      <c r="E2415" s="13">
        <v>-3.297187692850216</v>
      </c>
      <c r="F2415" s="13">
        <v>45.8</v>
      </c>
      <c r="G2415" s="13"/>
      <c r="H2415" s="13">
        <v>88.54</v>
      </c>
      <c r="I2415" s="13">
        <v>79.069999999999993</v>
      </c>
      <c r="J2415" s="13"/>
      <c r="K2415" s="13"/>
    </row>
    <row r="2416" spans="1:11" x14ac:dyDescent="0.25">
      <c r="A2416" s="10">
        <v>43328</v>
      </c>
      <c r="B2416" s="15">
        <f t="shared" si="74"/>
        <v>8</v>
      </c>
      <c r="C2416" s="15">
        <f t="shared" si="75"/>
        <v>2018</v>
      </c>
      <c r="D2416" s="13">
        <v>51.57</v>
      </c>
      <c r="E2416" s="13">
        <v>-3.2879120879120882</v>
      </c>
      <c r="F2416" s="13">
        <v>45.8</v>
      </c>
      <c r="G2416" s="13"/>
      <c r="H2416" s="13">
        <v>88.54</v>
      </c>
      <c r="I2416" s="13">
        <v>79.069999999999993</v>
      </c>
      <c r="J2416" s="13"/>
      <c r="K2416" s="13"/>
    </row>
    <row r="2417" spans="1:11" x14ac:dyDescent="0.25">
      <c r="A2417" s="10">
        <v>43329</v>
      </c>
      <c r="B2417" s="15">
        <f t="shared" si="74"/>
        <v>8</v>
      </c>
      <c r="C2417" s="15">
        <f t="shared" si="75"/>
        <v>2018</v>
      </c>
      <c r="D2417" s="13">
        <v>51.57</v>
      </c>
      <c r="E2417" s="13">
        <v>-3.2700883098714701</v>
      </c>
      <c r="F2417" s="13">
        <v>45.8</v>
      </c>
      <c r="G2417" s="13"/>
      <c r="H2417" s="13">
        <v>88.54</v>
      </c>
      <c r="I2417" s="13">
        <v>79.069999999999993</v>
      </c>
      <c r="J2417" s="13"/>
      <c r="K2417" s="13"/>
    </row>
    <row r="2418" spans="1:11" x14ac:dyDescent="0.25">
      <c r="A2418" s="10">
        <v>43332</v>
      </c>
      <c r="B2418" s="15">
        <f t="shared" si="74"/>
        <v>8</v>
      </c>
      <c r="C2418" s="15">
        <f t="shared" si="75"/>
        <v>2018</v>
      </c>
      <c r="D2418" s="13">
        <v>50.52</v>
      </c>
      <c r="E2418" s="13">
        <v>12.126491854691176</v>
      </c>
      <c r="F2418" s="13">
        <v>35.229999999999997</v>
      </c>
      <c r="G2418" s="13"/>
      <c r="H2418" s="13">
        <v>80.97</v>
      </c>
      <c r="I2418" s="13">
        <v>72.53</v>
      </c>
      <c r="J2418" s="13"/>
      <c r="K2418" s="13"/>
    </row>
    <row r="2419" spans="1:11" x14ac:dyDescent="0.25">
      <c r="A2419" s="10">
        <v>43333</v>
      </c>
      <c r="B2419" s="15">
        <f t="shared" si="74"/>
        <v>8</v>
      </c>
      <c r="C2419" s="15">
        <f t="shared" si="75"/>
        <v>2018</v>
      </c>
      <c r="D2419" s="13">
        <v>50.52</v>
      </c>
      <c r="E2419" s="13">
        <v>12.032154896706716</v>
      </c>
      <c r="F2419" s="13">
        <v>35.229999999999997</v>
      </c>
      <c r="G2419" s="13"/>
      <c r="H2419" s="13">
        <v>80.97</v>
      </c>
      <c r="I2419" s="13">
        <v>72.53</v>
      </c>
      <c r="J2419" s="13"/>
      <c r="K2419" s="13"/>
    </row>
    <row r="2420" spans="1:11" x14ac:dyDescent="0.25">
      <c r="A2420" s="10">
        <v>43334</v>
      </c>
      <c r="B2420" s="15">
        <f t="shared" si="74"/>
        <v>8</v>
      </c>
      <c r="C2420" s="15">
        <f t="shared" si="75"/>
        <v>2018</v>
      </c>
      <c r="D2420" s="13">
        <v>50.52</v>
      </c>
      <c r="E2420" s="13">
        <v>12.004139358399449</v>
      </c>
      <c r="F2420" s="13">
        <v>35.229999999999997</v>
      </c>
      <c r="G2420" s="13"/>
      <c r="H2420" s="13">
        <v>80.97</v>
      </c>
      <c r="I2420" s="13">
        <v>72.53</v>
      </c>
      <c r="J2420" s="13"/>
      <c r="K2420" s="13"/>
    </row>
    <row r="2421" spans="1:11" x14ac:dyDescent="0.25">
      <c r="A2421" s="10">
        <v>43335</v>
      </c>
      <c r="B2421" s="15">
        <f t="shared" si="74"/>
        <v>8</v>
      </c>
      <c r="C2421" s="15">
        <f t="shared" si="75"/>
        <v>2018</v>
      </c>
      <c r="D2421" s="13">
        <v>50.52</v>
      </c>
      <c r="E2421" s="13">
        <v>12.065528300251366</v>
      </c>
      <c r="F2421" s="13">
        <v>35.229999999999997</v>
      </c>
      <c r="G2421" s="13"/>
      <c r="H2421" s="13">
        <v>80.97</v>
      </c>
      <c r="I2421" s="13">
        <v>72.53</v>
      </c>
      <c r="J2421" s="13"/>
      <c r="K2421" s="13"/>
    </row>
    <row r="2422" spans="1:11" x14ac:dyDescent="0.25">
      <c r="A2422" s="10">
        <v>43336</v>
      </c>
      <c r="B2422" s="15">
        <f t="shared" si="74"/>
        <v>8</v>
      </c>
      <c r="C2422" s="15">
        <f t="shared" si="75"/>
        <v>2018</v>
      </c>
      <c r="D2422" s="13">
        <v>50.52</v>
      </c>
      <c r="E2422" s="13">
        <v>11.978315119180794</v>
      </c>
      <c r="F2422" s="13">
        <v>35.229999999999997</v>
      </c>
      <c r="G2422" s="13"/>
      <c r="H2422" s="13">
        <v>80.97</v>
      </c>
      <c r="I2422" s="13">
        <v>72.53</v>
      </c>
      <c r="J2422" s="13"/>
      <c r="K2422" s="13"/>
    </row>
    <row r="2423" spans="1:11" x14ac:dyDescent="0.25">
      <c r="A2423" s="10">
        <v>43339</v>
      </c>
      <c r="B2423" s="15">
        <f t="shared" si="74"/>
        <v>8</v>
      </c>
      <c r="C2423" s="15">
        <f t="shared" si="75"/>
        <v>2018</v>
      </c>
      <c r="D2423" s="13">
        <v>50.68</v>
      </c>
      <c r="E2423" s="13">
        <v>1.472981073905969</v>
      </c>
      <c r="F2423" s="13">
        <v>29.46</v>
      </c>
      <c r="G2423" s="13"/>
      <c r="H2423" s="13">
        <v>86.45</v>
      </c>
      <c r="I2423" s="13">
        <v>92.64</v>
      </c>
      <c r="J2423" s="13"/>
      <c r="K2423" s="13"/>
    </row>
    <row r="2424" spans="1:11" x14ac:dyDescent="0.25">
      <c r="A2424" s="10">
        <v>43340</v>
      </c>
      <c r="B2424" s="15">
        <f t="shared" si="74"/>
        <v>8</v>
      </c>
      <c r="C2424" s="15">
        <f t="shared" si="75"/>
        <v>2018</v>
      </c>
      <c r="D2424" s="13">
        <v>50.68</v>
      </c>
      <c r="E2424" s="13">
        <v>1.4709655349354314</v>
      </c>
      <c r="F2424" s="13">
        <v>29.46</v>
      </c>
      <c r="G2424" s="13"/>
      <c r="H2424" s="13">
        <v>86.45</v>
      </c>
      <c r="I2424" s="13">
        <v>92.64</v>
      </c>
      <c r="J2424" s="13"/>
      <c r="K2424" s="13"/>
    </row>
    <row r="2425" spans="1:11" x14ac:dyDescent="0.25">
      <c r="A2425" s="10">
        <v>43341</v>
      </c>
      <c r="B2425" s="15">
        <f t="shared" si="74"/>
        <v>8</v>
      </c>
      <c r="C2425" s="15">
        <f t="shared" si="75"/>
        <v>2018</v>
      </c>
      <c r="D2425" s="13">
        <v>50.68</v>
      </c>
      <c r="E2425" s="13">
        <v>1.4693319665128992</v>
      </c>
      <c r="F2425" s="13">
        <v>29.46</v>
      </c>
      <c r="G2425" s="13"/>
      <c r="H2425" s="13">
        <v>86.45</v>
      </c>
      <c r="I2425" s="13">
        <v>92.64</v>
      </c>
      <c r="J2425" s="13"/>
      <c r="K2425" s="13"/>
    </row>
    <row r="2426" spans="1:11" x14ac:dyDescent="0.25">
      <c r="A2426" s="10">
        <v>43342</v>
      </c>
      <c r="B2426" s="15">
        <f t="shared" si="74"/>
        <v>8</v>
      </c>
      <c r="C2426" s="15">
        <f t="shared" si="75"/>
        <v>2018</v>
      </c>
      <c r="D2426" s="13">
        <v>50.68</v>
      </c>
      <c r="E2426" s="13">
        <v>1.4738646101113966</v>
      </c>
      <c r="F2426" s="13">
        <v>29.46</v>
      </c>
      <c r="G2426" s="13"/>
      <c r="H2426" s="13">
        <v>86.45</v>
      </c>
      <c r="I2426" s="13">
        <v>92.64</v>
      </c>
      <c r="J2426" s="13"/>
      <c r="K2426" s="13"/>
    </row>
    <row r="2427" spans="1:11" x14ac:dyDescent="0.25">
      <c r="A2427" s="10">
        <v>43343</v>
      </c>
      <c r="B2427" s="15">
        <f t="shared" si="74"/>
        <v>8</v>
      </c>
      <c r="C2427" s="15">
        <f t="shared" si="75"/>
        <v>2018</v>
      </c>
      <c r="D2427" s="13">
        <v>50.68</v>
      </c>
      <c r="E2427" s="13">
        <v>1.4828864557289423</v>
      </c>
      <c r="F2427" s="13">
        <v>29.46</v>
      </c>
      <c r="G2427" s="13"/>
      <c r="H2427" s="13">
        <v>86.45</v>
      </c>
      <c r="I2427" s="13">
        <v>92.64</v>
      </c>
      <c r="J2427" s="13"/>
      <c r="K2427" s="13"/>
    </row>
    <row r="2428" spans="1:11" x14ac:dyDescent="0.25">
      <c r="A2428" s="10">
        <v>43347</v>
      </c>
      <c r="B2428" s="15">
        <f t="shared" si="74"/>
        <v>9</v>
      </c>
      <c r="C2428" s="15">
        <f t="shared" si="75"/>
        <v>2018</v>
      </c>
      <c r="D2428" s="13">
        <v>63.78</v>
      </c>
      <c r="E2428" s="13">
        <v>14.057507987220449</v>
      </c>
      <c r="F2428" s="13">
        <v>37.6</v>
      </c>
      <c r="G2428" s="13"/>
      <c r="H2428" s="13">
        <v>95.38</v>
      </c>
      <c r="I2428" s="13">
        <v>112.88</v>
      </c>
      <c r="J2428" s="13"/>
      <c r="K2428" s="13"/>
    </row>
    <row r="2429" spans="1:11" x14ac:dyDescent="0.25">
      <c r="A2429" s="10">
        <v>43348</v>
      </c>
      <c r="B2429" s="15">
        <f t="shared" si="74"/>
        <v>9</v>
      </c>
      <c r="C2429" s="15">
        <f t="shared" si="75"/>
        <v>2018</v>
      </c>
      <c r="D2429" s="13">
        <v>63.78</v>
      </c>
      <c r="E2429" s="13">
        <v>13.999484048499442</v>
      </c>
      <c r="F2429" s="13">
        <v>37.6</v>
      </c>
      <c r="G2429" s="13"/>
      <c r="H2429" s="13">
        <v>95.38</v>
      </c>
      <c r="I2429" s="13">
        <v>112.88</v>
      </c>
      <c r="J2429" s="13"/>
      <c r="K2429" s="13"/>
    </row>
    <row r="2430" spans="1:11" x14ac:dyDescent="0.25">
      <c r="A2430" s="10">
        <v>43349</v>
      </c>
      <c r="B2430" s="15">
        <f t="shared" si="74"/>
        <v>9</v>
      </c>
      <c r="C2430" s="15">
        <f t="shared" si="75"/>
        <v>2018</v>
      </c>
      <c r="D2430" s="13">
        <v>63.78</v>
      </c>
      <c r="E2430" s="13">
        <v>14.009121418122367</v>
      </c>
      <c r="F2430" s="13">
        <v>37.6</v>
      </c>
      <c r="G2430" s="13"/>
      <c r="H2430" s="13">
        <v>95.38</v>
      </c>
      <c r="I2430" s="13">
        <v>112.88</v>
      </c>
      <c r="J2430" s="13"/>
      <c r="K2430" s="13"/>
    </row>
    <row r="2431" spans="1:11" x14ac:dyDescent="0.25">
      <c r="A2431" s="10">
        <v>43350</v>
      </c>
      <c r="B2431" s="15">
        <f t="shared" si="74"/>
        <v>9</v>
      </c>
      <c r="C2431" s="15">
        <f t="shared" si="75"/>
        <v>2018</v>
      </c>
      <c r="D2431" s="13">
        <v>63.78</v>
      </c>
      <c r="E2431" s="13">
        <v>14.094017833953771</v>
      </c>
      <c r="F2431" s="13">
        <v>37.6</v>
      </c>
      <c r="G2431" s="13"/>
      <c r="H2431" s="13">
        <v>95.38</v>
      </c>
      <c r="I2431" s="13">
        <v>112.88</v>
      </c>
      <c r="J2431" s="13"/>
      <c r="K2431" s="13"/>
    </row>
    <row r="2432" spans="1:11" x14ac:dyDescent="0.25">
      <c r="A2432" s="10">
        <v>43353</v>
      </c>
      <c r="B2432" s="15">
        <f t="shared" si="74"/>
        <v>9</v>
      </c>
      <c r="C2432" s="15">
        <f t="shared" si="75"/>
        <v>2018</v>
      </c>
      <c r="D2432" s="13">
        <v>51.68</v>
      </c>
      <c r="E2432" s="13">
        <v>14.751552795031056</v>
      </c>
      <c r="F2432" s="13">
        <v>27.35</v>
      </c>
      <c r="G2432" s="13"/>
      <c r="H2432" s="13">
        <v>91.22</v>
      </c>
      <c r="I2432" s="13">
        <v>105.16</v>
      </c>
      <c r="J2432" s="13"/>
      <c r="K2432" s="13"/>
    </row>
    <row r="2433" spans="1:11" x14ac:dyDescent="0.25">
      <c r="A2433" s="10">
        <v>43354</v>
      </c>
      <c r="B2433" s="15">
        <f t="shared" si="74"/>
        <v>9</v>
      </c>
      <c r="C2433" s="15">
        <f t="shared" si="75"/>
        <v>2018</v>
      </c>
      <c r="D2433" s="13">
        <v>51.68</v>
      </c>
      <c r="E2433" s="13">
        <v>14.735028005170186</v>
      </c>
      <c r="F2433" s="13">
        <v>27.35</v>
      </c>
      <c r="G2433" s="13"/>
      <c r="H2433" s="13">
        <v>91.22</v>
      </c>
      <c r="I2433" s="13">
        <v>105.16</v>
      </c>
      <c r="J2433" s="13"/>
      <c r="K2433" s="13"/>
    </row>
    <row r="2434" spans="1:11" x14ac:dyDescent="0.25">
      <c r="A2434" s="10">
        <v>43355</v>
      </c>
      <c r="B2434" s="15">
        <f t="shared" si="74"/>
        <v>9</v>
      </c>
      <c r="C2434" s="15">
        <f t="shared" si="75"/>
        <v>2018</v>
      </c>
      <c r="D2434" s="13">
        <v>51.68</v>
      </c>
      <c r="E2434" s="13">
        <v>14.710942876806607</v>
      </c>
      <c r="F2434" s="13">
        <v>27.35</v>
      </c>
      <c r="G2434" s="13"/>
      <c r="H2434" s="13">
        <v>91.22</v>
      </c>
      <c r="I2434" s="13">
        <v>105.16</v>
      </c>
      <c r="J2434" s="13"/>
      <c r="K2434" s="13"/>
    </row>
    <row r="2435" spans="1:11" x14ac:dyDescent="0.25">
      <c r="A2435" s="10">
        <v>43356</v>
      </c>
      <c r="B2435" s="15">
        <f t="shared" ref="B2435:B2498" si="76">MONTH(A2435)</f>
        <v>9</v>
      </c>
      <c r="C2435" s="15">
        <f t="shared" ref="C2435:C2498" si="77">YEAR(A2435)</f>
        <v>2018</v>
      </c>
      <c r="D2435" s="13">
        <v>51.68</v>
      </c>
      <c r="E2435" s="13">
        <v>14.630390143737166</v>
      </c>
      <c r="F2435" s="13">
        <v>27.35</v>
      </c>
      <c r="G2435" s="13"/>
      <c r="H2435" s="13">
        <v>91.22</v>
      </c>
      <c r="I2435" s="13">
        <v>105.16</v>
      </c>
      <c r="J2435" s="13"/>
      <c r="K2435" s="13"/>
    </row>
    <row r="2436" spans="1:11" x14ac:dyDescent="0.25">
      <c r="A2436" s="10">
        <v>43357</v>
      </c>
      <c r="B2436" s="15">
        <f t="shared" si="76"/>
        <v>9</v>
      </c>
      <c r="C2436" s="15">
        <f t="shared" si="77"/>
        <v>2018</v>
      </c>
      <c r="D2436" s="13">
        <v>51.68</v>
      </c>
      <c r="E2436" s="13">
        <v>14.705882352941178</v>
      </c>
      <c r="F2436" s="13">
        <v>27.35</v>
      </c>
      <c r="G2436" s="13"/>
      <c r="H2436" s="13">
        <v>91.22</v>
      </c>
      <c r="I2436" s="13">
        <v>105.16</v>
      </c>
      <c r="J2436" s="13"/>
      <c r="K2436" s="13"/>
    </row>
    <row r="2437" spans="1:11" x14ac:dyDescent="0.25">
      <c r="A2437" s="10">
        <v>43360</v>
      </c>
      <c r="B2437" s="15">
        <f t="shared" si="76"/>
        <v>9</v>
      </c>
      <c r="C2437" s="15">
        <f t="shared" si="77"/>
        <v>2018</v>
      </c>
      <c r="D2437" s="13">
        <v>42.15</v>
      </c>
      <c r="E2437" s="13">
        <v>19.267311478216214</v>
      </c>
      <c r="F2437" s="13">
        <v>15.1</v>
      </c>
      <c r="G2437" s="13"/>
      <c r="H2437" s="13">
        <v>89.61</v>
      </c>
      <c r="I2437" s="13">
        <v>116.69</v>
      </c>
      <c r="J2437" s="13"/>
      <c r="K2437" s="13"/>
    </row>
    <row r="2438" spans="1:11" x14ac:dyDescent="0.25">
      <c r="A2438" s="10">
        <v>43361</v>
      </c>
      <c r="B2438" s="15">
        <f t="shared" si="76"/>
        <v>9</v>
      </c>
      <c r="C2438" s="15">
        <f t="shared" si="77"/>
        <v>2018</v>
      </c>
      <c r="D2438" s="13">
        <v>42.15</v>
      </c>
      <c r="E2438" s="13">
        <v>19.297042434633518</v>
      </c>
      <c r="F2438" s="13">
        <v>15.1</v>
      </c>
      <c r="G2438" s="13"/>
      <c r="H2438" s="13">
        <v>89.61</v>
      </c>
      <c r="I2438" s="13">
        <v>116.69</v>
      </c>
      <c r="J2438" s="13"/>
      <c r="K2438" s="13"/>
    </row>
    <row r="2439" spans="1:11" x14ac:dyDescent="0.25">
      <c r="A2439" s="10">
        <v>43362</v>
      </c>
      <c r="B2439" s="15">
        <f t="shared" si="76"/>
        <v>9</v>
      </c>
      <c r="C2439" s="15">
        <f t="shared" si="77"/>
        <v>2018</v>
      </c>
      <c r="D2439" s="13">
        <v>42.15</v>
      </c>
      <c r="E2439" s="13">
        <v>19.2854694996573</v>
      </c>
      <c r="F2439" s="13">
        <v>15.1</v>
      </c>
      <c r="G2439" s="13"/>
      <c r="H2439" s="13">
        <v>89.61</v>
      </c>
      <c r="I2439" s="13">
        <v>116.69</v>
      </c>
      <c r="J2439" s="13"/>
      <c r="K2439" s="13"/>
    </row>
    <row r="2440" spans="1:11" x14ac:dyDescent="0.25">
      <c r="A2440" s="10">
        <v>43363</v>
      </c>
      <c r="B2440" s="15">
        <f t="shared" si="76"/>
        <v>9</v>
      </c>
      <c r="C2440" s="15">
        <f t="shared" si="77"/>
        <v>2018</v>
      </c>
      <c r="D2440" s="13">
        <v>42.15</v>
      </c>
      <c r="E2440" s="13">
        <v>19.116772823779193</v>
      </c>
      <c r="F2440" s="13">
        <v>15.1</v>
      </c>
      <c r="G2440" s="13"/>
      <c r="H2440" s="13">
        <v>89.61</v>
      </c>
      <c r="I2440" s="13">
        <v>116.69</v>
      </c>
      <c r="J2440" s="13"/>
      <c r="K2440" s="13"/>
    </row>
    <row r="2441" spans="1:11" x14ac:dyDescent="0.25">
      <c r="A2441" s="10">
        <v>43364</v>
      </c>
      <c r="B2441" s="15">
        <f t="shared" si="76"/>
        <v>9</v>
      </c>
      <c r="C2441" s="15">
        <f t="shared" si="77"/>
        <v>2018</v>
      </c>
      <c r="D2441" s="13">
        <v>42.15</v>
      </c>
      <c r="E2441" s="13">
        <v>19.159077368286663</v>
      </c>
      <c r="F2441" s="13">
        <v>15.1</v>
      </c>
      <c r="G2441" s="13"/>
      <c r="H2441" s="13">
        <v>89.61</v>
      </c>
      <c r="I2441" s="13">
        <v>116.69</v>
      </c>
      <c r="J2441" s="13"/>
      <c r="K2441" s="13"/>
    </row>
    <row r="2442" spans="1:11" x14ac:dyDescent="0.25">
      <c r="A2442" s="10">
        <v>43367</v>
      </c>
      <c r="B2442" s="15">
        <f t="shared" si="76"/>
        <v>9</v>
      </c>
      <c r="C2442" s="15">
        <f t="shared" si="77"/>
        <v>2018</v>
      </c>
      <c r="D2442" s="13">
        <v>37.51</v>
      </c>
      <c r="E2442" s="13">
        <v>23.650604461093138</v>
      </c>
      <c r="F2442" s="13">
        <v>6.74</v>
      </c>
      <c r="G2442" s="13"/>
      <c r="H2442" s="13">
        <v>87.69</v>
      </c>
      <c r="I2442" s="13">
        <v>61.78</v>
      </c>
      <c r="J2442" s="13"/>
      <c r="K2442" s="13"/>
    </row>
    <row r="2443" spans="1:11" x14ac:dyDescent="0.25">
      <c r="A2443" s="10">
        <v>43368</v>
      </c>
      <c r="B2443" s="15">
        <f t="shared" si="76"/>
        <v>9</v>
      </c>
      <c r="C2443" s="15">
        <f t="shared" si="77"/>
        <v>2018</v>
      </c>
      <c r="D2443" s="13">
        <v>37.51</v>
      </c>
      <c r="E2443" s="13">
        <v>23.600373800016992</v>
      </c>
      <c r="F2443" s="13">
        <v>6.74</v>
      </c>
      <c r="G2443" s="13"/>
      <c r="H2443" s="13">
        <v>87.69</v>
      </c>
      <c r="I2443" s="13">
        <v>61.78</v>
      </c>
      <c r="J2443" s="13"/>
      <c r="K2443" s="13"/>
    </row>
    <row r="2444" spans="1:11" x14ac:dyDescent="0.25">
      <c r="A2444" s="10">
        <v>43369</v>
      </c>
      <c r="B2444" s="15">
        <f t="shared" si="76"/>
        <v>9</v>
      </c>
      <c r="C2444" s="15">
        <f t="shared" si="77"/>
        <v>2018</v>
      </c>
      <c r="D2444" s="13">
        <v>37.51</v>
      </c>
      <c r="E2444" s="13">
        <v>23.666723462259331</v>
      </c>
      <c r="F2444" s="13">
        <v>6.74</v>
      </c>
      <c r="G2444" s="13"/>
      <c r="H2444" s="13">
        <v>87.69</v>
      </c>
      <c r="I2444" s="13">
        <v>61.78</v>
      </c>
      <c r="J2444" s="13"/>
      <c r="K2444" s="13"/>
    </row>
    <row r="2445" spans="1:11" x14ac:dyDescent="0.25">
      <c r="A2445" s="10">
        <v>43370</v>
      </c>
      <c r="B2445" s="15">
        <f t="shared" si="76"/>
        <v>9</v>
      </c>
      <c r="C2445" s="15">
        <f t="shared" si="77"/>
        <v>2018</v>
      </c>
      <c r="D2445" s="13">
        <v>37.51</v>
      </c>
      <c r="E2445" s="13">
        <v>23.868029899475903</v>
      </c>
      <c r="F2445" s="13">
        <v>6.74</v>
      </c>
      <c r="G2445" s="13"/>
      <c r="H2445" s="13">
        <v>87.69</v>
      </c>
      <c r="I2445" s="13">
        <v>61.78</v>
      </c>
      <c r="J2445" s="13"/>
      <c r="K2445" s="13"/>
    </row>
    <row r="2446" spans="1:11" x14ac:dyDescent="0.25">
      <c r="A2446" s="10">
        <v>43371</v>
      </c>
      <c r="B2446" s="15">
        <f t="shared" si="76"/>
        <v>9</v>
      </c>
      <c r="C2446" s="15">
        <f t="shared" si="77"/>
        <v>2018</v>
      </c>
      <c r="D2446" s="13">
        <v>37.51</v>
      </c>
      <c r="E2446" s="13">
        <v>23.931771192281186</v>
      </c>
      <c r="F2446" s="13">
        <v>6.74</v>
      </c>
      <c r="G2446" s="13"/>
      <c r="H2446" s="13">
        <v>87.69</v>
      </c>
      <c r="I2446" s="13">
        <v>61.78</v>
      </c>
      <c r="J2446" s="13"/>
      <c r="K2446" s="13"/>
    </row>
    <row r="2447" spans="1:11" x14ac:dyDescent="0.25">
      <c r="A2447" s="10">
        <v>43374</v>
      </c>
      <c r="B2447" s="15">
        <f t="shared" si="76"/>
        <v>10</v>
      </c>
      <c r="C2447" s="15">
        <f t="shared" si="77"/>
        <v>2018</v>
      </c>
      <c r="D2447" s="13">
        <v>51.6</v>
      </c>
      <c r="E2447" s="13">
        <v>38.959917069799587</v>
      </c>
      <c r="F2447" s="13">
        <v>24.96</v>
      </c>
      <c r="G2447" s="13"/>
      <c r="H2447" s="13">
        <v>97.85</v>
      </c>
      <c r="I2447" s="13">
        <v>97.82</v>
      </c>
      <c r="J2447" s="13"/>
      <c r="K2447" s="13"/>
    </row>
    <row r="2448" spans="1:11" x14ac:dyDescent="0.25">
      <c r="A2448" s="10">
        <v>43375</v>
      </c>
      <c r="B2448" s="15">
        <f t="shared" si="76"/>
        <v>10</v>
      </c>
      <c r="C2448" s="15">
        <f t="shared" si="77"/>
        <v>2018</v>
      </c>
      <c r="D2448" s="13">
        <v>51.6</v>
      </c>
      <c r="E2448" s="13">
        <v>39.061146717477911</v>
      </c>
      <c r="F2448" s="13">
        <v>24.96</v>
      </c>
      <c r="G2448" s="13"/>
      <c r="H2448" s="13">
        <v>97.85</v>
      </c>
      <c r="I2448" s="13">
        <v>97.82</v>
      </c>
      <c r="J2448" s="13"/>
      <c r="K2448" s="13"/>
    </row>
    <row r="2449" spans="1:11" x14ac:dyDescent="0.25">
      <c r="A2449" s="10">
        <v>43376</v>
      </c>
      <c r="B2449" s="15">
        <f t="shared" si="76"/>
        <v>10</v>
      </c>
      <c r="C2449" s="15">
        <f t="shared" si="77"/>
        <v>2018</v>
      </c>
      <c r="D2449" s="13">
        <v>51.6</v>
      </c>
      <c r="E2449" s="13">
        <v>39.299407459044964</v>
      </c>
      <c r="F2449" s="13">
        <v>24.96</v>
      </c>
      <c r="G2449" s="13"/>
      <c r="H2449" s="13">
        <v>97.85</v>
      </c>
      <c r="I2449" s="13">
        <v>97.82</v>
      </c>
      <c r="J2449" s="13"/>
      <c r="K2449" s="13"/>
    </row>
    <row r="2450" spans="1:11" x14ac:dyDescent="0.25">
      <c r="A2450" s="10">
        <v>43377</v>
      </c>
      <c r="B2450" s="15">
        <f t="shared" si="76"/>
        <v>10</v>
      </c>
      <c r="C2450" s="15">
        <f t="shared" si="77"/>
        <v>2018</v>
      </c>
      <c r="D2450" s="13">
        <v>51.6</v>
      </c>
      <c r="E2450" s="13">
        <v>39.173108659775906</v>
      </c>
      <c r="F2450" s="13">
        <v>24.96</v>
      </c>
      <c r="G2450" s="13"/>
      <c r="H2450" s="13">
        <v>97.85</v>
      </c>
      <c r="I2450" s="13">
        <v>97.82</v>
      </c>
      <c r="J2450" s="13"/>
      <c r="K2450" s="13"/>
    </row>
    <row r="2451" spans="1:11" x14ac:dyDescent="0.25">
      <c r="A2451" s="10">
        <v>43378</v>
      </c>
      <c r="B2451" s="15">
        <f t="shared" si="76"/>
        <v>10</v>
      </c>
      <c r="C2451" s="15">
        <f t="shared" si="77"/>
        <v>2018</v>
      </c>
      <c r="D2451" s="13">
        <v>51.6</v>
      </c>
      <c r="E2451" s="13">
        <v>39.139113078191443</v>
      </c>
      <c r="F2451" s="13">
        <v>24.96</v>
      </c>
      <c r="G2451" s="13"/>
      <c r="H2451" s="13">
        <v>97.85</v>
      </c>
      <c r="I2451" s="13">
        <v>97.82</v>
      </c>
      <c r="J2451" s="13"/>
      <c r="K2451" s="13"/>
    </row>
    <row r="2452" spans="1:11" x14ac:dyDescent="0.25">
      <c r="A2452" s="10">
        <v>43381</v>
      </c>
      <c r="B2452" s="15">
        <f t="shared" si="76"/>
        <v>10</v>
      </c>
      <c r="C2452" s="15">
        <f t="shared" si="77"/>
        <v>2018</v>
      </c>
      <c r="D2452" s="13">
        <v>53.11</v>
      </c>
      <c r="E2452" s="13">
        <v>42.184508268059183</v>
      </c>
      <c r="F2452" s="13">
        <v>28.28</v>
      </c>
      <c r="G2452" s="13"/>
      <c r="H2452" s="13">
        <v>104.25</v>
      </c>
      <c r="I2452" s="13">
        <v>71.13</v>
      </c>
      <c r="J2452" s="13"/>
      <c r="K2452" s="13"/>
    </row>
    <row r="2453" spans="1:11" x14ac:dyDescent="0.25">
      <c r="A2453" s="10">
        <v>43382</v>
      </c>
      <c r="B2453" s="15">
        <f t="shared" si="76"/>
        <v>10</v>
      </c>
      <c r="C2453" s="15">
        <f t="shared" si="77"/>
        <v>2018</v>
      </c>
      <c r="D2453" s="13">
        <v>53.11</v>
      </c>
      <c r="E2453" s="13">
        <v>42.188179998259201</v>
      </c>
      <c r="F2453" s="13">
        <v>28.28</v>
      </c>
      <c r="G2453" s="13"/>
      <c r="H2453" s="13">
        <v>104.25</v>
      </c>
      <c r="I2453" s="13">
        <v>71.13</v>
      </c>
      <c r="J2453" s="13"/>
      <c r="K2453" s="13"/>
    </row>
    <row r="2454" spans="1:11" x14ac:dyDescent="0.25">
      <c r="A2454" s="10">
        <v>43383</v>
      </c>
      <c r="B2454" s="15">
        <f t="shared" si="76"/>
        <v>10</v>
      </c>
      <c r="C2454" s="15">
        <f t="shared" si="77"/>
        <v>2018</v>
      </c>
      <c r="D2454" s="13">
        <v>53.11</v>
      </c>
      <c r="E2454" s="13">
        <v>42.081958673380797</v>
      </c>
      <c r="F2454" s="13">
        <v>28.28</v>
      </c>
      <c r="G2454" s="13"/>
      <c r="H2454" s="13">
        <v>104.25</v>
      </c>
      <c r="I2454" s="13">
        <v>71.13</v>
      </c>
      <c r="J2454" s="13"/>
      <c r="K2454" s="13"/>
    </row>
    <row r="2455" spans="1:11" x14ac:dyDescent="0.25">
      <c r="A2455" s="10">
        <v>43384</v>
      </c>
      <c r="B2455" s="15">
        <f t="shared" si="76"/>
        <v>10</v>
      </c>
      <c r="C2455" s="15">
        <f t="shared" si="77"/>
        <v>2018</v>
      </c>
      <c r="D2455" s="13">
        <v>53.11</v>
      </c>
      <c r="E2455" s="13">
        <v>41.809712757698613</v>
      </c>
      <c r="F2455" s="13">
        <v>28.28</v>
      </c>
      <c r="G2455" s="13"/>
      <c r="H2455" s="13">
        <v>104.25</v>
      </c>
      <c r="I2455" s="13">
        <v>71.13</v>
      </c>
      <c r="J2455" s="13"/>
      <c r="K2455" s="13"/>
    </row>
    <row r="2456" spans="1:11" x14ac:dyDescent="0.25">
      <c r="A2456" s="10">
        <v>43385</v>
      </c>
      <c r="B2456" s="15">
        <f t="shared" si="76"/>
        <v>10</v>
      </c>
      <c r="C2456" s="15">
        <f t="shared" si="77"/>
        <v>2018</v>
      </c>
      <c r="D2456" s="13">
        <v>53.11</v>
      </c>
      <c r="E2456" s="13">
        <v>41.92181283514963</v>
      </c>
      <c r="F2456" s="13">
        <v>28.28</v>
      </c>
      <c r="G2456" s="13"/>
      <c r="H2456" s="13">
        <v>104.25</v>
      </c>
      <c r="I2456" s="13">
        <v>71.13</v>
      </c>
      <c r="J2456" s="13"/>
      <c r="K2456" s="13"/>
    </row>
    <row r="2457" spans="1:11" x14ac:dyDescent="0.25">
      <c r="A2457" s="10">
        <v>43388</v>
      </c>
      <c r="B2457" s="15">
        <f t="shared" si="76"/>
        <v>10</v>
      </c>
      <c r="C2457" s="15">
        <f t="shared" si="77"/>
        <v>2018</v>
      </c>
      <c r="D2457" s="13">
        <v>49.53</v>
      </c>
      <c r="E2457" s="13">
        <v>44.3206357432841</v>
      </c>
      <c r="F2457" s="13">
        <v>25.81</v>
      </c>
      <c r="G2457" s="13"/>
      <c r="H2457" s="13">
        <v>100.72</v>
      </c>
      <c r="I2457" s="13">
        <v>92.27</v>
      </c>
      <c r="J2457" s="13"/>
      <c r="K2457" s="13"/>
    </row>
    <row r="2458" spans="1:11" x14ac:dyDescent="0.25">
      <c r="A2458" s="10">
        <v>43389</v>
      </c>
      <c r="B2458" s="15">
        <f t="shared" si="76"/>
        <v>10</v>
      </c>
      <c r="C2458" s="15">
        <f t="shared" si="77"/>
        <v>2018</v>
      </c>
      <c r="D2458" s="13">
        <v>49.53</v>
      </c>
      <c r="E2458" s="13">
        <v>44.33595437656615</v>
      </c>
      <c r="F2458" s="13">
        <v>25.81</v>
      </c>
      <c r="G2458" s="13"/>
      <c r="H2458" s="13">
        <v>100.72</v>
      </c>
      <c r="I2458" s="13">
        <v>92.27</v>
      </c>
      <c r="J2458" s="13"/>
      <c r="K2458" s="13"/>
    </row>
    <row r="2459" spans="1:11" x14ac:dyDescent="0.25">
      <c r="A2459" s="10">
        <v>43390</v>
      </c>
      <c r="B2459" s="15">
        <f t="shared" si="76"/>
        <v>10</v>
      </c>
      <c r="C2459" s="15">
        <f t="shared" si="77"/>
        <v>2018</v>
      </c>
      <c r="D2459" s="13">
        <v>49.53</v>
      </c>
      <c r="E2459" s="13">
        <v>44.62127141490565</v>
      </c>
      <c r="F2459" s="13">
        <v>25.81</v>
      </c>
      <c r="G2459" s="13"/>
      <c r="H2459" s="13">
        <v>100.72</v>
      </c>
      <c r="I2459" s="13">
        <v>92.27</v>
      </c>
      <c r="J2459" s="13"/>
      <c r="K2459" s="13"/>
    </row>
    <row r="2460" spans="1:11" x14ac:dyDescent="0.25">
      <c r="A2460" s="10">
        <v>43391</v>
      </c>
      <c r="B2460" s="15">
        <f t="shared" si="76"/>
        <v>10</v>
      </c>
      <c r="C2460" s="15">
        <f t="shared" si="77"/>
        <v>2018</v>
      </c>
      <c r="D2460" s="13">
        <v>49.53</v>
      </c>
      <c r="E2460" s="13">
        <v>44.804400977995115</v>
      </c>
      <c r="F2460" s="13">
        <v>25.81</v>
      </c>
      <c r="G2460" s="13"/>
      <c r="H2460" s="13">
        <v>100.72</v>
      </c>
      <c r="I2460" s="13">
        <v>92.27</v>
      </c>
      <c r="J2460" s="13"/>
      <c r="K2460" s="13"/>
    </row>
    <row r="2461" spans="1:11" x14ac:dyDescent="0.25">
      <c r="A2461" s="10">
        <v>43392</v>
      </c>
      <c r="B2461" s="15">
        <f t="shared" si="76"/>
        <v>10</v>
      </c>
      <c r="C2461" s="15">
        <f t="shared" si="77"/>
        <v>2018</v>
      </c>
      <c r="D2461" s="13">
        <v>49.53</v>
      </c>
      <c r="E2461" s="13">
        <v>44.567011204725098</v>
      </c>
      <c r="F2461" s="13">
        <v>25.81</v>
      </c>
      <c r="G2461" s="13"/>
      <c r="H2461" s="13">
        <v>100.72</v>
      </c>
      <c r="I2461" s="13">
        <v>92.27</v>
      </c>
      <c r="J2461" s="13"/>
      <c r="K2461" s="13"/>
    </row>
    <row r="2462" spans="1:11" x14ac:dyDescent="0.25">
      <c r="A2462" s="10">
        <v>43395</v>
      </c>
      <c r="B2462" s="15">
        <f t="shared" si="76"/>
        <v>10</v>
      </c>
      <c r="C2462" s="15">
        <f t="shared" si="77"/>
        <v>2018</v>
      </c>
      <c r="D2462" s="13">
        <v>41.84</v>
      </c>
      <c r="E2462" s="13">
        <v>35.444473523510425</v>
      </c>
      <c r="F2462" s="13">
        <v>-2.71</v>
      </c>
      <c r="G2462" s="13"/>
      <c r="H2462" s="13">
        <v>88.29</v>
      </c>
      <c r="I2462" s="13">
        <v>51.1</v>
      </c>
      <c r="J2462" s="13"/>
      <c r="K2462" s="13"/>
    </row>
    <row r="2463" spans="1:11" x14ac:dyDescent="0.25">
      <c r="A2463" s="10">
        <v>43396</v>
      </c>
      <c r="B2463" s="15">
        <f t="shared" si="76"/>
        <v>10</v>
      </c>
      <c r="C2463" s="15">
        <f t="shared" si="77"/>
        <v>2018</v>
      </c>
      <c r="D2463" s="13">
        <v>41.84</v>
      </c>
      <c r="E2463" s="13">
        <v>35.425930769901477</v>
      </c>
      <c r="F2463" s="13">
        <v>-2.71</v>
      </c>
      <c r="G2463" s="13"/>
      <c r="H2463" s="13">
        <v>88.29</v>
      </c>
      <c r="I2463" s="13">
        <v>51.1</v>
      </c>
      <c r="J2463" s="13"/>
      <c r="K2463" s="13"/>
    </row>
    <row r="2464" spans="1:11" x14ac:dyDescent="0.25">
      <c r="A2464" s="10">
        <v>43397</v>
      </c>
      <c r="B2464" s="15">
        <f t="shared" si="76"/>
        <v>10</v>
      </c>
      <c r="C2464" s="15">
        <f t="shared" si="77"/>
        <v>2018</v>
      </c>
      <c r="D2464" s="13">
        <v>41.84</v>
      </c>
      <c r="E2464" s="13">
        <v>35.668510227372487</v>
      </c>
      <c r="F2464" s="13">
        <v>-2.71</v>
      </c>
      <c r="G2464" s="13"/>
      <c r="H2464" s="13">
        <v>88.29</v>
      </c>
      <c r="I2464" s="13">
        <v>51.1</v>
      </c>
      <c r="J2464" s="13"/>
      <c r="K2464" s="13"/>
    </row>
    <row r="2465" spans="1:11" x14ac:dyDescent="0.25">
      <c r="A2465" s="10">
        <v>43398</v>
      </c>
      <c r="B2465" s="15">
        <f t="shared" si="76"/>
        <v>10</v>
      </c>
      <c r="C2465" s="15">
        <f t="shared" si="77"/>
        <v>2018</v>
      </c>
      <c r="D2465" s="13">
        <v>41.84</v>
      </c>
      <c r="E2465" s="13">
        <v>35.721821698610867</v>
      </c>
      <c r="F2465" s="13">
        <v>-2.71</v>
      </c>
      <c r="G2465" s="13"/>
      <c r="H2465" s="13">
        <v>88.29</v>
      </c>
      <c r="I2465" s="13">
        <v>51.1</v>
      </c>
      <c r="J2465" s="13"/>
      <c r="K2465" s="13"/>
    </row>
    <row r="2466" spans="1:11" x14ac:dyDescent="0.25">
      <c r="A2466" s="10">
        <v>43399</v>
      </c>
      <c r="B2466" s="15">
        <f t="shared" si="76"/>
        <v>10</v>
      </c>
      <c r="C2466" s="15">
        <f t="shared" si="77"/>
        <v>2018</v>
      </c>
      <c r="D2466" s="13">
        <v>41.84</v>
      </c>
      <c r="E2466" s="13">
        <v>35.637224804841686</v>
      </c>
      <c r="F2466" s="13">
        <v>-2.71</v>
      </c>
      <c r="G2466" s="13"/>
      <c r="H2466" s="13">
        <v>88.29</v>
      </c>
      <c r="I2466" s="13">
        <v>51.1</v>
      </c>
      <c r="J2466" s="13"/>
      <c r="K2466" s="13"/>
    </row>
    <row r="2467" spans="1:11" x14ac:dyDescent="0.25">
      <c r="A2467" s="10">
        <v>43402</v>
      </c>
      <c r="B2467" s="15">
        <f t="shared" si="76"/>
        <v>10</v>
      </c>
      <c r="C2467" s="15">
        <f t="shared" si="77"/>
        <v>2018</v>
      </c>
      <c r="D2467" s="13">
        <v>42.36</v>
      </c>
      <c r="E2467" s="13">
        <v>37.753935449828511</v>
      </c>
      <c r="F2467" s="13">
        <v>-6.14</v>
      </c>
      <c r="G2467" s="13"/>
      <c r="H2467" s="13">
        <v>90.71</v>
      </c>
      <c r="I2467" s="13">
        <v>96.93</v>
      </c>
      <c r="J2467" s="13"/>
      <c r="K2467" s="13"/>
    </row>
    <row r="2468" spans="1:11" x14ac:dyDescent="0.25">
      <c r="A2468" s="10">
        <v>43403</v>
      </c>
      <c r="B2468" s="15">
        <f t="shared" si="76"/>
        <v>10</v>
      </c>
      <c r="C2468" s="15">
        <f t="shared" si="77"/>
        <v>2018</v>
      </c>
      <c r="D2468" s="13">
        <v>42.36</v>
      </c>
      <c r="E2468" s="13">
        <v>37.843794076163611</v>
      </c>
      <c r="F2468" s="13">
        <v>-6.14</v>
      </c>
      <c r="G2468" s="13"/>
      <c r="H2468" s="13">
        <v>90.71</v>
      </c>
      <c r="I2468" s="13">
        <v>96.93</v>
      </c>
      <c r="J2468" s="13"/>
      <c r="K2468" s="13"/>
    </row>
    <row r="2469" spans="1:11" x14ac:dyDescent="0.25">
      <c r="A2469" s="10">
        <v>43404</v>
      </c>
      <c r="B2469" s="15">
        <f t="shared" si="76"/>
        <v>10</v>
      </c>
      <c r="C2469" s="15">
        <f t="shared" si="77"/>
        <v>2018</v>
      </c>
      <c r="D2469" s="13">
        <v>42.36</v>
      </c>
      <c r="E2469" s="13">
        <v>37.95755968169761</v>
      </c>
      <c r="F2469" s="13">
        <v>-6.14</v>
      </c>
      <c r="G2469" s="13"/>
      <c r="H2469" s="13">
        <v>90.71</v>
      </c>
      <c r="I2469" s="13">
        <v>96.93</v>
      </c>
      <c r="J2469" s="13"/>
      <c r="K2469" s="13"/>
    </row>
    <row r="2470" spans="1:11" x14ac:dyDescent="0.25">
      <c r="A2470" s="10">
        <v>43405</v>
      </c>
      <c r="B2470" s="15">
        <f t="shared" si="76"/>
        <v>11</v>
      </c>
      <c r="C2470" s="15">
        <f t="shared" si="77"/>
        <v>2018</v>
      </c>
      <c r="D2470" s="13">
        <v>42.36</v>
      </c>
      <c r="E2470" s="13">
        <v>37.634785657929342</v>
      </c>
      <c r="F2470" s="13">
        <v>-6.14</v>
      </c>
      <c r="G2470" s="13"/>
      <c r="H2470" s="13">
        <v>90.71</v>
      </c>
      <c r="I2470" s="13">
        <v>96.93</v>
      </c>
      <c r="J2470" s="13"/>
      <c r="K2470" s="13"/>
    </row>
    <row r="2471" spans="1:11" x14ac:dyDescent="0.25">
      <c r="A2471" s="10">
        <v>43406</v>
      </c>
      <c r="B2471" s="15">
        <f t="shared" si="76"/>
        <v>11</v>
      </c>
      <c r="C2471" s="15">
        <f t="shared" si="77"/>
        <v>2018</v>
      </c>
      <c r="D2471" s="13">
        <v>42.36</v>
      </c>
      <c r="E2471" s="13">
        <v>37.707509881422922</v>
      </c>
      <c r="F2471" s="13">
        <v>-6.14</v>
      </c>
      <c r="G2471" s="13"/>
      <c r="H2471" s="13">
        <v>90.71</v>
      </c>
      <c r="I2471" s="13">
        <v>96.93</v>
      </c>
      <c r="J2471" s="13"/>
      <c r="K2471" s="13"/>
    </row>
    <row r="2472" spans="1:11" x14ac:dyDescent="0.25">
      <c r="A2472" s="10">
        <v>43409</v>
      </c>
      <c r="B2472" s="15">
        <f t="shared" si="76"/>
        <v>11</v>
      </c>
      <c r="C2472" s="15">
        <f t="shared" si="77"/>
        <v>2018</v>
      </c>
      <c r="D2472" s="13">
        <v>30.48</v>
      </c>
      <c r="E2472" s="13">
        <v>34.86761353673505</v>
      </c>
      <c r="F2472" s="13">
        <v>-15.25</v>
      </c>
      <c r="G2472" s="13"/>
      <c r="H2472" s="13">
        <v>63.66</v>
      </c>
      <c r="I2472" s="13">
        <v>45.78</v>
      </c>
      <c r="J2472" s="13"/>
      <c r="K2472" s="13"/>
    </row>
    <row r="2473" spans="1:11" x14ac:dyDescent="0.25">
      <c r="A2473" s="10">
        <v>43410</v>
      </c>
      <c r="B2473" s="15">
        <f t="shared" si="76"/>
        <v>11</v>
      </c>
      <c r="C2473" s="15">
        <f t="shared" si="77"/>
        <v>2018</v>
      </c>
      <c r="D2473" s="13">
        <v>30.48</v>
      </c>
      <c r="E2473" s="13">
        <v>34.806581480833188</v>
      </c>
      <c r="F2473" s="13">
        <v>-15.25</v>
      </c>
      <c r="G2473" s="13"/>
      <c r="H2473" s="13">
        <v>63.66</v>
      </c>
      <c r="I2473" s="13">
        <v>45.78</v>
      </c>
      <c r="J2473" s="13"/>
      <c r="K2473" s="13"/>
    </row>
    <row r="2474" spans="1:11" x14ac:dyDescent="0.25">
      <c r="A2474" s="10">
        <v>43411</v>
      </c>
      <c r="B2474" s="15">
        <f t="shared" si="76"/>
        <v>11</v>
      </c>
      <c r="C2474" s="15">
        <f t="shared" si="77"/>
        <v>2018</v>
      </c>
      <c r="D2474" s="13">
        <v>30.48</v>
      </c>
      <c r="E2474" s="13">
        <v>34.812675070028014</v>
      </c>
      <c r="F2474" s="13">
        <v>-15.25</v>
      </c>
      <c r="G2474" s="13"/>
      <c r="H2474" s="13">
        <v>63.66</v>
      </c>
      <c r="I2474" s="13">
        <v>45.78</v>
      </c>
      <c r="J2474" s="13"/>
      <c r="K2474" s="13"/>
    </row>
    <row r="2475" spans="1:11" x14ac:dyDescent="0.25">
      <c r="A2475" s="10">
        <v>43412</v>
      </c>
      <c r="B2475" s="15">
        <f t="shared" si="76"/>
        <v>11</v>
      </c>
      <c r="C2475" s="15">
        <f t="shared" si="77"/>
        <v>2018</v>
      </c>
      <c r="D2475" s="13">
        <v>30.48</v>
      </c>
      <c r="E2475" s="13">
        <v>35.00264038021475</v>
      </c>
      <c r="F2475" s="13">
        <v>-15.25</v>
      </c>
      <c r="G2475" s="13"/>
      <c r="H2475" s="13">
        <v>63.66</v>
      </c>
      <c r="I2475" s="13">
        <v>45.78</v>
      </c>
      <c r="J2475" s="13"/>
      <c r="K2475" s="13"/>
    </row>
    <row r="2476" spans="1:11" x14ac:dyDescent="0.25">
      <c r="A2476" s="10">
        <v>43413</v>
      </c>
      <c r="B2476" s="15">
        <f t="shared" si="76"/>
        <v>11</v>
      </c>
      <c r="C2476" s="15">
        <f t="shared" si="77"/>
        <v>2018</v>
      </c>
      <c r="D2476" s="13">
        <v>30.48</v>
      </c>
      <c r="E2476" s="13">
        <v>35.08911240515264</v>
      </c>
      <c r="F2476" s="13">
        <v>-15.25</v>
      </c>
      <c r="G2476" s="13"/>
      <c r="H2476" s="13">
        <v>63.66</v>
      </c>
      <c r="I2476" s="13">
        <v>45.78</v>
      </c>
      <c r="J2476" s="13"/>
      <c r="K2476" s="13"/>
    </row>
    <row r="2477" spans="1:11" x14ac:dyDescent="0.25">
      <c r="A2477" s="10">
        <v>43416</v>
      </c>
      <c r="B2477" s="15">
        <f t="shared" si="76"/>
        <v>11</v>
      </c>
      <c r="C2477" s="15">
        <f t="shared" si="77"/>
        <v>2018</v>
      </c>
      <c r="D2477" s="13">
        <v>20.83</v>
      </c>
      <c r="E2477" s="13">
        <v>27.797093697066952</v>
      </c>
      <c r="F2477" s="13">
        <v>-20.16</v>
      </c>
      <c r="G2477" s="13"/>
      <c r="H2477" s="13">
        <v>58.94</v>
      </c>
      <c r="I2477" s="13">
        <v>41.58</v>
      </c>
      <c r="J2477" s="13"/>
      <c r="K2477" s="13"/>
    </row>
    <row r="2478" spans="1:11" x14ac:dyDescent="0.25">
      <c r="A2478" s="10">
        <v>43417</v>
      </c>
      <c r="B2478" s="15">
        <f t="shared" si="76"/>
        <v>11</v>
      </c>
      <c r="C2478" s="15">
        <f t="shared" si="77"/>
        <v>2018</v>
      </c>
      <c r="D2478" s="13">
        <v>20.83</v>
      </c>
      <c r="E2478" s="13">
        <v>27.619806891664453</v>
      </c>
      <c r="F2478" s="13">
        <v>-20.16</v>
      </c>
      <c r="G2478" s="13"/>
      <c r="H2478" s="13">
        <v>58.94</v>
      </c>
      <c r="I2478" s="13">
        <v>41.58</v>
      </c>
      <c r="J2478" s="13"/>
      <c r="K2478" s="13"/>
    </row>
    <row r="2479" spans="1:11" x14ac:dyDescent="0.25">
      <c r="A2479" s="10">
        <v>43418</v>
      </c>
      <c r="B2479" s="15">
        <f t="shared" si="76"/>
        <v>11</v>
      </c>
      <c r="C2479" s="15">
        <f t="shared" si="77"/>
        <v>2018</v>
      </c>
      <c r="D2479" s="13">
        <v>20.83</v>
      </c>
      <c r="E2479" s="13">
        <v>27.573399363282629</v>
      </c>
      <c r="F2479" s="13">
        <v>-20.16</v>
      </c>
      <c r="G2479" s="13"/>
      <c r="H2479" s="13">
        <v>58.94</v>
      </c>
      <c r="I2479" s="13">
        <v>41.58</v>
      </c>
      <c r="J2479" s="13"/>
      <c r="K2479" s="13"/>
    </row>
    <row r="2480" spans="1:11" x14ac:dyDescent="0.25">
      <c r="A2480" s="10">
        <v>43419</v>
      </c>
      <c r="B2480" s="15">
        <f t="shared" si="76"/>
        <v>11</v>
      </c>
      <c r="C2480" s="15">
        <f t="shared" si="77"/>
        <v>2018</v>
      </c>
      <c r="D2480" s="13">
        <v>20.83</v>
      </c>
      <c r="E2480" s="13">
        <v>27.529577962210841</v>
      </c>
      <c r="F2480" s="13">
        <v>-20.16</v>
      </c>
      <c r="G2480" s="13"/>
      <c r="H2480" s="13">
        <v>58.94</v>
      </c>
      <c r="I2480" s="13">
        <v>41.58</v>
      </c>
      <c r="J2480" s="13"/>
      <c r="K2480" s="13"/>
    </row>
    <row r="2481" spans="1:11" x14ac:dyDescent="0.25">
      <c r="A2481" s="10">
        <v>43420</v>
      </c>
      <c r="B2481" s="15">
        <f t="shared" si="76"/>
        <v>11</v>
      </c>
      <c r="C2481" s="15">
        <f t="shared" si="77"/>
        <v>2018</v>
      </c>
      <c r="D2481" s="13">
        <v>20.83</v>
      </c>
      <c r="E2481" s="13">
        <v>27.307759677701874</v>
      </c>
      <c r="F2481" s="13">
        <v>-20.16</v>
      </c>
      <c r="G2481" s="13"/>
      <c r="H2481" s="13">
        <v>58.94</v>
      </c>
      <c r="I2481" s="13">
        <v>41.58</v>
      </c>
      <c r="J2481" s="13"/>
      <c r="K2481" s="13"/>
    </row>
    <row r="2482" spans="1:11" x14ac:dyDescent="0.25">
      <c r="A2482" s="10">
        <v>43423</v>
      </c>
      <c r="B2482" s="15">
        <f t="shared" si="76"/>
        <v>11</v>
      </c>
      <c r="C2482" s="15">
        <f t="shared" si="77"/>
        <v>2018</v>
      </c>
      <c r="D2482" s="13">
        <v>15.86</v>
      </c>
      <c r="E2482" s="13">
        <v>31.874945419614008</v>
      </c>
      <c r="F2482" s="13">
        <v>-28.76</v>
      </c>
      <c r="G2482" s="13"/>
      <c r="H2482" s="13">
        <v>54.79</v>
      </c>
      <c r="I2482" s="13">
        <v>40.5</v>
      </c>
      <c r="J2482" s="13"/>
      <c r="K2482" s="13"/>
    </row>
    <row r="2483" spans="1:11" x14ac:dyDescent="0.25">
      <c r="A2483" s="10">
        <v>43424</v>
      </c>
      <c r="B2483" s="15">
        <f t="shared" si="76"/>
        <v>11</v>
      </c>
      <c r="C2483" s="15">
        <f t="shared" si="77"/>
        <v>2018</v>
      </c>
      <c r="D2483" s="13">
        <v>15.86</v>
      </c>
      <c r="E2483" s="13">
        <v>32.102022867194371</v>
      </c>
      <c r="F2483" s="13">
        <v>-28.76</v>
      </c>
      <c r="G2483" s="13"/>
      <c r="H2483" s="13">
        <v>54.79</v>
      </c>
      <c r="I2483" s="13">
        <v>40.5</v>
      </c>
      <c r="J2483" s="13"/>
      <c r="K2483" s="13"/>
    </row>
    <row r="2484" spans="1:11" x14ac:dyDescent="0.25">
      <c r="A2484" s="10">
        <v>43425</v>
      </c>
      <c r="B2484" s="15">
        <f t="shared" si="76"/>
        <v>11</v>
      </c>
      <c r="C2484" s="15">
        <f t="shared" si="77"/>
        <v>2018</v>
      </c>
      <c r="D2484" s="13">
        <v>15.86</v>
      </c>
      <c r="E2484" s="13">
        <v>32.065360625494158</v>
      </c>
      <c r="F2484" s="13">
        <v>-28.76</v>
      </c>
      <c r="G2484" s="13"/>
      <c r="H2484" s="13">
        <v>54.79</v>
      </c>
      <c r="I2484" s="13">
        <v>40.5</v>
      </c>
      <c r="J2484" s="13"/>
      <c r="K2484" s="13"/>
    </row>
    <row r="2485" spans="1:11" x14ac:dyDescent="0.25">
      <c r="A2485" s="10">
        <v>43427</v>
      </c>
      <c r="B2485" s="15">
        <f t="shared" si="76"/>
        <v>11</v>
      </c>
      <c r="C2485" s="15">
        <f t="shared" si="77"/>
        <v>2018</v>
      </c>
      <c r="D2485" s="13">
        <v>15.86</v>
      </c>
      <c r="E2485" s="13">
        <v>32.186948853615526</v>
      </c>
      <c r="F2485" s="13">
        <v>-28.76</v>
      </c>
      <c r="G2485" s="13"/>
      <c r="H2485" s="13">
        <v>54.79</v>
      </c>
      <c r="I2485" s="13">
        <v>40.5</v>
      </c>
      <c r="J2485" s="13"/>
      <c r="K2485" s="13"/>
    </row>
    <row r="2486" spans="1:11" x14ac:dyDescent="0.25">
      <c r="A2486" s="10">
        <v>43430</v>
      </c>
      <c r="B2486" s="15">
        <f t="shared" si="76"/>
        <v>11</v>
      </c>
      <c r="C2486" s="15">
        <f t="shared" si="77"/>
        <v>2018</v>
      </c>
      <c r="D2486" s="13">
        <v>23.39</v>
      </c>
      <c r="E2486" s="13">
        <v>38.910471481546885</v>
      </c>
      <c r="F2486" s="13">
        <v>-25.89</v>
      </c>
      <c r="G2486" s="13"/>
      <c r="H2486" s="13">
        <v>56.3</v>
      </c>
      <c r="I2486" s="13">
        <v>77.510000000000005</v>
      </c>
      <c r="J2486" s="13"/>
      <c r="K2486" s="13"/>
    </row>
    <row r="2487" spans="1:11" x14ac:dyDescent="0.25">
      <c r="A2487" s="10">
        <v>43431</v>
      </c>
      <c r="B2487" s="15">
        <f t="shared" si="76"/>
        <v>11</v>
      </c>
      <c r="C2487" s="15">
        <f t="shared" si="77"/>
        <v>2018</v>
      </c>
      <c r="D2487" s="13">
        <v>23.39</v>
      </c>
      <c r="E2487" s="13">
        <v>39.041459957476967</v>
      </c>
      <c r="F2487" s="13">
        <v>-25.89</v>
      </c>
      <c r="G2487" s="13"/>
      <c r="H2487" s="13">
        <v>56.3</v>
      </c>
      <c r="I2487" s="13">
        <v>77.510000000000005</v>
      </c>
      <c r="J2487" s="13"/>
      <c r="K2487" s="13"/>
    </row>
    <row r="2488" spans="1:11" x14ac:dyDescent="0.25">
      <c r="A2488" s="10">
        <v>43432</v>
      </c>
      <c r="B2488" s="15">
        <f t="shared" si="76"/>
        <v>11</v>
      </c>
      <c r="C2488" s="15">
        <f t="shared" si="77"/>
        <v>2018</v>
      </c>
      <c r="D2488" s="13">
        <v>23.39</v>
      </c>
      <c r="E2488" s="13">
        <v>38.773535104698219</v>
      </c>
      <c r="F2488" s="13">
        <v>-25.89</v>
      </c>
      <c r="G2488" s="13"/>
      <c r="H2488" s="13">
        <v>56.3</v>
      </c>
      <c r="I2488" s="13">
        <v>77.510000000000005</v>
      </c>
      <c r="J2488" s="13"/>
      <c r="K2488" s="13"/>
    </row>
    <row r="2489" spans="1:11" x14ac:dyDescent="0.25">
      <c r="A2489" s="10">
        <v>43433</v>
      </c>
      <c r="B2489" s="15">
        <f t="shared" si="76"/>
        <v>11</v>
      </c>
      <c r="C2489" s="15">
        <f t="shared" si="77"/>
        <v>2018</v>
      </c>
      <c r="D2489" s="13">
        <v>23.39</v>
      </c>
      <c r="E2489" s="13">
        <v>38.688438240716359</v>
      </c>
      <c r="F2489" s="13">
        <v>-25.89</v>
      </c>
      <c r="G2489" s="13"/>
      <c r="H2489" s="13">
        <v>56.3</v>
      </c>
      <c r="I2489" s="13">
        <v>77.510000000000005</v>
      </c>
      <c r="J2489" s="13"/>
      <c r="K2489" s="13"/>
    </row>
    <row r="2490" spans="1:11" x14ac:dyDescent="0.25">
      <c r="A2490" s="10">
        <v>43434</v>
      </c>
      <c r="B2490" s="15">
        <f t="shared" si="76"/>
        <v>11</v>
      </c>
      <c r="C2490" s="15">
        <f t="shared" si="77"/>
        <v>2018</v>
      </c>
      <c r="D2490" s="13">
        <v>23.39</v>
      </c>
      <c r="E2490" s="13">
        <v>38.948298718515247</v>
      </c>
      <c r="F2490" s="13">
        <v>-25.89</v>
      </c>
      <c r="G2490" s="13"/>
      <c r="H2490" s="13">
        <v>56.3</v>
      </c>
      <c r="I2490" s="13">
        <v>77.510000000000005</v>
      </c>
      <c r="J2490" s="13"/>
      <c r="K2490" s="13"/>
    </row>
    <row r="2491" spans="1:11" x14ac:dyDescent="0.25">
      <c r="A2491" s="10">
        <v>43437</v>
      </c>
      <c r="B2491" s="15">
        <f t="shared" si="76"/>
        <v>12</v>
      </c>
      <c r="C2491" s="15">
        <f t="shared" si="77"/>
        <v>2018</v>
      </c>
      <c r="D2491" s="13">
        <v>26.07</v>
      </c>
      <c r="E2491" s="13">
        <v>36.372445384073288</v>
      </c>
      <c r="F2491" s="13">
        <v>-30.24</v>
      </c>
      <c r="G2491" s="13"/>
      <c r="H2491" s="13">
        <v>62.68</v>
      </c>
      <c r="I2491" s="13">
        <v>34.79</v>
      </c>
      <c r="J2491" s="13"/>
      <c r="K2491" s="13"/>
    </row>
    <row r="2492" spans="1:11" x14ac:dyDescent="0.25">
      <c r="A2492" s="10">
        <v>43438</v>
      </c>
      <c r="B2492" s="15">
        <f t="shared" si="76"/>
        <v>12</v>
      </c>
      <c r="C2492" s="15">
        <f t="shared" si="77"/>
        <v>2018</v>
      </c>
      <c r="D2492" s="13">
        <v>26.07</v>
      </c>
      <c r="E2492" s="13">
        <v>36.398095909732014</v>
      </c>
      <c r="F2492" s="13">
        <v>-30.24</v>
      </c>
      <c r="G2492" s="13"/>
      <c r="H2492" s="13">
        <v>62.68</v>
      </c>
      <c r="I2492" s="13">
        <v>34.79</v>
      </c>
      <c r="J2492" s="13"/>
      <c r="K2492" s="13"/>
    </row>
    <row r="2493" spans="1:11" x14ac:dyDescent="0.25">
      <c r="A2493" s="10">
        <v>43439</v>
      </c>
      <c r="B2493" s="15">
        <f t="shared" si="76"/>
        <v>12</v>
      </c>
      <c r="C2493" s="15">
        <f t="shared" si="77"/>
        <v>2018</v>
      </c>
      <c r="D2493" s="13">
        <v>26.07</v>
      </c>
      <c r="E2493" s="13">
        <v>36.398095909732014</v>
      </c>
      <c r="F2493" s="13">
        <v>-30.24</v>
      </c>
      <c r="G2493" s="13"/>
      <c r="H2493" s="13">
        <v>62.68</v>
      </c>
      <c r="I2493" s="13">
        <v>34.79</v>
      </c>
      <c r="J2493" s="13"/>
      <c r="K2493" s="13"/>
    </row>
    <row r="2494" spans="1:11" x14ac:dyDescent="0.25">
      <c r="A2494" s="10">
        <v>43440</v>
      </c>
      <c r="B2494" s="15">
        <f t="shared" si="76"/>
        <v>12</v>
      </c>
      <c r="C2494" s="15">
        <f t="shared" si="77"/>
        <v>2018</v>
      </c>
      <c r="D2494" s="13">
        <v>26.07</v>
      </c>
      <c r="E2494" s="13">
        <v>36.30209249164762</v>
      </c>
      <c r="F2494" s="13">
        <v>-30.24</v>
      </c>
      <c r="G2494" s="13"/>
      <c r="H2494" s="13">
        <v>62.68</v>
      </c>
      <c r="I2494" s="13">
        <v>34.79</v>
      </c>
      <c r="J2494" s="13"/>
      <c r="K2494" s="13"/>
    </row>
    <row r="2495" spans="1:11" x14ac:dyDescent="0.25">
      <c r="A2495" s="10">
        <v>43441</v>
      </c>
      <c r="B2495" s="15">
        <f t="shared" si="76"/>
        <v>12</v>
      </c>
      <c r="C2495" s="15">
        <f t="shared" si="77"/>
        <v>2018</v>
      </c>
      <c r="D2495" s="13">
        <v>26.07</v>
      </c>
      <c r="E2495" s="13">
        <v>36.295710267229254</v>
      </c>
      <c r="F2495" s="13">
        <v>-30.24</v>
      </c>
      <c r="G2495" s="13"/>
      <c r="H2495" s="13">
        <v>62.68</v>
      </c>
      <c r="I2495" s="13">
        <v>34.79</v>
      </c>
      <c r="J2495" s="13"/>
      <c r="K2495" s="13"/>
    </row>
    <row r="2496" spans="1:11" x14ac:dyDescent="0.25">
      <c r="A2496" s="10">
        <v>43444</v>
      </c>
      <c r="B2496" s="15">
        <f t="shared" si="76"/>
        <v>12</v>
      </c>
      <c r="C2496" s="15">
        <f t="shared" si="77"/>
        <v>2018</v>
      </c>
      <c r="D2496" s="13">
        <v>9.4</v>
      </c>
      <c r="E2496" s="13"/>
      <c r="F2496" s="13">
        <v>-52.01</v>
      </c>
      <c r="G2496" s="13"/>
      <c r="H2496" s="13">
        <v>45.82</v>
      </c>
      <c r="I2496" s="13">
        <v>52.4</v>
      </c>
    </row>
    <row r="2497" spans="1:9" x14ac:dyDescent="0.25">
      <c r="A2497" s="10">
        <v>43445</v>
      </c>
      <c r="B2497" s="15">
        <f t="shared" si="76"/>
        <v>12</v>
      </c>
      <c r="C2497" s="15">
        <f t="shared" si="77"/>
        <v>2018</v>
      </c>
      <c r="D2497" s="13">
        <v>9.4</v>
      </c>
      <c r="E2497" s="13"/>
      <c r="F2497" s="13">
        <v>-52.01</v>
      </c>
      <c r="G2497" s="13"/>
      <c r="H2497" s="13">
        <v>45.82</v>
      </c>
      <c r="I2497" s="13">
        <v>52.4</v>
      </c>
    </row>
    <row r="2498" spans="1:9" x14ac:dyDescent="0.25">
      <c r="A2498" s="10">
        <v>43446</v>
      </c>
      <c r="B2498" s="15">
        <f t="shared" si="76"/>
        <v>12</v>
      </c>
      <c r="C2498" s="15">
        <f t="shared" si="77"/>
        <v>2018</v>
      </c>
      <c r="D2498" s="13">
        <v>9.4</v>
      </c>
      <c r="E2498" s="13"/>
      <c r="F2498" s="13">
        <v>-52.01</v>
      </c>
      <c r="G2498" s="13"/>
      <c r="H2498" s="13">
        <v>45.82</v>
      </c>
      <c r="I2498" s="13">
        <v>52.4</v>
      </c>
    </row>
    <row r="2499" spans="1:9" x14ac:dyDescent="0.25">
      <c r="A2499" s="10">
        <v>43447</v>
      </c>
      <c r="B2499" s="15">
        <f t="shared" ref="B2499:B2562" si="78">MONTH(A2499)</f>
        <v>12</v>
      </c>
      <c r="C2499" s="15">
        <f t="shared" ref="C2499:C2562" si="79">YEAR(A2499)</f>
        <v>2018</v>
      </c>
      <c r="D2499" s="13">
        <v>9.4</v>
      </c>
      <c r="E2499" s="13"/>
      <c r="F2499" s="13">
        <v>-52.01</v>
      </c>
      <c r="G2499" s="13"/>
      <c r="H2499" s="13">
        <v>45.82</v>
      </c>
      <c r="I2499" s="13">
        <v>52.4</v>
      </c>
    </row>
    <row r="2500" spans="1:9" x14ac:dyDescent="0.25">
      <c r="A2500" s="10">
        <v>43448</v>
      </c>
      <c r="B2500" s="15">
        <f t="shared" si="78"/>
        <v>12</v>
      </c>
      <c r="C2500" s="15">
        <f t="shared" si="79"/>
        <v>2018</v>
      </c>
      <c r="D2500" s="13">
        <v>9.4</v>
      </c>
      <c r="E2500" s="13"/>
      <c r="F2500" s="13">
        <v>-52.01</v>
      </c>
      <c r="G2500" s="13"/>
      <c r="H2500" s="13">
        <v>45.82</v>
      </c>
      <c r="I2500" s="13">
        <v>52.4</v>
      </c>
    </row>
    <row r="2501" spans="1:9" x14ac:dyDescent="0.25">
      <c r="A2501" s="10">
        <v>43451</v>
      </c>
      <c r="B2501" s="15">
        <f t="shared" si="78"/>
        <v>12</v>
      </c>
      <c r="C2501" s="15">
        <f t="shared" si="79"/>
        <v>2018</v>
      </c>
      <c r="D2501" s="13">
        <v>-8.2100000000000009</v>
      </c>
      <c r="E2501" s="13"/>
      <c r="F2501" s="13">
        <v>-62.55</v>
      </c>
      <c r="G2501" s="13"/>
      <c r="H2501" s="13">
        <v>29.82</v>
      </c>
      <c r="I2501" s="13">
        <v>42.52</v>
      </c>
    </row>
    <row r="2502" spans="1:9" x14ac:dyDescent="0.25">
      <c r="A2502" s="10">
        <v>43452</v>
      </c>
      <c r="B2502" s="15">
        <f t="shared" si="78"/>
        <v>12</v>
      </c>
      <c r="C2502" s="15">
        <f t="shared" si="79"/>
        <v>2018</v>
      </c>
      <c r="D2502" s="13">
        <v>-8.2100000000000009</v>
      </c>
      <c r="E2502" s="13"/>
      <c r="F2502" s="13">
        <v>-62.55</v>
      </c>
      <c r="G2502" s="13"/>
      <c r="H2502" s="13">
        <v>29.82</v>
      </c>
      <c r="I2502" s="13">
        <v>42.52</v>
      </c>
    </row>
    <row r="2503" spans="1:9" x14ac:dyDescent="0.25">
      <c r="A2503" s="10">
        <v>43453</v>
      </c>
      <c r="B2503" s="15">
        <f t="shared" si="78"/>
        <v>12</v>
      </c>
      <c r="C2503" s="15">
        <f t="shared" si="79"/>
        <v>2018</v>
      </c>
      <c r="D2503" s="13">
        <v>-8.2100000000000009</v>
      </c>
      <c r="E2503" s="13"/>
      <c r="F2503" s="13">
        <v>-62.55</v>
      </c>
      <c r="G2503" s="13"/>
      <c r="H2503" s="13">
        <v>29.82</v>
      </c>
      <c r="I2503" s="13">
        <v>42.52</v>
      </c>
    </row>
    <row r="2504" spans="1:9" x14ac:dyDescent="0.25">
      <c r="A2504" s="10">
        <v>43454</v>
      </c>
      <c r="B2504" s="15">
        <f t="shared" si="78"/>
        <v>12</v>
      </c>
      <c r="C2504" s="15">
        <f t="shared" si="79"/>
        <v>2018</v>
      </c>
      <c r="D2504" s="13">
        <v>-8.2100000000000009</v>
      </c>
      <c r="E2504" s="13"/>
      <c r="F2504" s="13">
        <v>-62.55</v>
      </c>
      <c r="G2504" s="13"/>
      <c r="H2504" s="13">
        <v>29.82</v>
      </c>
      <c r="I2504" s="13">
        <v>42.52</v>
      </c>
    </row>
    <row r="2505" spans="1:9" x14ac:dyDescent="0.25">
      <c r="A2505" s="10">
        <v>43455</v>
      </c>
      <c r="B2505" s="15">
        <f t="shared" si="78"/>
        <v>12</v>
      </c>
      <c r="C2505" s="15">
        <f t="shared" si="79"/>
        <v>2018</v>
      </c>
      <c r="D2505" s="13">
        <v>-8.2100000000000009</v>
      </c>
      <c r="E2505" s="13"/>
      <c r="F2505" s="13">
        <v>-62.55</v>
      </c>
      <c r="G2505" s="13"/>
      <c r="H2505" s="13">
        <v>29.82</v>
      </c>
      <c r="I2505" s="13">
        <v>42.52</v>
      </c>
    </row>
    <row r="2506" spans="1:9" x14ac:dyDescent="0.25">
      <c r="A2506" s="10">
        <v>43458</v>
      </c>
      <c r="B2506" s="15">
        <f t="shared" si="78"/>
        <v>12</v>
      </c>
      <c r="C2506" s="15">
        <f t="shared" si="79"/>
        <v>2018</v>
      </c>
      <c r="D2506" s="13">
        <v>-13.36</v>
      </c>
      <c r="E2506" s="13"/>
      <c r="F2506" s="13">
        <v>-69.03</v>
      </c>
      <c r="G2506" s="13"/>
      <c r="H2506" s="13">
        <v>17.850000000000001</v>
      </c>
      <c r="I2506" s="13">
        <v>27.64</v>
      </c>
    </row>
    <row r="2507" spans="1:9" x14ac:dyDescent="0.25">
      <c r="A2507" s="10">
        <v>43460</v>
      </c>
      <c r="B2507" s="15">
        <f t="shared" si="78"/>
        <v>12</v>
      </c>
      <c r="C2507" s="15">
        <f t="shared" si="79"/>
        <v>2018</v>
      </c>
      <c r="D2507" s="13">
        <v>-13.36</v>
      </c>
      <c r="E2507" s="13"/>
      <c r="F2507" s="13">
        <v>-69.03</v>
      </c>
      <c r="G2507" s="13"/>
      <c r="H2507" s="13">
        <v>17.850000000000001</v>
      </c>
      <c r="I2507" s="13">
        <v>27.64</v>
      </c>
    </row>
    <row r="2508" spans="1:9" x14ac:dyDescent="0.25">
      <c r="A2508" s="10">
        <v>43461</v>
      </c>
      <c r="B2508" s="15">
        <f t="shared" si="78"/>
        <v>12</v>
      </c>
      <c r="C2508" s="15">
        <f t="shared" si="79"/>
        <v>2018</v>
      </c>
      <c r="D2508" s="13">
        <v>-13.36</v>
      </c>
      <c r="E2508" s="13"/>
      <c r="F2508" s="13">
        <v>-69.03</v>
      </c>
      <c r="G2508" s="13"/>
      <c r="H2508" s="13">
        <v>17.850000000000001</v>
      </c>
      <c r="I2508" s="13">
        <v>27.64</v>
      </c>
    </row>
    <row r="2509" spans="1:9" x14ac:dyDescent="0.25">
      <c r="A2509" s="10">
        <v>43462</v>
      </c>
      <c r="B2509" s="15">
        <f t="shared" si="78"/>
        <v>12</v>
      </c>
      <c r="C2509" s="15">
        <f t="shared" si="79"/>
        <v>2018</v>
      </c>
      <c r="D2509" s="13">
        <v>-13.36</v>
      </c>
      <c r="E2509" s="13"/>
      <c r="F2509" s="13">
        <v>-69.03</v>
      </c>
      <c r="G2509" s="13"/>
      <c r="H2509" s="13">
        <v>17.850000000000001</v>
      </c>
      <c r="I2509" s="13">
        <v>27.64</v>
      </c>
    </row>
    <row r="2510" spans="1:9" x14ac:dyDescent="0.25">
      <c r="A2510" s="10">
        <v>43465</v>
      </c>
      <c r="B2510" s="15">
        <f t="shared" si="78"/>
        <v>12</v>
      </c>
      <c r="C2510" s="15">
        <f t="shared" si="79"/>
        <v>2018</v>
      </c>
      <c r="D2510" s="13">
        <v>-3.13</v>
      </c>
      <c r="E2510" s="13"/>
      <c r="F2510" s="13">
        <v>-58.9</v>
      </c>
      <c r="G2510" s="13"/>
      <c r="H2510" s="13">
        <v>36.78</v>
      </c>
      <c r="I2510" s="13">
        <v>47.53</v>
      </c>
    </row>
    <row r="2511" spans="1:9" x14ac:dyDescent="0.25">
      <c r="A2511" s="10">
        <v>43467</v>
      </c>
      <c r="B2511" s="15">
        <f t="shared" si="78"/>
        <v>1</v>
      </c>
      <c r="C2511" s="15">
        <f t="shared" si="79"/>
        <v>2019</v>
      </c>
      <c r="D2511" s="13">
        <v>-3.13</v>
      </c>
      <c r="E2511" s="13"/>
      <c r="F2511" s="13">
        <v>-58.9</v>
      </c>
      <c r="G2511" s="13"/>
      <c r="H2511" s="13">
        <v>36.78</v>
      </c>
      <c r="I2511" s="13">
        <v>47.53</v>
      </c>
    </row>
    <row r="2512" spans="1:9" x14ac:dyDescent="0.25">
      <c r="A2512" s="10">
        <v>43468</v>
      </c>
      <c r="B2512" s="15">
        <f t="shared" si="78"/>
        <v>1</v>
      </c>
      <c r="C2512" s="15">
        <f t="shared" si="79"/>
        <v>2019</v>
      </c>
      <c r="D2512" s="13">
        <v>-3.13</v>
      </c>
      <c r="E2512" s="13"/>
      <c r="F2512" s="13">
        <v>-58.9</v>
      </c>
      <c r="G2512" s="13"/>
      <c r="H2512" s="13">
        <v>36.78</v>
      </c>
      <c r="I2512" s="13">
        <v>47.53</v>
      </c>
    </row>
    <row r="2513" spans="1:9" x14ac:dyDescent="0.25">
      <c r="A2513" s="10">
        <v>43469</v>
      </c>
      <c r="B2513" s="15">
        <f t="shared" si="78"/>
        <v>1</v>
      </c>
      <c r="C2513" s="15">
        <f t="shared" si="79"/>
        <v>2019</v>
      </c>
      <c r="D2513" s="13">
        <v>-3.13</v>
      </c>
      <c r="E2513" s="13"/>
      <c r="F2513" s="13">
        <v>-58.9</v>
      </c>
      <c r="G2513" s="13"/>
      <c r="H2513" s="13">
        <v>36.78</v>
      </c>
      <c r="I2513" s="13">
        <v>47.53</v>
      </c>
    </row>
    <row r="2514" spans="1:9" x14ac:dyDescent="0.25">
      <c r="A2514" s="10">
        <v>43472</v>
      </c>
      <c r="B2514" s="15">
        <f t="shared" si="78"/>
        <v>1</v>
      </c>
      <c r="C2514" s="15">
        <f t="shared" si="79"/>
        <v>2019</v>
      </c>
      <c r="D2514" s="13">
        <v>-18.329999999999998</v>
      </c>
      <c r="E2514" s="13"/>
      <c r="F2514" s="13">
        <v>-73.06</v>
      </c>
      <c r="G2514" s="13"/>
      <c r="H2514" s="13">
        <v>20.420000000000002</v>
      </c>
      <c r="I2514" s="13">
        <v>35.64</v>
      </c>
    </row>
    <row r="2515" spans="1:9" x14ac:dyDescent="0.25">
      <c r="A2515" s="10">
        <v>43473</v>
      </c>
      <c r="B2515" s="15">
        <f t="shared" si="78"/>
        <v>1</v>
      </c>
      <c r="C2515" s="15">
        <f t="shared" si="79"/>
        <v>2019</v>
      </c>
      <c r="D2515" s="13">
        <v>-18.329999999999998</v>
      </c>
      <c r="E2515" s="13"/>
      <c r="F2515" s="13">
        <v>-73.06</v>
      </c>
      <c r="G2515" s="13"/>
      <c r="H2515" s="13">
        <v>20.420000000000002</v>
      </c>
      <c r="I2515" s="13">
        <v>35.64</v>
      </c>
    </row>
    <row r="2516" spans="1:9" x14ac:dyDescent="0.25">
      <c r="A2516" s="10">
        <v>43474</v>
      </c>
      <c r="B2516" s="15">
        <f t="shared" si="78"/>
        <v>1</v>
      </c>
      <c r="C2516" s="15">
        <f t="shared" si="79"/>
        <v>2019</v>
      </c>
      <c r="D2516" s="13">
        <v>-18.329999999999998</v>
      </c>
      <c r="E2516" s="13"/>
      <c r="F2516" s="13">
        <v>-73.06</v>
      </c>
      <c r="G2516" s="13"/>
      <c r="H2516" s="13">
        <v>20.420000000000002</v>
      </c>
      <c r="I2516" s="13">
        <v>35.64</v>
      </c>
    </row>
    <row r="2517" spans="1:9" x14ac:dyDescent="0.25">
      <c r="A2517" s="10">
        <v>43475</v>
      </c>
      <c r="B2517" s="15">
        <f t="shared" si="78"/>
        <v>1</v>
      </c>
      <c r="C2517" s="15">
        <f t="shared" si="79"/>
        <v>2019</v>
      </c>
      <c r="D2517" s="13">
        <v>-18.329999999999998</v>
      </c>
      <c r="E2517" s="13"/>
      <c r="F2517" s="13">
        <v>-73.06</v>
      </c>
      <c r="G2517" s="13"/>
      <c r="H2517" s="13">
        <v>20.420000000000002</v>
      </c>
      <c r="I2517" s="13">
        <v>35.64</v>
      </c>
    </row>
    <row r="2518" spans="1:9" x14ac:dyDescent="0.25">
      <c r="A2518" s="10">
        <v>43476</v>
      </c>
      <c r="B2518" s="15">
        <f t="shared" si="78"/>
        <v>1</v>
      </c>
      <c r="C2518" s="15">
        <f t="shared" si="79"/>
        <v>2019</v>
      </c>
      <c r="D2518" s="13">
        <v>-18.329999999999998</v>
      </c>
      <c r="E2518" s="13"/>
      <c r="F2518" s="13">
        <v>-73.06</v>
      </c>
      <c r="G2518" s="13"/>
      <c r="H2518" s="13">
        <v>20.420000000000002</v>
      </c>
      <c r="I2518" s="13">
        <v>35.64</v>
      </c>
    </row>
    <row r="2519" spans="1:9" x14ac:dyDescent="0.25">
      <c r="A2519" s="10">
        <v>43479</v>
      </c>
      <c r="B2519" s="15">
        <f t="shared" si="78"/>
        <v>1</v>
      </c>
      <c r="C2519" s="15">
        <f t="shared" si="79"/>
        <v>2019</v>
      </c>
      <c r="D2519" s="13">
        <v>-24.59</v>
      </c>
      <c r="E2519" s="13"/>
      <c r="F2519" s="13">
        <v>-80.75</v>
      </c>
      <c r="G2519" s="13"/>
      <c r="H2519" s="13">
        <v>14.59</v>
      </c>
      <c r="I2519" s="13">
        <v>22.01</v>
      </c>
    </row>
    <row r="2520" spans="1:9" x14ac:dyDescent="0.25">
      <c r="A2520" s="10">
        <v>43480</v>
      </c>
      <c r="B2520" s="15">
        <f t="shared" si="78"/>
        <v>1</v>
      </c>
      <c r="C2520" s="15">
        <f t="shared" si="79"/>
        <v>2019</v>
      </c>
      <c r="D2520" s="13">
        <v>-24.59</v>
      </c>
      <c r="E2520" s="13"/>
      <c r="F2520" s="13">
        <v>-80.75</v>
      </c>
      <c r="G2520" s="13"/>
      <c r="H2520" s="13">
        <v>14.59</v>
      </c>
      <c r="I2520" s="13">
        <v>22.01</v>
      </c>
    </row>
    <row r="2521" spans="1:9" x14ac:dyDescent="0.25">
      <c r="A2521" s="10">
        <v>43481</v>
      </c>
      <c r="B2521" s="15">
        <f t="shared" si="78"/>
        <v>1</v>
      </c>
      <c r="C2521" s="15">
        <f t="shared" si="79"/>
        <v>2019</v>
      </c>
      <c r="D2521" s="13">
        <v>-24.59</v>
      </c>
      <c r="E2521" s="13"/>
      <c r="F2521" s="13">
        <v>-80.75</v>
      </c>
      <c r="G2521" s="13"/>
      <c r="H2521" s="13">
        <v>14.59</v>
      </c>
      <c r="I2521" s="13">
        <v>22.01</v>
      </c>
    </row>
    <row r="2522" spans="1:9" x14ac:dyDescent="0.25">
      <c r="A2522" s="10">
        <v>43482</v>
      </c>
      <c r="B2522" s="15">
        <f t="shared" si="78"/>
        <v>1</v>
      </c>
      <c r="C2522" s="15">
        <f t="shared" si="79"/>
        <v>2019</v>
      </c>
      <c r="D2522" s="13">
        <v>-24.59</v>
      </c>
      <c r="E2522" s="13"/>
      <c r="F2522" s="13">
        <v>-80.75</v>
      </c>
      <c r="G2522" s="13"/>
      <c r="H2522" s="13">
        <v>14.59</v>
      </c>
      <c r="I2522" s="13">
        <v>22.01</v>
      </c>
    </row>
    <row r="2523" spans="1:9" x14ac:dyDescent="0.25">
      <c r="A2523" s="10">
        <v>43483</v>
      </c>
      <c r="B2523" s="15">
        <f t="shared" si="78"/>
        <v>1</v>
      </c>
      <c r="C2523" s="15">
        <f t="shared" si="79"/>
        <v>2019</v>
      </c>
      <c r="D2523" s="13">
        <v>-24.59</v>
      </c>
      <c r="E2523" s="13"/>
      <c r="F2523" s="13">
        <v>-80.75</v>
      </c>
      <c r="G2523" s="13"/>
      <c r="H2523" s="13">
        <v>14.59</v>
      </c>
      <c r="I2523" s="13">
        <v>22.01</v>
      </c>
    </row>
    <row r="2524" spans="1:9" x14ac:dyDescent="0.25">
      <c r="A2524" s="10">
        <v>43487</v>
      </c>
      <c r="B2524" s="15">
        <f t="shared" si="78"/>
        <v>1</v>
      </c>
      <c r="C2524" s="15">
        <f t="shared" si="79"/>
        <v>2019</v>
      </c>
      <c r="D2524" s="13">
        <v>-11.83</v>
      </c>
      <c r="E2524" s="13"/>
      <c r="F2524" s="13">
        <v>-66.12</v>
      </c>
      <c r="G2524" s="13"/>
      <c r="H2524" s="13">
        <v>28.19</v>
      </c>
      <c r="I2524" s="13">
        <v>29.3</v>
      </c>
    </row>
    <row r="2525" spans="1:9" x14ac:dyDescent="0.25">
      <c r="A2525" s="10">
        <v>43488</v>
      </c>
      <c r="B2525" s="15">
        <f t="shared" si="78"/>
        <v>1</v>
      </c>
      <c r="C2525" s="15">
        <f t="shared" si="79"/>
        <v>2019</v>
      </c>
      <c r="D2525" s="13">
        <v>-11.83</v>
      </c>
      <c r="E2525" s="13"/>
      <c r="F2525" s="13">
        <v>-66.12</v>
      </c>
      <c r="G2525" s="13"/>
      <c r="H2525" s="13">
        <v>28.19</v>
      </c>
      <c r="I2525" s="13">
        <v>29.3</v>
      </c>
    </row>
    <row r="2526" spans="1:9" x14ac:dyDescent="0.25">
      <c r="A2526" s="10">
        <v>43489</v>
      </c>
      <c r="B2526" s="15">
        <f t="shared" si="78"/>
        <v>1</v>
      </c>
      <c r="C2526" s="15">
        <f t="shared" si="79"/>
        <v>2019</v>
      </c>
      <c r="D2526" s="13">
        <v>-11.83</v>
      </c>
      <c r="E2526" s="13"/>
      <c r="F2526" s="13">
        <v>-66.12</v>
      </c>
      <c r="G2526" s="13"/>
      <c r="H2526" s="13">
        <v>28.19</v>
      </c>
      <c r="I2526" s="13">
        <v>29.3</v>
      </c>
    </row>
    <row r="2527" spans="1:9" x14ac:dyDescent="0.25">
      <c r="A2527" s="10">
        <v>43490</v>
      </c>
      <c r="B2527" s="15">
        <f t="shared" si="78"/>
        <v>1</v>
      </c>
      <c r="C2527" s="15">
        <f t="shared" si="79"/>
        <v>2019</v>
      </c>
      <c r="D2527" s="13">
        <v>-11.83</v>
      </c>
      <c r="E2527" s="13"/>
      <c r="F2527" s="13">
        <v>-66.12</v>
      </c>
      <c r="G2527" s="13"/>
      <c r="H2527" s="13">
        <v>28.19</v>
      </c>
      <c r="I2527" s="13">
        <v>29.3</v>
      </c>
    </row>
    <row r="2528" spans="1:9" x14ac:dyDescent="0.25">
      <c r="A2528" s="10">
        <v>43493</v>
      </c>
      <c r="B2528" s="15">
        <f t="shared" si="78"/>
        <v>1</v>
      </c>
      <c r="C2528" s="15">
        <f t="shared" si="79"/>
        <v>2019</v>
      </c>
      <c r="D2528" s="13">
        <v>-17.78</v>
      </c>
      <c r="E2528" s="13"/>
      <c r="F2528" s="13">
        <v>-62.9</v>
      </c>
      <c r="G2528" s="13"/>
      <c r="H2528" s="13">
        <v>28.86</v>
      </c>
      <c r="I2528" s="13">
        <v>29.24</v>
      </c>
    </row>
    <row r="2529" spans="1:9" x14ac:dyDescent="0.25">
      <c r="A2529" s="10">
        <v>43494</v>
      </c>
      <c r="B2529" s="15">
        <f t="shared" si="78"/>
        <v>1</v>
      </c>
      <c r="C2529" s="15">
        <f t="shared" si="79"/>
        <v>2019</v>
      </c>
      <c r="D2529" s="13">
        <v>-17.78</v>
      </c>
      <c r="E2529" s="13"/>
      <c r="F2529" s="13">
        <v>-62.9</v>
      </c>
      <c r="G2529" s="13"/>
      <c r="H2529" s="13">
        <v>28.86</v>
      </c>
      <c r="I2529" s="13">
        <v>29.24</v>
      </c>
    </row>
    <row r="2530" spans="1:9" x14ac:dyDescent="0.25">
      <c r="A2530" s="10">
        <v>43495</v>
      </c>
      <c r="B2530" s="15">
        <f t="shared" si="78"/>
        <v>1</v>
      </c>
      <c r="C2530" s="15">
        <f t="shared" si="79"/>
        <v>2019</v>
      </c>
      <c r="D2530" s="13">
        <v>-17.78</v>
      </c>
      <c r="E2530" s="13"/>
      <c r="F2530" s="13">
        <v>-62.9</v>
      </c>
      <c r="G2530" s="13"/>
      <c r="H2530" s="13">
        <v>28.86</v>
      </c>
      <c r="I2530" s="13">
        <v>29.24</v>
      </c>
    </row>
    <row r="2531" spans="1:9" x14ac:dyDescent="0.25">
      <c r="A2531" s="10">
        <v>43496</v>
      </c>
      <c r="B2531" s="15">
        <f t="shared" si="78"/>
        <v>1</v>
      </c>
      <c r="C2531" s="15">
        <f t="shared" si="79"/>
        <v>2019</v>
      </c>
      <c r="D2531" s="13">
        <v>-17.78</v>
      </c>
      <c r="E2531" s="13"/>
      <c r="F2531" s="13">
        <v>-62.9</v>
      </c>
      <c r="G2531" s="13"/>
      <c r="H2531" s="13">
        <v>28.86</v>
      </c>
      <c r="I2531" s="13">
        <v>29.24</v>
      </c>
    </row>
    <row r="2532" spans="1:9" x14ac:dyDescent="0.25">
      <c r="A2532" s="10">
        <v>43497</v>
      </c>
      <c r="B2532" s="15">
        <f t="shared" si="78"/>
        <v>2</v>
      </c>
      <c r="C2532" s="15">
        <f t="shared" si="79"/>
        <v>2019</v>
      </c>
      <c r="D2532" s="13">
        <v>-17.78</v>
      </c>
      <c r="E2532" s="13"/>
      <c r="F2532" s="13">
        <v>-62.9</v>
      </c>
      <c r="G2532" s="13"/>
      <c r="H2532" s="13">
        <v>28.86</v>
      </c>
      <c r="I2532" s="13">
        <v>29.24</v>
      </c>
    </row>
    <row r="2533" spans="1:9" x14ac:dyDescent="0.25">
      <c r="A2533" s="10">
        <v>43500</v>
      </c>
      <c r="B2533" s="15">
        <f t="shared" si="78"/>
        <v>2</v>
      </c>
      <c r="C2533" s="15">
        <f t="shared" si="79"/>
        <v>2019</v>
      </c>
      <c r="D2533" s="13">
        <v>-2.72</v>
      </c>
      <c r="E2533" s="13"/>
      <c r="F2533" s="13">
        <v>-44.56</v>
      </c>
      <c r="G2533" s="13"/>
      <c r="H2533" s="13">
        <v>33.22</v>
      </c>
      <c r="I2533" s="13">
        <v>50.24</v>
      </c>
    </row>
    <row r="2534" spans="1:9" x14ac:dyDescent="0.25">
      <c r="A2534" s="10">
        <v>43501</v>
      </c>
      <c r="B2534" s="15">
        <f t="shared" si="78"/>
        <v>2</v>
      </c>
      <c r="C2534" s="15">
        <f t="shared" si="79"/>
        <v>2019</v>
      </c>
      <c r="D2534" s="13">
        <v>-2.72</v>
      </c>
      <c r="E2534" s="13"/>
      <c r="F2534" s="13">
        <v>-44.56</v>
      </c>
      <c r="G2534" s="13"/>
      <c r="H2534" s="13">
        <v>33.22</v>
      </c>
      <c r="I2534" s="13">
        <v>50.24</v>
      </c>
    </row>
    <row r="2535" spans="1:9" x14ac:dyDescent="0.25">
      <c r="A2535" s="10">
        <v>43502</v>
      </c>
      <c r="B2535" s="15">
        <f t="shared" si="78"/>
        <v>2</v>
      </c>
      <c r="C2535" s="15">
        <f t="shared" si="79"/>
        <v>2019</v>
      </c>
      <c r="D2535" s="13">
        <v>-2.72</v>
      </c>
      <c r="E2535" s="13"/>
      <c r="F2535" s="13">
        <v>-44.56</v>
      </c>
      <c r="G2535" s="13"/>
      <c r="H2535" s="13">
        <v>33.22</v>
      </c>
      <c r="I2535" s="13">
        <v>50.24</v>
      </c>
    </row>
    <row r="2536" spans="1:9" x14ac:dyDescent="0.25">
      <c r="A2536" s="10">
        <v>43503</v>
      </c>
      <c r="B2536" s="15">
        <f t="shared" si="78"/>
        <v>2</v>
      </c>
      <c r="C2536" s="15">
        <f t="shared" si="79"/>
        <v>2019</v>
      </c>
      <c r="D2536" s="13">
        <v>-2.72</v>
      </c>
      <c r="E2536" s="13"/>
      <c r="F2536" s="13">
        <v>-44.56</v>
      </c>
      <c r="G2536" s="13"/>
      <c r="H2536" s="13">
        <v>33.22</v>
      </c>
      <c r="I2536" s="13">
        <v>50.24</v>
      </c>
    </row>
    <row r="2537" spans="1:9" x14ac:dyDescent="0.25">
      <c r="A2537" s="10">
        <v>43504</v>
      </c>
      <c r="B2537" s="15">
        <f t="shared" si="78"/>
        <v>2</v>
      </c>
      <c r="C2537" s="15">
        <f t="shared" si="79"/>
        <v>2019</v>
      </c>
      <c r="D2537" s="13">
        <v>-2.72</v>
      </c>
      <c r="E2537" s="13"/>
      <c r="F2537" s="13">
        <v>-44.56</v>
      </c>
      <c r="G2537" s="13"/>
      <c r="H2537" s="13">
        <v>33.22</v>
      </c>
      <c r="I2537" s="13">
        <v>50.24</v>
      </c>
    </row>
    <row r="2538" spans="1:9" x14ac:dyDescent="0.25">
      <c r="A2538" s="10">
        <v>43507</v>
      </c>
      <c r="B2538" s="15">
        <f t="shared" si="78"/>
        <v>2</v>
      </c>
      <c r="C2538" s="15">
        <f t="shared" si="79"/>
        <v>2019</v>
      </c>
      <c r="D2538" s="13">
        <v>8.93</v>
      </c>
      <c r="E2538" s="13"/>
      <c r="F2538" s="13">
        <v>-22.6</v>
      </c>
      <c r="G2538" s="13"/>
      <c r="H2538" s="13">
        <v>47.02</v>
      </c>
      <c r="I2538" s="13">
        <v>68.010000000000005</v>
      </c>
    </row>
    <row r="2539" spans="1:9" x14ac:dyDescent="0.25">
      <c r="A2539" s="10">
        <v>43508</v>
      </c>
      <c r="B2539" s="15">
        <f t="shared" si="78"/>
        <v>2</v>
      </c>
      <c r="C2539" s="15">
        <f t="shared" si="79"/>
        <v>2019</v>
      </c>
      <c r="D2539" s="13">
        <v>8.93</v>
      </c>
      <c r="E2539" s="13"/>
      <c r="F2539" s="13">
        <v>-22.6</v>
      </c>
      <c r="G2539" s="13"/>
      <c r="H2539" s="13">
        <v>47.02</v>
      </c>
      <c r="I2539" s="13">
        <v>68.010000000000005</v>
      </c>
    </row>
    <row r="2540" spans="1:9" x14ac:dyDescent="0.25">
      <c r="A2540" s="10">
        <v>43509</v>
      </c>
      <c r="B2540" s="15">
        <f t="shared" si="78"/>
        <v>2</v>
      </c>
      <c r="C2540" s="15">
        <f t="shared" si="79"/>
        <v>2019</v>
      </c>
      <c r="D2540" s="13">
        <v>8.93</v>
      </c>
      <c r="E2540" s="13"/>
      <c r="F2540" s="13">
        <v>-22.6</v>
      </c>
      <c r="G2540" s="13"/>
      <c r="H2540" s="13">
        <v>47.02</v>
      </c>
      <c r="I2540" s="13">
        <v>68.010000000000005</v>
      </c>
    </row>
    <row r="2541" spans="1:9" x14ac:dyDescent="0.25">
      <c r="A2541" s="10">
        <v>43510</v>
      </c>
      <c r="B2541" s="15">
        <f t="shared" si="78"/>
        <v>2</v>
      </c>
      <c r="C2541" s="15">
        <f t="shared" si="79"/>
        <v>2019</v>
      </c>
      <c r="D2541" s="13">
        <v>8.93</v>
      </c>
      <c r="E2541" s="13"/>
      <c r="F2541" s="13">
        <v>-22.6</v>
      </c>
      <c r="G2541" s="13"/>
      <c r="H2541" s="13">
        <v>47.02</v>
      </c>
      <c r="I2541" s="13">
        <v>68.010000000000005</v>
      </c>
    </row>
    <row r="2542" spans="1:9" x14ac:dyDescent="0.25">
      <c r="A2542" s="10">
        <v>43511</v>
      </c>
      <c r="B2542" s="15">
        <f t="shared" si="78"/>
        <v>2</v>
      </c>
      <c r="C2542" s="15">
        <f t="shared" si="79"/>
        <v>2019</v>
      </c>
      <c r="D2542" s="13">
        <v>8.93</v>
      </c>
      <c r="E2542" s="13"/>
      <c r="F2542" s="13">
        <v>-22.6</v>
      </c>
      <c r="G2542" s="13"/>
      <c r="H2542" s="13">
        <v>47.02</v>
      </c>
      <c r="I2542" s="13">
        <v>68.010000000000005</v>
      </c>
    </row>
    <row r="2543" spans="1:9" x14ac:dyDescent="0.25">
      <c r="A2543" s="10">
        <v>43515</v>
      </c>
      <c r="B2543" s="15">
        <f t="shared" si="78"/>
        <v>2</v>
      </c>
      <c r="C2543" s="15">
        <f t="shared" si="79"/>
        <v>2019</v>
      </c>
      <c r="D2543" s="13">
        <v>1.9</v>
      </c>
      <c r="E2543" s="13"/>
      <c r="F2543" s="13">
        <v>-30.38</v>
      </c>
      <c r="G2543" s="13"/>
      <c r="H2543" s="13">
        <v>45.55</v>
      </c>
      <c r="I2543" s="13">
        <v>73.83</v>
      </c>
    </row>
    <row r="2544" spans="1:9" x14ac:dyDescent="0.25">
      <c r="A2544" s="10">
        <v>43516</v>
      </c>
      <c r="B2544" s="15">
        <f t="shared" si="78"/>
        <v>2</v>
      </c>
      <c r="C2544" s="15">
        <f t="shared" si="79"/>
        <v>2019</v>
      </c>
      <c r="D2544" s="13">
        <v>1.9</v>
      </c>
      <c r="E2544" s="13"/>
      <c r="F2544" s="13">
        <v>-30.38</v>
      </c>
      <c r="G2544" s="13"/>
      <c r="H2544" s="13">
        <v>45.55</v>
      </c>
      <c r="I2544" s="13">
        <v>73.83</v>
      </c>
    </row>
    <row r="2545" spans="1:9" x14ac:dyDescent="0.25">
      <c r="A2545" s="10">
        <v>43517</v>
      </c>
      <c r="B2545" s="15">
        <f t="shared" si="78"/>
        <v>2</v>
      </c>
      <c r="C2545" s="15">
        <f t="shared" si="79"/>
        <v>2019</v>
      </c>
      <c r="D2545" s="13">
        <v>1.9</v>
      </c>
      <c r="E2545" s="13"/>
      <c r="F2545" s="13">
        <v>-30.38</v>
      </c>
      <c r="G2545" s="13"/>
      <c r="H2545" s="13">
        <v>45.55</v>
      </c>
      <c r="I2545" s="13">
        <v>73.83</v>
      </c>
    </row>
    <row r="2546" spans="1:9" x14ac:dyDescent="0.25">
      <c r="A2546" s="10">
        <v>43518</v>
      </c>
      <c r="B2546" s="15">
        <f t="shared" si="78"/>
        <v>2</v>
      </c>
      <c r="C2546" s="15">
        <f t="shared" si="79"/>
        <v>2019</v>
      </c>
      <c r="D2546" s="13">
        <v>1.9</v>
      </c>
      <c r="E2546" s="13"/>
      <c r="F2546" s="13">
        <v>-30.38</v>
      </c>
      <c r="G2546" s="13"/>
      <c r="H2546" s="13">
        <v>45.55</v>
      </c>
      <c r="I2546" s="13">
        <v>73.83</v>
      </c>
    </row>
    <row r="2547" spans="1:9" x14ac:dyDescent="0.25">
      <c r="A2547" s="10">
        <v>43521</v>
      </c>
      <c r="B2547" s="15">
        <f t="shared" si="78"/>
        <v>2</v>
      </c>
      <c r="C2547" s="15">
        <f t="shared" si="79"/>
        <v>2019</v>
      </c>
      <c r="D2547" s="13">
        <v>-4.34</v>
      </c>
      <c r="E2547" s="13"/>
      <c r="F2547" s="13">
        <v>-35.74</v>
      </c>
      <c r="G2547" s="13"/>
      <c r="H2547" s="13">
        <v>35.909999999999997</v>
      </c>
      <c r="I2547" s="13">
        <v>59.15</v>
      </c>
    </row>
    <row r="2548" spans="1:9" x14ac:dyDescent="0.25">
      <c r="A2548" s="10">
        <v>43523</v>
      </c>
      <c r="B2548" s="15">
        <f t="shared" si="78"/>
        <v>2</v>
      </c>
      <c r="C2548" s="15">
        <f t="shared" si="79"/>
        <v>2019</v>
      </c>
      <c r="D2548" s="13">
        <v>-4.34</v>
      </c>
      <c r="E2548" s="13"/>
      <c r="F2548" s="13">
        <v>-35.74</v>
      </c>
      <c r="G2548" s="13"/>
      <c r="H2548" s="13">
        <v>35.909999999999997</v>
      </c>
      <c r="I2548" s="13">
        <v>59.15</v>
      </c>
    </row>
    <row r="2549" spans="1:9" x14ac:dyDescent="0.25">
      <c r="A2549" s="10">
        <v>43524</v>
      </c>
      <c r="B2549" s="15">
        <f t="shared" si="78"/>
        <v>2</v>
      </c>
      <c r="C2549" s="15">
        <f t="shared" si="79"/>
        <v>2019</v>
      </c>
      <c r="D2549" s="13">
        <v>-4.34</v>
      </c>
      <c r="E2549" s="13"/>
      <c r="F2549" s="13">
        <v>-35.74</v>
      </c>
      <c r="G2549" s="13"/>
      <c r="H2549" s="13">
        <v>35.909999999999997</v>
      </c>
      <c r="I2549" s="13">
        <v>59.15</v>
      </c>
    </row>
    <row r="2550" spans="1:9" x14ac:dyDescent="0.25">
      <c r="A2550" s="10">
        <v>43525</v>
      </c>
      <c r="B2550" s="15">
        <f t="shared" si="78"/>
        <v>3</v>
      </c>
      <c r="C2550" s="15">
        <f t="shared" si="79"/>
        <v>2019</v>
      </c>
      <c r="D2550" s="13">
        <v>-4.34</v>
      </c>
      <c r="E2550" s="13"/>
      <c r="F2550" s="13">
        <v>-35.74</v>
      </c>
      <c r="G2550" s="13"/>
      <c r="H2550" s="13">
        <v>35.909999999999997</v>
      </c>
      <c r="I2550" s="13">
        <v>59.15</v>
      </c>
    </row>
    <row r="2551" spans="1:9" x14ac:dyDescent="0.25">
      <c r="A2551" s="10">
        <v>43528</v>
      </c>
      <c r="B2551" s="15">
        <f t="shared" si="78"/>
        <v>3</v>
      </c>
      <c r="C2551" s="15">
        <f t="shared" si="79"/>
        <v>2019</v>
      </c>
      <c r="D2551" s="13">
        <v>0.27</v>
      </c>
      <c r="E2551" s="13"/>
      <c r="F2551" s="13">
        <v>-33.29</v>
      </c>
      <c r="G2551" s="13"/>
      <c r="H2551" s="13">
        <v>42.08</v>
      </c>
      <c r="I2551" s="13">
        <v>51.54</v>
      </c>
    </row>
    <row r="2552" spans="1:9" x14ac:dyDescent="0.25">
      <c r="A2552" s="10">
        <v>43529</v>
      </c>
      <c r="B2552" s="15">
        <f t="shared" si="78"/>
        <v>3</v>
      </c>
      <c r="C2552" s="15">
        <f t="shared" si="79"/>
        <v>2019</v>
      </c>
      <c r="D2552" s="13">
        <v>0.27</v>
      </c>
      <c r="E2552" s="13"/>
      <c r="F2552" s="13">
        <v>-33.29</v>
      </c>
      <c r="G2552" s="13"/>
      <c r="H2552" s="13">
        <v>42.08</v>
      </c>
      <c r="I2552" s="13">
        <v>51.54</v>
      </c>
    </row>
    <row r="2553" spans="1:9" x14ac:dyDescent="0.25">
      <c r="A2553" s="10">
        <v>43530</v>
      </c>
      <c r="B2553" s="15">
        <f t="shared" si="78"/>
        <v>3</v>
      </c>
      <c r="C2553" s="15">
        <f t="shared" si="79"/>
        <v>2019</v>
      </c>
      <c r="D2553" s="13">
        <v>0.27</v>
      </c>
      <c r="E2553" s="13"/>
      <c r="F2553" s="13">
        <v>-33.29</v>
      </c>
      <c r="G2553" s="13"/>
      <c r="H2553" s="13">
        <v>42.08</v>
      </c>
      <c r="I2553" s="13">
        <v>51.54</v>
      </c>
    </row>
    <row r="2554" spans="1:9" x14ac:dyDescent="0.25">
      <c r="A2554" s="10">
        <v>43531</v>
      </c>
      <c r="B2554" s="15">
        <f t="shared" si="78"/>
        <v>3</v>
      </c>
      <c r="C2554" s="15">
        <f t="shared" si="79"/>
        <v>2019</v>
      </c>
      <c r="D2554" s="13">
        <v>0.27</v>
      </c>
      <c r="E2554" s="13"/>
      <c r="F2554" s="13">
        <v>-33.29</v>
      </c>
      <c r="G2554" s="13"/>
      <c r="H2554" s="13">
        <v>42.08</v>
      </c>
      <c r="I2554" s="13">
        <v>51.54</v>
      </c>
    </row>
    <row r="2555" spans="1:9" x14ac:dyDescent="0.25">
      <c r="A2555" s="10">
        <v>43532</v>
      </c>
      <c r="B2555" s="15">
        <f t="shared" si="78"/>
        <v>3</v>
      </c>
      <c r="C2555" s="15">
        <f t="shared" si="79"/>
        <v>2019</v>
      </c>
      <c r="D2555" s="13">
        <v>0.27</v>
      </c>
      <c r="E2555" s="13"/>
      <c r="F2555" s="13">
        <v>-33.29</v>
      </c>
      <c r="G2555" s="13"/>
      <c r="H2555" s="13">
        <v>42.08</v>
      </c>
      <c r="I2555" s="13">
        <v>51.54</v>
      </c>
    </row>
    <row r="2556" spans="1:9" x14ac:dyDescent="0.25">
      <c r="A2556" s="10">
        <v>43535</v>
      </c>
      <c r="B2556" s="15">
        <f t="shared" si="78"/>
        <v>3</v>
      </c>
      <c r="C2556" s="15">
        <f t="shared" si="79"/>
        <v>2019</v>
      </c>
      <c r="D2556" s="13">
        <v>4.2</v>
      </c>
      <c r="E2556" s="13"/>
      <c r="F2556" s="13">
        <v>-31.14</v>
      </c>
      <c r="G2556" s="13"/>
      <c r="H2556" s="13">
        <v>52.44</v>
      </c>
      <c r="I2556" s="13">
        <v>62.12</v>
      </c>
    </row>
    <row r="2557" spans="1:9" x14ac:dyDescent="0.25">
      <c r="A2557" s="10">
        <v>43536</v>
      </c>
      <c r="B2557" s="15">
        <f t="shared" si="78"/>
        <v>3</v>
      </c>
      <c r="C2557" s="15">
        <f t="shared" si="79"/>
        <v>2019</v>
      </c>
      <c r="D2557" s="13">
        <v>4.2</v>
      </c>
      <c r="E2557" s="13"/>
      <c r="F2557" s="13">
        <v>-31.14</v>
      </c>
      <c r="G2557" s="13"/>
      <c r="H2557" s="13">
        <v>52.44</v>
      </c>
      <c r="I2557" s="13">
        <v>62.12</v>
      </c>
    </row>
    <row r="2558" spans="1:9" x14ac:dyDescent="0.25">
      <c r="A2558" s="10">
        <v>43537</v>
      </c>
      <c r="B2558" s="15">
        <f t="shared" si="78"/>
        <v>3</v>
      </c>
      <c r="C2558" s="15">
        <f t="shared" si="79"/>
        <v>2019</v>
      </c>
      <c r="D2558" s="13">
        <v>4.2</v>
      </c>
      <c r="E2558" s="13"/>
      <c r="F2558" s="13">
        <v>-31.14</v>
      </c>
      <c r="G2558" s="13"/>
      <c r="H2558" s="13">
        <v>52.44</v>
      </c>
      <c r="I2558" s="13">
        <v>62.12</v>
      </c>
    </row>
    <row r="2559" spans="1:9" x14ac:dyDescent="0.25">
      <c r="A2559" s="10">
        <v>43538</v>
      </c>
      <c r="B2559" s="15">
        <f t="shared" si="78"/>
        <v>3</v>
      </c>
      <c r="C2559" s="15">
        <f t="shared" si="79"/>
        <v>2019</v>
      </c>
      <c r="D2559" s="13">
        <v>4.2</v>
      </c>
      <c r="E2559" s="13"/>
      <c r="F2559" s="13">
        <v>-31.14</v>
      </c>
      <c r="G2559" s="13"/>
      <c r="H2559" s="13">
        <v>52.44</v>
      </c>
      <c r="I2559" s="13">
        <v>62.12</v>
      </c>
    </row>
    <row r="2560" spans="1:9" x14ac:dyDescent="0.25">
      <c r="A2560" s="10">
        <v>43539</v>
      </c>
      <c r="B2560" s="15">
        <f t="shared" si="78"/>
        <v>3</v>
      </c>
      <c r="C2560" s="15">
        <f t="shared" si="79"/>
        <v>2019</v>
      </c>
      <c r="D2560" s="13">
        <v>4.2</v>
      </c>
      <c r="E2560" s="13"/>
      <c r="F2560" s="13">
        <v>-31.14</v>
      </c>
      <c r="G2560" s="13"/>
      <c r="H2560" s="13">
        <v>52.44</v>
      </c>
      <c r="I2560" s="13">
        <v>62.12</v>
      </c>
    </row>
    <row r="2561" spans="1:9" x14ac:dyDescent="0.25">
      <c r="A2561" s="10">
        <v>43542</v>
      </c>
      <c r="B2561" s="15">
        <f t="shared" si="78"/>
        <v>3</v>
      </c>
      <c r="C2561" s="15">
        <f t="shared" si="79"/>
        <v>2019</v>
      </c>
      <c r="D2561" s="13">
        <v>-2.79</v>
      </c>
      <c r="E2561" s="13"/>
      <c r="F2561" s="13">
        <v>-35.590000000000003</v>
      </c>
      <c r="G2561" s="13"/>
      <c r="H2561" s="13">
        <v>42.58</v>
      </c>
      <c r="I2561" s="13">
        <v>60.39</v>
      </c>
    </row>
    <row r="2562" spans="1:9" x14ac:dyDescent="0.25">
      <c r="A2562" s="10">
        <v>43543</v>
      </c>
      <c r="B2562" s="15">
        <f t="shared" si="78"/>
        <v>3</v>
      </c>
      <c r="C2562" s="15">
        <f t="shared" si="79"/>
        <v>2019</v>
      </c>
      <c r="D2562" s="13">
        <v>-2.79</v>
      </c>
      <c r="E2562" s="13"/>
      <c r="F2562" s="13">
        <v>-35.590000000000003</v>
      </c>
      <c r="G2562" s="13"/>
      <c r="H2562" s="13">
        <v>42.58</v>
      </c>
      <c r="I2562" s="13">
        <v>60.39</v>
      </c>
    </row>
    <row r="2563" spans="1:9" x14ac:dyDescent="0.25">
      <c r="A2563" s="10">
        <v>43544</v>
      </c>
      <c r="B2563" s="15">
        <f t="shared" ref="B2563:B2626" si="80">MONTH(A2563)</f>
        <v>3</v>
      </c>
      <c r="C2563" s="15">
        <f t="shared" ref="C2563:C2626" si="81">YEAR(A2563)</f>
        <v>2019</v>
      </c>
      <c r="D2563" s="13">
        <v>-2.79</v>
      </c>
      <c r="E2563" s="13"/>
      <c r="F2563" s="13">
        <v>-35.590000000000003</v>
      </c>
      <c r="G2563" s="13"/>
      <c r="H2563" s="13">
        <v>42.58</v>
      </c>
      <c r="I2563" s="13">
        <v>60.39</v>
      </c>
    </row>
    <row r="2564" spans="1:9" x14ac:dyDescent="0.25">
      <c r="A2564" s="10">
        <v>43545</v>
      </c>
      <c r="B2564" s="15">
        <f t="shared" si="80"/>
        <v>3</v>
      </c>
      <c r="C2564" s="15">
        <f t="shared" si="81"/>
        <v>2019</v>
      </c>
      <c r="D2564" s="13">
        <v>-2.79</v>
      </c>
      <c r="E2564" s="13"/>
      <c r="F2564" s="13">
        <v>-35.590000000000003</v>
      </c>
      <c r="G2564" s="13"/>
      <c r="H2564" s="13">
        <v>42.58</v>
      </c>
      <c r="I2564" s="13">
        <v>60.39</v>
      </c>
    </row>
    <row r="2565" spans="1:9" x14ac:dyDescent="0.25">
      <c r="A2565" s="10">
        <v>43546</v>
      </c>
      <c r="B2565" s="15">
        <f t="shared" si="80"/>
        <v>3</v>
      </c>
      <c r="C2565" s="15">
        <f t="shared" si="81"/>
        <v>2019</v>
      </c>
      <c r="D2565" s="13">
        <v>-2.79</v>
      </c>
      <c r="E2565" s="13"/>
      <c r="F2565" s="13">
        <v>-35.590000000000003</v>
      </c>
      <c r="G2565" s="13"/>
      <c r="H2565" s="13">
        <v>42.58</v>
      </c>
      <c r="I2565" s="13">
        <v>60.39</v>
      </c>
    </row>
    <row r="2566" spans="1:9" x14ac:dyDescent="0.25">
      <c r="A2566" s="10">
        <v>43549</v>
      </c>
      <c r="B2566" s="15">
        <f t="shared" si="80"/>
        <v>3</v>
      </c>
      <c r="C2566" s="15">
        <f t="shared" si="81"/>
        <v>2019</v>
      </c>
      <c r="D2566" s="13">
        <v>-0.9</v>
      </c>
      <c r="E2566" s="13"/>
      <c r="F2566" s="13">
        <v>-35.89</v>
      </c>
      <c r="G2566" s="13"/>
      <c r="H2566" s="13">
        <v>38.880000000000003</v>
      </c>
      <c r="I2566" s="13">
        <v>58.03</v>
      </c>
    </row>
    <row r="2567" spans="1:9" x14ac:dyDescent="0.25">
      <c r="A2567" s="10">
        <v>43550</v>
      </c>
      <c r="B2567" s="15">
        <f t="shared" si="80"/>
        <v>3</v>
      </c>
      <c r="C2567" s="15">
        <f t="shared" si="81"/>
        <v>2019</v>
      </c>
      <c r="D2567" s="13">
        <v>-0.9</v>
      </c>
      <c r="E2567" s="13"/>
      <c r="F2567" s="13">
        <v>-35.89</v>
      </c>
      <c r="G2567" s="13"/>
      <c r="H2567" s="13">
        <v>38.880000000000003</v>
      </c>
      <c r="I2567" s="13">
        <v>58.03</v>
      </c>
    </row>
    <row r="2568" spans="1:9" x14ac:dyDescent="0.25">
      <c r="A2568" s="10">
        <v>43551</v>
      </c>
      <c r="B2568" s="15">
        <f t="shared" si="80"/>
        <v>3</v>
      </c>
      <c r="C2568" s="15">
        <f t="shared" si="81"/>
        <v>2019</v>
      </c>
      <c r="D2568" s="13">
        <v>-0.9</v>
      </c>
      <c r="E2568" s="13"/>
      <c r="F2568" s="13">
        <v>-35.89</v>
      </c>
      <c r="G2568" s="13"/>
      <c r="H2568" s="13">
        <v>38.880000000000003</v>
      </c>
      <c r="I2568" s="13">
        <v>58.03</v>
      </c>
    </row>
    <row r="2569" spans="1:9" x14ac:dyDescent="0.25">
      <c r="A2569" s="10">
        <v>43552</v>
      </c>
      <c r="B2569" s="15">
        <f t="shared" si="80"/>
        <v>3</v>
      </c>
      <c r="C2569" s="15">
        <f t="shared" si="81"/>
        <v>2019</v>
      </c>
      <c r="D2569" s="13">
        <v>-0.9</v>
      </c>
      <c r="E2569" s="13"/>
      <c r="F2569" s="13">
        <v>-35.89</v>
      </c>
      <c r="G2569" s="13"/>
      <c r="H2569" s="13">
        <v>38.880000000000003</v>
      </c>
      <c r="I2569" s="13">
        <v>58.03</v>
      </c>
    </row>
    <row r="2570" spans="1:9" x14ac:dyDescent="0.25">
      <c r="A2570" s="10">
        <v>43553</v>
      </c>
      <c r="B2570" s="15">
        <f t="shared" si="80"/>
        <v>3</v>
      </c>
      <c r="C2570" s="15">
        <f t="shared" si="81"/>
        <v>2019</v>
      </c>
      <c r="D2570" s="13">
        <v>-0.9</v>
      </c>
      <c r="E2570" s="13"/>
      <c r="F2570" s="13">
        <v>-35.89</v>
      </c>
      <c r="G2570" s="13"/>
      <c r="H2570" s="13">
        <v>38.880000000000003</v>
      </c>
      <c r="I2570" s="13">
        <v>58.03</v>
      </c>
    </row>
    <row r="2571" spans="1:9" x14ac:dyDescent="0.25">
      <c r="A2571" s="10">
        <v>43556</v>
      </c>
      <c r="B2571" s="15">
        <f t="shared" si="80"/>
        <v>4</v>
      </c>
      <c r="C2571" s="15">
        <f t="shared" si="81"/>
        <v>2019</v>
      </c>
      <c r="D2571" s="13">
        <v>11.12</v>
      </c>
      <c r="E2571" s="13"/>
      <c r="F2571" s="13">
        <v>-25.58</v>
      </c>
      <c r="G2571" s="13"/>
      <c r="H2571" s="13">
        <v>55.32</v>
      </c>
      <c r="I2571" s="13">
        <v>71.69</v>
      </c>
    </row>
    <row r="2572" spans="1:9" x14ac:dyDescent="0.25">
      <c r="A2572" s="10">
        <v>43557</v>
      </c>
      <c r="B2572" s="15">
        <f t="shared" si="80"/>
        <v>4</v>
      </c>
      <c r="C2572" s="15">
        <f t="shared" si="81"/>
        <v>2019</v>
      </c>
      <c r="D2572" s="13">
        <v>11.12</v>
      </c>
      <c r="E2572" s="13"/>
      <c r="F2572" s="13">
        <v>-25.58</v>
      </c>
      <c r="G2572" s="13"/>
      <c r="H2572" s="13">
        <v>55.32</v>
      </c>
      <c r="I2572" s="13">
        <v>71.69</v>
      </c>
    </row>
    <row r="2573" spans="1:9" x14ac:dyDescent="0.25">
      <c r="A2573" s="10">
        <v>43558</v>
      </c>
      <c r="B2573" s="15">
        <f t="shared" si="80"/>
        <v>4</v>
      </c>
      <c r="C2573" s="15">
        <f t="shared" si="81"/>
        <v>2019</v>
      </c>
      <c r="D2573" s="13">
        <v>11.12</v>
      </c>
      <c r="E2573" s="13"/>
      <c r="F2573" s="13">
        <v>-25.58</v>
      </c>
      <c r="G2573" s="13"/>
      <c r="H2573" s="13">
        <v>55.32</v>
      </c>
      <c r="I2573" s="13">
        <v>71.69</v>
      </c>
    </row>
    <row r="2574" spans="1:9" x14ac:dyDescent="0.25">
      <c r="A2574" s="10">
        <v>43559</v>
      </c>
      <c r="B2574" s="15">
        <f t="shared" si="80"/>
        <v>4</v>
      </c>
      <c r="C2574" s="15">
        <f t="shared" si="81"/>
        <v>2019</v>
      </c>
      <c r="D2574" s="13">
        <v>11.12</v>
      </c>
      <c r="E2574" s="13"/>
      <c r="F2574" s="13">
        <v>-25.58</v>
      </c>
      <c r="G2574" s="13"/>
      <c r="H2574" s="13">
        <v>55.32</v>
      </c>
      <c r="I2574" s="13">
        <v>71.69</v>
      </c>
    </row>
    <row r="2575" spans="1:9" x14ac:dyDescent="0.25">
      <c r="A2575" s="10">
        <v>43560</v>
      </c>
      <c r="B2575" s="15">
        <f t="shared" si="80"/>
        <v>4</v>
      </c>
      <c r="C2575" s="15">
        <f t="shared" si="81"/>
        <v>2019</v>
      </c>
      <c r="D2575" s="13">
        <v>11.12</v>
      </c>
      <c r="E2575" s="13"/>
      <c r="F2575" s="13">
        <v>-25.58</v>
      </c>
      <c r="G2575" s="13"/>
      <c r="H2575" s="13">
        <v>55.32</v>
      </c>
      <c r="I2575" s="13">
        <v>71.69</v>
      </c>
    </row>
    <row r="2576" spans="1:9" x14ac:dyDescent="0.25">
      <c r="A2576" s="10">
        <v>43563</v>
      </c>
      <c r="B2576" s="15">
        <f t="shared" si="80"/>
        <v>4</v>
      </c>
      <c r="C2576" s="15">
        <f t="shared" si="81"/>
        <v>2019</v>
      </c>
      <c r="D2576" s="13">
        <v>20.99</v>
      </c>
      <c r="E2576" s="13"/>
      <c r="F2576" s="13">
        <v>-14.15</v>
      </c>
      <c r="G2576" s="13"/>
      <c r="H2576" s="13">
        <v>63.87</v>
      </c>
      <c r="I2576" s="13">
        <v>80</v>
      </c>
    </row>
    <row r="2577" spans="1:9" x14ac:dyDescent="0.25">
      <c r="A2577" s="10">
        <v>43564</v>
      </c>
      <c r="B2577" s="15">
        <f t="shared" si="80"/>
        <v>4</v>
      </c>
      <c r="C2577" s="15">
        <f t="shared" si="81"/>
        <v>2019</v>
      </c>
      <c r="D2577" s="13">
        <v>20.99</v>
      </c>
      <c r="E2577" s="13"/>
      <c r="F2577" s="13">
        <v>-14.15</v>
      </c>
      <c r="G2577" s="13"/>
      <c r="H2577" s="13">
        <v>63.87</v>
      </c>
      <c r="I2577" s="13">
        <v>80</v>
      </c>
    </row>
    <row r="2578" spans="1:9" x14ac:dyDescent="0.25">
      <c r="A2578" s="10">
        <v>43565</v>
      </c>
      <c r="B2578" s="15">
        <f t="shared" si="80"/>
        <v>4</v>
      </c>
      <c r="C2578" s="15">
        <f t="shared" si="81"/>
        <v>2019</v>
      </c>
      <c r="D2578" s="13">
        <v>20.99</v>
      </c>
      <c r="E2578" s="13"/>
      <c r="F2578" s="13">
        <v>-14.15</v>
      </c>
      <c r="G2578" s="13"/>
      <c r="H2578" s="13">
        <v>63.87</v>
      </c>
      <c r="I2578" s="13">
        <v>80</v>
      </c>
    </row>
    <row r="2579" spans="1:9" x14ac:dyDescent="0.25">
      <c r="A2579" s="10">
        <v>43566</v>
      </c>
      <c r="B2579" s="15">
        <f t="shared" si="80"/>
        <v>4</v>
      </c>
      <c r="C2579" s="15">
        <f t="shared" si="81"/>
        <v>2019</v>
      </c>
      <c r="D2579" s="13">
        <v>20.99</v>
      </c>
      <c r="E2579" s="13"/>
      <c r="F2579" s="13">
        <v>-14.15</v>
      </c>
      <c r="G2579" s="13"/>
      <c r="H2579" s="13">
        <v>63.87</v>
      </c>
      <c r="I2579" s="13">
        <v>80</v>
      </c>
    </row>
    <row r="2580" spans="1:9" x14ac:dyDescent="0.25">
      <c r="A2580" s="10">
        <v>43567</v>
      </c>
      <c r="B2580" s="15">
        <f t="shared" si="80"/>
        <v>4</v>
      </c>
      <c r="C2580" s="15">
        <f t="shared" si="81"/>
        <v>2019</v>
      </c>
      <c r="D2580" s="13">
        <v>20.99</v>
      </c>
      <c r="E2580" s="13"/>
      <c r="F2580" s="13">
        <v>-14.15</v>
      </c>
      <c r="G2580" s="13"/>
      <c r="H2580" s="13">
        <v>63.87</v>
      </c>
      <c r="I2580" s="13">
        <v>80</v>
      </c>
    </row>
    <row r="2581" spans="1:9" x14ac:dyDescent="0.25">
      <c r="A2581" s="10">
        <v>43570</v>
      </c>
      <c r="B2581" s="15">
        <f t="shared" si="80"/>
        <v>4</v>
      </c>
      <c r="C2581" s="15">
        <f t="shared" si="81"/>
        <v>2019</v>
      </c>
      <c r="D2581" s="13">
        <v>23</v>
      </c>
      <c r="E2581" s="13"/>
      <c r="F2581" s="13">
        <v>-11.3</v>
      </c>
      <c r="G2581" s="13"/>
      <c r="H2581" s="13">
        <v>66.2</v>
      </c>
      <c r="I2581" s="13">
        <v>78.680000000000007</v>
      </c>
    </row>
    <row r="2582" spans="1:9" x14ac:dyDescent="0.25">
      <c r="A2582" s="10">
        <v>43571</v>
      </c>
      <c r="B2582" s="15">
        <f t="shared" si="80"/>
        <v>4</v>
      </c>
      <c r="C2582" s="15">
        <f t="shared" si="81"/>
        <v>2019</v>
      </c>
      <c r="D2582" s="13">
        <v>23</v>
      </c>
      <c r="E2582" s="13"/>
      <c r="F2582" s="13">
        <v>-11.3</v>
      </c>
      <c r="G2582" s="13"/>
      <c r="H2582" s="13">
        <v>66.2</v>
      </c>
      <c r="I2582" s="13">
        <v>78.680000000000007</v>
      </c>
    </row>
    <row r="2583" spans="1:9" x14ac:dyDescent="0.25">
      <c r="A2583" s="10">
        <v>43572</v>
      </c>
      <c r="B2583" s="15">
        <f t="shared" si="80"/>
        <v>4</v>
      </c>
      <c r="C2583" s="15">
        <f t="shared" si="81"/>
        <v>2019</v>
      </c>
      <c r="D2583" s="13">
        <v>23</v>
      </c>
      <c r="E2583" s="13"/>
      <c r="F2583" s="13">
        <v>-11.3</v>
      </c>
      <c r="G2583" s="13"/>
      <c r="H2583" s="13">
        <v>66.2</v>
      </c>
      <c r="I2583" s="13">
        <v>78.680000000000007</v>
      </c>
    </row>
    <row r="2584" spans="1:9" x14ac:dyDescent="0.25">
      <c r="A2584" s="10">
        <v>43573</v>
      </c>
      <c r="B2584" s="15">
        <f t="shared" si="80"/>
        <v>4</v>
      </c>
      <c r="C2584" s="15">
        <f t="shared" si="81"/>
        <v>2019</v>
      </c>
      <c r="D2584" s="13">
        <v>23</v>
      </c>
      <c r="E2584" s="13"/>
      <c r="F2584" s="13">
        <v>-11.3</v>
      </c>
      <c r="G2584" s="13"/>
      <c r="H2584" s="13">
        <v>66.2</v>
      </c>
      <c r="I2584" s="13">
        <v>78.680000000000007</v>
      </c>
    </row>
    <row r="2585" spans="1:9" x14ac:dyDescent="0.25">
      <c r="A2585" s="10">
        <v>43577</v>
      </c>
      <c r="B2585" s="15">
        <f t="shared" si="80"/>
        <v>4</v>
      </c>
      <c r="C2585" s="15">
        <f t="shared" si="81"/>
        <v>2019</v>
      </c>
      <c r="D2585" s="13">
        <v>23.79</v>
      </c>
      <c r="E2585" s="13"/>
      <c r="F2585" s="13">
        <v>-9.82</v>
      </c>
      <c r="G2585" s="13"/>
      <c r="H2585" s="13">
        <v>57.73</v>
      </c>
      <c r="I2585" s="13">
        <v>83.65</v>
      </c>
    </row>
    <row r="2586" spans="1:9" x14ac:dyDescent="0.25">
      <c r="A2586" s="10">
        <v>43578</v>
      </c>
      <c r="B2586" s="15">
        <f t="shared" si="80"/>
        <v>4</v>
      </c>
      <c r="C2586" s="15">
        <f t="shared" si="81"/>
        <v>2019</v>
      </c>
      <c r="D2586" s="13">
        <v>23.79</v>
      </c>
      <c r="E2586" s="13"/>
      <c r="F2586" s="13">
        <v>-9.82</v>
      </c>
      <c r="G2586" s="13"/>
      <c r="H2586" s="13">
        <v>57.73</v>
      </c>
      <c r="I2586" s="13">
        <v>83.65</v>
      </c>
    </row>
    <row r="2587" spans="1:9" x14ac:dyDescent="0.25">
      <c r="A2587" s="10">
        <v>43579</v>
      </c>
      <c r="B2587" s="15">
        <f t="shared" si="80"/>
        <v>4</v>
      </c>
      <c r="C2587" s="15">
        <f t="shared" si="81"/>
        <v>2019</v>
      </c>
      <c r="D2587" s="13">
        <v>23.79</v>
      </c>
      <c r="E2587" s="13"/>
      <c r="F2587" s="13">
        <v>-9.82</v>
      </c>
      <c r="G2587" s="13"/>
      <c r="H2587" s="13">
        <v>57.73</v>
      </c>
      <c r="I2587" s="13">
        <v>83.65</v>
      </c>
    </row>
    <row r="2588" spans="1:9" x14ac:dyDescent="0.25">
      <c r="A2588" s="10">
        <v>43580</v>
      </c>
      <c r="B2588" s="15">
        <f t="shared" si="80"/>
        <v>4</v>
      </c>
      <c r="C2588" s="15">
        <f t="shared" si="81"/>
        <v>2019</v>
      </c>
      <c r="D2588" s="13">
        <v>23.79</v>
      </c>
      <c r="E2588" s="13"/>
      <c r="F2588" s="13">
        <v>-9.82</v>
      </c>
      <c r="G2588" s="13"/>
      <c r="H2588" s="13">
        <v>57.73</v>
      </c>
      <c r="I2588" s="13">
        <v>83.65</v>
      </c>
    </row>
    <row r="2589" spans="1:9" x14ac:dyDescent="0.25">
      <c r="A2589" s="10">
        <v>43581</v>
      </c>
      <c r="B2589" s="15">
        <f t="shared" si="80"/>
        <v>4</v>
      </c>
      <c r="C2589" s="15">
        <f t="shared" si="81"/>
        <v>2019</v>
      </c>
      <c r="D2589" s="13">
        <v>23.79</v>
      </c>
      <c r="E2589" s="13"/>
      <c r="F2589" s="13">
        <v>-9.82</v>
      </c>
      <c r="G2589" s="13"/>
      <c r="H2589" s="13">
        <v>57.73</v>
      </c>
      <c r="I2589" s="13">
        <v>83.65</v>
      </c>
    </row>
    <row r="2590" spans="1:9" x14ac:dyDescent="0.25">
      <c r="A2590" s="10">
        <v>43584</v>
      </c>
      <c r="B2590" s="15">
        <f t="shared" si="80"/>
        <v>4</v>
      </c>
      <c r="C2590" s="15">
        <f t="shared" si="81"/>
        <v>2019</v>
      </c>
      <c r="D2590" s="13">
        <v>32.659999999999997</v>
      </c>
      <c r="E2590" s="13"/>
      <c r="F2590" s="13">
        <v>-4.95</v>
      </c>
      <c r="G2590" s="13"/>
      <c r="H2590" s="13">
        <v>61.61</v>
      </c>
      <c r="I2590" s="13">
        <v>87.05</v>
      </c>
    </row>
    <row r="2591" spans="1:9" x14ac:dyDescent="0.25">
      <c r="A2591" s="10">
        <v>43585</v>
      </c>
      <c r="B2591" s="15">
        <f t="shared" si="80"/>
        <v>4</v>
      </c>
      <c r="C2591" s="15">
        <f t="shared" si="81"/>
        <v>2019</v>
      </c>
      <c r="D2591" s="13">
        <v>32.659999999999997</v>
      </c>
      <c r="E2591" s="13"/>
      <c r="F2591" s="13">
        <v>-4.95</v>
      </c>
      <c r="G2591" s="13"/>
      <c r="H2591" s="13">
        <v>61.61</v>
      </c>
      <c r="I2591" s="13">
        <v>87.05</v>
      </c>
    </row>
    <row r="2592" spans="1:9" x14ac:dyDescent="0.25">
      <c r="A2592" s="10">
        <v>43586</v>
      </c>
      <c r="B2592" s="15">
        <f t="shared" si="80"/>
        <v>5</v>
      </c>
      <c r="C2592" s="15">
        <f t="shared" si="81"/>
        <v>2019</v>
      </c>
      <c r="D2592" s="13">
        <v>32.659999999999997</v>
      </c>
      <c r="E2592" s="13"/>
      <c r="F2592" s="13">
        <v>-4.95</v>
      </c>
      <c r="G2592" s="13"/>
      <c r="H2592" s="13">
        <v>61.61</v>
      </c>
      <c r="I2592" s="13">
        <v>87.05</v>
      </c>
    </row>
    <row r="2593" spans="1:9" x14ac:dyDescent="0.25">
      <c r="A2593" s="10">
        <v>43587</v>
      </c>
      <c r="B2593" s="15">
        <f t="shared" si="80"/>
        <v>5</v>
      </c>
      <c r="C2593" s="15">
        <f t="shared" si="81"/>
        <v>2019</v>
      </c>
      <c r="D2593" s="13">
        <v>32.659999999999997</v>
      </c>
      <c r="E2593" s="13"/>
      <c r="F2593" s="13">
        <v>-4.95</v>
      </c>
      <c r="G2593" s="13"/>
      <c r="H2593" s="13">
        <v>61.61</v>
      </c>
      <c r="I2593" s="13">
        <v>87.05</v>
      </c>
    </row>
    <row r="2594" spans="1:9" x14ac:dyDescent="0.25">
      <c r="A2594" s="10">
        <v>43588</v>
      </c>
      <c r="B2594" s="15">
        <f t="shared" si="80"/>
        <v>5</v>
      </c>
      <c r="C2594" s="15">
        <f t="shared" si="81"/>
        <v>2019</v>
      </c>
      <c r="D2594" s="13">
        <v>32.659999999999997</v>
      </c>
      <c r="E2594" s="13"/>
      <c r="F2594" s="13">
        <v>-4.95</v>
      </c>
      <c r="G2594" s="13"/>
      <c r="H2594" s="13">
        <v>61.61</v>
      </c>
      <c r="I2594" s="13">
        <v>87.05</v>
      </c>
    </row>
    <row r="2595" spans="1:9" x14ac:dyDescent="0.25">
      <c r="A2595" s="10">
        <v>43591</v>
      </c>
      <c r="B2595" s="15">
        <f t="shared" si="80"/>
        <v>5</v>
      </c>
      <c r="C2595" s="15">
        <f t="shared" si="81"/>
        <v>2019</v>
      </c>
      <c r="D2595" s="13">
        <v>36.15</v>
      </c>
      <c r="E2595" s="13"/>
      <c r="F2595" s="13">
        <v>-7.59</v>
      </c>
      <c r="G2595" s="13"/>
      <c r="H2595" s="13">
        <v>77.06</v>
      </c>
      <c r="I2595" s="13">
        <v>92.07</v>
      </c>
    </row>
    <row r="2596" spans="1:9" x14ac:dyDescent="0.25">
      <c r="A2596" s="10">
        <v>43592</v>
      </c>
      <c r="B2596" s="15">
        <f t="shared" si="80"/>
        <v>5</v>
      </c>
      <c r="C2596" s="15">
        <f t="shared" si="81"/>
        <v>2019</v>
      </c>
      <c r="D2596" s="13">
        <v>36.15</v>
      </c>
      <c r="E2596" s="13"/>
      <c r="F2596" s="13">
        <v>-7.59</v>
      </c>
      <c r="G2596" s="13"/>
      <c r="H2596" s="13">
        <v>77.06</v>
      </c>
      <c r="I2596" s="13">
        <v>92.07</v>
      </c>
    </row>
    <row r="2597" spans="1:9" x14ac:dyDescent="0.25">
      <c r="A2597" s="10">
        <v>43593</v>
      </c>
      <c r="B2597" s="15">
        <f t="shared" si="80"/>
        <v>5</v>
      </c>
      <c r="C2597" s="15">
        <f t="shared" si="81"/>
        <v>2019</v>
      </c>
      <c r="D2597" s="13">
        <v>36.15</v>
      </c>
      <c r="E2597" s="13"/>
      <c r="F2597" s="13">
        <v>-7.59</v>
      </c>
      <c r="G2597" s="13"/>
      <c r="H2597" s="13">
        <v>77.06</v>
      </c>
      <c r="I2597" s="13">
        <v>92.07</v>
      </c>
    </row>
    <row r="2598" spans="1:9" x14ac:dyDescent="0.25">
      <c r="A2598" s="10">
        <v>43594</v>
      </c>
      <c r="B2598" s="15">
        <f t="shared" si="80"/>
        <v>5</v>
      </c>
      <c r="C2598" s="15">
        <f t="shared" si="81"/>
        <v>2019</v>
      </c>
      <c r="D2598" s="13">
        <v>36.15</v>
      </c>
      <c r="E2598" s="13"/>
      <c r="F2598" s="13">
        <v>-7.59</v>
      </c>
      <c r="G2598" s="13"/>
      <c r="H2598" s="13">
        <v>77.06</v>
      </c>
      <c r="I2598" s="13">
        <v>92.07</v>
      </c>
    </row>
    <row r="2599" spans="1:9" x14ac:dyDescent="0.25">
      <c r="A2599" s="10">
        <v>43595</v>
      </c>
      <c r="B2599" s="15">
        <f t="shared" si="80"/>
        <v>5</v>
      </c>
      <c r="C2599" s="15">
        <f t="shared" si="81"/>
        <v>2019</v>
      </c>
      <c r="D2599" s="13">
        <v>36.15</v>
      </c>
      <c r="E2599" s="13"/>
      <c r="F2599" s="13">
        <v>-7.59</v>
      </c>
      <c r="G2599" s="13"/>
      <c r="H2599" s="13">
        <v>77.06</v>
      </c>
      <c r="I2599" s="13">
        <v>92.07</v>
      </c>
    </row>
    <row r="2600" spans="1:9" x14ac:dyDescent="0.25">
      <c r="A2600" s="10">
        <v>43598</v>
      </c>
      <c r="B2600" s="15">
        <f t="shared" si="80"/>
        <v>5</v>
      </c>
      <c r="C2600" s="15">
        <f t="shared" si="81"/>
        <v>2019</v>
      </c>
      <c r="D2600" s="13">
        <v>27</v>
      </c>
      <c r="E2600" s="13"/>
      <c r="F2600" s="13">
        <v>-6.53</v>
      </c>
      <c r="G2600" s="13"/>
      <c r="H2600" s="13">
        <v>73.5</v>
      </c>
      <c r="I2600" s="13">
        <v>96.09</v>
      </c>
    </row>
    <row r="2601" spans="1:9" x14ac:dyDescent="0.25">
      <c r="A2601" s="10">
        <v>43599</v>
      </c>
      <c r="B2601" s="15">
        <f t="shared" si="80"/>
        <v>5</v>
      </c>
      <c r="C2601" s="15">
        <f t="shared" si="81"/>
        <v>2019</v>
      </c>
      <c r="D2601" s="13">
        <v>27</v>
      </c>
      <c r="E2601" s="13"/>
      <c r="F2601" s="13">
        <v>-6.53</v>
      </c>
      <c r="G2601" s="13"/>
      <c r="H2601" s="13">
        <v>73.5</v>
      </c>
      <c r="I2601" s="13">
        <v>96.09</v>
      </c>
    </row>
    <row r="2602" spans="1:9" x14ac:dyDescent="0.25">
      <c r="A2602" s="10">
        <v>43600</v>
      </c>
      <c r="B2602" s="15">
        <f t="shared" si="80"/>
        <v>5</v>
      </c>
      <c r="C2602" s="15">
        <f t="shared" si="81"/>
        <v>2019</v>
      </c>
      <c r="D2602" s="13">
        <v>27</v>
      </c>
      <c r="E2602" s="13"/>
      <c r="F2602" s="13">
        <v>-6.53</v>
      </c>
      <c r="G2602" s="13"/>
      <c r="H2602" s="13">
        <v>73.5</v>
      </c>
      <c r="I2602" s="13">
        <v>96.09</v>
      </c>
    </row>
    <row r="2603" spans="1:9" x14ac:dyDescent="0.25">
      <c r="A2603" s="10">
        <v>43601</v>
      </c>
      <c r="B2603" s="15">
        <f t="shared" si="80"/>
        <v>5</v>
      </c>
      <c r="C2603" s="15">
        <f t="shared" si="81"/>
        <v>2019</v>
      </c>
      <c r="D2603" s="13">
        <v>27</v>
      </c>
      <c r="E2603" s="13"/>
      <c r="F2603" s="13">
        <v>-6.53</v>
      </c>
      <c r="G2603" s="13"/>
      <c r="H2603" s="13">
        <v>73.5</v>
      </c>
      <c r="I2603" s="13">
        <v>96.09</v>
      </c>
    </row>
    <row r="2604" spans="1:9" x14ac:dyDescent="0.25">
      <c r="A2604" s="10">
        <v>43602</v>
      </c>
      <c r="B2604" s="15">
        <f t="shared" si="80"/>
        <v>5</v>
      </c>
      <c r="C2604" s="15">
        <f t="shared" si="81"/>
        <v>2019</v>
      </c>
      <c r="D2604" s="13">
        <v>27</v>
      </c>
      <c r="E2604" s="13"/>
      <c r="F2604" s="13">
        <v>-6.53</v>
      </c>
      <c r="G2604" s="13"/>
      <c r="H2604" s="13">
        <v>73.5</v>
      </c>
      <c r="I2604" s="13">
        <v>96.09</v>
      </c>
    </row>
    <row r="2605" spans="1:9" x14ac:dyDescent="0.25">
      <c r="A2605" s="10">
        <v>43605</v>
      </c>
      <c r="B2605" s="15">
        <f t="shared" si="80"/>
        <v>5</v>
      </c>
      <c r="C2605" s="15">
        <f t="shared" si="81"/>
        <v>2019</v>
      </c>
      <c r="D2605" s="13">
        <v>33.880000000000003</v>
      </c>
      <c r="E2605" s="13"/>
      <c r="F2605" s="13">
        <v>8.6999999999999993</v>
      </c>
      <c r="G2605" s="13"/>
      <c r="H2605" s="13">
        <v>83.13</v>
      </c>
      <c r="I2605" s="13">
        <v>71.180000000000007</v>
      </c>
    </row>
    <row r="2606" spans="1:9" x14ac:dyDescent="0.25">
      <c r="A2606" s="10">
        <v>43606</v>
      </c>
      <c r="B2606" s="15">
        <f t="shared" si="80"/>
        <v>5</v>
      </c>
      <c r="C2606" s="15">
        <f t="shared" si="81"/>
        <v>2019</v>
      </c>
      <c r="D2606" s="13">
        <v>33.880000000000003</v>
      </c>
      <c r="E2606" s="13"/>
      <c r="F2606" s="13">
        <v>8.6999999999999993</v>
      </c>
      <c r="G2606" s="13"/>
      <c r="H2606" s="13">
        <v>83.13</v>
      </c>
      <c r="I2606" s="13">
        <v>71.180000000000007</v>
      </c>
    </row>
    <row r="2607" spans="1:9" x14ac:dyDescent="0.25">
      <c r="A2607" s="10">
        <v>43607</v>
      </c>
      <c r="B2607" s="15">
        <f t="shared" si="80"/>
        <v>5</v>
      </c>
      <c r="C2607" s="15">
        <f t="shared" si="81"/>
        <v>2019</v>
      </c>
      <c r="D2607" s="13">
        <v>33.880000000000003</v>
      </c>
      <c r="E2607" s="13"/>
      <c r="F2607" s="13">
        <v>8.6999999999999993</v>
      </c>
      <c r="G2607" s="13"/>
      <c r="H2607" s="13">
        <v>83.13</v>
      </c>
      <c r="I2607" s="13">
        <v>71.180000000000007</v>
      </c>
    </row>
    <row r="2608" spans="1:9" x14ac:dyDescent="0.25">
      <c r="A2608" s="10">
        <v>43608</v>
      </c>
      <c r="B2608" s="15">
        <f t="shared" si="80"/>
        <v>5</v>
      </c>
      <c r="C2608" s="15">
        <f t="shared" si="81"/>
        <v>2019</v>
      </c>
      <c r="D2608" s="13">
        <v>33.880000000000003</v>
      </c>
      <c r="E2608" s="13"/>
      <c r="F2608" s="13">
        <v>8.6999999999999993</v>
      </c>
      <c r="G2608" s="13"/>
      <c r="H2608" s="13">
        <v>83.13</v>
      </c>
      <c r="I2608" s="13">
        <v>71.180000000000007</v>
      </c>
    </row>
    <row r="2609" spans="1:9" x14ac:dyDescent="0.25">
      <c r="A2609" s="10">
        <v>43609</v>
      </c>
      <c r="B2609" s="15">
        <f t="shared" si="80"/>
        <v>5</v>
      </c>
      <c r="C2609" s="15">
        <f t="shared" si="81"/>
        <v>2019</v>
      </c>
      <c r="D2609" s="13">
        <v>33.880000000000003</v>
      </c>
      <c r="E2609" s="13"/>
      <c r="F2609" s="13">
        <v>8.6999999999999993</v>
      </c>
      <c r="G2609" s="13"/>
      <c r="H2609" s="13">
        <v>83.13</v>
      </c>
      <c r="I2609" s="13">
        <v>71.180000000000007</v>
      </c>
    </row>
    <row r="2610" spans="1:9" x14ac:dyDescent="0.25">
      <c r="A2610" s="10">
        <v>43613</v>
      </c>
      <c r="B2610" s="15">
        <f t="shared" si="80"/>
        <v>5</v>
      </c>
      <c r="C2610" s="15">
        <f t="shared" si="81"/>
        <v>2019</v>
      </c>
      <c r="D2610" s="13">
        <v>37.47</v>
      </c>
      <c r="E2610" s="13"/>
      <c r="F2610" s="13">
        <v>6.97</v>
      </c>
      <c r="G2610" s="13"/>
      <c r="H2610" s="13">
        <v>82.81</v>
      </c>
      <c r="I2610" s="13">
        <v>74.86</v>
      </c>
    </row>
    <row r="2611" spans="1:9" x14ac:dyDescent="0.25">
      <c r="A2611" s="10">
        <v>43614</v>
      </c>
      <c r="B2611" s="15">
        <f t="shared" si="80"/>
        <v>5</v>
      </c>
      <c r="C2611" s="15">
        <f t="shared" si="81"/>
        <v>2019</v>
      </c>
      <c r="D2611" s="13">
        <v>37.47</v>
      </c>
      <c r="E2611" s="13"/>
      <c r="F2611" s="13">
        <v>6.97</v>
      </c>
      <c r="G2611" s="13"/>
      <c r="H2611" s="13">
        <v>82.81</v>
      </c>
      <c r="I2611" s="13">
        <v>74.86</v>
      </c>
    </row>
    <row r="2612" spans="1:9" x14ac:dyDescent="0.25">
      <c r="A2612" s="10">
        <v>43615</v>
      </c>
      <c r="B2612" s="15">
        <f t="shared" si="80"/>
        <v>5</v>
      </c>
      <c r="C2612" s="15">
        <f t="shared" si="81"/>
        <v>2019</v>
      </c>
      <c r="D2612" s="13">
        <v>37.47</v>
      </c>
      <c r="E2612" s="13"/>
      <c r="F2612" s="13">
        <v>6.97</v>
      </c>
      <c r="G2612" s="13"/>
      <c r="H2612" s="13">
        <v>82.81</v>
      </c>
      <c r="I2612" s="13">
        <v>74.86</v>
      </c>
    </row>
    <row r="2613" spans="1:9" x14ac:dyDescent="0.25">
      <c r="A2613" s="10">
        <v>43616</v>
      </c>
      <c r="B2613" s="15">
        <f t="shared" si="80"/>
        <v>5</v>
      </c>
      <c r="C2613" s="15">
        <f t="shared" si="81"/>
        <v>2019</v>
      </c>
      <c r="D2613" s="13">
        <v>37.47</v>
      </c>
      <c r="E2613" s="13"/>
      <c r="F2613" s="13">
        <v>6.97</v>
      </c>
      <c r="G2613" s="13"/>
      <c r="H2613" s="13">
        <v>82.81</v>
      </c>
      <c r="I2613" s="13">
        <v>74.86</v>
      </c>
    </row>
    <row r="2614" spans="1:9" x14ac:dyDescent="0.25">
      <c r="A2614" s="10">
        <v>43619</v>
      </c>
      <c r="B2614" s="15">
        <f t="shared" si="80"/>
        <v>6</v>
      </c>
      <c r="C2614" s="15">
        <f t="shared" si="81"/>
        <v>2019</v>
      </c>
      <c r="D2614" s="13">
        <v>23.23</v>
      </c>
      <c r="E2614" s="13"/>
      <c r="F2614" s="13">
        <v>-12.32</v>
      </c>
      <c r="G2614" s="13"/>
      <c r="H2614" s="13">
        <v>75.73</v>
      </c>
      <c r="I2614" s="13">
        <v>60.46</v>
      </c>
    </row>
    <row r="2615" spans="1:9" x14ac:dyDescent="0.25">
      <c r="A2615" s="10">
        <v>43620</v>
      </c>
      <c r="B2615" s="15">
        <f t="shared" si="80"/>
        <v>6</v>
      </c>
      <c r="C2615" s="15">
        <f t="shared" si="81"/>
        <v>2019</v>
      </c>
      <c r="D2615" s="13">
        <v>23.23</v>
      </c>
      <c r="E2615" s="13"/>
      <c r="F2615" s="13">
        <v>-12.32</v>
      </c>
      <c r="G2615" s="13"/>
      <c r="H2615" s="13">
        <v>75.73</v>
      </c>
      <c r="I2615" s="13">
        <v>60.46</v>
      </c>
    </row>
    <row r="2616" spans="1:9" x14ac:dyDescent="0.25">
      <c r="A2616" s="10">
        <v>43621</v>
      </c>
      <c r="B2616" s="15">
        <f t="shared" si="80"/>
        <v>6</v>
      </c>
      <c r="C2616" s="15">
        <f t="shared" si="81"/>
        <v>2019</v>
      </c>
      <c r="D2616" s="13">
        <v>23.23</v>
      </c>
      <c r="E2616" s="13"/>
      <c r="F2616" s="13">
        <v>-12.32</v>
      </c>
      <c r="G2616" s="13"/>
      <c r="H2616" s="13">
        <v>75.73</v>
      </c>
      <c r="I2616" s="13">
        <v>60.46</v>
      </c>
    </row>
    <row r="2617" spans="1:9" x14ac:dyDescent="0.25">
      <c r="A2617" s="10">
        <v>43622</v>
      </c>
      <c r="B2617" s="15">
        <f t="shared" si="80"/>
        <v>6</v>
      </c>
      <c r="C2617" s="15">
        <f t="shared" si="81"/>
        <v>2019</v>
      </c>
      <c r="D2617" s="13">
        <v>23.23</v>
      </c>
      <c r="E2617" s="13"/>
      <c r="F2617" s="13">
        <v>-12.32</v>
      </c>
      <c r="G2617" s="13"/>
      <c r="H2617" s="13">
        <v>75.73</v>
      </c>
      <c r="I2617" s="13">
        <v>60.46</v>
      </c>
    </row>
    <row r="2618" spans="1:9" x14ac:dyDescent="0.25">
      <c r="A2618" s="10">
        <v>43623</v>
      </c>
      <c r="B2618" s="15">
        <f t="shared" si="80"/>
        <v>6</v>
      </c>
      <c r="C2618" s="15">
        <f t="shared" si="81"/>
        <v>2019</v>
      </c>
      <c r="D2618" s="13">
        <v>23.23</v>
      </c>
      <c r="E2618" s="13"/>
      <c r="F2618" s="13">
        <v>-12.32</v>
      </c>
      <c r="G2618" s="13"/>
      <c r="H2618" s="13">
        <v>75.73</v>
      </c>
      <c r="I2618" s="13">
        <v>60.46</v>
      </c>
    </row>
    <row r="2619" spans="1:9" x14ac:dyDescent="0.25">
      <c r="A2619" s="10">
        <v>43626</v>
      </c>
      <c r="B2619" s="15">
        <f t="shared" si="80"/>
        <v>6</v>
      </c>
      <c r="C2619" s="15">
        <f t="shared" si="81"/>
        <v>2019</v>
      </c>
      <c r="D2619" s="13">
        <v>30.61</v>
      </c>
      <c r="E2619" s="13"/>
      <c r="F2619" s="13">
        <v>-9.11</v>
      </c>
      <c r="G2619" s="13"/>
      <c r="H2619" s="13">
        <v>80.31</v>
      </c>
      <c r="I2619" s="13">
        <v>74.44</v>
      </c>
    </row>
    <row r="2620" spans="1:9" x14ac:dyDescent="0.25">
      <c r="A2620" s="10">
        <v>43627</v>
      </c>
      <c r="B2620" s="15">
        <f t="shared" si="80"/>
        <v>6</v>
      </c>
      <c r="C2620" s="15">
        <f t="shared" si="81"/>
        <v>2019</v>
      </c>
      <c r="D2620" s="13">
        <v>30.61</v>
      </c>
      <c r="E2620" s="13"/>
      <c r="F2620" s="13">
        <v>-9.11</v>
      </c>
      <c r="G2620" s="13"/>
      <c r="H2620" s="13">
        <v>80.31</v>
      </c>
      <c r="I2620" s="13">
        <v>74.44</v>
      </c>
    </row>
    <row r="2621" spans="1:9" x14ac:dyDescent="0.25">
      <c r="A2621" s="10">
        <v>43628</v>
      </c>
      <c r="B2621" s="15">
        <f t="shared" si="80"/>
        <v>6</v>
      </c>
      <c r="C2621" s="15">
        <f t="shared" si="81"/>
        <v>2019</v>
      </c>
      <c r="D2621" s="13">
        <v>30.61</v>
      </c>
      <c r="E2621" s="13"/>
      <c r="F2621" s="13">
        <v>-9.11</v>
      </c>
      <c r="G2621" s="13"/>
      <c r="H2621" s="13">
        <v>80.31</v>
      </c>
      <c r="I2621" s="13">
        <v>74.44</v>
      </c>
    </row>
    <row r="2622" spans="1:9" x14ac:dyDescent="0.25">
      <c r="A2622" s="10">
        <v>43629</v>
      </c>
      <c r="B2622" s="15">
        <f t="shared" si="80"/>
        <v>6</v>
      </c>
      <c r="C2622" s="15">
        <f t="shared" si="81"/>
        <v>2019</v>
      </c>
      <c r="D2622" s="13">
        <v>30.61</v>
      </c>
      <c r="E2622" s="13"/>
      <c r="F2622" s="13">
        <v>-9.11</v>
      </c>
      <c r="G2622" s="13"/>
      <c r="H2622" s="13">
        <v>80.31</v>
      </c>
      <c r="I2622" s="13">
        <v>74.44</v>
      </c>
    </row>
    <row r="2623" spans="1:9" x14ac:dyDescent="0.25">
      <c r="A2623" s="10">
        <v>43630</v>
      </c>
      <c r="B2623" s="15">
        <f t="shared" si="80"/>
        <v>6</v>
      </c>
      <c r="C2623" s="15">
        <f t="shared" si="81"/>
        <v>2019</v>
      </c>
      <c r="D2623" s="13">
        <v>30.61</v>
      </c>
      <c r="E2623" s="13"/>
      <c r="F2623" s="13">
        <v>-9.11</v>
      </c>
      <c r="G2623" s="13"/>
      <c r="H2623" s="13">
        <v>80.31</v>
      </c>
      <c r="I2623" s="13">
        <v>74.44</v>
      </c>
    </row>
    <row r="2624" spans="1:9" x14ac:dyDescent="0.25">
      <c r="A2624" s="10">
        <v>43633</v>
      </c>
      <c r="B2624" s="15">
        <f t="shared" si="80"/>
        <v>6</v>
      </c>
      <c r="C2624" s="15">
        <f t="shared" si="81"/>
        <v>2019</v>
      </c>
      <c r="D2624" s="13">
        <v>25.32</v>
      </c>
      <c r="E2624" s="13"/>
      <c r="F2624" s="13">
        <v>-17.079999999999998</v>
      </c>
      <c r="G2624" s="13"/>
      <c r="H2624" s="13">
        <v>74.02</v>
      </c>
      <c r="I2624" s="13">
        <v>55.46</v>
      </c>
    </row>
    <row r="2625" spans="1:9" x14ac:dyDescent="0.25">
      <c r="A2625" s="10">
        <v>43634</v>
      </c>
      <c r="B2625" s="15">
        <f t="shared" si="80"/>
        <v>6</v>
      </c>
      <c r="C2625" s="15">
        <f t="shared" si="81"/>
        <v>2019</v>
      </c>
      <c r="D2625" s="13">
        <v>25.32</v>
      </c>
      <c r="E2625" s="13"/>
      <c r="F2625" s="13">
        <v>-17.079999999999998</v>
      </c>
      <c r="G2625" s="13"/>
      <c r="H2625" s="13">
        <v>74.02</v>
      </c>
      <c r="I2625" s="13">
        <v>55.46</v>
      </c>
    </row>
    <row r="2626" spans="1:9" x14ac:dyDescent="0.25">
      <c r="A2626" s="10">
        <v>43635</v>
      </c>
      <c r="B2626" s="15">
        <f t="shared" si="80"/>
        <v>6</v>
      </c>
      <c r="C2626" s="15">
        <f t="shared" si="81"/>
        <v>2019</v>
      </c>
      <c r="D2626" s="13">
        <v>25.32</v>
      </c>
      <c r="E2626" s="13"/>
      <c r="F2626" s="13">
        <v>-17.079999999999998</v>
      </c>
      <c r="G2626" s="13"/>
      <c r="H2626" s="13">
        <v>74.02</v>
      </c>
      <c r="I2626" s="13">
        <v>55.46</v>
      </c>
    </row>
    <row r="2627" spans="1:9" x14ac:dyDescent="0.25">
      <c r="A2627" s="10">
        <v>43636</v>
      </c>
      <c r="B2627" s="15">
        <f t="shared" ref="B2627:B2690" si="82">MONTH(A2627)</f>
        <v>6</v>
      </c>
      <c r="C2627" s="15">
        <f t="shared" ref="C2627:C2690" si="83">YEAR(A2627)</f>
        <v>2019</v>
      </c>
      <c r="D2627" s="13">
        <v>25.32</v>
      </c>
      <c r="E2627" s="13"/>
      <c r="F2627" s="13">
        <v>-17.079999999999998</v>
      </c>
      <c r="G2627" s="13"/>
      <c r="H2627" s="13">
        <v>74.02</v>
      </c>
      <c r="I2627" s="13">
        <v>55.46</v>
      </c>
    </row>
    <row r="2628" spans="1:9" x14ac:dyDescent="0.25">
      <c r="A2628" s="10">
        <v>43637</v>
      </c>
      <c r="B2628" s="15">
        <f t="shared" si="82"/>
        <v>6</v>
      </c>
      <c r="C2628" s="15">
        <f t="shared" si="83"/>
        <v>2019</v>
      </c>
      <c r="D2628" s="13">
        <v>25.32</v>
      </c>
      <c r="E2628" s="13"/>
      <c r="F2628" s="13">
        <v>-17.079999999999998</v>
      </c>
      <c r="G2628" s="13"/>
      <c r="H2628" s="13">
        <v>74.02</v>
      </c>
      <c r="I2628" s="13">
        <v>55.46</v>
      </c>
    </row>
    <row r="2629" spans="1:9" x14ac:dyDescent="0.25">
      <c r="A2629" s="10">
        <v>43640</v>
      </c>
      <c r="B2629" s="15">
        <f t="shared" si="82"/>
        <v>6</v>
      </c>
      <c r="C2629" s="15">
        <f t="shared" si="83"/>
        <v>2019</v>
      </c>
      <c r="D2629" s="13">
        <v>19.28</v>
      </c>
      <c r="E2629" s="13"/>
      <c r="F2629" s="13">
        <v>-12.88</v>
      </c>
      <c r="G2629" s="13"/>
      <c r="H2629" s="13">
        <v>60.59</v>
      </c>
      <c r="I2629" s="13">
        <v>49.64</v>
      </c>
    </row>
    <row r="2630" spans="1:9" x14ac:dyDescent="0.25">
      <c r="A2630" s="10">
        <v>43641</v>
      </c>
      <c r="B2630" s="15">
        <f t="shared" si="82"/>
        <v>6</v>
      </c>
      <c r="C2630" s="15">
        <f t="shared" si="83"/>
        <v>2019</v>
      </c>
      <c r="D2630" s="13">
        <v>19.28</v>
      </c>
      <c r="E2630" s="13"/>
      <c r="F2630" s="13">
        <v>-12.88</v>
      </c>
      <c r="G2630" s="13"/>
      <c r="H2630" s="13">
        <v>60.59</v>
      </c>
      <c r="I2630" s="13">
        <v>49.64</v>
      </c>
    </row>
    <row r="2631" spans="1:9" x14ac:dyDescent="0.25">
      <c r="A2631" s="10">
        <v>43642</v>
      </c>
      <c r="B2631" s="15">
        <f t="shared" si="82"/>
        <v>6</v>
      </c>
      <c r="C2631" s="15">
        <f t="shared" si="83"/>
        <v>2019</v>
      </c>
      <c r="D2631" s="13">
        <v>19.28</v>
      </c>
      <c r="E2631" s="13"/>
      <c r="F2631" s="13">
        <v>-12.88</v>
      </c>
      <c r="G2631" s="13"/>
      <c r="H2631" s="13">
        <v>60.59</v>
      </c>
      <c r="I2631" s="13">
        <v>49.64</v>
      </c>
    </row>
    <row r="2632" spans="1:9" x14ac:dyDescent="0.25">
      <c r="A2632" s="10">
        <v>43643</v>
      </c>
      <c r="B2632" s="15">
        <f t="shared" si="82"/>
        <v>6</v>
      </c>
      <c r="C2632" s="15">
        <f t="shared" si="83"/>
        <v>2019</v>
      </c>
      <c r="D2632" s="13">
        <v>19.28</v>
      </c>
      <c r="E2632" s="13"/>
      <c r="F2632" s="13">
        <v>-12.88</v>
      </c>
      <c r="G2632" s="13"/>
      <c r="H2632" s="13">
        <v>60.59</v>
      </c>
      <c r="I2632" s="13">
        <v>49.64</v>
      </c>
    </row>
    <row r="2633" spans="1:9" x14ac:dyDescent="0.25">
      <c r="A2633" s="10">
        <v>43644</v>
      </c>
      <c r="B2633" s="15">
        <f t="shared" si="82"/>
        <v>6</v>
      </c>
      <c r="C2633" s="15">
        <f t="shared" si="83"/>
        <v>2019</v>
      </c>
      <c r="D2633" s="13">
        <v>19.28</v>
      </c>
      <c r="E2633" s="13"/>
      <c r="F2633" s="13">
        <v>-12.88</v>
      </c>
      <c r="G2633" s="13"/>
      <c r="H2633" s="13">
        <v>60.59</v>
      </c>
      <c r="I2633" s="13">
        <v>49.64</v>
      </c>
    </row>
    <row r="2634" spans="1:9" x14ac:dyDescent="0.25">
      <c r="A2634" s="10">
        <v>43647</v>
      </c>
      <c r="B2634" s="15">
        <f t="shared" si="82"/>
        <v>7</v>
      </c>
      <c r="C2634" s="15">
        <f t="shared" si="83"/>
        <v>2019</v>
      </c>
      <c r="D2634" s="13">
        <v>13.47</v>
      </c>
      <c r="E2634" s="13"/>
      <c r="F2634" s="13">
        <v>-13.49</v>
      </c>
      <c r="G2634" s="13"/>
      <c r="H2634" s="13">
        <v>56.66</v>
      </c>
      <c r="I2634" s="13">
        <v>50.29</v>
      </c>
    </row>
    <row r="2635" spans="1:9" x14ac:dyDescent="0.25">
      <c r="A2635" s="10">
        <v>43648</v>
      </c>
      <c r="B2635" s="15">
        <f t="shared" si="82"/>
        <v>7</v>
      </c>
      <c r="C2635" s="15">
        <f t="shared" si="83"/>
        <v>2019</v>
      </c>
      <c r="D2635" s="13">
        <v>13.47</v>
      </c>
      <c r="E2635" s="13"/>
      <c r="F2635" s="13">
        <v>-13.49</v>
      </c>
      <c r="G2635" s="13"/>
      <c r="H2635" s="13">
        <v>56.66</v>
      </c>
      <c r="I2635" s="13">
        <v>50.29</v>
      </c>
    </row>
    <row r="2636" spans="1:9" x14ac:dyDescent="0.25">
      <c r="A2636" s="10">
        <v>43649</v>
      </c>
      <c r="B2636" s="15">
        <f t="shared" si="82"/>
        <v>7</v>
      </c>
      <c r="C2636" s="15">
        <f t="shared" si="83"/>
        <v>2019</v>
      </c>
      <c r="D2636" s="13">
        <v>13.47</v>
      </c>
      <c r="E2636" s="13"/>
      <c r="F2636" s="13">
        <v>-13.49</v>
      </c>
      <c r="G2636" s="13"/>
      <c r="H2636" s="13">
        <v>56.66</v>
      </c>
      <c r="I2636" s="13">
        <v>50.29</v>
      </c>
    </row>
    <row r="2637" spans="1:9" x14ac:dyDescent="0.25">
      <c r="A2637" s="10">
        <v>43651</v>
      </c>
      <c r="B2637" s="15">
        <f t="shared" si="82"/>
        <v>7</v>
      </c>
      <c r="C2637" s="15">
        <f t="shared" si="83"/>
        <v>2019</v>
      </c>
      <c r="D2637" s="13">
        <v>13.47</v>
      </c>
      <c r="E2637" s="13"/>
      <c r="F2637" s="13">
        <v>-13.49</v>
      </c>
      <c r="G2637" s="13"/>
      <c r="H2637" s="13">
        <v>56.66</v>
      </c>
      <c r="I2637" s="13">
        <v>50.29</v>
      </c>
    </row>
    <row r="2638" spans="1:9" x14ac:dyDescent="0.25">
      <c r="A2638" s="10">
        <v>43654</v>
      </c>
      <c r="B2638" s="15">
        <f t="shared" si="82"/>
        <v>7</v>
      </c>
      <c r="C2638" s="15">
        <f t="shared" si="83"/>
        <v>2019</v>
      </c>
      <c r="D2638" s="13">
        <v>27.09</v>
      </c>
      <c r="E2638" s="13"/>
      <c r="F2638" s="13">
        <v>-5.38</v>
      </c>
      <c r="G2638" s="13"/>
      <c r="H2638" s="13">
        <v>74.11</v>
      </c>
      <c r="I2638" s="13">
        <v>56.95</v>
      </c>
    </row>
    <row r="2639" spans="1:9" x14ac:dyDescent="0.25">
      <c r="A2639" s="10">
        <v>43655</v>
      </c>
      <c r="B2639" s="15">
        <f t="shared" si="82"/>
        <v>7</v>
      </c>
      <c r="C2639" s="15">
        <f t="shared" si="83"/>
        <v>2019</v>
      </c>
      <c r="D2639" s="13">
        <v>27.09</v>
      </c>
      <c r="E2639" s="13"/>
      <c r="F2639" s="13">
        <v>-5.38</v>
      </c>
      <c r="G2639" s="13"/>
      <c r="H2639" s="13">
        <v>74.11</v>
      </c>
      <c r="I2639" s="13">
        <v>56.95</v>
      </c>
    </row>
    <row r="2640" spans="1:9" x14ac:dyDescent="0.25">
      <c r="A2640" s="10">
        <v>43656</v>
      </c>
      <c r="B2640" s="15">
        <f t="shared" si="82"/>
        <v>7</v>
      </c>
      <c r="C2640" s="15">
        <f t="shared" si="83"/>
        <v>2019</v>
      </c>
      <c r="D2640" s="13">
        <v>27.09</v>
      </c>
      <c r="E2640" s="13"/>
      <c r="F2640" s="13">
        <v>-5.38</v>
      </c>
      <c r="G2640" s="13"/>
      <c r="H2640" s="13">
        <v>74.11</v>
      </c>
      <c r="I2640" s="13">
        <v>56.95</v>
      </c>
    </row>
    <row r="2641" spans="1:9" x14ac:dyDescent="0.25">
      <c r="A2641" s="10">
        <v>43657</v>
      </c>
      <c r="B2641" s="15">
        <f t="shared" si="82"/>
        <v>7</v>
      </c>
      <c r="C2641" s="15">
        <f t="shared" si="83"/>
        <v>2019</v>
      </c>
      <c r="D2641" s="13">
        <v>27.09</v>
      </c>
      <c r="E2641" s="13"/>
      <c r="F2641" s="13">
        <v>-5.38</v>
      </c>
      <c r="G2641" s="13"/>
      <c r="H2641" s="13">
        <v>74.11</v>
      </c>
      <c r="I2641" s="13">
        <v>56.95</v>
      </c>
    </row>
    <row r="2642" spans="1:9" x14ac:dyDescent="0.25">
      <c r="A2642" s="10">
        <v>43658</v>
      </c>
      <c r="B2642" s="15">
        <f t="shared" si="82"/>
        <v>7</v>
      </c>
      <c r="C2642" s="15">
        <f t="shared" si="83"/>
        <v>2019</v>
      </c>
      <c r="D2642" s="13">
        <v>27.09</v>
      </c>
      <c r="E2642" s="13"/>
      <c r="F2642" s="13">
        <v>-5.38</v>
      </c>
      <c r="G2642" s="13"/>
      <c r="H2642" s="13">
        <v>74.11</v>
      </c>
      <c r="I2642" s="13">
        <v>56.95</v>
      </c>
    </row>
    <row r="2643" spans="1:9" x14ac:dyDescent="0.25">
      <c r="A2643" s="10">
        <v>43661</v>
      </c>
      <c r="B2643" s="15">
        <f t="shared" si="82"/>
        <v>7</v>
      </c>
      <c r="C2643" s="15">
        <f t="shared" si="83"/>
        <v>2019</v>
      </c>
      <c r="D2643" s="13">
        <v>35.78</v>
      </c>
      <c r="E2643" s="13"/>
      <c r="F2643" s="13">
        <v>3.24</v>
      </c>
      <c r="G2643" s="13"/>
      <c r="H2643" s="13">
        <v>76.010000000000005</v>
      </c>
      <c r="I2643" s="13">
        <v>54.67</v>
      </c>
    </row>
    <row r="2644" spans="1:9" x14ac:dyDescent="0.25">
      <c r="A2644" s="10">
        <v>43662</v>
      </c>
      <c r="B2644" s="15">
        <f t="shared" si="82"/>
        <v>7</v>
      </c>
      <c r="C2644" s="15">
        <f t="shared" si="83"/>
        <v>2019</v>
      </c>
      <c r="D2644" s="13">
        <v>35.78</v>
      </c>
      <c r="E2644" s="13"/>
      <c r="F2644" s="13">
        <v>3.24</v>
      </c>
      <c r="G2644" s="13"/>
      <c r="H2644" s="13">
        <v>76.010000000000005</v>
      </c>
      <c r="I2644" s="13">
        <v>54.67</v>
      </c>
    </row>
    <row r="2645" spans="1:9" x14ac:dyDescent="0.25">
      <c r="A2645" s="10">
        <v>43663</v>
      </c>
      <c r="B2645" s="15">
        <f t="shared" si="82"/>
        <v>7</v>
      </c>
      <c r="C2645" s="15">
        <f t="shared" si="83"/>
        <v>2019</v>
      </c>
      <c r="D2645" s="13">
        <v>35.78</v>
      </c>
      <c r="E2645" s="13"/>
      <c r="F2645" s="13">
        <v>3.24</v>
      </c>
      <c r="G2645" s="13"/>
      <c r="H2645" s="13">
        <v>76.010000000000005</v>
      </c>
      <c r="I2645" s="13">
        <v>54.67</v>
      </c>
    </row>
    <row r="2646" spans="1:9" x14ac:dyDescent="0.25">
      <c r="A2646" s="10">
        <v>43664</v>
      </c>
      <c r="B2646" s="15">
        <f t="shared" si="82"/>
        <v>7</v>
      </c>
      <c r="C2646" s="15">
        <f t="shared" si="83"/>
        <v>2019</v>
      </c>
      <c r="D2646" s="13">
        <v>35.78</v>
      </c>
      <c r="E2646" s="13"/>
      <c r="F2646" s="13">
        <v>3.24</v>
      </c>
      <c r="G2646" s="13"/>
      <c r="H2646" s="13">
        <v>76.010000000000005</v>
      </c>
      <c r="I2646" s="13">
        <v>54.67</v>
      </c>
    </row>
    <row r="2647" spans="1:9" x14ac:dyDescent="0.25">
      <c r="A2647" s="10">
        <v>43665</v>
      </c>
      <c r="B2647" s="15">
        <f t="shared" si="82"/>
        <v>7</v>
      </c>
      <c r="C2647" s="15">
        <f t="shared" si="83"/>
        <v>2019</v>
      </c>
      <c r="D2647" s="13">
        <v>35.78</v>
      </c>
      <c r="E2647" s="13"/>
      <c r="F2647" s="13">
        <v>3.24</v>
      </c>
      <c r="G2647" s="13"/>
      <c r="H2647" s="13">
        <v>76.010000000000005</v>
      </c>
      <c r="I2647" s="13">
        <v>54.67</v>
      </c>
    </row>
    <row r="2648" spans="1:9" x14ac:dyDescent="0.25">
      <c r="A2648" s="10">
        <v>43668</v>
      </c>
      <c r="B2648" s="15">
        <f t="shared" si="82"/>
        <v>7</v>
      </c>
      <c r="C2648" s="15">
        <f t="shared" si="83"/>
        <v>2019</v>
      </c>
      <c r="D2648" s="13">
        <v>33.51</v>
      </c>
      <c r="E2648" s="13"/>
      <c r="F2648" s="13">
        <v>6.84</v>
      </c>
      <c r="G2648" s="13"/>
      <c r="H2648" s="13">
        <v>78.239999999999995</v>
      </c>
      <c r="I2648" s="13">
        <v>59.49</v>
      </c>
    </row>
    <row r="2649" spans="1:9" x14ac:dyDescent="0.25">
      <c r="A2649" s="10">
        <v>43669</v>
      </c>
      <c r="B2649" s="15">
        <f t="shared" si="82"/>
        <v>7</v>
      </c>
      <c r="C2649" s="15">
        <f t="shared" si="83"/>
        <v>2019</v>
      </c>
      <c r="D2649" s="13">
        <v>33.51</v>
      </c>
      <c r="E2649" s="13"/>
      <c r="F2649" s="13">
        <v>6.84</v>
      </c>
      <c r="G2649" s="13"/>
      <c r="H2649" s="13">
        <v>78.239999999999995</v>
      </c>
      <c r="I2649" s="13">
        <v>59.49</v>
      </c>
    </row>
    <row r="2650" spans="1:9" x14ac:dyDescent="0.25">
      <c r="A2650" s="10">
        <v>43670</v>
      </c>
      <c r="B2650" s="15">
        <f t="shared" si="82"/>
        <v>7</v>
      </c>
      <c r="C2650" s="15">
        <f t="shared" si="83"/>
        <v>2019</v>
      </c>
      <c r="D2650" s="13">
        <v>33.51</v>
      </c>
      <c r="E2650" s="13"/>
      <c r="F2650" s="13">
        <v>6.84</v>
      </c>
      <c r="G2650" s="13"/>
      <c r="H2650" s="13">
        <v>78.239999999999995</v>
      </c>
      <c r="I2650" s="13">
        <v>59.49</v>
      </c>
    </row>
    <row r="2651" spans="1:9" x14ac:dyDescent="0.25">
      <c r="A2651" s="10">
        <v>43671</v>
      </c>
      <c r="B2651" s="15">
        <f t="shared" si="82"/>
        <v>7</v>
      </c>
      <c r="C2651" s="15">
        <f t="shared" si="83"/>
        <v>2019</v>
      </c>
      <c r="D2651" s="13">
        <v>33.51</v>
      </c>
      <c r="E2651" s="13"/>
      <c r="F2651" s="13">
        <v>6.84</v>
      </c>
      <c r="G2651" s="13"/>
      <c r="H2651" s="13">
        <v>78.239999999999995</v>
      </c>
      <c r="I2651" s="13">
        <v>59.49</v>
      </c>
    </row>
    <row r="2652" spans="1:9" x14ac:dyDescent="0.25">
      <c r="A2652" s="10">
        <v>43672</v>
      </c>
      <c r="B2652" s="15">
        <f t="shared" si="82"/>
        <v>7</v>
      </c>
      <c r="C2652" s="15">
        <f t="shared" si="83"/>
        <v>2019</v>
      </c>
      <c r="D2652" s="13">
        <v>33.51</v>
      </c>
      <c r="E2652" s="13"/>
      <c r="F2652" s="13">
        <v>6.84</v>
      </c>
      <c r="G2652" s="13"/>
      <c r="H2652" s="13">
        <v>78.239999999999995</v>
      </c>
      <c r="I2652" s="13">
        <v>59.49</v>
      </c>
    </row>
    <row r="2653" spans="1:9" x14ac:dyDescent="0.25">
      <c r="A2653" s="10">
        <v>43675</v>
      </c>
      <c r="B2653" s="15">
        <f t="shared" si="82"/>
        <v>7</v>
      </c>
      <c r="C2653" s="15">
        <f t="shared" si="83"/>
        <v>2019</v>
      </c>
      <c r="D2653" s="13">
        <v>32.89</v>
      </c>
      <c r="E2653" s="13"/>
      <c r="F2653" s="13">
        <v>12.12</v>
      </c>
      <c r="G2653" s="13"/>
      <c r="H2653" s="13">
        <v>69.62</v>
      </c>
      <c r="I2653" s="13">
        <v>49.72</v>
      </c>
    </row>
    <row r="2654" spans="1:9" x14ac:dyDescent="0.25">
      <c r="A2654" s="10">
        <v>43676</v>
      </c>
      <c r="B2654" s="15">
        <f t="shared" si="82"/>
        <v>7</v>
      </c>
      <c r="C2654" s="15">
        <f t="shared" si="83"/>
        <v>2019</v>
      </c>
      <c r="D2654" s="13">
        <v>32.89</v>
      </c>
      <c r="E2654" s="13"/>
      <c r="F2654" s="13">
        <v>12.12</v>
      </c>
      <c r="G2654" s="13"/>
      <c r="H2654" s="13">
        <v>69.62</v>
      </c>
      <c r="I2654" s="13">
        <v>49.72</v>
      </c>
    </row>
    <row r="2655" spans="1:9" x14ac:dyDescent="0.25">
      <c r="A2655" s="10">
        <v>43677</v>
      </c>
      <c r="B2655" s="15">
        <f t="shared" si="82"/>
        <v>7</v>
      </c>
      <c r="C2655" s="15">
        <f t="shared" si="83"/>
        <v>2019</v>
      </c>
      <c r="D2655" s="13">
        <v>32.89</v>
      </c>
      <c r="E2655" s="13"/>
      <c r="F2655" s="13">
        <v>12.12</v>
      </c>
      <c r="G2655" s="13"/>
      <c r="H2655" s="13">
        <v>69.62</v>
      </c>
      <c r="I2655" s="13">
        <v>49.72</v>
      </c>
    </row>
    <row r="2656" spans="1:9" x14ac:dyDescent="0.25">
      <c r="A2656" s="10">
        <v>43678</v>
      </c>
      <c r="B2656" s="15">
        <f t="shared" si="82"/>
        <v>8</v>
      </c>
      <c r="C2656" s="15">
        <f t="shared" si="83"/>
        <v>2019</v>
      </c>
      <c r="D2656" s="13">
        <v>32.89</v>
      </c>
      <c r="E2656" s="13"/>
      <c r="F2656" s="13">
        <v>12.12</v>
      </c>
      <c r="G2656" s="13"/>
      <c r="H2656" s="13">
        <v>69.62</v>
      </c>
      <c r="I2656" s="13">
        <v>49.72</v>
      </c>
    </row>
    <row r="2657" spans="1:9" x14ac:dyDescent="0.25">
      <c r="A2657" s="10">
        <v>43679</v>
      </c>
      <c r="B2657" s="15">
        <f t="shared" si="82"/>
        <v>8</v>
      </c>
      <c r="C2657" s="15">
        <f t="shared" si="83"/>
        <v>2019</v>
      </c>
      <c r="D2657" s="13">
        <v>32.89</v>
      </c>
      <c r="E2657" s="13"/>
      <c r="F2657" s="13">
        <v>12.12</v>
      </c>
      <c r="G2657" s="13"/>
      <c r="H2657" s="13">
        <v>69.62</v>
      </c>
      <c r="I2657" s="13">
        <v>49.72</v>
      </c>
    </row>
    <row r="2658" spans="1:9" x14ac:dyDescent="0.25">
      <c r="A2658" s="10">
        <v>43682</v>
      </c>
      <c r="B2658" s="15">
        <f t="shared" si="82"/>
        <v>8</v>
      </c>
      <c r="C2658" s="15">
        <f t="shared" si="83"/>
        <v>2019</v>
      </c>
      <c r="D2658" s="13">
        <v>37.520000000000003</v>
      </c>
      <c r="E2658" s="13"/>
      <c r="F2658" s="13">
        <v>8.42</v>
      </c>
      <c r="G2658" s="13"/>
      <c r="H2658" s="13">
        <v>81.709999999999994</v>
      </c>
      <c r="I2658" s="13">
        <v>112.92</v>
      </c>
    </row>
    <row r="2659" spans="1:9" x14ac:dyDescent="0.25">
      <c r="A2659" s="10">
        <v>43683</v>
      </c>
      <c r="B2659" s="15">
        <f t="shared" si="82"/>
        <v>8</v>
      </c>
      <c r="C2659" s="15">
        <f t="shared" si="83"/>
        <v>2019</v>
      </c>
      <c r="D2659" s="13">
        <v>37.520000000000003</v>
      </c>
      <c r="E2659" s="13"/>
      <c r="F2659" s="13">
        <v>8.42</v>
      </c>
      <c r="G2659" s="13"/>
      <c r="H2659" s="13">
        <v>81.709999999999994</v>
      </c>
      <c r="I2659" s="13">
        <v>112.92</v>
      </c>
    </row>
    <row r="2660" spans="1:9" x14ac:dyDescent="0.25">
      <c r="A2660" s="10">
        <v>43684</v>
      </c>
      <c r="B2660" s="15">
        <f t="shared" si="82"/>
        <v>8</v>
      </c>
      <c r="C2660" s="15">
        <f t="shared" si="83"/>
        <v>2019</v>
      </c>
      <c r="D2660" s="13">
        <v>37.520000000000003</v>
      </c>
      <c r="E2660" s="13"/>
      <c r="F2660" s="13">
        <v>8.42</v>
      </c>
      <c r="G2660" s="13"/>
      <c r="H2660" s="13">
        <v>81.709999999999994</v>
      </c>
      <c r="I2660" s="13">
        <v>112.92</v>
      </c>
    </row>
    <row r="2661" spans="1:9" x14ac:dyDescent="0.25">
      <c r="A2661" s="10">
        <v>43685</v>
      </c>
      <c r="B2661" s="15">
        <f t="shared" si="82"/>
        <v>8</v>
      </c>
      <c r="C2661" s="15">
        <f t="shared" si="83"/>
        <v>2019</v>
      </c>
      <c r="D2661" s="13">
        <v>37.520000000000003</v>
      </c>
      <c r="E2661" s="13"/>
      <c r="F2661" s="13">
        <v>8.42</v>
      </c>
      <c r="G2661" s="13"/>
      <c r="H2661" s="13">
        <v>81.709999999999994</v>
      </c>
      <c r="I2661" s="13">
        <v>112.92</v>
      </c>
    </row>
    <row r="2662" spans="1:9" x14ac:dyDescent="0.25">
      <c r="A2662" s="10">
        <v>43686</v>
      </c>
      <c r="B2662" s="15">
        <f t="shared" si="82"/>
        <v>8</v>
      </c>
      <c r="C2662" s="15">
        <f t="shared" si="83"/>
        <v>2019</v>
      </c>
      <c r="D2662" s="13">
        <v>37.520000000000003</v>
      </c>
      <c r="E2662" s="13"/>
      <c r="F2662" s="13">
        <v>8.42</v>
      </c>
      <c r="G2662" s="13"/>
      <c r="H2662" s="13">
        <v>81.709999999999994</v>
      </c>
      <c r="I2662" s="13">
        <v>112.92</v>
      </c>
    </row>
    <row r="2663" spans="1:9" x14ac:dyDescent="0.25">
      <c r="A2663" s="10">
        <v>43689</v>
      </c>
      <c r="B2663" s="15">
        <f t="shared" si="82"/>
        <v>8</v>
      </c>
      <c r="C2663" s="15">
        <f t="shared" si="83"/>
        <v>2019</v>
      </c>
      <c r="D2663" s="13">
        <v>24.37</v>
      </c>
      <c r="E2663" s="13"/>
      <c r="F2663" s="13">
        <v>0.18</v>
      </c>
      <c r="G2663" s="13"/>
      <c r="H2663" s="13">
        <v>70.95</v>
      </c>
      <c r="I2663" s="13">
        <v>100.49</v>
      </c>
    </row>
    <row r="2664" spans="1:9" x14ac:dyDescent="0.25">
      <c r="A2664" s="10">
        <v>43690</v>
      </c>
      <c r="B2664" s="15">
        <f t="shared" si="82"/>
        <v>8</v>
      </c>
      <c r="C2664" s="15">
        <f t="shared" si="83"/>
        <v>2019</v>
      </c>
      <c r="D2664" s="13">
        <v>24.37</v>
      </c>
      <c r="E2664" s="13"/>
      <c r="F2664" s="13">
        <v>0.18</v>
      </c>
      <c r="G2664" s="13"/>
      <c r="H2664" s="13">
        <v>70.95</v>
      </c>
      <c r="I2664" s="13">
        <v>100.49</v>
      </c>
    </row>
    <row r="2665" spans="1:9" x14ac:dyDescent="0.25">
      <c r="A2665" s="10">
        <v>43691</v>
      </c>
      <c r="B2665" s="15">
        <f t="shared" si="82"/>
        <v>8</v>
      </c>
      <c r="C2665" s="15">
        <f t="shared" si="83"/>
        <v>2019</v>
      </c>
      <c r="D2665" s="13">
        <v>24.37</v>
      </c>
      <c r="E2665" s="13"/>
      <c r="F2665" s="13">
        <v>0.18</v>
      </c>
      <c r="G2665" s="13"/>
      <c r="H2665" s="13">
        <v>70.95</v>
      </c>
      <c r="I2665" s="13">
        <v>100.49</v>
      </c>
    </row>
    <row r="2666" spans="1:9" x14ac:dyDescent="0.25">
      <c r="A2666" s="10">
        <v>43692</v>
      </c>
      <c r="B2666" s="15">
        <f t="shared" si="82"/>
        <v>8</v>
      </c>
      <c r="C2666" s="15">
        <f t="shared" si="83"/>
        <v>2019</v>
      </c>
      <c r="D2666" s="13">
        <v>24.37</v>
      </c>
      <c r="E2666" s="13"/>
      <c r="F2666" s="13">
        <v>0.18</v>
      </c>
      <c r="G2666" s="13"/>
      <c r="H2666" s="13">
        <v>70.95</v>
      </c>
      <c r="I2666" s="13">
        <v>100.49</v>
      </c>
    </row>
    <row r="2667" spans="1:9" x14ac:dyDescent="0.25">
      <c r="A2667" s="10">
        <v>43693</v>
      </c>
      <c r="B2667" s="15">
        <f t="shared" si="82"/>
        <v>8</v>
      </c>
      <c r="C2667" s="15">
        <f t="shared" si="83"/>
        <v>2019</v>
      </c>
      <c r="D2667" s="13">
        <v>24.37</v>
      </c>
      <c r="E2667" s="13"/>
      <c r="F2667" s="13">
        <v>0.18</v>
      </c>
      <c r="G2667" s="13"/>
      <c r="H2667" s="13">
        <v>70.95</v>
      </c>
      <c r="I2667" s="13">
        <v>100.49</v>
      </c>
    </row>
    <row r="2668" spans="1:9" x14ac:dyDescent="0.25">
      <c r="A2668" s="10">
        <v>43696</v>
      </c>
      <c r="B2668" s="15">
        <f t="shared" si="82"/>
        <v>8</v>
      </c>
      <c r="C2668" s="15">
        <f t="shared" si="83"/>
        <v>2019</v>
      </c>
      <c r="D2668" s="13">
        <v>18.48</v>
      </c>
      <c r="E2668" s="13"/>
      <c r="F2668" s="13">
        <v>-6.82</v>
      </c>
      <c r="G2668" s="13"/>
      <c r="H2668" s="13">
        <v>59.17</v>
      </c>
      <c r="I2668" s="13">
        <v>88.27</v>
      </c>
    </row>
    <row r="2669" spans="1:9" x14ac:dyDescent="0.25">
      <c r="A2669" s="10">
        <v>43697</v>
      </c>
      <c r="B2669" s="15">
        <f t="shared" si="82"/>
        <v>8</v>
      </c>
      <c r="C2669" s="15">
        <f t="shared" si="83"/>
        <v>2019</v>
      </c>
      <c r="D2669" s="13">
        <v>18.48</v>
      </c>
      <c r="E2669" s="13"/>
      <c r="F2669" s="13">
        <v>-6.82</v>
      </c>
      <c r="G2669" s="13"/>
      <c r="H2669" s="13">
        <v>59.17</v>
      </c>
      <c r="I2669" s="13">
        <v>88.27</v>
      </c>
    </row>
    <row r="2670" spans="1:9" x14ac:dyDescent="0.25">
      <c r="A2670" s="10">
        <v>43698</v>
      </c>
      <c r="B2670" s="15">
        <f t="shared" si="82"/>
        <v>8</v>
      </c>
      <c r="C2670" s="15">
        <f t="shared" si="83"/>
        <v>2019</v>
      </c>
      <c r="D2670" s="13">
        <v>18.48</v>
      </c>
      <c r="E2670" s="13"/>
      <c r="F2670" s="13">
        <v>-6.82</v>
      </c>
      <c r="G2670" s="13"/>
      <c r="H2670" s="13">
        <v>59.17</v>
      </c>
      <c r="I2670" s="13">
        <v>88.27</v>
      </c>
    </row>
    <row r="2671" spans="1:9" x14ac:dyDescent="0.25">
      <c r="A2671" s="10">
        <v>43699</v>
      </c>
      <c r="B2671" s="15">
        <f t="shared" si="82"/>
        <v>8</v>
      </c>
      <c r="C2671" s="15">
        <f t="shared" si="83"/>
        <v>2019</v>
      </c>
      <c r="D2671" s="13">
        <v>18.48</v>
      </c>
      <c r="E2671" s="13"/>
      <c r="F2671" s="13">
        <v>-6.82</v>
      </c>
      <c r="G2671" s="13"/>
      <c r="H2671" s="13">
        <v>59.17</v>
      </c>
      <c r="I2671" s="13">
        <v>88.27</v>
      </c>
    </row>
    <row r="2672" spans="1:9" x14ac:dyDescent="0.25">
      <c r="A2672" s="10">
        <v>43700</v>
      </c>
      <c r="B2672" s="15">
        <f t="shared" si="82"/>
        <v>8</v>
      </c>
      <c r="C2672" s="15">
        <f t="shared" si="83"/>
        <v>2019</v>
      </c>
      <c r="D2672" s="13">
        <v>18.48</v>
      </c>
      <c r="E2672" s="13"/>
      <c r="F2672" s="13">
        <v>-6.82</v>
      </c>
      <c r="G2672" s="13"/>
      <c r="H2672" s="13">
        <v>59.17</v>
      </c>
      <c r="I2672" s="13">
        <v>88.27</v>
      </c>
    </row>
    <row r="2673" spans="1:9" x14ac:dyDescent="0.25">
      <c r="A2673" s="10">
        <v>43703</v>
      </c>
      <c r="B2673" s="15">
        <f t="shared" si="82"/>
        <v>8</v>
      </c>
      <c r="C2673" s="15">
        <f t="shared" si="83"/>
        <v>2019</v>
      </c>
      <c r="D2673" s="13">
        <v>21.82</v>
      </c>
      <c r="E2673" s="13"/>
      <c r="F2673" s="13">
        <v>-5.67</v>
      </c>
      <c r="G2673" s="13"/>
      <c r="H2673" s="13">
        <v>62.84</v>
      </c>
      <c r="I2673" s="13">
        <v>52.12</v>
      </c>
    </row>
    <row r="2674" spans="1:9" x14ac:dyDescent="0.25">
      <c r="A2674" s="10">
        <v>43704</v>
      </c>
      <c r="B2674" s="15">
        <f t="shared" si="82"/>
        <v>8</v>
      </c>
      <c r="C2674" s="15">
        <f t="shared" si="83"/>
        <v>2019</v>
      </c>
      <c r="D2674" s="13">
        <v>21.82</v>
      </c>
      <c r="E2674" s="13"/>
      <c r="F2674" s="13">
        <v>-5.67</v>
      </c>
      <c r="G2674" s="13"/>
      <c r="H2674" s="13">
        <v>62.84</v>
      </c>
      <c r="I2674" s="13">
        <v>52.12</v>
      </c>
    </row>
    <row r="2675" spans="1:9" x14ac:dyDescent="0.25">
      <c r="A2675" s="10">
        <v>43705</v>
      </c>
      <c r="B2675" s="15">
        <f t="shared" si="82"/>
        <v>8</v>
      </c>
      <c r="C2675" s="15">
        <f t="shared" si="83"/>
        <v>2019</v>
      </c>
      <c r="D2675" s="13">
        <v>21.82</v>
      </c>
      <c r="E2675" s="13"/>
      <c r="F2675" s="13">
        <v>-5.67</v>
      </c>
      <c r="G2675" s="13"/>
      <c r="H2675" s="13">
        <v>62.84</v>
      </c>
      <c r="I2675" s="13">
        <v>52.12</v>
      </c>
    </row>
    <row r="2676" spans="1:9" x14ac:dyDescent="0.25">
      <c r="A2676" s="10">
        <v>43706</v>
      </c>
      <c r="B2676" s="15">
        <f t="shared" si="82"/>
        <v>8</v>
      </c>
      <c r="C2676" s="15">
        <f t="shared" si="83"/>
        <v>2019</v>
      </c>
      <c r="D2676" s="13">
        <v>21.82</v>
      </c>
      <c r="E2676" s="13"/>
      <c r="F2676" s="13">
        <v>-5.67</v>
      </c>
      <c r="G2676" s="13"/>
      <c r="H2676" s="13">
        <v>62.84</v>
      </c>
      <c r="I2676" s="13">
        <v>52.12</v>
      </c>
    </row>
    <row r="2677" spans="1:9" x14ac:dyDescent="0.25">
      <c r="A2677" s="10">
        <v>43707</v>
      </c>
      <c r="B2677" s="15">
        <f t="shared" si="82"/>
        <v>8</v>
      </c>
      <c r="C2677" s="15">
        <f t="shared" si="83"/>
        <v>2019</v>
      </c>
      <c r="D2677" s="13">
        <v>21.82</v>
      </c>
      <c r="E2677" s="13"/>
      <c r="F2677" s="13">
        <v>-5.67</v>
      </c>
      <c r="G2677" s="13"/>
      <c r="H2677" s="13">
        <v>62.84</v>
      </c>
      <c r="I2677" s="13">
        <v>52.12</v>
      </c>
    </row>
    <row r="2678" spans="1:9" x14ac:dyDescent="0.25">
      <c r="A2678" s="10">
        <v>43711</v>
      </c>
      <c r="B2678" s="15">
        <f t="shared" si="82"/>
        <v>9</v>
      </c>
      <c r="C2678" s="15">
        <f t="shared" si="83"/>
        <v>2019</v>
      </c>
      <c r="D2678" s="13">
        <v>19.5</v>
      </c>
      <c r="E2678" s="13"/>
      <c r="F2678" s="13">
        <v>-9.84</v>
      </c>
      <c r="G2678" s="13"/>
      <c r="H2678" s="13">
        <v>58.93</v>
      </c>
      <c r="I2678" s="13">
        <v>81.95</v>
      </c>
    </row>
    <row r="2679" spans="1:9" x14ac:dyDescent="0.25">
      <c r="A2679" s="10">
        <v>43712</v>
      </c>
      <c r="B2679" s="15">
        <f t="shared" si="82"/>
        <v>9</v>
      </c>
      <c r="C2679" s="15">
        <f t="shared" si="83"/>
        <v>2019</v>
      </c>
      <c r="D2679" s="13">
        <v>19.5</v>
      </c>
      <c r="E2679" s="13"/>
      <c r="F2679" s="13">
        <v>-9.84</v>
      </c>
      <c r="G2679" s="13"/>
      <c r="H2679" s="13">
        <v>58.93</v>
      </c>
      <c r="I2679" s="13">
        <v>81.95</v>
      </c>
    </row>
    <row r="2680" spans="1:9" x14ac:dyDescent="0.25">
      <c r="A2680" s="10">
        <v>43713</v>
      </c>
      <c r="B2680" s="15">
        <f t="shared" si="82"/>
        <v>9</v>
      </c>
      <c r="C2680" s="15">
        <f t="shared" si="83"/>
        <v>2019</v>
      </c>
      <c r="D2680" s="13">
        <v>19.5</v>
      </c>
      <c r="E2680" s="13"/>
      <c r="F2680" s="13">
        <v>-9.84</v>
      </c>
      <c r="G2680" s="13"/>
      <c r="H2680" s="13">
        <v>58.93</v>
      </c>
      <c r="I2680" s="13">
        <v>81.95</v>
      </c>
    </row>
    <row r="2681" spans="1:9" x14ac:dyDescent="0.25">
      <c r="A2681" s="10">
        <v>43714</v>
      </c>
      <c r="B2681" s="15">
        <f t="shared" si="82"/>
        <v>9</v>
      </c>
      <c r="C2681" s="15">
        <f t="shared" si="83"/>
        <v>2019</v>
      </c>
      <c r="D2681" s="13">
        <v>19.5</v>
      </c>
      <c r="E2681" s="13"/>
      <c r="F2681" s="13">
        <v>-9.84</v>
      </c>
      <c r="G2681" s="13"/>
      <c r="H2681" s="13">
        <v>58.93</v>
      </c>
      <c r="I2681" s="13">
        <v>81.95</v>
      </c>
    </row>
    <row r="2682" spans="1:9" x14ac:dyDescent="0.25">
      <c r="A2682" s="10">
        <v>43717</v>
      </c>
      <c r="B2682" s="15">
        <f t="shared" si="82"/>
        <v>9</v>
      </c>
      <c r="C2682" s="15">
        <f t="shared" si="83"/>
        <v>2019</v>
      </c>
      <c r="D2682" s="13">
        <v>22.99</v>
      </c>
      <c r="E2682" s="13"/>
      <c r="F2682" s="13">
        <v>-7.83</v>
      </c>
      <c r="G2682" s="13"/>
      <c r="H2682" s="13">
        <v>70.17</v>
      </c>
      <c r="I2682" s="13">
        <v>96.35</v>
      </c>
    </row>
    <row r="2683" spans="1:9" x14ac:dyDescent="0.25">
      <c r="A2683" s="10">
        <v>43718</v>
      </c>
      <c r="B2683" s="15">
        <f t="shared" si="82"/>
        <v>9</v>
      </c>
      <c r="C2683" s="15">
        <f t="shared" si="83"/>
        <v>2019</v>
      </c>
      <c r="D2683" s="13">
        <v>22.99</v>
      </c>
      <c r="E2683" s="13"/>
      <c r="F2683" s="13">
        <v>-7.83</v>
      </c>
      <c r="G2683" s="13"/>
      <c r="H2683" s="13">
        <v>70.17</v>
      </c>
      <c r="I2683" s="13">
        <v>96.35</v>
      </c>
    </row>
    <row r="2684" spans="1:9" x14ac:dyDescent="0.25">
      <c r="A2684" s="10">
        <v>43719</v>
      </c>
      <c r="B2684" s="15">
        <f t="shared" si="82"/>
        <v>9</v>
      </c>
      <c r="C2684" s="15">
        <f t="shared" si="83"/>
        <v>2019</v>
      </c>
      <c r="D2684" s="13">
        <v>22.99</v>
      </c>
      <c r="E2684" s="13"/>
      <c r="F2684" s="13">
        <v>-7.83</v>
      </c>
      <c r="G2684" s="13"/>
      <c r="H2684" s="13">
        <v>70.17</v>
      </c>
      <c r="I2684" s="13">
        <v>96.35</v>
      </c>
    </row>
    <row r="2685" spans="1:9" x14ac:dyDescent="0.25">
      <c r="A2685" s="10">
        <v>43720</v>
      </c>
      <c r="B2685" s="15">
        <f t="shared" si="82"/>
        <v>9</v>
      </c>
      <c r="C2685" s="15">
        <f t="shared" si="83"/>
        <v>2019</v>
      </c>
      <c r="D2685" s="13">
        <v>22.99</v>
      </c>
      <c r="E2685" s="13"/>
      <c r="F2685" s="13">
        <v>-7.83</v>
      </c>
      <c r="G2685" s="13"/>
      <c r="H2685" s="13">
        <v>70.17</v>
      </c>
      <c r="I2685" s="13">
        <v>96.35</v>
      </c>
    </row>
    <row r="2686" spans="1:9" x14ac:dyDescent="0.25">
      <c r="A2686" s="10">
        <v>43721</v>
      </c>
      <c r="B2686" s="15">
        <f t="shared" si="82"/>
        <v>9</v>
      </c>
      <c r="C2686" s="15">
        <f t="shared" si="83"/>
        <v>2019</v>
      </c>
      <c r="D2686" s="13">
        <v>22.99</v>
      </c>
      <c r="E2686" s="13"/>
      <c r="F2686" s="13">
        <v>-7.83</v>
      </c>
      <c r="G2686" s="13"/>
      <c r="H2686" s="13">
        <v>70.17</v>
      </c>
      <c r="I2686" s="13">
        <v>96.35</v>
      </c>
    </row>
    <row r="2687" spans="1:9" x14ac:dyDescent="0.25">
      <c r="A2687" s="10">
        <v>43724</v>
      </c>
      <c r="B2687" s="15">
        <f t="shared" si="82"/>
        <v>9</v>
      </c>
      <c r="C2687" s="15">
        <f t="shared" si="83"/>
        <v>2019</v>
      </c>
      <c r="D2687" s="13">
        <v>21.98</v>
      </c>
      <c r="E2687" s="13"/>
      <c r="F2687" s="13">
        <v>-10.16</v>
      </c>
      <c r="G2687" s="13"/>
      <c r="H2687" s="13">
        <v>81.67</v>
      </c>
      <c r="I2687" s="13">
        <v>83.99</v>
      </c>
    </row>
    <row r="2688" spans="1:9" x14ac:dyDescent="0.25">
      <c r="A2688" s="10">
        <v>43725</v>
      </c>
      <c r="B2688" s="15">
        <f t="shared" si="82"/>
        <v>9</v>
      </c>
      <c r="C2688" s="15">
        <f t="shared" si="83"/>
        <v>2019</v>
      </c>
      <c r="D2688" s="13">
        <v>21.98</v>
      </c>
      <c r="E2688" s="13"/>
      <c r="F2688" s="13">
        <v>-10.16</v>
      </c>
      <c r="G2688" s="13"/>
      <c r="H2688" s="13">
        <v>81.67</v>
      </c>
      <c r="I2688" s="13">
        <v>83.99</v>
      </c>
    </row>
    <row r="2689" spans="1:9" x14ac:dyDescent="0.25">
      <c r="A2689" s="10">
        <v>43726</v>
      </c>
      <c r="B2689" s="15">
        <f t="shared" si="82"/>
        <v>9</v>
      </c>
      <c r="C2689" s="15">
        <f t="shared" si="83"/>
        <v>2019</v>
      </c>
      <c r="D2689" s="13">
        <v>21.98</v>
      </c>
      <c r="E2689" s="13"/>
      <c r="F2689" s="13">
        <v>-10.16</v>
      </c>
      <c r="G2689" s="13"/>
      <c r="H2689" s="13">
        <v>81.67</v>
      </c>
      <c r="I2689" s="13">
        <v>83.99</v>
      </c>
    </row>
    <row r="2690" spans="1:9" x14ac:dyDescent="0.25">
      <c r="A2690" s="10">
        <v>43727</v>
      </c>
      <c r="B2690" s="15">
        <f t="shared" si="82"/>
        <v>9</v>
      </c>
      <c r="C2690" s="15">
        <f t="shared" si="83"/>
        <v>2019</v>
      </c>
      <c r="D2690" s="13">
        <v>21.98</v>
      </c>
      <c r="E2690" s="13"/>
      <c r="F2690" s="13">
        <v>-10.16</v>
      </c>
      <c r="G2690" s="13"/>
      <c r="H2690" s="13">
        <v>81.67</v>
      </c>
      <c r="I2690" s="13">
        <v>83.99</v>
      </c>
    </row>
    <row r="2691" spans="1:9" x14ac:dyDescent="0.25">
      <c r="A2691" s="10">
        <v>43728</v>
      </c>
      <c r="B2691" s="15">
        <f t="shared" ref="B2691:B2754" si="84">MONTH(A2691)</f>
        <v>9</v>
      </c>
      <c r="C2691" s="15">
        <f t="shared" ref="C2691:C2754" si="85">YEAR(A2691)</f>
        <v>2019</v>
      </c>
      <c r="D2691" s="13">
        <v>21.98</v>
      </c>
      <c r="E2691" s="13"/>
      <c r="F2691" s="13">
        <v>-10.16</v>
      </c>
      <c r="G2691" s="13"/>
      <c r="H2691" s="13">
        <v>81.67</v>
      </c>
      <c r="I2691" s="13">
        <v>83.99</v>
      </c>
    </row>
    <row r="2692" spans="1:9" x14ac:dyDescent="0.25">
      <c r="A2692" s="10">
        <v>43731</v>
      </c>
      <c r="B2692" s="15">
        <f t="shared" si="84"/>
        <v>9</v>
      </c>
      <c r="C2692" s="15">
        <f t="shared" si="85"/>
        <v>2019</v>
      </c>
      <c r="D2692" s="13">
        <v>8.33</v>
      </c>
      <c r="E2692" s="13"/>
      <c r="F2692" s="13">
        <v>-21.38</v>
      </c>
      <c r="G2692" s="13"/>
      <c r="H2692" s="13">
        <v>61.21</v>
      </c>
      <c r="I2692" s="13">
        <v>30.51</v>
      </c>
    </row>
    <row r="2693" spans="1:9" x14ac:dyDescent="0.25">
      <c r="A2693" s="10">
        <v>43732</v>
      </c>
      <c r="B2693" s="15">
        <f t="shared" si="84"/>
        <v>9</v>
      </c>
      <c r="C2693" s="15">
        <f t="shared" si="85"/>
        <v>2019</v>
      </c>
      <c r="D2693" s="13">
        <v>8.33</v>
      </c>
      <c r="E2693" s="13"/>
      <c r="F2693" s="13">
        <v>-21.38</v>
      </c>
      <c r="G2693" s="13"/>
      <c r="H2693" s="13">
        <v>61.21</v>
      </c>
      <c r="I2693" s="13">
        <v>30.51</v>
      </c>
    </row>
    <row r="2694" spans="1:9" x14ac:dyDescent="0.25">
      <c r="A2694" s="10">
        <v>43733</v>
      </c>
      <c r="B2694" s="15">
        <f t="shared" si="84"/>
        <v>9</v>
      </c>
      <c r="C2694" s="15">
        <f t="shared" si="85"/>
        <v>2019</v>
      </c>
      <c r="D2694" s="13">
        <v>8.33</v>
      </c>
      <c r="E2694" s="13"/>
      <c r="F2694" s="13">
        <v>-21.38</v>
      </c>
      <c r="G2694" s="13"/>
      <c r="H2694" s="13">
        <v>61.21</v>
      </c>
      <c r="I2694" s="13">
        <v>30.51</v>
      </c>
    </row>
    <row r="2695" spans="1:9" x14ac:dyDescent="0.25">
      <c r="A2695" s="10">
        <v>43734</v>
      </c>
      <c r="B2695" s="15">
        <f t="shared" si="84"/>
        <v>9</v>
      </c>
      <c r="C2695" s="15">
        <f t="shared" si="85"/>
        <v>2019</v>
      </c>
      <c r="D2695" s="13">
        <v>8.33</v>
      </c>
      <c r="E2695" s="13"/>
      <c r="F2695" s="13">
        <v>-21.38</v>
      </c>
      <c r="G2695" s="13"/>
      <c r="H2695" s="13">
        <v>61.21</v>
      </c>
      <c r="I2695" s="13">
        <v>30.51</v>
      </c>
    </row>
    <row r="2696" spans="1:9" x14ac:dyDescent="0.25">
      <c r="A2696" s="10">
        <v>43735</v>
      </c>
      <c r="B2696" s="15">
        <f t="shared" si="84"/>
        <v>9</v>
      </c>
      <c r="C2696" s="15">
        <f t="shared" si="85"/>
        <v>2019</v>
      </c>
      <c r="D2696" s="13">
        <v>8.33</v>
      </c>
      <c r="E2696" s="13"/>
      <c r="F2696" s="13">
        <v>-21.38</v>
      </c>
      <c r="G2696" s="13"/>
      <c r="H2696" s="13">
        <v>61.21</v>
      </c>
      <c r="I2696" s="13">
        <v>30.51</v>
      </c>
    </row>
    <row r="2697" spans="1:9" x14ac:dyDescent="0.25">
      <c r="A2697" s="10">
        <v>43738</v>
      </c>
      <c r="B2697" s="15">
        <f t="shared" si="84"/>
        <v>9</v>
      </c>
      <c r="C2697" s="15">
        <f t="shared" si="85"/>
        <v>2019</v>
      </c>
      <c r="D2697" s="13">
        <v>-0.03</v>
      </c>
      <c r="E2697" s="13"/>
      <c r="F2697" s="13">
        <v>-29.71</v>
      </c>
      <c r="G2697" s="13"/>
      <c r="H2697" s="13">
        <v>57.31</v>
      </c>
      <c r="I2697" s="13">
        <v>34.24</v>
      </c>
    </row>
    <row r="2698" spans="1:9" x14ac:dyDescent="0.25">
      <c r="A2698" s="10">
        <v>43739</v>
      </c>
      <c r="B2698" s="15">
        <f t="shared" si="84"/>
        <v>10</v>
      </c>
      <c r="C2698" s="15">
        <f t="shared" si="85"/>
        <v>2019</v>
      </c>
      <c r="D2698" s="13">
        <v>-0.03</v>
      </c>
      <c r="E2698" s="13"/>
      <c r="F2698" s="13">
        <v>-29.71</v>
      </c>
      <c r="G2698" s="13"/>
      <c r="H2698" s="13">
        <v>57.31</v>
      </c>
      <c r="I2698" s="13">
        <v>34.24</v>
      </c>
    </row>
    <row r="2699" spans="1:9" x14ac:dyDescent="0.25">
      <c r="A2699" s="10">
        <v>43740</v>
      </c>
      <c r="B2699" s="15">
        <f t="shared" si="84"/>
        <v>10</v>
      </c>
      <c r="C2699" s="15">
        <f t="shared" si="85"/>
        <v>2019</v>
      </c>
      <c r="D2699" s="13">
        <v>-0.03</v>
      </c>
      <c r="E2699" s="13"/>
      <c r="F2699" s="13">
        <v>-29.71</v>
      </c>
      <c r="G2699" s="13"/>
      <c r="H2699" s="13">
        <v>57.31</v>
      </c>
      <c r="I2699" s="13">
        <v>34.24</v>
      </c>
    </row>
    <row r="2700" spans="1:9" x14ac:dyDescent="0.25">
      <c r="A2700" s="10">
        <v>43741</v>
      </c>
      <c r="B2700" s="15">
        <f t="shared" si="84"/>
        <v>10</v>
      </c>
      <c r="C2700" s="15">
        <f t="shared" si="85"/>
        <v>2019</v>
      </c>
      <c r="D2700" s="13">
        <v>-0.03</v>
      </c>
      <c r="E2700" s="13"/>
      <c r="F2700" s="13">
        <v>-29.71</v>
      </c>
      <c r="G2700" s="13"/>
      <c r="H2700" s="13">
        <v>57.31</v>
      </c>
      <c r="I2700" s="13">
        <v>34.24</v>
      </c>
    </row>
    <row r="2701" spans="1:9" x14ac:dyDescent="0.25">
      <c r="A2701" s="10">
        <v>43742</v>
      </c>
      <c r="B2701" s="15">
        <f t="shared" si="84"/>
        <v>10</v>
      </c>
      <c r="C2701" s="15">
        <f t="shared" si="85"/>
        <v>2019</v>
      </c>
      <c r="D2701" s="13">
        <v>-0.03</v>
      </c>
      <c r="E2701" s="13"/>
      <c r="F2701" s="13">
        <v>-29.71</v>
      </c>
      <c r="G2701" s="13"/>
      <c r="H2701" s="13">
        <v>57.31</v>
      </c>
      <c r="I2701" s="13">
        <v>34.24</v>
      </c>
    </row>
    <row r="2702" spans="1:9" x14ac:dyDescent="0.25">
      <c r="A2702" s="10">
        <v>43745</v>
      </c>
      <c r="B2702" s="15">
        <f t="shared" si="84"/>
        <v>10</v>
      </c>
      <c r="C2702" s="15">
        <f t="shared" si="85"/>
        <v>2019</v>
      </c>
      <c r="D2702" s="13">
        <v>-5.31</v>
      </c>
      <c r="E2702" s="13"/>
      <c r="F2702" s="13">
        <v>-34.49</v>
      </c>
      <c r="G2702" s="13"/>
      <c r="H2702" s="13">
        <v>52.35</v>
      </c>
      <c r="I2702" s="13">
        <v>65.25</v>
      </c>
    </row>
    <row r="2703" spans="1:9" x14ac:dyDescent="0.25">
      <c r="A2703" s="10">
        <v>43746</v>
      </c>
      <c r="B2703" s="15">
        <f t="shared" si="84"/>
        <v>10</v>
      </c>
      <c r="C2703" s="15">
        <f t="shared" si="85"/>
        <v>2019</v>
      </c>
      <c r="D2703" s="13">
        <v>-5.31</v>
      </c>
      <c r="E2703" s="13"/>
      <c r="F2703" s="13">
        <v>-34.49</v>
      </c>
      <c r="G2703" s="13"/>
      <c r="H2703" s="13">
        <v>52.35</v>
      </c>
      <c r="I2703" s="13">
        <v>65.25</v>
      </c>
    </row>
    <row r="2704" spans="1:9" x14ac:dyDescent="0.25">
      <c r="A2704" s="10">
        <v>43747</v>
      </c>
      <c r="B2704" s="15">
        <f t="shared" si="84"/>
        <v>10</v>
      </c>
      <c r="C2704" s="15">
        <f t="shared" si="85"/>
        <v>2019</v>
      </c>
      <c r="D2704" s="13">
        <v>-5.31</v>
      </c>
      <c r="E2704" s="13"/>
      <c r="F2704" s="13">
        <v>-34.49</v>
      </c>
      <c r="G2704" s="13"/>
      <c r="H2704" s="13">
        <v>52.35</v>
      </c>
      <c r="I2704" s="13">
        <v>65.25</v>
      </c>
    </row>
    <row r="2705" spans="1:9" x14ac:dyDescent="0.25">
      <c r="A2705" s="10">
        <v>43748</v>
      </c>
      <c r="B2705" s="15">
        <f t="shared" si="84"/>
        <v>10</v>
      </c>
      <c r="C2705" s="15">
        <f t="shared" si="85"/>
        <v>2019</v>
      </c>
      <c r="D2705" s="13">
        <v>-5.31</v>
      </c>
      <c r="E2705" s="13"/>
      <c r="F2705" s="13">
        <v>-34.49</v>
      </c>
      <c r="G2705" s="13"/>
      <c r="H2705" s="13">
        <v>52.35</v>
      </c>
      <c r="I2705" s="13">
        <v>65.25</v>
      </c>
    </row>
    <row r="2706" spans="1:9" x14ac:dyDescent="0.25">
      <c r="A2706" s="10">
        <v>43749</v>
      </c>
      <c r="B2706" s="15">
        <f t="shared" si="84"/>
        <v>10</v>
      </c>
      <c r="C2706" s="15">
        <f t="shared" si="85"/>
        <v>2019</v>
      </c>
      <c r="D2706" s="13">
        <v>-5.31</v>
      </c>
      <c r="E2706" s="13"/>
      <c r="F2706" s="13">
        <v>-34.49</v>
      </c>
      <c r="G2706" s="13"/>
      <c r="H2706" s="13">
        <v>52.35</v>
      </c>
      <c r="I2706" s="13">
        <v>65.25</v>
      </c>
    </row>
    <row r="2707" spans="1:9" x14ac:dyDescent="0.25">
      <c r="A2707" s="10">
        <v>43752</v>
      </c>
      <c r="B2707" s="15">
        <f t="shared" si="84"/>
        <v>10</v>
      </c>
      <c r="C2707" s="15">
        <f t="shared" si="85"/>
        <v>2019</v>
      </c>
      <c r="D2707" s="13">
        <v>-0.97</v>
      </c>
      <c r="E2707" s="13"/>
      <c r="F2707" s="13">
        <v>-37.07</v>
      </c>
      <c r="G2707" s="13"/>
      <c r="H2707" s="13">
        <v>51.79</v>
      </c>
      <c r="I2707" s="13">
        <v>33.57</v>
      </c>
    </row>
    <row r="2708" spans="1:9" x14ac:dyDescent="0.25">
      <c r="A2708" s="10">
        <v>43753</v>
      </c>
      <c r="B2708" s="15">
        <f t="shared" si="84"/>
        <v>10</v>
      </c>
      <c r="C2708" s="15">
        <f t="shared" si="85"/>
        <v>2019</v>
      </c>
      <c r="D2708" s="13">
        <v>-0.97</v>
      </c>
      <c r="E2708" s="13"/>
      <c r="F2708" s="13">
        <v>-37.07</v>
      </c>
      <c r="G2708" s="13"/>
      <c r="H2708" s="13">
        <v>51.79</v>
      </c>
      <c r="I2708" s="13">
        <v>33.57</v>
      </c>
    </row>
    <row r="2709" spans="1:9" x14ac:dyDescent="0.25">
      <c r="A2709" s="10">
        <v>43754</v>
      </c>
      <c r="B2709" s="15">
        <f t="shared" si="84"/>
        <v>10</v>
      </c>
      <c r="C2709" s="15">
        <f t="shared" si="85"/>
        <v>2019</v>
      </c>
      <c r="D2709" s="13">
        <v>-0.97</v>
      </c>
      <c r="E2709" s="13"/>
      <c r="F2709" s="13">
        <v>-37.07</v>
      </c>
      <c r="G2709" s="13"/>
      <c r="H2709" s="13">
        <v>51.79</v>
      </c>
      <c r="I2709" s="13">
        <v>33.57</v>
      </c>
    </row>
    <row r="2710" spans="1:9" x14ac:dyDescent="0.25">
      <c r="A2710" s="10">
        <v>43755</v>
      </c>
      <c r="B2710" s="15">
        <f t="shared" si="84"/>
        <v>10</v>
      </c>
      <c r="C2710" s="15">
        <f t="shared" si="85"/>
        <v>2019</v>
      </c>
      <c r="D2710" s="13">
        <v>-0.97</v>
      </c>
      <c r="E2710" s="13"/>
      <c r="F2710" s="13">
        <v>-37.07</v>
      </c>
      <c r="G2710" s="13"/>
      <c r="H2710" s="13">
        <v>51.79</v>
      </c>
      <c r="I2710" s="13">
        <v>33.57</v>
      </c>
    </row>
    <row r="2711" spans="1:9" x14ac:dyDescent="0.25">
      <c r="A2711" s="10">
        <v>43756</v>
      </c>
      <c r="B2711" s="15">
        <f t="shared" si="84"/>
        <v>10</v>
      </c>
      <c r="C2711" s="15">
        <f t="shared" si="85"/>
        <v>2019</v>
      </c>
      <c r="D2711" s="13">
        <v>-0.97</v>
      </c>
      <c r="E2711" s="13"/>
      <c r="F2711" s="13">
        <v>-37.07</v>
      </c>
      <c r="G2711" s="13"/>
      <c r="H2711" s="13">
        <v>51.79</v>
      </c>
      <c r="I2711" s="13">
        <v>33.57</v>
      </c>
    </row>
    <row r="2712" spans="1:9" x14ac:dyDescent="0.25">
      <c r="A2712" s="10">
        <v>43759</v>
      </c>
      <c r="B2712" s="15">
        <f t="shared" si="84"/>
        <v>10</v>
      </c>
      <c r="C2712" s="15">
        <f t="shared" si="85"/>
        <v>2019</v>
      </c>
      <c r="D2712" s="13">
        <v>-6.56</v>
      </c>
      <c r="E2712" s="13"/>
      <c r="F2712" s="13">
        <v>-43.94</v>
      </c>
      <c r="G2712" s="13"/>
      <c r="H2712" s="13">
        <v>50.22</v>
      </c>
      <c r="I2712" s="13">
        <v>62.25</v>
      </c>
    </row>
    <row r="2713" spans="1:9" x14ac:dyDescent="0.25">
      <c r="A2713" s="10">
        <v>43760</v>
      </c>
      <c r="B2713" s="15">
        <f t="shared" si="84"/>
        <v>10</v>
      </c>
      <c r="C2713" s="15">
        <f t="shared" si="85"/>
        <v>2019</v>
      </c>
      <c r="D2713" s="13">
        <v>-6.56</v>
      </c>
      <c r="E2713" s="13"/>
      <c r="F2713" s="13">
        <v>-43.94</v>
      </c>
      <c r="G2713" s="13"/>
      <c r="H2713" s="13">
        <v>50.22</v>
      </c>
      <c r="I2713" s="13">
        <v>62.25</v>
      </c>
    </row>
    <row r="2714" spans="1:9" x14ac:dyDescent="0.25">
      <c r="A2714" s="10">
        <v>43761</v>
      </c>
      <c r="B2714" s="15">
        <f t="shared" si="84"/>
        <v>10</v>
      </c>
      <c r="C2714" s="15">
        <f t="shared" si="85"/>
        <v>2019</v>
      </c>
      <c r="D2714" s="13">
        <v>-6.56</v>
      </c>
      <c r="E2714" s="13"/>
      <c r="F2714" s="13">
        <v>-43.94</v>
      </c>
      <c r="G2714" s="13"/>
      <c r="H2714" s="13">
        <v>50.22</v>
      </c>
      <c r="I2714" s="13">
        <v>62.25</v>
      </c>
    </row>
    <row r="2715" spans="1:9" x14ac:dyDescent="0.25">
      <c r="A2715" s="10">
        <v>43762</v>
      </c>
      <c r="B2715" s="15">
        <f t="shared" si="84"/>
        <v>10</v>
      </c>
      <c r="C2715" s="15">
        <f t="shared" si="85"/>
        <v>2019</v>
      </c>
      <c r="D2715" s="13">
        <v>-6.56</v>
      </c>
      <c r="E2715" s="13"/>
      <c r="F2715" s="13">
        <v>-43.94</v>
      </c>
      <c r="G2715" s="13"/>
      <c r="H2715" s="13">
        <v>50.22</v>
      </c>
      <c r="I2715" s="13">
        <v>62.25</v>
      </c>
    </row>
    <row r="2716" spans="1:9" x14ac:dyDescent="0.25">
      <c r="A2716" s="10">
        <v>43763</v>
      </c>
      <c r="B2716" s="15">
        <f t="shared" si="84"/>
        <v>10</v>
      </c>
      <c r="C2716" s="15">
        <f t="shared" si="85"/>
        <v>2019</v>
      </c>
      <c r="D2716" s="13">
        <v>-6.56</v>
      </c>
      <c r="E2716" s="13"/>
      <c r="F2716" s="13">
        <v>-43.94</v>
      </c>
      <c r="G2716" s="13"/>
      <c r="H2716" s="13">
        <v>50.22</v>
      </c>
      <c r="I2716" s="13">
        <v>62.25</v>
      </c>
    </row>
    <row r="2717" spans="1:9" x14ac:dyDescent="0.25">
      <c r="A2717" s="10">
        <v>43766</v>
      </c>
      <c r="B2717" s="15">
        <f t="shared" si="84"/>
        <v>10</v>
      </c>
      <c r="C2717" s="15">
        <f t="shared" si="85"/>
        <v>2019</v>
      </c>
      <c r="D2717" s="13">
        <v>7.99</v>
      </c>
      <c r="E2717" s="13"/>
      <c r="F2717" s="13">
        <v>-33.44</v>
      </c>
      <c r="G2717" s="13"/>
      <c r="H2717" s="13">
        <v>62.21</v>
      </c>
      <c r="I2717" s="13">
        <v>69.38</v>
      </c>
    </row>
    <row r="2718" spans="1:9" x14ac:dyDescent="0.25">
      <c r="A2718" s="10">
        <v>43767</v>
      </c>
      <c r="B2718" s="15">
        <f t="shared" si="84"/>
        <v>10</v>
      </c>
      <c r="C2718" s="15">
        <f t="shared" si="85"/>
        <v>2019</v>
      </c>
      <c r="D2718" s="13">
        <v>7.99</v>
      </c>
      <c r="E2718" s="13"/>
      <c r="F2718" s="13">
        <v>-33.44</v>
      </c>
      <c r="G2718" s="13"/>
      <c r="H2718" s="13">
        <v>62.21</v>
      </c>
      <c r="I2718" s="13">
        <v>69.38</v>
      </c>
    </row>
    <row r="2719" spans="1:9" x14ac:dyDescent="0.25">
      <c r="A2719" s="10">
        <v>43768</v>
      </c>
      <c r="B2719" s="15">
        <f t="shared" si="84"/>
        <v>10</v>
      </c>
      <c r="C2719" s="15">
        <f t="shared" si="85"/>
        <v>2019</v>
      </c>
      <c r="D2719" s="13">
        <v>7.99</v>
      </c>
      <c r="E2719" s="13"/>
      <c r="F2719" s="13">
        <v>-33.44</v>
      </c>
      <c r="G2719" s="13"/>
      <c r="H2719" s="13">
        <v>62.21</v>
      </c>
      <c r="I2719" s="13">
        <v>69.38</v>
      </c>
    </row>
    <row r="2720" spans="1:9" x14ac:dyDescent="0.25">
      <c r="A2720" s="10">
        <v>43769</v>
      </c>
      <c r="B2720" s="15">
        <f t="shared" si="84"/>
        <v>10</v>
      </c>
      <c r="C2720" s="15">
        <f t="shared" si="85"/>
        <v>2019</v>
      </c>
      <c r="D2720" s="13">
        <v>7.99</v>
      </c>
      <c r="E2720" s="13"/>
      <c r="F2720" s="13">
        <v>-33.44</v>
      </c>
      <c r="G2720" s="13"/>
      <c r="H2720" s="13">
        <v>62.21</v>
      </c>
      <c r="I2720" s="13">
        <v>69.38</v>
      </c>
    </row>
    <row r="2721" spans="1:9" x14ac:dyDescent="0.25">
      <c r="A2721" s="10">
        <v>43770</v>
      </c>
      <c r="B2721" s="15">
        <f t="shared" si="84"/>
        <v>11</v>
      </c>
      <c r="C2721" s="15">
        <f t="shared" si="85"/>
        <v>2019</v>
      </c>
      <c r="D2721" s="13">
        <v>7.99</v>
      </c>
      <c r="E2721" s="13"/>
      <c r="F2721" s="13">
        <v>-33.44</v>
      </c>
      <c r="G2721" s="13"/>
      <c r="H2721" s="13">
        <v>62.21</v>
      </c>
      <c r="I2721" s="13">
        <v>69.38</v>
      </c>
    </row>
    <row r="2722" spans="1:9" x14ac:dyDescent="0.25">
      <c r="A2722" s="10">
        <v>43773</v>
      </c>
      <c r="B2722" s="15">
        <f t="shared" si="84"/>
        <v>11</v>
      </c>
      <c r="C2722" s="15">
        <f t="shared" si="85"/>
        <v>2019</v>
      </c>
      <c r="D2722" s="13">
        <v>27.16</v>
      </c>
      <c r="E2722" s="13"/>
      <c r="F2722" s="13">
        <v>-16.21</v>
      </c>
      <c r="G2722" s="13"/>
      <c r="H2722" s="13">
        <v>75.25</v>
      </c>
      <c r="I2722" s="13">
        <v>81.5</v>
      </c>
    </row>
    <row r="2723" spans="1:9" x14ac:dyDescent="0.25">
      <c r="A2723" s="10">
        <v>43774</v>
      </c>
      <c r="B2723" s="15">
        <f t="shared" si="84"/>
        <v>11</v>
      </c>
      <c r="C2723" s="15">
        <f t="shared" si="85"/>
        <v>2019</v>
      </c>
      <c r="D2723" s="13">
        <v>27.16</v>
      </c>
      <c r="E2723" s="13"/>
      <c r="F2723" s="13">
        <v>-16.21</v>
      </c>
      <c r="G2723" s="13"/>
      <c r="H2723" s="13">
        <v>75.25</v>
      </c>
      <c r="I2723" s="13">
        <v>81.5</v>
      </c>
    </row>
    <row r="2724" spans="1:9" x14ac:dyDescent="0.25">
      <c r="A2724" s="10">
        <v>43775</v>
      </c>
      <c r="B2724" s="15">
        <f t="shared" si="84"/>
        <v>11</v>
      </c>
      <c r="C2724" s="15">
        <f t="shared" si="85"/>
        <v>2019</v>
      </c>
      <c r="D2724" s="13">
        <v>27.16</v>
      </c>
      <c r="E2724" s="13"/>
      <c r="F2724" s="13">
        <v>-16.21</v>
      </c>
      <c r="G2724" s="13"/>
      <c r="H2724" s="13">
        <v>75.25</v>
      </c>
      <c r="I2724" s="13">
        <v>81.5</v>
      </c>
    </row>
    <row r="2725" spans="1:9" x14ac:dyDescent="0.25">
      <c r="A2725" s="10">
        <v>43776</v>
      </c>
      <c r="B2725" s="15">
        <f t="shared" si="84"/>
        <v>11</v>
      </c>
      <c r="C2725" s="15">
        <f t="shared" si="85"/>
        <v>2019</v>
      </c>
      <c r="D2725" s="13">
        <v>27.16</v>
      </c>
      <c r="E2725" s="13"/>
      <c r="F2725" s="13">
        <v>-16.21</v>
      </c>
      <c r="G2725" s="13"/>
      <c r="H2725" s="13">
        <v>75.25</v>
      </c>
      <c r="I2725" s="13">
        <v>81.5</v>
      </c>
    </row>
    <row r="2726" spans="1:9" x14ac:dyDescent="0.25">
      <c r="A2726" s="10">
        <v>43777</v>
      </c>
      <c r="B2726" s="15">
        <f t="shared" si="84"/>
        <v>11</v>
      </c>
      <c r="C2726" s="15">
        <f t="shared" si="85"/>
        <v>2019</v>
      </c>
      <c r="D2726" s="13">
        <v>27.16</v>
      </c>
      <c r="E2726" s="13"/>
      <c r="F2726" s="13">
        <v>-16.21</v>
      </c>
      <c r="G2726" s="13"/>
      <c r="H2726" s="13">
        <v>75.25</v>
      </c>
      <c r="I2726" s="13">
        <v>81.5</v>
      </c>
    </row>
    <row r="2727" spans="1:9" x14ac:dyDescent="0.25">
      <c r="A2727" s="10">
        <v>43780</v>
      </c>
      <c r="B2727" s="15">
        <f t="shared" si="84"/>
        <v>11</v>
      </c>
      <c r="C2727" s="15">
        <f t="shared" si="85"/>
        <v>2019</v>
      </c>
      <c r="D2727" s="13">
        <v>16.36</v>
      </c>
      <c r="E2727" s="13"/>
      <c r="F2727" s="13">
        <v>-25.84</v>
      </c>
      <c r="G2727" s="13"/>
      <c r="H2727" s="13">
        <v>54.59</v>
      </c>
      <c r="I2727" s="13">
        <v>67.59</v>
      </c>
    </row>
    <row r="2728" spans="1:9" x14ac:dyDescent="0.25">
      <c r="A2728" s="10">
        <v>43781</v>
      </c>
      <c r="B2728" s="15">
        <f t="shared" si="84"/>
        <v>11</v>
      </c>
      <c r="C2728" s="15">
        <f t="shared" si="85"/>
        <v>2019</v>
      </c>
      <c r="D2728" s="13">
        <v>16.36</v>
      </c>
      <c r="E2728" s="13"/>
      <c r="F2728" s="13">
        <v>-25.84</v>
      </c>
      <c r="G2728" s="13"/>
      <c r="H2728" s="13">
        <v>54.59</v>
      </c>
      <c r="I2728" s="13">
        <v>67.59</v>
      </c>
    </row>
    <row r="2729" spans="1:9" x14ac:dyDescent="0.25">
      <c r="A2729" s="10">
        <v>43782</v>
      </c>
      <c r="B2729" s="15">
        <f t="shared" si="84"/>
        <v>11</v>
      </c>
      <c r="C2729" s="15">
        <f t="shared" si="85"/>
        <v>2019</v>
      </c>
      <c r="D2729" s="13">
        <v>16.36</v>
      </c>
      <c r="E2729" s="13"/>
      <c r="F2729" s="13">
        <v>-25.84</v>
      </c>
      <c r="G2729" s="13"/>
      <c r="H2729" s="13">
        <v>54.59</v>
      </c>
      <c r="I2729" s="13">
        <v>67.59</v>
      </c>
    </row>
    <row r="2730" spans="1:9" x14ac:dyDescent="0.25">
      <c r="A2730" s="10">
        <v>43783</v>
      </c>
      <c r="B2730" s="15">
        <f t="shared" si="84"/>
        <v>11</v>
      </c>
      <c r="C2730" s="15">
        <f t="shared" si="85"/>
        <v>2019</v>
      </c>
      <c r="D2730" s="13">
        <v>16.36</v>
      </c>
      <c r="E2730" s="13"/>
      <c r="F2730" s="13">
        <v>-25.84</v>
      </c>
      <c r="G2730" s="13"/>
      <c r="H2730" s="13">
        <v>54.59</v>
      </c>
      <c r="I2730" s="13">
        <v>67.59</v>
      </c>
    </row>
    <row r="2731" spans="1:9" x14ac:dyDescent="0.25">
      <c r="A2731" s="10">
        <v>43784</v>
      </c>
      <c r="B2731" s="15">
        <f t="shared" si="84"/>
        <v>11</v>
      </c>
      <c r="C2731" s="15">
        <f t="shared" si="85"/>
        <v>2019</v>
      </c>
      <c r="D2731" s="13">
        <v>16.36</v>
      </c>
      <c r="E2731" s="13"/>
      <c r="F2731" s="13">
        <v>-25.84</v>
      </c>
      <c r="G2731" s="13"/>
      <c r="H2731" s="13">
        <v>54.59</v>
      </c>
      <c r="I2731" s="13">
        <v>67.59</v>
      </c>
    </row>
    <row r="2732" spans="1:9" x14ac:dyDescent="0.25">
      <c r="A2732" s="10">
        <v>43787</v>
      </c>
      <c r="B2732" s="15">
        <f t="shared" si="84"/>
        <v>11</v>
      </c>
      <c r="C2732" s="15">
        <f t="shared" si="85"/>
        <v>2019</v>
      </c>
      <c r="D2732" s="13">
        <v>27.05</v>
      </c>
      <c r="E2732" s="13"/>
      <c r="F2732" s="13">
        <v>-14.42</v>
      </c>
      <c r="G2732" s="13"/>
      <c r="H2732" s="13">
        <v>71.22</v>
      </c>
      <c r="I2732" s="13">
        <v>42.68</v>
      </c>
    </row>
    <row r="2733" spans="1:9" x14ac:dyDescent="0.25">
      <c r="A2733" s="10">
        <v>43788</v>
      </c>
      <c r="B2733" s="15">
        <f t="shared" si="84"/>
        <v>11</v>
      </c>
      <c r="C2733" s="15">
        <f t="shared" si="85"/>
        <v>2019</v>
      </c>
      <c r="D2733" s="13">
        <v>27.05</v>
      </c>
      <c r="E2733" s="13"/>
      <c r="F2733" s="13">
        <v>-14.42</v>
      </c>
      <c r="G2733" s="13"/>
      <c r="H2733" s="13">
        <v>71.22</v>
      </c>
      <c r="I2733" s="13">
        <v>42.68</v>
      </c>
    </row>
    <row r="2734" spans="1:9" x14ac:dyDescent="0.25">
      <c r="A2734" s="10">
        <v>43789</v>
      </c>
      <c r="B2734" s="15">
        <f t="shared" si="84"/>
        <v>11</v>
      </c>
      <c r="C2734" s="15">
        <f t="shared" si="85"/>
        <v>2019</v>
      </c>
      <c r="D2734" s="13">
        <v>27.05</v>
      </c>
      <c r="E2734" s="13"/>
      <c r="F2734" s="13">
        <v>-14.42</v>
      </c>
      <c r="G2734" s="13"/>
      <c r="H2734" s="13">
        <v>71.22</v>
      </c>
      <c r="I2734" s="13">
        <v>42.68</v>
      </c>
    </row>
    <row r="2735" spans="1:9" x14ac:dyDescent="0.25">
      <c r="A2735" s="10">
        <v>43790</v>
      </c>
      <c r="B2735" s="15">
        <f t="shared" si="84"/>
        <v>11</v>
      </c>
      <c r="C2735" s="15">
        <f t="shared" si="85"/>
        <v>2019</v>
      </c>
      <c r="D2735" s="13">
        <v>27.05</v>
      </c>
      <c r="E2735" s="13"/>
      <c r="F2735" s="13">
        <v>-14.42</v>
      </c>
      <c r="G2735" s="13"/>
      <c r="H2735" s="13">
        <v>71.22</v>
      </c>
      <c r="I2735" s="13">
        <v>42.68</v>
      </c>
    </row>
    <row r="2736" spans="1:9" x14ac:dyDescent="0.25">
      <c r="A2736" s="10">
        <v>43791</v>
      </c>
      <c r="B2736" s="15">
        <f t="shared" si="84"/>
        <v>11</v>
      </c>
      <c r="C2736" s="15">
        <f t="shared" si="85"/>
        <v>2019</v>
      </c>
      <c r="D2736" s="13">
        <v>27.05</v>
      </c>
      <c r="E2736" s="13"/>
      <c r="F2736" s="13">
        <v>-14.42</v>
      </c>
      <c r="G2736" s="13"/>
      <c r="H2736" s="13">
        <v>71.22</v>
      </c>
      <c r="I2736" s="13">
        <v>42.68</v>
      </c>
    </row>
    <row r="2737" spans="1:9" x14ac:dyDescent="0.25">
      <c r="A2737" s="10">
        <v>43794</v>
      </c>
      <c r="B2737" s="15">
        <f t="shared" si="84"/>
        <v>11</v>
      </c>
      <c r="C2737" s="15">
        <f t="shared" si="85"/>
        <v>2019</v>
      </c>
      <c r="D2737" s="13">
        <v>17.739999999999998</v>
      </c>
      <c r="E2737" s="13"/>
      <c r="F2737" s="13">
        <v>-23.28</v>
      </c>
      <c r="G2737" s="13"/>
      <c r="H2737" s="13">
        <v>58.3</v>
      </c>
      <c r="I2737" s="13">
        <v>38.31</v>
      </c>
    </row>
    <row r="2738" spans="1:9" x14ac:dyDescent="0.25">
      <c r="A2738" s="10">
        <v>43795</v>
      </c>
      <c r="B2738" s="15">
        <f t="shared" si="84"/>
        <v>11</v>
      </c>
      <c r="C2738" s="15">
        <f t="shared" si="85"/>
        <v>2019</v>
      </c>
      <c r="D2738" s="13">
        <v>17.739999999999998</v>
      </c>
      <c r="E2738" s="13"/>
      <c r="F2738" s="13">
        <v>-23.28</v>
      </c>
      <c r="G2738" s="13"/>
      <c r="H2738" s="13">
        <v>58.3</v>
      </c>
      <c r="I2738" s="13">
        <v>38.31</v>
      </c>
    </row>
    <row r="2739" spans="1:9" x14ac:dyDescent="0.25">
      <c r="A2739" s="10">
        <v>43796</v>
      </c>
      <c r="B2739" s="15">
        <f t="shared" si="84"/>
        <v>11</v>
      </c>
      <c r="C2739" s="15">
        <f t="shared" si="85"/>
        <v>2019</v>
      </c>
      <c r="D2739" s="13">
        <v>17.739999999999998</v>
      </c>
      <c r="E2739" s="13"/>
      <c r="F2739" s="13">
        <v>-23.28</v>
      </c>
      <c r="G2739" s="13"/>
      <c r="H2739" s="13">
        <v>58.3</v>
      </c>
      <c r="I2739" s="13">
        <v>38.31</v>
      </c>
    </row>
    <row r="2740" spans="1:9" x14ac:dyDescent="0.25">
      <c r="A2740" s="10">
        <v>43798</v>
      </c>
      <c r="B2740" s="15">
        <f t="shared" si="84"/>
        <v>11</v>
      </c>
      <c r="C2740" s="15">
        <f t="shared" si="85"/>
        <v>2019</v>
      </c>
      <c r="D2740" s="13">
        <v>17.739999999999998</v>
      </c>
      <c r="E2740" s="13"/>
      <c r="F2740" s="13">
        <v>-23.28</v>
      </c>
      <c r="G2740" s="13"/>
      <c r="H2740" s="13">
        <v>58.3</v>
      </c>
      <c r="I2740" s="13">
        <v>38.31</v>
      </c>
    </row>
    <row r="2741" spans="1:9" x14ac:dyDescent="0.25">
      <c r="A2741" s="10">
        <v>43801</v>
      </c>
      <c r="B2741" s="15">
        <f t="shared" si="84"/>
        <v>12</v>
      </c>
      <c r="C2741" s="15">
        <f t="shared" si="85"/>
        <v>2019</v>
      </c>
      <c r="D2741" s="13">
        <v>26.78</v>
      </c>
      <c r="E2741" s="13"/>
      <c r="F2741" s="13">
        <v>-21.17</v>
      </c>
      <c r="G2741" s="13"/>
      <c r="H2741" s="13">
        <v>65.569999999999993</v>
      </c>
      <c r="I2741" s="13">
        <v>82.34</v>
      </c>
    </row>
    <row r="2742" spans="1:9" x14ac:dyDescent="0.25">
      <c r="A2742" s="10">
        <v>43802</v>
      </c>
      <c r="B2742" s="15">
        <f t="shared" si="84"/>
        <v>12</v>
      </c>
      <c r="C2742" s="15">
        <f t="shared" si="85"/>
        <v>2019</v>
      </c>
      <c r="D2742" s="13">
        <v>26.78</v>
      </c>
      <c r="E2742" s="13"/>
      <c r="F2742" s="13">
        <v>-21.17</v>
      </c>
      <c r="G2742" s="13"/>
      <c r="H2742" s="13">
        <v>65.569999999999993</v>
      </c>
      <c r="I2742" s="13">
        <v>82.34</v>
      </c>
    </row>
    <row r="2743" spans="1:9" x14ac:dyDescent="0.25">
      <c r="A2743" s="10">
        <v>43803</v>
      </c>
      <c r="B2743" s="15">
        <f t="shared" si="84"/>
        <v>12</v>
      </c>
      <c r="C2743" s="15">
        <f t="shared" si="85"/>
        <v>2019</v>
      </c>
      <c r="D2743" s="13">
        <v>26.78</v>
      </c>
      <c r="E2743" s="13"/>
      <c r="F2743" s="13">
        <v>-21.17</v>
      </c>
      <c r="G2743" s="13"/>
      <c r="H2743" s="13">
        <v>65.569999999999993</v>
      </c>
      <c r="I2743" s="13">
        <v>82.34</v>
      </c>
    </row>
    <row r="2744" spans="1:9" x14ac:dyDescent="0.25">
      <c r="A2744" s="10">
        <v>43804</v>
      </c>
      <c r="B2744" s="15">
        <f t="shared" si="84"/>
        <v>12</v>
      </c>
      <c r="C2744" s="15">
        <f t="shared" si="85"/>
        <v>2019</v>
      </c>
      <c r="D2744" s="13">
        <v>26.78</v>
      </c>
      <c r="E2744" s="13"/>
      <c r="F2744" s="13">
        <v>-21.17</v>
      </c>
      <c r="G2744" s="13"/>
      <c r="H2744" s="13">
        <v>65.569999999999993</v>
      </c>
      <c r="I2744" s="13">
        <v>82.34</v>
      </c>
    </row>
    <row r="2745" spans="1:9" x14ac:dyDescent="0.25">
      <c r="A2745" s="10">
        <v>43805</v>
      </c>
      <c r="B2745" s="15">
        <f t="shared" si="84"/>
        <v>12</v>
      </c>
      <c r="C2745" s="15">
        <f t="shared" si="85"/>
        <v>2019</v>
      </c>
      <c r="D2745" s="13">
        <v>26.78</v>
      </c>
      <c r="E2745" s="13"/>
      <c r="F2745" s="13">
        <v>-21.17</v>
      </c>
      <c r="G2745" s="13"/>
      <c r="H2745" s="13">
        <v>65.569999999999993</v>
      </c>
      <c r="I2745" s="13">
        <v>82.34</v>
      </c>
    </row>
    <row r="2746" spans="1:9" x14ac:dyDescent="0.25">
      <c r="A2746" s="10">
        <v>43808</v>
      </c>
      <c r="B2746" s="15">
        <f t="shared" si="84"/>
        <v>12</v>
      </c>
      <c r="C2746" s="15">
        <f t="shared" si="85"/>
        <v>2019</v>
      </c>
      <c r="D2746" s="13">
        <v>9.1300000000000008</v>
      </c>
      <c r="E2746" s="13"/>
      <c r="F2746" s="13">
        <v>-39.43</v>
      </c>
      <c r="G2746" s="13"/>
      <c r="H2746" s="13">
        <v>62.89</v>
      </c>
      <c r="I2746" s="13">
        <v>28.25</v>
      </c>
    </row>
    <row r="2747" spans="1:9" x14ac:dyDescent="0.25">
      <c r="A2747" s="10">
        <v>43809</v>
      </c>
      <c r="B2747" s="15">
        <f t="shared" si="84"/>
        <v>12</v>
      </c>
      <c r="C2747" s="15">
        <f t="shared" si="85"/>
        <v>2019</v>
      </c>
      <c r="D2747" s="13">
        <v>9.1300000000000008</v>
      </c>
      <c r="E2747" s="13"/>
      <c r="F2747" s="13">
        <v>-39.43</v>
      </c>
      <c r="G2747" s="13"/>
      <c r="H2747" s="13">
        <v>62.89</v>
      </c>
      <c r="I2747" s="13">
        <v>28.25</v>
      </c>
    </row>
    <row r="2748" spans="1:9" x14ac:dyDescent="0.25">
      <c r="A2748" s="10">
        <v>43810</v>
      </c>
      <c r="B2748" s="15">
        <f t="shared" si="84"/>
        <v>12</v>
      </c>
      <c r="C2748" s="15">
        <f t="shared" si="85"/>
        <v>2019</v>
      </c>
      <c r="D2748" s="13">
        <v>9.1300000000000008</v>
      </c>
      <c r="E2748" s="13"/>
      <c r="F2748" s="13">
        <v>-39.43</v>
      </c>
      <c r="G2748" s="13"/>
      <c r="H2748" s="13">
        <v>62.89</v>
      </c>
      <c r="I2748" s="13">
        <v>28.25</v>
      </c>
    </row>
    <row r="2749" spans="1:9" x14ac:dyDescent="0.25">
      <c r="A2749" s="10">
        <v>43811</v>
      </c>
      <c r="B2749" s="15">
        <f t="shared" si="84"/>
        <v>12</v>
      </c>
      <c r="C2749" s="15">
        <f t="shared" si="85"/>
        <v>2019</v>
      </c>
      <c r="D2749" s="13">
        <v>9.1300000000000008</v>
      </c>
      <c r="E2749" s="13"/>
      <c r="F2749" s="13">
        <v>-39.43</v>
      </c>
      <c r="G2749" s="13"/>
      <c r="H2749" s="13">
        <v>62.89</v>
      </c>
      <c r="I2749" s="13">
        <v>28.25</v>
      </c>
    </row>
    <row r="2750" spans="1:9" x14ac:dyDescent="0.25">
      <c r="A2750" s="10">
        <v>43812</v>
      </c>
      <c r="B2750" s="15">
        <f t="shared" si="84"/>
        <v>12</v>
      </c>
      <c r="C2750" s="15">
        <f t="shared" si="85"/>
        <v>2019</v>
      </c>
      <c r="D2750" s="13">
        <v>9.1300000000000008</v>
      </c>
      <c r="E2750" s="13"/>
      <c r="F2750" s="13">
        <v>-39.43</v>
      </c>
      <c r="G2750" s="13"/>
      <c r="H2750" s="13">
        <v>62.89</v>
      </c>
      <c r="I2750" s="13">
        <v>28.25</v>
      </c>
    </row>
    <row r="2751" spans="1:9" x14ac:dyDescent="0.25">
      <c r="A2751" s="10">
        <v>43815</v>
      </c>
      <c r="B2751" s="15">
        <f t="shared" si="84"/>
        <v>12</v>
      </c>
      <c r="C2751" s="15">
        <f t="shared" si="85"/>
        <v>2019</v>
      </c>
      <c r="D2751" s="13">
        <v>10.3</v>
      </c>
      <c r="E2751" s="13"/>
      <c r="F2751" s="13">
        <v>-39.700000000000003</v>
      </c>
      <c r="G2751" s="13"/>
      <c r="H2751" s="13">
        <v>67.989999999999995</v>
      </c>
      <c r="I2751" s="13">
        <v>25.59</v>
      </c>
    </row>
    <row r="2752" spans="1:9" x14ac:dyDescent="0.25">
      <c r="A2752" s="10">
        <v>43816</v>
      </c>
      <c r="B2752" s="15">
        <f t="shared" si="84"/>
        <v>12</v>
      </c>
      <c r="C2752" s="15">
        <f t="shared" si="85"/>
        <v>2019</v>
      </c>
      <c r="D2752" s="13">
        <v>10.3</v>
      </c>
      <c r="E2752" s="13"/>
      <c r="F2752" s="13">
        <v>-39.700000000000003</v>
      </c>
      <c r="G2752" s="13"/>
      <c r="H2752" s="13">
        <v>67.989999999999995</v>
      </c>
      <c r="I2752" s="13">
        <v>25.59</v>
      </c>
    </row>
    <row r="2753" spans="1:9" x14ac:dyDescent="0.25">
      <c r="A2753" s="10">
        <v>43817</v>
      </c>
      <c r="B2753" s="15">
        <f t="shared" si="84"/>
        <v>12</v>
      </c>
      <c r="C2753" s="15">
        <f t="shared" si="85"/>
        <v>2019</v>
      </c>
      <c r="D2753" s="13">
        <v>10.3</v>
      </c>
      <c r="E2753" s="13"/>
      <c r="F2753" s="13">
        <v>-39.700000000000003</v>
      </c>
      <c r="G2753" s="13"/>
      <c r="H2753" s="13">
        <v>67.989999999999995</v>
      </c>
      <c r="I2753" s="13">
        <v>25.59</v>
      </c>
    </row>
    <row r="2754" spans="1:9" x14ac:dyDescent="0.25">
      <c r="A2754" s="10">
        <v>43818</v>
      </c>
      <c r="B2754" s="15">
        <f t="shared" si="84"/>
        <v>12</v>
      </c>
      <c r="C2754" s="15">
        <f t="shared" si="85"/>
        <v>2019</v>
      </c>
      <c r="D2754" s="13">
        <v>10.3</v>
      </c>
      <c r="E2754" s="13"/>
      <c r="F2754" s="13">
        <v>-39.700000000000003</v>
      </c>
      <c r="G2754" s="13"/>
      <c r="H2754" s="13">
        <v>67.989999999999995</v>
      </c>
      <c r="I2754" s="13">
        <v>25.59</v>
      </c>
    </row>
    <row r="2755" spans="1:9" x14ac:dyDescent="0.25">
      <c r="A2755" s="10">
        <v>43819</v>
      </c>
      <c r="B2755" s="15">
        <f t="shared" ref="B2755:B2818" si="86">MONTH(A2755)</f>
        <v>12</v>
      </c>
      <c r="C2755" s="15">
        <f t="shared" ref="C2755:C2818" si="87">YEAR(A2755)</f>
        <v>2019</v>
      </c>
      <c r="D2755" s="13">
        <v>10.3</v>
      </c>
      <c r="E2755" s="13"/>
      <c r="F2755" s="13">
        <v>-39.700000000000003</v>
      </c>
      <c r="G2755" s="13"/>
      <c r="H2755" s="13">
        <v>67.989999999999995</v>
      </c>
      <c r="I2755" s="13">
        <v>25.59</v>
      </c>
    </row>
    <row r="2756" spans="1:9" x14ac:dyDescent="0.25">
      <c r="A2756" s="10">
        <v>43822</v>
      </c>
      <c r="B2756" s="15">
        <f t="shared" si="86"/>
        <v>12</v>
      </c>
      <c r="C2756" s="15">
        <f t="shared" si="87"/>
        <v>2019</v>
      </c>
      <c r="D2756" s="13">
        <v>2.92</v>
      </c>
      <c r="E2756" s="13"/>
      <c r="F2756" s="13">
        <v>-48.98</v>
      </c>
      <c r="G2756" s="13"/>
      <c r="H2756" s="13">
        <v>59.09</v>
      </c>
      <c r="I2756" s="13">
        <v>17.05</v>
      </c>
    </row>
    <row r="2757" spans="1:9" x14ac:dyDescent="0.25">
      <c r="A2757" s="10">
        <v>43823</v>
      </c>
      <c r="B2757" s="15">
        <f t="shared" si="86"/>
        <v>12</v>
      </c>
      <c r="C2757" s="15">
        <f t="shared" si="87"/>
        <v>2019</v>
      </c>
      <c r="D2757" s="13">
        <v>2.92</v>
      </c>
      <c r="E2757" s="13"/>
      <c r="F2757" s="13">
        <v>-48.98</v>
      </c>
      <c r="G2757" s="13"/>
      <c r="H2757" s="13">
        <v>59.09</v>
      </c>
      <c r="I2757" s="13">
        <v>17.05</v>
      </c>
    </row>
    <row r="2758" spans="1:9" x14ac:dyDescent="0.25">
      <c r="A2758" s="10">
        <v>43825</v>
      </c>
      <c r="B2758" s="15">
        <f t="shared" si="86"/>
        <v>12</v>
      </c>
      <c r="C2758" s="15">
        <f t="shared" si="87"/>
        <v>2019</v>
      </c>
      <c r="D2758" s="13">
        <v>2.92</v>
      </c>
      <c r="E2758" s="13"/>
      <c r="F2758" s="13">
        <v>-48.98</v>
      </c>
      <c r="G2758" s="13"/>
      <c r="H2758" s="13">
        <v>59.09</v>
      </c>
      <c r="I2758" s="13">
        <v>17.05</v>
      </c>
    </row>
    <row r="2759" spans="1:9" x14ac:dyDescent="0.25">
      <c r="A2759" s="10">
        <v>43826</v>
      </c>
      <c r="B2759" s="15">
        <f t="shared" si="86"/>
        <v>12</v>
      </c>
      <c r="C2759" s="15">
        <f t="shared" si="87"/>
        <v>2019</v>
      </c>
      <c r="D2759" s="13">
        <v>2.92</v>
      </c>
      <c r="E2759" s="13"/>
      <c r="F2759" s="13">
        <v>-48.98</v>
      </c>
      <c r="G2759" s="13"/>
      <c r="H2759" s="13">
        <v>59.09</v>
      </c>
      <c r="I2759" s="13">
        <v>17.05</v>
      </c>
    </row>
    <row r="2760" spans="1:9" x14ac:dyDescent="0.25">
      <c r="A2760" s="10">
        <v>43829</v>
      </c>
      <c r="B2760" s="15">
        <f t="shared" si="86"/>
        <v>12</v>
      </c>
      <c r="C2760" s="15">
        <f t="shared" si="87"/>
        <v>2019</v>
      </c>
      <c r="D2760" s="13">
        <v>24.94</v>
      </c>
      <c r="E2760" s="13"/>
      <c r="F2760" s="13">
        <v>-25.58</v>
      </c>
      <c r="G2760" s="13"/>
      <c r="H2760" s="13">
        <v>83.17</v>
      </c>
      <c r="I2760" s="13">
        <v>40.619999999999997</v>
      </c>
    </row>
    <row r="2761" spans="1:9" x14ac:dyDescent="0.25">
      <c r="A2761" s="10">
        <v>43830</v>
      </c>
      <c r="B2761" s="15">
        <f t="shared" si="86"/>
        <v>12</v>
      </c>
      <c r="C2761" s="15">
        <f t="shared" si="87"/>
        <v>2019</v>
      </c>
      <c r="D2761" s="13">
        <v>24.94</v>
      </c>
      <c r="E2761" s="13"/>
      <c r="F2761" s="13">
        <v>-25.58</v>
      </c>
      <c r="G2761" s="13"/>
      <c r="H2761" s="13">
        <v>83.17</v>
      </c>
      <c r="I2761" s="13">
        <v>40.619999999999997</v>
      </c>
    </row>
    <row r="2762" spans="1:9" x14ac:dyDescent="0.25">
      <c r="A2762" s="10">
        <v>43832</v>
      </c>
      <c r="B2762" s="15">
        <f t="shared" si="86"/>
        <v>1</v>
      </c>
      <c r="C2762" s="15">
        <f t="shared" si="87"/>
        <v>2020</v>
      </c>
      <c r="D2762" s="13">
        <v>24.94</v>
      </c>
      <c r="E2762" s="13">
        <v>67.95</v>
      </c>
      <c r="F2762" s="13">
        <v>-25.58</v>
      </c>
      <c r="G2762" s="13"/>
      <c r="H2762" s="13">
        <v>83.17</v>
      </c>
      <c r="I2762" s="13">
        <v>40.619999999999997</v>
      </c>
    </row>
    <row r="2763" spans="1:9" x14ac:dyDescent="0.25">
      <c r="A2763" s="10">
        <v>43833</v>
      </c>
      <c r="B2763" s="15">
        <f t="shared" si="86"/>
        <v>1</v>
      </c>
      <c r="C2763" s="15">
        <f t="shared" si="87"/>
        <v>2020</v>
      </c>
      <c r="D2763" s="13">
        <v>24.94</v>
      </c>
      <c r="E2763" s="13">
        <v>63.99</v>
      </c>
      <c r="F2763" s="13">
        <v>-25.58</v>
      </c>
      <c r="G2763" s="13"/>
      <c r="H2763" s="13">
        <v>83.17</v>
      </c>
      <c r="I2763" s="13">
        <v>40.619999999999997</v>
      </c>
    </row>
    <row r="2764" spans="1:9" x14ac:dyDescent="0.25">
      <c r="A2764" s="10">
        <v>43836</v>
      </c>
      <c r="B2764" s="15">
        <f t="shared" si="86"/>
        <v>1</v>
      </c>
      <c r="C2764" s="15">
        <f t="shared" si="87"/>
        <v>2020</v>
      </c>
      <c r="D2764" s="13">
        <v>54.05</v>
      </c>
      <c r="E2764" s="13">
        <v>62.29</v>
      </c>
      <c r="F2764" s="13">
        <v>4.67</v>
      </c>
      <c r="G2764" s="13"/>
      <c r="H2764" s="13">
        <v>105.69</v>
      </c>
      <c r="I2764" s="13">
        <v>95.65</v>
      </c>
    </row>
    <row r="2765" spans="1:9" x14ac:dyDescent="0.25">
      <c r="A2765" s="10">
        <v>43837</v>
      </c>
      <c r="B2765" s="15">
        <f t="shared" si="86"/>
        <v>1</v>
      </c>
      <c r="C2765" s="15">
        <f t="shared" si="87"/>
        <v>2020</v>
      </c>
      <c r="D2765" s="13">
        <v>54.05</v>
      </c>
      <c r="E2765" s="13">
        <v>65.34</v>
      </c>
      <c r="F2765" s="13">
        <v>4.67</v>
      </c>
      <c r="G2765" s="13"/>
      <c r="H2765" s="13">
        <v>105.69</v>
      </c>
      <c r="I2765" s="13">
        <v>95.65</v>
      </c>
    </row>
    <row r="2766" spans="1:9" x14ac:dyDescent="0.25">
      <c r="A2766" s="10">
        <v>43838</v>
      </c>
      <c r="B2766" s="15">
        <f t="shared" si="86"/>
        <v>1</v>
      </c>
      <c r="C2766" s="15">
        <f t="shared" si="87"/>
        <v>2020</v>
      </c>
      <c r="D2766" s="13">
        <v>54.05</v>
      </c>
      <c r="E2766" s="13">
        <v>61.79</v>
      </c>
      <c r="F2766" s="13">
        <v>4.67</v>
      </c>
      <c r="G2766" s="13"/>
      <c r="H2766" s="13">
        <v>105.69</v>
      </c>
      <c r="I2766" s="13">
        <v>95.65</v>
      </c>
    </row>
    <row r="2767" spans="1:9" x14ac:dyDescent="0.25">
      <c r="A2767" s="10">
        <v>43839</v>
      </c>
      <c r="B2767" s="15">
        <f t="shared" si="86"/>
        <v>1</v>
      </c>
      <c r="C2767" s="15">
        <f t="shared" si="87"/>
        <v>2020</v>
      </c>
      <c r="D2767" s="13">
        <v>54.05</v>
      </c>
      <c r="E2767" s="13">
        <v>62.56</v>
      </c>
      <c r="F2767" s="13">
        <v>4.67</v>
      </c>
      <c r="G2767" s="13"/>
      <c r="H2767" s="13">
        <v>105.69</v>
      </c>
      <c r="I2767" s="13">
        <v>95.65</v>
      </c>
    </row>
    <row r="2768" spans="1:9" x14ac:dyDescent="0.25">
      <c r="A2768" s="10">
        <v>43840</v>
      </c>
      <c r="B2768" s="15">
        <f t="shared" si="86"/>
        <v>1</v>
      </c>
      <c r="C2768" s="15">
        <f t="shared" si="87"/>
        <v>2020</v>
      </c>
      <c r="D2768" s="13">
        <v>54.05</v>
      </c>
      <c r="E2768" s="13">
        <v>64.239999999999995</v>
      </c>
      <c r="F2768" s="13">
        <v>4.67</v>
      </c>
      <c r="G2768" s="13"/>
      <c r="H2768" s="13">
        <v>105.69</v>
      </c>
      <c r="I2768" s="13">
        <v>95.65</v>
      </c>
    </row>
    <row r="2769" spans="1:9" x14ac:dyDescent="0.25">
      <c r="A2769" s="10">
        <v>43843</v>
      </c>
      <c r="B2769" s="15">
        <f t="shared" si="86"/>
        <v>1</v>
      </c>
      <c r="C2769" s="15">
        <f t="shared" si="87"/>
        <v>2020</v>
      </c>
      <c r="D2769" s="13">
        <v>32.69</v>
      </c>
      <c r="E2769" s="13">
        <v>58.67</v>
      </c>
      <c r="F2769" s="13">
        <v>-9.64</v>
      </c>
      <c r="G2769" s="13"/>
      <c r="H2769" s="13">
        <v>86.73</v>
      </c>
      <c r="I2769" s="13">
        <v>56.68</v>
      </c>
    </row>
    <row r="2770" spans="1:9" x14ac:dyDescent="0.25">
      <c r="A2770" s="10">
        <v>43844</v>
      </c>
      <c r="B2770" s="15">
        <f t="shared" si="86"/>
        <v>1</v>
      </c>
      <c r="C2770" s="15">
        <f t="shared" si="87"/>
        <v>2020</v>
      </c>
      <c r="D2770" s="13">
        <v>32.69</v>
      </c>
      <c r="E2770" s="13">
        <v>49.83</v>
      </c>
      <c r="F2770" s="13">
        <v>-9.64</v>
      </c>
      <c r="G2770" s="13"/>
      <c r="H2770" s="13">
        <v>86.73</v>
      </c>
      <c r="I2770" s="13">
        <v>56.68</v>
      </c>
    </row>
    <row r="2771" spans="1:9" x14ac:dyDescent="0.25">
      <c r="A2771" s="10">
        <v>43845</v>
      </c>
      <c r="B2771" s="15">
        <f t="shared" si="86"/>
        <v>1</v>
      </c>
      <c r="C2771" s="15">
        <f t="shared" si="87"/>
        <v>2020</v>
      </c>
      <c r="D2771" s="13">
        <v>32.69</v>
      </c>
      <c r="E2771" s="13">
        <v>49.04</v>
      </c>
      <c r="F2771" s="13">
        <v>-9.64</v>
      </c>
      <c r="G2771" s="13"/>
      <c r="H2771" s="13">
        <v>86.73</v>
      </c>
      <c r="I2771" s="13">
        <v>56.68</v>
      </c>
    </row>
    <row r="2772" spans="1:9" x14ac:dyDescent="0.25">
      <c r="A2772" s="10">
        <v>43846</v>
      </c>
      <c r="B2772" s="15">
        <f t="shared" si="86"/>
        <v>1</v>
      </c>
      <c r="C2772" s="15">
        <f t="shared" si="87"/>
        <v>2020</v>
      </c>
      <c r="D2772" s="13">
        <v>32.69</v>
      </c>
      <c r="E2772" s="13">
        <v>45.03</v>
      </c>
      <c r="F2772" s="13">
        <v>-9.64</v>
      </c>
      <c r="G2772" s="13"/>
      <c r="H2772" s="13">
        <v>86.73</v>
      </c>
      <c r="I2772" s="13">
        <v>56.68</v>
      </c>
    </row>
    <row r="2773" spans="1:9" x14ac:dyDescent="0.25">
      <c r="A2773" s="10">
        <v>43847</v>
      </c>
      <c r="B2773" s="15">
        <f t="shared" si="86"/>
        <v>1</v>
      </c>
      <c r="C2773" s="15">
        <f t="shared" si="87"/>
        <v>2020</v>
      </c>
      <c r="D2773" s="13">
        <v>32.69</v>
      </c>
      <c r="E2773" s="13">
        <v>44.83</v>
      </c>
      <c r="F2773" s="13">
        <v>-9.64</v>
      </c>
      <c r="G2773" s="13"/>
      <c r="H2773" s="13">
        <v>86.73</v>
      </c>
      <c r="I2773" s="13">
        <v>56.68</v>
      </c>
    </row>
    <row r="2774" spans="1:9" x14ac:dyDescent="0.25">
      <c r="A2774" s="10" t="s">
        <v>459</v>
      </c>
      <c r="B2774" s="15">
        <f t="shared" si="86"/>
        <v>1</v>
      </c>
      <c r="C2774" s="15">
        <f t="shared" si="87"/>
        <v>2020</v>
      </c>
      <c r="D2774" s="13">
        <v>8.39</v>
      </c>
      <c r="E2774" s="13">
        <v>47.56</v>
      </c>
      <c r="F2774" s="13">
        <v>-30.45</v>
      </c>
      <c r="G2774" s="13"/>
      <c r="H2774" s="13">
        <v>60.88</v>
      </c>
      <c r="I2774" s="13">
        <v>67.599999999999994</v>
      </c>
    </row>
    <row r="2775" spans="1:9" x14ac:dyDescent="0.25">
      <c r="A2775" s="10">
        <v>43851</v>
      </c>
      <c r="B2775" s="15">
        <f t="shared" si="86"/>
        <v>1</v>
      </c>
      <c r="C2775" s="15">
        <f t="shared" si="87"/>
        <v>2020</v>
      </c>
      <c r="D2775" s="13">
        <v>8.39</v>
      </c>
      <c r="E2775" s="13">
        <v>46.62</v>
      </c>
      <c r="F2775" s="13">
        <v>-30.45</v>
      </c>
      <c r="G2775" s="13"/>
      <c r="H2775" s="13">
        <v>60.88</v>
      </c>
      <c r="I2775" s="13">
        <v>67.599999999999994</v>
      </c>
    </row>
    <row r="2776" spans="1:9" x14ac:dyDescent="0.25">
      <c r="A2776" s="10">
        <v>43852</v>
      </c>
      <c r="B2776" s="15">
        <f t="shared" si="86"/>
        <v>1</v>
      </c>
      <c r="C2776" s="15">
        <f t="shared" si="87"/>
        <v>2020</v>
      </c>
      <c r="D2776" s="13">
        <v>8.39</v>
      </c>
      <c r="E2776" s="13">
        <v>48.08</v>
      </c>
      <c r="F2776" s="13">
        <v>-30.45</v>
      </c>
      <c r="G2776" s="13"/>
      <c r="H2776" s="13">
        <v>60.88</v>
      </c>
      <c r="I2776" s="13">
        <v>67.599999999999994</v>
      </c>
    </row>
    <row r="2777" spans="1:9" x14ac:dyDescent="0.25">
      <c r="A2777" s="10">
        <v>43853</v>
      </c>
      <c r="B2777" s="15">
        <f t="shared" si="86"/>
        <v>1</v>
      </c>
      <c r="C2777" s="15">
        <f t="shared" si="87"/>
        <v>2020</v>
      </c>
      <c r="D2777" s="13">
        <v>8.39</v>
      </c>
      <c r="E2777" s="13">
        <v>51.2</v>
      </c>
      <c r="F2777" s="13">
        <v>-30.45</v>
      </c>
      <c r="G2777" s="13"/>
      <c r="H2777" s="13">
        <v>60.88</v>
      </c>
      <c r="I2777" s="13">
        <v>67.599999999999994</v>
      </c>
    </row>
    <row r="2778" spans="1:9" x14ac:dyDescent="0.25">
      <c r="A2778" s="10">
        <v>43854</v>
      </c>
      <c r="B2778" s="15">
        <f t="shared" si="86"/>
        <v>1</v>
      </c>
      <c r="C2778" s="15">
        <f t="shared" si="87"/>
        <v>2020</v>
      </c>
      <c r="D2778" s="13">
        <v>8.39</v>
      </c>
      <c r="E2778" s="13">
        <v>51.49</v>
      </c>
      <c r="F2778" s="13">
        <v>-30.45</v>
      </c>
      <c r="G2778" s="13"/>
      <c r="H2778" s="13">
        <v>60.88</v>
      </c>
      <c r="I2778" s="13">
        <v>67.599999999999994</v>
      </c>
    </row>
    <row r="2779" spans="1:9" x14ac:dyDescent="0.25">
      <c r="A2779" s="10">
        <v>43857</v>
      </c>
      <c r="B2779" s="15">
        <f t="shared" si="86"/>
        <v>1</v>
      </c>
      <c r="C2779" s="15">
        <f t="shared" si="87"/>
        <v>2020</v>
      </c>
      <c r="D2779" s="13">
        <v>18.68</v>
      </c>
      <c r="E2779" s="13">
        <v>50.27</v>
      </c>
      <c r="F2779" s="13">
        <v>-17.95</v>
      </c>
      <c r="G2779" s="13"/>
      <c r="H2779" s="13">
        <v>63.47</v>
      </c>
      <c r="I2779" s="13">
        <v>77.12</v>
      </c>
    </row>
    <row r="2780" spans="1:9" x14ac:dyDescent="0.25">
      <c r="A2780" s="10">
        <v>43858</v>
      </c>
      <c r="B2780" s="15">
        <f t="shared" si="86"/>
        <v>1</v>
      </c>
      <c r="C2780" s="15">
        <f t="shared" si="87"/>
        <v>2020</v>
      </c>
      <c r="D2780" s="13">
        <v>18.68</v>
      </c>
      <c r="E2780" s="13">
        <v>49.31</v>
      </c>
      <c r="F2780" s="13">
        <v>-17.95</v>
      </c>
      <c r="G2780" s="13"/>
      <c r="H2780" s="13">
        <v>63.47</v>
      </c>
      <c r="I2780" s="13">
        <v>77.12</v>
      </c>
    </row>
    <row r="2781" spans="1:9" x14ac:dyDescent="0.25">
      <c r="A2781" s="10">
        <v>43859</v>
      </c>
      <c r="B2781" s="15">
        <f t="shared" si="86"/>
        <v>1</v>
      </c>
      <c r="C2781" s="15">
        <f t="shared" si="87"/>
        <v>2020</v>
      </c>
      <c r="D2781" s="13">
        <v>18.68</v>
      </c>
      <c r="E2781" s="13">
        <v>59.99</v>
      </c>
      <c r="F2781" s="13">
        <v>-17.95</v>
      </c>
      <c r="G2781" s="13"/>
      <c r="H2781" s="13">
        <v>63.47</v>
      </c>
      <c r="I2781" s="13">
        <v>77.12</v>
      </c>
    </row>
    <row r="2782" spans="1:9" x14ac:dyDescent="0.25">
      <c r="A2782" s="10">
        <v>43860</v>
      </c>
      <c r="B2782" s="15">
        <f t="shared" si="86"/>
        <v>1</v>
      </c>
      <c r="C2782" s="15">
        <f t="shared" si="87"/>
        <v>2020</v>
      </c>
      <c r="D2782" s="13">
        <v>18.68</v>
      </c>
      <c r="E2782" s="13">
        <v>58.1</v>
      </c>
      <c r="F2782" s="13">
        <v>-17.95</v>
      </c>
      <c r="G2782" s="13"/>
      <c r="H2782" s="13">
        <v>63.47</v>
      </c>
      <c r="I2782" s="13">
        <v>77.12</v>
      </c>
    </row>
    <row r="2783" spans="1:9" x14ac:dyDescent="0.25">
      <c r="A2783" s="10">
        <v>43861</v>
      </c>
      <c r="B2783" s="15">
        <f t="shared" si="86"/>
        <v>1</v>
      </c>
      <c r="C2783" s="15">
        <f t="shared" si="87"/>
        <v>2020</v>
      </c>
      <c r="D2783" s="13">
        <v>18.68</v>
      </c>
      <c r="E2783" s="13">
        <v>51.26</v>
      </c>
      <c r="F2783" s="13">
        <v>-17.95</v>
      </c>
      <c r="G2783" s="13"/>
      <c r="H2783" s="13">
        <v>63.47</v>
      </c>
      <c r="I2783" s="13">
        <v>77.12</v>
      </c>
    </row>
    <row r="2784" spans="1:9" x14ac:dyDescent="0.25">
      <c r="A2784" s="10">
        <v>43864</v>
      </c>
      <c r="B2784" s="15">
        <f t="shared" si="86"/>
        <v>2</v>
      </c>
      <c r="C2784" s="15">
        <f t="shared" si="87"/>
        <v>2020</v>
      </c>
      <c r="D2784" s="13">
        <v>38.619999999999997</v>
      </c>
      <c r="E2784" s="13">
        <v>42.9</v>
      </c>
      <c r="F2784" s="13">
        <v>0.49</v>
      </c>
      <c r="G2784" s="13"/>
      <c r="H2784" s="13">
        <v>91.31</v>
      </c>
      <c r="I2784" s="13">
        <v>110.17</v>
      </c>
    </row>
    <row r="2785" spans="1:9" x14ac:dyDescent="0.25">
      <c r="A2785" s="10">
        <v>43865</v>
      </c>
      <c r="B2785" s="15">
        <f t="shared" si="86"/>
        <v>2</v>
      </c>
      <c r="C2785" s="15">
        <f t="shared" si="87"/>
        <v>2020</v>
      </c>
      <c r="D2785" s="13">
        <v>38.619999999999997</v>
      </c>
      <c r="E2785" s="13">
        <v>41.13</v>
      </c>
      <c r="F2785" s="13">
        <v>0.49</v>
      </c>
      <c r="G2785" s="13"/>
      <c r="H2785" s="13">
        <v>91.31</v>
      </c>
      <c r="I2785" s="13">
        <v>110.17</v>
      </c>
    </row>
    <row r="2786" spans="1:9" x14ac:dyDescent="0.25">
      <c r="A2786" s="10">
        <v>43866</v>
      </c>
      <c r="B2786" s="15">
        <f t="shared" si="86"/>
        <v>2</v>
      </c>
      <c r="C2786" s="15">
        <f t="shared" si="87"/>
        <v>2020</v>
      </c>
      <c r="D2786" s="13">
        <v>38.619999999999997</v>
      </c>
      <c r="E2786" s="13">
        <v>41.23</v>
      </c>
      <c r="F2786" s="13">
        <v>0.49</v>
      </c>
      <c r="G2786" s="13"/>
      <c r="H2786" s="13">
        <v>91.31</v>
      </c>
      <c r="I2786" s="13">
        <v>110.17</v>
      </c>
    </row>
    <row r="2787" spans="1:9" x14ac:dyDescent="0.25">
      <c r="A2787" s="10">
        <v>43867</v>
      </c>
      <c r="B2787" s="15">
        <f t="shared" si="86"/>
        <v>2</v>
      </c>
      <c r="C2787" s="15">
        <f t="shared" si="87"/>
        <v>2020</v>
      </c>
      <c r="D2787" s="13">
        <v>38.619999999999997</v>
      </c>
      <c r="E2787" s="13">
        <v>44.04</v>
      </c>
      <c r="F2787" s="13">
        <v>0.49</v>
      </c>
      <c r="G2787" s="13"/>
      <c r="H2787" s="13">
        <v>91.31</v>
      </c>
      <c r="I2787" s="13">
        <v>110.17</v>
      </c>
    </row>
    <row r="2788" spans="1:9" x14ac:dyDescent="0.25">
      <c r="A2788" s="10">
        <v>43868</v>
      </c>
      <c r="B2788" s="15">
        <f t="shared" si="86"/>
        <v>2</v>
      </c>
      <c r="C2788" s="15">
        <f t="shared" si="87"/>
        <v>2020</v>
      </c>
      <c r="D2788" s="13">
        <v>38.619999999999997</v>
      </c>
      <c r="E2788" s="13">
        <v>33.520000000000003</v>
      </c>
      <c r="F2788" s="13">
        <v>0.49</v>
      </c>
      <c r="G2788" s="13"/>
      <c r="H2788" s="13">
        <v>91.31</v>
      </c>
      <c r="I2788" s="13">
        <v>110.17</v>
      </c>
    </row>
    <row r="2789" spans="1:9" x14ac:dyDescent="0.25">
      <c r="A2789" s="10">
        <v>43871</v>
      </c>
      <c r="B2789" s="15">
        <f t="shared" si="86"/>
        <v>2</v>
      </c>
      <c r="C2789" s="15">
        <f t="shared" si="87"/>
        <v>2020</v>
      </c>
      <c r="D2789" s="13">
        <v>40.25</v>
      </c>
      <c r="E2789" s="13">
        <v>23.16</v>
      </c>
      <c r="F2789" s="13">
        <v>5.23</v>
      </c>
      <c r="G2789" s="13"/>
      <c r="H2789" s="13">
        <v>98.19</v>
      </c>
      <c r="I2789" s="13">
        <v>76.44</v>
      </c>
    </row>
    <row r="2790" spans="1:9" x14ac:dyDescent="0.25">
      <c r="A2790" s="10">
        <v>43872</v>
      </c>
      <c r="B2790" s="15">
        <f t="shared" si="86"/>
        <v>2</v>
      </c>
      <c r="C2790" s="15">
        <f t="shared" si="87"/>
        <v>2020</v>
      </c>
      <c r="D2790" s="13">
        <v>40.25</v>
      </c>
      <c r="E2790" s="13">
        <v>22.09</v>
      </c>
      <c r="F2790" s="13">
        <v>5.23</v>
      </c>
      <c r="G2790" s="13"/>
      <c r="H2790" s="13">
        <v>98.19</v>
      </c>
      <c r="I2790" s="13">
        <v>76.44</v>
      </c>
    </row>
    <row r="2791" spans="1:9" x14ac:dyDescent="0.25">
      <c r="A2791" s="10">
        <v>43873</v>
      </c>
      <c r="B2791" s="15">
        <f t="shared" si="86"/>
        <v>2</v>
      </c>
      <c r="C2791" s="15">
        <f t="shared" si="87"/>
        <v>2020</v>
      </c>
      <c r="D2791" s="13">
        <v>40.25</v>
      </c>
      <c r="E2791" s="13">
        <v>19.28</v>
      </c>
      <c r="F2791" s="13">
        <v>5.23</v>
      </c>
      <c r="G2791" s="13"/>
      <c r="H2791" s="13">
        <v>98.19</v>
      </c>
      <c r="I2791" s="13">
        <v>76.44</v>
      </c>
    </row>
    <row r="2792" spans="1:9" x14ac:dyDescent="0.25">
      <c r="A2792" s="10">
        <v>43874</v>
      </c>
      <c r="B2792" s="15">
        <f t="shared" si="86"/>
        <v>2</v>
      </c>
      <c r="C2792" s="15">
        <f t="shared" si="87"/>
        <v>2020</v>
      </c>
      <c r="D2792" s="13">
        <v>40.25</v>
      </c>
      <c r="E2792" s="13">
        <v>15.04</v>
      </c>
      <c r="F2792" s="13">
        <v>5.23</v>
      </c>
      <c r="G2792" s="13"/>
      <c r="H2792" s="13">
        <v>98.19</v>
      </c>
      <c r="I2792" s="13">
        <v>76.44</v>
      </c>
    </row>
    <row r="2793" spans="1:9" x14ac:dyDescent="0.25">
      <c r="A2793" s="10">
        <v>43875</v>
      </c>
      <c r="B2793" s="15">
        <f t="shared" si="86"/>
        <v>2</v>
      </c>
      <c r="C2793" s="15">
        <f t="shared" si="87"/>
        <v>2020</v>
      </c>
      <c r="D2793" s="13">
        <v>40.25</v>
      </c>
      <c r="E2793" s="13">
        <v>16.73</v>
      </c>
      <c r="F2793" s="13">
        <v>5.23</v>
      </c>
      <c r="G2793" s="13"/>
      <c r="H2793" s="13">
        <v>98.19</v>
      </c>
      <c r="I2793" s="13">
        <v>76.44</v>
      </c>
    </row>
    <row r="2794" spans="1:9" x14ac:dyDescent="0.25">
      <c r="A2794" s="10" t="s">
        <v>479</v>
      </c>
      <c r="B2794" s="15">
        <f t="shared" si="86"/>
        <v>2</v>
      </c>
      <c r="C2794" s="15">
        <f t="shared" si="87"/>
        <v>2020</v>
      </c>
      <c r="D2794" s="13">
        <v>47.8</v>
      </c>
      <c r="E2794" s="13">
        <v>17.16</v>
      </c>
      <c r="F2794" s="13">
        <v>10.62</v>
      </c>
      <c r="G2794" s="13"/>
      <c r="H2794" s="13">
        <v>97.35</v>
      </c>
      <c r="I2794" s="13">
        <v>78.349999999999994</v>
      </c>
    </row>
    <row r="2795" spans="1:9" x14ac:dyDescent="0.25">
      <c r="A2795" s="10">
        <v>43879</v>
      </c>
      <c r="B2795" s="15">
        <f t="shared" si="86"/>
        <v>2</v>
      </c>
      <c r="C2795" s="15">
        <f t="shared" si="87"/>
        <v>2020</v>
      </c>
      <c r="D2795" s="13">
        <v>47.8</v>
      </c>
      <c r="E2795" s="13">
        <v>14.08</v>
      </c>
      <c r="F2795" s="13">
        <v>10.62</v>
      </c>
      <c r="G2795" s="13"/>
      <c r="H2795" s="13">
        <v>97.35</v>
      </c>
      <c r="I2795" s="13">
        <v>78.349999999999994</v>
      </c>
    </row>
    <row r="2796" spans="1:9" x14ac:dyDescent="0.25">
      <c r="A2796" s="10">
        <v>43880</v>
      </c>
      <c r="B2796" s="15">
        <f t="shared" si="86"/>
        <v>2</v>
      </c>
      <c r="C2796" s="15">
        <f t="shared" si="87"/>
        <v>2020</v>
      </c>
      <c r="D2796" s="13">
        <v>47.8</v>
      </c>
      <c r="E2796" s="13">
        <v>15.53</v>
      </c>
      <c r="F2796" s="13">
        <v>10.62</v>
      </c>
      <c r="G2796" s="13"/>
      <c r="H2796" s="13">
        <v>97.35</v>
      </c>
      <c r="I2796" s="13">
        <v>78.349999999999994</v>
      </c>
    </row>
    <row r="2797" spans="1:9" x14ac:dyDescent="0.25">
      <c r="A2797" s="10">
        <v>43881</v>
      </c>
      <c r="B2797" s="15">
        <f t="shared" si="86"/>
        <v>2</v>
      </c>
      <c r="C2797" s="15">
        <f t="shared" si="87"/>
        <v>2020</v>
      </c>
      <c r="D2797" s="13">
        <v>47.8</v>
      </c>
      <c r="E2797" s="13">
        <v>21.4</v>
      </c>
      <c r="F2797" s="13">
        <v>10.62</v>
      </c>
      <c r="G2797" s="13"/>
      <c r="H2797" s="13">
        <v>97.35</v>
      </c>
      <c r="I2797" s="13">
        <v>78.349999999999994</v>
      </c>
    </row>
    <row r="2798" spans="1:9" x14ac:dyDescent="0.25">
      <c r="A2798" s="10">
        <v>43882</v>
      </c>
      <c r="B2798" s="15">
        <f t="shared" si="86"/>
        <v>2</v>
      </c>
      <c r="C2798" s="15">
        <f t="shared" si="87"/>
        <v>2020</v>
      </c>
      <c r="D2798" s="13">
        <v>47.8</v>
      </c>
      <c r="E2798" s="13">
        <v>24.38</v>
      </c>
      <c r="F2798" s="13">
        <v>10.62</v>
      </c>
      <c r="G2798" s="13"/>
      <c r="H2798" s="13">
        <v>97.35</v>
      </c>
      <c r="I2798" s="13">
        <v>78.349999999999994</v>
      </c>
    </row>
    <row r="2799" spans="1:9" x14ac:dyDescent="0.25">
      <c r="A2799" s="10">
        <v>43885</v>
      </c>
      <c r="B2799" s="15">
        <f t="shared" si="86"/>
        <v>2</v>
      </c>
      <c r="C2799" s="15">
        <f t="shared" si="87"/>
        <v>2020</v>
      </c>
      <c r="D2799" s="13">
        <v>44.4</v>
      </c>
      <c r="E2799" s="13">
        <v>27.62</v>
      </c>
      <c r="F2799" s="13">
        <v>7.07</v>
      </c>
      <c r="G2799" s="13"/>
      <c r="H2799" s="13">
        <v>96.26</v>
      </c>
      <c r="I2799" s="13">
        <v>90.69</v>
      </c>
    </row>
    <row r="2800" spans="1:9" x14ac:dyDescent="0.25">
      <c r="A2800" s="10">
        <v>43886</v>
      </c>
      <c r="B2800" s="15">
        <f t="shared" si="86"/>
        <v>2</v>
      </c>
      <c r="C2800" s="15">
        <f t="shared" si="87"/>
        <v>2020</v>
      </c>
      <c r="D2800" s="13">
        <v>44.4</v>
      </c>
      <c r="E2800" s="13">
        <v>28.27</v>
      </c>
      <c r="F2800" s="13">
        <v>7.07</v>
      </c>
      <c r="G2800" s="13"/>
      <c r="H2800" s="13">
        <v>96.26</v>
      </c>
      <c r="I2800" s="13">
        <v>90.69</v>
      </c>
    </row>
    <row r="2801" spans="1:9" x14ac:dyDescent="0.25">
      <c r="A2801" s="10">
        <v>43887</v>
      </c>
      <c r="B2801" s="15">
        <f t="shared" si="86"/>
        <v>2</v>
      </c>
      <c r="C2801" s="15">
        <f t="shared" si="87"/>
        <v>2020</v>
      </c>
      <c r="D2801" s="13">
        <v>44.4</v>
      </c>
      <c r="E2801" s="13">
        <v>31.89</v>
      </c>
      <c r="F2801" s="13">
        <v>7.07</v>
      </c>
      <c r="G2801" s="13"/>
      <c r="H2801" s="13">
        <v>96.26</v>
      </c>
      <c r="I2801" s="13">
        <v>90.69</v>
      </c>
    </row>
    <row r="2802" spans="1:9" x14ac:dyDescent="0.25">
      <c r="A2802" s="10">
        <v>43888</v>
      </c>
      <c r="B2802" s="15">
        <f t="shared" si="86"/>
        <v>2</v>
      </c>
      <c r="C2802" s="15">
        <f t="shared" si="87"/>
        <v>2020</v>
      </c>
      <c r="D2802" s="13">
        <v>44.4</v>
      </c>
      <c r="E2802" s="13">
        <v>45.32</v>
      </c>
      <c r="F2802" s="13">
        <v>7.07</v>
      </c>
      <c r="G2802" s="13"/>
      <c r="H2802" s="13">
        <v>96.26</v>
      </c>
      <c r="I2802" s="13">
        <v>90.69</v>
      </c>
    </row>
    <row r="2803" spans="1:9" x14ac:dyDescent="0.25">
      <c r="A2803" s="10">
        <v>43889</v>
      </c>
      <c r="B2803" s="15">
        <f t="shared" si="86"/>
        <v>2</v>
      </c>
      <c r="C2803" s="15">
        <f t="shared" si="87"/>
        <v>2020</v>
      </c>
      <c r="D2803" s="13">
        <v>44.4</v>
      </c>
      <c r="E2803" s="13">
        <v>42.24</v>
      </c>
      <c r="F2803" s="13">
        <v>7.07</v>
      </c>
      <c r="G2803" s="13"/>
      <c r="H2803" s="13">
        <v>96.26</v>
      </c>
      <c r="I2803" s="13">
        <v>90.69</v>
      </c>
    </row>
    <row r="2804" spans="1:9" x14ac:dyDescent="0.25">
      <c r="A2804" s="10">
        <v>43892</v>
      </c>
      <c r="B2804" s="15">
        <f t="shared" si="86"/>
        <v>3</v>
      </c>
      <c r="C2804" s="15">
        <f t="shared" si="87"/>
        <v>2020</v>
      </c>
      <c r="D2804" s="13">
        <v>42.25</v>
      </c>
      <c r="E2804" s="13">
        <v>42.94</v>
      </c>
      <c r="F2804" s="13">
        <v>-10.46</v>
      </c>
      <c r="G2804" s="13"/>
      <c r="H2804" s="13">
        <v>94.76</v>
      </c>
      <c r="I2804" s="13">
        <v>76.92</v>
      </c>
    </row>
    <row r="2805" spans="1:9" x14ac:dyDescent="0.25">
      <c r="A2805" s="10">
        <v>43893</v>
      </c>
      <c r="B2805" s="15">
        <f t="shared" si="86"/>
        <v>3</v>
      </c>
      <c r="C2805" s="15">
        <f t="shared" si="87"/>
        <v>2020</v>
      </c>
      <c r="D2805" s="13">
        <v>42.25</v>
      </c>
      <c r="E2805" s="13">
        <v>54.7</v>
      </c>
      <c r="F2805" s="13">
        <v>-10.46</v>
      </c>
      <c r="G2805" s="13"/>
      <c r="H2805" s="13">
        <v>94.76</v>
      </c>
      <c r="I2805" s="13">
        <v>76.92</v>
      </c>
    </row>
    <row r="2806" spans="1:9" x14ac:dyDescent="0.25">
      <c r="A2806" s="10">
        <v>43894</v>
      </c>
      <c r="B2806" s="15">
        <f t="shared" si="86"/>
        <v>3</v>
      </c>
      <c r="C2806" s="15">
        <f t="shared" si="87"/>
        <v>2020</v>
      </c>
      <c r="D2806" s="13">
        <v>42.25</v>
      </c>
      <c r="E2806" s="13">
        <v>59.53</v>
      </c>
      <c r="F2806" s="13">
        <v>-10.46</v>
      </c>
      <c r="G2806" s="13"/>
      <c r="H2806" s="13">
        <v>94.76</v>
      </c>
      <c r="I2806" s="13">
        <v>76.92</v>
      </c>
    </row>
    <row r="2807" spans="1:9" x14ac:dyDescent="0.25">
      <c r="A2807" s="10">
        <v>43895</v>
      </c>
      <c r="B2807" s="15">
        <f t="shared" si="86"/>
        <v>3</v>
      </c>
      <c r="C2807" s="15">
        <f t="shared" si="87"/>
        <v>2020</v>
      </c>
      <c r="D2807" s="13">
        <v>42.25</v>
      </c>
      <c r="E2807" s="13">
        <v>56.69</v>
      </c>
      <c r="F2807" s="13">
        <v>-10.46</v>
      </c>
      <c r="G2807" s="13"/>
      <c r="H2807" s="13">
        <v>94.76</v>
      </c>
      <c r="I2807" s="13">
        <v>76.92</v>
      </c>
    </row>
    <row r="2808" spans="1:9" x14ac:dyDescent="0.25">
      <c r="A2808" s="10">
        <v>43896</v>
      </c>
      <c r="B2808" s="15">
        <f t="shared" si="86"/>
        <v>3</v>
      </c>
      <c r="C2808" s="15">
        <f t="shared" si="87"/>
        <v>2020</v>
      </c>
      <c r="D2808" s="13">
        <v>42.25</v>
      </c>
      <c r="E2808" s="13">
        <v>45.96</v>
      </c>
      <c r="F2808" s="13">
        <v>-10.46</v>
      </c>
      <c r="G2808" s="13"/>
      <c r="H2808" s="13">
        <v>94.76</v>
      </c>
      <c r="I2808" s="13">
        <v>76.92</v>
      </c>
    </row>
    <row r="2809" spans="1:9" x14ac:dyDescent="0.25">
      <c r="A2809" s="10">
        <v>43899</v>
      </c>
      <c r="B2809" s="15">
        <f t="shared" si="86"/>
        <v>3</v>
      </c>
      <c r="C2809" s="15">
        <f t="shared" si="87"/>
        <v>2020</v>
      </c>
      <c r="D2809" s="13">
        <v>43.42</v>
      </c>
      <c r="E2809" s="13">
        <v>43.95</v>
      </c>
      <c r="F2809" s="13">
        <v>-2.15</v>
      </c>
      <c r="G2809" s="13"/>
      <c r="H2809" s="13">
        <v>87.93</v>
      </c>
      <c r="I2809" s="13">
        <v>77.55</v>
      </c>
    </row>
    <row r="2810" spans="1:9" x14ac:dyDescent="0.25">
      <c r="A2810" s="10">
        <v>43900</v>
      </c>
      <c r="B2810" s="15">
        <f t="shared" si="86"/>
        <v>3</v>
      </c>
      <c r="C2810" s="15">
        <f t="shared" si="87"/>
        <v>2020</v>
      </c>
      <c r="D2810" s="13">
        <v>43.42</v>
      </c>
      <c r="E2810" s="13">
        <v>78.849999999999994</v>
      </c>
      <c r="F2810" s="13">
        <v>-2.15</v>
      </c>
      <c r="G2810" s="13"/>
      <c r="H2810" s="13">
        <v>87.93</v>
      </c>
      <c r="I2810" s="13">
        <v>77.55</v>
      </c>
    </row>
    <row r="2811" spans="1:9" x14ac:dyDescent="0.25">
      <c r="A2811" s="10">
        <v>43901</v>
      </c>
      <c r="B2811" s="15">
        <f t="shared" si="86"/>
        <v>3</v>
      </c>
      <c r="C2811" s="15">
        <f t="shared" si="87"/>
        <v>2020</v>
      </c>
      <c r="D2811" s="13">
        <v>43.42</v>
      </c>
      <c r="E2811" s="13">
        <v>74.790000000000006</v>
      </c>
      <c r="F2811" s="13">
        <v>-2.15</v>
      </c>
      <c r="G2811" s="13"/>
      <c r="H2811" s="13">
        <v>87.93</v>
      </c>
      <c r="I2811" s="13">
        <v>77.55</v>
      </c>
    </row>
    <row r="2812" spans="1:9" x14ac:dyDescent="0.25">
      <c r="A2812" s="10">
        <v>43902</v>
      </c>
      <c r="B2812" s="15">
        <f t="shared" si="86"/>
        <v>3</v>
      </c>
      <c r="C2812" s="15">
        <f t="shared" si="87"/>
        <v>2020</v>
      </c>
      <c r="D2812" s="13">
        <v>43.42</v>
      </c>
      <c r="E2812" s="13">
        <v>36.1</v>
      </c>
      <c r="F2812" s="13">
        <v>-2.15</v>
      </c>
      <c r="G2812" s="13"/>
      <c r="H2812" s="13">
        <v>87.93</v>
      </c>
      <c r="I2812" s="13">
        <v>77.55</v>
      </c>
    </row>
    <row r="2813" spans="1:9" x14ac:dyDescent="0.25">
      <c r="A2813" s="10">
        <v>43903</v>
      </c>
      <c r="B2813" s="15">
        <f t="shared" si="86"/>
        <v>3</v>
      </c>
      <c r="C2813" s="15">
        <f t="shared" si="87"/>
        <v>2020</v>
      </c>
      <c r="D2813" s="13">
        <v>43.42</v>
      </c>
      <c r="E2813" s="13">
        <v>43.39</v>
      </c>
      <c r="F2813" s="13">
        <v>-2.15</v>
      </c>
      <c r="G2813" s="13"/>
      <c r="H2813" s="13">
        <v>87.93</v>
      </c>
      <c r="I2813" s="13">
        <v>77.55</v>
      </c>
    </row>
    <row r="2814" spans="1:9" x14ac:dyDescent="0.25">
      <c r="A2814" s="10">
        <v>43906</v>
      </c>
      <c r="B2814" s="15">
        <f t="shared" si="86"/>
        <v>3</v>
      </c>
      <c r="C2814" s="15">
        <f t="shared" si="87"/>
        <v>2020</v>
      </c>
      <c r="D2814" s="13">
        <v>63.84</v>
      </c>
      <c r="E2814" s="13">
        <v>34.75</v>
      </c>
      <c r="F2814" s="13">
        <v>14.98</v>
      </c>
      <c r="G2814" s="13"/>
      <c r="H2814" s="13">
        <v>99.94</v>
      </c>
      <c r="I2814" s="13">
        <v>139.76</v>
      </c>
    </row>
    <row r="2815" spans="1:9" x14ac:dyDescent="0.25">
      <c r="A2815" s="10">
        <v>43907</v>
      </c>
      <c r="B2815" s="15">
        <f t="shared" si="86"/>
        <v>3</v>
      </c>
      <c r="C2815" s="15">
        <f t="shared" si="87"/>
        <v>2020</v>
      </c>
      <c r="D2815" s="13">
        <v>63.84</v>
      </c>
      <c r="E2815" s="13">
        <v>36.299999999999997</v>
      </c>
      <c r="F2815" s="13">
        <v>14.98</v>
      </c>
      <c r="G2815" s="13"/>
      <c r="H2815" s="13">
        <v>99.94</v>
      </c>
      <c r="I2815" s="13">
        <v>139.76</v>
      </c>
    </row>
    <row r="2816" spans="1:9" x14ac:dyDescent="0.25">
      <c r="A2816" s="10">
        <v>43908</v>
      </c>
      <c r="B2816" s="15">
        <f t="shared" si="86"/>
        <v>3</v>
      </c>
      <c r="C2816" s="15">
        <f t="shared" si="87"/>
        <v>2020</v>
      </c>
      <c r="D2816" s="13">
        <v>63.84</v>
      </c>
      <c r="E2816" s="13">
        <v>38.729999999999997</v>
      </c>
      <c r="F2816" s="13">
        <v>14.98</v>
      </c>
      <c r="G2816" s="13"/>
      <c r="H2816" s="13">
        <v>99.94</v>
      </c>
      <c r="I2816" s="13">
        <v>139.76</v>
      </c>
    </row>
    <row r="2817" spans="1:9" x14ac:dyDescent="0.25">
      <c r="A2817" s="10">
        <v>43909</v>
      </c>
      <c r="B2817" s="15">
        <f t="shared" si="86"/>
        <v>3</v>
      </c>
      <c r="C2817" s="15">
        <f t="shared" si="87"/>
        <v>2020</v>
      </c>
      <c r="D2817" s="13">
        <v>63.84</v>
      </c>
      <c r="E2817" s="13">
        <v>42.75</v>
      </c>
      <c r="F2817" s="13">
        <v>14.98</v>
      </c>
      <c r="G2817" s="13"/>
      <c r="H2817" s="13">
        <v>99.94</v>
      </c>
      <c r="I2817" s="13">
        <v>139.76</v>
      </c>
    </row>
    <row r="2818" spans="1:9" x14ac:dyDescent="0.25">
      <c r="A2818" s="10">
        <v>43910</v>
      </c>
      <c r="B2818" s="15">
        <f t="shared" si="86"/>
        <v>3</v>
      </c>
      <c r="C2818" s="15">
        <f t="shared" si="87"/>
        <v>2020</v>
      </c>
      <c r="D2818" s="13">
        <v>63.84</v>
      </c>
      <c r="E2818" s="13">
        <v>44.76</v>
      </c>
      <c r="F2818" s="13">
        <v>14.98</v>
      </c>
      <c r="G2818" s="13"/>
      <c r="H2818" s="13">
        <v>99.94</v>
      </c>
      <c r="I2818" s="13">
        <v>139.76</v>
      </c>
    </row>
    <row r="2819" spans="1:9" x14ac:dyDescent="0.25">
      <c r="A2819" s="10">
        <v>43913</v>
      </c>
      <c r="B2819" s="15">
        <f t="shared" ref="B2819:B2882" si="88">MONTH(A2819)</f>
        <v>3</v>
      </c>
      <c r="C2819" s="15">
        <f t="shared" ref="C2819:C2882" si="89">YEAR(A2819)</f>
        <v>2020</v>
      </c>
      <c r="D2819" s="13">
        <v>56.6</v>
      </c>
      <c r="E2819" s="13">
        <v>41.71</v>
      </c>
      <c r="F2819" s="13">
        <v>-6.49</v>
      </c>
      <c r="G2819" s="13"/>
      <c r="H2819" s="13">
        <v>106.19</v>
      </c>
      <c r="I2819" s="13">
        <v>124.21</v>
      </c>
    </row>
    <row r="2820" spans="1:9" x14ac:dyDescent="0.25">
      <c r="A2820" s="10">
        <v>43914</v>
      </c>
      <c r="B2820" s="15">
        <f t="shared" si="88"/>
        <v>3</v>
      </c>
      <c r="C2820" s="15">
        <f t="shared" si="89"/>
        <v>2020</v>
      </c>
      <c r="D2820" s="13">
        <v>56.6</v>
      </c>
      <c r="E2820" s="13">
        <v>45.08</v>
      </c>
      <c r="F2820" s="13">
        <v>-6.49</v>
      </c>
      <c r="G2820" s="13"/>
      <c r="H2820" s="13">
        <v>106.19</v>
      </c>
      <c r="I2820" s="13">
        <v>124.21</v>
      </c>
    </row>
    <row r="2821" spans="1:9" x14ac:dyDescent="0.25">
      <c r="A2821" s="10">
        <v>43915</v>
      </c>
      <c r="B2821" s="15">
        <f t="shared" si="88"/>
        <v>3</v>
      </c>
      <c r="C2821" s="15">
        <f t="shared" si="89"/>
        <v>2020</v>
      </c>
      <c r="D2821" s="13">
        <v>56.6</v>
      </c>
      <c r="E2821" s="13">
        <v>37.520000000000003</v>
      </c>
      <c r="F2821" s="13">
        <v>-6.49</v>
      </c>
      <c r="G2821" s="13"/>
      <c r="H2821" s="13">
        <v>106.19</v>
      </c>
      <c r="I2821" s="13">
        <v>124.21</v>
      </c>
    </row>
    <row r="2822" spans="1:9" x14ac:dyDescent="0.25">
      <c r="A2822" s="10">
        <v>43916</v>
      </c>
      <c r="B2822" s="15">
        <f t="shared" si="88"/>
        <v>3</v>
      </c>
      <c r="C2822" s="15">
        <f t="shared" si="89"/>
        <v>2020</v>
      </c>
      <c r="D2822" s="13">
        <v>56.6</v>
      </c>
      <c r="E2822" s="13">
        <v>38.18</v>
      </c>
      <c r="F2822" s="13">
        <v>-6.49</v>
      </c>
      <c r="G2822" s="13"/>
      <c r="H2822" s="13">
        <v>106.19</v>
      </c>
      <c r="I2822" s="13">
        <v>124.21</v>
      </c>
    </row>
    <row r="2823" spans="1:9" x14ac:dyDescent="0.25">
      <c r="A2823" s="10">
        <v>43917</v>
      </c>
      <c r="B2823" s="15">
        <f t="shared" si="88"/>
        <v>3</v>
      </c>
      <c r="C2823" s="15">
        <f t="shared" si="89"/>
        <v>2020</v>
      </c>
      <c r="D2823" s="13">
        <v>56.6</v>
      </c>
      <c r="E2823" s="13">
        <v>34.450000000000003</v>
      </c>
      <c r="F2823" s="13">
        <v>-6.49</v>
      </c>
      <c r="G2823" s="13"/>
      <c r="H2823" s="13">
        <v>106.19</v>
      </c>
      <c r="I2823" s="13">
        <v>124.21</v>
      </c>
    </row>
    <row r="2824" spans="1:9" x14ac:dyDescent="0.25">
      <c r="A2824" s="10">
        <v>43920</v>
      </c>
      <c r="B2824" s="15">
        <f t="shared" si="88"/>
        <v>3</v>
      </c>
      <c r="C2824" s="15">
        <f t="shared" si="89"/>
        <v>2020</v>
      </c>
      <c r="D2824" s="13">
        <v>68.67</v>
      </c>
      <c r="E2824" s="13">
        <v>35.33</v>
      </c>
      <c r="F2824" s="13">
        <v>17.39</v>
      </c>
      <c r="G2824" s="13"/>
      <c r="H2824" s="13">
        <v>99.27</v>
      </c>
      <c r="I2824" s="13">
        <v>137.84</v>
      </c>
    </row>
    <row r="2825" spans="1:9" x14ac:dyDescent="0.25">
      <c r="A2825" s="10">
        <v>43921</v>
      </c>
      <c r="B2825" s="15">
        <f t="shared" si="88"/>
        <v>3</v>
      </c>
      <c r="C2825" s="15">
        <f t="shared" si="89"/>
        <v>2020</v>
      </c>
      <c r="D2825" s="13">
        <v>68.67</v>
      </c>
      <c r="E2825" s="13">
        <v>31.86</v>
      </c>
      <c r="F2825" s="13">
        <v>17.39</v>
      </c>
      <c r="G2825" s="13"/>
      <c r="H2825" s="13">
        <v>99.27</v>
      </c>
      <c r="I2825" s="13">
        <v>137.84</v>
      </c>
    </row>
    <row r="2826" spans="1:9" x14ac:dyDescent="0.25">
      <c r="A2826" s="10">
        <v>43922</v>
      </c>
      <c r="B2826" s="15">
        <f t="shared" si="88"/>
        <v>4</v>
      </c>
      <c r="C2826" s="15">
        <f t="shared" si="89"/>
        <v>2020</v>
      </c>
      <c r="D2826" s="13">
        <v>68.67</v>
      </c>
      <c r="E2826" s="13">
        <v>27.17</v>
      </c>
      <c r="F2826" s="13">
        <v>17.39</v>
      </c>
      <c r="G2826" s="13"/>
      <c r="H2826" s="13">
        <v>99.27</v>
      </c>
      <c r="I2826" s="13">
        <v>137.84</v>
      </c>
    </row>
    <row r="2827" spans="1:9" x14ac:dyDescent="0.25">
      <c r="A2827" s="10">
        <v>43923</v>
      </c>
      <c r="B2827" s="15">
        <f t="shared" si="88"/>
        <v>4</v>
      </c>
      <c r="C2827" s="15">
        <f t="shared" si="89"/>
        <v>2020</v>
      </c>
      <c r="D2827" s="13">
        <v>68.67</v>
      </c>
      <c r="E2827" s="13">
        <v>30.82</v>
      </c>
      <c r="F2827" s="13">
        <v>17.39</v>
      </c>
      <c r="G2827" s="13"/>
      <c r="H2827" s="13">
        <v>99.27</v>
      </c>
      <c r="I2827" s="13">
        <v>137.84</v>
      </c>
    </row>
    <row r="2828" spans="1:9" x14ac:dyDescent="0.25">
      <c r="A2828" s="10">
        <v>43924</v>
      </c>
      <c r="B2828" s="15">
        <f t="shared" si="88"/>
        <v>4</v>
      </c>
      <c r="C2828" s="15">
        <f t="shared" si="89"/>
        <v>2020</v>
      </c>
      <c r="D2828" s="13">
        <v>68.67</v>
      </c>
      <c r="E2828" s="13">
        <v>26</v>
      </c>
      <c r="F2828" s="13">
        <v>17.39</v>
      </c>
      <c r="G2828" s="13"/>
      <c r="H2828" s="13">
        <v>99.27</v>
      </c>
      <c r="I2828" s="13">
        <v>137.84</v>
      </c>
    </row>
    <row r="2829" spans="1:9" x14ac:dyDescent="0.25">
      <c r="A2829" s="10">
        <v>43927</v>
      </c>
      <c r="B2829" s="15">
        <f t="shared" si="88"/>
        <v>4</v>
      </c>
      <c r="C2829" s="15">
        <f t="shared" si="89"/>
        <v>2020</v>
      </c>
      <c r="D2829" s="13">
        <v>78.239999999999995</v>
      </c>
      <c r="E2829" s="13">
        <v>30.93</v>
      </c>
      <c r="F2829" s="13">
        <v>23.62</v>
      </c>
      <c r="G2829" s="13"/>
      <c r="H2829" s="13">
        <v>110.64</v>
      </c>
      <c r="I2829" s="13">
        <v>132.07</v>
      </c>
    </row>
    <row r="2830" spans="1:9" x14ac:dyDescent="0.25">
      <c r="A2830" s="10">
        <v>43928</v>
      </c>
      <c r="B2830" s="15">
        <f t="shared" si="88"/>
        <v>4</v>
      </c>
      <c r="C2830" s="15">
        <f t="shared" si="89"/>
        <v>2020</v>
      </c>
      <c r="D2830" s="13">
        <v>78.239999999999995</v>
      </c>
      <c r="E2830" s="13">
        <v>29.3</v>
      </c>
      <c r="F2830" s="13">
        <v>23.62</v>
      </c>
      <c r="G2830" s="13"/>
      <c r="H2830" s="13">
        <v>110.64</v>
      </c>
      <c r="I2830" s="13">
        <v>132.07</v>
      </c>
    </row>
    <row r="2831" spans="1:9" x14ac:dyDescent="0.25">
      <c r="A2831" s="10">
        <v>43929</v>
      </c>
      <c r="B2831" s="15">
        <f t="shared" si="88"/>
        <v>4</v>
      </c>
      <c r="C2831" s="15">
        <f t="shared" si="89"/>
        <v>2020</v>
      </c>
      <c r="D2831" s="13">
        <v>78.239999999999995</v>
      </c>
      <c r="E2831" s="13">
        <v>43.3</v>
      </c>
      <c r="F2831" s="13">
        <v>23.62</v>
      </c>
      <c r="G2831" s="13"/>
      <c r="H2831" s="13">
        <v>110.64</v>
      </c>
      <c r="I2831" s="13">
        <v>132.07</v>
      </c>
    </row>
    <row r="2832" spans="1:9" x14ac:dyDescent="0.25">
      <c r="A2832" s="10">
        <v>43930</v>
      </c>
      <c r="B2832" s="15">
        <f t="shared" si="88"/>
        <v>4</v>
      </c>
      <c r="C2832" s="15">
        <f t="shared" si="89"/>
        <v>2020</v>
      </c>
      <c r="D2832" s="13">
        <v>78.239999999999995</v>
      </c>
      <c r="E2832" s="13">
        <v>39.65</v>
      </c>
      <c r="F2832" s="13">
        <v>23.62</v>
      </c>
      <c r="G2832" s="13"/>
      <c r="H2832" s="13">
        <v>110.64</v>
      </c>
      <c r="I2832" s="13">
        <v>132.07</v>
      </c>
    </row>
    <row r="2833" spans="1:9" x14ac:dyDescent="0.25">
      <c r="A2833" s="10">
        <v>43934</v>
      </c>
      <c r="B2833" s="15">
        <f t="shared" si="88"/>
        <v>4</v>
      </c>
      <c r="C2833" s="15">
        <f t="shared" si="89"/>
        <v>2020</v>
      </c>
      <c r="D2833" s="13">
        <v>86.91</v>
      </c>
      <c r="E2833" s="13"/>
      <c r="F2833" s="13">
        <v>33.520000000000003</v>
      </c>
      <c r="G2833" s="13"/>
      <c r="H2833" s="13">
        <v>106.64</v>
      </c>
      <c r="I2833" s="13">
        <v>135.6</v>
      </c>
    </row>
    <row r="2834" spans="1:9" x14ac:dyDescent="0.25">
      <c r="A2834" s="10">
        <v>43935</v>
      </c>
      <c r="B2834" s="15">
        <f t="shared" si="88"/>
        <v>4</v>
      </c>
      <c r="C2834" s="15">
        <f t="shared" si="89"/>
        <v>2020</v>
      </c>
      <c r="D2834" s="13">
        <v>86.91</v>
      </c>
      <c r="E2834" s="13">
        <v>32.340000000000003</v>
      </c>
      <c r="F2834" s="13">
        <v>33.520000000000003</v>
      </c>
      <c r="G2834" s="13"/>
      <c r="H2834" s="13">
        <v>106.64</v>
      </c>
      <c r="I2834" s="13">
        <v>135.6</v>
      </c>
    </row>
    <row r="2835" spans="1:9" x14ac:dyDescent="0.25">
      <c r="A2835" s="10">
        <v>43936</v>
      </c>
      <c r="B2835" s="15">
        <f t="shared" si="88"/>
        <v>4</v>
      </c>
      <c r="C2835" s="15">
        <f t="shared" si="89"/>
        <v>2020</v>
      </c>
      <c r="D2835" s="13">
        <v>86.91</v>
      </c>
      <c r="E2835" s="13">
        <v>29.5</v>
      </c>
      <c r="F2835" s="13">
        <v>33.520000000000003</v>
      </c>
      <c r="G2835" s="13"/>
      <c r="H2835" s="13">
        <v>106.64</v>
      </c>
      <c r="I2835" s="13">
        <v>135.6</v>
      </c>
    </row>
    <row r="2836" spans="1:9" x14ac:dyDescent="0.25">
      <c r="A2836" s="10">
        <v>43937</v>
      </c>
      <c r="B2836" s="15">
        <f t="shared" si="88"/>
        <v>4</v>
      </c>
      <c r="C2836" s="15">
        <f t="shared" si="89"/>
        <v>2020</v>
      </c>
      <c r="D2836" s="13">
        <v>86.91</v>
      </c>
      <c r="E2836" s="13">
        <v>29.51</v>
      </c>
      <c r="F2836" s="13">
        <v>33.520000000000003</v>
      </c>
      <c r="G2836" s="13"/>
      <c r="H2836" s="13">
        <v>106.64</v>
      </c>
      <c r="I2836" s="13">
        <v>135.6</v>
      </c>
    </row>
    <row r="2837" spans="1:9" x14ac:dyDescent="0.25">
      <c r="A2837" s="10">
        <v>43938</v>
      </c>
      <c r="B2837" s="15">
        <f t="shared" si="88"/>
        <v>4</v>
      </c>
      <c r="C2837" s="15">
        <f t="shared" si="89"/>
        <v>2020</v>
      </c>
      <c r="D2837" s="13">
        <v>86.91</v>
      </c>
      <c r="E2837" s="13">
        <v>27.48</v>
      </c>
      <c r="F2837" s="13">
        <v>33.520000000000003</v>
      </c>
      <c r="G2837" s="13"/>
      <c r="H2837" s="13">
        <v>106.64</v>
      </c>
      <c r="I2837" s="13">
        <v>135.6</v>
      </c>
    </row>
    <row r="2838" spans="1:9" x14ac:dyDescent="0.25">
      <c r="A2838" s="10">
        <v>43941</v>
      </c>
      <c r="B2838" s="15">
        <f t="shared" si="88"/>
        <v>4</v>
      </c>
      <c r="C2838" s="15">
        <f t="shared" si="89"/>
        <v>2020</v>
      </c>
      <c r="D2838" s="13">
        <v>75.790000000000006</v>
      </c>
      <c r="E2838" s="13">
        <v>27.65</v>
      </c>
      <c r="F2838" s="13">
        <v>23.72</v>
      </c>
      <c r="G2838" s="13"/>
      <c r="H2838" s="13">
        <v>92.13</v>
      </c>
      <c r="I2838" s="13">
        <v>126.7</v>
      </c>
    </row>
    <row r="2839" spans="1:9" x14ac:dyDescent="0.25">
      <c r="A2839" s="10">
        <v>43942</v>
      </c>
      <c r="B2839" s="15">
        <f t="shared" si="88"/>
        <v>4</v>
      </c>
      <c r="C2839" s="15">
        <f t="shared" si="89"/>
        <v>2020</v>
      </c>
      <c r="D2839" s="13">
        <v>75.790000000000006</v>
      </c>
      <c r="E2839" s="13">
        <v>21.88</v>
      </c>
      <c r="F2839" s="13">
        <v>23.72</v>
      </c>
      <c r="G2839" s="13"/>
      <c r="H2839" s="13">
        <v>92.13</v>
      </c>
      <c r="I2839" s="13">
        <v>126.7</v>
      </c>
    </row>
    <row r="2840" spans="1:9" x14ac:dyDescent="0.25">
      <c r="A2840" s="10">
        <v>43943</v>
      </c>
      <c r="B2840" s="15">
        <f t="shared" si="88"/>
        <v>4</v>
      </c>
      <c r="C2840" s="15">
        <f t="shared" si="89"/>
        <v>2020</v>
      </c>
      <c r="D2840" s="13">
        <v>75.790000000000006</v>
      </c>
      <c r="E2840" s="13">
        <v>31.99</v>
      </c>
      <c r="F2840" s="13">
        <v>23.72</v>
      </c>
      <c r="G2840" s="13"/>
      <c r="H2840" s="13">
        <v>92.13</v>
      </c>
      <c r="I2840" s="13">
        <v>126.7</v>
      </c>
    </row>
    <row r="2841" spans="1:9" x14ac:dyDescent="0.25">
      <c r="A2841" s="10">
        <v>43944</v>
      </c>
      <c r="B2841" s="15">
        <f t="shared" si="88"/>
        <v>4</v>
      </c>
      <c r="C2841" s="15">
        <f t="shared" si="89"/>
        <v>2020</v>
      </c>
      <c r="D2841" s="13">
        <v>75.790000000000006</v>
      </c>
      <c r="E2841" s="13">
        <v>27.57</v>
      </c>
      <c r="F2841" s="13">
        <v>23.72</v>
      </c>
      <c r="G2841" s="13"/>
      <c r="H2841" s="13">
        <v>92.13</v>
      </c>
      <c r="I2841" s="13">
        <v>126.7</v>
      </c>
    </row>
    <row r="2842" spans="1:9" x14ac:dyDescent="0.25">
      <c r="A2842" s="10">
        <v>43945</v>
      </c>
      <c r="B2842" s="15">
        <f t="shared" si="88"/>
        <v>4</v>
      </c>
      <c r="C2842" s="15">
        <f t="shared" si="89"/>
        <v>2020</v>
      </c>
      <c r="D2842" s="13">
        <v>75.790000000000006</v>
      </c>
      <c r="E2842" s="13">
        <v>25.76</v>
      </c>
      <c r="F2842" s="13">
        <v>23.72</v>
      </c>
      <c r="G2842" s="13"/>
      <c r="H2842" s="13">
        <v>92.13</v>
      </c>
      <c r="I2842" s="13">
        <v>126.7</v>
      </c>
    </row>
    <row r="2843" spans="1:9" x14ac:dyDescent="0.25">
      <c r="A2843" s="10">
        <v>43948</v>
      </c>
      <c r="B2843" s="15">
        <f t="shared" si="88"/>
        <v>4</v>
      </c>
      <c r="C2843" s="15">
        <f t="shared" si="89"/>
        <v>2020</v>
      </c>
      <c r="D2843" s="13">
        <v>73.680000000000007</v>
      </c>
      <c r="E2843" s="13">
        <v>24.21</v>
      </c>
      <c r="F2843" s="13">
        <v>29.13</v>
      </c>
      <c r="G2843" s="13"/>
      <c r="H2843" s="13">
        <v>105.85</v>
      </c>
      <c r="I2843" s="13">
        <v>145.77000000000001</v>
      </c>
    </row>
    <row r="2844" spans="1:9" x14ac:dyDescent="0.25">
      <c r="A2844" s="10">
        <v>43949</v>
      </c>
      <c r="B2844" s="15">
        <f t="shared" si="88"/>
        <v>4</v>
      </c>
      <c r="C2844" s="15">
        <f t="shared" si="89"/>
        <v>2020</v>
      </c>
      <c r="D2844" s="13">
        <v>73.680000000000007</v>
      </c>
      <c r="E2844" s="13">
        <v>24.21</v>
      </c>
      <c r="F2844" s="13">
        <v>29.13</v>
      </c>
      <c r="G2844" s="13"/>
      <c r="H2844" s="13">
        <v>105.85</v>
      </c>
      <c r="I2844" s="13">
        <v>145.77000000000001</v>
      </c>
    </row>
    <row r="2845" spans="1:9" x14ac:dyDescent="0.25">
      <c r="A2845" s="10">
        <v>43950</v>
      </c>
      <c r="B2845" s="15">
        <f t="shared" si="88"/>
        <v>4</v>
      </c>
      <c r="C2845" s="15">
        <f t="shared" si="89"/>
        <v>2020</v>
      </c>
      <c r="D2845" s="13">
        <v>73.680000000000007</v>
      </c>
      <c r="E2845" s="13">
        <v>30.38</v>
      </c>
      <c r="F2845" s="13">
        <v>29.13</v>
      </c>
      <c r="G2845" s="13"/>
      <c r="H2845" s="13">
        <v>105.85</v>
      </c>
      <c r="I2845" s="13">
        <v>145.77000000000001</v>
      </c>
    </row>
    <row r="2846" spans="1:9" x14ac:dyDescent="0.25">
      <c r="A2846" s="10">
        <v>43951</v>
      </c>
      <c r="B2846" s="15">
        <f t="shared" si="88"/>
        <v>4</v>
      </c>
      <c r="C2846" s="15">
        <f t="shared" si="89"/>
        <v>2020</v>
      </c>
      <c r="D2846" s="13">
        <v>73.680000000000007</v>
      </c>
      <c r="E2846" s="13">
        <v>29.65</v>
      </c>
      <c r="F2846" s="13">
        <v>29.13</v>
      </c>
      <c r="G2846" s="13"/>
      <c r="H2846" s="13">
        <v>105.85</v>
      </c>
      <c r="I2846" s="13">
        <v>145.77000000000001</v>
      </c>
    </row>
    <row r="2847" spans="1:9" x14ac:dyDescent="0.25">
      <c r="A2847" s="10">
        <v>43952</v>
      </c>
      <c r="B2847" s="15">
        <f t="shared" si="88"/>
        <v>5</v>
      </c>
      <c r="C2847" s="15">
        <f t="shared" si="89"/>
        <v>2020</v>
      </c>
      <c r="D2847" s="13">
        <v>73.680000000000007</v>
      </c>
      <c r="E2847" s="13"/>
      <c r="F2847" s="13">
        <v>29.13</v>
      </c>
      <c r="G2847" s="13"/>
      <c r="H2847" s="13">
        <v>105.85</v>
      </c>
      <c r="I2847" s="13">
        <v>145.77000000000001</v>
      </c>
    </row>
    <row r="2848" spans="1:9" x14ac:dyDescent="0.25">
      <c r="A2848" s="10">
        <v>43955</v>
      </c>
      <c r="B2848" s="15">
        <f t="shared" si="88"/>
        <v>5</v>
      </c>
      <c r="C2848" s="15">
        <f t="shared" si="89"/>
        <v>2020</v>
      </c>
      <c r="D2848" s="13">
        <v>78.040000000000006</v>
      </c>
      <c r="E2848" s="13">
        <v>25.02</v>
      </c>
      <c r="F2848" s="13">
        <v>35.590000000000003</v>
      </c>
      <c r="G2848" s="13"/>
      <c r="H2848" s="13">
        <v>103.04</v>
      </c>
      <c r="I2848" s="13">
        <v>131.88</v>
      </c>
    </row>
    <row r="2849" spans="1:9" x14ac:dyDescent="0.25">
      <c r="A2849" s="10">
        <v>43956</v>
      </c>
      <c r="B2849" s="15">
        <f t="shared" si="88"/>
        <v>5</v>
      </c>
      <c r="C2849" s="15">
        <f t="shared" si="89"/>
        <v>2020</v>
      </c>
      <c r="D2849" s="13">
        <v>78.040000000000006</v>
      </c>
      <c r="E2849" s="13">
        <v>23.67</v>
      </c>
      <c r="F2849" s="13">
        <v>35.590000000000003</v>
      </c>
      <c r="G2849" s="13"/>
      <c r="H2849" s="13">
        <v>103.04</v>
      </c>
      <c r="I2849" s="13">
        <v>131.88</v>
      </c>
    </row>
    <row r="2850" spans="1:9" x14ac:dyDescent="0.25">
      <c r="A2850" s="10">
        <v>43957</v>
      </c>
      <c r="B2850" s="15">
        <f t="shared" si="88"/>
        <v>5</v>
      </c>
      <c r="C2850" s="15">
        <f t="shared" si="89"/>
        <v>2020</v>
      </c>
      <c r="D2850" s="13">
        <v>78.040000000000006</v>
      </c>
      <c r="E2850" s="13">
        <v>26.74</v>
      </c>
      <c r="F2850" s="13">
        <v>35.590000000000003</v>
      </c>
      <c r="G2850" s="13"/>
      <c r="H2850" s="13">
        <v>103.04</v>
      </c>
      <c r="I2850" s="13">
        <v>131.88</v>
      </c>
    </row>
    <row r="2851" spans="1:9" x14ac:dyDescent="0.25">
      <c r="A2851" s="10">
        <v>43958</v>
      </c>
      <c r="B2851" s="15">
        <f t="shared" si="88"/>
        <v>5</v>
      </c>
      <c r="C2851" s="15">
        <f t="shared" si="89"/>
        <v>2020</v>
      </c>
      <c r="D2851" s="13">
        <v>78.040000000000006</v>
      </c>
      <c r="E2851" s="13">
        <v>22.09</v>
      </c>
      <c r="F2851" s="13">
        <v>35.590000000000003</v>
      </c>
      <c r="G2851" s="13"/>
      <c r="H2851" s="13">
        <v>103.04</v>
      </c>
      <c r="I2851" s="13">
        <v>131.88</v>
      </c>
    </row>
    <row r="2852" spans="1:9" x14ac:dyDescent="0.25">
      <c r="A2852" s="10">
        <v>43959</v>
      </c>
      <c r="B2852" s="15">
        <f t="shared" si="88"/>
        <v>5</v>
      </c>
      <c r="C2852" s="15">
        <f t="shared" si="89"/>
        <v>2020</v>
      </c>
      <c r="D2852" s="13">
        <v>78.040000000000006</v>
      </c>
      <c r="E2852" s="13"/>
      <c r="F2852" s="13">
        <v>35.590000000000003</v>
      </c>
      <c r="G2852" s="13"/>
      <c r="H2852" s="13">
        <v>103.04</v>
      </c>
      <c r="I2852" s="13">
        <v>131.88</v>
      </c>
    </row>
    <row r="2853" spans="1:9" x14ac:dyDescent="0.25">
      <c r="A2853" s="10">
        <v>43962</v>
      </c>
      <c r="B2853" s="15">
        <f t="shared" si="88"/>
        <v>5</v>
      </c>
      <c r="C2853" s="15">
        <f t="shared" si="89"/>
        <v>2020</v>
      </c>
      <c r="D2853" s="13">
        <v>83.76</v>
      </c>
      <c r="E2853" s="13"/>
      <c r="F2853" s="13">
        <v>36.26</v>
      </c>
      <c r="G2853" s="13"/>
      <c r="H2853" s="13">
        <v>101.42</v>
      </c>
      <c r="I2853" s="13">
        <v>126.23</v>
      </c>
    </row>
    <row r="2854" spans="1:9" x14ac:dyDescent="0.25">
      <c r="A2854" s="10">
        <v>43963</v>
      </c>
      <c r="B2854" s="15">
        <f t="shared" si="88"/>
        <v>5</v>
      </c>
      <c r="C2854" s="15">
        <f t="shared" si="89"/>
        <v>2020</v>
      </c>
      <c r="D2854" s="13">
        <v>83.76</v>
      </c>
      <c r="E2854" s="13">
        <v>25.27</v>
      </c>
      <c r="F2854" s="13">
        <v>36.26</v>
      </c>
      <c r="G2854" s="13"/>
      <c r="H2854" s="13">
        <v>101.42</v>
      </c>
      <c r="I2854" s="13">
        <v>126.23</v>
      </c>
    </row>
    <row r="2855" spans="1:9" x14ac:dyDescent="0.25">
      <c r="A2855" s="10">
        <v>43964</v>
      </c>
      <c r="B2855" s="15">
        <f t="shared" si="88"/>
        <v>5</v>
      </c>
      <c r="C2855" s="15">
        <f t="shared" si="89"/>
        <v>2020</v>
      </c>
      <c r="D2855" s="13">
        <v>83.76</v>
      </c>
      <c r="E2855" s="13">
        <v>21.64</v>
      </c>
      <c r="F2855" s="13">
        <v>36.26</v>
      </c>
      <c r="G2855" s="13"/>
      <c r="H2855" s="13">
        <v>101.42</v>
      </c>
      <c r="I2855" s="13">
        <v>126.23</v>
      </c>
    </row>
    <row r="2856" spans="1:9" x14ac:dyDescent="0.25">
      <c r="A2856" s="10">
        <v>43965</v>
      </c>
      <c r="B2856" s="15">
        <f t="shared" si="88"/>
        <v>5</v>
      </c>
      <c r="C2856" s="15">
        <f t="shared" si="89"/>
        <v>2020</v>
      </c>
      <c r="D2856" s="13">
        <v>83.76</v>
      </c>
      <c r="E2856" s="13">
        <v>20.85</v>
      </c>
      <c r="F2856" s="13">
        <v>36.26</v>
      </c>
      <c r="G2856" s="13"/>
      <c r="H2856" s="13">
        <v>101.42</v>
      </c>
      <c r="I2856" s="13">
        <v>126.23</v>
      </c>
    </row>
    <row r="2857" spans="1:9" x14ac:dyDescent="0.25">
      <c r="A2857" s="10">
        <v>43966</v>
      </c>
      <c r="B2857" s="15">
        <f t="shared" si="88"/>
        <v>5</v>
      </c>
      <c r="C2857" s="15">
        <f t="shared" si="89"/>
        <v>2020</v>
      </c>
      <c r="D2857" s="13">
        <v>83.76</v>
      </c>
      <c r="E2857" s="13">
        <v>19.670000000000002</v>
      </c>
      <c r="F2857" s="13">
        <v>36.26</v>
      </c>
      <c r="G2857" s="13"/>
      <c r="H2857" s="13">
        <v>101.42</v>
      </c>
      <c r="I2857" s="13">
        <v>126.23</v>
      </c>
    </row>
    <row r="2858" spans="1:9" x14ac:dyDescent="0.25">
      <c r="A2858" s="10">
        <v>43969</v>
      </c>
      <c r="B2858" s="15">
        <f t="shared" si="88"/>
        <v>5</v>
      </c>
      <c r="C2858" s="15">
        <f t="shared" si="89"/>
        <v>2020</v>
      </c>
      <c r="D2858" s="13">
        <v>65.81</v>
      </c>
      <c r="E2858" s="13">
        <v>23.89</v>
      </c>
      <c r="F2858" s="13">
        <v>19.16</v>
      </c>
      <c r="G2858" s="13"/>
      <c r="H2858" s="13">
        <v>90.71</v>
      </c>
      <c r="I2858" s="13">
        <v>111.19</v>
      </c>
    </row>
    <row r="2859" spans="1:9" x14ac:dyDescent="0.25">
      <c r="A2859" s="10">
        <v>43970</v>
      </c>
      <c r="B2859" s="15">
        <f t="shared" si="88"/>
        <v>5</v>
      </c>
      <c r="C2859" s="15">
        <f t="shared" si="89"/>
        <v>2020</v>
      </c>
      <c r="D2859" s="13">
        <v>65.81</v>
      </c>
      <c r="E2859" s="13">
        <v>25.31</v>
      </c>
      <c r="F2859" s="13">
        <v>19.16</v>
      </c>
      <c r="G2859" s="13"/>
      <c r="H2859" s="13">
        <v>90.71</v>
      </c>
      <c r="I2859" s="13">
        <v>111.19</v>
      </c>
    </row>
    <row r="2860" spans="1:9" x14ac:dyDescent="0.25">
      <c r="A2860" s="10">
        <v>43971</v>
      </c>
      <c r="B2860" s="15">
        <f t="shared" si="88"/>
        <v>5</v>
      </c>
      <c r="C2860" s="15">
        <f t="shared" si="89"/>
        <v>2020</v>
      </c>
      <c r="D2860" s="13">
        <v>65.81</v>
      </c>
      <c r="E2860" s="13">
        <v>26.31</v>
      </c>
      <c r="F2860" s="13">
        <v>19.16</v>
      </c>
      <c r="G2860" s="13"/>
      <c r="H2860" s="13">
        <v>90.71</v>
      </c>
      <c r="I2860" s="13">
        <v>111.19</v>
      </c>
    </row>
    <row r="2861" spans="1:9" x14ac:dyDescent="0.25">
      <c r="A2861" s="10">
        <v>43972</v>
      </c>
      <c r="B2861" s="15">
        <f t="shared" si="88"/>
        <v>5</v>
      </c>
      <c r="C2861" s="15">
        <f t="shared" si="89"/>
        <v>2020</v>
      </c>
      <c r="D2861" s="13">
        <v>65.81</v>
      </c>
      <c r="E2861" s="13">
        <v>38.58</v>
      </c>
      <c r="F2861" s="13">
        <v>19.16</v>
      </c>
      <c r="G2861" s="13"/>
      <c r="H2861" s="13">
        <v>90.71</v>
      </c>
      <c r="I2861" s="13">
        <v>111.19</v>
      </c>
    </row>
    <row r="2862" spans="1:9" x14ac:dyDescent="0.25">
      <c r="A2862" s="10">
        <v>43973</v>
      </c>
      <c r="B2862" s="15">
        <f t="shared" si="88"/>
        <v>5</v>
      </c>
      <c r="C2862" s="15">
        <f t="shared" si="89"/>
        <v>2020</v>
      </c>
      <c r="D2862" s="13">
        <v>65.81</v>
      </c>
      <c r="E2862" s="13">
        <v>35.6</v>
      </c>
      <c r="F2862" s="13">
        <v>19.16</v>
      </c>
      <c r="G2862" s="13"/>
      <c r="H2862" s="13">
        <v>90.71</v>
      </c>
      <c r="I2862" s="13">
        <v>111.19</v>
      </c>
    </row>
    <row r="2863" spans="1:9" x14ac:dyDescent="0.25">
      <c r="A2863" s="10">
        <v>43977</v>
      </c>
      <c r="B2863" s="15">
        <f t="shared" si="88"/>
        <v>5</v>
      </c>
      <c r="C2863" s="15">
        <f t="shared" si="89"/>
        <v>2020</v>
      </c>
      <c r="D2863" s="13">
        <v>84.13</v>
      </c>
      <c r="E2863" s="13">
        <v>42.41</v>
      </c>
      <c r="F2863" s="13">
        <v>2.46</v>
      </c>
      <c r="G2863" s="13"/>
      <c r="H2863" s="13">
        <v>117.09</v>
      </c>
      <c r="I2863" s="13">
        <v>138.37</v>
      </c>
    </row>
    <row r="2864" spans="1:9" x14ac:dyDescent="0.25">
      <c r="A2864" s="10">
        <v>43978</v>
      </c>
      <c r="B2864" s="15">
        <f t="shared" si="88"/>
        <v>5</v>
      </c>
      <c r="C2864" s="15">
        <f t="shared" si="89"/>
        <v>2020</v>
      </c>
      <c r="D2864" s="13">
        <v>84.13</v>
      </c>
      <c r="E2864" s="13">
        <v>38.25</v>
      </c>
      <c r="F2864" s="13">
        <v>2.46</v>
      </c>
      <c r="G2864" s="13"/>
      <c r="H2864" s="13">
        <v>117.09</v>
      </c>
      <c r="I2864" s="13">
        <v>138.37</v>
      </c>
    </row>
    <row r="2865" spans="1:9" x14ac:dyDescent="0.25">
      <c r="A2865" s="10">
        <v>43979</v>
      </c>
      <c r="B2865" s="15">
        <f t="shared" si="88"/>
        <v>5</v>
      </c>
      <c r="C2865" s="15">
        <f t="shared" si="89"/>
        <v>2020</v>
      </c>
      <c r="D2865" s="13">
        <v>84.13</v>
      </c>
      <c r="E2865" s="13">
        <v>39.58</v>
      </c>
      <c r="F2865" s="13">
        <v>2.46</v>
      </c>
      <c r="G2865" s="13"/>
      <c r="H2865" s="13">
        <v>117.09</v>
      </c>
      <c r="I2865" s="13">
        <v>138.37</v>
      </c>
    </row>
    <row r="2866" spans="1:9" x14ac:dyDescent="0.25">
      <c r="A2866" s="10">
        <v>43980</v>
      </c>
      <c r="B2866" s="15">
        <f t="shared" si="88"/>
        <v>5</v>
      </c>
      <c r="C2866" s="15">
        <f t="shared" si="89"/>
        <v>2020</v>
      </c>
      <c r="D2866" s="13">
        <v>84.13</v>
      </c>
      <c r="E2866" s="13">
        <v>38.39</v>
      </c>
      <c r="F2866" s="13">
        <v>2.46</v>
      </c>
      <c r="G2866" s="13"/>
      <c r="H2866" s="13">
        <v>117.09</v>
      </c>
      <c r="I2866" s="13">
        <v>138.37</v>
      </c>
    </row>
    <row r="2867" spans="1:9" x14ac:dyDescent="0.25">
      <c r="A2867" s="10">
        <v>43983</v>
      </c>
      <c r="B2867" s="15">
        <f t="shared" si="88"/>
        <v>6</v>
      </c>
      <c r="C2867" s="15">
        <f t="shared" si="89"/>
        <v>2020</v>
      </c>
      <c r="D2867" s="13">
        <v>77.44</v>
      </c>
      <c r="E2867" s="13">
        <v>38</v>
      </c>
      <c r="F2867" s="13">
        <v>33.58</v>
      </c>
      <c r="G2867" s="13"/>
      <c r="H2867" s="13">
        <v>118.22</v>
      </c>
      <c r="I2867" s="13">
        <v>141.96</v>
      </c>
    </row>
    <row r="2868" spans="1:9" x14ac:dyDescent="0.25">
      <c r="A2868" s="10">
        <v>43984</v>
      </c>
      <c r="B2868" s="15">
        <f t="shared" si="88"/>
        <v>6</v>
      </c>
      <c r="C2868" s="15">
        <f t="shared" si="89"/>
        <v>2020</v>
      </c>
      <c r="D2868" s="13">
        <v>77.44</v>
      </c>
      <c r="E2868" s="13">
        <v>33.06</v>
      </c>
      <c r="F2868" s="13">
        <v>33.58</v>
      </c>
      <c r="G2868" s="13"/>
      <c r="H2868" s="13">
        <v>118.22</v>
      </c>
      <c r="I2868" s="13">
        <v>141.96</v>
      </c>
    </row>
    <row r="2869" spans="1:9" x14ac:dyDescent="0.25">
      <c r="A2869" s="10">
        <v>43985</v>
      </c>
      <c r="B2869" s="15">
        <f t="shared" si="88"/>
        <v>6</v>
      </c>
      <c r="C2869" s="15">
        <f t="shared" si="89"/>
        <v>2020</v>
      </c>
      <c r="D2869" s="13">
        <v>77.44</v>
      </c>
      <c r="E2869" s="13">
        <v>34.619999999999997</v>
      </c>
      <c r="F2869" s="13">
        <v>33.58</v>
      </c>
      <c r="G2869" s="13"/>
      <c r="H2869" s="13">
        <v>118.22</v>
      </c>
      <c r="I2869" s="13">
        <v>141.96</v>
      </c>
    </row>
    <row r="2870" spans="1:9" x14ac:dyDescent="0.25">
      <c r="A2870" s="10">
        <v>43986</v>
      </c>
      <c r="B2870" s="15">
        <f t="shared" si="88"/>
        <v>6</v>
      </c>
      <c r="C2870" s="15">
        <f t="shared" si="89"/>
        <v>2020</v>
      </c>
      <c r="D2870" s="13">
        <v>77.44</v>
      </c>
      <c r="E2870" s="13">
        <v>31.81</v>
      </c>
      <c r="F2870" s="13">
        <v>33.58</v>
      </c>
      <c r="G2870" s="13"/>
      <c r="H2870" s="13">
        <v>118.22</v>
      </c>
      <c r="I2870" s="13">
        <v>141.96</v>
      </c>
    </row>
    <row r="2871" spans="1:9" x14ac:dyDescent="0.25">
      <c r="A2871" s="10">
        <v>43987</v>
      </c>
      <c r="B2871" s="15">
        <f t="shared" si="88"/>
        <v>6</v>
      </c>
      <c r="C2871" s="15">
        <f t="shared" si="89"/>
        <v>2020</v>
      </c>
      <c r="D2871" s="13">
        <v>77.44</v>
      </c>
      <c r="E2871" s="13">
        <v>28.76</v>
      </c>
      <c r="F2871" s="13">
        <v>33.58</v>
      </c>
      <c r="G2871" s="13"/>
      <c r="H2871" s="13">
        <v>118.22</v>
      </c>
      <c r="I2871" s="13">
        <v>141.96</v>
      </c>
    </row>
    <row r="2872" spans="1:9" x14ac:dyDescent="0.25">
      <c r="A2872" s="10">
        <v>43990</v>
      </c>
      <c r="B2872" s="15">
        <f t="shared" si="88"/>
        <v>6</v>
      </c>
      <c r="C2872" s="15">
        <f t="shared" si="89"/>
        <v>2020</v>
      </c>
      <c r="D2872" s="13">
        <v>72.59</v>
      </c>
      <c r="E2872" s="13"/>
      <c r="F2872" s="13">
        <v>36.19</v>
      </c>
      <c r="G2872" s="13"/>
      <c r="H2872" s="13">
        <v>111.83</v>
      </c>
      <c r="I2872" s="13">
        <v>130.06</v>
      </c>
    </row>
    <row r="2873" spans="1:9" x14ac:dyDescent="0.25">
      <c r="A2873" s="10">
        <v>43991</v>
      </c>
      <c r="B2873" s="15">
        <f t="shared" si="88"/>
        <v>6</v>
      </c>
      <c r="C2873" s="15">
        <f t="shared" si="89"/>
        <v>2020</v>
      </c>
      <c r="D2873" s="13">
        <v>72.59</v>
      </c>
      <c r="E2873" s="13">
        <v>31.06</v>
      </c>
      <c r="F2873" s="13">
        <v>36.19</v>
      </c>
      <c r="G2873" s="13"/>
      <c r="H2873" s="13">
        <v>111.83</v>
      </c>
      <c r="I2873" s="13">
        <v>130.06</v>
      </c>
    </row>
    <row r="2874" spans="1:9" x14ac:dyDescent="0.25">
      <c r="A2874" s="10">
        <v>43992</v>
      </c>
      <c r="B2874" s="15">
        <f t="shared" si="88"/>
        <v>6</v>
      </c>
      <c r="C2874" s="15">
        <f t="shared" si="89"/>
        <v>2020</v>
      </c>
      <c r="D2874" s="13">
        <v>72.59</v>
      </c>
      <c r="E2874" s="13">
        <v>29.3</v>
      </c>
      <c r="F2874" s="13">
        <v>36.19</v>
      </c>
      <c r="G2874" s="13"/>
      <c r="H2874" s="13">
        <v>111.83</v>
      </c>
      <c r="I2874" s="13">
        <v>130.06</v>
      </c>
    </row>
    <row r="2875" spans="1:9" x14ac:dyDescent="0.25">
      <c r="A2875" s="10">
        <v>43993</v>
      </c>
      <c r="B2875" s="15">
        <f t="shared" si="88"/>
        <v>6</v>
      </c>
      <c r="C2875" s="15">
        <f t="shared" si="89"/>
        <v>2020</v>
      </c>
      <c r="D2875" s="13">
        <v>72.59</v>
      </c>
      <c r="E2875" s="13">
        <v>30.14</v>
      </c>
      <c r="F2875" s="13">
        <v>36.19</v>
      </c>
      <c r="G2875" s="13"/>
      <c r="H2875" s="13">
        <v>111.83</v>
      </c>
      <c r="I2875" s="13">
        <v>130.06</v>
      </c>
    </row>
    <row r="2876" spans="1:9" x14ac:dyDescent="0.25">
      <c r="A2876" s="10">
        <v>43994</v>
      </c>
      <c r="B2876" s="15">
        <f t="shared" si="88"/>
        <v>6</v>
      </c>
      <c r="C2876" s="15">
        <f t="shared" si="89"/>
        <v>2020</v>
      </c>
      <c r="D2876" s="13">
        <v>72.59</v>
      </c>
      <c r="E2876" s="13">
        <v>24.78</v>
      </c>
      <c r="F2876" s="13">
        <v>36.19</v>
      </c>
      <c r="G2876" s="13"/>
      <c r="H2876" s="13">
        <v>111.83</v>
      </c>
      <c r="I2876" s="13">
        <v>130.06</v>
      </c>
    </row>
    <row r="2877" spans="1:9" x14ac:dyDescent="0.25">
      <c r="A2877" s="10">
        <v>43997</v>
      </c>
      <c r="B2877" s="15">
        <f t="shared" si="88"/>
        <v>6</v>
      </c>
      <c r="C2877" s="15">
        <f t="shared" si="89"/>
        <v>2020</v>
      </c>
      <c r="D2877" s="13">
        <v>75.680000000000007</v>
      </c>
      <c r="E2877" s="13">
        <v>25.35</v>
      </c>
      <c r="F2877" s="13">
        <v>42.8</v>
      </c>
      <c r="G2877" s="13"/>
      <c r="H2877" s="13">
        <v>115.23</v>
      </c>
      <c r="I2877" s="13">
        <v>121.63</v>
      </c>
    </row>
    <row r="2878" spans="1:9" x14ac:dyDescent="0.25">
      <c r="A2878" s="10">
        <v>43998</v>
      </c>
      <c r="B2878" s="15">
        <f t="shared" si="88"/>
        <v>6</v>
      </c>
      <c r="C2878" s="15">
        <f t="shared" si="89"/>
        <v>2020</v>
      </c>
      <c r="D2878" s="13">
        <v>75.680000000000007</v>
      </c>
      <c r="E2878" s="13">
        <v>33.08</v>
      </c>
      <c r="F2878" s="13">
        <v>42.8</v>
      </c>
      <c r="G2878" s="13"/>
      <c r="H2878" s="13">
        <v>115.23</v>
      </c>
      <c r="I2878" s="13">
        <v>121.63</v>
      </c>
    </row>
    <row r="2879" spans="1:9" x14ac:dyDescent="0.25">
      <c r="A2879" s="10">
        <v>43999</v>
      </c>
      <c r="B2879" s="15">
        <f t="shared" si="88"/>
        <v>6</v>
      </c>
      <c r="C2879" s="15">
        <f t="shared" si="89"/>
        <v>2020</v>
      </c>
      <c r="D2879" s="13">
        <v>75.680000000000007</v>
      </c>
      <c r="E2879" s="13">
        <v>32.49</v>
      </c>
      <c r="F2879" s="13">
        <v>42.8</v>
      </c>
      <c r="G2879" s="13"/>
      <c r="H2879" s="13">
        <v>115.23</v>
      </c>
      <c r="I2879" s="13">
        <v>121.63</v>
      </c>
    </row>
    <row r="2880" spans="1:9" x14ac:dyDescent="0.25">
      <c r="A2880" s="10">
        <v>44000</v>
      </c>
      <c r="B2880" s="15">
        <f t="shared" si="88"/>
        <v>6</v>
      </c>
      <c r="C2880" s="15">
        <f t="shared" si="89"/>
        <v>2020</v>
      </c>
      <c r="D2880" s="13">
        <v>75.680000000000007</v>
      </c>
      <c r="E2880" s="13">
        <v>31.37</v>
      </c>
      <c r="F2880" s="13">
        <v>42.8</v>
      </c>
      <c r="G2880" s="13"/>
      <c r="H2880" s="13">
        <v>115.23</v>
      </c>
      <c r="I2880" s="13">
        <v>121.63</v>
      </c>
    </row>
    <row r="2881" spans="1:9" x14ac:dyDescent="0.25">
      <c r="A2881" s="10">
        <v>44001</v>
      </c>
      <c r="B2881" s="15">
        <f t="shared" si="88"/>
        <v>6</v>
      </c>
      <c r="C2881" s="15">
        <f t="shared" si="89"/>
        <v>2020</v>
      </c>
      <c r="D2881" s="13">
        <v>75.680000000000007</v>
      </c>
      <c r="E2881" s="13">
        <v>34.51</v>
      </c>
      <c r="F2881" s="13">
        <v>42.8</v>
      </c>
      <c r="G2881" s="13"/>
      <c r="H2881" s="13">
        <v>115.23</v>
      </c>
      <c r="I2881" s="13">
        <v>121.63</v>
      </c>
    </row>
    <row r="2882" spans="1:9" x14ac:dyDescent="0.25">
      <c r="A2882" s="10">
        <v>44004</v>
      </c>
      <c r="B2882" s="15">
        <f t="shared" si="88"/>
        <v>6</v>
      </c>
      <c r="C2882" s="15">
        <f t="shared" si="89"/>
        <v>2020</v>
      </c>
      <c r="D2882" s="13">
        <v>56.58</v>
      </c>
      <c r="E2882" s="13">
        <v>33.950000000000003</v>
      </c>
      <c r="F2882" s="13">
        <v>32</v>
      </c>
      <c r="G2882" s="13"/>
      <c r="H2882" s="13">
        <v>108.05</v>
      </c>
      <c r="I2882" s="13">
        <v>128.26</v>
      </c>
    </row>
    <row r="2883" spans="1:9" x14ac:dyDescent="0.25">
      <c r="A2883" s="10">
        <v>44005</v>
      </c>
      <c r="B2883" s="15">
        <f t="shared" ref="B2883:B2946" si="90">MONTH(A2883)</f>
        <v>6</v>
      </c>
      <c r="C2883" s="15">
        <f t="shared" ref="C2883:C2946" si="91">YEAR(A2883)</f>
        <v>2020</v>
      </c>
      <c r="D2883" s="13">
        <v>56.58</v>
      </c>
      <c r="E2883" s="13">
        <v>33.43</v>
      </c>
      <c r="F2883" s="13">
        <v>32</v>
      </c>
      <c r="G2883" s="13"/>
      <c r="H2883" s="13">
        <v>108.05</v>
      </c>
      <c r="I2883" s="13">
        <v>128.26</v>
      </c>
    </row>
    <row r="2884" spans="1:9" x14ac:dyDescent="0.25">
      <c r="A2884" s="10">
        <v>44006</v>
      </c>
      <c r="B2884" s="15">
        <f t="shared" si="90"/>
        <v>6</v>
      </c>
      <c r="C2884" s="15">
        <f t="shared" si="91"/>
        <v>2020</v>
      </c>
      <c r="D2884" s="13">
        <v>56.58</v>
      </c>
      <c r="E2884" s="13">
        <v>32.85</v>
      </c>
      <c r="F2884" s="13">
        <v>32</v>
      </c>
      <c r="G2884" s="13"/>
      <c r="H2884" s="13">
        <v>108.05</v>
      </c>
      <c r="I2884" s="13">
        <v>128.26</v>
      </c>
    </row>
    <row r="2885" spans="1:9" x14ac:dyDescent="0.25">
      <c r="A2885" s="10">
        <v>44007</v>
      </c>
      <c r="B2885" s="15">
        <f t="shared" si="90"/>
        <v>6</v>
      </c>
      <c r="C2885" s="15">
        <f t="shared" si="91"/>
        <v>2020</v>
      </c>
      <c r="D2885" s="13">
        <v>56.58</v>
      </c>
      <c r="E2885" s="13">
        <v>33.29</v>
      </c>
      <c r="F2885" s="13">
        <v>32</v>
      </c>
      <c r="G2885" s="13"/>
      <c r="H2885" s="13">
        <v>108.05</v>
      </c>
      <c r="I2885" s="13">
        <v>128.26</v>
      </c>
    </row>
    <row r="2886" spans="1:9" x14ac:dyDescent="0.25">
      <c r="A2886" s="10">
        <v>44008</v>
      </c>
      <c r="B2886" s="15">
        <f t="shared" si="90"/>
        <v>6</v>
      </c>
      <c r="C2886" s="15">
        <f t="shared" si="91"/>
        <v>2020</v>
      </c>
      <c r="D2886" s="13">
        <v>56.58</v>
      </c>
      <c r="E2886" s="13">
        <v>29.92</v>
      </c>
      <c r="F2886" s="13">
        <v>32</v>
      </c>
      <c r="G2886" s="13"/>
      <c r="H2886" s="13">
        <v>108.05</v>
      </c>
      <c r="I2886" s="13">
        <v>128.26</v>
      </c>
    </row>
    <row r="2887" spans="1:9" x14ac:dyDescent="0.25">
      <c r="A2887" s="10">
        <v>44011</v>
      </c>
      <c r="B2887" s="15">
        <f t="shared" si="90"/>
        <v>6</v>
      </c>
      <c r="C2887" s="15">
        <f t="shared" si="91"/>
        <v>2020</v>
      </c>
      <c r="D2887" s="13">
        <v>60.47</v>
      </c>
      <c r="E2887" s="13"/>
      <c r="F2887" s="13">
        <v>30.28</v>
      </c>
      <c r="G2887" s="13"/>
      <c r="H2887" s="13">
        <v>112.1</v>
      </c>
      <c r="I2887" s="13">
        <v>113.68</v>
      </c>
    </row>
    <row r="2888" spans="1:9" x14ac:dyDescent="0.25">
      <c r="A2888" s="10">
        <v>44012</v>
      </c>
      <c r="B2888" s="15">
        <f t="shared" si="90"/>
        <v>6</v>
      </c>
      <c r="C2888" s="15">
        <f t="shared" si="91"/>
        <v>2020</v>
      </c>
      <c r="D2888" s="13">
        <v>60.47</v>
      </c>
      <c r="E2888" s="13">
        <v>29.65</v>
      </c>
      <c r="F2888" s="13">
        <v>30.28</v>
      </c>
      <c r="G2888" s="13"/>
      <c r="H2888" s="13">
        <v>112.1</v>
      </c>
      <c r="I2888" s="13">
        <v>113.68</v>
      </c>
    </row>
    <row r="2889" spans="1:9" x14ac:dyDescent="0.25">
      <c r="A2889" s="10">
        <v>44013</v>
      </c>
      <c r="B2889" s="15">
        <f t="shared" si="90"/>
        <v>7</v>
      </c>
      <c r="C2889" s="15">
        <f t="shared" si="91"/>
        <v>2020</v>
      </c>
      <c r="D2889" s="13">
        <v>60.47</v>
      </c>
      <c r="E2889" s="13">
        <v>31.05</v>
      </c>
      <c r="F2889" s="13">
        <v>30.28</v>
      </c>
      <c r="G2889" s="13"/>
      <c r="H2889" s="13">
        <v>112.1</v>
      </c>
      <c r="I2889" s="13">
        <v>113.68</v>
      </c>
    </row>
    <row r="2890" spans="1:9" x14ac:dyDescent="0.25">
      <c r="A2890" s="10">
        <v>44014</v>
      </c>
      <c r="B2890" s="15">
        <f t="shared" si="90"/>
        <v>7</v>
      </c>
      <c r="C2890" s="15">
        <f t="shared" si="91"/>
        <v>2020</v>
      </c>
      <c r="D2890" s="13">
        <v>60.47</v>
      </c>
      <c r="E2890" s="13">
        <v>30.07</v>
      </c>
      <c r="F2890" s="13">
        <v>30.28</v>
      </c>
      <c r="G2890" s="13"/>
      <c r="H2890" s="13">
        <v>112.1</v>
      </c>
      <c r="I2890" s="13">
        <v>113.68</v>
      </c>
    </row>
    <row r="2891" spans="1:9" x14ac:dyDescent="0.25">
      <c r="A2891" s="10" t="s">
        <v>574</v>
      </c>
      <c r="B2891" s="15">
        <f t="shared" si="90"/>
        <v>7</v>
      </c>
      <c r="C2891" s="15">
        <f t="shared" si="91"/>
        <v>2020</v>
      </c>
      <c r="D2891" s="13">
        <v>60.47</v>
      </c>
      <c r="E2891" s="13">
        <v>35.700000000000003</v>
      </c>
      <c r="F2891" s="13">
        <v>30.28</v>
      </c>
      <c r="G2891" s="13"/>
      <c r="H2891" s="13">
        <v>112.1</v>
      </c>
      <c r="I2891" s="13">
        <v>113.68</v>
      </c>
    </row>
    <row r="2892" spans="1:9" x14ac:dyDescent="0.25">
      <c r="A2892" s="10">
        <v>44018</v>
      </c>
      <c r="B2892" s="15">
        <f t="shared" si="90"/>
        <v>7</v>
      </c>
      <c r="C2892" s="15">
        <f t="shared" si="91"/>
        <v>2020</v>
      </c>
      <c r="D2892" s="13">
        <v>43.03</v>
      </c>
      <c r="E2892" s="13">
        <v>35.57</v>
      </c>
      <c r="F2892" s="13">
        <v>18.059999999999999</v>
      </c>
      <c r="G2892" s="13"/>
      <c r="H2892" s="13">
        <v>80.81</v>
      </c>
      <c r="I2892" s="13">
        <v>111.22</v>
      </c>
    </row>
    <row r="2893" spans="1:9" x14ac:dyDescent="0.25">
      <c r="A2893" s="10">
        <v>44019</v>
      </c>
      <c r="B2893" s="15">
        <f t="shared" si="90"/>
        <v>7</v>
      </c>
      <c r="C2893" s="15">
        <f t="shared" si="91"/>
        <v>2020</v>
      </c>
      <c r="D2893" s="13">
        <v>43.03</v>
      </c>
      <c r="E2893" s="13">
        <v>32.96</v>
      </c>
      <c r="F2893" s="13">
        <v>18.059999999999999</v>
      </c>
      <c r="G2893" s="13"/>
      <c r="H2893" s="13">
        <v>80.81</v>
      </c>
      <c r="I2893" s="13">
        <v>111.22</v>
      </c>
    </row>
    <row r="2894" spans="1:9" x14ac:dyDescent="0.25">
      <c r="A2894" s="10">
        <v>44020</v>
      </c>
      <c r="B2894" s="15">
        <f t="shared" si="90"/>
        <v>7</v>
      </c>
      <c r="C2894" s="15">
        <f t="shared" si="91"/>
        <v>2020</v>
      </c>
      <c r="D2894" s="13">
        <v>43.03</v>
      </c>
      <c r="E2894" s="13">
        <v>28.97</v>
      </c>
      <c r="F2894" s="13">
        <v>18.059999999999999</v>
      </c>
      <c r="G2894" s="13"/>
      <c r="H2894" s="13">
        <v>80.81</v>
      </c>
      <c r="I2894" s="13">
        <v>111.22</v>
      </c>
    </row>
    <row r="2895" spans="1:9" x14ac:dyDescent="0.25">
      <c r="A2895" s="10">
        <v>44021</v>
      </c>
      <c r="B2895" s="15">
        <f t="shared" si="90"/>
        <v>7</v>
      </c>
      <c r="C2895" s="15">
        <f t="shared" si="91"/>
        <v>2020</v>
      </c>
      <c r="D2895" s="13">
        <v>43.03</v>
      </c>
      <c r="E2895" s="13">
        <v>32.74</v>
      </c>
      <c r="F2895" s="13">
        <v>18.059999999999999</v>
      </c>
      <c r="G2895" s="13"/>
      <c r="H2895" s="13">
        <v>80.81</v>
      </c>
      <c r="I2895" s="13">
        <v>111.22</v>
      </c>
    </row>
    <row r="2896" spans="1:9" x14ac:dyDescent="0.25">
      <c r="A2896" s="10">
        <v>44022</v>
      </c>
      <c r="B2896" s="15">
        <f t="shared" si="90"/>
        <v>7</v>
      </c>
      <c r="C2896" s="15">
        <f t="shared" si="91"/>
        <v>2020</v>
      </c>
      <c r="D2896" s="13">
        <v>43.03</v>
      </c>
      <c r="E2896" s="13">
        <v>31.07</v>
      </c>
      <c r="F2896" s="13">
        <v>18.059999999999999</v>
      </c>
      <c r="G2896" s="13"/>
      <c r="H2896" s="13">
        <v>80.81</v>
      </c>
      <c r="I2896" s="13">
        <v>111.22</v>
      </c>
    </row>
    <row r="2897" spans="1:9" x14ac:dyDescent="0.25">
      <c r="A2897" s="10">
        <v>44025</v>
      </c>
      <c r="B2897" s="15">
        <f t="shared" si="90"/>
        <v>7</v>
      </c>
      <c r="C2897" s="15">
        <f t="shared" si="91"/>
        <v>2020</v>
      </c>
      <c r="D2897" s="13">
        <v>51.44</v>
      </c>
      <c r="E2897" s="13">
        <v>33.82</v>
      </c>
      <c r="F2897" s="13">
        <v>22.93</v>
      </c>
      <c r="G2897" s="13"/>
      <c r="H2897" s="13">
        <v>93.07</v>
      </c>
      <c r="I2897" s="13">
        <v>126.68</v>
      </c>
    </row>
    <row r="2898" spans="1:9" x14ac:dyDescent="0.25">
      <c r="A2898" s="10">
        <v>44026</v>
      </c>
      <c r="B2898" s="15">
        <f t="shared" si="90"/>
        <v>7</v>
      </c>
      <c r="C2898" s="15">
        <f t="shared" si="91"/>
        <v>2020</v>
      </c>
      <c r="D2898" s="13">
        <v>51.44</v>
      </c>
      <c r="E2898" s="13">
        <v>36.619999999999997</v>
      </c>
      <c r="F2898" s="13">
        <v>22.93</v>
      </c>
      <c r="G2898" s="13"/>
      <c r="H2898" s="13">
        <v>93.07</v>
      </c>
      <c r="I2898" s="13">
        <v>126.68</v>
      </c>
    </row>
    <row r="2899" spans="1:9" x14ac:dyDescent="0.25">
      <c r="A2899" s="10">
        <v>44027</v>
      </c>
      <c r="B2899" s="15">
        <f t="shared" si="90"/>
        <v>7</v>
      </c>
      <c r="C2899" s="15">
        <f t="shared" si="91"/>
        <v>2020</v>
      </c>
      <c r="D2899" s="13">
        <v>51.44</v>
      </c>
      <c r="E2899" s="13">
        <v>39.4</v>
      </c>
      <c r="F2899" s="13">
        <v>22.93</v>
      </c>
      <c r="G2899" s="13"/>
      <c r="H2899" s="13">
        <v>93.07</v>
      </c>
      <c r="I2899" s="13">
        <v>126.68</v>
      </c>
    </row>
    <row r="2900" spans="1:9" x14ac:dyDescent="0.25">
      <c r="A2900" s="10">
        <v>44028</v>
      </c>
      <c r="B2900" s="15">
        <f t="shared" si="90"/>
        <v>7</v>
      </c>
      <c r="C2900" s="15">
        <f t="shared" si="91"/>
        <v>2020</v>
      </c>
      <c r="D2900" s="13">
        <v>51.44</v>
      </c>
      <c r="E2900" s="13">
        <v>41.23</v>
      </c>
      <c r="F2900" s="13">
        <v>22.93</v>
      </c>
      <c r="G2900" s="13"/>
      <c r="H2900" s="13">
        <v>93.07</v>
      </c>
      <c r="I2900" s="13">
        <v>126.68</v>
      </c>
    </row>
    <row r="2901" spans="1:9" x14ac:dyDescent="0.25">
      <c r="A2901" s="10">
        <v>44029</v>
      </c>
      <c r="B2901" s="15">
        <f t="shared" si="90"/>
        <v>7</v>
      </c>
      <c r="C2901" s="15">
        <f t="shared" si="91"/>
        <v>2020</v>
      </c>
      <c r="D2901" s="13">
        <v>51.44</v>
      </c>
      <c r="E2901" s="13">
        <v>47.46</v>
      </c>
      <c r="F2901" s="13">
        <v>22.93</v>
      </c>
      <c r="G2901" s="13"/>
      <c r="H2901" s="13">
        <v>93.07</v>
      </c>
      <c r="I2901" s="13">
        <v>126.68</v>
      </c>
    </row>
    <row r="2902" spans="1:9" x14ac:dyDescent="0.25">
      <c r="A2902" s="10">
        <v>44032</v>
      </c>
      <c r="B2902" s="15">
        <f t="shared" si="90"/>
        <v>7</v>
      </c>
      <c r="C2902" s="15">
        <f t="shared" si="91"/>
        <v>2020</v>
      </c>
      <c r="D2902" s="13">
        <v>47.82</v>
      </c>
      <c r="E2902" s="13">
        <v>46.56</v>
      </c>
      <c r="F2902" s="13">
        <v>13.73</v>
      </c>
      <c r="G2902" s="13"/>
      <c r="H2902" s="13">
        <v>89.78</v>
      </c>
      <c r="I2902" s="13">
        <v>113.36</v>
      </c>
    </row>
    <row r="2903" spans="1:9" x14ac:dyDescent="0.25">
      <c r="A2903" s="10">
        <v>44033</v>
      </c>
      <c r="B2903" s="15">
        <f t="shared" si="90"/>
        <v>7</v>
      </c>
      <c r="C2903" s="15">
        <f t="shared" si="91"/>
        <v>2020</v>
      </c>
      <c r="D2903" s="13">
        <v>47.82</v>
      </c>
      <c r="E2903" s="13">
        <v>49.74</v>
      </c>
      <c r="F2903" s="13">
        <v>13.73</v>
      </c>
      <c r="G2903" s="13"/>
      <c r="H2903" s="13">
        <v>89.78</v>
      </c>
      <c r="I2903" s="13">
        <v>113.36</v>
      </c>
    </row>
    <row r="2904" spans="1:9" x14ac:dyDescent="0.25">
      <c r="A2904" s="10">
        <v>44034</v>
      </c>
      <c r="B2904" s="15">
        <f t="shared" si="90"/>
        <v>7</v>
      </c>
      <c r="C2904" s="15">
        <f t="shared" si="91"/>
        <v>2020</v>
      </c>
      <c r="D2904" s="13">
        <v>47.82</v>
      </c>
      <c r="E2904" s="13">
        <v>51.37</v>
      </c>
      <c r="F2904" s="13">
        <v>13.73</v>
      </c>
      <c r="G2904" s="13"/>
      <c r="H2904" s="13">
        <v>89.78</v>
      </c>
      <c r="I2904" s="13">
        <v>113.36</v>
      </c>
    </row>
    <row r="2905" spans="1:9" x14ac:dyDescent="0.25">
      <c r="A2905" s="10">
        <v>44035</v>
      </c>
      <c r="B2905" s="15">
        <f t="shared" si="90"/>
        <v>7</v>
      </c>
      <c r="C2905" s="15">
        <f t="shared" si="91"/>
        <v>2020</v>
      </c>
      <c r="D2905" s="13">
        <v>47.82</v>
      </c>
      <c r="E2905" s="13">
        <v>54.19</v>
      </c>
      <c r="F2905" s="13">
        <v>13.73</v>
      </c>
      <c r="G2905" s="13"/>
      <c r="H2905" s="13">
        <v>89.78</v>
      </c>
      <c r="I2905" s="13">
        <v>113.36</v>
      </c>
    </row>
    <row r="2906" spans="1:9" x14ac:dyDescent="0.25">
      <c r="A2906" s="10">
        <v>44036</v>
      </c>
      <c r="B2906" s="15">
        <f t="shared" si="90"/>
        <v>7</v>
      </c>
      <c r="C2906" s="15">
        <f t="shared" si="91"/>
        <v>2020</v>
      </c>
      <c r="D2906" s="13">
        <v>47.82</v>
      </c>
      <c r="E2906" s="13">
        <v>55.48</v>
      </c>
      <c r="F2906" s="13">
        <v>13.73</v>
      </c>
      <c r="G2906" s="13"/>
      <c r="H2906" s="13">
        <v>89.78</v>
      </c>
      <c r="I2906" s="13">
        <v>113.36</v>
      </c>
    </row>
    <row r="2907" spans="1:9" x14ac:dyDescent="0.25">
      <c r="A2907" s="10">
        <v>44039</v>
      </c>
      <c r="B2907" s="15">
        <f t="shared" si="90"/>
        <v>7</v>
      </c>
      <c r="C2907" s="15">
        <f t="shared" si="91"/>
        <v>2020</v>
      </c>
      <c r="D2907" s="13">
        <v>47.76</v>
      </c>
      <c r="E2907" s="13">
        <v>53.13</v>
      </c>
      <c r="F2907" s="13">
        <v>10.7</v>
      </c>
      <c r="G2907" s="13"/>
      <c r="H2907" s="13">
        <v>89.4</v>
      </c>
      <c r="I2907" s="13">
        <v>123.53</v>
      </c>
    </row>
    <row r="2908" spans="1:9" x14ac:dyDescent="0.25">
      <c r="A2908" s="10">
        <v>44040</v>
      </c>
      <c r="B2908" s="15">
        <f t="shared" si="90"/>
        <v>7</v>
      </c>
      <c r="C2908" s="15">
        <f t="shared" si="91"/>
        <v>2020</v>
      </c>
      <c r="D2908" s="13">
        <v>47.76</v>
      </c>
      <c r="E2908" s="13">
        <v>53.93</v>
      </c>
      <c r="F2908" s="13">
        <v>10.7</v>
      </c>
      <c r="G2908" s="13"/>
      <c r="H2908" s="13">
        <v>89.4</v>
      </c>
      <c r="I2908" s="13">
        <v>123.53</v>
      </c>
    </row>
    <row r="2909" spans="1:9" x14ac:dyDescent="0.25">
      <c r="A2909" s="10">
        <v>44041</v>
      </c>
      <c r="B2909" s="15">
        <f t="shared" si="90"/>
        <v>7</v>
      </c>
      <c r="C2909" s="15">
        <f t="shared" si="91"/>
        <v>2020</v>
      </c>
      <c r="D2909" s="13">
        <v>47.76</v>
      </c>
      <c r="E2909" s="13">
        <v>50.82</v>
      </c>
      <c r="F2909" s="13">
        <v>10.7</v>
      </c>
      <c r="G2909" s="13"/>
      <c r="H2909" s="13">
        <v>89.4</v>
      </c>
      <c r="I2909" s="13">
        <v>123.53</v>
      </c>
    </row>
    <row r="2910" spans="1:9" x14ac:dyDescent="0.25">
      <c r="A2910" s="10">
        <v>44042</v>
      </c>
      <c r="B2910" s="15">
        <f t="shared" si="90"/>
        <v>7</v>
      </c>
      <c r="C2910" s="15">
        <f t="shared" si="91"/>
        <v>2020</v>
      </c>
      <c r="D2910" s="13">
        <v>47.76</v>
      </c>
      <c r="E2910" s="13">
        <v>51.36</v>
      </c>
      <c r="F2910" s="13">
        <v>10.7</v>
      </c>
      <c r="G2910" s="13"/>
      <c r="H2910" s="13">
        <v>89.4</v>
      </c>
      <c r="I2910" s="13">
        <v>123.53</v>
      </c>
    </row>
    <row r="2911" spans="1:9" x14ac:dyDescent="0.25">
      <c r="A2911" s="10">
        <v>44043</v>
      </c>
      <c r="B2911" s="15">
        <f t="shared" si="90"/>
        <v>7</v>
      </c>
      <c r="C2911" s="15">
        <f t="shared" si="91"/>
        <v>2020</v>
      </c>
      <c r="D2911" s="13">
        <v>47.76</v>
      </c>
      <c r="E2911" s="13">
        <v>58.32</v>
      </c>
      <c r="F2911" s="13">
        <v>10.7</v>
      </c>
      <c r="G2911" s="13"/>
      <c r="H2911" s="13">
        <v>89.4</v>
      </c>
      <c r="I2911" s="13">
        <v>123.53</v>
      </c>
    </row>
    <row r="2912" spans="1:9" x14ac:dyDescent="0.25">
      <c r="A2912" s="10">
        <v>44046</v>
      </c>
      <c r="B2912" s="15">
        <f t="shared" si="90"/>
        <v>8</v>
      </c>
      <c r="C2912" s="15">
        <f t="shared" si="91"/>
        <v>2020</v>
      </c>
      <c r="D2912" s="13">
        <v>35.14</v>
      </c>
      <c r="E2912" s="13">
        <v>51.31</v>
      </c>
      <c r="F2912" s="13">
        <v>4.05</v>
      </c>
      <c r="G2912" s="13"/>
      <c r="H2912" s="13">
        <v>85.94</v>
      </c>
      <c r="I2912" s="13">
        <v>107.34</v>
      </c>
    </row>
    <row r="2913" spans="1:9" x14ac:dyDescent="0.25">
      <c r="A2913" s="10">
        <v>44047</v>
      </c>
      <c r="B2913" s="15">
        <f t="shared" si="90"/>
        <v>8</v>
      </c>
      <c r="C2913" s="15">
        <f t="shared" si="91"/>
        <v>2020</v>
      </c>
      <c r="D2913" s="13">
        <v>35.14</v>
      </c>
      <c r="E2913" s="13">
        <v>51.48</v>
      </c>
      <c r="F2913" s="13">
        <v>4.05</v>
      </c>
      <c r="G2913" s="13"/>
      <c r="H2913" s="13">
        <v>85.94</v>
      </c>
      <c r="I2913" s="13">
        <v>107.34</v>
      </c>
    </row>
    <row r="2914" spans="1:9" x14ac:dyDescent="0.25">
      <c r="A2914" s="10">
        <v>44048</v>
      </c>
      <c r="B2914" s="15">
        <f t="shared" si="90"/>
        <v>8</v>
      </c>
      <c r="C2914" s="15">
        <f t="shared" si="91"/>
        <v>2020</v>
      </c>
      <c r="D2914" s="13">
        <v>35.14</v>
      </c>
      <c r="E2914" s="13">
        <v>45.72</v>
      </c>
      <c r="F2914" s="13">
        <v>4.05</v>
      </c>
      <c r="G2914" s="13"/>
      <c r="H2914" s="13">
        <v>85.94</v>
      </c>
      <c r="I2914" s="13">
        <v>107.34</v>
      </c>
    </row>
    <row r="2915" spans="1:9" x14ac:dyDescent="0.25">
      <c r="A2915" s="10">
        <v>44049</v>
      </c>
      <c r="B2915" s="15">
        <f t="shared" si="90"/>
        <v>8</v>
      </c>
      <c r="C2915" s="15">
        <f t="shared" si="91"/>
        <v>2020</v>
      </c>
      <c r="D2915" s="13">
        <v>35.14</v>
      </c>
      <c r="E2915" s="13">
        <v>46.28</v>
      </c>
      <c r="F2915" s="13">
        <v>4.05</v>
      </c>
      <c r="G2915" s="13"/>
      <c r="H2915" s="13">
        <v>85.94</v>
      </c>
      <c r="I2915" s="13">
        <v>107.34</v>
      </c>
    </row>
    <row r="2916" spans="1:9" x14ac:dyDescent="0.25">
      <c r="A2916" s="10">
        <v>44050</v>
      </c>
      <c r="B2916" s="15">
        <f t="shared" si="90"/>
        <v>8</v>
      </c>
      <c r="C2916" s="15">
        <f t="shared" si="91"/>
        <v>2020</v>
      </c>
      <c r="D2916" s="13">
        <v>35.14</v>
      </c>
      <c r="E2916" s="13">
        <v>45.45</v>
      </c>
      <c r="F2916" s="13">
        <v>4.05</v>
      </c>
      <c r="G2916" s="13"/>
      <c r="H2916" s="13">
        <v>85.94</v>
      </c>
      <c r="I2916" s="13">
        <v>107.34</v>
      </c>
    </row>
    <row r="2917" spans="1:9" x14ac:dyDescent="0.25">
      <c r="A2917" s="10">
        <v>44053</v>
      </c>
      <c r="B2917" s="15">
        <f t="shared" si="90"/>
        <v>8</v>
      </c>
      <c r="C2917" s="15">
        <f t="shared" si="91"/>
        <v>2020</v>
      </c>
      <c r="D2917" s="13">
        <v>40.020000000000003</v>
      </c>
      <c r="E2917" s="13">
        <v>45.45</v>
      </c>
      <c r="F2917" s="13">
        <v>3.37</v>
      </c>
      <c r="G2917" s="13"/>
      <c r="H2917" s="13">
        <v>87.02</v>
      </c>
      <c r="I2917" s="13">
        <v>106.95</v>
      </c>
    </row>
    <row r="2918" spans="1:9" x14ac:dyDescent="0.25">
      <c r="A2918" s="10">
        <v>44054</v>
      </c>
      <c r="B2918" s="15">
        <f t="shared" si="90"/>
        <v>8</v>
      </c>
      <c r="C2918" s="15">
        <f t="shared" si="91"/>
        <v>2020</v>
      </c>
      <c r="D2918" s="13">
        <v>40.020000000000003</v>
      </c>
      <c r="E2918" s="13">
        <v>47.79</v>
      </c>
      <c r="F2918" s="13">
        <v>3.37</v>
      </c>
      <c r="G2918" s="13"/>
      <c r="H2918" s="13">
        <v>87.02</v>
      </c>
      <c r="I2918" s="13">
        <v>106.95</v>
      </c>
    </row>
    <row r="2919" spans="1:9" x14ac:dyDescent="0.25">
      <c r="A2919" s="10">
        <v>44055</v>
      </c>
      <c r="B2919" s="15">
        <f t="shared" si="90"/>
        <v>8</v>
      </c>
      <c r="C2919" s="15">
        <f t="shared" si="91"/>
        <v>2020</v>
      </c>
      <c r="D2919" s="13">
        <v>40.020000000000003</v>
      </c>
      <c r="E2919" s="13">
        <v>52.54</v>
      </c>
      <c r="F2919" s="13">
        <v>3.37</v>
      </c>
      <c r="G2919" s="13"/>
      <c r="H2919" s="13">
        <v>87.02</v>
      </c>
      <c r="I2919" s="13">
        <v>106.95</v>
      </c>
    </row>
    <row r="2920" spans="1:9" x14ac:dyDescent="0.25">
      <c r="A2920" s="10">
        <v>44056</v>
      </c>
      <c r="B2920" s="15">
        <f t="shared" si="90"/>
        <v>8</v>
      </c>
      <c r="C2920" s="15">
        <f t="shared" si="91"/>
        <v>2020</v>
      </c>
      <c r="D2920" s="13">
        <v>40.020000000000003</v>
      </c>
      <c r="E2920" s="13">
        <v>54.63</v>
      </c>
      <c r="F2920" s="13">
        <v>3.37</v>
      </c>
      <c r="G2920" s="13"/>
      <c r="H2920" s="13">
        <v>87.02</v>
      </c>
      <c r="I2920" s="13">
        <v>106.95</v>
      </c>
    </row>
    <row r="2921" spans="1:9" x14ac:dyDescent="0.25">
      <c r="A2921" s="10">
        <v>44057</v>
      </c>
      <c r="B2921" s="15">
        <f t="shared" si="90"/>
        <v>8</v>
      </c>
      <c r="C2921" s="15">
        <f t="shared" si="91"/>
        <v>2020</v>
      </c>
      <c r="D2921" s="13">
        <v>40.020000000000003</v>
      </c>
      <c r="E2921" s="13">
        <v>82.31</v>
      </c>
      <c r="F2921" s="13">
        <v>3.37</v>
      </c>
      <c r="G2921" s="13"/>
      <c r="H2921" s="13">
        <v>87.02</v>
      </c>
      <c r="I2921" s="13">
        <v>106.95</v>
      </c>
    </row>
    <row r="2922" spans="1:9" x14ac:dyDescent="0.25">
      <c r="A2922" s="10">
        <v>44060</v>
      </c>
      <c r="B2922" s="15">
        <f t="shared" si="90"/>
        <v>8</v>
      </c>
      <c r="C2922" s="15">
        <f t="shared" si="91"/>
        <v>2020</v>
      </c>
      <c r="D2922" s="13">
        <v>30.23</v>
      </c>
      <c r="E2922" s="13">
        <v>80.63</v>
      </c>
      <c r="F2922" s="13">
        <v>-0.77</v>
      </c>
      <c r="G2922" s="13"/>
      <c r="H2922" s="13">
        <v>83.92</v>
      </c>
      <c r="I2922" s="13">
        <v>107.32</v>
      </c>
    </row>
    <row r="2923" spans="1:9" x14ac:dyDescent="0.25">
      <c r="A2923" s="10">
        <v>44061</v>
      </c>
      <c r="B2923" s="15">
        <f t="shared" si="90"/>
        <v>8</v>
      </c>
      <c r="C2923" s="15">
        <f t="shared" si="91"/>
        <v>2020</v>
      </c>
      <c r="D2923" s="13">
        <v>30.23</v>
      </c>
      <c r="E2923" s="13">
        <v>82.23</v>
      </c>
      <c r="F2923" s="13">
        <v>-0.77</v>
      </c>
      <c r="G2923" s="13"/>
      <c r="H2923" s="13">
        <v>83.92</v>
      </c>
      <c r="I2923" s="13">
        <v>107.32</v>
      </c>
    </row>
    <row r="2924" spans="1:9" x14ac:dyDescent="0.25">
      <c r="A2924" s="10">
        <v>44062</v>
      </c>
      <c r="B2924" s="15">
        <f t="shared" si="90"/>
        <v>8</v>
      </c>
      <c r="C2924" s="15">
        <f t="shared" si="91"/>
        <v>2020</v>
      </c>
      <c r="D2924" s="13">
        <v>30.23</v>
      </c>
      <c r="E2924" s="13">
        <v>81.290000000000006</v>
      </c>
      <c r="F2924" s="13">
        <v>-0.77</v>
      </c>
      <c r="G2924" s="13"/>
      <c r="H2924" s="13">
        <v>83.92</v>
      </c>
      <c r="I2924" s="13">
        <v>107.32</v>
      </c>
    </row>
    <row r="2925" spans="1:9" x14ac:dyDescent="0.25">
      <c r="A2925" s="10">
        <v>44063</v>
      </c>
      <c r="B2925" s="15">
        <f t="shared" si="90"/>
        <v>8</v>
      </c>
      <c r="C2925" s="15">
        <f t="shared" si="91"/>
        <v>2020</v>
      </c>
      <c r="D2925" s="13">
        <v>30.23</v>
      </c>
      <c r="E2925" s="13">
        <v>88.64</v>
      </c>
      <c r="F2925" s="13">
        <v>-0.77</v>
      </c>
      <c r="G2925" s="13"/>
      <c r="H2925" s="13">
        <v>83.92</v>
      </c>
      <c r="I2925" s="13">
        <v>107.32</v>
      </c>
    </row>
    <row r="2926" spans="1:9" x14ac:dyDescent="0.25">
      <c r="A2926" s="10">
        <v>44064</v>
      </c>
      <c r="B2926" s="15">
        <f t="shared" si="90"/>
        <v>8</v>
      </c>
      <c r="C2926" s="15">
        <f t="shared" si="91"/>
        <v>2020</v>
      </c>
      <c r="D2926" s="13">
        <v>30.23</v>
      </c>
      <c r="E2926" s="13">
        <v>78.040000000000006</v>
      </c>
      <c r="F2926" s="13">
        <v>-0.77</v>
      </c>
      <c r="G2926" s="13"/>
      <c r="H2926" s="13">
        <v>83.92</v>
      </c>
      <c r="I2926" s="13">
        <v>107.32</v>
      </c>
    </row>
    <row r="2927" spans="1:9" x14ac:dyDescent="0.25">
      <c r="A2927" s="10">
        <v>44067</v>
      </c>
      <c r="B2927" s="15">
        <f t="shared" si="90"/>
        <v>8</v>
      </c>
      <c r="C2927" s="15">
        <f t="shared" si="91"/>
        <v>2020</v>
      </c>
      <c r="D2927" s="13">
        <v>23.82</v>
      </c>
      <c r="E2927" s="13">
        <v>79.959999999999994</v>
      </c>
      <c r="F2927" s="13">
        <v>-12.28</v>
      </c>
      <c r="G2927" s="13"/>
      <c r="H2927" s="13">
        <v>80.78</v>
      </c>
      <c r="I2927" s="13">
        <v>96.92</v>
      </c>
    </row>
    <row r="2928" spans="1:9" x14ac:dyDescent="0.25">
      <c r="A2928" s="10">
        <v>44068</v>
      </c>
      <c r="B2928" s="15">
        <f t="shared" si="90"/>
        <v>8</v>
      </c>
      <c r="C2928" s="15">
        <f t="shared" si="91"/>
        <v>2020</v>
      </c>
      <c r="D2928" s="13">
        <v>23.82</v>
      </c>
      <c r="E2928" s="13">
        <v>79.959999999999994</v>
      </c>
      <c r="F2928" s="13">
        <v>-12.28</v>
      </c>
      <c r="G2928" s="13"/>
      <c r="H2928" s="13">
        <v>80.78</v>
      </c>
      <c r="I2928" s="13">
        <v>96.92</v>
      </c>
    </row>
    <row r="2929" spans="1:9" x14ac:dyDescent="0.25">
      <c r="A2929" s="10">
        <v>44069</v>
      </c>
      <c r="B2929" s="15">
        <f t="shared" si="90"/>
        <v>8</v>
      </c>
      <c r="C2929" s="15">
        <f t="shared" si="91"/>
        <v>2020</v>
      </c>
      <c r="D2929" s="13">
        <v>23.82</v>
      </c>
      <c r="E2929" s="13">
        <v>84.88</v>
      </c>
      <c r="F2929" s="13">
        <v>-12.28</v>
      </c>
      <c r="G2929" s="13"/>
      <c r="H2929" s="13">
        <v>80.78</v>
      </c>
      <c r="I2929" s="13">
        <v>96.92</v>
      </c>
    </row>
    <row r="2930" spans="1:9" x14ac:dyDescent="0.25">
      <c r="A2930" s="10">
        <v>44070</v>
      </c>
      <c r="B2930" s="15">
        <f t="shared" si="90"/>
        <v>8</v>
      </c>
      <c r="C2930" s="15">
        <f t="shared" si="91"/>
        <v>2020</v>
      </c>
      <c r="D2930" s="13">
        <v>23.82</v>
      </c>
      <c r="E2930" s="13">
        <v>96</v>
      </c>
      <c r="F2930" s="13">
        <v>-12.28</v>
      </c>
      <c r="G2930" s="13"/>
      <c r="H2930" s="13">
        <v>80.78</v>
      </c>
      <c r="I2930" s="13">
        <v>96.92</v>
      </c>
    </row>
    <row r="2931" spans="1:9" x14ac:dyDescent="0.25">
      <c r="A2931" s="10">
        <v>44071</v>
      </c>
      <c r="B2931" s="15">
        <f t="shared" si="90"/>
        <v>8</v>
      </c>
      <c r="C2931" s="15">
        <f t="shared" si="91"/>
        <v>2020</v>
      </c>
      <c r="D2931" s="13">
        <v>23.82</v>
      </c>
      <c r="E2931" s="13">
        <v>93.9</v>
      </c>
      <c r="F2931" s="13">
        <v>-12.28</v>
      </c>
      <c r="G2931" s="13"/>
      <c r="H2931" s="13">
        <v>80.78</v>
      </c>
      <c r="I2931" s="13">
        <v>96.92</v>
      </c>
    </row>
    <row r="2932" spans="1:9" x14ac:dyDescent="0.25">
      <c r="A2932" s="10">
        <v>44074</v>
      </c>
      <c r="B2932" s="15">
        <f t="shared" si="90"/>
        <v>8</v>
      </c>
      <c r="C2932" s="15">
        <f t="shared" si="91"/>
        <v>2020</v>
      </c>
      <c r="D2932" s="13">
        <v>38.01</v>
      </c>
      <c r="E2932" s="13"/>
      <c r="F2932" s="13">
        <v>-25.92</v>
      </c>
      <c r="G2932" s="13"/>
      <c r="H2932" s="13">
        <v>68.19</v>
      </c>
      <c r="I2932" s="13">
        <v>86.68</v>
      </c>
    </row>
    <row r="2933" spans="1:9" x14ac:dyDescent="0.25">
      <c r="A2933" s="10">
        <v>44075</v>
      </c>
      <c r="B2933" s="15">
        <f t="shared" si="90"/>
        <v>9</v>
      </c>
      <c r="C2933" s="15">
        <f t="shared" si="91"/>
        <v>2020</v>
      </c>
      <c r="D2933" s="13">
        <v>38.01</v>
      </c>
      <c r="E2933" s="13">
        <v>100.88</v>
      </c>
      <c r="F2933" s="13">
        <v>-25.92</v>
      </c>
      <c r="G2933" s="13"/>
      <c r="H2933" s="13">
        <v>68.19</v>
      </c>
      <c r="I2933" s="13">
        <v>86.68</v>
      </c>
    </row>
    <row r="2934" spans="1:9" x14ac:dyDescent="0.25">
      <c r="A2934" s="10">
        <v>44076</v>
      </c>
      <c r="B2934" s="15">
        <f t="shared" si="90"/>
        <v>9</v>
      </c>
      <c r="C2934" s="15">
        <f t="shared" si="91"/>
        <v>2020</v>
      </c>
      <c r="D2934" s="13">
        <v>38.01</v>
      </c>
      <c r="E2934" s="13">
        <v>96.41</v>
      </c>
      <c r="F2934" s="13">
        <v>-25.92</v>
      </c>
      <c r="G2934" s="13"/>
      <c r="H2934" s="13">
        <v>68.19</v>
      </c>
      <c r="I2934" s="13">
        <v>86.68</v>
      </c>
    </row>
    <row r="2935" spans="1:9" x14ac:dyDescent="0.25">
      <c r="A2935" s="10">
        <v>44077</v>
      </c>
      <c r="B2935" s="15">
        <f t="shared" si="90"/>
        <v>9</v>
      </c>
      <c r="C2935" s="15">
        <f t="shared" si="91"/>
        <v>2020</v>
      </c>
      <c r="D2935" s="13">
        <v>38.01</v>
      </c>
      <c r="E2935" s="13">
        <v>97.14</v>
      </c>
      <c r="F2935" s="13">
        <v>-25.92</v>
      </c>
      <c r="G2935" s="13"/>
      <c r="H2935" s="13">
        <v>68.19</v>
      </c>
      <c r="I2935" s="13">
        <v>86.68</v>
      </c>
    </row>
    <row r="2936" spans="1:9" x14ac:dyDescent="0.25">
      <c r="A2936" s="10">
        <v>44078</v>
      </c>
      <c r="B2936" s="15">
        <f t="shared" si="90"/>
        <v>9</v>
      </c>
      <c r="C2936" s="15">
        <f t="shared" si="91"/>
        <v>2020</v>
      </c>
      <c r="D2936" s="13">
        <v>38.01</v>
      </c>
      <c r="E2936" s="13">
        <v>91.73</v>
      </c>
      <c r="F2936" s="13">
        <v>-25.92</v>
      </c>
      <c r="G2936" s="13"/>
      <c r="H2936" s="13">
        <v>68.19</v>
      </c>
      <c r="I2936" s="13">
        <v>86.68</v>
      </c>
    </row>
    <row r="2937" spans="1:9" x14ac:dyDescent="0.25">
      <c r="A2937" s="10">
        <v>44081</v>
      </c>
      <c r="B2937" s="15">
        <f t="shared" si="90"/>
        <v>9</v>
      </c>
      <c r="C2937" s="15">
        <f t="shared" si="91"/>
        <v>2020</v>
      </c>
      <c r="D2937" s="13">
        <v>31.44</v>
      </c>
      <c r="E2937" s="13">
        <v>90.63</v>
      </c>
      <c r="F2937" s="13">
        <v>-11.22</v>
      </c>
      <c r="G2937" s="13"/>
      <c r="H2937" s="13">
        <v>60.84</v>
      </c>
      <c r="I2937" s="13">
        <v>81.16</v>
      </c>
    </row>
    <row r="2938" spans="1:9" x14ac:dyDescent="0.25">
      <c r="A2938" s="10">
        <v>44082</v>
      </c>
      <c r="B2938" s="15">
        <f t="shared" si="90"/>
        <v>9</v>
      </c>
      <c r="C2938" s="15">
        <f t="shared" si="91"/>
        <v>2020</v>
      </c>
      <c r="D2938" s="13">
        <v>31.44</v>
      </c>
      <c r="E2938" s="13">
        <v>76.58</v>
      </c>
      <c r="F2938" s="13">
        <v>-11.22</v>
      </c>
      <c r="G2938" s="13"/>
      <c r="H2938" s="13">
        <v>60.84</v>
      </c>
      <c r="I2938" s="13">
        <v>81.16</v>
      </c>
    </row>
    <row r="2939" spans="1:9" x14ac:dyDescent="0.25">
      <c r="A2939" s="10">
        <v>44083</v>
      </c>
      <c r="B2939" s="15">
        <f t="shared" si="90"/>
        <v>9</v>
      </c>
      <c r="C2939" s="15">
        <f t="shared" si="91"/>
        <v>2020</v>
      </c>
      <c r="D2939" s="13">
        <v>31.44</v>
      </c>
      <c r="E2939" s="13">
        <v>69.709999999999994</v>
      </c>
      <c r="F2939" s="13">
        <v>-11.22</v>
      </c>
      <c r="G2939" s="13"/>
      <c r="H2939" s="13">
        <v>60.84</v>
      </c>
      <c r="I2939" s="13">
        <v>81.16</v>
      </c>
    </row>
    <row r="2940" spans="1:9" x14ac:dyDescent="0.25">
      <c r="A2940" s="10">
        <v>44084</v>
      </c>
      <c r="B2940" s="15">
        <f t="shared" si="90"/>
        <v>9</v>
      </c>
      <c r="C2940" s="15">
        <f t="shared" si="91"/>
        <v>2020</v>
      </c>
      <c r="D2940" s="13">
        <v>31.44</v>
      </c>
      <c r="E2940" s="13">
        <v>61.85</v>
      </c>
      <c r="F2940" s="13">
        <v>-11.22</v>
      </c>
      <c r="G2940" s="13"/>
      <c r="H2940" s="13">
        <v>60.84</v>
      </c>
      <c r="I2940" s="13">
        <v>81.16</v>
      </c>
    </row>
    <row r="2941" spans="1:9" x14ac:dyDescent="0.25">
      <c r="A2941" s="10">
        <v>44085</v>
      </c>
      <c r="B2941" s="15">
        <f t="shared" si="90"/>
        <v>9</v>
      </c>
      <c r="C2941" s="15">
        <f t="shared" si="91"/>
        <v>2020</v>
      </c>
      <c r="D2941" s="13">
        <v>31.44</v>
      </c>
      <c r="E2941" s="13">
        <v>71.209999999999994</v>
      </c>
      <c r="F2941" s="13">
        <v>-11.22</v>
      </c>
      <c r="G2941" s="13"/>
      <c r="H2941" s="13">
        <v>60.84</v>
      </c>
      <c r="I2941" s="13">
        <v>81.16</v>
      </c>
    </row>
    <row r="2942" spans="1:9" x14ac:dyDescent="0.25">
      <c r="A2942" s="10">
        <v>44088</v>
      </c>
      <c r="B2942" s="15">
        <f t="shared" si="90"/>
        <v>9</v>
      </c>
      <c r="C2942" s="15">
        <f t="shared" si="91"/>
        <v>2020</v>
      </c>
      <c r="D2942" s="13">
        <v>64.06</v>
      </c>
      <c r="E2942" s="13">
        <v>80.59</v>
      </c>
      <c r="F2942" s="13">
        <v>-22.26</v>
      </c>
      <c r="G2942" s="13"/>
      <c r="H2942" s="13">
        <v>51.24</v>
      </c>
      <c r="I2942" s="13">
        <v>75.319999999999993</v>
      </c>
    </row>
    <row r="2943" spans="1:9" x14ac:dyDescent="0.25">
      <c r="A2943" s="10">
        <v>44089</v>
      </c>
      <c r="B2943" s="15">
        <f t="shared" si="90"/>
        <v>9</v>
      </c>
      <c r="C2943" s="15">
        <f t="shared" si="91"/>
        <v>2020</v>
      </c>
      <c r="D2943" s="13">
        <v>64.06</v>
      </c>
      <c r="E2943" s="13">
        <v>80.36</v>
      </c>
      <c r="F2943" s="13">
        <v>-22.26</v>
      </c>
      <c r="G2943" s="13"/>
      <c r="H2943" s="13">
        <v>51.24</v>
      </c>
      <c r="I2943" s="13">
        <v>75.319999999999993</v>
      </c>
    </row>
    <row r="2944" spans="1:9" x14ac:dyDescent="0.25">
      <c r="A2944" s="10">
        <v>44090</v>
      </c>
      <c r="B2944" s="15">
        <f t="shared" si="90"/>
        <v>9</v>
      </c>
      <c r="C2944" s="15">
        <f t="shared" si="91"/>
        <v>2020</v>
      </c>
      <c r="D2944" s="13">
        <v>64.06</v>
      </c>
      <c r="E2944" s="13">
        <v>80.680000000000007</v>
      </c>
      <c r="F2944" s="13">
        <v>-22.26</v>
      </c>
      <c r="G2944" s="13"/>
      <c r="H2944" s="13">
        <v>51.24</v>
      </c>
      <c r="I2944" s="13">
        <v>75.319999999999993</v>
      </c>
    </row>
    <row r="2945" spans="1:9" x14ac:dyDescent="0.25">
      <c r="A2945" s="10">
        <v>44091</v>
      </c>
      <c r="B2945" s="15">
        <f t="shared" si="90"/>
        <v>9</v>
      </c>
      <c r="C2945" s="15">
        <f t="shared" si="91"/>
        <v>2020</v>
      </c>
      <c r="D2945" s="13">
        <v>64.06</v>
      </c>
      <c r="E2945" s="13">
        <v>77.72</v>
      </c>
      <c r="F2945" s="13">
        <v>-22.26</v>
      </c>
      <c r="G2945" s="13"/>
      <c r="H2945" s="13">
        <v>51.24</v>
      </c>
      <c r="I2945" s="13">
        <v>75.319999999999993</v>
      </c>
    </row>
    <row r="2946" spans="1:9" x14ac:dyDescent="0.25">
      <c r="A2946" s="10">
        <v>44092</v>
      </c>
      <c r="B2946" s="15">
        <f t="shared" si="90"/>
        <v>9</v>
      </c>
      <c r="C2946" s="15">
        <f t="shared" si="91"/>
        <v>2020</v>
      </c>
      <c r="D2946" s="13">
        <v>64.06</v>
      </c>
      <c r="E2946" s="13">
        <v>75.41</v>
      </c>
      <c r="F2946" s="13">
        <v>-22.26</v>
      </c>
      <c r="G2946" s="13"/>
      <c r="H2946" s="13">
        <v>51.24</v>
      </c>
      <c r="I2946" s="13">
        <v>75.319999999999993</v>
      </c>
    </row>
    <row r="2947" spans="1:9" x14ac:dyDescent="0.25">
      <c r="A2947" s="10">
        <v>44095</v>
      </c>
      <c r="B2947" s="15">
        <f t="shared" ref="B2947:B3010" si="92">MONTH(A2947)</f>
        <v>9</v>
      </c>
      <c r="C2947" s="15">
        <f t="shared" ref="C2947:C3010" si="93">YEAR(A2947)</f>
        <v>2020</v>
      </c>
      <c r="D2947" s="13">
        <v>46.28</v>
      </c>
      <c r="E2947" s="13">
        <v>75.760000000000005</v>
      </c>
      <c r="F2947" s="13">
        <v>3.21</v>
      </c>
      <c r="G2947" s="13"/>
      <c r="H2947" s="13">
        <v>62.47</v>
      </c>
      <c r="I2947" s="13">
        <v>89.06</v>
      </c>
    </row>
    <row r="2948" spans="1:9" x14ac:dyDescent="0.25">
      <c r="A2948" s="10">
        <v>44096</v>
      </c>
      <c r="B2948" s="15">
        <f t="shared" si="92"/>
        <v>9</v>
      </c>
      <c r="C2948" s="15">
        <f t="shared" si="93"/>
        <v>2020</v>
      </c>
      <c r="D2948" s="13">
        <v>46.28</v>
      </c>
      <c r="E2948" s="13">
        <v>80.37</v>
      </c>
      <c r="F2948" s="13">
        <v>3.21</v>
      </c>
      <c r="G2948" s="13"/>
      <c r="H2948" s="13">
        <v>62.47</v>
      </c>
      <c r="I2948" s="13">
        <v>89.06</v>
      </c>
    </row>
    <row r="2949" spans="1:9" x14ac:dyDescent="0.25">
      <c r="A2949" s="10">
        <v>44097</v>
      </c>
      <c r="B2949" s="15">
        <f t="shared" si="92"/>
        <v>9</v>
      </c>
      <c r="C2949" s="15">
        <f t="shared" si="93"/>
        <v>2020</v>
      </c>
      <c r="D2949" s="13">
        <v>46.28</v>
      </c>
      <c r="E2949" s="13">
        <v>88.99</v>
      </c>
      <c r="F2949" s="13">
        <v>3.21</v>
      </c>
      <c r="G2949" s="13"/>
      <c r="H2949" s="13">
        <v>62.47</v>
      </c>
      <c r="I2949" s="13">
        <v>89.06</v>
      </c>
    </row>
    <row r="2950" spans="1:9" x14ac:dyDescent="0.25">
      <c r="A2950" s="10">
        <v>44098</v>
      </c>
      <c r="B2950" s="15">
        <f t="shared" si="92"/>
        <v>9</v>
      </c>
      <c r="C2950" s="15">
        <f t="shared" si="93"/>
        <v>2020</v>
      </c>
      <c r="D2950" s="13">
        <v>46.28</v>
      </c>
      <c r="E2950" s="13">
        <v>72.81</v>
      </c>
      <c r="F2950" s="13">
        <v>3.21</v>
      </c>
      <c r="G2950" s="13"/>
      <c r="H2950" s="13">
        <v>62.47</v>
      </c>
      <c r="I2950" s="13">
        <v>89.06</v>
      </c>
    </row>
    <row r="2951" spans="1:9" x14ac:dyDescent="0.25">
      <c r="A2951" s="10">
        <v>44099</v>
      </c>
      <c r="B2951" s="15">
        <f t="shared" si="92"/>
        <v>9</v>
      </c>
      <c r="C2951" s="15">
        <f t="shared" si="93"/>
        <v>2020</v>
      </c>
      <c r="D2951" s="13">
        <v>46.28</v>
      </c>
      <c r="E2951" s="13">
        <v>91.3</v>
      </c>
      <c r="F2951" s="13">
        <v>3.21</v>
      </c>
      <c r="G2951" s="13"/>
      <c r="H2951" s="13">
        <v>62.47</v>
      </c>
      <c r="I2951" s="13">
        <v>89.06</v>
      </c>
    </row>
    <row r="2952" spans="1:9" x14ac:dyDescent="0.25">
      <c r="A2952" s="10">
        <v>44102</v>
      </c>
      <c r="B2952" s="15">
        <f t="shared" si="92"/>
        <v>9</v>
      </c>
      <c r="C2952" s="15">
        <f t="shared" si="93"/>
        <v>2020</v>
      </c>
      <c r="D2952" s="13">
        <v>26.81</v>
      </c>
      <c r="E2952" s="13">
        <v>76.75</v>
      </c>
      <c r="F2952" s="13">
        <v>-7.98</v>
      </c>
      <c r="G2952" s="13"/>
      <c r="H2952" s="13">
        <v>60.21</v>
      </c>
      <c r="I2952" s="13">
        <v>98.59</v>
      </c>
    </row>
    <row r="2953" spans="1:9" x14ac:dyDescent="0.25">
      <c r="A2953" s="10">
        <v>44103</v>
      </c>
      <c r="B2953" s="15">
        <f t="shared" si="92"/>
        <v>9</v>
      </c>
      <c r="C2953" s="15">
        <f t="shared" si="93"/>
        <v>2020</v>
      </c>
      <c r="D2953" s="13">
        <v>26.81</v>
      </c>
      <c r="E2953" s="13">
        <v>74.78</v>
      </c>
      <c r="F2953" s="13">
        <v>-7.98</v>
      </c>
      <c r="G2953" s="13"/>
      <c r="H2953" s="13">
        <v>60.21</v>
      </c>
      <c r="I2953" s="13">
        <v>98.59</v>
      </c>
    </row>
    <row r="2954" spans="1:9" x14ac:dyDescent="0.25">
      <c r="A2954" s="10">
        <v>44104</v>
      </c>
      <c r="B2954" s="15">
        <f t="shared" si="92"/>
        <v>9</v>
      </c>
      <c r="C2954" s="15">
        <f t="shared" si="93"/>
        <v>2020</v>
      </c>
      <c r="D2954" s="13">
        <v>26.81</v>
      </c>
      <c r="E2954" s="13">
        <v>77.62</v>
      </c>
      <c r="F2954" s="13">
        <v>-7.98</v>
      </c>
      <c r="G2954" s="13"/>
      <c r="H2954" s="13">
        <v>60.21</v>
      </c>
      <c r="I2954" s="13">
        <v>98.59</v>
      </c>
    </row>
    <row r="2955" spans="1:9" x14ac:dyDescent="0.25">
      <c r="A2955" s="10">
        <v>44105</v>
      </c>
      <c r="B2955" s="15">
        <f t="shared" si="92"/>
        <v>10</v>
      </c>
      <c r="C2955" s="15">
        <f t="shared" si="93"/>
        <v>2020</v>
      </c>
      <c r="D2955" s="13">
        <v>26.81</v>
      </c>
      <c r="E2955" s="13">
        <v>70.209999999999994</v>
      </c>
      <c r="F2955" s="13">
        <v>-7.98</v>
      </c>
      <c r="G2955" s="13"/>
      <c r="H2955" s="13">
        <v>60.21</v>
      </c>
      <c r="I2955" s="13">
        <v>98.59</v>
      </c>
    </row>
    <row r="2956" spans="1:9" x14ac:dyDescent="0.25">
      <c r="A2956" s="10">
        <v>44106</v>
      </c>
      <c r="B2956" s="15">
        <f t="shared" si="92"/>
        <v>10</v>
      </c>
      <c r="C2956" s="15">
        <f t="shared" si="93"/>
        <v>2020</v>
      </c>
      <c r="D2956" s="13">
        <v>26.81</v>
      </c>
      <c r="E2956" s="13">
        <v>63.41</v>
      </c>
      <c r="F2956" s="13">
        <v>-7.98</v>
      </c>
      <c r="G2956" s="13"/>
      <c r="H2956" s="13">
        <v>60.21</v>
      </c>
      <c r="I2956" s="13">
        <v>98.59</v>
      </c>
    </row>
    <row r="2957" spans="1:9" x14ac:dyDescent="0.25">
      <c r="A2957" s="10">
        <v>44109</v>
      </c>
      <c r="B2957" s="15">
        <f t="shared" si="92"/>
        <v>10</v>
      </c>
      <c r="C2957" s="15">
        <f t="shared" si="93"/>
        <v>2020</v>
      </c>
      <c r="D2957" s="13">
        <v>69.209999999999994</v>
      </c>
      <c r="E2957" s="13">
        <v>73.31</v>
      </c>
      <c r="F2957" s="13">
        <v>-3.6</v>
      </c>
      <c r="G2957" s="13"/>
      <c r="H2957" s="13">
        <v>68.239999999999995</v>
      </c>
      <c r="I2957" s="13">
        <v>91.07</v>
      </c>
    </row>
    <row r="2958" spans="1:9" x14ac:dyDescent="0.25">
      <c r="A2958" s="10">
        <v>44110</v>
      </c>
      <c r="B2958" s="15">
        <f t="shared" si="92"/>
        <v>10</v>
      </c>
      <c r="C2958" s="15">
        <f t="shared" si="93"/>
        <v>2020</v>
      </c>
      <c r="D2958" s="13">
        <v>69.209999999999994</v>
      </c>
      <c r="E2958" s="13">
        <v>89.96</v>
      </c>
      <c r="F2958" s="13">
        <v>-3.6</v>
      </c>
      <c r="G2958" s="13"/>
      <c r="H2958" s="13">
        <v>68.239999999999995</v>
      </c>
      <c r="I2958" s="13">
        <v>91.07</v>
      </c>
    </row>
    <row r="2959" spans="1:9" x14ac:dyDescent="0.25">
      <c r="A2959" s="10">
        <v>44111</v>
      </c>
      <c r="B2959" s="15">
        <f t="shared" si="92"/>
        <v>10</v>
      </c>
      <c r="C2959" s="15">
        <f t="shared" si="93"/>
        <v>2020</v>
      </c>
      <c r="D2959" s="13">
        <v>69.209999999999994</v>
      </c>
      <c r="E2959" s="13">
        <v>86.18</v>
      </c>
      <c r="F2959" s="13">
        <v>-3.6</v>
      </c>
      <c r="G2959" s="13"/>
      <c r="H2959" s="13">
        <v>68.239999999999995</v>
      </c>
      <c r="I2959" s="13">
        <v>91.07</v>
      </c>
    </row>
    <row r="2960" spans="1:9" x14ac:dyDescent="0.25">
      <c r="A2960" s="10">
        <v>44112</v>
      </c>
      <c r="B2960" s="15">
        <f t="shared" si="92"/>
        <v>10</v>
      </c>
      <c r="C2960" s="15">
        <f t="shared" si="93"/>
        <v>2020</v>
      </c>
      <c r="D2960" s="13">
        <v>69.209999999999994</v>
      </c>
      <c r="E2960" s="13">
        <v>79.069999999999993</v>
      </c>
      <c r="F2960" s="13">
        <v>-3.6</v>
      </c>
      <c r="G2960" s="13"/>
      <c r="H2960" s="13">
        <v>68.239999999999995</v>
      </c>
      <c r="I2960" s="13">
        <v>91.07</v>
      </c>
    </row>
    <row r="2961" spans="1:9" x14ac:dyDescent="0.25">
      <c r="A2961" s="10">
        <v>44113</v>
      </c>
      <c r="B2961" s="15">
        <f t="shared" si="92"/>
        <v>10</v>
      </c>
      <c r="C2961" s="15">
        <f t="shared" si="93"/>
        <v>2020</v>
      </c>
      <c r="D2961" s="13">
        <v>69.209999999999994</v>
      </c>
      <c r="E2961" s="13">
        <v>85.94</v>
      </c>
      <c r="F2961" s="13">
        <v>-3.6</v>
      </c>
      <c r="G2961" s="13"/>
      <c r="H2961" s="13">
        <v>68.239999999999995</v>
      </c>
      <c r="I2961" s="13">
        <v>91.07</v>
      </c>
    </row>
    <row r="2962" spans="1:9" x14ac:dyDescent="0.25">
      <c r="A2962" s="10">
        <v>44116</v>
      </c>
      <c r="B2962" s="15">
        <f t="shared" si="92"/>
        <v>10</v>
      </c>
      <c r="C2962" s="15">
        <f t="shared" si="93"/>
        <v>2020</v>
      </c>
      <c r="D2962" s="13">
        <v>30.82</v>
      </c>
      <c r="E2962" s="13">
        <v>81.97</v>
      </c>
      <c r="F2962" s="13">
        <v>-26</v>
      </c>
      <c r="G2962" s="13"/>
      <c r="H2962" s="13">
        <v>42.45</v>
      </c>
      <c r="I2962" s="13">
        <v>80.75</v>
      </c>
    </row>
    <row r="2963" spans="1:9" x14ac:dyDescent="0.25">
      <c r="A2963" s="10">
        <v>44117</v>
      </c>
      <c r="B2963" s="15">
        <f t="shared" si="92"/>
        <v>10</v>
      </c>
      <c r="C2963" s="15">
        <f t="shared" si="93"/>
        <v>2020</v>
      </c>
      <c r="D2963" s="13">
        <v>30.82</v>
      </c>
      <c r="E2963" s="13">
        <v>88.54</v>
      </c>
      <c r="F2963" s="13">
        <v>-26</v>
      </c>
      <c r="G2963" s="13"/>
      <c r="H2963" s="13">
        <v>42.45</v>
      </c>
      <c r="I2963" s="13">
        <v>80.75</v>
      </c>
    </row>
    <row r="2964" spans="1:9" x14ac:dyDescent="0.25">
      <c r="A2964" s="10">
        <v>44118</v>
      </c>
      <c r="B2964" s="15">
        <f t="shared" si="92"/>
        <v>10</v>
      </c>
      <c r="C2964" s="15">
        <f t="shared" si="93"/>
        <v>2020</v>
      </c>
      <c r="D2964" s="13">
        <v>30.82</v>
      </c>
      <c r="E2964" s="13">
        <v>90.49</v>
      </c>
      <c r="F2964" s="13">
        <v>-26</v>
      </c>
      <c r="G2964" s="13"/>
      <c r="H2964" s="13">
        <v>42.45</v>
      </c>
      <c r="I2964" s="13">
        <v>80.75</v>
      </c>
    </row>
    <row r="2965" spans="1:9" x14ac:dyDescent="0.25">
      <c r="A2965" s="10">
        <v>44119</v>
      </c>
      <c r="B2965" s="15">
        <f t="shared" si="92"/>
        <v>10</v>
      </c>
      <c r="C2965" s="15">
        <f t="shared" si="93"/>
        <v>2020</v>
      </c>
      <c r="D2965" s="13">
        <v>30.82</v>
      </c>
      <c r="E2965" s="13">
        <v>68.23</v>
      </c>
      <c r="F2965" s="13">
        <v>-26</v>
      </c>
      <c r="G2965" s="13"/>
      <c r="H2965" s="13">
        <v>42.45</v>
      </c>
      <c r="I2965" s="13">
        <v>80.75</v>
      </c>
    </row>
    <row r="2966" spans="1:9" x14ac:dyDescent="0.25">
      <c r="A2966" s="10">
        <v>44120</v>
      </c>
      <c r="B2966" s="15">
        <f t="shared" si="92"/>
        <v>10</v>
      </c>
      <c r="C2966" s="15">
        <f t="shared" si="93"/>
        <v>2020</v>
      </c>
      <c r="D2966" s="13">
        <v>30.82</v>
      </c>
      <c r="E2966" s="13">
        <v>68.23</v>
      </c>
      <c r="F2966" s="13">
        <v>-26</v>
      </c>
      <c r="G2966" s="13"/>
      <c r="H2966" s="13">
        <v>42.45</v>
      </c>
      <c r="I2966" s="13">
        <v>80.75</v>
      </c>
    </row>
    <row r="2967" spans="1:9" x14ac:dyDescent="0.25">
      <c r="A2967" s="10">
        <v>44123</v>
      </c>
      <c r="B2967" s="15">
        <f t="shared" si="92"/>
        <v>10</v>
      </c>
      <c r="C2967" s="15">
        <f t="shared" si="93"/>
        <v>2020</v>
      </c>
      <c r="D2967" s="13">
        <v>36.44</v>
      </c>
      <c r="E2967" s="13">
        <v>46.42</v>
      </c>
      <c r="F2967" s="13">
        <v>-33.229999999999997</v>
      </c>
      <c r="G2967" s="13"/>
      <c r="H2967" s="13">
        <v>49.39</v>
      </c>
      <c r="I2967" s="13">
        <v>89.96</v>
      </c>
    </row>
    <row r="2968" spans="1:9" x14ac:dyDescent="0.25">
      <c r="A2968" s="10">
        <v>44124</v>
      </c>
      <c r="B2968" s="15">
        <f t="shared" si="92"/>
        <v>10</v>
      </c>
      <c r="C2968" s="15">
        <f t="shared" si="93"/>
        <v>2020</v>
      </c>
      <c r="D2968" s="13">
        <v>36.44</v>
      </c>
      <c r="E2968" s="13">
        <v>47.92</v>
      </c>
      <c r="F2968" s="13">
        <v>-33.229999999999997</v>
      </c>
      <c r="G2968" s="13"/>
      <c r="H2968" s="13">
        <v>49.39</v>
      </c>
      <c r="I2968" s="13">
        <v>89.96</v>
      </c>
    </row>
    <row r="2969" spans="1:9" x14ac:dyDescent="0.25">
      <c r="A2969" s="10">
        <v>44125</v>
      </c>
      <c r="B2969" s="15">
        <f t="shared" si="92"/>
        <v>10</v>
      </c>
      <c r="C2969" s="15">
        <f t="shared" si="93"/>
        <v>2020</v>
      </c>
      <c r="D2969" s="13">
        <v>36.44</v>
      </c>
      <c r="E2969" s="13">
        <v>49.36</v>
      </c>
      <c r="F2969" s="13">
        <v>-33.229999999999997</v>
      </c>
      <c r="G2969" s="13"/>
      <c r="H2969" s="13">
        <v>49.39</v>
      </c>
      <c r="I2969" s="13">
        <v>89.96</v>
      </c>
    </row>
    <row r="2970" spans="1:9" x14ac:dyDescent="0.25">
      <c r="A2970" s="10">
        <v>44126</v>
      </c>
      <c r="B2970" s="15">
        <f t="shared" si="92"/>
        <v>10</v>
      </c>
      <c r="C2970" s="15">
        <f t="shared" si="93"/>
        <v>2020</v>
      </c>
      <c r="D2970" s="13">
        <v>36.44</v>
      </c>
      <c r="E2970" s="13">
        <v>57.33</v>
      </c>
      <c r="F2970" s="13">
        <v>-33.229999999999997</v>
      </c>
      <c r="G2970" s="13"/>
      <c r="H2970" s="13">
        <v>49.39</v>
      </c>
      <c r="I2970" s="13">
        <v>89.96</v>
      </c>
    </row>
    <row r="2971" spans="1:9" x14ac:dyDescent="0.25">
      <c r="A2971" s="10">
        <v>44127</v>
      </c>
      <c r="B2971" s="15">
        <f t="shared" si="92"/>
        <v>10</v>
      </c>
      <c r="C2971" s="15">
        <f t="shared" si="93"/>
        <v>2020</v>
      </c>
      <c r="D2971" s="13">
        <v>36.44</v>
      </c>
      <c r="E2971" s="13">
        <v>53.95</v>
      </c>
      <c r="F2971" s="13">
        <v>-33.229999999999997</v>
      </c>
      <c r="G2971" s="13"/>
      <c r="H2971" s="13">
        <v>49.39</v>
      </c>
      <c r="I2971" s="13">
        <v>89.96</v>
      </c>
    </row>
    <row r="2972" spans="1:9" x14ac:dyDescent="0.25">
      <c r="A2972" s="10">
        <v>44130</v>
      </c>
      <c r="B2972" s="15">
        <f t="shared" si="92"/>
        <v>10</v>
      </c>
      <c r="C2972" s="15">
        <f t="shared" si="93"/>
        <v>2020</v>
      </c>
      <c r="D2972" s="13">
        <v>22.55</v>
      </c>
      <c r="E2972" s="13">
        <v>53.79</v>
      </c>
      <c r="F2972" s="13">
        <v>-47.26</v>
      </c>
      <c r="G2972" s="13"/>
      <c r="H2972" s="13">
        <v>27.31</v>
      </c>
      <c r="I2972" s="13">
        <v>58.6</v>
      </c>
    </row>
    <row r="2973" spans="1:9" x14ac:dyDescent="0.25">
      <c r="A2973" s="10">
        <v>44131</v>
      </c>
      <c r="B2973" s="15">
        <f t="shared" si="92"/>
        <v>10</v>
      </c>
      <c r="C2973" s="15">
        <f t="shared" si="93"/>
        <v>2020</v>
      </c>
      <c r="D2973" s="13">
        <v>22.55</v>
      </c>
      <c r="E2973" s="13">
        <v>56.02</v>
      </c>
      <c r="F2973" s="13">
        <v>-47.26</v>
      </c>
      <c r="G2973" s="13"/>
      <c r="H2973" s="13">
        <v>27.31</v>
      </c>
      <c r="I2973" s="13">
        <v>58.6</v>
      </c>
    </row>
    <row r="2974" spans="1:9" x14ac:dyDescent="0.25">
      <c r="A2974" s="10">
        <v>44132</v>
      </c>
      <c r="B2974" s="15">
        <f t="shared" si="92"/>
        <v>10</v>
      </c>
      <c r="C2974" s="15">
        <f t="shared" si="93"/>
        <v>2020</v>
      </c>
      <c r="D2974" s="13">
        <v>22.55</v>
      </c>
      <c r="E2974" s="13">
        <v>47.33</v>
      </c>
      <c r="F2974" s="13">
        <v>-47.26</v>
      </c>
      <c r="G2974" s="13"/>
      <c r="H2974" s="13">
        <v>27.31</v>
      </c>
      <c r="I2974" s="13">
        <v>58.6</v>
      </c>
    </row>
    <row r="2975" spans="1:9" x14ac:dyDescent="0.25">
      <c r="A2975" s="10">
        <v>44133</v>
      </c>
      <c r="B2975" s="15">
        <f t="shared" si="92"/>
        <v>10</v>
      </c>
      <c r="C2975" s="15">
        <f t="shared" si="93"/>
        <v>2020</v>
      </c>
      <c r="D2975" s="13">
        <v>22.55</v>
      </c>
      <c r="E2975" s="13">
        <v>37.08</v>
      </c>
      <c r="F2975" s="13">
        <v>-47.26</v>
      </c>
      <c r="G2975" s="13"/>
      <c r="H2975" s="13">
        <v>27.31</v>
      </c>
      <c r="I2975" s="13">
        <v>58.6</v>
      </c>
    </row>
    <row r="2976" spans="1:9" x14ac:dyDescent="0.25">
      <c r="A2976" s="10">
        <v>44134</v>
      </c>
      <c r="B2976" s="15">
        <f t="shared" si="92"/>
        <v>10</v>
      </c>
      <c r="C2976" s="15">
        <f t="shared" si="93"/>
        <v>2020</v>
      </c>
      <c r="D2976" s="13">
        <v>22.55</v>
      </c>
      <c r="E2976" s="13">
        <v>36.22</v>
      </c>
      <c r="F2976" s="13">
        <v>-47.26</v>
      </c>
      <c r="G2976" s="13"/>
      <c r="H2976" s="13">
        <v>27.31</v>
      </c>
      <c r="I2976" s="13">
        <v>58.6</v>
      </c>
    </row>
    <row r="2977" spans="1:9" x14ac:dyDescent="0.25">
      <c r="A2977" s="10">
        <v>44137</v>
      </c>
      <c r="B2977" s="15">
        <f t="shared" si="92"/>
        <v>11</v>
      </c>
      <c r="C2977" s="15">
        <f t="shared" si="93"/>
        <v>2020</v>
      </c>
      <c r="D2977" s="13">
        <v>19.41</v>
      </c>
      <c r="E2977" s="13">
        <v>35.29</v>
      </c>
      <c r="F2977" s="13">
        <v>-75.06</v>
      </c>
      <c r="G2977" s="13"/>
      <c r="H2977" s="13">
        <v>25.08</v>
      </c>
      <c r="I2977" s="13">
        <v>60.76</v>
      </c>
    </row>
    <row r="2978" spans="1:9" x14ac:dyDescent="0.25">
      <c r="A2978" s="10">
        <v>44138</v>
      </c>
      <c r="B2978" s="15">
        <f t="shared" si="92"/>
        <v>11</v>
      </c>
      <c r="C2978" s="15">
        <f t="shared" si="93"/>
        <v>2020</v>
      </c>
      <c r="D2978" s="13">
        <v>19.41</v>
      </c>
      <c r="E2978" s="13">
        <v>10.49</v>
      </c>
      <c r="F2978" s="13">
        <v>-75.06</v>
      </c>
      <c r="G2978" s="13"/>
      <c r="H2978" s="13">
        <v>25.08</v>
      </c>
      <c r="I2978" s="13">
        <v>60.76</v>
      </c>
    </row>
    <row r="2979" spans="1:9" x14ac:dyDescent="0.25">
      <c r="A2979" s="10">
        <v>44139</v>
      </c>
      <c r="B2979" s="15">
        <f t="shared" si="92"/>
        <v>11</v>
      </c>
      <c r="C2979" s="15">
        <f t="shared" si="93"/>
        <v>2020</v>
      </c>
      <c r="D2979" s="13">
        <v>19.41</v>
      </c>
      <c r="E2979" s="13">
        <v>10.67</v>
      </c>
      <c r="F2979" s="13">
        <v>-75.06</v>
      </c>
      <c r="G2979" s="13"/>
      <c r="H2979" s="13">
        <v>25.08</v>
      </c>
      <c r="I2979" s="13">
        <v>60.76</v>
      </c>
    </row>
    <row r="2980" spans="1:9" x14ac:dyDescent="0.25">
      <c r="A2980" s="10">
        <v>44140</v>
      </c>
      <c r="B2980" s="15">
        <f t="shared" si="92"/>
        <v>11</v>
      </c>
      <c r="C2980" s="15">
        <f t="shared" si="93"/>
        <v>2020</v>
      </c>
      <c r="D2980" s="13">
        <v>19.41</v>
      </c>
      <c r="E2980" s="13">
        <v>20.41</v>
      </c>
      <c r="F2980" s="13">
        <v>-75.06</v>
      </c>
      <c r="G2980" s="13"/>
      <c r="H2980" s="13">
        <v>25.08</v>
      </c>
      <c r="I2980" s="13">
        <v>60.76</v>
      </c>
    </row>
    <row r="2981" spans="1:9" x14ac:dyDescent="0.25">
      <c r="A2981" s="10">
        <v>44141</v>
      </c>
      <c r="B2981" s="15">
        <f t="shared" si="92"/>
        <v>11</v>
      </c>
      <c r="C2981" s="15">
        <f t="shared" si="93"/>
        <v>2020</v>
      </c>
      <c r="D2981" s="13">
        <v>19.41</v>
      </c>
      <c r="E2981" s="13">
        <v>17.72</v>
      </c>
      <c r="F2981" s="13">
        <v>-75.06</v>
      </c>
      <c r="G2981" s="13"/>
      <c r="H2981" s="13">
        <v>25.08</v>
      </c>
      <c r="I2981" s="13">
        <v>60.76</v>
      </c>
    </row>
    <row r="2982" spans="1:9" x14ac:dyDescent="0.25">
      <c r="A2982" s="10">
        <v>44144</v>
      </c>
      <c r="B2982" s="15">
        <f t="shared" si="92"/>
        <v>11</v>
      </c>
      <c r="C2982" s="15">
        <f t="shared" si="93"/>
        <v>2020</v>
      </c>
      <c r="D2982" s="13">
        <v>15.8</v>
      </c>
      <c r="E2982" s="13">
        <v>7.76</v>
      </c>
      <c r="F2982" s="13">
        <v>-78.91</v>
      </c>
      <c r="G2982" s="13"/>
      <c r="H2982" s="13">
        <v>21.57</v>
      </c>
      <c r="I2982" s="13">
        <v>37.64</v>
      </c>
    </row>
    <row r="2983" spans="1:9" x14ac:dyDescent="0.25">
      <c r="A2983" s="10">
        <v>44145</v>
      </c>
      <c r="B2983" s="15">
        <f t="shared" si="92"/>
        <v>11</v>
      </c>
      <c r="C2983" s="15">
        <f t="shared" si="93"/>
        <v>2020</v>
      </c>
      <c r="D2983" s="13">
        <v>15.8</v>
      </c>
      <c r="E2983" s="13">
        <v>8.2200000000000006</v>
      </c>
      <c r="F2983" s="13">
        <v>-78.91</v>
      </c>
      <c r="G2983" s="13"/>
      <c r="H2983" s="13">
        <v>21.57</v>
      </c>
      <c r="I2983" s="13">
        <v>37.64</v>
      </c>
    </row>
    <row r="2984" spans="1:9" x14ac:dyDescent="0.25">
      <c r="A2984" s="10">
        <v>44146</v>
      </c>
      <c r="B2984" s="15">
        <f t="shared" si="92"/>
        <v>11</v>
      </c>
      <c r="C2984" s="15">
        <f t="shared" si="93"/>
        <v>2020</v>
      </c>
      <c r="D2984" s="13">
        <v>15.8</v>
      </c>
      <c r="E2984" s="13">
        <v>22.92</v>
      </c>
      <c r="F2984" s="13">
        <v>-78.91</v>
      </c>
      <c r="G2984" s="13"/>
      <c r="H2984" s="13">
        <v>21.57</v>
      </c>
      <c r="I2984" s="13">
        <v>37.64</v>
      </c>
    </row>
    <row r="2985" spans="1:9" x14ac:dyDescent="0.25">
      <c r="A2985" s="10">
        <v>44147</v>
      </c>
      <c r="B2985" s="15">
        <f t="shared" si="92"/>
        <v>11</v>
      </c>
      <c r="C2985" s="15">
        <f t="shared" si="93"/>
        <v>2020</v>
      </c>
      <c r="D2985" s="13">
        <v>15.8</v>
      </c>
      <c r="E2985" s="13">
        <v>22.62</v>
      </c>
      <c r="F2985" s="13">
        <v>-78.91</v>
      </c>
      <c r="G2985" s="13"/>
      <c r="H2985" s="13">
        <v>21.57</v>
      </c>
      <c r="I2985" s="13">
        <v>37.64</v>
      </c>
    </row>
    <row r="2986" spans="1:9" x14ac:dyDescent="0.25">
      <c r="A2986" s="10">
        <v>44148</v>
      </c>
      <c r="B2986" s="15">
        <f t="shared" si="92"/>
        <v>11</v>
      </c>
      <c r="C2986" s="15">
        <f t="shared" si="93"/>
        <v>2020</v>
      </c>
      <c r="D2986" s="13">
        <v>15.8</v>
      </c>
      <c r="E2986" s="13">
        <v>22.78</v>
      </c>
      <c r="F2986" s="13">
        <v>-78.91</v>
      </c>
      <c r="G2986" s="13"/>
      <c r="H2986" s="13">
        <v>21.57</v>
      </c>
      <c r="I2986" s="13">
        <v>37.64</v>
      </c>
    </row>
    <row r="2987" spans="1:9" x14ac:dyDescent="0.25">
      <c r="A2987" s="10">
        <v>44151</v>
      </c>
      <c r="B2987" s="15">
        <f t="shared" si="92"/>
        <v>11</v>
      </c>
      <c r="C2987" s="15">
        <f t="shared" si="93"/>
        <v>2020</v>
      </c>
      <c r="D2987" s="13">
        <v>42.94</v>
      </c>
      <c r="E2987" s="13">
        <v>21.08</v>
      </c>
      <c r="F2987" s="13">
        <v>-62.88</v>
      </c>
      <c r="G2987" s="13"/>
      <c r="H2987" s="13">
        <v>26.48</v>
      </c>
      <c r="I2987" s="13">
        <v>50.86</v>
      </c>
    </row>
    <row r="2988" spans="1:9" x14ac:dyDescent="0.25">
      <c r="A2988" s="10">
        <v>44152</v>
      </c>
      <c r="B2988" s="15">
        <f t="shared" si="92"/>
        <v>11</v>
      </c>
      <c r="C2988" s="15">
        <f t="shared" si="93"/>
        <v>2020</v>
      </c>
      <c r="D2988" s="13">
        <v>42.94</v>
      </c>
      <c r="E2988" s="13">
        <v>30.06</v>
      </c>
      <c r="F2988" s="13">
        <v>-62.88</v>
      </c>
      <c r="G2988" s="13"/>
      <c r="H2988" s="13">
        <v>26.48</v>
      </c>
      <c r="I2988" s="13">
        <v>50.86</v>
      </c>
    </row>
    <row r="2989" spans="1:9" x14ac:dyDescent="0.25">
      <c r="A2989" s="10">
        <v>44153</v>
      </c>
      <c r="B2989" s="15">
        <f t="shared" si="92"/>
        <v>11</v>
      </c>
      <c r="C2989" s="15">
        <f t="shared" si="93"/>
        <v>2020</v>
      </c>
      <c r="D2989" s="13">
        <v>42.94</v>
      </c>
      <c r="E2989" s="13">
        <v>51.25</v>
      </c>
      <c r="F2989" s="13">
        <v>-62.88</v>
      </c>
      <c r="G2989" s="13"/>
      <c r="H2989" s="13">
        <v>26.48</v>
      </c>
      <c r="I2989" s="13">
        <v>50.86</v>
      </c>
    </row>
    <row r="2990" spans="1:9" x14ac:dyDescent="0.25">
      <c r="A2990" s="10">
        <v>44154</v>
      </c>
      <c r="B2990" s="15">
        <f t="shared" si="92"/>
        <v>11</v>
      </c>
      <c r="C2990" s="15">
        <f t="shared" si="93"/>
        <v>2020</v>
      </c>
      <c r="D2990" s="13">
        <v>42.94</v>
      </c>
      <c r="E2990" s="13">
        <v>37.659999999999997</v>
      </c>
      <c r="F2990" s="13">
        <v>-62.88</v>
      </c>
      <c r="G2990" s="13"/>
      <c r="H2990" s="13">
        <v>26.48</v>
      </c>
      <c r="I2990" s="13">
        <v>50.86</v>
      </c>
    </row>
    <row r="2991" spans="1:9" x14ac:dyDescent="0.25">
      <c r="A2991" s="10">
        <v>44155</v>
      </c>
      <c r="B2991" s="15">
        <f t="shared" si="92"/>
        <v>11</v>
      </c>
      <c r="C2991" s="15">
        <f t="shared" si="93"/>
        <v>2020</v>
      </c>
      <c r="D2991" s="13">
        <v>42.94</v>
      </c>
      <c r="E2991" s="13">
        <v>37.659999999999997</v>
      </c>
      <c r="F2991" s="13">
        <v>-62.88</v>
      </c>
      <c r="G2991" s="13"/>
      <c r="H2991" s="13">
        <v>26.48</v>
      </c>
      <c r="I2991" s="13">
        <v>50.86</v>
      </c>
    </row>
    <row r="2992" spans="1:9" x14ac:dyDescent="0.25">
      <c r="A2992" s="10">
        <v>44158</v>
      </c>
      <c r="B2992" s="15">
        <f t="shared" si="92"/>
        <v>11</v>
      </c>
      <c r="C2992" s="15">
        <f t="shared" si="93"/>
        <v>2020</v>
      </c>
      <c r="D2992" s="13">
        <v>43.8</v>
      </c>
      <c r="E2992" s="13">
        <v>32.97</v>
      </c>
      <c r="F2992" s="13">
        <v>-47.02</v>
      </c>
      <c r="G2992" s="13"/>
      <c r="H2992" s="13">
        <v>35.54</v>
      </c>
      <c r="I2992" s="13">
        <v>71.3</v>
      </c>
    </row>
    <row r="2993" spans="1:9" x14ac:dyDescent="0.25">
      <c r="A2993" s="10">
        <v>44159</v>
      </c>
      <c r="B2993" s="15">
        <f t="shared" si="92"/>
        <v>11</v>
      </c>
      <c r="C2993" s="15">
        <f t="shared" si="93"/>
        <v>2020</v>
      </c>
      <c r="D2993" s="13">
        <v>43.8</v>
      </c>
      <c r="E2993" s="13">
        <v>43.23</v>
      </c>
      <c r="F2993" s="13">
        <v>-47.02</v>
      </c>
      <c r="G2993" s="13"/>
      <c r="H2993" s="13">
        <v>35.54</v>
      </c>
      <c r="I2993" s="13">
        <v>71.3</v>
      </c>
    </row>
    <row r="2994" spans="1:9" x14ac:dyDescent="0.25">
      <c r="A2994" s="10">
        <v>44160</v>
      </c>
      <c r="B2994" s="15">
        <f t="shared" si="92"/>
        <v>11</v>
      </c>
      <c r="C2994" s="15">
        <f t="shared" si="93"/>
        <v>2020</v>
      </c>
      <c r="D2994" s="13">
        <v>43.8</v>
      </c>
      <c r="E2994" s="13">
        <v>41.12</v>
      </c>
      <c r="F2994" s="13">
        <v>-47.02</v>
      </c>
      <c r="G2994" s="13"/>
      <c r="H2994" s="13">
        <v>35.54</v>
      </c>
      <c r="I2994" s="13">
        <v>71.3</v>
      </c>
    </row>
    <row r="2995" spans="1:9" x14ac:dyDescent="0.25">
      <c r="A2995" s="10">
        <v>44161</v>
      </c>
      <c r="B2995" s="15">
        <f t="shared" si="92"/>
        <v>11</v>
      </c>
      <c r="C2995" s="15">
        <f t="shared" si="93"/>
        <v>2020</v>
      </c>
      <c r="D2995" s="13">
        <v>43.8</v>
      </c>
      <c r="E2995" s="13">
        <v>41.21</v>
      </c>
      <c r="F2995" s="13">
        <v>-47.02</v>
      </c>
      <c r="G2995" s="13"/>
      <c r="H2995" s="13">
        <v>35.54</v>
      </c>
      <c r="I2995" s="13">
        <v>71.3</v>
      </c>
    </row>
    <row r="2996" spans="1:9" x14ac:dyDescent="0.25">
      <c r="A2996" s="10">
        <v>44162</v>
      </c>
      <c r="B2996" s="15">
        <f t="shared" si="92"/>
        <v>11</v>
      </c>
      <c r="C2996" s="15">
        <f t="shared" si="93"/>
        <v>2020</v>
      </c>
      <c r="D2996" s="13">
        <v>43.8</v>
      </c>
      <c r="E2996" s="13">
        <v>41.21</v>
      </c>
      <c r="F2996" s="13">
        <v>-47.02</v>
      </c>
      <c r="G2996" s="13"/>
      <c r="H2996" s="13">
        <v>35.54</v>
      </c>
      <c r="I2996" s="13">
        <v>71.3</v>
      </c>
    </row>
    <row r="2997" spans="1:9" x14ac:dyDescent="0.25">
      <c r="A2997" s="10">
        <v>44165</v>
      </c>
      <c r="B2997" s="15">
        <f t="shared" si="92"/>
        <v>11</v>
      </c>
      <c r="C2997" s="15">
        <f t="shared" si="93"/>
        <v>2020</v>
      </c>
      <c r="D2997" s="13">
        <v>30.23</v>
      </c>
      <c r="E2997" s="13">
        <v>15.34</v>
      </c>
      <c r="F2997" s="13">
        <v>-64.260000000000005</v>
      </c>
      <c r="G2997" s="13"/>
      <c r="H2997" s="13">
        <v>26.9</v>
      </c>
      <c r="I2997" s="13">
        <v>72.900000000000006</v>
      </c>
    </row>
    <row r="2998" spans="1:9" x14ac:dyDescent="0.25">
      <c r="A2998" s="10">
        <v>44166</v>
      </c>
      <c r="B2998" s="15">
        <f t="shared" si="92"/>
        <v>12</v>
      </c>
      <c r="C2998" s="15">
        <f t="shared" si="93"/>
        <v>2020</v>
      </c>
      <c r="D2998" s="13">
        <v>30.23</v>
      </c>
      <c r="E2998" s="13">
        <v>15.34</v>
      </c>
      <c r="F2998" s="13">
        <v>-64.260000000000005</v>
      </c>
      <c r="G2998" s="13"/>
      <c r="H2998" s="13">
        <v>26.9</v>
      </c>
      <c r="I2998" s="13">
        <v>72.900000000000006</v>
      </c>
    </row>
    <row r="2999" spans="1:9" x14ac:dyDescent="0.25">
      <c r="A2999" s="10">
        <v>44167</v>
      </c>
      <c r="B2999" s="15">
        <f t="shared" si="92"/>
        <v>12</v>
      </c>
      <c r="C2999" s="15">
        <f t="shared" si="93"/>
        <v>2020</v>
      </c>
      <c r="D2999" s="13">
        <v>30.23</v>
      </c>
      <c r="E2999" s="13">
        <v>15.66</v>
      </c>
      <c r="F2999" s="13">
        <v>-64.260000000000005</v>
      </c>
      <c r="G2999" s="13"/>
      <c r="H2999" s="13">
        <v>26.9</v>
      </c>
      <c r="I2999" s="13">
        <v>72.900000000000006</v>
      </c>
    </row>
    <row r="3000" spans="1:9" x14ac:dyDescent="0.25">
      <c r="A3000" s="10">
        <v>44168</v>
      </c>
      <c r="B3000" s="15">
        <f t="shared" si="92"/>
        <v>12</v>
      </c>
      <c r="C3000" s="15">
        <f t="shared" si="93"/>
        <v>2020</v>
      </c>
      <c r="D3000" s="13">
        <v>30.23</v>
      </c>
      <c r="E3000" s="13">
        <v>9.48</v>
      </c>
      <c r="F3000" s="13">
        <v>-64.260000000000005</v>
      </c>
      <c r="G3000" s="13"/>
      <c r="H3000" s="13">
        <v>26.9</v>
      </c>
      <c r="I3000" s="13">
        <v>72.900000000000006</v>
      </c>
    </row>
    <row r="3001" spans="1:9" x14ac:dyDescent="0.25">
      <c r="A3001" s="10">
        <v>44169</v>
      </c>
      <c r="B3001" s="15">
        <f t="shared" si="92"/>
        <v>12</v>
      </c>
      <c r="C3001" s="15">
        <f t="shared" si="93"/>
        <v>2020</v>
      </c>
      <c r="D3001" s="13">
        <v>30.23</v>
      </c>
      <c r="E3001" s="13">
        <v>9.4499999999999993</v>
      </c>
      <c r="F3001" s="13">
        <v>-64.260000000000005</v>
      </c>
      <c r="G3001" s="13"/>
      <c r="H3001" s="13">
        <v>26.9</v>
      </c>
      <c r="I3001" s="13">
        <v>72.900000000000006</v>
      </c>
    </row>
    <row r="3002" spans="1:9" x14ac:dyDescent="0.25">
      <c r="A3002" s="10">
        <v>44172</v>
      </c>
      <c r="B3002" s="15">
        <f t="shared" si="92"/>
        <v>12</v>
      </c>
      <c r="C3002" s="15">
        <f t="shared" si="93"/>
        <v>2020</v>
      </c>
      <c r="D3002" s="13">
        <v>39.520000000000003</v>
      </c>
      <c r="E3002" s="13">
        <v>9.0500000000000007</v>
      </c>
      <c r="F3002" s="13">
        <v>-49.85</v>
      </c>
      <c r="G3002" s="13"/>
      <c r="H3002" s="13">
        <v>43.87</v>
      </c>
      <c r="I3002" s="13">
        <v>87.7</v>
      </c>
    </row>
    <row r="3003" spans="1:9" x14ac:dyDescent="0.25">
      <c r="A3003" s="10">
        <v>44173</v>
      </c>
      <c r="B3003" s="15">
        <f t="shared" si="92"/>
        <v>12</v>
      </c>
      <c r="C3003" s="15">
        <f t="shared" si="93"/>
        <v>2020</v>
      </c>
      <c r="D3003" s="13">
        <v>39.520000000000003</v>
      </c>
      <c r="E3003" s="13">
        <v>14.99</v>
      </c>
      <c r="F3003" s="13">
        <v>-49.85</v>
      </c>
      <c r="G3003" s="13"/>
      <c r="H3003" s="13">
        <v>43.87</v>
      </c>
      <c r="I3003" s="13">
        <v>87.7</v>
      </c>
    </row>
    <row r="3004" spans="1:9" x14ac:dyDescent="0.25">
      <c r="A3004" s="10">
        <v>44174</v>
      </c>
      <c r="B3004" s="15">
        <f t="shared" si="92"/>
        <v>12</v>
      </c>
      <c r="C3004" s="15">
        <f t="shared" si="93"/>
        <v>2020</v>
      </c>
      <c r="D3004" s="13">
        <v>39.520000000000003</v>
      </c>
      <c r="E3004" s="13">
        <v>-1.17</v>
      </c>
      <c r="F3004" s="13">
        <v>-49.85</v>
      </c>
      <c r="G3004" s="13"/>
      <c r="H3004" s="13">
        <v>43.87</v>
      </c>
      <c r="I3004" s="13">
        <v>87.7</v>
      </c>
    </row>
    <row r="3005" spans="1:9" x14ac:dyDescent="0.25">
      <c r="A3005" s="10">
        <v>44175</v>
      </c>
      <c r="B3005" s="15">
        <f t="shared" si="92"/>
        <v>12</v>
      </c>
      <c r="C3005" s="15">
        <f t="shared" si="93"/>
        <v>2020</v>
      </c>
      <c r="D3005" s="13">
        <v>39.520000000000003</v>
      </c>
      <c r="E3005" s="13">
        <v>0.24</v>
      </c>
      <c r="F3005" s="13">
        <v>-49.85</v>
      </c>
      <c r="G3005" s="13"/>
      <c r="H3005" s="13">
        <v>43.87</v>
      </c>
      <c r="I3005" s="13">
        <v>87.7</v>
      </c>
    </row>
    <row r="3006" spans="1:9" x14ac:dyDescent="0.25">
      <c r="A3006" s="10">
        <v>44176</v>
      </c>
      <c r="B3006" s="15">
        <f t="shared" si="92"/>
        <v>12</v>
      </c>
      <c r="C3006" s="15">
        <f t="shared" si="93"/>
        <v>2020</v>
      </c>
      <c r="D3006" s="13">
        <v>39.520000000000003</v>
      </c>
      <c r="E3006" s="13">
        <v>3.15</v>
      </c>
      <c r="F3006" s="13">
        <v>-49.85</v>
      </c>
      <c r="G3006" s="13"/>
      <c r="H3006" s="13">
        <v>43.87</v>
      </c>
      <c r="I3006" s="13">
        <v>87.7</v>
      </c>
    </row>
    <row r="3007" spans="1:9" x14ac:dyDescent="0.25">
      <c r="A3007" s="10">
        <v>44179</v>
      </c>
      <c r="B3007" s="15">
        <f t="shared" si="92"/>
        <v>12</v>
      </c>
      <c r="C3007" s="15">
        <f t="shared" si="93"/>
        <v>2020</v>
      </c>
      <c r="D3007" s="13">
        <v>56.33</v>
      </c>
      <c r="E3007" s="13">
        <v>6.57</v>
      </c>
      <c r="F3007" s="13">
        <v>-51.77</v>
      </c>
      <c r="G3007" s="13"/>
      <c r="H3007" s="13">
        <v>55.06</v>
      </c>
      <c r="I3007" s="13">
        <v>88.4</v>
      </c>
    </row>
    <row r="3008" spans="1:9" x14ac:dyDescent="0.25">
      <c r="A3008" s="10">
        <v>44180</v>
      </c>
      <c r="B3008" s="15">
        <f t="shared" si="92"/>
        <v>12</v>
      </c>
      <c r="C3008" s="15">
        <f t="shared" si="93"/>
        <v>2020</v>
      </c>
      <c r="D3008" s="13">
        <v>56.33</v>
      </c>
      <c r="E3008" s="13">
        <v>12.71</v>
      </c>
      <c r="F3008" s="13">
        <v>-51.77</v>
      </c>
      <c r="G3008" s="13"/>
      <c r="H3008" s="13">
        <v>55.06</v>
      </c>
      <c r="I3008" s="13">
        <v>88.4</v>
      </c>
    </row>
    <row r="3009" spans="1:9" x14ac:dyDescent="0.25">
      <c r="A3009" s="10">
        <v>44181</v>
      </c>
      <c r="B3009" s="15">
        <f t="shared" si="92"/>
        <v>12</v>
      </c>
      <c r="C3009" s="15">
        <f t="shared" si="93"/>
        <v>2020</v>
      </c>
      <c r="D3009" s="13">
        <v>56.33</v>
      </c>
      <c r="E3009" s="13">
        <v>5.83</v>
      </c>
      <c r="F3009" s="13">
        <v>-51.77</v>
      </c>
      <c r="G3009" s="13"/>
      <c r="H3009" s="13">
        <v>55.06</v>
      </c>
      <c r="I3009" s="13">
        <v>88.4</v>
      </c>
    </row>
    <row r="3010" spans="1:9" x14ac:dyDescent="0.25">
      <c r="A3010" s="10">
        <v>44182</v>
      </c>
      <c r="B3010" s="15">
        <f t="shared" si="92"/>
        <v>12</v>
      </c>
      <c r="C3010" s="15">
        <f t="shared" si="93"/>
        <v>2020</v>
      </c>
      <c r="D3010" s="13">
        <v>56.33</v>
      </c>
      <c r="E3010" s="13">
        <v>13.82</v>
      </c>
      <c r="F3010" s="13">
        <v>-51.77</v>
      </c>
      <c r="G3010" s="13"/>
      <c r="H3010" s="13">
        <v>55.06</v>
      </c>
      <c r="I3010" s="13">
        <v>88.4</v>
      </c>
    </row>
    <row r="3011" spans="1:9" x14ac:dyDescent="0.25">
      <c r="A3011" s="10">
        <v>44183</v>
      </c>
      <c r="B3011" s="15">
        <f t="shared" ref="B3011:B3074" si="94">MONTH(A3011)</f>
        <v>12</v>
      </c>
      <c r="C3011" s="15">
        <f t="shared" ref="C3011:C3074" si="95">YEAR(A3011)</f>
        <v>2020</v>
      </c>
      <c r="D3011" s="13">
        <v>56.33</v>
      </c>
      <c r="E3011" s="13">
        <v>12.73</v>
      </c>
      <c r="F3011" s="13">
        <v>-51.77</v>
      </c>
      <c r="G3011" s="13"/>
      <c r="H3011" s="13">
        <v>55.06</v>
      </c>
      <c r="I3011" s="13">
        <v>88.4</v>
      </c>
    </row>
    <row r="3012" spans="1:9" x14ac:dyDescent="0.25">
      <c r="A3012" s="10">
        <v>44186</v>
      </c>
      <c r="B3012" s="15">
        <f t="shared" si="94"/>
        <v>12</v>
      </c>
      <c r="C3012" s="15">
        <f t="shared" si="95"/>
        <v>2020</v>
      </c>
      <c r="D3012" s="13">
        <v>56.21</v>
      </c>
      <c r="E3012" s="13">
        <v>11.05</v>
      </c>
      <c r="F3012" s="13">
        <v>-53.95</v>
      </c>
      <c r="G3012" s="13"/>
      <c r="H3012" s="13">
        <v>58.68</v>
      </c>
      <c r="I3012" s="13">
        <v>84.56</v>
      </c>
    </row>
    <row r="3013" spans="1:9" x14ac:dyDescent="0.25">
      <c r="A3013" s="10">
        <v>44187</v>
      </c>
      <c r="B3013" s="15">
        <f t="shared" si="94"/>
        <v>12</v>
      </c>
      <c r="C3013" s="15">
        <f t="shared" si="95"/>
        <v>2020</v>
      </c>
      <c r="D3013" s="13">
        <v>56.21</v>
      </c>
      <c r="E3013" s="13">
        <v>15.91</v>
      </c>
      <c r="F3013" s="13">
        <v>-53.95</v>
      </c>
      <c r="G3013" s="13"/>
      <c r="H3013" s="13">
        <v>58.68</v>
      </c>
      <c r="I3013" s="13">
        <v>84.56</v>
      </c>
    </row>
    <row r="3014" spans="1:9" x14ac:dyDescent="0.25">
      <c r="A3014" s="10">
        <v>44188</v>
      </c>
      <c r="B3014" s="15">
        <f t="shared" si="94"/>
        <v>12</v>
      </c>
      <c r="C3014" s="15">
        <f t="shared" si="95"/>
        <v>2020</v>
      </c>
      <c r="D3014" s="13">
        <v>56.21</v>
      </c>
      <c r="E3014" s="13">
        <v>30.38</v>
      </c>
      <c r="F3014" s="13">
        <v>-53.95</v>
      </c>
      <c r="G3014" s="13"/>
      <c r="H3014" s="13">
        <v>58.68</v>
      </c>
      <c r="I3014" s="13">
        <v>84.56</v>
      </c>
    </row>
    <row r="3015" spans="1:9" x14ac:dyDescent="0.25">
      <c r="A3015" s="10">
        <v>44189</v>
      </c>
      <c r="B3015" s="15">
        <f t="shared" si="94"/>
        <v>12</v>
      </c>
      <c r="C3015" s="15">
        <f t="shared" si="95"/>
        <v>2020</v>
      </c>
      <c r="D3015" s="13">
        <v>56.21</v>
      </c>
      <c r="E3015" s="13">
        <v>31.22</v>
      </c>
      <c r="F3015" s="13">
        <v>-53.95</v>
      </c>
      <c r="G3015" s="13"/>
      <c r="H3015" s="13">
        <v>58.68</v>
      </c>
      <c r="I3015" s="13">
        <v>84.56</v>
      </c>
    </row>
    <row r="3016" spans="1:9" x14ac:dyDescent="0.25">
      <c r="A3016" s="10">
        <v>44190</v>
      </c>
      <c r="B3016" s="15">
        <f t="shared" si="94"/>
        <v>12</v>
      </c>
      <c r="C3016" s="15">
        <f t="shared" si="95"/>
        <v>2020</v>
      </c>
      <c r="D3016" s="13">
        <v>56.21</v>
      </c>
      <c r="E3016" s="13"/>
      <c r="F3016" s="13">
        <v>-53.95</v>
      </c>
      <c r="G3016" s="13"/>
      <c r="H3016" s="13">
        <v>58.68</v>
      </c>
      <c r="I3016" s="13">
        <v>84.56</v>
      </c>
    </row>
    <row r="3017" spans="1:9" x14ac:dyDescent="0.25">
      <c r="A3017" s="10">
        <v>44193</v>
      </c>
      <c r="B3017" s="15">
        <f t="shared" si="94"/>
        <v>12</v>
      </c>
      <c r="C3017" s="15">
        <f t="shared" si="95"/>
        <v>2020</v>
      </c>
      <c r="D3017" s="13">
        <v>55.66</v>
      </c>
      <c r="E3017" s="13"/>
      <c r="F3017" s="13">
        <v>-66.83</v>
      </c>
      <c r="G3017" s="13"/>
      <c r="H3017" s="13">
        <v>64.510000000000005</v>
      </c>
      <c r="I3017" s="13">
        <v>78.62</v>
      </c>
    </row>
    <row r="3018" spans="1:9" x14ac:dyDescent="0.25">
      <c r="A3018" s="10">
        <v>44194</v>
      </c>
      <c r="B3018" s="15">
        <f t="shared" si="94"/>
        <v>12</v>
      </c>
      <c r="C3018" s="15">
        <f t="shared" si="95"/>
        <v>2020</v>
      </c>
      <c r="D3018" s="13">
        <v>55.66</v>
      </c>
      <c r="E3018" s="13">
        <v>42.68</v>
      </c>
      <c r="F3018" s="13">
        <v>-66.83</v>
      </c>
      <c r="G3018" s="13"/>
      <c r="H3018" s="13">
        <v>64.510000000000005</v>
      </c>
      <c r="I3018" s="13">
        <v>78.62</v>
      </c>
    </row>
    <row r="3019" spans="1:9" x14ac:dyDescent="0.25">
      <c r="A3019" s="10">
        <v>44195</v>
      </c>
      <c r="B3019" s="15">
        <f t="shared" si="94"/>
        <v>12</v>
      </c>
      <c r="C3019" s="15">
        <f t="shared" si="95"/>
        <v>2020</v>
      </c>
      <c r="D3019" s="13">
        <v>55.66</v>
      </c>
      <c r="E3019" s="13">
        <v>42.68</v>
      </c>
      <c r="F3019" s="13">
        <v>-66.83</v>
      </c>
      <c r="G3019" s="13"/>
      <c r="H3019" s="13">
        <v>64.510000000000005</v>
      </c>
      <c r="I3019" s="13">
        <v>78.62</v>
      </c>
    </row>
    <row r="3020" spans="1:9" x14ac:dyDescent="0.25">
      <c r="A3020" s="10">
        <v>44196</v>
      </c>
      <c r="B3020" s="15">
        <f t="shared" si="94"/>
        <v>12</v>
      </c>
      <c r="C3020" s="15">
        <f t="shared" si="95"/>
        <v>2020</v>
      </c>
      <c r="D3020" s="13">
        <v>55.66</v>
      </c>
      <c r="E3020" s="13">
        <v>42.68</v>
      </c>
      <c r="F3020" s="13">
        <v>-66.83</v>
      </c>
      <c r="G3020" s="13"/>
      <c r="H3020" s="13">
        <v>64.510000000000005</v>
      </c>
      <c r="I3020" s="13">
        <v>78.62</v>
      </c>
    </row>
    <row r="3021" spans="1:9" x14ac:dyDescent="0.25">
      <c r="A3021" s="10">
        <v>44200</v>
      </c>
      <c r="B3021" s="15">
        <f t="shared" si="94"/>
        <v>1</v>
      </c>
      <c r="C3021" s="15">
        <f t="shared" si="95"/>
        <v>2021</v>
      </c>
      <c r="D3021" s="13">
        <v>87.33</v>
      </c>
      <c r="E3021" s="13">
        <v>44.64</v>
      </c>
      <c r="F3021" s="13">
        <v>-36.85</v>
      </c>
      <c r="G3021" s="13"/>
      <c r="H3021" s="13">
        <v>86.43</v>
      </c>
      <c r="I3021" s="13">
        <v>91.84</v>
      </c>
    </row>
    <row r="3022" spans="1:9" x14ac:dyDescent="0.25">
      <c r="A3022" s="10" t="s">
        <v>702</v>
      </c>
      <c r="B3022" s="15">
        <f t="shared" si="94"/>
        <v>1</v>
      </c>
      <c r="C3022" s="15">
        <f t="shared" si="95"/>
        <v>2021</v>
      </c>
      <c r="D3022" s="13">
        <v>87.33</v>
      </c>
      <c r="E3022" s="13">
        <v>64.02</v>
      </c>
      <c r="F3022" s="13">
        <v>-36.85</v>
      </c>
      <c r="G3022" s="13"/>
      <c r="H3022" s="13">
        <v>86.43</v>
      </c>
      <c r="I3022" s="13">
        <v>91.84</v>
      </c>
    </row>
    <row r="3023" spans="1:9" x14ac:dyDescent="0.25">
      <c r="A3023" s="10">
        <v>44202</v>
      </c>
      <c r="B3023" s="15">
        <f t="shared" si="94"/>
        <v>1</v>
      </c>
      <c r="C3023" s="15">
        <f t="shared" si="95"/>
        <v>2021</v>
      </c>
      <c r="D3023" s="13">
        <v>87.33</v>
      </c>
      <c r="E3023" s="13">
        <v>86.1</v>
      </c>
      <c r="F3023" s="13">
        <v>-36.85</v>
      </c>
      <c r="G3023" s="13"/>
      <c r="H3023" s="13">
        <v>86.43</v>
      </c>
      <c r="I3023" s="13">
        <v>91.84</v>
      </c>
    </row>
    <row r="3024" spans="1:9" x14ac:dyDescent="0.25">
      <c r="A3024" s="10">
        <v>44203</v>
      </c>
      <c r="B3024" s="15">
        <f t="shared" si="94"/>
        <v>1</v>
      </c>
      <c r="C3024" s="15">
        <f t="shared" si="95"/>
        <v>2021</v>
      </c>
      <c r="D3024" s="13">
        <v>87.33</v>
      </c>
      <c r="E3024" s="13">
        <v>81.7</v>
      </c>
      <c r="F3024" s="13">
        <v>-36.85</v>
      </c>
      <c r="G3024" s="13"/>
      <c r="H3024" s="13">
        <v>86.43</v>
      </c>
      <c r="I3024" s="13">
        <v>91.84</v>
      </c>
    </row>
    <row r="3025" spans="1:9" x14ac:dyDescent="0.25">
      <c r="A3025" s="10">
        <v>44204</v>
      </c>
      <c r="B3025" s="15">
        <f t="shared" si="94"/>
        <v>1</v>
      </c>
      <c r="C3025" s="15">
        <f t="shared" si="95"/>
        <v>2021</v>
      </c>
      <c r="D3025" s="13">
        <v>87.33</v>
      </c>
      <c r="E3025" s="13">
        <v>83.01</v>
      </c>
      <c r="F3025" s="13">
        <v>-36.85</v>
      </c>
      <c r="G3025" s="13"/>
      <c r="H3025" s="13">
        <v>86.43</v>
      </c>
      <c r="I3025" s="13">
        <v>91.84</v>
      </c>
    </row>
    <row r="3026" spans="1:9" x14ac:dyDescent="0.25">
      <c r="A3026" s="10">
        <v>44207</v>
      </c>
      <c r="B3026" s="15">
        <f t="shared" si="94"/>
        <v>1</v>
      </c>
      <c r="C3026" s="15">
        <f t="shared" si="95"/>
        <v>2021</v>
      </c>
      <c r="D3026" s="13">
        <v>67.989999999999995</v>
      </c>
      <c r="E3026" s="13">
        <v>75.239999999999995</v>
      </c>
      <c r="F3026" s="13">
        <v>-50.42</v>
      </c>
      <c r="G3026" s="13"/>
      <c r="H3026" s="13">
        <v>68.27</v>
      </c>
      <c r="I3026" s="13">
        <v>84.65</v>
      </c>
    </row>
    <row r="3027" spans="1:9" x14ac:dyDescent="0.25">
      <c r="A3027" s="10">
        <v>44208</v>
      </c>
      <c r="B3027" s="15">
        <f t="shared" si="94"/>
        <v>1</v>
      </c>
      <c r="C3027" s="15">
        <f t="shared" si="95"/>
        <v>2021</v>
      </c>
      <c r="D3027" s="13">
        <v>67.989999999999995</v>
      </c>
      <c r="E3027" s="13">
        <v>24.1</v>
      </c>
      <c r="F3027" s="13">
        <v>-50.42</v>
      </c>
      <c r="G3027" s="13"/>
      <c r="H3027" s="13">
        <v>68.27</v>
      </c>
      <c r="I3027" s="13">
        <v>84.65</v>
      </c>
    </row>
    <row r="3028" spans="1:9" x14ac:dyDescent="0.25">
      <c r="A3028" s="10">
        <v>44209</v>
      </c>
      <c r="B3028" s="15">
        <f t="shared" si="94"/>
        <v>1</v>
      </c>
      <c r="C3028" s="15">
        <f t="shared" si="95"/>
        <v>2021</v>
      </c>
      <c r="D3028" s="13">
        <v>67.989999999999995</v>
      </c>
      <c r="E3028" s="13">
        <v>24.5</v>
      </c>
      <c r="F3028" s="13">
        <v>-50.42</v>
      </c>
      <c r="G3028" s="13"/>
      <c r="H3028" s="13">
        <v>68.27</v>
      </c>
      <c r="I3028" s="13">
        <v>84.65</v>
      </c>
    </row>
    <row r="3029" spans="1:9" x14ac:dyDescent="0.25">
      <c r="A3029" s="10">
        <v>44210</v>
      </c>
      <c r="B3029" s="15">
        <f t="shared" si="94"/>
        <v>1</v>
      </c>
      <c r="C3029" s="15">
        <f t="shared" si="95"/>
        <v>2021</v>
      </c>
      <c r="D3029" s="13">
        <v>67.989999999999995</v>
      </c>
      <c r="E3029" s="13">
        <v>12.61</v>
      </c>
      <c r="F3029" s="13">
        <v>-50.42</v>
      </c>
      <c r="G3029" s="13"/>
      <c r="H3029" s="13">
        <v>68.27</v>
      </c>
      <c r="I3029" s="13">
        <v>84.65</v>
      </c>
    </row>
    <row r="3030" spans="1:9" x14ac:dyDescent="0.25">
      <c r="A3030" s="10">
        <v>44211</v>
      </c>
      <c r="B3030" s="15">
        <f t="shared" si="94"/>
        <v>1</v>
      </c>
      <c r="C3030" s="15">
        <f t="shared" si="95"/>
        <v>2021</v>
      </c>
      <c r="D3030" s="13">
        <v>67.989999999999995</v>
      </c>
      <c r="E3030" s="13">
        <v>-7.94</v>
      </c>
      <c r="F3030" s="13">
        <v>-50.42</v>
      </c>
      <c r="G3030" s="13"/>
      <c r="H3030" s="13">
        <v>68.27</v>
      </c>
      <c r="I3030" s="13">
        <v>84.65</v>
      </c>
    </row>
    <row r="3031" spans="1:9" x14ac:dyDescent="0.25">
      <c r="A3031" s="10">
        <v>44214</v>
      </c>
      <c r="B3031" s="15">
        <f t="shared" si="94"/>
        <v>1</v>
      </c>
      <c r="C3031" s="15">
        <f t="shared" si="95"/>
        <v>2021</v>
      </c>
      <c r="D3031" s="13">
        <v>67.81</v>
      </c>
      <c r="E3031" s="13">
        <v>15.43</v>
      </c>
      <c r="F3031" s="13">
        <v>-53.7</v>
      </c>
      <c r="G3031" s="13"/>
      <c r="H3031" s="13">
        <v>60.8</v>
      </c>
      <c r="I3031" s="13">
        <v>91.42</v>
      </c>
    </row>
    <row r="3032" spans="1:9" x14ac:dyDescent="0.25">
      <c r="A3032" s="10">
        <v>44215</v>
      </c>
      <c r="B3032" s="15">
        <f t="shared" si="94"/>
        <v>1</v>
      </c>
      <c r="C3032" s="15">
        <f t="shared" si="95"/>
        <v>2021</v>
      </c>
      <c r="D3032" s="13">
        <v>67.81</v>
      </c>
      <c r="E3032" s="13">
        <v>12.75</v>
      </c>
      <c r="F3032" s="13">
        <v>-53.7</v>
      </c>
      <c r="G3032" s="13"/>
      <c r="H3032" s="13">
        <v>60.8</v>
      </c>
      <c r="I3032" s="13">
        <v>91.42</v>
      </c>
    </row>
    <row r="3033" spans="1:9" x14ac:dyDescent="0.25">
      <c r="A3033" s="10">
        <v>44216</v>
      </c>
      <c r="B3033" s="15">
        <f t="shared" si="94"/>
        <v>1</v>
      </c>
      <c r="C3033" s="15">
        <f t="shared" si="95"/>
        <v>2021</v>
      </c>
      <c r="D3033" s="13">
        <v>67.81</v>
      </c>
      <c r="E3033" s="13">
        <v>22.25</v>
      </c>
      <c r="F3033" s="13">
        <v>-53.7</v>
      </c>
      <c r="G3033" s="13"/>
      <c r="H3033" s="13">
        <v>60.8</v>
      </c>
      <c r="I3033" s="13">
        <v>91.42</v>
      </c>
    </row>
    <row r="3034" spans="1:9" x14ac:dyDescent="0.25">
      <c r="A3034" s="10">
        <v>44217</v>
      </c>
      <c r="B3034" s="15">
        <f t="shared" si="94"/>
        <v>1</v>
      </c>
      <c r="C3034" s="15">
        <f t="shared" si="95"/>
        <v>2021</v>
      </c>
      <c r="D3034" s="13">
        <v>67.81</v>
      </c>
      <c r="E3034" s="13">
        <v>21.48</v>
      </c>
      <c r="F3034" s="13">
        <v>-53.7</v>
      </c>
      <c r="G3034" s="13"/>
      <c r="H3034" s="13">
        <v>60.8</v>
      </c>
      <c r="I3034" s="13">
        <v>91.42</v>
      </c>
    </row>
    <row r="3035" spans="1:9" x14ac:dyDescent="0.25">
      <c r="A3035" s="10">
        <v>44218</v>
      </c>
      <c r="B3035" s="15">
        <f t="shared" si="94"/>
        <v>1</v>
      </c>
      <c r="C3035" s="15">
        <f t="shared" si="95"/>
        <v>2021</v>
      </c>
      <c r="D3035" s="13">
        <v>67.81</v>
      </c>
      <c r="E3035" s="13">
        <v>17.010000000000002</v>
      </c>
      <c r="F3035" s="13">
        <v>-53.7</v>
      </c>
      <c r="G3035" s="13"/>
      <c r="H3035" s="13">
        <v>60.8</v>
      </c>
      <c r="I3035" s="13">
        <v>91.42</v>
      </c>
    </row>
    <row r="3036" spans="1:9" x14ac:dyDescent="0.25">
      <c r="A3036" s="10">
        <v>44221</v>
      </c>
      <c r="B3036" s="15">
        <f t="shared" si="94"/>
        <v>1</v>
      </c>
      <c r="C3036" s="15">
        <f t="shared" si="95"/>
        <v>2021</v>
      </c>
      <c r="D3036" s="13">
        <v>73.819999999999993</v>
      </c>
      <c r="E3036" s="13">
        <v>16.329999999999998</v>
      </c>
      <c r="F3036" s="13">
        <v>-49.63</v>
      </c>
      <c r="G3036" s="13"/>
      <c r="H3036" s="13">
        <v>63.75</v>
      </c>
      <c r="I3036" s="13">
        <v>81.62</v>
      </c>
    </row>
    <row r="3037" spans="1:9" x14ac:dyDescent="0.25">
      <c r="A3037" s="10">
        <v>44222</v>
      </c>
      <c r="B3037" s="15">
        <f t="shared" si="94"/>
        <v>1</v>
      </c>
      <c r="C3037" s="15">
        <f t="shared" si="95"/>
        <v>2021</v>
      </c>
      <c r="D3037" s="13">
        <v>73.819999999999993</v>
      </c>
      <c r="E3037" s="13">
        <v>18.649999999999999</v>
      </c>
      <c r="F3037" s="13">
        <v>-49.63</v>
      </c>
      <c r="G3037" s="13"/>
      <c r="H3037" s="13">
        <v>63.75</v>
      </c>
      <c r="I3037" s="13">
        <v>81.62</v>
      </c>
    </row>
    <row r="3038" spans="1:9" x14ac:dyDescent="0.25">
      <c r="A3038" s="10">
        <v>44223</v>
      </c>
      <c r="B3038" s="15">
        <f t="shared" si="94"/>
        <v>1</v>
      </c>
      <c r="C3038" s="15">
        <f t="shared" si="95"/>
        <v>2021</v>
      </c>
      <c r="D3038" s="13">
        <v>73.819999999999993</v>
      </c>
      <c r="E3038" s="13">
        <v>27.69</v>
      </c>
      <c r="F3038" s="13">
        <v>-49.63</v>
      </c>
      <c r="G3038" s="13"/>
      <c r="H3038" s="13">
        <v>63.75</v>
      </c>
      <c r="I3038" s="13">
        <v>81.62</v>
      </c>
    </row>
    <row r="3039" spans="1:9" x14ac:dyDescent="0.25">
      <c r="A3039" s="10">
        <v>44224</v>
      </c>
      <c r="B3039" s="15">
        <f t="shared" si="94"/>
        <v>1</v>
      </c>
      <c r="C3039" s="15">
        <f t="shared" si="95"/>
        <v>2021</v>
      </c>
      <c r="D3039" s="13">
        <v>73.819999999999993</v>
      </c>
      <c r="E3039" s="13">
        <v>28.28</v>
      </c>
      <c r="F3039" s="13">
        <v>-49.63</v>
      </c>
      <c r="G3039" s="13"/>
      <c r="H3039" s="13">
        <v>63.75</v>
      </c>
      <c r="I3039" s="13">
        <v>81.62</v>
      </c>
    </row>
    <row r="3040" spans="1:9" x14ac:dyDescent="0.25">
      <c r="A3040" s="10">
        <v>44225</v>
      </c>
      <c r="B3040" s="15">
        <f t="shared" si="94"/>
        <v>1</v>
      </c>
      <c r="C3040" s="15">
        <f t="shared" si="95"/>
        <v>2021</v>
      </c>
      <c r="D3040" s="13">
        <v>73.819999999999993</v>
      </c>
      <c r="E3040" s="13">
        <v>32.97</v>
      </c>
      <c r="F3040" s="13">
        <v>-49.63</v>
      </c>
      <c r="G3040" s="13"/>
      <c r="H3040" s="13">
        <v>63.75</v>
      </c>
      <c r="I3040" s="13">
        <v>81.62</v>
      </c>
    </row>
    <row r="3041" spans="1:9" x14ac:dyDescent="0.25">
      <c r="A3041" s="10">
        <v>44228</v>
      </c>
      <c r="B3041" s="15">
        <f t="shared" si="94"/>
        <v>2</v>
      </c>
      <c r="C3041" s="15">
        <f t="shared" si="95"/>
        <v>2021</v>
      </c>
      <c r="D3041" s="13">
        <v>51.43</v>
      </c>
      <c r="E3041" s="13">
        <v>32.049999999999997</v>
      </c>
      <c r="F3041" s="13">
        <v>-66.02</v>
      </c>
      <c r="G3041" s="13"/>
      <c r="H3041" s="13">
        <v>45.93</v>
      </c>
      <c r="I3041" s="13">
        <v>72.06</v>
      </c>
    </row>
    <row r="3042" spans="1:9" x14ac:dyDescent="0.25">
      <c r="A3042" s="10">
        <v>44229</v>
      </c>
      <c r="B3042" s="15">
        <f t="shared" si="94"/>
        <v>2</v>
      </c>
      <c r="C3042" s="15">
        <f t="shared" si="95"/>
        <v>2021</v>
      </c>
      <c r="D3042" s="13">
        <v>51.43</v>
      </c>
      <c r="E3042" s="13">
        <v>28.11</v>
      </c>
      <c r="F3042" s="13">
        <v>-66.02</v>
      </c>
      <c r="G3042" s="13"/>
      <c r="H3042" s="13">
        <v>45.93</v>
      </c>
      <c r="I3042" s="13">
        <v>72.06</v>
      </c>
    </row>
    <row r="3043" spans="1:9" x14ac:dyDescent="0.25">
      <c r="A3043" s="10">
        <v>44230</v>
      </c>
      <c r="B3043" s="15">
        <f t="shared" si="94"/>
        <v>2</v>
      </c>
      <c r="C3043" s="15">
        <f t="shared" si="95"/>
        <v>2021</v>
      </c>
      <c r="D3043" s="13">
        <v>51.43</v>
      </c>
      <c r="E3043" s="13">
        <v>1.52</v>
      </c>
      <c r="F3043" s="13">
        <v>-66.02</v>
      </c>
      <c r="G3043" s="13"/>
      <c r="H3043" s="13">
        <v>45.93</v>
      </c>
      <c r="I3043" s="13">
        <v>72.06</v>
      </c>
    </row>
    <row r="3044" spans="1:9" x14ac:dyDescent="0.25">
      <c r="A3044" s="10">
        <v>44231</v>
      </c>
      <c r="B3044" s="15">
        <f t="shared" si="94"/>
        <v>2</v>
      </c>
      <c r="C3044" s="15">
        <f t="shared" si="95"/>
        <v>2021</v>
      </c>
      <c r="D3044" s="13">
        <v>51.43</v>
      </c>
      <c r="E3044" s="13">
        <v>0.15</v>
      </c>
      <c r="F3044" s="13">
        <v>-66.02</v>
      </c>
      <c r="G3044" s="13"/>
      <c r="H3044" s="13">
        <v>45.93</v>
      </c>
      <c r="I3044" s="13">
        <v>72.06</v>
      </c>
    </row>
    <row r="3045" spans="1:9" x14ac:dyDescent="0.25">
      <c r="A3045" s="10">
        <v>44232</v>
      </c>
      <c r="B3045" s="15">
        <f t="shared" si="94"/>
        <v>2</v>
      </c>
      <c r="C3045" s="15">
        <f t="shared" si="95"/>
        <v>2021</v>
      </c>
      <c r="D3045" s="13">
        <v>51.43</v>
      </c>
      <c r="E3045" s="13">
        <v>12.28</v>
      </c>
      <c r="F3045" s="13">
        <v>-66.02</v>
      </c>
      <c r="G3045" s="13"/>
      <c r="H3045" s="13">
        <v>45.93</v>
      </c>
      <c r="I3045" s="13">
        <v>72.06</v>
      </c>
    </row>
    <row r="3046" spans="1:9" x14ac:dyDescent="0.25">
      <c r="A3046" s="10">
        <v>44235</v>
      </c>
      <c r="B3046" s="15">
        <f t="shared" si="94"/>
        <v>2</v>
      </c>
      <c r="C3046" s="15">
        <f t="shared" si="95"/>
        <v>2021</v>
      </c>
      <c r="D3046" s="13">
        <v>96.33</v>
      </c>
      <c r="E3046" s="13">
        <v>12.28</v>
      </c>
      <c r="F3046" s="13">
        <v>1.36</v>
      </c>
      <c r="G3046" s="13"/>
      <c r="H3046" s="13">
        <v>83.32</v>
      </c>
      <c r="I3046" s="13">
        <v>93.87</v>
      </c>
    </row>
    <row r="3047" spans="1:9" x14ac:dyDescent="0.25">
      <c r="A3047" s="10">
        <v>44236</v>
      </c>
      <c r="B3047" s="15">
        <f t="shared" si="94"/>
        <v>2</v>
      </c>
      <c r="C3047" s="15">
        <f t="shared" si="95"/>
        <v>2021</v>
      </c>
      <c r="D3047" s="13">
        <v>96.33</v>
      </c>
      <c r="E3047" s="13">
        <v>9.6999999999999993</v>
      </c>
      <c r="F3047" s="13">
        <v>1.36</v>
      </c>
      <c r="G3047" s="13"/>
      <c r="H3047" s="13">
        <v>83.32</v>
      </c>
      <c r="I3047" s="13">
        <v>93.87</v>
      </c>
    </row>
    <row r="3048" spans="1:9" x14ac:dyDescent="0.25">
      <c r="A3048" s="10">
        <v>44237</v>
      </c>
      <c r="B3048" s="15">
        <f t="shared" si="94"/>
        <v>2</v>
      </c>
      <c r="C3048" s="15">
        <f t="shared" si="95"/>
        <v>2021</v>
      </c>
      <c r="D3048" s="13">
        <v>96.33</v>
      </c>
      <c r="E3048" s="13">
        <v>21.05</v>
      </c>
      <c r="F3048" s="13">
        <v>1.36</v>
      </c>
      <c r="G3048" s="13"/>
      <c r="H3048" s="13">
        <v>83.32</v>
      </c>
      <c r="I3048" s="13">
        <v>93.87</v>
      </c>
    </row>
    <row r="3049" spans="1:9" x14ac:dyDescent="0.25">
      <c r="A3049" s="10">
        <v>44238</v>
      </c>
      <c r="B3049" s="15">
        <f t="shared" si="94"/>
        <v>2</v>
      </c>
      <c r="C3049" s="15">
        <f t="shared" si="95"/>
        <v>2021</v>
      </c>
      <c r="D3049" s="13">
        <v>96.33</v>
      </c>
      <c r="E3049" s="13">
        <v>16.66</v>
      </c>
      <c r="F3049" s="13">
        <v>1.36</v>
      </c>
      <c r="G3049" s="13"/>
      <c r="H3049" s="13">
        <v>83.32</v>
      </c>
      <c r="I3049" s="13">
        <v>93.87</v>
      </c>
    </row>
    <row r="3050" spans="1:9" x14ac:dyDescent="0.25">
      <c r="A3050" s="10">
        <v>44239</v>
      </c>
      <c r="B3050" s="15">
        <f t="shared" si="94"/>
        <v>2</v>
      </c>
      <c r="C3050" s="15">
        <f t="shared" si="95"/>
        <v>2021</v>
      </c>
      <c r="D3050" s="13">
        <v>96.33</v>
      </c>
      <c r="E3050" s="13">
        <v>17.18</v>
      </c>
      <c r="F3050" s="13">
        <v>1.36</v>
      </c>
      <c r="G3050" s="13"/>
      <c r="H3050" s="13">
        <v>83.32</v>
      </c>
      <c r="I3050" s="13">
        <v>93.87</v>
      </c>
    </row>
    <row r="3051" spans="1:9" x14ac:dyDescent="0.25">
      <c r="A3051" s="10">
        <v>44242</v>
      </c>
      <c r="B3051" s="15">
        <f t="shared" si="94"/>
        <v>2</v>
      </c>
      <c r="C3051" s="15">
        <f t="shared" si="95"/>
        <v>2021</v>
      </c>
      <c r="D3051" s="13">
        <v>101.67</v>
      </c>
      <c r="E3051" s="13">
        <v>13.07</v>
      </c>
      <c r="F3051" s="13">
        <v>-2.76</v>
      </c>
      <c r="G3051" s="13"/>
      <c r="H3051" s="13">
        <v>70.28</v>
      </c>
      <c r="I3051" s="13">
        <v>82.34</v>
      </c>
    </row>
    <row r="3052" spans="1:9" x14ac:dyDescent="0.25">
      <c r="A3052" s="10">
        <v>44243</v>
      </c>
      <c r="B3052" s="15">
        <f t="shared" si="94"/>
        <v>2</v>
      </c>
      <c r="C3052" s="15">
        <f t="shared" si="95"/>
        <v>2021</v>
      </c>
      <c r="D3052" s="13">
        <v>101.67</v>
      </c>
      <c r="E3052" s="13">
        <v>12.25</v>
      </c>
      <c r="F3052" s="13">
        <v>-2.76</v>
      </c>
      <c r="G3052" s="13"/>
      <c r="H3052" s="13">
        <v>70.28</v>
      </c>
      <c r="I3052" s="13">
        <v>82.34</v>
      </c>
    </row>
    <row r="3053" spans="1:9" x14ac:dyDescent="0.25">
      <c r="A3053" s="10">
        <v>44244</v>
      </c>
      <c r="B3053" s="15">
        <f t="shared" si="94"/>
        <v>2</v>
      </c>
      <c r="C3053" s="15">
        <f t="shared" si="95"/>
        <v>2021</v>
      </c>
      <c r="D3053" s="13">
        <v>101.67</v>
      </c>
      <c r="E3053" s="13">
        <v>-2.2200000000000002</v>
      </c>
      <c r="F3053" s="13">
        <v>-2.76</v>
      </c>
      <c r="G3053" s="13"/>
      <c r="H3053" s="13">
        <v>70.28</v>
      </c>
      <c r="I3053" s="13">
        <v>82.34</v>
      </c>
    </row>
    <row r="3054" spans="1:9" x14ac:dyDescent="0.25">
      <c r="A3054" s="10">
        <v>44245</v>
      </c>
      <c r="B3054" s="15">
        <f t="shared" si="94"/>
        <v>2</v>
      </c>
      <c r="C3054" s="15">
        <f t="shared" si="95"/>
        <v>2021</v>
      </c>
      <c r="D3054" s="13">
        <v>101.67</v>
      </c>
      <c r="E3054" s="13">
        <v>0.98</v>
      </c>
      <c r="F3054" s="13">
        <v>-2.76</v>
      </c>
      <c r="G3054" s="13"/>
      <c r="H3054" s="13">
        <v>70.28</v>
      </c>
      <c r="I3054" s="13">
        <v>82.34</v>
      </c>
    </row>
    <row r="3055" spans="1:9" x14ac:dyDescent="0.25">
      <c r="A3055" s="10">
        <v>44246</v>
      </c>
      <c r="B3055" s="15">
        <f t="shared" si="94"/>
        <v>2</v>
      </c>
      <c r="C3055" s="15">
        <f t="shared" si="95"/>
        <v>2021</v>
      </c>
      <c r="D3055" s="13">
        <v>101.67</v>
      </c>
      <c r="E3055" s="13">
        <v>1.23</v>
      </c>
      <c r="F3055" s="13">
        <v>-2.76</v>
      </c>
      <c r="G3055" s="13"/>
      <c r="H3055" s="13">
        <v>70.28</v>
      </c>
      <c r="I3055" s="13">
        <v>82.34</v>
      </c>
    </row>
    <row r="3056" spans="1:9" x14ac:dyDescent="0.25">
      <c r="A3056" s="10">
        <v>44249</v>
      </c>
      <c r="B3056" s="15">
        <f t="shared" si="94"/>
        <v>2</v>
      </c>
      <c r="C3056" s="15">
        <f t="shared" si="95"/>
        <v>2021</v>
      </c>
      <c r="D3056" s="13">
        <v>149.05000000000001</v>
      </c>
      <c r="E3056" s="13">
        <v>-5.49</v>
      </c>
      <c r="F3056" s="13">
        <v>26.18</v>
      </c>
      <c r="G3056" s="13"/>
      <c r="H3056" s="13">
        <v>104.46</v>
      </c>
      <c r="I3056" s="13">
        <v>110.69</v>
      </c>
    </row>
    <row r="3057" spans="1:9" x14ac:dyDescent="0.25">
      <c r="A3057" s="10">
        <v>44250</v>
      </c>
      <c r="B3057" s="15">
        <f t="shared" si="94"/>
        <v>2</v>
      </c>
      <c r="C3057" s="15">
        <f t="shared" si="95"/>
        <v>2021</v>
      </c>
      <c r="D3057" s="13">
        <v>149.05000000000001</v>
      </c>
      <c r="E3057" s="13">
        <v>-2.88</v>
      </c>
      <c r="F3057" s="13">
        <v>26.18</v>
      </c>
      <c r="G3057" s="13"/>
      <c r="H3057" s="13">
        <v>104.46</v>
      </c>
      <c r="I3057" s="13">
        <v>110.69</v>
      </c>
    </row>
    <row r="3058" spans="1:9" x14ac:dyDescent="0.25">
      <c r="A3058" s="10">
        <v>44251</v>
      </c>
      <c r="B3058" s="15">
        <f t="shared" si="94"/>
        <v>2</v>
      </c>
      <c r="C3058" s="15">
        <f t="shared" si="95"/>
        <v>2021</v>
      </c>
      <c r="D3058" s="13">
        <v>149.05000000000001</v>
      </c>
      <c r="E3058" s="13">
        <v>6.04</v>
      </c>
      <c r="F3058" s="13">
        <v>26.18</v>
      </c>
      <c r="G3058" s="13"/>
      <c r="H3058" s="13">
        <v>104.46</v>
      </c>
      <c r="I3058" s="13">
        <v>110.69</v>
      </c>
    </row>
    <row r="3059" spans="1:9" x14ac:dyDescent="0.25">
      <c r="A3059" s="10">
        <v>44252</v>
      </c>
      <c r="B3059" s="15">
        <f t="shared" si="94"/>
        <v>2</v>
      </c>
      <c r="C3059" s="15">
        <f t="shared" si="95"/>
        <v>2021</v>
      </c>
      <c r="D3059" s="13">
        <v>149.05000000000001</v>
      </c>
      <c r="E3059" s="13">
        <v>23.14</v>
      </c>
      <c r="F3059" s="13">
        <v>26.18</v>
      </c>
      <c r="G3059" s="13"/>
      <c r="H3059" s="13">
        <v>104.46</v>
      </c>
      <c r="I3059" s="13">
        <v>110.69</v>
      </c>
    </row>
    <row r="3060" spans="1:9" x14ac:dyDescent="0.25">
      <c r="A3060" s="10">
        <v>44253</v>
      </c>
      <c r="B3060" s="15">
        <f t="shared" si="94"/>
        <v>2</v>
      </c>
      <c r="C3060" s="15">
        <f t="shared" si="95"/>
        <v>2021</v>
      </c>
      <c r="D3060" s="13">
        <v>149.05000000000001</v>
      </c>
      <c r="E3060" s="13">
        <v>14.23</v>
      </c>
      <c r="F3060" s="13">
        <v>26.18</v>
      </c>
      <c r="G3060" s="13"/>
      <c r="H3060" s="13">
        <v>104.46</v>
      </c>
      <c r="I3060" s="13">
        <v>110.69</v>
      </c>
    </row>
    <row r="3061" spans="1:9" x14ac:dyDescent="0.25">
      <c r="A3061" s="10">
        <v>44256</v>
      </c>
      <c r="B3061" s="15">
        <f t="shared" si="94"/>
        <v>3</v>
      </c>
      <c r="C3061" s="15">
        <f t="shared" si="95"/>
        <v>2021</v>
      </c>
      <c r="D3061" s="13">
        <v>201.4</v>
      </c>
      <c r="E3061" s="13">
        <v>45.54</v>
      </c>
      <c r="F3061" s="13">
        <v>55.68</v>
      </c>
      <c r="G3061" s="13"/>
      <c r="H3061" s="13">
        <v>116.92</v>
      </c>
      <c r="I3061" s="13">
        <v>128.41999999999999</v>
      </c>
    </row>
    <row r="3062" spans="1:9" x14ac:dyDescent="0.25">
      <c r="A3062" s="10">
        <v>44257</v>
      </c>
      <c r="B3062" s="15">
        <f t="shared" si="94"/>
        <v>3</v>
      </c>
      <c r="C3062" s="15">
        <f t="shared" si="95"/>
        <v>2021</v>
      </c>
      <c r="D3062" s="13">
        <v>201.4</v>
      </c>
      <c r="E3062" s="13">
        <v>66.48</v>
      </c>
      <c r="F3062" s="13">
        <v>55.68</v>
      </c>
      <c r="G3062" s="13"/>
      <c r="H3062" s="13">
        <v>116.92</v>
      </c>
      <c r="I3062" s="13">
        <v>128.41999999999999</v>
      </c>
    </row>
    <row r="3063" spans="1:9" x14ac:dyDescent="0.25">
      <c r="A3063" s="10">
        <v>44258</v>
      </c>
      <c r="B3063" s="15">
        <f t="shared" si="94"/>
        <v>3</v>
      </c>
      <c r="C3063" s="15">
        <f t="shared" si="95"/>
        <v>2021</v>
      </c>
      <c r="D3063" s="13">
        <v>201.4</v>
      </c>
      <c r="E3063" s="13">
        <v>61.75</v>
      </c>
      <c r="F3063" s="13">
        <v>55.68</v>
      </c>
      <c r="G3063" s="13"/>
      <c r="H3063" s="13">
        <v>116.92</v>
      </c>
      <c r="I3063" s="13">
        <v>128.41999999999999</v>
      </c>
    </row>
    <row r="3064" spans="1:9" x14ac:dyDescent="0.25">
      <c r="A3064" s="10">
        <v>44259</v>
      </c>
      <c r="B3064" s="15">
        <f t="shared" si="94"/>
        <v>3</v>
      </c>
      <c r="C3064" s="15">
        <f t="shared" si="95"/>
        <v>2021</v>
      </c>
      <c r="D3064" s="13">
        <v>201.4</v>
      </c>
      <c r="E3064" s="13">
        <v>67.33</v>
      </c>
      <c r="F3064" s="13">
        <v>55.68</v>
      </c>
      <c r="G3064" s="13"/>
      <c r="H3064" s="13">
        <v>116.92</v>
      </c>
      <c r="I3064" s="13">
        <v>128.41999999999999</v>
      </c>
    </row>
    <row r="3065" spans="1:9" x14ac:dyDescent="0.25">
      <c r="A3065" s="10">
        <v>44260</v>
      </c>
      <c r="B3065" s="15">
        <f t="shared" si="94"/>
        <v>3</v>
      </c>
      <c r="C3065" s="15">
        <f t="shared" si="95"/>
        <v>2021</v>
      </c>
      <c r="D3065" s="13">
        <v>201.4</v>
      </c>
      <c r="E3065" s="13">
        <v>30.45</v>
      </c>
      <c r="F3065" s="13">
        <v>55.68</v>
      </c>
      <c r="G3065" s="13"/>
      <c r="H3065" s="13">
        <v>116.92</v>
      </c>
      <c r="I3065" s="13">
        <v>128.41999999999999</v>
      </c>
    </row>
    <row r="3066" spans="1:9" x14ac:dyDescent="0.25">
      <c r="A3066" s="10">
        <v>44263</v>
      </c>
      <c r="B3066" s="15">
        <f t="shared" si="94"/>
        <v>3</v>
      </c>
      <c r="C3066" s="15">
        <f t="shared" si="95"/>
        <v>2021</v>
      </c>
      <c r="D3066" s="13">
        <v>200.19</v>
      </c>
      <c r="E3066" s="13">
        <v>51.18</v>
      </c>
      <c r="F3066" s="13">
        <v>95.38</v>
      </c>
      <c r="G3066" s="13"/>
      <c r="H3066" s="13">
        <v>115.78</v>
      </c>
      <c r="I3066" s="13">
        <v>151.28</v>
      </c>
    </row>
    <row r="3067" spans="1:9" x14ac:dyDescent="0.25">
      <c r="A3067" s="10">
        <v>44264</v>
      </c>
      <c r="B3067" s="15">
        <f t="shared" si="94"/>
        <v>3</v>
      </c>
      <c r="C3067" s="15">
        <f t="shared" si="95"/>
        <v>2021</v>
      </c>
      <c r="D3067" s="13">
        <v>200.19</v>
      </c>
      <c r="E3067" s="13">
        <v>57.57</v>
      </c>
      <c r="F3067" s="13">
        <v>95.38</v>
      </c>
      <c r="G3067" s="13"/>
      <c r="H3067" s="13">
        <v>115.78</v>
      </c>
      <c r="I3067" s="13">
        <v>151.28</v>
      </c>
    </row>
    <row r="3068" spans="1:9" x14ac:dyDescent="0.25">
      <c r="A3068" s="10">
        <v>44265</v>
      </c>
      <c r="B3068" s="15">
        <f t="shared" si="94"/>
        <v>3</v>
      </c>
      <c r="C3068" s="15">
        <f t="shared" si="95"/>
        <v>2021</v>
      </c>
      <c r="D3068" s="13">
        <v>200.19</v>
      </c>
      <c r="E3068" s="13">
        <v>59.36</v>
      </c>
      <c r="F3068" s="13">
        <v>95.38</v>
      </c>
      <c r="G3068" s="13"/>
      <c r="H3068" s="13">
        <v>115.78</v>
      </c>
      <c r="I3068" s="13">
        <v>151.28</v>
      </c>
    </row>
    <row r="3069" spans="1:9" x14ac:dyDescent="0.25">
      <c r="A3069" s="10">
        <v>44266</v>
      </c>
      <c r="B3069" s="15">
        <f t="shared" si="94"/>
        <v>3</v>
      </c>
      <c r="C3069" s="15">
        <f t="shared" si="95"/>
        <v>2021</v>
      </c>
      <c r="D3069" s="13">
        <v>200.19</v>
      </c>
      <c r="E3069" s="13">
        <v>57.01</v>
      </c>
      <c r="F3069" s="13">
        <v>95.38</v>
      </c>
      <c r="G3069" s="13"/>
      <c r="H3069" s="13">
        <v>115.78</v>
      </c>
      <c r="I3069" s="13">
        <v>151.28</v>
      </c>
    </row>
    <row r="3070" spans="1:9" x14ac:dyDescent="0.25">
      <c r="A3070" s="10">
        <v>44267</v>
      </c>
      <c r="B3070" s="15">
        <f t="shared" si="94"/>
        <v>3</v>
      </c>
      <c r="C3070" s="15">
        <f t="shared" si="95"/>
        <v>2021</v>
      </c>
      <c r="D3070" s="13">
        <v>200.19</v>
      </c>
      <c r="E3070" s="13">
        <v>33</v>
      </c>
      <c r="F3070" s="13">
        <v>95.38</v>
      </c>
      <c r="G3070" s="13"/>
      <c r="H3070" s="13">
        <v>115.78</v>
      </c>
      <c r="I3070" s="13">
        <v>151.28</v>
      </c>
    </row>
    <row r="3071" spans="1:9" x14ac:dyDescent="0.25">
      <c r="A3071" s="10">
        <v>44270</v>
      </c>
      <c r="B3071" s="15">
        <f t="shared" si="94"/>
        <v>3</v>
      </c>
      <c r="C3071" s="15">
        <f t="shared" si="95"/>
        <v>2021</v>
      </c>
      <c r="D3071" s="13">
        <v>155.38</v>
      </c>
      <c r="E3071" s="13">
        <v>61.5</v>
      </c>
      <c r="F3071" s="13">
        <v>85.52</v>
      </c>
      <c r="G3071" s="13"/>
      <c r="H3071" s="13">
        <v>115.38</v>
      </c>
      <c r="I3071" s="13">
        <v>160.30000000000001</v>
      </c>
    </row>
    <row r="3072" spans="1:9" x14ac:dyDescent="0.25">
      <c r="A3072" s="10">
        <v>44271</v>
      </c>
      <c r="B3072" s="15">
        <f t="shared" si="94"/>
        <v>3</v>
      </c>
      <c r="C3072" s="15">
        <f t="shared" si="95"/>
        <v>2021</v>
      </c>
      <c r="D3072" s="13">
        <v>155.38</v>
      </c>
      <c r="E3072" s="13">
        <v>48.67</v>
      </c>
      <c r="F3072" s="13">
        <v>85.52</v>
      </c>
      <c r="G3072" s="13"/>
      <c r="H3072" s="13">
        <v>115.38</v>
      </c>
      <c r="I3072" s="13">
        <v>160.30000000000001</v>
      </c>
    </row>
    <row r="3073" spans="1:9" x14ac:dyDescent="0.25">
      <c r="A3073" s="10">
        <v>44272</v>
      </c>
      <c r="B3073" s="15">
        <f t="shared" si="94"/>
        <v>3</v>
      </c>
      <c r="C3073" s="15">
        <f t="shared" si="95"/>
        <v>2021</v>
      </c>
      <c r="D3073" s="13">
        <v>155.38</v>
      </c>
      <c r="E3073" s="13">
        <v>54.71</v>
      </c>
      <c r="F3073" s="13">
        <v>85.52</v>
      </c>
      <c r="G3073" s="13"/>
      <c r="H3073" s="13">
        <v>115.38</v>
      </c>
      <c r="I3073" s="13">
        <v>160.30000000000001</v>
      </c>
    </row>
    <row r="3074" spans="1:9" x14ac:dyDescent="0.25">
      <c r="A3074" s="10">
        <v>44273</v>
      </c>
      <c r="B3074" s="15">
        <f t="shared" si="94"/>
        <v>3</v>
      </c>
      <c r="C3074" s="15">
        <f t="shared" si="95"/>
        <v>2021</v>
      </c>
      <c r="D3074" s="13">
        <v>155.38</v>
      </c>
      <c r="E3074" s="13">
        <v>66.569999999999993</v>
      </c>
      <c r="F3074" s="13">
        <v>85.52</v>
      </c>
      <c r="G3074" s="13"/>
      <c r="H3074" s="13">
        <v>115.38</v>
      </c>
      <c r="I3074" s="13">
        <v>160.30000000000001</v>
      </c>
    </row>
    <row r="3075" spans="1:9" x14ac:dyDescent="0.25">
      <c r="A3075" s="10">
        <v>44274</v>
      </c>
      <c r="B3075" s="15">
        <f t="shared" ref="B3075:B3138" si="96">MONTH(A3075)</f>
        <v>3</v>
      </c>
      <c r="C3075" s="15">
        <f t="shared" ref="C3075:C3138" si="97">YEAR(A3075)</f>
        <v>2021</v>
      </c>
      <c r="D3075" s="13">
        <v>155.38</v>
      </c>
      <c r="E3075" s="13">
        <v>65.69</v>
      </c>
      <c r="F3075" s="13">
        <v>85.52</v>
      </c>
      <c r="G3075" s="13"/>
      <c r="H3075" s="13">
        <v>115.38</v>
      </c>
      <c r="I3075" s="13">
        <v>160.30000000000001</v>
      </c>
    </row>
    <row r="3076" spans="1:9" x14ac:dyDescent="0.25">
      <c r="A3076" s="10">
        <v>44277</v>
      </c>
      <c r="B3076" s="15">
        <f t="shared" si="96"/>
        <v>3</v>
      </c>
      <c r="C3076" s="15">
        <f t="shared" si="97"/>
        <v>2021</v>
      </c>
      <c r="D3076" s="13">
        <v>142.5</v>
      </c>
      <c r="E3076" s="13">
        <v>71.260000000000005</v>
      </c>
      <c r="F3076" s="13">
        <v>73.31</v>
      </c>
      <c r="G3076" s="13"/>
      <c r="H3076" s="13">
        <v>112.5</v>
      </c>
      <c r="I3076" s="13">
        <v>140.38999999999999</v>
      </c>
    </row>
    <row r="3077" spans="1:9" x14ac:dyDescent="0.25">
      <c r="A3077" s="10">
        <v>44278</v>
      </c>
      <c r="B3077" s="15">
        <f t="shared" si="96"/>
        <v>3</v>
      </c>
      <c r="C3077" s="15">
        <f t="shared" si="97"/>
        <v>2021</v>
      </c>
      <c r="D3077" s="13">
        <v>142.5</v>
      </c>
      <c r="E3077" s="13">
        <v>65</v>
      </c>
      <c r="F3077" s="13">
        <v>73.31</v>
      </c>
      <c r="G3077" s="13"/>
      <c r="H3077" s="13">
        <v>112.5</v>
      </c>
      <c r="I3077" s="13">
        <v>140.38999999999999</v>
      </c>
    </row>
    <row r="3078" spans="1:9" x14ac:dyDescent="0.25">
      <c r="A3078" s="10">
        <v>44279</v>
      </c>
      <c r="B3078" s="15">
        <f t="shared" si="96"/>
        <v>3</v>
      </c>
      <c r="C3078" s="15">
        <f t="shared" si="97"/>
        <v>2021</v>
      </c>
      <c r="D3078" s="13">
        <v>142.5</v>
      </c>
      <c r="E3078" s="13">
        <v>51.08</v>
      </c>
      <c r="F3078" s="13">
        <v>73.31</v>
      </c>
      <c r="G3078" s="13"/>
      <c r="H3078" s="13">
        <v>112.5</v>
      </c>
      <c r="I3078" s="13">
        <v>140.38999999999999</v>
      </c>
    </row>
    <row r="3079" spans="1:9" x14ac:dyDescent="0.25">
      <c r="A3079" s="10">
        <v>44280</v>
      </c>
      <c r="B3079" s="15">
        <f t="shared" si="96"/>
        <v>3</v>
      </c>
      <c r="C3079" s="15">
        <f t="shared" si="97"/>
        <v>2021</v>
      </c>
      <c r="D3079" s="13">
        <v>142.5</v>
      </c>
      <c r="E3079" s="13">
        <v>41.49</v>
      </c>
      <c r="F3079" s="13">
        <v>73.31</v>
      </c>
      <c r="G3079" s="13"/>
      <c r="H3079" s="13">
        <v>112.5</v>
      </c>
      <c r="I3079" s="13">
        <v>140.38999999999999</v>
      </c>
    </row>
    <row r="3080" spans="1:9" x14ac:dyDescent="0.25">
      <c r="A3080" s="10">
        <v>44281</v>
      </c>
      <c r="B3080" s="15">
        <f t="shared" si="96"/>
        <v>3</v>
      </c>
      <c r="C3080" s="15">
        <f t="shared" si="97"/>
        <v>2021</v>
      </c>
      <c r="D3080" s="13">
        <v>142.5</v>
      </c>
      <c r="E3080" s="13">
        <v>37.79</v>
      </c>
      <c r="F3080" s="13">
        <v>73.31</v>
      </c>
      <c r="G3080" s="13"/>
      <c r="H3080" s="13">
        <v>112.5</v>
      </c>
      <c r="I3080" s="13">
        <v>140.38999999999999</v>
      </c>
    </row>
    <row r="3081" spans="1:9" x14ac:dyDescent="0.25">
      <c r="A3081" s="10">
        <v>44284</v>
      </c>
      <c r="B3081" s="15">
        <f t="shared" si="96"/>
        <v>3</v>
      </c>
      <c r="C3081" s="15">
        <f t="shared" si="97"/>
        <v>2021</v>
      </c>
      <c r="D3081" s="13">
        <v>136.53</v>
      </c>
      <c r="E3081" s="13">
        <v>30.64</v>
      </c>
      <c r="F3081" s="13">
        <v>61.74</v>
      </c>
      <c r="G3081" s="13"/>
      <c r="H3081" s="13">
        <v>101.91</v>
      </c>
      <c r="I3081" s="13">
        <v>172.21</v>
      </c>
    </row>
    <row r="3082" spans="1:9" x14ac:dyDescent="0.25">
      <c r="A3082" s="10">
        <v>44285</v>
      </c>
      <c r="B3082" s="15">
        <f t="shared" si="96"/>
        <v>3</v>
      </c>
      <c r="C3082" s="15">
        <f t="shared" si="97"/>
        <v>2021</v>
      </c>
      <c r="D3082" s="13">
        <v>136.53</v>
      </c>
      <c r="E3082" s="13">
        <v>27.64</v>
      </c>
      <c r="F3082" s="13">
        <v>61.74</v>
      </c>
      <c r="G3082" s="13"/>
      <c r="H3082" s="13">
        <v>101.91</v>
      </c>
      <c r="I3082" s="13">
        <v>172.21</v>
      </c>
    </row>
    <row r="3083" spans="1:9" x14ac:dyDescent="0.25">
      <c r="A3083" s="10">
        <v>44286</v>
      </c>
      <c r="B3083" s="15">
        <f t="shared" si="96"/>
        <v>3</v>
      </c>
      <c r="C3083" s="15">
        <f t="shared" si="97"/>
        <v>2021</v>
      </c>
      <c r="D3083" s="13">
        <v>136.53</v>
      </c>
      <c r="E3083" s="13">
        <v>53.12</v>
      </c>
      <c r="F3083" s="13">
        <v>61.74</v>
      </c>
      <c r="G3083" s="13"/>
      <c r="H3083" s="13">
        <v>101.91</v>
      </c>
      <c r="I3083" s="13">
        <v>172.21</v>
      </c>
    </row>
    <row r="3084" spans="1:9" x14ac:dyDescent="0.25">
      <c r="A3084" s="10">
        <v>44287</v>
      </c>
      <c r="B3084" s="15">
        <f t="shared" si="96"/>
        <v>4</v>
      </c>
      <c r="C3084" s="15">
        <f t="shared" si="97"/>
        <v>2021</v>
      </c>
      <c r="D3084" s="13">
        <v>136.53</v>
      </c>
      <c r="E3084" s="13">
        <v>59.52</v>
      </c>
      <c r="F3084" s="13">
        <v>61.74</v>
      </c>
      <c r="G3084" s="13"/>
      <c r="H3084" s="13">
        <v>101.91</v>
      </c>
      <c r="I3084" s="13">
        <v>172.21</v>
      </c>
    </row>
    <row r="3085" spans="1:9" x14ac:dyDescent="0.25">
      <c r="A3085" s="10">
        <v>44288</v>
      </c>
      <c r="B3085" s="15">
        <f t="shared" si="96"/>
        <v>4</v>
      </c>
      <c r="C3085" s="15">
        <f t="shared" si="97"/>
        <v>2021</v>
      </c>
      <c r="D3085" s="13">
        <v>136.53</v>
      </c>
      <c r="E3085" s="13"/>
      <c r="F3085" s="13">
        <v>61.74</v>
      </c>
      <c r="G3085" s="13"/>
      <c r="H3085" s="13">
        <v>101.91</v>
      </c>
      <c r="I3085" s="13">
        <v>172.21</v>
      </c>
    </row>
    <row r="3086" spans="1:9" x14ac:dyDescent="0.25">
      <c r="A3086" s="10">
        <v>44291</v>
      </c>
      <c r="B3086" s="15">
        <f t="shared" si="96"/>
        <v>4</v>
      </c>
      <c r="C3086" s="15">
        <f t="shared" si="97"/>
        <v>2021</v>
      </c>
      <c r="D3086" s="13">
        <v>155.31</v>
      </c>
      <c r="E3086" s="13"/>
      <c r="F3086" s="13">
        <v>86.8</v>
      </c>
      <c r="G3086" s="13"/>
      <c r="H3086" s="13">
        <v>131.99</v>
      </c>
      <c r="I3086" s="13">
        <v>196.6</v>
      </c>
    </row>
    <row r="3087" spans="1:9" x14ac:dyDescent="0.25">
      <c r="A3087" s="10">
        <v>44292</v>
      </c>
      <c r="B3087" s="15">
        <f t="shared" si="96"/>
        <v>4</v>
      </c>
      <c r="C3087" s="15">
        <f t="shared" si="97"/>
        <v>2021</v>
      </c>
      <c r="D3087" s="13">
        <v>155.31</v>
      </c>
      <c r="E3087" s="13">
        <v>49.4</v>
      </c>
      <c r="F3087" s="13">
        <v>86.8</v>
      </c>
      <c r="G3087" s="13"/>
      <c r="H3087" s="13">
        <v>131.99</v>
      </c>
      <c r="I3087" s="13">
        <v>196.6</v>
      </c>
    </row>
    <row r="3088" spans="1:9" x14ac:dyDescent="0.25">
      <c r="A3088" s="10">
        <v>44293</v>
      </c>
      <c r="B3088" s="15">
        <f t="shared" si="96"/>
        <v>4</v>
      </c>
      <c r="C3088" s="15">
        <f t="shared" si="97"/>
        <v>2021</v>
      </c>
      <c r="D3088" s="13">
        <v>155.31</v>
      </c>
      <c r="E3088" s="13">
        <v>38.99</v>
      </c>
      <c r="F3088" s="13">
        <v>86.8</v>
      </c>
      <c r="G3088" s="13"/>
      <c r="H3088" s="13">
        <v>131.99</v>
      </c>
      <c r="I3088" s="13">
        <v>196.6</v>
      </c>
    </row>
    <row r="3089" spans="1:9" x14ac:dyDescent="0.25">
      <c r="A3089" s="10">
        <v>44294</v>
      </c>
      <c r="B3089" s="15">
        <f t="shared" si="96"/>
        <v>4</v>
      </c>
      <c r="C3089" s="15">
        <f t="shared" si="97"/>
        <v>2021</v>
      </c>
      <c r="D3089" s="13">
        <v>155.31</v>
      </c>
      <c r="E3089" s="13">
        <v>39.840000000000003</v>
      </c>
      <c r="F3089" s="13">
        <v>86.8</v>
      </c>
      <c r="G3089" s="13"/>
      <c r="H3089" s="13">
        <v>131.99</v>
      </c>
      <c r="I3089" s="13">
        <v>196.6</v>
      </c>
    </row>
    <row r="3090" spans="1:9" x14ac:dyDescent="0.25">
      <c r="A3090" s="10">
        <v>44295</v>
      </c>
      <c r="B3090" s="15">
        <f t="shared" si="96"/>
        <v>4</v>
      </c>
      <c r="C3090" s="15">
        <f t="shared" si="97"/>
        <v>2021</v>
      </c>
      <c r="D3090" s="13">
        <v>155.31</v>
      </c>
      <c r="E3090" s="13">
        <v>24.65</v>
      </c>
      <c r="F3090" s="13">
        <v>86.8</v>
      </c>
      <c r="G3090" s="13"/>
      <c r="H3090" s="13">
        <v>131.99</v>
      </c>
      <c r="I3090" s="13">
        <v>196.6</v>
      </c>
    </row>
    <row r="3091" spans="1:9" x14ac:dyDescent="0.25">
      <c r="A3091" s="10">
        <v>44298</v>
      </c>
      <c r="B3091" s="15">
        <f t="shared" si="96"/>
        <v>4</v>
      </c>
      <c r="C3091" s="15">
        <f t="shared" si="97"/>
        <v>2021</v>
      </c>
      <c r="D3091" s="13">
        <v>196.23</v>
      </c>
      <c r="E3091" s="13">
        <v>16.21</v>
      </c>
      <c r="F3091" s="13">
        <v>117.95</v>
      </c>
      <c r="G3091" s="13"/>
      <c r="H3091" s="13">
        <v>158.24</v>
      </c>
      <c r="I3091" s="13">
        <v>234.48</v>
      </c>
    </row>
    <row r="3092" spans="1:9" x14ac:dyDescent="0.25">
      <c r="A3092" s="10">
        <v>44299</v>
      </c>
      <c r="B3092" s="15">
        <f t="shared" si="96"/>
        <v>4</v>
      </c>
      <c r="C3092" s="15">
        <f t="shared" si="97"/>
        <v>2021</v>
      </c>
      <c r="D3092" s="13">
        <v>196.23</v>
      </c>
      <c r="E3092" s="13">
        <v>24.61</v>
      </c>
      <c r="F3092" s="13">
        <v>117.95</v>
      </c>
      <c r="G3092" s="13"/>
      <c r="H3092" s="13">
        <v>158.24</v>
      </c>
      <c r="I3092" s="13">
        <v>234.48</v>
      </c>
    </row>
    <row r="3093" spans="1:9" x14ac:dyDescent="0.25">
      <c r="A3093" s="10">
        <v>44300</v>
      </c>
      <c r="B3093" s="15">
        <f t="shared" si="96"/>
        <v>4</v>
      </c>
      <c r="C3093" s="15">
        <f t="shared" si="97"/>
        <v>2021</v>
      </c>
      <c r="D3093" s="13">
        <v>196.23</v>
      </c>
      <c r="E3093" s="13">
        <v>16.73</v>
      </c>
      <c r="F3093" s="13">
        <v>117.95</v>
      </c>
      <c r="G3093" s="13"/>
      <c r="H3093" s="13">
        <v>158.24</v>
      </c>
      <c r="I3093" s="13">
        <v>234.48</v>
      </c>
    </row>
    <row r="3094" spans="1:9" x14ac:dyDescent="0.25">
      <c r="A3094" s="10">
        <v>44301</v>
      </c>
      <c r="B3094" s="15">
        <f t="shared" si="96"/>
        <v>4</v>
      </c>
      <c r="C3094" s="15">
        <f t="shared" si="97"/>
        <v>2021</v>
      </c>
      <c r="D3094" s="13">
        <v>196.23</v>
      </c>
      <c r="E3094" s="13">
        <v>24.47</v>
      </c>
      <c r="F3094" s="13">
        <v>117.95</v>
      </c>
      <c r="G3094" s="13"/>
      <c r="H3094" s="13">
        <v>158.24</v>
      </c>
      <c r="I3094" s="13">
        <v>234.48</v>
      </c>
    </row>
    <row r="3095" spans="1:9" x14ac:dyDescent="0.25">
      <c r="A3095" s="10">
        <v>44302</v>
      </c>
      <c r="B3095" s="15">
        <f t="shared" si="96"/>
        <v>4</v>
      </c>
      <c r="C3095" s="15">
        <f t="shared" si="97"/>
        <v>2021</v>
      </c>
      <c r="D3095" s="13">
        <v>196.23</v>
      </c>
      <c r="E3095" s="13">
        <v>18.72</v>
      </c>
      <c r="F3095" s="13">
        <v>117.95</v>
      </c>
      <c r="G3095" s="13"/>
      <c r="H3095" s="13">
        <v>158.24</v>
      </c>
      <c r="I3095" s="13">
        <v>234.48</v>
      </c>
    </row>
    <row r="3096" spans="1:9" x14ac:dyDescent="0.25">
      <c r="A3096" s="10">
        <v>44305</v>
      </c>
      <c r="B3096" s="15">
        <f t="shared" si="96"/>
        <v>4</v>
      </c>
      <c r="C3096" s="15">
        <f t="shared" si="97"/>
        <v>2021</v>
      </c>
      <c r="D3096" s="13">
        <v>172.63</v>
      </c>
      <c r="E3096" s="13">
        <v>17.93</v>
      </c>
      <c r="F3096" s="13">
        <v>87.18</v>
      </c>
      <c r="G3096" s="13"/>
      <c r="H3096" s="13">
        <v>181.05</v>
      </c>
      <c r="I3096" s="13">
        <v>211.32</v>
      </c>
    </row>
    <row r="3097" spans="1:9" x14ac:dyDescent="0.25">
      <c r="A3097" s="10">
        <v>44306</v>
      </c>
      <c r="B3097" s="15">
        <f t="shared" si="96"/>
        <v>4</v>
      </c>
      <c r="C3097" s="15">
        <f t="shared" si="97"/>
        <v>2021</v>
      </c>
      <c r="D3097" s="13">
        <v>172.63</v>
      </c>
      <c r="E3097" s="13">
        <v>27.18</v>
      </c>
      <c r="F3097" s="13">
        <v>87.18</v>
      </c>
      <c r="G3097" s="13"/>
      <c r="H3097" s="13">
        <v>181.05</v>
      </c>
      <c r="I3097" s="13">
        <v>211.32</v>
      </c>
    </row>
    <row r="3098" spans="1:9" x14ac:dyDescent="0.25">
      <c r="A3098" s="10">
        <v>44307</v>
      </c>
      <c r="B3098" s="15">
        <f t="shared" si="96"/>
        <v>4</v>
      </c>
      <c r="C3098" s="15">
        <f t="shared" si="97"/>
        <v>2021</v>
      </c>
      <c r="D3098" s="13">
        <v>172.63</v>
      </c>
      <c r="E3098" s="13">
        <v>32.340000000000003</v>
      </c>
      <c r="F3098" s="13">
        <v>87.18</v>
      </c>
      <c r="G3098" s="13"/>
      <c r="H3098" s="13">
        <v>181.05</v>
      </c>
      <c r="I3098" s="13">
        <v>211.32</v>
      </c>
    </row>
    <row r="3099" spans="1:9" x14ac:dyDescent="0.25">
      <c r="A3099" s="10">
        <v>44308</v>
      </c>
      <c r="B3099" s="15">
        <f t="shared" si="96"/>
        <v>4</v>
      </c>
      <c r="C3099" s="15">
        <f t="shared" si="97"/>
        <v>2021</v>
      </c>
      <c r="D3099" s="13">
        <v>172.63</v>
      </c>
      <c r="E3099" s="13">
        <v>21.81</v>
      </c>
      <c r="F3099" s="13">
        <v>87.18</v>
      </c>
      <c r="G3099" s="13"/>
      <c r="H3099" s="13">
        <v>181.05</v>
      </c>
      <c r="I3099" s="13">
        <v>211.32</v>
      </c>
    </row>
    <row r="3100" spans="1:9" x14ac:dyDescent="0.25">
      <c r="A3100" s="10">
        <v>44309</v>
      </c>
      <c r="B3100" s="15">
        <f t="shared" si="96"/>
        <v>4</v>
      </c>
      <c r="C3100" s="15">
        <f t="shared" si="97"/>
        <v>2021</v>
      </c>
      <c r="D3100" s="13">
        <v>172.63</v>
      </c>
      <c r="E3100" s="13">
        <v>24.09</v>
      </c>
      <c r="F3100" s="13">
        <v>87.18</v>
      </c>
      <c r="G3100" s="13"/>
      <c r="H3100" s="13">
        <v>181.05</v>
      </c>
      <c r="I3100" s="13">
        <v>211.32</v>
      </c>
    </row>
    <row r="3101" spans="1:9" x14ac:dyDescent="0.25">
      <c r="A3101" s="10">
        <v>44312</v>
      </c>
      <c r="B3101" s="15">
        <f t="shared" si="96"/>
        <v>4</v>
      </c>
      <c r="C3101" s="15">
        <f t="shared" si="97"/>
        <v>2021</v>
      </c>
      <c r="D3101" s="13">
        <v>189.21</v>
      </c>
      <c r="E3101" s="13">
        <v>24.74</v>
      </c>
      <c r="F3101" s="13">
        <v>91.12</v>
      </c>
      <c r="G3101" s="13"/>
      <c r="H3101" s="13">
        <v>206.07</v>
      </c>
      <c r="I3101" s="13">
        <v>193.59</v>
      </c>
    </row>
    <row r="3102" spans="1:9" x14ac:dyDescent="0.25">
      <c r="A3102" s="10">
        <v>44313</v>
      </c>
      <c r="B3102" s="15">
        <f t="shared" si="96"/>
        <v>4</v>
      </c>
      <c r="C3102" s="15">
        <f t="shared" si="97"/>
        <v>2021</v>
      </c>
      <c r="D3102" s="13">
        <v>189.21</v>
      </c>
      <c r="E3102" s="13">
        <v>28.32</v>
      </c>
      <c r="F3102" s="13">
        <v>91.12</v>
      </c>
      <c r="G3102" s="13"/>
      <c r="H3102" s="13">
        <v>206.07</v>
      </c>
      <c r="I3102" s="13">
        <v>193.59</v>
      </c>
    </row>
    <row r="3103" spans="1:9" x14ac:dyDescent="0.25">
      <c r="A3103" s="10">
        <v>44314</v>
      </c>
      <c r="B3103" s="15">
        <f t="shared" si="96"/>
        <v>4</v>
      </c>
      <c r="C3103" s="15">
        <f t="shared" si="97"/>
        <v>2021</v>
      </c>
      <c r="D3103" s="13">
        <v>189.21</v>
      </c>
      <c r="E3103" s="13">
        <v>29.13</v>
      </c>
      <c r="F3103" s="13">
        <v>91.12</v>
      </c>
      <c r="G3103" s="13"/>
      <c r="H3103" s="13">
        <v>206.07</v>
      </c>
      <c r="I3103" s="13">
        <v>193.59</v>
      </c>
    </row>
    <row r="3104" spans="1:9" x14ac:dyDescent="0.25">
      <c r="A3104" s="10">
        <v>44315</v>
      </c>
      <c r="B3104" s="15">
        <f t="shared" si="96"/>
        <v>4</v>
      </c>
      <c r="C3104" s="15">
        <f t="shared" si="97"/>
        <v>2021</v>
      </c>
      <c r="D3104" s="13">
        <v>189.21</v>
      </c>
      <c r="E3104" s="13">
        <v>38.86</v>
      </c>
      <c r="F3104" s="13">
        <v>91.12</v>
      </c>
      <c r="G3104" s="13"/>
      <c r="H3104" s="13">
        <v>206.07</v>
      </c>
      <c r="I3104" s="13">
        <v>193.59</v>
      </c>
    </row>
    <row r="3105" spans="1:9" x14ac:dyDescent="0.25">
      <c r="A3105" s="10">
        <v>44316</v>
      </c>
      <c r="B3105" s="15">
        <f t="shared" si="96"/>
        <v>4</v>
      </c>
      <c r="C3105" s="15">
        <f t="shared" si="97"/>
        <v>2021</v>
      </c>
      <c r="D3105" s="13">
        <v>189.21</v>
      </c>
      <c r="E3105" s="13">
        <v>53.88</v>
      </c>
      <c r="F3105" s="13">
        <v>91.12</v>
      </c>
      <c r="G3105" s="13"/>
      <c r="H3105" s="13">
        <v>206.07</v>
      </c>
      <c r="I3105" s="13">
        <v>193.59</v>
      </c>
    </row>
    <row r="3106" spans="1:9" x14ac:dyDescent="0.25">
      <c r="A3106" s="10">
        <v>44319</v>
      </c>
      <c r="B3106" s="15">
        <f t="shared" si="96"/>
        <v>5</v>
      </c>
      <c r="C3106" s="15">
        <f t="shared" si="97"/>
        <v>2021</v>
      </c>
      <c r="D3106" s="13">
        <v>121.18</v>
      </c>
      <c r="E3106" s="13"/>
      <c r="F3106" s="13">
        <v>48.66</v>
      </c>
      <c r="G3106" s="13"/>
      <c r="H3106" s="13">
        <v>177.96</v>
      </c>
      <c r="I3106" s="13">
        <v>178.45</v>
      </c>
    </row>
    <row r="3107" spans="1:9" x14ac:dyDescent="0.25">
      <c r="A3107" s="10">
        <v>44320</v>
      </c>
      <c r="B3107" s="15">
        <f t="shared" si="96"/>
        <v>5</v>
      </c>
      <c r="C3107" s="15">
        <f t="shared" si="97"/>
        <v>2021</v>
      </c>
      <c r="D3107" s="13">
        <v>121.18</v>
      </c>
      <c r="E3107" s="13">
        <v>49.42</v>
      </c>
      <c r="F3107" s="13">
        <v>48.66</v>
      </c>
      <c r="G3107" s="13"/>
      <c r="H3107" s="13">
        <v>177.96</v>
      </c>
      <c r="I3107" s="13">
        <v>178.45</v>
      </c>
    </row>
    <row r="3108" spans="1:9" x14ac:dyDescent="0.25">
      <c r="A3108" s="10">
        <v>44321</v>
      </c>
      <c r="B3108" s="15">
        <f t="shared" si="96"/>
        <v>5</v>
      </c>
      <c r="C3108" s="15">
        <f t="shared" si="97"/>
        <v>2021</v>
      </c>
      <c r="D3108" s="13">
        <v>121.18</v>
      </c>
      <c r="E3108" s="13">
        <v>48.9</v>
      </c>
      <c r="F3108" s="13">
        <v>48.66</v>
      </c>
      <c r="G3108" s="13"/>
      <c r="H3108" s="13">
        <v>177.96</v>
      </c>
      <c r="I3108" s="13">
        <v>178.45</v>
      </c>
    </row>
    <row r="3109" spans="1:9" x14ac:dyDescent="0.25">
      <c r="A3109" s="10">
        <v>44322</v>
      </c>
      <c r="B3109" s="15">
        <f t="shared" si="96"/>
        <v>5</v>
      </c>
      <c r="C3109" s="15">
        <f t="shared" si="97"/>
        <v>2021</v>
      </c>
      <c r="D3109" s="13">
        <v>121.18</v>
      </c>
      <c r="E3109" s="13">
        <v>49.16</v>
      </c>
      <c r="F3109" s="13">
        <v>48.66</v>
      </c>
      <c r="G3109" s="13"/>
      <c r="H3109" s="13">
        <v>177.96</v>
      </c>
      <c r="I3109" s="13">
        <v>178.45</v>
      </c>
    </row>
    <row r="3110" spans="1:9" x14ac:dyDescent="0.25">
      <c r="A3110" s="10">
        <v>44323</v>
      </c>
      <c r="B3110" s="15">
        <f t="shared" si="96"/>
        <v>5</v>
      </c>
      <c r="C3110" s="15">
        <f t="shared" si="97"/>
        <v>2021</v>
      </c>
      <c r="D3110" s="13">
        <v>121.18</v>
      </c>
      <c r="E3110" s="13">
        <v>49.68</v>
      </c>
      <c r="F3110" s="13">
        <v>48.66</v>
      </c>
      <c r="G3110" s="13"/>
      <c r="H3110" s="13">
        <v>177.96</v>
      </c>
      <c r="I3110" s="13">
        <v>178.45</v>
      </c>
    </row>
    <row r="3111" spans="1:9" x14ac:dyDescent="0.25">
      <c r="A3111" s="10">
        <v>44326</v>
      </c>
      <c r="B3111" s="15">
        <f t="shared" si="96"/>
        <v>5</v>
      </c>
      <c r="C3111" s="15">
        <f t="shared" si="97"/>
        <v>2021</v>
      </c>
      <c r="D3111" s="13">
        <v>129.29</v>
      </c>
      <c r="E3111" s="13">
        <v>48.64</v>
      </c>
      <c r="F3111" s="13">
        <v>43.54</v>
      </c>
      <c r="G3111" s="13"/>
      <c r="H3111" s="13">
        <v>184.58</v>
      </c>
      <c r="I3111" s="13">
        <v>173.13</v>
      </c>
    </row>
    <row r="3112" spans="1:9" x14ac:dyDescent="0.25">
      <c r="A3112" s="10">
        <v>44327</v>
      </c>
      <c r="B3112" s="15">
        <f t="shared" si="96"/>
        <v>5</v>
      </c>
      <c r="C3112" s="15">
        <f t="shared" si="97"/>
        <v>2021</v>
      </c>
      <c r="D3112" s="13">
        <v>129.29</v>
      </c>
      <c r="E3112" s="13">
        <v>47.33</v>
      </c>
      <c r="F3112" s="13">
        <v>43.54</v>
      </c>
      <c r="G3112" s="13"/>
      <c r="H3112" s="13">
        <v>184.58</v>
      </c>
      <c r="I3112" s="13">
        <v>173.13</v>
      </c>
    </row>
    <row r="3113" spans="1:9" x14ac:dyDescent="0.25">
      <c r="A3113" s="10">
        <v>44328</v>
      </c>
      <c r="B3113" s="15">
        <f t="shared" si="96"/>
        <v>5</v>
      </c>
      <c r="C3113" s="15">
        <f t="shared" si="97"/>
        <v>2021</v>
      </c>
      <c r="D3113" s="13">
        <v>129.29</v>
      </c>
      <c r="E3113" s="13">
        <v>51.17</v>
      </c>
      <c r="F3113" s="13">
        <v>43.54</v>
      </c>
      <c r="G3113" s="13"/>
      <c r="H3113" s="13">
        <v>184.58</v>
      </c>
      <c r="I3113" s="13">
        <v>173.13</v>
      </c>
    </row>
    <row r="3114" spans="1:9" x14ac:dyDescent="0.25">
      <c r="A3114" s="10">
        <v>44329</v>
      </c>
      <c r="B3114" s="15">
        <f t="shared" si="96"/>
        <v>5</v>
      </c>
      <c r="C3114" s="15">
        <f t="shared" si="97"/>
        <v>2021</v>
      </c>
      <c r="D3114" s="13">
        <v>129.29</v>
      </c>
      <c r="E3114" s="13">
        <v>48.55</v>
      </c>
      <c r="F3114" s="13">
        <v>43.54</v>
      </c>
      <c r="G3114" s="13"/>
      <c r="H3114" s="13">
        <v>184.58</v>
      </c>
      <c r="I3114" s="13">
        <v>173.13</v>
      </c>
    </row>
    <row r="3115" spans="1:9" x14ac:dyDescent="0.25">
      <c r="A3115" s="10">
        <v>44330</v>
      </c>
      <c r="B3115" s="15">
        <f t="shared" si="96"/>
        <v>5</v>
      </c>
      <c r="C3115" s="15">
        <f t="shared" si="97"/>
        <v>2021</v>
      </c>
      <c r="D3115" s="13">
        <v>129.29</v>
      </c>
      <c r="E3115" s="13">
        <v>52.22</v>
      </c>
      <c r="F3115" s="13">
        <v>43.54</v>
      </c>
      <c r="G3115" s="13"/>
      <c r="H3115" s="13">
        <v>184.58</v>
      </c>
      <c r="I3115" s="13">
        <v>173.13</v>
      </c>
    </row>
    <row r="3116" spans="1:9" x14ac:dyDescent="0.25">
      <c r="A3116" s="10">
        <v>44333</v>
      </c>
      <c r="B3116" s="15">
        <f t="shared" si="96"/>
        <v>5</v>
      </c>
      <c r="C3116" s="15">
        <f t="shared" si="97"/>
        <v>2021</v>
      </c>
      <c r="D3116" s="13">
        <v>97.26</v>
      </c>
      <c r="E3116" s="13">
        <v>48.7</v>
      </c>
      <c r="F3116" s="13">
        <v>44.03</v>
      </c>
      <c r="G3116" s="13"/>
      <c r="H3116" s="13">
        <v>176.28</v>
      </c>
      <c r="I3116" s="13">
        <v>194.49</v>
      </c>
    </row>
    <row r="3117" spans="1:9" x14ac:dyDescent="0.25">
      <c r="A3117" s="10">
        <v>44334</v>
      </c>
      <c r="B3117" s="15">
        <f t="shared" si="96"/>
        <v>5</v>
      </c>
      <c r="C3117" s="15">
        <f t="shared" si="97"/>
        <v>2021</v>
      </c>
      <c r="D3117" s="13">
        <v>97.26</v>
      </c>
      <c r="E3117" s="13">
        <v>47.53</v>
      </c>
      <c r="F3117" s="13">
        <v>44.03</v>
      </c>
      <c r="G3117" s="13"/>
      <c r="H3117" s="13">
        <v>176.28</v>
      </c>
      <c r="I3117" s="13">
        <v>194.49</v>
      </c>
    </row>
    <row r="3118" spans="1:9" x14ac:dyDescent="0.25">
      <c r="A3118" s="10">
        <v>44335</v>
      </c>
      <c r="B3118" s="15">
        <f t="shared" si="96"/>
        <v>5</v>
      </c>
      <c r="C3118" s="15">
        <f t="shared" si="97"/>
        <v>2021</v>
      </c>
      <c r="D3118" s="13">
        <v>97.26</v>
      </c>
      <c r="E3118" s="13">
        <v>60.78</v>
      </c>
      <c r="F3118" s="13">
        <v>44.03</v>
      </c>
      <c r="G3118" s="13"/>
      <c r="H3118" s="13">
        <v>176.28</v>
      </c>
      <c r="I3118" s="13">
        <v>194.49</v>
      </c>
    </row>
    <row r="3119" spans="1:9" x14ac:dyDescent="0.25">
      <c r="A3119" s="10">
        <v>44336</v>
      </c>
      <c r="B3119" s="15">
        <f t="shared" si="96"/>
        <v>5</v>
      </c>
      <c r="C3119" s="15">
        <f t="shared" si="97"/>
        <v>2021</v>
      </c>
      <c r="D3119" s="13">
        <v>97.26</v>
      </c>
      <c r="E3119" s="13">
        <v>58.6</v>
      </c>
      <c r="F3119" s="13">
        <v>44.03</v>
      </c>
      <c r="G3119" s="13"/>
      <c r="H3119" s="13">
        <v>176.28</v>
      </c>
      <c r="I3119" s="13">
        <v>194.49</v>
      </c>
    </row>
    <row r="3120" spans="1:9" x14ac:dyDescent="0.25">
      <c r="A3120" s="10">
        <v>44337</v>
      </c>
      <c r="B3120" s="15">
        <f t="shared" si="96"/>
        <v>5</v>
      </c>
      <c r="C3120" s="15">
        <f t="shared" si="97"/>
        <v>2021</v>
      </c>
      <c r="D3120" s="13">
        <v>97.26</v>
      </c>
      <c r="E3120" s="13">
        <v>77.34</v>
      </c>
      <c r="F3120" s="13">
        <v>44.03</v>
      </c>
      <c r="G3120" s="13"/>
      <c r="H3120" s="13">
        <v>176.28</v>
      </c>
      <c r="I3120" s="13">
        <v>194.49</v>
      </c>
    </row>
    <row r="3121" spans="1:9" x14ac:dyDescent="0.25">
      <c r="A3121" s="10">
        <v>44340</v>
      </c>
      <c r="B3121" s="15">
        <f t="shared" si="96"/>
        <v>5</v>
      </c>
      <c r="C3121" s="15">
        <f t="shared" si="97"/>
        <v>2021</v>
      </c>
      <c r="D3121" s="13">
        <v>105.04</v>
      </c>
      <c r="E3121" s="13">
        <v>78.09</v>
      </c>
      <c r="F3121" s="13">
        <v>32.83</v>
      </c>
      <c r="G3121" s="13"/>
      <c r="H3121" s="13">
        <v>188.25</v>
      </c>
      <c r="I3121" s="13">
        <v>187.78</v>
      </c>
    </row>
    <row r="3122" spans="1:9" x14ac:dyDescent="0.25">
      <c r="A3122" s="10">
        <v>44341</v>
      </c>
      <c r="B3122" s="15">
        <f t="shared" si="96"/>
        <v>5</v>
      </c>
      <c r="C3122" s="15">
        <f t="shared" si="97"/>
        <v>2021</v>
      </c>
      <c r="D3122" s="13">
        <v>105.04</v>
      </c>
      <c r="E3122" s="13">
        <v>89.02</v>
      </c>
      <c r="F3122" s="13">
        <v>32.83</v>
      </c>
      <c r="G3122" s="13"/>
      <c r="H3122" s="13">
        <v>188.25</v>
      </c>
      <c r="I3122" s="13">
        <v>187.78</v>
      </c>
    </row>
    <row r="3123" spans="1:9" x14ac:dyDescent="0.25">
      <c r="A3123" s="10">
        <v>44342</v>
      </c>
      <c r="B3123" s="15">
        <f t="shared" si="96"/>
        <v>5</v>
      </c>
      <c r="C3123" s="15">
        <f t="shared" si="97"/>
        <v>2021</v>
      </c>
      <c r="D3123" s="13">
        <v>105.04</v>
      </c>
      <c r="E3123" s="13">
        <v>104.57</v>
      </c>
      <c r="F3123" s="13">
        <v>32.83</v>
      </c>
      <c r="G3123" s="13"/>
      <c r="H3123" s="13">
        <v>188.25</v>
      </c>
      <c r="I3123" s="13">
        <v>187.78</v>
      </c>
    </row>
    <row r="3124" spans="1:9" x14ac:dyDescent="0.25">
      <c r="A3124" s="10">
        <v>44343</v>
      </c>
      <c r="B3124" s="15">
        <f t="shared" si="96"/>
        <v>5</v>
      </c>
      <c r="C3124" s="15">
        <f t="shared" si="97"/>
        <v>2021</v>
      </c>
      <c r="D3124" s="13">
        <v>105.04</v>
      </c>
      <c r="E3124" s="13">
        <v>114.43</v>
      </c>
      <c r="F3124" s="13">
        <v>32.83</v>
      </c>
      <c r="G3124" s="13"/>
      <c r="H3124" s="13">
        <v>188.25</v>
      </c>
      <c r="I3124" s="13">
        <v>187.78</v>
      </c>
    </row>
    <row r="3125" spans="1:9" x14ac:dyDescent="0.25">
      <c r="A3125" s="10">
        <v>44344</v>
      </c>
      <c r="B3125" s="15">
        <f t="shared" si="96"/>
        <v>5</v>
      </c>
      <c r="C3125" s="15">
        <f t="shared" si="97"/>
        <v>2021</v>
      </c>
      <c r="D3125" s="13">
        <v>105.04</v>
      </c>
      <c r="E3125" s="13">
        <v>101.36</v>
      </c>
      <c r="F3125" s="13">
        <v>32.83</v>
      </c>
      <c r="G3125" s="13"/>
      <c r="H3125" s="13">
        <v>188.25</v>
      </c>
      <c r="I3125" s="13">
        <v>187.78</v>
      </c>
    </row>
    <row r="3126" spans="1:9" x14ac:dyDescent="0.25">
      <c r="A3126" s="10">
        <v>44347</v>
      </c>
      <c r="B3126" s="15">
        <f t="shared" si="96"/>
        <v>5</v>
      </c>
      <c r="C3126" s="15">
        <f t="shared" si="97"/>
        <v>2021</v>
      </c>
      <c r="D3126" s="13">
        <v>64.53</v>
      </c>
      <c r="E3126" s="13"/>
      <c r="F3126" s="13">
        <v>13.4</v>
      </c>
      <c r="G3126" s="13"/>
      <c r="H3126" s="13">
        <v>203.52</v>
      </c>
      <c r="I3126" s="13">
        <v>196.71</v>
      </c>
    </row>
    <row r="3127" spans="1:9" x14ac:dyDescent="0.25">
      <c r="A3127" s="10">
        <v>44348</v>
      </c>
      <c r="B3127" s="15">
        <f t="shared" si="96"/>
        <v>6</v>
      </c>
      <c r="C3127" s="15">
        <f t="shared" si="97"/>
        <v>2021</v>
      </c>
      <c r="D3127" s="13">
        <v>64.53</v>
      </c>
      <c r="E3127" s="13">
        <v>160.97</v>
      </c>
      <c r="F3127" s="13">
        <v>13.4</v>
      </c>
      <c r="G3127" s="13"/>
      <c r="H3127" s="13">
        <v>203.52</v>
      </c>
      <c r="I3127" s="13">
        <v>196.71</v>
      </c>
    </row>
    <row r="3128" spans="1:9" x14ac:dyDescent="0.25">
      <c r="A3128" s="10">
        <v>44349</v>
      </c>
      <c r="B3128" s="15">
        <f t="shared" si="96"/>
        <v>6</v>
      </c>
      <c r="C3128" s="15">
        <f t="shared" si="97"/>
        <v>2021</v>
      </c>
      <c r="D3128" s="13">
        <v>64.53</v>
      </c>
      <c r="E3128" s="13">
        <v>178.35</v>
      </c>
      <c r="F3128" s="13">
        <v>13.4</v>
      </c>
      <c r="G3128" s="13"/>
      <c r="H3128" s="13">
        <v>203.52</v>
      </c>
      <c r="I3128" s="13">
        <v>196.71</v>
      </c>
    </row>
    <row r="3129" spans="1:9" x14ac:dyDescent="0.25">
      <c r="A3129" s="10">
        <v>44350</v>
      </c>
      <c r="B3129" s="15">
        <f t="shared" si="96"/>
        <v>6</v>
      </c>
      <c r="C3129" s="15">
        <f t="shared" si="97"/>
        <v>2021</v>
      </c>
      <c r="D3129" s="13">
        <v>64.53</v>
      </c>
      <c r="E3129" s="13">
        <v>152.11000000000001</v>
      </c>
      <c r="F3129" s="13">
        <v>13.4</v>
      </c>
      <c r="G3129" s="13"/>
      <c r="H3129" s="13">
        <v>203.52</v>
      </c>
      <c r="I3129" s="13">
        <v>196.71</v>
      </c>
    </row>
    <row r="3130" spans="1:9" x14ac:dyDescent="0.25">
      <c r="A3130" s="10">
        <v>44351</v>
      </c>
      <c r="B3130" s="15">
        <f t="shared" si="96"/>
        <v>6</v>
      </c>
      <c r="C3130" s="15">
        <f t="shared" si="97"/>
        <v>2021</v>
      </c>
      <c r="D3130" s="13">
        <v>64.53</v>
      </c>
      <c r="E3130" s="13">
        <v>135.52000000000001</v>
      </c>
      <c r="F3130" s="13">
        <v>13.4</v>
      </c>
      <c r="G3130" s="13"/>
      <c r="H3130" s="13">
        <v>203.52</v>
      </c>
      <c r="I3130" s="13">
        <v>196.71</v>
      </c>
    </row>
    <row r="3131" spans="1:9" x14ac:dyDescent="0.25">
      <c r="A3131" s="10">
        <v>44354</v>
      </c>
      <c r="B3131" s="15">
        <f t="shared" si="96"/>
        <v>6</v>
      </c>
      <c r="C3131" s="15">
        <f t="shared" si="97"/>
        <v>2021</v>
      </c>
      <c r="D3131" s="13">
        <v>31.32</v>
      </c>
      <c r="E3131" s="13">
        <v>84.52</v>
      </c>
      <c r="F3131" s="13">
        <v>-23.16</v>
      </c>
      <c r="G3131" s="13"/>
      <c r="H3131" s="13">
        <v>203.17</v>
      </c>
      <c r="I3131" s="13">
        <v>162.72</v>
      </c>
    </row>
    <row r="3132" spans="1:9" x14ac:dyDescent="0.25">
      <c r="A3132" s="10">
        <v>44355</v>
      </c>
      <c r="B3132" s="15">
        <f t="shared" si="96"/>
        <v>6</v>
      </c>
      <c r="C3132" s="15">
        <f t="shared" si="97"/>
        <v>2021</v>
      </c>
      <c r="D3132" s="13">
        <v>31.32</v>
      </c>
      <c r="E3132" s="13">
        <v>103.9</v>
      </c>
      <c r="F3132" s="13">
        <v>-23.16</v>
      </c>
      <c r="G3132" s="13"/>
      <c r="H3132" s="13">
        <v>203.17</v>
      </c>
      <c r="I3132" s="13">
        <v>162.72</v>
      </c>
    </row>
    <row r="3133" spans="1:9" x14ac:dyDescent="0.25">
      <c r="A3133" s="10">
        <v>44356</v>
      </c>
      <c r="B3133" s="15">
        <f t="shared" si="96"/>
        <v>6</v>
      </c>
      <c r="C3133" s="15">
        <f t="shared" si="97"/>
        <v>2021</v>
      </c>
      <c r="D3133" s="13">
        <v>31.32</v>
      </c>
      <c r="E3133" s="13">
        <v>72.709999999999994</v>
      </c>
      <c r="F3133" s="13">
        <v>-23.16</v>
      </c>
      <c r="G3133" s="13"/>
      <c r="H3133" s="13">
        <v>203.17</v>
      </c>
      <c r="I3133" s="13">
        <v>162.72</v>
      </c>
    </row>
    <row r="3134" spans="1:9" x14ac:dyDescent="0.25">
      <c r="A3134" s="10">
        <v>44357</v>
      </c>
      <c r="B3134" s="15">
        <f t="shared" si="96"/>
        <v>6</v>
      </c>
      <c r="C3134" s="15">
        <f t="shared" si="97"/>
        <v>2021</v>
      </c>
      <c r="D3134" s="13">
        <v>31.32</v>
      </c>
      <c r="E3134" s="13">
        <v>70.83</v>
      </c>
      <c r="F3134" s="13">
        <v>-23.16</v>
      </c>
      <c r="G3134" s="13"/>
      <c r="H3134" s="13">
        <v>203.17</v>
      </c>
      <c r="I3134" s="13">
        <v>162.72</v>
      </c>
    </row>
    <row r="3135" spans="1:9" x14ac:dyDescent="0.25">
      <c r="A3135" s="10">
        <v>44358</v>
      </c>
      <c r="B3135" s="15">
        <f t="shared" si="96"/>
        <v>6</v>
      </c>
      <c r="C3135" s="15">
        <f t="shared" si="97"/>
        <v>2021</v>
      </c>
      <c r="D3135" s="13">
        <v>31.32</v>
      </c>
      <c r="E3135" s="13">
        <v>67.650000000000006</v>
      </c>
      <c r="F3135" s="13">
        <v>-23.16</v>
      </c>
      <c r="G3135" s="13"/>
      <c r="H3135" s="13">
        <v>203.17</v>
      </c>
      <c r="I3135" s="13">
        <v>162.72</v>
      </c>
    </row>
    <row r="3136" spans="1:9" x14ac:dyDescent="0.25">
      <c r="A3136" s="10">
        <v>44361</v>
      </c>
      <c r="B3136" s="15">
        <f t="shared" si="96"/>
        <v>6</v>
      </c>
      <c r="C3136" s="15">
        <f t="shared" si="97"/>
        <v>2021</v>
      </c>
      <c r="D3136" s="13">
        <v>57.67</v>
      </c>
      <c r="E3136" s="13">
        <v>64.680000000000007</v>
      </c>
      <c r="F3136" s="13">
        <v>25.27</v>
      </c>
      <c r="G3136" s="13"/>
      <c r="H3136" s="13">
        <v>183.45</v>
      </c>
      <c r="I3136" s="13">
        <v>182.13</v>
      </c>
    </row>
    <row r="3137" spans="1:9" x14ac:dyDescent="0.25">
      <c r="A3137" s="10">
        <v>44362</v>
      </c>
      <c r="B3137" s="15">
        <f t="shared" si="96"/>
        <v>6</v>
      </c>
      <c r="C3137" s="15">
        <f t="shared" si="97"/>
        <v>2021</v>
      </c>
      <c r="D3137" s="13">
        <v>57.67</v>
      </c>
      <c r="E3137" s="13">
        <v>53.22</v>
      </c>
      <c r="F3137" s="13">
        <v>25.27</v>
      </c>
      <c r="G3137" s="13"/>
      <c r="H3137" s="13">
        <v>183.45</v>
      </c>
      <c r="I3137" s="13">
        <v>182.13</v>
      </c>
    </row>
    <row r="3138" spans="1:9" x14ac:dyDescent="0.25">
      <c r="A3138" s="10">
        <v>44363</v>
      </c>
      <c r="B3138" s="15">
        <f t="shared" si="96"/>
        <v>6</v>
      </c>
      <c r="C3138" s="15">
        <f t="shared" si="97"/>
        <v>2021</v>
      </c>
      <c r="D3138" s="13">
        <v>57.67</v>
      </c>
      <c r="E3138" s="13">
        <v>71.989999999999995</v>
      </c>
      <c r="F3138" s="13">
        <v>25.27</v>
      </c>
      <c r="G3138" s="13"/>
      <c r="H3138" s="13">
        <v>183.45</v>
      </c>
      <c r="I3138" s="13">
        <v>182.13</v>
      </c>
    </row>
    <row r="3139" spans="1:9" x14ac:dyDescent="0.25">
      <c r="A3139" s="10">
        <v>44364</v>
      </c>
      <c r="B3139" s="15">
        <f t="shared" ref="B3139:B3174" si="98">MONTH(A3139)</f>
        <v>6</v>
      </c>
      <c r="C3139" s="15">
        <f t="shared" ref="C3139:C3174" si="99">YEAR(A3139)</f>
        <v>2021</v>
      </c>
      <c r="D3139" s="13">
        <v>57.67</v>
      </c>
      <c r="E3139" s="13">
        <v>-2.97</v>
      </c>
      <c r="F3139" s="13">
        <v>25.27</v>
      </c>
      <c r="G3139" s="13"/>
      <c r="H3139" s="13">
        <v>183.45</v>
      </c>
      <c r="I3139" s="13">
        <v>182.13</v>
      </c>
    </row>
    <row r="3140" spans="1:9" x14ac:dyDescent="0.25">
      <c r="A3140" s="10">
        <v>44365</v>
      </c>
      <c r="B3140" s="15">
        <f t="shared" si="98"/>
        <v>6</v>
      </c>
      <c r="C3140" s="15">
        <f t="shared" si="99"/>
        <v>2021</v>
      </c>
      <c r="D3140" s="13">
        <v>57.67</v>
      </c>
      <c r="E3140" s="13">
        <v>69.12</v>
      </c>
      <c r="F3140" s="13">
        <v>25.27</v>
      </c>
      <c r="G3140" s="13"/>
      <c r="H3140" s="13">
        <v>183.45</v>
      </c>
      <c r="I3140" s="13">
        <v>182.13</v>
      </c>
    </row>
    <row r="3141" spans="1:9" x14ac:dyDescent="0.25">
      <c r="A3141" s="10">
        <v>44368</v>
      </c>
      <c r="B3141" s="15">
        <f t="shared" si="98"/>
        <v>6</v>
      </c>
      <c r="C3141" s="15">
        <f t="shared" si="99"/>
        <v>2021</v>
      </c>
      <c r="D3141" s="13">
        <v>51.43</v>
      </c>
      <c r="E3141" s="13">
        <v>68.42</v>
      </c>
      <c r="F3141" s="13">
        <v>-28.67</v>
      </c>
      <c r="G3141" s="13"/>
      <c r="H3141" s="13">
        <v>183.61</v>
      </c>
      <c r="I3141" s="13">
        <v>160.94</v>
      </c>
    </row>
    <row r="3142" spans="1:9" x14ac:dyDescent="0.25">
      <c r="A3142" s="10">
        <v>44369</v>
      </c>
      <c r="B3142" s="15">
        <f t="shared" si="98"/>
        <v>6</v>
      </c>
      <c r="C3142" s="15">
        <f t="shared" si="99"/>
        <v>2021</v>
      </c>
      <c r="D3142" s="13">
        <v>51.43</v>
      </c>
      <c r="E3142" s="13">
        <v>80.89</v>
      </c>
      <c r="F3142" s="13">
        <v>-28.67</v>
      </c>
      <c r="G3142" s="13"/>
      <c r="H3142" s="13">
        <v>183.61</v>
      </c>
      <c r="I3142" s="13">
        <v>160.94</v>
      </c>
    </row>
    <row r="3143" spans="1:9" x14ac:dyDescent="0.25">
      <c r="A3143" s="10">
        <v>44370</v>
      </c>
      <c r="B3143" s="15">
        <f t="shared" si="98"/>
        <v>6</v>
      </c>
      <c r="C3143" s="15">
        <f t="shared" si="99"/>
        <v>2021</v>
      </c>
      <c r="D3143" s="13">
        <v>51.43</v>
      </c>
      <c r="E3143" s="13">
        <v>84.46</v>
      </c>
      <c r="F3143" s="13">
        <v>-28.67</v>
      </c>
      <c r="G3143" s="13"/>
      <c r="H3143" s="13">
        <v>183.61</v>
      </c>
      <c r="I3143" s="13">
        <v>160.94</v>
      </c>
    </row>
    <row r="3144" spans="1:9" x14ac:dyDescent="0.25">
      <c r="A3144" s="10">
        <v>44371</v>
      </c>
      <c r="B3144" s="15">
        <f t="shared" si="98"/>
        <v>6</v>
      </c>
      <c r="C3144" s="15">
        <f t="shared" si="99"/>
        <v>2021</v>
      </c>
      <c r="D3144" s="13">
        <v>51.43</v>
      </c>
      <c r="E3144" s="13">
        <v>86.54</v>
      </c>
      <c r="F3144" s="13">
        <v>-28.67</v>
      </c>
      <c r="G3144" s="13"/>
      <c r="H3144" s="13">
        <v>183.61</v>
      </c>
      <c r="I3144" s="13">
        <v>160.94</v>
      </c>
    </row>
    <row r="3145" spans="1:9" x14ac:dyDescent="0.25">
      <c r="A3145" s="10">
        <v>44372</v>
      </c>
      <c r="B3145" s="15">
        <f t="shared" si="98"/>
        <v>6</v>
      </c>
      <c r="C3145" s="15">
        <f t="shared" si="99"/>
        <v>2021</v>
      </c>
      <c r="D3145" s="13">
        <v>51.43</v>
      </c>
      <c r="E3145" s="13">
        <v>44.59</v>
      </c>
      <c r="F3145" s="13">
        <v>-28.67</v>
      </c>
      <c r="G3145" s="13"/>
      <c r="H3145" s="13">
        <v>183.61</v>
      </c>
      <c r="I3145" s="13">
        <v>160.94</v>
      </c>
    </row>
    <row r="3146" spans="1:9" x14ac:dyDescent="0.25">
      <c r="A3146" s="10">
        <v>44375</v>
      </c>
      <c r="B3146" s="15">
        <f t="shared" si="98"/>
        <v>6</v>
      </c>
      <c r="C3146" s="15">
        <f t="shared" si="99"/>
        <v>2021</v>
      </c>
      <c r="D3146" s="13">
        <v>15</v>
      </c>
      <c r="E3146" s="13">
        <v>44.65</v>
      </c>
      <c r="F3146" s="13">
        <v>-32.49</v>
      </c>
      <c r="G3146" s="13"/>
      <c r="H3146" s="13">
        <v>173.24</v>
      </c>
      <c r="I3146" s="13">
        <v>150.69999999999999</v>
      </c>
    </row>
    <row r="3147" spans="1:9" x14ac:dyDescent="0.25">
      <c r="A3147" s="10">
        <v>44376</v>
      </c>
      <c r="B3147" s="15">
        <f t="shared" si="98"/>
        <v>6</v>
      </c>
      <c r="C3147" s="15">
        <f t="shared" si="99"/>
        <v>2021</v>
      </c>
      <c r="D3147" s="13">
        <v>15</v>
      </c>
      <c r="E3147" s="13">
        <v>45.65</v>
      </c>
      <c r="F3147" s="13">
        <v>-32.49</v>
      </c>
      <c r="G3147" s="13"/>
      <c r="H3147" s="13">
        <v>173.24</v>
      </c>
      <c r="I3147" s="13">
        <v>150.69999999999999</v>
      </c>
    </row>
    <row r="3148" spans="1:9" x14ac:dyDescent="0.25">
      <c r="A3148" s="10">
        <v>44377</v>
      </c>
      <c r="B3148" s="15">
        <f t="shared" si="98"/>
        <v>6</v>
      </c>
      <c r="C3148" s="15">
        <f t="shared" si="99"/>
        <v>2021</v>
      </c>
      <c r="D3148" s="13">
        <v>15</v>
      </c>
      <c r="E3148" s="13">
        <v>45.65</v>
      </c>
      <c r="F3148" s="13">
        <v>-32.49</v>
      </c>
      <c r="G3148" s="13"/>
      <c r="H3148" s="13">
        <v>173.24</v>
      </c>
      <c r="I3148" s="13">
        <v>150.69999999999999</v>
      </c>
    </row>
    <row r="3149" spans="1:9" x14ac:dyDescent="0.25">
      <c r="A3149" s="10">
        <v>44378</v>
      </c>
      <c r="B3149" s="15">
        <f t="shared" si="98"/>
        <v>7</v>
      </c>
      <c r="C3149" s="15">
        <f t="shared" si="99"/>
        <v>2021</v>
      </c>
      <c r="D3149" s="13">
        <v>15</v>
      </c>
      <c r="E3149" s="13">
        <v>53.77</v>
      </c>
      <c r="F3149" s="13">
        <v>-32.49</v>
      </c>
      <c r="G3149" s="13"/>
      <c r="H3149" s="13">
        <v>173.24</v>
      </c>
      <c r="I3149" s="13">
        <v>150.69999999999999</v>
      </c>
    </row>
    <row r="3150" spans="1:9" x14ac:dyDescent="0.25">
      <c r="A3150" s="10">
        <v>44379</v>
      </c>
      <c r="B3150" s="15">
        <f t="shared" si="98"/>
        <v>7</v>
      </c>
      <c r="C3150" s="15">
        <f t="shared" si="99"/>
        <v>2021</v>
      </c>
      <c r="D3150" s="13">
        <v>15</v>
      </c>
      <c r="E3150" s="13">
        <v>54.16</v>
      </c>
      <c r="F3150" s="13">
        <v>-32.49</v>
      </c>
      <c r="G3150" s="13"/>
      <c r="H3150" s="13">
        <v>173.24</v>
      </c>
      <c r="I3150" s="13">
        <v>150.69999999999999</v>
      </c>
    </row>
    <row r="3151" spans="1:9" x14ac:dyDescent="0.25">
      <c r="A3151" s="10">
        <v>44382</v>
      </c>
      <c r="B3151" s="15">
        <f t="shared" si="98"/>
        <v>7</v>
      </c>
      <c r="C3151" s="15">
        <f t="shared" si="99"/>
        <v>2021</v>
      </c>
      <c r="D3151" s="13">
        <v>27.38</v>
      </c>
      <c r="E3151" s="13">
        <v>52.6</v>
      </c>
      <c r="F3151" s="13">
        <v>-9.4700000000000006</v>
      </c>
      <c r="G3151" s="13"/>
      <c r="H3151" s="13">
        <v>164.16</v>
      </c>
      <c r="I3151" s="13">
        <v>100.57</v>
      </c>
    </row>
    <row r="3152" spans="1:9" x14ac:dyDescent="0.25">
      <c r="A3152" s="10">
        <v>44383</v>
      </c>
      <c r="B3152" s="15">
        <f t="shared" si="98"/>
        <v>7</v>
      </c>
      <c r="C3152" s="15">
        <f t="shared" si="99"/>
        <v>2021</v>
      </c>
      <c r="D3152" s="13">
        <v>27.38</v>
      </c>
      <c r="E3152" s="13">
        <v>52.6</v>
      </c>
      <c r="F3152" s="13">
        <v>-9.4700000000000006</v>
      </c>
      <c r="G3152" s="13"/>
      <c r="H3152" s="13">
        <v>164.16</v>
      </c>
      <c r="I3152" s="13">
        <v>100.57</v>
      </c>
    </row>
    <row r="3153" spans="1:9" x14ac:dyDescent="0.25">
      <c r="A3153" s="10">
        <v>44384</v>
      </c>
      <c r="B3153" s="15">
        <f t="shared" si="98"/>
        <v>7</v>
      </c>
      <c r="C3153" s="15">
        <f t="shared" si="99"/>
        <v>2021</v>
      </c>
      <c r="D3153" s="13">
        <v>27.38</v>
      </c>
      <c r="E3153" s="13">
        <v>52.6</v>
      </c>
      <c r="F3153" s="13">
        <v>-9.4700000000000006</v>
      </c>
      <c r="G3153" s="13"/>
      <c r="H3153" s="13">
        <v>164.16</v>
      </c>
      <c r="I3153" s="13">
        <v>100.57</v>
      </c>
    </row>
    <row r="3154" spans="1:9" x14ac:dyDescent="0.25">
      <c r="A3154" s="10">
        <v>44385</v>
      </c>
      <c r="B3154" s="15">
        <f t="shared" si="98"/>
        <v>7</v>
      </c>
      <c r="C3154" s="15">
        <f t="shared" si="99"/>
        <v>2021</v>
      </c>
      <c r="D3154" s="13">
        <v>27.38</v>
      </c>
      <c r="E3154" s="13">
        <v>44.2</v>
      </c>
      <c r="F3154" s="13">
        <v>-9.4700000000000006</v>
      </c>
      <c r="G3154" s="13"/>
      <c r="H3154" s="13">
        <v>164.16</v>
      </c>
      <c r="I3154" s="13">
        <v>100.57</v>
      </c>
    </row>
    <row r="3155" spans="1:9" x14ac:dyDescent="0.25">
      <c r="A3155" s="10">
        <v>44386</v>
      </c>
      <c r="B3155" s="15">
        <f t="shared" si="98"/>
        <v>7</v>
      </c>
      <c r="C3155" s="15">
        <f t="shared" si="99"/>
        <v>2021</v>
      </c>
      <c r="D3155" s="13">
        <v>27.38</v>
      </c>
      <c r="E3155" s="13">
        <v>43.62</v>
      </c>
      <c r="F3155" s="13">
        <v>-9.4700000000000006</v>
      </c>
      <c r="G3155" s="13"/>
      <c r="H3155" s="13">
        <v>164.16</v>
      </c>
      <c r="I3155" s="13">
        <v>100.57</v>
      </c>
    </row>
    <row r="3156" spans="1:9" x14ac:dyDescent="0.25">
      <c r="A3156" s="10">
        <v>44389</v>
      </c>
      <c r="B3156" s="15">
        <f t="shared" si="98"/>
        <v>7</v>
      </c>
      <c r="C3156" s="15">
        <f t="shared" si="99"/>
        <v>2021</v>
      </c>
      <c r="D3156" s="13">
        <v>51.26</v>
      </c>
      <c r="E3156" s="13">
        <v>43.62</v>
      </c>
      <c r="F3156" s="13">
        <v>3.88</v>
      </c>
      <c r="G3156" s="13"/>
      <c r="H3156" s="13">
        <v>191.97</v>
      </c>
      <c r="I3156" s="13">
        <v>136.56</v>
      </c>
    </row>
    <row r="3157" spans="1:9" x14ac:dyDescent="0.25">
      <c r="A3157" s="10">
        <v>44390</v>
      </c>
      <c r="B3157" s="15">
        <f t="shared" si="98"/>
        <v>7</v>
      </c>
      <c r="C3157" s="15">
        <f t="shared" si="99"/>
        <v>2021</v>
      </c>
      <c r="D3157" s="13">
        <v>51.26</v>
      </c>
      <c r="E3157" s="13">
        <v>44.2</v>
      </c>
      <c r="F3157" s="13">
        <v>3.88</v>
      </c>
      <c r="G3157" s="13"/>
      <c r="H3157" s="13">
        <v>191.97</v>
      </c>
      <c r="I3157" s="13">
        <v>136.56</v>
      </c>
    </row>
    <row r="3158" spans="1:9" x14ac:dyDescent="0.25">
      <c r="A3158" s="10">
        <v>44391</v>
      </c>
      <c r="B3158" s="15">
        <f t="shared" si="98"/>
        <v>7</v>
      </c>
      <c r="C3158" s="15">
        <f t="shared" si="99"/>
        <v>2021</v>
      </c>
      <c r="D3158" s="13">
        <v>51.26</v>
      </c>
      <c r="E3158" s="13">
        <v>44.98</v>
      </c>
      <c r="F3158" s="13">
        <v>3.88</v>
      </c>
      <c r="G3158" s="13"/>
      <c r="H3158" s="13">
        <v>191.97</v>
      </c>
      <c r="I3158" s="13">
        <v>136.56</v>
      </c>
    </row>
    <row r="3159" spans="1:9" x14ac:dyDescent="0.25">
      <c r="A3159" s="10">
        <v>44392</v>
      </c>
      <c r="B3159" s="15">
        <f t="shared" si="98"/>
        <v>7</v>
      </c>
      <c r="C3159" s="15">
        <f t="shared" si="99"/>
        <v>2021</v>
      </c>
      <c r="D3159" s="13">
        <v>51.26</v>
      </c>
      <c r="E3159" s="13">
        <v>67.33</v>
      </c>
      <c r="F3159" s="13">
        <v>3.88</v>
      </c>
      <c r="G3159" s="13"/>
      <c r="H3159" s="13">
        <v>191.97</v>
      </c>
      <c r="I3159" s="13">
        <v>136.56</v>
      </c>
    </row>
    <row r="3160" spans="1:9" x14ac:dyDescent="0.25">
      <c r="A3160" s="10">
        <v>44393</v>
      </c>
      <c r="B3160" s="15">
        <f t="shared" si="98"/>
        <v>7</v>
      </c>
      <c r="C3160" s="15">
        <f t="shared" si="99"/>
        <v>2021</v>
      </c>
      <c r="D3160" s="13">
        <v>51.26</v>
      </c>
      <c r="E3160" s="13">
        <v>73.58</v>
      </c>
      <c r="F3160" s="13">
        <v>3.88</v>
      </c>
      <c r="G3160" s="13"/>
      <c r="H3160" s="13">
        <v>191.97</v>
      </c>
      <c r="I3160" s="13">
        <v>136.56</v>
      </c>
    </row>
    <row r="3161" spans="1:9" x14ac:dyDescent="0.25">
      <c r="A3161" s="10">
        <v>44396</v>
      </c>
      <c r="B3161" s="15">
        <f t="shared" si="98"/>
        <v>7</v>
      </c>
      <c r="C3161" s="15">
        <f t="shared" si="99"/>
        <v>2021</v>
      </c>
      <c r="D3161" s="13">
        <v>45.97</v>
      </c>
      <c r="E3161" s="13">
        <v>83.24</v>
      </c>
      <c r="F3161" s="13">
        <v>4.5599999999999996</v>
      </c>
      <c r="G3161" s="13"/>
      <c r="H3161" s="13">
        <v>179.59</v>
      </c>
      <c r="I3161" s="13">
        <v>126.85</v>
      </c>
    </row>
    <row r="3162" spans="1:9" x14ac:dyDescent="0.25">
      <c r="A3162" s="10">
        <v>44397</v>
      </c>
      <c r="B3162" s="15">
        <f t="shared" si="98"/>
        <v>7</v>
      </c>
      <c r="C3162" s="15">
        <f t="shared" si="99"/>
        <v>2021</v>
      </c>
      <c r="D3162" s="13">
        <v>45.97</v>
      </c>
      <c r="E3162" s="13">
        <v>84.24</v>
      </c>
      <c r="F3162" s="13">
        <v>4.5599999999999996</v>
      </c>
      <c r="G3162" s="13"/>
      <c r="H3162" s="13">
        <v>179.59</v>
      </c>
      <c r="I3162" s="13">
        <v>126.85</v>
      </c>
    </row>
    <row r="3163" spans="1:9" x14ac:dyDescent="0.25">
      <c r="A3163" s="10">
        <v>44398</v>
      </c>
      <c r="B3163" s="15">
        <f t="shared" si="98"/>
        <v>7</v>
      </c>
      <c r="C3163" s="15">
        <f t="shared" si="99"/>
        <v>2021</v>
      </c>
      <c r="D3163" s="13">
        <v>45.97</v>
      </c>
      <c r="E3163" s="13">
        <v>84.24</v>
      </c>
      <c r="F3163" s="13">
        <v>4.5599999999999996</v>
      </c>
      <c r="G3163" s="13"/>
      <c r="H3163" s="13">
        <v>179.59</v>
      </c>
      <c r="I3163" s="13">
        <v>126.85</v>
      </c>
    </row>
    <row r="3164" spans="1:9" x14ac:dyDescent="0.25">
      <c r="A3164" s="10">
        <v>44399</v>
      </c>
      <c r="B3164" s="15">
        <f t="shared" si="98"/>
        <v>7</v>
      </c>
      <c r="C3164" s="15">
        <f t="shared" si="99"/>
        <v>2021</v>
      </c>
      <c r="D3164" s="13">
        <v>45.97</v>
      </c>
      <c r="E3164" s="13">
        <v>80.58</v>
      </c>
      <c r="F3164" s="13">
        <v>4.5599999999999996</v>
      </c>
      <c r="G3164" s="13"/>
      <c r="H3164" s="13">
        <v>179.59</v>
      </c>
      <c r="I3164" s="13">
        <v>126.85</v>
      </c>
    </row>
    <row r="3165" spans="1:9" x14ac:dyDescent="0.25">
      <c r="A3165" s="10">
        <v>44400</v>
      </c>
      <c r="B3165" s="15">
        <f t="shared" si="98"/>
        <v>7</v>
      </c>
      <c r="C3165" s="15">
        <f t="shared" si="99"/>
        <v>2021</v>
      </c>
      <c r="D3165" s="13">
        <v>45.97</v>
      </c>
      <c r="E3165" s="13">
        <v>61.47</v>
      </c>
      <c r="F3165" s="13">
        <v>4.5599999999999996</v>
      </c>
      <c r="G3165" s="13"/>
      <c r="H3165" s="13">
        <v>179.59</v>
      </c>
      <c r="I3165" s="13">
        <v>126.85</v>
      </c>
    </row>
    <row r="3166" spans="1:9" x14ac:dyDescent="0.25">
      <c r="A3166" s="10">
        <v>44403</v>
      </c>
      <c r="B3166" s="15">
        <f t="shared" si="98"/>
        <v>7</v>
      </c>
      <c r="C3166" s="15">
        <f t="shared" si="99"/>
        <v>2021</v>
      </c>
      <c r="D3166" s="13">
        <v>-15.58</v>
      </c>
      <c r="E3166" s="13">
        <v>60.64</v>
      </c>
      <c r="F3166" s="13">
        <v>-40.450000000000003</v>
      </c>
      <c r="G3166" s="13"/>
      <c r="H3166" s="13">
        <v>140.80000000000001</v>
      </c>
      <c r="I3166" s="13">
        <v>112.33</v>
      </c>
    </row>
    <row r="3167" spans="1:9" x14ac:dyDescent="0.25">
      <c r="A3167" s="10">
        <v>44404</v>
      </c>
      <c r="B3167" s="15">
        <f t="shared" si="98"/>
        <v>7</v>
      </c>
      <c r="C3167" s="15">
        <f t="shared" si="99"/>
        <v>2021</v>
      </c>
      <c r="D3167" s="13">
        <v>-15.58</v>
      </c>
      <c r="E3167" s="13">
        <v>60.16</v>
      </c>
      <c r="F3167" s="13">
        <v>-40.450000000000003</v>
      </c>
      <c r="G3167" s="13"/>
      <c r="H3167" s="13">
        <v>140.80000000000001</v>
      </c>
      <c r="I3167" s="13">
        <v>112.33</v>
      </c>
    </row>
    <row r="3168" spans="1:9" x14ac:dyDescent="0.25">
      <c r="A3168" s="10">
        <v>44405</v>
      </c>
      <c r="B3168" s="15">
        <f t="shared" si="98"/>
        <v>7</v>
      </c>
      <c r="C3168" s="15">
        <f t="shared" si="99"/>
        <v>2021</v>
      </c>
      <c r="D3168" s="13">
        <v>-15.58</v>
      </c>
      <c r="E3168" s="13">
        <v>59.75</v>
      </c>
      <c r="F3168" s="13">
        <v>-40.450000000000003</v>
      </c>
      <c r="G3168" s="13"/>
      <c r="H3168" s="13">
        <v>140.80000000000001</v>
      </c>
      <c r="I3168" s="13">
        <v>112.33</v>
      </c>
    </row>
    <row r="3169" spans="1:9" x14ac:dyDescent="0.25">
      <c r="A3169" s="10">
        <v>44406</v>
      </c>
      <c r="B3169" s="15">
        <f t="shared" si="98"/>
        <v>7</v>
      </c>
      <c r="C3169" s="15">
        <f t="shared" si="99"/>
        <v>2021</v>
      </c>
      <c r="D3169" s="13">
        <v>-15.58</v>
      </c>
      <c r="E3169" s="13">
        <v>60.26</v>
      </c>
      <c r="F3169" s="13">
        <v>-40.450000000000003</v>
      </c>
      <c r="G3169" s="13"/>
      <c r="H3169" s="13">
        <v>140.80000000000001</v>
      </c>
      <c r="I3169" s="13">
        <v>112.33</v>
      </c>
    </row>
    <row r="3170" spans="1:9" x14ac:dyDescent="0.25">
      <c r="A3170" s="10">
        <v>44407</v>
      </c>
      <c r="B3170" s="15">
        <f t="shared" si="98"/>
        <v>7</v>
      </c>
      <c r="C3170" s="15">
        <f t="shared" si="99"/>
        <v>2021</v>
      </c>
      <c r="D3170" s="13">
        <v>-15.58</v>
      </c>
      <c r="E3170" s="13">
        <v>69.62</v>
      </c>
      <c r="F3170" s="13">
        <v>-40.450000000000003</v>
      </c>
      <c r="G3170" s="13"/>
      <c r="H3170" s="13">
        <v>140.80000000000001</v>
      </c>
      <c r="I3170" s="13">
        <v>112.33</v>
      </c>
    </row>
    <row r="3171" spans="1:9" x14ac:dyDescent="0.25">
      <c r="A3171" s="10">
        <v>44410</v>
      </c>
      <c r="B3171" s="15">
        <f t="shared" si="98"/>
        <v>8</v>
      </c>
      <c r="C3171" s="15">
        <f t="shared" si="99"/>
        <v>2021</v>
      </c>
      <c r="D3171" s="13">
        <v>22.1</v>
      </c>
      <c r="E3171" s="13">
        <v>67.73</v>
      </c>
      <c r="F3171" s="13">
        <v>-31.78</v>
      </c>
      <c r="G3171" s="13"/>
      <c r="H3171" s="13">
        <v>126.34</v>
      </c>
      <c r="I3171" s="13">
        <v>112.24</v>
      </c>
    </row>
    <row r="3172" spans="1:9" x14ac:dyDescent="0.25">
      <c r="A3172" s="10">
        <v>44411</v>
      </c>
      <c r="B3172" s="15">
        <f t="shared" si="98"/>
        <v>8</v>
      </c>
      <c r="C3172" s="15">
        <f t="shared" si="99"/>
        <v>2021</v>
      </c>
      <c r="D3172" s="13">
        <v>22.1</v>
      </c>
      <c r="E3172" s="13">
        <v>65.319999999999993</v>
      </c>
      <c r="F3172" s="13">
        <v>-31.78</v>
      </c>
      <c r="G3172" s="13"/>
      <c r="H3172" s="13">
        <v>126.34</v>
      </c>
      <c r="I3172" s="13">
        <v>112.24</v>
      </c>
    </row>
    <row r="3173" spans="1:9" x14ac:dyDescent="0.25">
      <c r="A3173" s="10">
        <v>44412</v>
      </c>
      <c r="B3173" s="15">
        <f t="shared" si="98"/>
        <v>8</v>
      </c>
      <c r="C3173" s="15">
        <f t="shared" si="99"/>
        <v>2021</v>
      </c>
      <c r="D3173" s="13" t="e">
        <f ca="1">_xll.RHistory("SUN-NWE-REF","NDA_RAW.Nda_last","START:"&amp;$A3173&amp;" END:"&amp;$A3173&amp;" INTERVAL:1W",,,)</f>
        <v>#NAME?</v>
      </c>
      <c r="E3173" s="13">
        <v>67.599999999999994</v>
      </c>
      <c r="F3173" s="13" t="e">
        <f ca="1">_xll.RHistory("SUN-ARG-REF","NDA_RAW.Nda_last","START:"&amp;$A3173&amp;" END:"&amp;$A3173&amp;" INTERVAL:1W",,,)</f>
        <v>#NAME?</v>
      </c>
      <c r="G3173" s="13" t="e">
        <f ca="1">_xll.RHistory("SUN-RUS-REF","LAST_QUOTE.Timestamp;LAST_QUOTE.Value","INTERVAL:TICK")</f>
        <v>#NAME?</v>
      </c>
      <c r="H3173" s="13" t="e">
        <f ca="1">_xll.RHistory("SUN-FRA-REF","NDA_RAW.Nda_last","START:"&amp;$A3173&amp;" END:"&amp;$A3173&amp;" INTERVAL:1W",,,)</f>
        <v>#NAME?</v>
      </c>
      <c r="I3173" s="13" t="e">
        <f ca="1">_xll.RHistory("SUN-ITA-REF","NDA_RAW.Nda_last","START:"&amp;$A3173&amp;" END:"&amp;$A3173&amp;" INTERVAL:1W",,,)</f>
        <v>#NAME?</v>
      </c>
    </row>
    <row r="3174" spans="1:9" x14ac:dyDescent="0.25">
      <c r="A3174" s="10">
        <v>44413</v>
      </c>
      <c r="B3174" s="15">
        <f t="shared" si="98"/>
        <v>8</v>
      </c>
      <c r="C3174" s="15">
        <f t="shared" si="99"/>
        <v>2021</v>
      </c>
      <c r="D3174" s="13" t="e">
        <f ca="1">_xll.RHistory("SUN-NWE-REF","NDA_RAW.Nda_last","START:"&amp;$A3174&amp;" END:"&amp;$A3174&amp;" INTERVAL:1W",,,)</f>
        <v>#NAME?</v>
      </c>
      <c r="E3174" s="13">
        <v>70.11</v>
      </c>
      <c r="F3174" s="13" t="e">
        <f ca="1">_xll.RHistory("SUN-ARG-REF","NDA_RAW.Nda_last","START:"&amp;$A3174&amp;" END:"&amp;$A3174&amp;" INTERVAL:1W",,,)</f>
        <v>#NAME?</v>
      </c>
      <c r="G3174" s="13" t="e">
        <f ca="1">_xll.RHistory("SUN-RUS-REF","LAST_QUOTE.Timestamp;LAST_QUOTE.Value","INTERVAL:TICK")</f>
        <v>#NAME?</v>
      </c>
      <c r="H3174" s="13" t="e">
        <f ca="1">_xll.RHistory("SUN-FRA-REF","NDA_RAW.Nda_last","START:"&amp;$A3174&amp;" END:"&amp;$A3174&amp;" INTERVAL:1W",,,)</f>
        <v>#NAME?</v>
      </c>
      <c r="I3174" s="13" t="e">
        <f ca="1">_xll.RHistory("SUN-ITA-REF","NDA_RAW.Nda_last","START:"&amp;$A3174&amp;" END:"&amp;$A3174&amp;" INTERVAL:1W",,,)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3E5F-4FBC-4F5E-80EF-E438F6A65793}">
  <dimension ref="A1:I153"/>
  <sheetViews>
    <sheetView workbookViewId="0">
      <pane xSplit="3" ySplit="1" topLeftCell="D2" activePane="bottomRight" state="frozen"/>
      <selection activeCell="D839" sqref="D839"/>
      <selection pane="topRight" activeCell="D839" sqref="D839"/>
      <selection pane="bottomLeft" activeCell="D839" sqref="D839"/>
      <selection pane="bottomRight" activeCell="D839" sqref="D839"/>
    </sheetView>
  </sheetViews>
  <sheetFormatPr defaultRowHeight="12.75" x14ac:dyDescent="0.2"/>
  <cols>
    <col min="1" max="1" width="9" style="11"/>
    <col min="2" max="3" width="4.875" style="11" customWidth="1"/>
    <col min="4" max="8" width="13.125" style="11" customWidth="1"/>
    <col min="9" max="16384" width="9" style="11"/>
  </cols>
  <sheetData>
    <row r="1" spans="1:9" ht="31.5" x14ac:dyDescent="0.2">
      <c r="B1" s="11" t="s">
        <v>1</v>
      </c>
      <c r="C1" s="11" t="s">
        <v>2</v>
      </c>
      <c r="D1" s="3" t="s">
        <v>854</v>
      </c>
      <c r="E1" s="3" t="s">
        <v>855</v>
      </c>
      <c r="F1" s="3" t="s">
        <v>856</v>
      </c>
      <c r="G1" s="3" t="s">
        <v>857</v>
      </c>
      <c r="H1" s="3" t="s">
        <v>858</v>
      </c>
      <c r="I1" s="3" t="s">
        <v>859</v>
      </c>
    </row>
    <row r="2" spans="1:9" x14ac:dyDescent="0.2">
      <c r="A2" s="17">
        <v>39814</v>
      </c>
      <c r="B2" s="15">
        <f>MONTH(A2)</f>
        <v>1</v>
      </c>
      <c r="C2" s="15">
        <f>YEAR(A2)</f>
        <v>2009</v>
      </c>
      <c r="D2" s="18">
        <f>AVERAGEIFS('Crush Margins'!D$2:D$3200,'Crush Margins'!$B$2:$B$3200,'Crush Margins Monthly'!$B2,'Crush Margins'!$C$2:$C$3200,'Crush Margins Monthly'!$C2)</f>
        <v>56.853846153846149</v>
      </c>
      <c r="E2" s="18">
        <f>AVERAGEIFS('Crush Margins'!E$2:E$3200,'Crush Margins'!$B$2:$B$3200,'Crush Margins Monthly'!$B2,'Crush Margins'!$C$2:$C$3200,'Crush Margins Monthly'!$C2)</f>
        <v>147.15103528943811</v>
      </c>
      <c r="F2" s="18"/>
      <c r="G2" s="18"/>
      <c r="H2" s="18">
        <f>AVERAGEIFS('Crush Margins'!H$2:H$3200,'Crush Margins'!$B$2:$B$3200,'Crush Margins Monthly'!$B2,'Crush Margins'!$C$2:$C$3200,'Crush Margins Monthly'!$C2)</f>
        <v>97.02166666666669</v>
      </c>
      <c r="I2" s="18">
        <f>AVERAGEIFS('Crush Margins'!I$2:I$3200,'Crush Margins'!$B$2:$B$3200,'Crush Margins Monthly'!$B2,'Crush Margins'!$C$2:$C$3200,'Crush Margins Monthly'!$C2)</f>
        <v>-76.961538461538439</v>
      </c>
    </row>
    <row r="3" spans="1:9" x14ac:dyDescent="0.2">
      <c r="A3" s="17">
        <v>39845</v>
      </c>
      <c r="B3" s="15">
        <f t="shared" ref="B3:B66" si="0">MONTH(A3)</f>
        <v>2</v>
      </c>
      <c r="C3" s="15">
        <f t="shared" ref="C3:C66" si="1">YEAR(A3)</f>
        <v>2009</v>
      </c>
      <c r="D3" s="18">
        <f>AVERAGEIFS('Crush Margins'!D$2:D$3200,'Crush Margins'!$B$2:$B$3200,'Crush Margins Monthly'!$B3,'Crush Margins'!$C$2:$C$3200,'Crush Margins Monthly'!$C3)</f>
        <v>86.563157894736804</v>
      </c>
      <c r="E3" s="18">
        <f>AVERAGEIFS('Crush Margins'!E$2:E$3200,'Crush Margins'!$B$2:$B$3200,'Crush Margins Monthly'!$B3,'Crush Margins'!$C$2:$C$3200,'Crush Margins Monthly'!$C3)</f>
        <v>160.37608302588546</v>
      </c>
      <c r="F3" s="18"/>
      <c r="G3" s="18"/>
      <c r="H3" s="18">
        <f>AVERAGEIFS('Crush Margins'!H$2:H$3200,'Crush Margins'!$B$2:$B$3200,'Crush Margins Monthly'!$B3,'Crush Margins'!$C$2:$C$3200,'Crush Margins Monthly'!$C3)</f>
        <v>72.014210526315793</v>
      </c>
      <c r="I3" s="18">
        <f>AVERAGEIFS('Crush Margins'!I$2:I$3200,'Crush Margins'!$B$2:$B$3200,'Crush Margins Monthly'!$B3,'Crush Margins'!$C$2:$C$3200,'Crush Margins Monthly'!$C3)</f>
        <v>-57.815789473684212</v>
      </c>
    </row>
    <row r="4" spans="1:9" x14ac:dyDescent="0.2">
      <c r="A4" s="17">
        <v>39873</v>
      </c>
      <c r="B4" s="15">
        <f t="shared" si="0"/>
        <v>3</v>
      </c>
      <c r="C4" s="15">
        <f t="shared" si="1"/>
        <v>2009</v>
      </c>
      <c r="D4" s="18">
        <f>AVERAGEIFS('Crush Margins'!D$2:D$3200,'Crush Margins'!$B$2:$B$3200,'Crush Margins Monthly'!$B4,'Crush Margins'!$C$2:$C$3200,'Crush Margins Monthly'!$C4)</f>
        <v>99.268181818181802</v>
      </c>
      <c r="E4" s="18">
        <f>AVERAGEIFS('Crush Margins'!E$2:E$3200,'Crush Margins'!$B$2:$B$3200,'Crush Margins Monthly'!$B4,'Crush Margins'!$C$2:$C$3200,'Crush Margins Monthly'!$C4)</f>
        <v>155.04291108326771</v>
      </c>
      <c r="F4" s="18"/>
      <c r="G4" s="18"/>
      <c r="H4" s="18">
        <f>AVERAGEIFS('Crush Margins'!H$2:H$3200,'Crush Margins'!$B$2:$B$3200,'Crush Margins Monthly'!$B4,'Crush Margins'!$C$2:$C$3200,'Crush Margins Monthly'!$C4)</f>
        <v>58.014090909090903</v>
      </c>
      <c r="I4" s="18">
        <f>AVERAGEIFS('Crush Margins'!I$2:I$3200,'Crush Margins'!$B$2:$B$3200,'Crush Margins Monthly'!$B4,'Crush Margins'!$C$2:$C$3200,'Crush Margins Monthly'!$C4)</f>
        <v>-58.159090909090899</v>
      </c>
    </row>
    <row r="5" spans="1:9" x14ac:dyDescent="0.2">
      <c r="A5" s="17">
        <v>39904</v>
      </c>
      <c r="B5" s="15">
        <f t="shared" si="0"/>
        <v>4</v>
      </c>
      <c r="C5" s="15">
        <f t="shared" si="1"/>
        <v>2009</v>
      </c>
      <c r="D5" s="18">
        <f>AVERAGEIFS('Crush Margins'!D$2:D$3200,'Crush Margins'!$B$2:$B$3200,'Crush Margins Monthly'!$B5,'Crush Margins'!$C$2:$C$3200,'Crush Margins Monthly'!$C5)</f>
        <v>128.75714285714284</v>
      </c>
      <c r="E5" s="18">
        <f>AVERAGEIFS('Crush Margins'!E$2:E$3200,'Crush Margins'!$B$2:$B$3200,'Crush Margins Monthly'!$B5,'Crush Margins'!$C$2:$C$3200,'Crush Margins Monthly'!$C5)</f>
        <v>166.437258415922</v>
      </c>
      <c r="F5" s="18"/>
      <c r="G5" s="18"/>
      <c r="H5" s="18">
        <f>AVERAGEIFS('Crush Margins'!H$2:H$3200,'Crush Margins'!$B$2:$B$3200,'Crush Margins Monthly'!$B5,'Crush Margins'!$C$2:$C$3200,'Crush Margins Monthly'!$C5)</f>
        <v>67.819523809523844</v>
      </c>
      <c r="I5" s="18">
        <f>AVERAGEIFS('Crush Margins'!I$2:I$3200,'Crush Margins'!$B$2:$B$3200,'Crush Margins Monthly'!$B5,'Crush Margins'!$C$2:$C$3200,'Crush Margins Monthly'!$C5)</f>
        <v>-73.766666666666694</v>
      </c>
    </row>
    <row r="6" spans="1:9" x14ac:dyDescent="0.2">
      <c r="A6" s="17">
        <v>39934</v>
      </c>
      <c r="B6" s="15">
        <f t="shared" si="0"/>
        <v>5</v>
      </c>
      <c r="C6" s="15">
        <f t="shared" si="1"/>
        <v>2009</v>
      </c>
      <c r="D6" s="18">
        <f>AVERAGEIFS('Crush Margins'!D$2:D$3200,'Crush Margins'!$B$2:$B$3200,'Crush Margins Monthly'!$B6,'Crush Margins'!$C$2:$C$3200,'Crush Margins Monthly'!$C6)</f>
        <v>119.99000000000001</v>
      </c>
      <c r="E6" s="18">
        <f>AVERAGEIFS('Crush Margins'!E$2:E$3200,'Crush Margins'!$B$2:$B$3200,'Crush Margins Monthly'!$B6,'Crush Margins'!$C$2:$C$3200,'Crush Margins Monthly'!$C6)</f>
        <v>174.6117830010769</v>
      </c>
      <c r="F6" s="18"/>
      <c r="G6" s="18"/>
      <c r="H6" s="18">
        <f>AVERAGEIFS('Crush Margins'!H$2:H$3200,'Crush Margins'!$B$2:$B$3200,'Crush Margins Monthly'!$B6,'Crush Margins'!$C$2:$C$3200,'Crush Margins Monthly'!$C6)</f>
        <v>37.196999999999989</v>
      </c>
      <c r="I6" s="18">
        <f>AVERAGEIFS('Crush Margins'!I$2:I$3200,'Crush Margins'!$B$2:$B$3200,'Crush Margins Monthly'!$B6,'Crush Margins'!$C$2:$C$3200,'Crush Margins Monthly'!$C6)</f>
        <v>-89.289999999999992</v>
      </c>
    </row>
    <row r="7" spans="1:9" x14ac:dyDescent="0.2">
      <c r="A7" s="17">
        <v>39965</v>
      </c>
      <c r="B7" s="15">
        <f t="shared" si="0"/>
        <v>6</v>
      </c>
      <c r="C7" s="15">
        <f t="shared" si="1"/>
        <v>2009</v>
      </c>
      <c r="D7" s="18">
        <f>AVERAGEIFS('Crush Margins'!D$2:D$3200,'Crush Margins'!$B$2:$B$3200,'Crush Margins Monthly'!$B7,'Crush Margins'!$C$2:$C$3200,'Crush Margins Monthly'!$C7)</f>
        <v>52.154545454545449</v>
      </c>
      <c r="E7" s="18">
        <f>AVERAGEIFS('Crush Margins'!E$2:E$3200,'Crush Margins'!$B$2:$B$3200,'Crush Margins Monthly'!$B7,'Crush Margins'!$C$2:$C$3200,'Crush Margins Monthly'!$C7)</f>
        <v>185.35106122173843</v>
      </c>
      <c r="F7" s="18"/>
      <c r="G7" s="18"/>
      <c r="H7" s="18">
        <f>AVERAGEIFS('Crush Margins'!H$2:H$3200,'Crush Margins'!$B$2:$B$3200,'Crush Margins Monthly'!$B7,'Crush Margins'!$C$2:$C$3200,'Crush Margins Monthly'!$C7)</f>
        <v>26.480909090909083</v>
      </c>
      <c r="I7" s="18">
        <f>AVERAGEIFS('Crush Margins'!I$2:I$3200,'Crush Margins'!$B$2:$B$3200,'Crush Margins Monthly'!$B7,'Crush Margins'!$C$2:$C$3200,'Crush Margins Monthly'!$C7)</f>
        <v>-108.99545454545455</v>
      </c>
    </row>
    <row r="8" spans="1:9" x14ac:dyDescent="0.2">
      <c r="A8" s="17">
        <v>39995</v>
      </c>
      <c r="B8" s="15">
        <f t="shared" si="0"/>
        <v>7</v>
      </c>
      <c r="C8" s="15">
        <f t="shared" si="1"/>
        <v>2009</v>
      </c>
      <c r="D8" s="18">
        <f>AVERAGEIFS('Crush Margins'!D$2:D$3200,'Crush Margins'!$B$2:$B$3200,'Crush Margins Monthly'!$B8,'Crush Margins'!$C$2:$C$3200,'Crush Margins Monthly'!$C8)</f>
        <v>37.427272727272708</v>
      </c>
      <c r="E8" s="18">
        <f>AVERAGEIFS('Crush Margins'!E$2:E$3200,'Crush Margins'!$B$2:$B$3200,'Crush Margins Monthly'!$B8,'Crush Margins'!$C$2:$C$3200,'Crush Margins Monthly'!$C8)</f>
        <v>149.21544987993425</v>
      </c>
      <c r="F8" s="18"/>
      <c r="G8" s="18"/>
      <c r="H8" s="18">
        <f>AVERAGEIFS('Crush Margins'!H$2:H$3200,'Crush Margins'!$B$2:$B$3200,'Crush Margins Monthly'!$B8,'Crush Margins'!$C$2:$C$3200,'Crush Margins Monthly'!$C8)</f>
        <v>37.462727272727278</v>
      </c>
      <c r="I8" s="18">
        <f>AVERAGEIFS('Crush Margins'!I$2:I$3200,'Crush Margins'!$B$2:$B$3200,'Crush Margins Monthly'!$B8,'Crush Margins'!$C$2:$C$3200,'Crush Margins Monthly'!$C8)</f>
        <v>-100.60909090909091</v>
      </c>
    </row>
    <row r="9" spans="1:9" x14ac:dyDescent="0.2">
      <c r="A9" s="17">
        <v>40026</v>
      </c>
      <c r="B9" s="15">
        <f t="shared" si="0"/>
        <v>8</v>
      </c>
      <c r="C9" s="15">
        <f t="shared" si="1"/>
        <v>2009</v>
      </c>
      <c r="D9" s="18">
        <f>AVERAGEIFS('Crush Margins'!D$2:D$3200,'Crush Margins'!$B$2:$B$3200,'Crush Margins Monthly'!$B9,'Crush Margins'!$C$2:$C$3200,'Crush Margins Monthly'!$C9)</f>
        <v>19.785714285714285</v>
      </c>
      <c r="E9" s="18">
        <f>AVERAGEIFS('Crush Margins'!E$2:E$3200,'Crush Margins'!$B$2:$B$3200,'Crush Margins Monthly'!$B9,'Crush Margins'!$C$2:$C$3200,'Crush Margins Monthly'!$C9)</f>
        <v>160.53445144781639</v>
      </c>
      <c r="F9" s="18"/>
      <c r="G9" s="18"/>
      <c r="H9" s="18">
        <f>AVERAGEIFS('Crush Margins'!H$2:H$3200,'Crush Margins'!$B$2:$B$3200,'Crush Margins Monthly'!$B9,'Crush Margins'!$C$2:$C$3200,'Crush Margins Monthly'!$C9)</f>
        <v>29.214761904761922</v>
      </c>
      <c r="I9" s="18">
        <f>AVERAGEIFS('Crush Margins'!I$2:I$3200,'Crush Margins'!$B$2:$B$3200,'Crush Margins Monthly'!$B9,'Crush Margins'!$C$2:$C$3200,'Crush Margins Monthly'!$C9)</f>
        <v>-114.4761904761905</v>
      </c>
    </row>
    <row r="10" spans="1:9" x14ac:dyDescent="0.2">
      <c r="A10" s="17">
        <v>40057</v>
      </c>
      <c r="B10" s="15">
        <f t="shared" si="0"/>
        <v>9</v>
      </c>
      <c r="C10" s="15">
        <f t="shared" si="1"/>
        <v>2009</v>
      </c>
      <c r="D10" s="18">
        <f>AVERAGEIFS('Crush Margins'!D$2:D$3200,'Crush Margins'!$B$2:$B$3200,'Crush Margins Monthly'!$B10,'Crush Margins'!$C$2:$C$3200,'Crush Margins Monthly'!$C10)</f>
        <v>23.000000000000004</v>
      </c>
      <c r="E10" s="18">
        <f>AVERAGEIFS('Crush Margins'!E$2:E$3200,'Crush Margins'!$B$2:$B$3200,'Crush Margins Monthly'!$B10,'Crush Margins'!$C$2:$C$3200,'Crush Margins Monthly'!$C10)</f>
        <v>137.66350805189887</v>
      </c>
      <c r="F10" s="18"/>
      <c r="G10" s="18"/>
      <c r="H10" s="18">
        <f>AVERAGEIFS('Crush Margins'!H$2:H$3200,'Crush Margins'!$B$2:$B$3200,'Crush Margins Monthly'!$B10,'Crush Margins'!$C$2:$C$3200,'Crush Margins Monthly'!$C10)</f>
        <v>50.341904761904757</v>
      </c>
      <c r="I10" s="18">
        <f>AVERAGEIFS('Crush Margins'!I$2:I$3200,'Crush Margins'!$B$2:$B$3200,'Crush Margins Monthly'!$B10,'Crush Margins'!$C$2:$C$3200,'Crush Margins Monthly'!$C10)</f>
        <v>-151.98095238095237</v>
      </c>
    </row>
    <row r="11" spans="1:9" x14ac:dyDescent="0.2">
      <c r="A11" s="17">
        <v>40087</v>
      </c>
      <c r="B11" s="15">
        <f t="shared" si="0"/>
        <v>10</v>
      </c>
      <c r="C11" s="15">
        <f t="shared" si="1"/>
        <v>2009</v>
      </c>
      <c r="D11" s="18">
        <f>AVERAGEIFS('Crush Margins'!D$2:D$3200,'Crush Margins'!$B$2:$B$3200,'Crush Margins Monthly'!$B11,'Crush Margins'!$C$2:$C$3200,'Crush Margins Monthly'!$C11)</f>
        <v>36.118181818181817</v>
      </c>
      <c r="E11" s="18">
        <f>AVERAGEIFS('Crush Margins'!E$2:E$3200,'Crush Margins'!$B$2:$B$3200,'Crush Margins Monthly'!$B11,'Crush Margins'!$C$2:$C$3200,'Crush Margins Monthly'!$C11)</f>
        <v>128.6921201537464</v>
      </c>
      <c r="F11" s="18"/>
      <c r="G11" s="18"/>
      <c r="H11" s="18">
        <f>AVERAGEIFS('Crush Margins'!H$2:H$3200,'Crush Margins'!$B$2:$B$3200,'Crush Margins Monthly'!$B11,'Crush Margins'!$C$2:$C$3200,'Crush Margins Monthly'!$C11)</f>
        <v>37.914090909090909</v>
      </c>
      <c r="I11" s="18">
        <f>AVERAGEIFS('Crush Margins'!I$2:I$3200,'Crush Margins'!$B$2:$B$3200,'Crush Margins Monthly'!$B11,'Crush Margins'!$C$2:$C$3200,'Crush Margins Monthly'!$C11)</f>
        <v>-99.622727272727261</v>
      </c>
    </row>
    <row r="12" spans="1:9" x14ac:dyDescent="0.2">
      <c r="A12" s="17">
        <v>40118</v>
      </c>
      <c r="B12" s="15">
        <f t="shared" si="0"/>
        <v>11</v>
      </c>
      <c r="C12" s="15">
        <f t="shared" si="1"/>
        <v>2009</v>
      </c>
      <c r="D12" s="18">
        <f>AVERAGEIFS('Crush Margins'!D$2:D$3200,'Crush Margins'!$B$2:$B$3200,'Crush Margins Monthly'!$B12,'Crush Margins'!$C$2:$C$3200,'Crush Margins Monthly'!$C12)</f>
        <v>33.055000000000007</v>
      </c>
      <c r="E12" s="18">
        <f>AVERAGEIFS('Crush Margins'!E$2:E$3200,'Crush Margins'!$B$2:$B$3200,'Crush Margins Monthly'!$B12,'Crush Margins'!$C$2:$C$3200,'Crush Margins Monthly'!$C12)</f>
        <v>118.83305365982662</v>
      </c>
      <c r="F12" s="18"/>
      <c r="G12" s="18"/>
      <c r="H12" s="18">
        <f>AVERAGEIFS('Crush Margins'!H$2:H$3200,'Crush Margins'!$B$2:$B$3200,'Crush Margins Monthly'!$B12,'Crush Margins'!$C$2:$C$3200,'Crush Margins Monthly'!$C12)</f>
        <v>15.347499999999993</v>
      </c>
      <c r="I12" s="18">
        <f>AVERAGEIFS('Crush Margins'!I$2:I$3200,'Crush Margins'!$B$2:$B$3200,'Crush Margins Monthly'!$B12,'Crush Margins'!$C$2:$C$3200,'Crush Margins Monthly'!$C12)</f>
        <v>-104.10499999999995</v>
      </c>
    </row>
    <row r="13" spans="1:9" x14ac:dyDescent="0.2">
      <c r="A13" s="17">
        <v>40148</v>
      </c>
      <c r="B13" s="15">
        <f t="shared" si="0"/>
        <v>12</v>
      </c>
      <c r="C13" s="15">
        <f t="shared" si="1"/>
        <v>2009</v>
      </c>
      <c r="D13" s="18">
        <f>AVERAGEIFS('Crush Margins'!D$2:D$3200,'Crush Margins'!$B$2:$B$3200,'Crush Margins Monthly'!$B13,'Crush Margins'!$C$2:$C$3200,'Crush Margins Monthly'!$C13)</f>
        <v>24.368181818181824</v>
      </c>
      <c r="E13" s="18">
        <f>AVERAGEIFS('Crush Margins'!E$2:E$3200,'Crush Margins'!$B$2:$B$3200,'Crush Margins Monthly'!$B13,'Crush Margins'!$C$2:$C$3200,'Crush Margins Monthly'!$C13)</f>
        <v>115.76109430033289</v>
      </c>
      <c r="F13" s="18"/>
      <c r="G13" s="18"/>
      <c r="H13" s="18">
        <f>AVERAGEIFS('Crush Margins'!H$2:H$3200,'Crush Margins'!$B$2:$B$3200,'Crush Margins Monthly'!$B13,'Crush Margins'!$C$2:$C$3200,'Crush Margins Monthly'!$C13)</f>
        <v>20.153636363636362</v>
      </c>
      <c r="I13" s="18">
        <f>AVERAGEIFS('Crush Margins'!I$2:I$3200,'Crush Margins'!$B$2:$B$3200,'Crush Margins Monthly'!$B13,'Crush Margins'!$C$2:$C$3200,'Crush Margins Monthly'!$C13)</f>
        <v>-117.6727272727273</v>
      </c>
    </row>
    <row r="14" spans="1:9" x14ac:dyDescent="0.2">
      <c r="A14" s="17">
        <v>40179</v>
      </c>
      <c r="B14" s="15">
        <f t="shared" si="0"/>
        <v>1</v>
      </c>
      <c r="C14" s="15">
        <f t="shared" si="1"/>
        <v>2010</v>
      </c>
      <c r="D14" s="18">
        <f>AVERAGEIFS('Crush Margins'!D$2:D$3200,'Crush Margins'!$B$2:$B$3200,'Crush Margins Monthly'!$B14,'Crush Margins'!$C$2:$C$3200,'Crush Margins Monthly'!$C14)</f>
        <v>32.978947368421053</v>
      </c>
      <c r="E14" s="18">
        <f>AVERAGEIFS('Crush Margins'!E$2:E$3200,'Crush Margins'!$B$2:$B$3200,'Crush Margins Monthly'!$B14,'Crush Margins'!$C$2:$C$3200,'Crush Margins Monthly'!$C14)</f>
        <v>120.81468358115137</v>
      </c>
      <c r="F14" s="18"/>
      <c r="G14" s="18"/>
      <c r="H14" s="18">
        <f>AVERAGEIFS('Crush Margins'!H$2:H$3200,'Crush Margins'!$B$2:$B$3200,'Crush Margins Monthly'!$B14,'Crush Margins'!$C$2:$C$3200,'Crush Margins Monthly'!$C14)</f>
        <v>42.457368421052635</v>
      </c>
      <c r="I14" s="18">
        <f>AVERAGEIFS('Crush Margins'!I$2:I$3200,'Crush Margins'!$B$2:$B$3200,'Crush Margins Monthly'!$B14,'Crush Margins'!$C$2:$C$3200,'Crush Margins Monthly'!$C14)</f>
        <v>-105.79473684210528</v>
      </c>
    </row>
    <row r="15" spans="1:9" x14ac:dyDescent="0.2">
      <c r="A15" s="17">
        <v>40210</v>
      </c>
      <c r="B15" s="15">
        <f t="shared" si="0"/>
        <v>2</v>
      </c>
      <c r="C15" s="15">
        <f t="shared" si="1"/>
        <v>2010</v>
      </c>
      <c r="D15" s="18">
        <f>AVERAGEIFS('Crush Margins'!D$2:D$3200,'Crush Margins'!$B$2:$B$3200,'Crush Margins Monthly'!$B15,'Crush Margins'!$C$2:$C$3200,'Crush Margins Monthly'!$C15)</f>
        <v>45.157894736842103</v>
      </c>
      <c r="E15" s="18">
        <f>AVERAGEIFS('Crush Margins'!E$2:E$3200,'Crush Margins'!$B$2:$B$3200,'Crush Margins Monthly'!$B15,'Crush Margins'!$C$2:$C$3200,'Crush Margins Monthly'!$C15)</f>
        <v>121.04367802351869</v>
      </c>
      <c r="F15" s="18"/>
      <c r="G15" s="18"/>
      <c r="H15" s="18">
        <f>AVERAGEIFS('Crush Margins'!H$2:H$3200,'Crush Margins'!$B$2:$B$3200,'Crush Margins Monthly'!$B15,'Crush Margins'!$C$2:$C$3200,'Crush Margins Monthly'!$C15)</f>
        <v>45.352105263157895</v>
      </c>
      <c r="I15" s="18">
        <f>AVERAGEIFS('Crush Margins'!I$2:I$3200,'Crush Margins'!$B$2:$B$3200,'Crush Margins Monthly'!$B15,'Crush Margins'!$C$2:$C$3200,'Crush Margins Monthly'!$C15)</f>
        <v>-115.38947368421053</v>
      </c>
    </row>
    <row r="16" spans="1:9" x14ac:dyDescent="0.2">
      <c r="A16" s="17">
        <v>40238</v>
      </c>
      <c r="B16" s="15">
        <f t="shared" si="0"/>
        <v>3</v>
      </c>
      <c r="C16" s="15">
        <f t="shared" si="1"/>
        <v>2010</v>
      </c>
      <c r="D16" s="18">
        <f>AVERAGEIFS('Crush Margins'!D$2:D$3200,'Crush Margins'!$B$2:$B$3200,'Crush Margins Monthly'!$B16,'Crush Margins'!$C$2:$C$3200,'Crush Margins Monthly'!$C16)</f>
        <v>20.543478260869566</v>
      </c>
      <c r="E16" s="18">
        <f>AVERAGEIFS('Crush Margins'!E$2:E$3200,'Crush Margins'!$B$2:$B$3200,'Crush Margins Monthly'!$B16,'Crush Margins'!$C$2:$C$3200,'Crush Margins Monthly'!$C16)</f>
        <v>105.79172836003288</v>
      </c>
      <c r="F16" s="18"/>
      <c r="G16" s="18"/>
      <c r="H16" s="18">
        <f>AVERAGEIFS('Crush Margins'!H$2:H$3200,'Crush Margins'!$B$2:$B$3200,'Crush Margins Monthly'!$B16,'Crush Margins'!$C$2:$C$3200,'Crush Margins Monthly'!$C16)</f>
        <v>26.338695652173918</v>
      </c>
      <c r="I16" s="18">
        <f>AVERAGEIFS('Crush Margins'!I$2:I$3200,'Crush Margins'!$B$2:$B$3200,'Crush Margins Monthly'!$B16,'Crush Margins'!$C$2:$C$3200,'Crush Margins Monthly'!$C16)</f>
        <v>-132.46956521739133</v>
      </c>
    </row>
    <row r="17" spans="1:9" x14ac:dyDescent="0.2">
      <c r="A17" s="17">
        <v>40269</v>
      </c>
      <c r="B17" s="15">
        <f t="shared" si="0"/>
        <v>4</v>
      </c>
      <c r="C17" s="15">
        <f t="shared" si="1"/>
        <v>2010</v>
      </c>
      <c r="D17" s="18">
        <f>AVERAGEIFS('Crush Margins'!D$2:D$3200,'Crush Margins'!$B$2:$B$3200,'Crush Margins Monthly'!$B17,'Crush Margins'!$C$2:$C$3200,'Crush Margins Monthly'!$C17)</f>
        <v>13.869047619047617</v>
      </c>
      <c r="E17" s="18">
        <f>AVERAGEIFS('Crush Margins'!E$2:E$3200,'Crush Margins'!$B$2:$B$3200,'Crush Margins Monthly'!$B17,'Crush Margins'!$C$2:$C$3200,'Crush Margins Monthly'!$C17)</f>
        <v>104.60797384466176</v>
      </c>
      <c r="F17" s="18"/>
      <c r="G17" s="18"/>
      <c r="H17" s="18">
        <f>AVERAGEIFS('Crush Margins'!H$2:H$3200,'Crush Margins'!$B$2:$B$3200,'Crush Margins Monthly'!$B17,'Crush Margins'!$C$2:$C$3200,'Crush Margins Monthly'!$C17)</f>
        <v>21.846666666666671</v>
      </c>
      <c r="I17" s="18">
        <f>AVERAGEIFS('Crush Margins'!I$2:I$3200,'Crush Margins'!$B$2:$B$3200,'Crush Margins Monthly'!$B17,'Crush Margins'!$C$2:$C$3200,'Crush Margins Monthly'!$C17)</f>
        <v>-135.42619047619053</v>
      </c>
    </row>
    <row r="18" spans="1:9" x14ac:dyDescent="0.2">
      <c r="A18" s="17">
        <v>40299</v>
      </c>
      <c r="B18" s="15">
        <f t="shared" si="0"/>
        <v>5</v>
      </c>
      <c r="C18" s="15">
        <f t="shared" si="1"/>
        <v>2010</v>
      </c>
      <c r="D18" s="18">
        <f>AVERAGEIFS('Crush Margins'!D$2:D$3200,'Crush Margins'!$B$2:$B$3200,'Crush Margins Monthly'!$B18,'Crush Margins'!$C$2:$C$3200,'Crush Margins Monthly'!$C18)</f>
        <v>9.4175000000000004</v>
      </c>
      <c r="E18" s="18">
        <f>AVERAGEIFS('Crush Margins'!E$2:E$3200,'Crush Margins'!$B$2:$B$3200,'Crush Margins Monthly'!$B18,'Crush Margins'!$C$2:$C$3200,'Crush Margins Monthly'!$C18)</f>
        <v>119.55330584002964</v>
      </c>
      <c r="F18" s="18"/>
      <c r="G18" s="18"/>
      <c r="H18" s="18">
        <f>AVERAGEIFS('Crush Margins'!H$2:H$3200,'Crush Margins'!$B$2:$B$3200,'Crush Margins Monthly'!$B18,'Crush Margins'!$C$2:$C$3200,'Crush Margins Monthly'!$C18)</f>
        <v>33.514999999999993</v>
      </c>
      <c r="I18" s="18">
        <f>AVERAGEIFS('Crush Margins'!I$2:I$3200,'Crush Margins'!$B$2:$B$3200,'Crush Margins Monthly'!$B18,'Crush Margins'!$C$2:$C$3200,'Crush Margins Monthly'!$C18)</f>
        <v>-126.42250000000001</v>
      </c>
    </row>
    <row r="19" spans="1:9" x14ac:dyDescent="0.2">
      <c r="A19" s="17">
        <v>40330</v>
      </c>
      <c r="B19" s="15">
        <f t="shared" si="0"/>
        <v>6</v>
      </c>
      <c r="C19" s="15">
        <f t="shared" si="1"/>
        <v>2010</v>
      </c>
      <c r="D19" s="18">
        <f>AVERAGEIFS('Crush Margins'!D$2:D$3200,'Crush Margins'!$B$2:$B$3200,'Crush Margins Monthly'!$B19,'Crush Margins'!$C$2:$C$3200,'Crush Margins Monthly'!$C19)</f>
        <v>1.4504545454545452</v>
      </c>
      <c r="E19" s="18">
        <f>AVERAGEIFS('Crush Margins'!E$2:E$3200,'Crush Margins'!$B$2:$B$3200,'Crush Margins Monthly'!$B19,'Crush Margins'!$C$2:$C$3200,'Crush Margins Monthly'!$C19)</f>
        <v>126.83381717069636</v>
      </c>
      <c r="F19" s="18"/>
      <c r="G19" s="18"/>
      <c r="H19" s="18">
        <f>AVERAGEIFS('Crush Margins'!H$2:H$3200,'Crush Margins'!$B$2:$B$3200,'Crush Margins Monthly'!$B19,'Crush Margins'!$C$2:$C$3200,'Crush Margins Monthly'!$C19)</f>
        <v>41.80181818181817</v>
      </c>
      <c r="I19" s="18">
        <f>AVERAGEIFS('Crush Margins'!I$2:I$3200,'Crush Margins'!$B$2:$B$3200,'Crush Margins Monthly'!$B19,'Crush Margins'!$C$2:$C$3200,'Crush Margins Monthly'!$C19)</f>
        <v>-126.1781818181818</v>
      </c>
    </row>
    <row r="20" spans="1:9" x14ac:dyDescent="0.2">
      <c r="A20" s="17">
        <v>40360</v>
      </c>
      <c r="B20" s="15">
        <f t="shared" si="0"/>
        <v>7</v>
      </c>
      <c r="C20" s="15">
        <f t="shared" si="1"/>
        <v>2010</v>
      </c>
      <c r="D20" s="18">
        <f>AVERAGEIFS('Crush Margins'!D$2:D$3200,'Crush Margins'!$B$2:$B$3200,'Crush Margins Monthly'!$B20,'Crush Margins'!$C$2:$C$3200,'Crush Margins Monthly'!$C20)</f>
        <v>24.253333333333327</v>
      </c>
      <c r="E20" s="18">
        <f>AVERAGEIFS('Crush Margins'!E$2:E$3200,'Crush Margins'!$B$2:$B$3200,'Crush Margins Monthly'!$B20,'Crush Margins'!$C$2:$C$3200,'Crush Margins Monthly'!$C20)</f>
        <v>132.19678535952264</v>
      </c>
      <c r="F20" s="18"/>
      <c r="G20" s="18"/>
      <c r="H20" s="18">
        <f>AVERAGEIFS('Crush Margins'!H$2:H$3200,'Crush Margins'!$B$2:$B$3200,'Crush Margins Monthly'!$B20,'Crush Margins'!$C$2:$C$3200,'Crush Margins Monthly'!$C20)</f>
        <v>37.83</v>
      </c>
      <c r="I20" s="18">
        <f>AVERAGEIFS('Crush Margins'!I$2:I$3200,'Crush Margins'!$B$2:$B$3200,'Crush Margins Monthly'!$B20,'Crush Margins'!$C$2:$C$3200,'Crush Margins Monthly'!$C20)</f>
        <v>-137.62476190476184</v>
      </c>
    </row>
    <row r="21" spans="1:9" x14ac:dyDescent="0.2">
      <c r="A21" s="17">
        <v>40391</v>
      </c>
      <c r="B21" s="15">
        <f t="shared" si="0"/>
        <v>8</v>
      </c>
      <c r="C21" s="15">
        <f t="shared" si="1"/>
        <v>2010</v>
      </c>
      <c r="D21" s="18">
        <f>AVERAGEIFS('Crush Margins'!D$2:D$3200,'Crush Margins'!$B$2:$B$3200,'Crush Margins Monthly'!$B21,'Crush Margins'!$C$2:$C$3200,'Crush Margins Monthly'!$C21)</f>
        <v>6.0354545454545416</v>
      </c>
      <c r="E21" s="18">
        <f>AVERAGEIFS('Crush Margins'!E$2:E$3200,'Crush Margins'!$B$2:$B$3200,'Crush Margins Monthly'!$B21,'Crush Margins'!$C$2:$C$3200,'Crush Margins Monthly'!$C21)</f>
        <v>154.22161500860341</v>
      </c>
      <c r="F21" s="18"/>
      <c r="G21" s="18"/>
      <c r="H21" s="18">
        <f>AVERAGEIFS('Crush Margins'!H$2:H$3200,'Crush Margins'!$B$2:$B$3200,'Crush Margins Monthly'!$B21,'Crush Margins'!$C$2:$C$3200,'Crush Margins Monthly'!$C21)</f>
        <v>24.289999999999996</v>
      </c>
      <c r="I21" s="18">
        <f>AVERAGEIFS('Crush Margins'!I$2:I$3200,'Crush Margins'!$B$2:$B$3200,'Crush Margins Monthly'!$B21,'Crush Margins'!$C$2:$C$3200,'Crush Margins Monthly'!$C21)</f>
        <v>-141.90545454545452</v>
      </c>
    </row>
    <row r="22" spans="1:9" x14ac:dyDescent="0.2">
      <c r="A22" s="17">
        <v>40422</v>
      </c>
      <c r="B22" s="15">
        <f t="shared" si="0"/>
        <v>9</v>
      </c>
      <c r="C22" s="15">
        <f t="shared" si="1"/>
        <v>2010</v>
      </c>
      <c r="D22" s="18">
        <f>AVERAGEIFS('Crush Margins'!D$2:D$3200,'Crush Margins'!$B$2:$B$3200,'Crush Margins Monthly'!$B22,'Crush Margins'!$C$2:$C$3200,'Crush Margins Monthly'!$C22)</f>
        <v>-23.114999999999998</v>
      </c>
      <c r="E22" s="18">
        <f>AVERAGEIFS('Crush Margins'!E$2:E$3200,'Crush Margins'!$B$2:$B$3200,'Crush Margins Monthly'!$B22,'Crush Margins'!$C$2:$C$3200,'Crush Margins Monthly'!$C22)</f>
        <v>148.7270964938605</v>
      </c>
      <c r="F22" s="18"/>
      <c r="G22" s="18"/>
      <c r="H22" s="18">
        <f>AVERAGEIFS('Crush Margins'!H$2:H$3200,'Crush Margins'!$B$2:$B$3200,'Crush Margins Monthly'!$B22,'Crush Margins'!$C$2:$C$3200,'Crush Margins Monthly'!$C22)</f>
        <v>32.033809523809531</v>
      </c>
      <c r="I22" s="18">
        <f>AVERAGEIFS('Crush Margins'!I$2:I$3200,'Crush Margins'!$B$2:$B$3200,'Crush Margins Monthly'!$B22,'Crush Margins'!$C$2:$C$3200,'Crush Margins Monthly'!$C22)</f>
        <v>-165.89375000000004</v>
      </c>
    </row>
    <row r="23" spans="1:9" x14ac:dyDescent="0.2">
      <c r="A23" s="17">
        <v>40452</v>
      </c>
      <c r="B23" s="15">
        <f t="shared" si="0"/>
        <v>10</v>
      </c>
      <c r="C23" s="15">
        <f t="shared" si="1"/>
        <v>2010</v>
      </c>
      <c r="D23" s="18">
        <f>AVERAGEIFS('Crush Margins'!D$2:D$3200,'Crush Margins'!$B$2:$B$3200,'Crush Margins Monthly'!$B23,'Crush Margins'!$C$2:$C$3200,'Crush Margins Monthly'!$C23)</f>
        <v>-21.345238095238091</v>
      </c>
      <c r="E23" s="18">
        <f>AVERAGEIFS('Crush Margins'!E$2:E$3200,'Crush Margins'!$B$2:$B$3200,'Crush Margins Monthly'!$B23,'Crush Margins'!$C$2:$C$3200,'Crush Margins Monthly'!$C23)</f>
        <v>151.67492014628823</v>
      </c>
      <c r="F23" s="18"/>
      <c r="G23" s="18"/>
      <c r="H23" s="18">
        <f>AVERAGEIFS('Crush Margins'!H$2:H$3200,'Crush Margins'!$B$2:$B$3200,'Crush Margins Monthly'!$B23,'Crush Margins'!$C$2:$C$3200,'Crush Margins Monthly'!$C23)</f>
        <v>14.489047619047613</v>
      </c>
      <c r="I23" s="18">
        <f>AVERAGEIFS('Crush Margins'!I$2:I$3200,'Crush Margins'!$B$2:$B$3200,'Crush Margins Monthly'!$B23,'Crush Margins'!$C$2:$C$3200,'Crush Margins Monthly'!$C23)</f>
        <v>-164.47952380952376</v>
      </c>
    </row>
    <row r="24" spans="1:9" x14ac:dyDescent="0.2">
      <c r="A24" s="17">
        <v>40483</v>
      </c>
      <c r="B24" s="15">
        <f t="shared" si="0"/>
        <v>11</v>
      </c>
      <c r="C24" s="15">
        <f t="shared" si="1"/>
        <v>2010</v>
      </c>
      <c r="D24" s="18">
        <f>AVERAGEIFS('Crush Margins'!D$2:D$3200,'Crush Margins'!$B$2:$B$3200,'Crush Margins Monthly'!$B24,'Crush Margins'!$C$2:$C$3200,'Crush Margins Monthly'!$C24)</f>
        <v>-19.950952380952376</v>
      </c>
      <c r="E24" s="18">
        <f>AVERAGEIFS('Crush Margins'!E$2:E$3200,'Crush Margins'!$B$2:$B$3200,'Crush Margins Monthly'!$B24,'Crush Margins'!$C$2:$C$3200,'Crush Margins Monthly'!$C24)</f>
        <v>187.02937616682442</v>
      </c>
      <c r="F24" s="18"/>
      <c r="G24" s="18"/>
      <c r="H24" s="18">
        <f>AVERAGEIFS('Crush Margins'!H$2:H$3200,'Crush Margins'!$B$2:$B$3200,'Crush Margins Monthly'!$B24,'Crush Margins'!$C$2:$C$3200,'Crush Margins Monthly'!$C24)</f>
        <v>30.58857142857142</v>
      </c>
      <c r="I24" s="18">
        <f>AVERAGEIFS('Crush Margins'!I$2:I$3200,'Crush Margins'!$B$2:$B$3200,'Crush Margins Monthly'!$B24,'Crush Margins'!$C$2:$C$3200,'Crush Margins Monthly'!$C24)</f>
        <v>-217.27857142857144</v>
      </c>
    </row>
    <row r="25" spans="1:9" x14ac:dyDescent="0.2">
      <c r="A25" s="17">
        <v>40513</v>
      </c>
      <c r="B25" s="15">
        <f t="shared" si="0"/>
        <v>12</v>
      </c>
      <c r="C25" s="15">
        <f t="shared" si="1"/>
        <v>2010</v>
      </c>
      <c r="D25" s="18">
        <f>AVERAGEIFS('Crush Margins'!D$2:D$3200,'Crush Margins'!$B$2:$B$3200,'Crush Margins Monthly'!$B25,'Crush Margins'!$C$2:$C$3200,'Crush Margins Monthly'!$C25)</f>
        <v>-34.312380952380956</v>
      </c>
      <c r="E25" s="18">
        <f>AVERAGEIFS('Crush Margins'!E$2:E$3200,'Crush Margins'!$B$2:$B$3200,'Crush Margins Monthly'!$B25,'Crush Margins'!$C$2:$C$3200,'Crush Margins Monthly'!$C25)</f>
        <v>222.30913982037379</v>
      </c>
      <c r="F25" s="18"/>
      <c r="G25" s="18"/>
      <c r="H25" s="18">
        <f>AVERAGEIFS('Crush Margins'!H$2:H$3200,'Crush Margins'!$B$2:$B$3200,'Crush Margins Monthly'!$B25,'Crush Margins'!$C$2:$C$3200,'Crush Margins Monthly'!$C25)</f>
        <v>30.225238095238101</v>
      </c>
      <c r="I25" s="18">
        <f>AVERAGEIFS('Crush Margins'!I$2:I$3200,'Crush Margins'!$B$2:$B$3200,'Crush Margins Monthly'!$B25,'Crush Margins'!$C$2:$C$3200,'Crush Margins Monthly'!$C25)</f>
        <v>-248.87904761904761</v>
      </c>
    </row>
    <row r="26" spans="1:9" x14ac:dyDescent="0.2">
      <c r="A26" s="17">
        <v>40544</v>
      </c>
      <c r="B26" s="15">
        <f t="shared" si="0"/>
        <v>1</v>
      </c>
      <c r="C26" s="15">
        <f t="shared" si="1"/>
        <v>2011</v>
      </c>
      <c r="D26" s="18">
        <f>AVERAGEIFS('Crush Margins'!D$2:D$3200,'Crush Margins'!$B$2:$B$3200,'Crush Margins Monthly'!$B26,'Crush Margins'!$C$2:$C$3200,'Crush Margins Monthly'!$C26)</f>
        <v>19.143157894736838</v>
      </c>
      <c r="E26" s="18">
        <f>AVERAGEIFS('Crush Margins'!E$2:E$3200,'Crush Margins'!$B$2:$B$3200,'Crush Margins Monthly'!$B26,'Crush Margins'!$C$2:$C$3200,'Crush Margins Monthly'!$C26)</f>
        <v>111.54716650442749</v>
      </c>
      <c r="F26" s="18"/>
      <c r="G26" s="18"/>
      <c r="H26" s="18">
        <f>AVERAGEIFS('Crush Margins'!H$2:H$3200,'Crush Margins'!$B$2:$B$3200,'Crush Margins Monthly'!$B26,'Crush Margins'!$C$2:$C$3200,'Crush Margins Monthly'!$C26)</f>
        <v>26.788947368421049</v>
      </c>
      <c r="I26" s="18">
        <f>AVERAGEIFS('Crush Margins'!I$2:I$3200,'Crush Margins'!$B$2:$B$3200,'Crush Margins Monthly'!$B26,'Crush Margins'!$C$2:$C$3200,'Crush Margins Monthly'!$C26)</f>
        <v>-201.6757894736842</v>
      </c>
    </row>
    <row r="27" spans="1:9" x14ac:dyDescent="0.2">
      <c r="A27" s="17">
        <v>40575</v>
      </c>
      <c r="B27" s="15">
        <f t="shared" si="0"/>
        <v>2</v>
      </c>
      <c r="C27" s="15">
        <f t="shared" si="1"/>
        <v>2011</v>
      </c>
      <c r="D27" s="18">
        <f>AVERAGEIFS('Crush Margins'!D$2:D$3200,'Crush Margins'!$B$2:$B$3200,'Crush Margins Monthly'!$B27,'Crush Margins'!$C$2:$C$3200,'Crush Margins Monthly'!$C27)</f>
        <v>34.24421052631579</v>
      </c>
      <c r="E27" s="18">
        <f>AVERAGEIFS('Crush Margins'!E$2:E$3200,'Crush Margins'!$B$2:$B$3200,'Crush Margins Monthly'!$B27,'Crush Margins'!$C$2:$C$3200,'Crush Margins Monthly'!$C27)</f>
        <v>34.484284813136675</v>
      </c>
      <c r="F27" s="18"/>
      <c r="G27" s="18"/>
      <c r="H27" s="18">
        <f>AVERAGEIFS('Crush Margins'!H$2:H$3200,'Crush Margins'!$B$2:$B$3200,'Crush Margins Monthly'!$B27,'Crush Margins'!$C$2:$C$3200,'Crush Margins Monthly'!$C27)</f>
        <v>16.349473684210533</v>
      </c>
      <c r="I27" s="18">
        <f>AVERAGEIFS('Crush Margins'!I$2:I$3200,'Crush Margins'!$B$2:$B$3200,'Crush Margins Monthly'!$B27,'Crush Margins'!$C$2:$C$3200,'Crush Margins Monthly'!$C27)</f>
        <v>-111.72368421052624</v>
      </c>
    </row>
    <row r="28" spans="1:9" x14ac:dyDescent="0.2">
      <c r="A28" s="17">
        <v>40603</v>
      </c>
      <c r="B28" s="15">
        <f t="shared" si="0"/>
        <v>3</v>
      </c>
      <c r="C28" s="15">
        <f t="shared" si="1"/>
        <v>2011</v>
      </c>
      <c r="D28" s="18">
        <f>AVERAGEIFS('Crush Margins'!D$2:D$3200,'Crush Margins'!$B$2:$B$3200,'Crush Margins Monthly'!$B28,'Crush Margins'!$C$2:$C$3200,'Crush Margins Monthly'!$C28)</f>
        <v>41.80043478260869</v>
      </c>
      <c r="E28" s="18">
        <f>AVERAGEIFS('Crush Margins'!E$2:E$3200,'Crush Margins'!$B$2:$B$3200,'Crush Margins Monthly'!$B28,'Crush Margins'!$C$2:$C$3200,'Crush Margins Monthly'!$C28)</f>
        <v>22.992513265556735</v>
      </c>
      <c r="F28" s="18"/>
      <c r="G28" s="18"/>
      <c r="H28" s="18">
        <f>AVERAGEIFS('Crush Margins'!H$2:H$3200,'Crush Margins'!$B$2:$B$3200,'Crush Margins Monthly'!$B28,'Crush Margins'!$C$2:$C$3200,'Crush Margins Monthly'!$C28)</f>
        <v>30.138695652173912</v>
      </c>
      <c r="I28" s="18">
        <f>AVERAGEIFS('Crush Margins'!I$2:I$3200,'Crush Margins'!$B$2:$B$3200,'Crush Margins Monthly'!$B28,'Crush Margins'!$C$2:$C$3200,'Crush Margins Monthly'!$C28)</f>
        <v>95.682173913043499</v>
      </c>
    </row>
    <row r="29" spans="1:9" x14ac:dyDescent="0.2">
      <c r="A29" s="17">
        <v>40634</v>
      </c>
      <c r="B29" s="15">
        <f t="shared" si="0"/>
        <v>4</v>
      </c>
      <c r="C29" s="15">
        <f t="shared" si="1"/>
        <v>2011</v>
      </c>
      <c r="D29" s="18">
        <f>AVERAGEIFS('Crush Margins'!D$2:D$3200,'Crush Margins'!$B$2:$B$3200,'Crush Margins Monthly'!$B29,'Crush Margins'!$C$2:$C$3200,'Crush Margins Monthly'!$C29)</f>
        <v>52.777000000000001</v>
      </c>
      <c r="E29" s="18">
        <f>AVERAGEIFS('Crush Margins'!E$2:E$3200,'Crush Margins'!$B$2:$B$3200,'Crush Margins Monthly'!$B29,'Crush Margins'!$C$2:$C$3200,'Crush Margins Monthly'!$C29)</f>
        <v>14.050135505719876</v>
      </c>
      <c r="F29" s="18"/>
      <c r="G29" s="18"/>
      <c r="H29" s="18">
        <f>AVERAGEIFS('Crush Margins'!H$2:H$3200,'Crush Margins'!$B$2:$B$3200,'Crush Margins Monthly'!$B29,'Crush Margins'!$C$2:$C$3200,'Crush Margins Monthly'!$C29)</f>
        <v>7.794999999999999</v>
      </c>
      <c r="I29" s="18">
        <f>AVERAGEIFS('Crush Margins'!I$2:I$3200,'Crush Margins'!$B$2:$B$3200,'Crush Margins Monthly'!$B29,'Crush Margins'!$C$2:$C$3200,'Crush Margins Monthly'!$C29)</f>
        <v>74.41500000000002</v>
      </c>
    </row>
    <row r="30" spans="1:9" x14ac:dyDescent="0.2">
      <c r="A30" s="17">
        <v>40664</v>
      </c>
      <c r="B30" s="15">
        <f t="shared" si="0"/>
        <v>5</v>
      </c>
      <c r="C30" s="15">
        <f t="shared" si="1"/>
        <v>2011</v>
      </c>
      <c r="D30" s="18">
        <f>AVERAGEIFS('Crush Margins'!D$2:D$3200,'Crush Margins'!$B$2:$B$3200,'Crush Margins Monthly'!$B30,'Crush Margins'!$C$2:$C$3200,'Crush Margins Monthly'!$C30)</f>
        <v>49.402380952380966</v>
      </c>
      <c r="E30" s="18">
        <f>AVERAGEIFS('Crush Margins'!E$2:E$3200,'Crush Margins'!$B$2:$B$3200,'Crush Margins Monthly'!$B30,'Crush Margins'!$C$2:$C$3200,'Crush Margins Monthly'!$C30)</f>
        <v>-0.49193071969920366</v>
      </c>
      <c r="F30" s="18"/>
      <c r="G30" s="18"/>
      <c r="H30" s="18">
        <f>AVERAGEIFS('Crush Margins'!H$2:H$3200,'Crush Margins'!$B$2:$B$3200,'Crush Margins Monthly'!$B30,'Crush Margins'!$C$2:$C$3200,'Crush Margins Monthly'!$C30)</f>
        <v>-1.0366666666666666</v>
      </c>
      <c r="I30" s="18">
        <f>AVERAGEIFS('Crush Margins'!I$2:I$3200,'Crush Margins'!$B$2:$B$3200,'Crush Margins Monthly'!$B30,'Crush Margins'!$C$2:$C$3200,'Crush Margins Monthly'!$C30)</f>
        <v>60.111428571428547</v>
      </c>
    </row>
    <row r="31" spans="1:9" x14ac:dyDescent="0.2">
      <c r="A31" s="17">
        <v>40695</v>
      </c>
      <c r="B31" s="15">
        <f t="shared" si="0"/>
        <v>6</v>
      </c>
      <c r="C31" s="15">
        <f t="shared" si="1"/>
        <v>2011</v>
      </c>
      <c r="D31" s="18">
        <f>AVERAGEIFS('Crush Margins'!D$2:D$3200,'Crush Margins'!$B$2:$B$3200,'Crush Margins Monthly'!$B31,'Crush Margins'!$C$2:$C$3200,'Crush Margins Monthly'!$C31)</f>
        <v>61.749545454545434</v>
      </c>
      <c r="E31" s="18">
        <f>AVERAGEIFS('Crush Margins'!E$2:E$3200,'Crush Margins'!$B$2:$B$3200,'Crush Margins Monthly'!$B31,'Crush Margins'!$C$2:$C$3200,'Crush Margins Monthly'!$C31)</f>
        <v>8.3854857530714142</v>
      </c>
      <c r="F31" s="18"/>
      <c r="G31" s="18"/>
      <c r="H31" s="18">
        <f>AVERAGEIFS('Crush Margins'!H$2:H$3200,'Crush Margins'!$B$2:$B$3200,'Crush Margins Monthly'!$B31,'Crush Margins'!$C$2:$C$3200,'Crush Margins Monthly'!$C31)</f>
        <v>-5.0945454545454529</v>
      </c>
      <c r="I31" s="18">
        <f>AVERAGEIFS('Crush Margins'!I$2:I$3200,'Crush Margins'!$B$2:$B$3200,'Crush Margins Monthly'!$B31,'Crush Margins'!$C$2:$C$3200,'Crush Margins Monthly'!$C31)</f>
        <v>44.805909090909104</v>
      </c>
    </row>
    <row r="32" spans="1:9" x14ac:dyDescent="0.2">
      <c r="A32" s="17">
        <v>40725</v>
      </c>
      <c r="B32" s="15">
        <f t="shared" si="0"/>
        <v>7</v>
      </c>
      <c r="C32" s="15">
        <f t="shared" si="1"/>
        <v>2011</v>
      </c>
      <c r="D32" s="18">
        <f>AVERAGEIFS('Crush Margins'!D$2:D$3200,'Crush Margins'!$B$2:$B$3200,'Crush Margins Monthly'!$B32,'Crush Margins'!$C$2:$C$3200,'Crush Margins Monthly'!$C32)</f>
        <v>50.122</v>
      </c>
      <c r="E32" s="18">
        <f>AVERAGEIFS('Crush Margins'!E$2:E$3200,'Crush Margins'!$B$2:$B$3200,'Crush Margins Monthly'!$B32,'Crush Margins'!$C$2:$C$3200,'Crush Margins Monthly'!$C32)</f>
        <v>14.133048416214587</v>
      </c>
      <c r="F32" s="18"/>
      <c r="G32" s="18"/>
      <c r="H32" s="18">
        <f>AVERAGEIFS('Crush Margins'!H$2:H$3200,'Crush Margins'!$B$2:$B$3200,'Crush Margins Monthly'!$B32,'Crush Margins'!$C$2:$C$3200,'Crush Margins Monthly'!$C32)</f>
        <v>16.775500000000001</v>
      </c>
      <c r="I32" s="18">
        <f>AVERAGEIFS('Crush Margins'!I$2:I$3200,'Crush Margins'!$B$2:$B$3200,'Crush Margins Monthly'!$B32,'Crush Margins'!$C$2:$C$3200,'Crush Margins Monthly'!$C32)</f>
        <v>126.01199999999999</v>
      </c>
    </row>
    <row r="33" spans="1:9" x14ac:dyDescent="0.2">
      <c r="A33" s="17">
        <v>40756</v>
      </c>
      <c r="B33" s="15">
        <f t="shared" si="0"/>
        <v>8</v>
      </c>
      <c r="C33" s="15">
        <f t="shared" si="1"/>
        <v>2011</v>
      </c>
      <c r="D33" s="18">
        <f>AVERAGEIFS('Crush Margins'!D$2:D$3200,'Crush Margins'!$B$2:$B$3200,'Crush Margins Monthly'!$B33,'Crush Margins'!$C$2:$C$3200,'Crush Margins Monthly'!$C33)</f>
        <v>39.805217391304353</v>
      </c>
      <c r="E33" s="18">
        <f>AVERAGEIFS('Crush Margins'!E$2:E$3200,'Crush Margins'!$B$2:$B$3200,'Crush Margins Monthly'!$B33,'Crush Margins'!$C$2:$C$3200,'Crush Margins Monthly'!$C33)</f>
        <v>1.8393107711606853</v>
      </c>
      <c r="F33" s="18"/>
      <c r="G33" s="18"/>
      <c r="H33" s="18">
        <f>AVERAGEIFS('Crush Margins'!H$2:H$3200,'Crush Margins'!$B$2:$B$3200,'Crush Margins Monthly'!$B33,'Crush Margins'!$C$2:$C$3200,'Crush Margins Monthly'!$C33)</f>
        <v>59.806086956521739</v>
      </c>
      <c r="I33" s="18">
        <f>AVERAGEIFS('Crush Margins'!I$2:I$3200,'Crush Margins'!$B$2:$B$3200,'Crush Margins Monthly'!$B33,'Crush Margins'!$C$2:$C$3200,'Crush Margins Monthly'!$C33)</f>
        <v>130.64739130434782</v>
      </c>
    </row>
    <row r="34" spans="1:9" x14ac:dyDescent="0.2">
      <c r="A34" s="17">
        <v>40787</v>
      </c>
      <c r="B34" s="15">
        <f t="shared" si="0"/>
        <v>9</v>
      </c>
      <c r="C34" s="15">
        <f t="shared" si="1"/>
        <v>2011</v>
      </c>
      <c r="D34" s="18">
        <f>AVERAGEIFS('Crush Margins'!D$2:D$3200,'Crush Margins'!$B$2:$B$3200,'Crush Margins Monthly'!$B34,'Crush Margins'!$C$2:$C$3200,'Crush Margins Monthly'!$C34)</f>
        <v>37.319047619047623</v>
      </c>
      <c r="E34" s="18">
        <f>AVERAGEIFS('Crush Margins'!E$2:E$3200,'Crush Margins'!$B$2:$B$3200,'Crush Margins Monthly'!$B34,'Crush Margins'!$C$2:$C$3200,'Crush Margins Monthly'!$C34)</f>
        <v>10.41756873824095</v>
      </c>
      <c r="F34" s="18"/>
      <c r="G34" s="18"/>
      <c r="H34" s="18">
        <f>AVERAGEIFS('Crush Margins'!H$2:H$3200,'Crush Margins'!$B$2:$B$3200,'Crush Margins Monthly'!$B34,'Crush Margins'!$C$2:$C$3200,'Crush Margins Monthly'!$C34)</f>
        <v>52.026190476190486</v>
      </c>
      <c r="I34" s="18">
        <f>AVERAGEIFS('Crush Margins'!I$2:I$3200,'Crush Margins'!$B$2:$B$3200,'Crush Margins Monthly'!$B34,'Crush Margins'!$C$2:$C$3200,'Crush Margins Monthly'!$C34)</f>
        <v>106.27190476190472</v>
      </c>
    </row>
    <row r="35" spans="1:9" x14ac:dyDescent="0.2">
      <c r="A35" s="17">
        <v>40817</v>
      </c>
      <c r="B35" s="15">
        <f t="shared" si="0"/>
        <v>10</v>
      </c>
      <c r="C35" s="15">
        <f t="shared" si="1"/>
        <v>2011</v>
      </c>
      <c r="D35" s="18">
        <f>AVERAGEIFS('Crush Margins'!D$2:D$3200,'Crush Margins'!$B$2:$B$3200,'Crush Margins Monthly'!$B35,'Crush Margins'!$C$2:$C$3200,'Crush Margins Monthly'!$C35)</f>
        <v>33.166666666666664</v>
      </c>
      <c r="E35" s="18">
        <f>AVERAGEIFS('Crush Margins'!E$2:E$3200,'Crush Margins'!$B$2:$B$3200,'Crush Margins Monthly'!$B35,'Crush Margins'!$C$2:$C$3200,'Crush Margins Monthly'!$C35)</f>
        <v>43.119161713571849</v>
      </c>
      <c r="F35" s="18"/>
      <c r="G35" s="18"/>
      <c r="H35" s="18">
        <f>AVERAGEIFS('Crush Margins'!H$2:H$3200,'Crush Margins'!$B$2:$B$3200,'Crush Margins Monthly'!$B35,'Crush Margins'!$C$2:$C$3200,'Crush Margins Monthly'!$C35)</f>
        <v>40.462857142857153</v>
      </c>
      <c r="I35" s="18">
        <f>AVERAGEIFS('Crush Margins'!I$2:I$3200,'Crush Margins'!$B$2:$B$3200,'Crush Margins Monthly'!$B35,'Crush Margins'!$C$2:$C$3200,'Crush Margins Monthly'!$C35)</f>
        <v>81.101428571428556</v>
      </c>
    </row>
    <row r="36" spans="1:9" x14ac:dyDescent="0.2">
      <c r="A36" s="17">
        <v>40848</v>
      </c>
      <c r="B36" s="15">
        <f t="shared" si="0"/>
        <v>11</v>
      </c>
      <c r="C36" s="15">
        <f t="shared" si="1"/>
        <v>2011</v>
      </c>
      <c r="D36" s="18">
        <f>AVERAGEIFS('Crush Margins'!D$2:D$3200,'Crush Margins'!$B$2:$B$3200,'Crush Margins Monthly'!$B36,'Crush Margins'!$C$2:$C$3200,'Crush Margins Monthly'!$C36)</f>
        <v>25.18476190476191</v>
      </c>
      <c r="E36" s="18">
        <f>AVERAGEIFS('Crush Margins'!E$2:E$3200,'Crush Margins'!$B$2:$B$3200,'Crush Margins Monthly'!$B36,'Crush Margins'!$C$2:$C$3200,'Crush Margins Monthly'!$C36)</f>
        <v>44.701196178904603</v>
      </c>
      <c r="F36" s="18"/>
      <c r="G36" s="18"/>
      <c r="H36" s="18">
        <f>AVERAGEIFS('Crush Margins'!H$2:H$3200,'Crush Margins'!$B$2:$B$3200,'Crush Margins Monthly'!$B36,'Crush Margins'!$C$2:$C$3200,'Crush Margins Monthly'!$C36)</f>
        <v>20.222857142857141</v>
      </c>
      <c r="I36" s="18">
        <f>AVERAGEIFS('Crush Margins'!I$2:I$3200,'Crush Margins'!$B$2:$B$3200,'Crush Margins Monthly'!$B36,'Crush Margins'!$C$2:$C$3200,'Crush Margins Monthly'!$C36)</f>
        <v>-38.348095238095226</v>
      </c>
    </row>
    <row r="37" spans="1:9" x14ac:dyDescent="0.2">
      <c r="A37" s="17">
        <v>40878</v>
      </c>
      <c r="B37" s="15">
        <f t="shared" si="0"/>
        <v>12</v>
      </c>
      <c r="C37" s="15">
        <f t="shared" si="1"/>
        <v>2011</v>
      </c>
      <c r="D37" s="18">
        <f>AVERAGEIFS('Crush Margins'!D$2:D$3200,'Crush Margins'!$B$2:$B$3200,'Crush Margins Monthly'!$B37,'Crush Margins'!$C$2:$C$3200,'Crush Margins Monthly'!$C37)</f>
        <v>18.679047619047612</v>
      </c>
      <c r="E37" s="18">
        <f>AVERAGEIFS('Crush Margins'!E$2:E$3200,'Crush Margins'!$B$2:$B$3200,'Crush Margins Monthly'!$B37,'Crush Margins'!$C$2:$C$3200,'Crush Margins Monthly'!$C37)</f>
        <v>41.069274656348313</v>
      </c>
      <c r="F37" s="18"/>
      <c r="G37" s="18"/>
      <c r="H37" s="18">
        <f>AVERAGEIFS('Crush Margins'!H$2:H$3200,'Crush Margins'!$B$2:$B$3200,'Crush Margins Monthly'!$B37,'Crush Margins'!$C$2:$C$3200,'Crush Margins Monthly'!$C37)</f>
        <v>24.669047619047621</v>
      </c>
      <c r="I37" s="18">
        <f>AVERAGEIFS('Crush Margins'!I$2:I$3200,'Crush Margins'!$B$2:$B$3200,'Crush Margins Monthly'!$B37,'Crush Margins'!$C$2:$C$3200,'Crush Margins Monthly'!$C37)</f>
        <v>51.459523809523816</v>
      </c>
    </row>
    <row r="38" spans="1:9" x14ac:dyDescent="0.2">
      <c r="A38" s="17">
        <v>40909</v>
      </c>
      <c r="B38" s="15">
        <f t="shared" si="0"/>
        <v>1</v>
      </c>
      <c r="C38" s="15">
        <f t="shared" si="1"/>
        <v>2012</v>
      </c>
      <c r="D38" s="18">
        <f>AVERAGEIFS('Crush Margins'!D$2:D$3200,'Crush Margins'!$B$2:$B$3200,'Crush Margins Monthly'!$B38,'Crush Margins'!$C$2:$C$3200,'Crush Margins Monthly'!$C38)</f>
        <v>-1.3442105263157891</v>
      </c>
      <c r="E38" s="18">
        <f>AVERAGEIFS('Crush Margins'!E$2:E$3200,'Crush Margins'!$B$2:$B$3200,'Crush Margins Monthly'!$B38,'Crush Margins'!$C$2:$C$3200,'Crush Margins Monthly'!$C38)</f>
        <v>31.476166453040598</v>
      </c>
      <c r="F38" s="18"/>
      <c r="G38" s="18"/>
      <c r="H38" s="18">
        <f>AVERAGEIFS('Crush Margins'!H$2:H$3200,'Crush Margins'!$B$2:$B$3200,'Crush Margins Monthly'!$B38,'Crush Margins'!$C$2:$C$3200,'Crush Margins Monthly'!$C38)</f>
        <v>-15.428947368421058</v>
      </c>
      <c r="I38" s="18">
        <f>AVERAGEIFS('Crush Margins'!I$2:I$3200,'Crush Margins'!$B$2:$B$3200,'Crush Margins Monthly'!$B38,'Crush Margins'!$C$2:$C$3200,'Crush Margins Monthly'!$C38)</f>
        <v>-18.339999999999993</v>
      </c>
    </row>
    <row r="39" spans="1:9" x14ac:dyDescent="0.2">
      <c r="A39" s="17">
        <v>40940</v>
      </c>
      <c r="B39" s="15">
        <f t="shared" si="0"/>
        <v>2</v>
      </c>
      <c r="C39" s="15">
        <f t="shared" si="1"/>
        <v>2012</v>
      </c>
      <c r="D39" s="18">
        <f>AVERAGEIFS('Crush Margins'!D$2:D$3200,'Crush Margins'!$B$2:$B$3200,'Crush Margins Monthly'!$B39,'Crush Margins'!$C$2:$C$3200,'Crush Margins Monthly'!$C39)</f>
        <v>1.6435000000000008</v>
      </c>
      <c r="E39" s="18">
        <f>AVERAGEIFS('Crush Margins'!E$2:E$3200,'Crush Margins'!$B$2:$B$3200,'Crush Margins Monthly'!$B39,'Crush Margins'!$C$2:$C$3200,'Crush Margins Monthly'!$C39)</f>
        <v>16.846228095448165</v>
      </c>
      <c r="F39" s="18"/>
      <c r="G39" s="18"/>
      <c r="H39" s="18">
        <f>AVERAGEIFS('Crush Margins'!H$2:H$3200,'Crush Margins'!$B$2:$B$3200,'Crush Margins Monthly'!$B39,'Crush Margins'!$C$2:$C$3200,'Crush Margins Monthly'!$C39)</f>
        <v>-39.48099999999998</v>
      </c>
      <c r="I39" s="18">
        <f>AVERAGEIFS('Crush Margins'!I$2:I$3200,'Crush Margins'!$B$2:$B$3200,'Crush Margins Monthly'!$B39,'Crush Margins'!$C$2:$C$3200,'Crush Margins Monthly'!$C39)</f>
        <v>-42.311500000000009</v>
      </c>
    </row>
    <row r="40" spans="1:9" x14ac:dyDescent="0.2">
      <c r="A40" s="17">
        <v>40969</v>
      </c>
      <c r="B40" s="15">
        <f t="shared" si="0"/>
        <v>3</v>
      </c>
      <c r="C40" s="15">
        <f t="shared" si="1"/>
        <v>2012</v>
      </c>
      <c r="D40" s="18">
        <f>AVERAGEIFS('Crush Margins'!D$2:D$3200,'Crush Margins'!$B$2:$B$3200,'Crush Margins Monthly'!$B40,'Crush Margins'!$C$2:$C$3200,'Crush Margins Monthly'!$C40)</f>
        <v>-0.41454545454545483</v>
      </c>
      <c r="E40" s="18">
        <f>AVERAGEIFS('Crush Margins'!E$2:E$3200,'Crush Margins'!$B$2:$B$3200,'Crush Margins Monthly'!$B40,'Crush Margins'!$C$2:$C$3200,'Crush Margins Monthly'!$C40)</f>
        <v>20.337741504908795</v>
      </c>
      <c r="F40" s="18"/>
      <c r="G40" s="18"/>
      <c r="H40" s="18">
        <f>AVERAGEIFS('Crush Margins'!H$2:H$3200,'Crush Margins'!$B$2:$B$3200,'Crush Margins Monthly'!$B40,'Crush Margins'!$C$2:$C$3200,'Crush Margins Monthly'!$C40)</f>
        <v>-11.721363636363634</v>
      </c>
      <c r="I40" s="18">
        <f>AVERAGEIFS('Crush Margins'!I$2:I$3200,'Crush Margins'!$B$2:$B$3200,'Crush Margins Monthly'!$B40,'Crush Margins'!$C$2:$C$3200,'Crush Margins Monthly'!$C40)</f>
        <v>35.250000000000007</v>
      </c>
    </row>
    <row r="41" spans="1:9" x14ac:dyDescent="0.2">
      <c r="A41" s="17">
        <v>41000</v>
      </c>
      <c r="B41" s="15">
        <f t="shared" si="0"/>
        <v>4</v>
      </c>
      <c r="C41" s="15">
        <f t="shared" si="1"/>
        <v>2012</v>
      </c>
      <c r="D41" s="18">
        <f>AVERAGEIFS('Crush Margins'!D$2:D$3200,'Crush Margins'!$B$2:$B$3200,'Crush Margins Monthly'!$B41,'Crush Margins'!$C$2:$C$3200,'Crush Margins Monthly'!$C41)</f>
        <v>11.848500000000001</v>
      </c>
      <c r="E41" s="18">
        <f>AVERAGEIFS('Crush Margins'!E$2:E$3200,'Crush Margins'!$B$2:$B$3200,'Crush Margins Monthly'!$B41,'Crush Margins'!$C$2:$C$3200,'Crush Margins Monthly'!$C41)</f>
        <v>27.517397934018259</v>
      </c>
      <c r="F41" s="18"/>
      <c r="G41" s="18"/>
      <c r="H41" s="18">
        <f>AVERAGEIFS('Crush Margins'!H$2:H$3200,'Crush Margins'!$B$2:$B$3200,'Crush Margins Monthly'!$B41,'Crush Margins'!$C$2:$C$3200,'Crush Margins Monthly'!$C41)</f>
        <v>-19.849</v>
      </c>
      <c r="I41" s="18">
        <f>AVERAGEIFS('Crush Margins'!I$2:I$3200,'Crush Margins'!$B$2:$B$3200,'Crush Margins Monthly'!$B41,'Crush Margins'!$C$2:$C$3200,'Crush Margins Monthly'!$C41)</f>
        <v>19.862500000000004</v>
      </c>
    </row>
    <row r="42" spans="1:9" x14ac:dyDescent="0.2">
      <c r="A42" s="17">
        <v>41030</v>
      </c>
      <c r="B42" s="15">
        <f t="shared" si="0"/>
        <v>5</v>
      </c>
      <c r="C42" s="15">
        <f t="shared" si="1"/>
        <v>2012</v>
      </c>
      <c r="D42" s="18">
        <f>AVERAGEIFS('Crush Margins'!D$2:D$3200,'Crush Margins'!$B$2:$B$3200,'Crush Margins Monthly'!$B42,'Crush Margins'!$C$2:$C$3200,'Crush Margins Monthly'!$C42)</f>
        <v>15.314999999999996</v>
      </c>
      <c r="E42" s="18">
        <f>AVERAGEIFS('Crush Margins'!E$2:E$3200,'Crush Margins'!$B$2:$B$3200,'Crush Margins Monthly'!$B42,'Crush Margins'!$C$2:$C$3200,'Crush Margins Monthly'!$C42)</f>
        <v>28.409279233554358</v>
      </c>
      <c r="F42" s="18"/>
      <c r="G42" s="18"/>
      <c r="H42" s="18">
        <f>AVERAGEIFS('Crush Margins'!H$2:H$3200,'Crush Margins'!$B$2:$B$3200,'Crush Margins Monthly'!$B42,'Crush Margins'!$C$2:$C$3200,'Crush Margins Monthly'!$C42)</f>
        <v>-18.249545454545451</v>
      </c>
      <c r="I42" s="18">
        <f>AVERAGEIFS('Crush Margins'!I$2:I$3200,'Crush Margins'!$B$2:$B$3200,'Crush Margins Monthly'!$B42,'Crush Margins'!$C$2:$C$3200,'Crush Margins Monthly'!$C42)</f>
        <v>38.387272727272716</v>
      </c>
    </row>
    <row r="43" spans="1:9" x14ac:dyDescent="0.2">
      <c r="A43" s="17">
        <v>41061</v>
      </c>
      <c r="B43" s="15">
        <f t="shared" si="0"/>
        <v>6</v>
      </c>
      <c r="C43" s="15">
        <f t="shared" si="1"/>
        <v>2012</v>
      </c>
      <c r="D43" s="18">
        <f>AVERAGEIFS('Crush Margins'!D$2:D$3200,'Crush Margins'!$B$2:$B$3200,'Crush Margins Monthly'!$B43,'Crush Margins'!$C$2:$C$3200,'Crush Margins Monthly'!$C43)</f>
        <v>21.035238095238089</v>
      </c>
      <c r="E43" s="18">
        <f>AVERAGEIFS('Crush Margins'!E$2:E$3200,'Crush Margins'!$B$2:$B$3200,'Crush Margins Monthly'!$B43,'Crush Margins'!$C$2:$C$3200,'Crush Margins Monthly'!$C43)</f>
        <v>40.127711260493115</v>
      </c>
      <c r="F43" s="18"/>
      <c r="G43" s="18"/>
      <c r="H43" s="18">
        <f>AVERAGEIFS('Crush Margins'!H$2:H$3200,'Crush Margins'!$B$2:$B$3200,'Crush Margins Monthly'!$B43,'Crush Margins'!$C$2:$C$3200,'Crush Margins Monthly'!$C43)</f>
        <v>-5.4514285714285693</v>
      </c>
      <c r="I43" s="18">
        <f>AVERAGEIFS('Crush Margins'!I$2:I$3200,'Crush Margins'!$B$2:$B$3200,'Crush Margins Monthly'!$B43,'Crush Margins'!$C$2:$C$3200,'Crush Margins Monthly'!$C43)</f>
        <v>61.992380952380984</v>
      </c>
    </row>
    <row r="44" spans="1:9" x14ac:dyDescent="0.2">
      <c r="A44" s="17">
        <v>41091</v>
      </c>
      <c r="B44" s="15">
        <f t="shared" si="0"/>
        <v>7</v>
      </c>
      <c r="C44" s="15">
        <f t="shared" si="1"/>
        <v>2012</v>
      </c>
      <c r="D44" s="18">
        <f>AVERAGEIFS('Crush Margins'!D$2:D$3200,'Crush Margins'!$B$2:$B$3200,'Crush Margins Monthly'!$B44,'Crush Margins'!$C$2:$C$3200,'Crush Margins Monthly'!$C44)</f>
        <v>17.785238095238096</v>
      </c>
      <c r="E44" s="18">
        <f>AVERAGEIFS('Crush Margins'!E$2:E$3200,'Crush Margins'!$B$2:$B$3200,'Crush Margins Monthly'!$B44,'Crush Margins'!$C$2:$C$3200,'Crush Margins Monthly'!$C44)</f>
        <v>45.029318221027481</v>
      </c>
      <c r="F44" s="18"/>
      <c r="G44" s="18"/>
      <c r="H44" s="18">
        <f>AVERAGEIFS('Crush Margins'!H$2:H$3200,'Crush Margins'!$B$2:$B$3200,'Crush Margins Monthly'!$B44,'Crush Margins'!$C$2:$C$3200,'Crush Margins Monthly'!$C44)</f>
        <v>-4.2461904761904758</v>
      </c>
      <c r="I44" s="18">
        <f>AVERAGEIFS('Crush Margins'!I$2:I$3200,'Crush Margins'!$B$2:$B$3200,'Crush Margins Monthly'!$B44,'Crush Margins'!$C$2:$C$3200,'Crush Margins Monthly'!$C44)</f>
        <v>53.266190476190495</v>
      </c>
    </row>
    <row r="45" spans="1:9" x14ac:dyDescent="0.2">
      <c r="A45" s="17">
        <v>41122</v>
      </c>
      <c r="B45" s="15">
        <f t="shared" si="0"/>
        <v>8</v>
      </c>
      <c r="C45" s="15">
        <f t="shared" si="1"/>
        <v>2012</v>
      </c>
      <c r="D45" s="18">
        <f>AVERAGEIFS('Crush Margins'!D$2:D$3200,'Crush Margins'!$B$2:$B$3200,'Crush Margins Monthly'!$B45,'Crush Margins'!$C$2:$C$3200,'Crush Margins Monthly'!$C45)</f>
        <v>-3.4643478260869567</v>
      </c>
      <c r="E45" s="18">
        <f>AVERAGEIFS('Crush Margins'!E$2:E$3200,'Crush Margins'!$B$2:$B$3200,'Crush Margins Monthly'!$B45,'Crush Margins'!$C$2:$C$3200,'Crush Margins Monthly'!$C45)</f>
        <v>27.783181396611607</v>
      </c>
      <c r="F45" s="18"/>
      <c r="G45" s="18"/>
      <c r="H45" s="18">
        <f>AVERAGEIFS('Crush Margins'!H$2:H$3200,'Crush Margins'!$B$2:$B$3200,'Crush Margins Monthly'!$B45,'Crush Margins'!$C$2:$C$3200,'Crush Margins Monthly'!$C45)</f>
        <v>48.389999999999993</v>
      </c>
      <c r="I45" s="18">
        <f>AVERAGEIFS('Crush Margins'!I$2:I$3200,'Crush Margins'!$B$2:$B$3200,'Crush Margins Monthly'!$B45,'Crush Margins'!$C$2:$C$3200,'Crush Margins Monthly'!$C45)</f>
        <v>64.626086956521718</v>
      </c>
    </row>
    <row r="46" spans="1:9" x14ac:dyDescent="0.2">
      <c r="A46" s="17">
        <v>41153</v>
      </c>
      <c r="B46" s="15">
        <f t="shared" si="0"/>
        <v>9</v>
      </c>
      <c r="C46" s="15">
        <f t="shared" si="1"/>
        <v>2012</v>
      </c>
      <c r="D46" s="18">
        <f>AVERAGEIFS('Crush Margins'!D$2:D$3200,'Crush Margins'!$B$2:$B$3200,'Crush Margins Monthly'!$B46,'Crush Margins'!$C$2:$C$3200,'Crush Margins Monthly'!$C46)</f>
        <v>-51.905789473684216</v>
      </c>
      <c r="E46" s="18">
        <f>AVERAGEIFS('Crush Margins'!E$2:E$3200,'Crush Margins'!$B$2:$B$3200,'Crush Margins Monthly'!$B46,'Crush Margins'!$C$2:$C$3200,'Crush Margins Monthly'!$C46)</f>
        <v>-14.008513859665133</v>
      </c>
      <c r="F46" s="18"/>
      <c r="G46" s="18"/>
      <c r="H46" s="18">
        <f>AVERAGEIFS('Crush Margins'!H$2:H$3200,'Crush Margins'!$B$2:$B$3200,'Crush Margins Monthly'!$B46,'Crush Margins'!$C$2:$C$3200,'Crush Margins Monthly'!$C46)</f>
        <v>9.1800000000000015</v>
      </c>
      <c r="I46" s="18">
        <f>AVERAGEIFS('Crush Margins'!I$2:I$3200,'Crush Margins'!$B$2:$B$3200,'Crush Margins Monthly'!$B46,'Crush Margins'!$C$2:$C$3200,'Crush Margins Monthly'!$C46)</f>
        <v>323.58210526315793</v>
      </c>
    </row>
    <row r="47" spans="1:9" x14ac:dyDescent="0.2">
      <c r="A47" s="17">
        <v>41183</v>
      </c>
      <c r="B47" s="15">
        <f t="shared" si="0"/>
        <v>10</v>
      </c>
      <c r="C47" s="15">
        <f t="shared" si="1"/>
        <v>2012</v>
      </c>
      <c r="D47" s="18">
        <f>AVERAGEIFS('Crush Margins'!D$2:D$3200,'Crush Margins'!$B$2:$B$3200,'Crush Margins Monthly'!$B47,'Crush Margins'!$C$2:$C$3200,'Crush Margins Monthly'!$C47)</f>
        <v>-50.04739130434784</v>
      </c>
      <c r="E47" s="18">
        <f>AVERAGEIFS('Crush Margins'!E$2:E$3200,'Crush Margins'!$B$2:$B$3200,'Crush Margins Monthly'!$B47,'Crush Margins'!$C$2:$C$3200,'Crush Margins Monthly'!$C47)</f>
        <v>28.502023468484595</v>
      </c>
      <c r="F47" s="18"/>
      <c r="G47" s="18"/>
      <c r="H47" s="18">
        <f>AVERAGEIFS('Crush Margins'!H$2:H$3200,'Crush Margins'!$B$2:$B$3200,'Crush Margins Monthly'!$B47,'Crush Margins'!$C$2:$C$3200,'Crush Margins Monthly'!$C47)</f>
        <v>14.448260869565219</v>
      </c>
      <c r="I47" s="18">
        <f>AVERAGEIFS('Crush Margins'!I$2:I$3200,'Crush Margins'!$B$2:$B$3200,'Crush Margins Monthly'!$B47,'Crush Margins'!$C$2:$C$3200,'Crush Margins Monthly'!$C47)</f>
        <v>88.317826086956543</v>
      </c>
    </row>
    <row r="48" spans="1:9" x14ac:dyDescent="0.2">
      <c r="A48" s="17">
        <v>41214</v>
      </c>
      <c r="B48" s="15">
        <f t="shared" si="0"/>
        <v>11</v>
      </c>
      <c r="C48" s="15">
        <f t="shared" si="1"/>
        <v>2012</v>
      </c>
      <c r="D48" s="18">
        <f>AVERAGEIFS('Crush Margins'!D$2:D$3200,'Crush Margins'!$B$2:$B$3200,'Crush Margins Monthly'!$B48,'Crush Margins'!$C$2:$C$3200,'Crush Margins Monthly'!$C48)</f>
        <v>-56.174761904761922</v>
      </c>
      <c r="E48" s="18">
        <f>AVERAGEIFS('Crush Margins'!E$2:E$3200,'Crush Margins'!$B$2:$B$3200,'Crush Margins Monthly'!$B48,'Crush Margins'!$C$2:$C$3200,'Crush Margins Monthly'!$C48)</f>
        <v>14.936835562888254</v>
      </c>
      <c r="F48" s="18"/>
      <c r="G48" s="18"/>
      <c r="H48" s="18">
        <f>AVERAGEIFS('Crush Margins'!H$2:H$3200,'Crush Margins'!$B$2:$B$3200,'Crush Margins Monthly'!$B48,'Crush Margins'!$C$2:$C$3200,'Crush Margins Monthly'!$C48)</f>
        <v>3.3790476190476193</v>
      </c>
      <c r="I48" s="18">
        <f>AVERAGEIFS('Crush Margins'!I$2:I$3200,'Crush Margins'!$B$2:$B$3200,'Crush Margins Monthly'!$B48,'Crush Margins'!$C$2:$C$3200,'Crush Margins Monthly'!$C48)</f>
        <v>23.603809523809538</v>
      </c>
    </row>
    <row r="49" spans="1:9" x14ac:dyDescent="0.2">
      <c r="A49" s="17">
        <v>41244</v>
      </c>
      <c r="B49" s="15">
        <f t="shared" si="0"/>
        <v>12</v>
      </c>
      <c r="C49" s="15">
        <f t="shared" si="1"/>
        <v>2012</v>
      </c>
      <c r="D49" s="18">
        <f>AVERAGEIFS('Crush Margins'!D$2:D$3200,'Crush Margins'!$B$2:$B$3200,'Crush Margins Monthly'!$B49,'Crush Margins'!$C$2:$C$3200,'Crush Margins Monthly'!$C49)</f>
        <v>-52.950499999999991</v>
      </c>
      <c r="E49" s="18">
        <f>AVERAGEIFS('Crush Margins'!E$2:E$3200,'Crush Margins'!$B$2:$B$3200,'Crush Margins Monthly'!$B49,'Crush Margins'!$C$2:$C$3200,'Crush Margins Monthly'!$C49)</f>
        <v>19.02420250331523</v>
      </c>
      <c r="F49" s="18"/>
      <c r="G49" s="18"/>
      <c r="H49" s="18">
        <f>AVERAGEIFS('Crush Margins'!H$2:H$3200,'Crush Margins'!$B$2:$B$3200,'Crush Margins Monthly'!$B49,'Crush Margins'!$C$2:$C$3200,'Crush Margins Monthly'!$C49)</f>
        <v>9.0474999999999977</v>
      </c>
      <c r="I49" s="18">
        <f>AVERAGEIFS('Crush Margins'!I$2:I$3200,'Crush Margins'!$B$2:$B$3200,'Crush Margins Monthly'!$B49,'Crush Margins'!$C$2:$C$3200,'Crush Margins Monthly'!$C49)</f>
        <v>438.80949999999996</v>
      </c>
    </row>
    <row r="50" spans="1:9" x14ac:dyDescent="0.2">
      <c r="A50" s="17">
        <v>41275</v>
      </c>
      <c r="B50" s="15">
        <f t="shared" si="0"/>
        <v>1</v>
      </c>
      <c r="C50" s="15">
        <f t="shared" si="1"/>
        <v>2013</v>
      </c>
      <c r="D50" s="18">
        <f>AVERAGEIFS('Crush Margins'!D$2:D$3200,'Crush Margins'!$B$2:$B$3200,'Crush Margins Monthly'!$B50,'Crush Margins'!$C$2:$C$3200,'Crush Margins Monthly'!$C50)</f>
        <v>22.261428571428574</v>
      </c>
      <c r="E50" s="18">
        <f>AVERAGEIFS('Crush Margins'!E$2:E$3200,'Crush Margins'!$B$2:$B$3200,'Crush Margins Monthly'!$B50,'Crush Margins'!$C$2:$C$3200,'Crush Margins Monthly'!$C50)</f>
        <v>4.753077318429705</v>
      </c>
      <c r="F50" s="18"/>
      <c r="G50" s="18"/>
      <c r="H50" s="18">
        <f>AVERAGEIFS('Crush Margins'!H$2:H$3200,'Crush Margins'!$B$2:$B$3200,'Crush Margins Monthly'!$B50,'Crush Margins'!$C$2:$C$3200,'Crush Margins Monthly'!$C50)</f>
        <v>76.333333333333357</v>
      </c>
      <c r="I50" s="18">
        <f>AVERAGEIFS('Crush Margins'!I$2:I$3200,'Crush Margins'!$B$2:$B$3200,'Crush Margins Monthly'!$B50,'Crush Margins'!$C$2:$C$3200,'Crush Margins Monthly'!$C50)</f>
        <v>347.00904761904775</v>
      </c>
    </row>
    <row r="51" spans="1:9" x14ac:dyDescent="0.2">
      <c r="A51" s="17">
        <v>41306</v>
      </c>
      <c r="B51" s="15">
        <f t="shared" si="0"/>
        <v>2</v>
      </c>
      <c r="C51" s="15">
        <f t="shared" si="1"/>
        <v>2013</v>
      </c>
      <c r="D51" s="18">
        <f>AVERAGEIFS('Crush Margins'!D$2:D$3200,'Crush Margins'!$B$2:$B$3200,'Crush Margins Monthly'!$B51,'Crush Margins'!$C$2:$C$3200,'Crush Margins Monthly'!$C51)</f>
        <v>68.933157894736837</v>
      </c>
      <c r="E51" s="18">
        <f>AVERAGEIFS('Crush Margins'!E$2:E$3200,'Crush Margins'!$B$2:$B$3200,'Crush Margins Monthly'!$B51,'Crush Margins'!$C$2:$C$3200,'Crush Margins Monthly'!$C51)</f>
        <v>2.844385697484122</v>
      </c>
      <c r="F51" s="18"/>
      <c r="G51" s="18"/>
      <c r="H51" s="18">
        <f>AVERAGEIFS('Crush Margins'!H$2:H$3200,'Crush Margins'!$B$2:$B$3200,'Crush Margins Monthly'!$B51,'Crush Margins'!$C$2:$C$3200,'Crush Margins Monthly'!$C51)</f>
        <v>104.70368421052629</v>
      </c>
      <c r="I51" s="18">
        <f>AVERAGEIFS('Crush Margins'!I$2:I$3200,'Crush Margins'!$B$2:$B$3200,'Crush Margins Monthly'!$B51,'Crush Margins'!$C$2:$C$3200,'Crush Margins Monthly'!$C51)</f>
        <v>256.6031578947368</v>
      </c>
    </row>
    <row r="52" spans="1:9" x14ac:dyDescent="0.2">
      <c r="A52" s="17">
        <v>41334</v>
      </c>
      <c r="B52" s="15">
        <f t="shared" si="0"/>
        <v>3</v>
      </c>
      <c r="C52" s="15">
        <f t="shared" si="1"/>
        <v>2013</v>
      </c>
      <c r="D52" s="18">
        <f>AVERAGEIFS('Crush Margins'!D$2:D$3200,'Crush Margins'!$B$2:$B$3200,'Crush Margins Monthly'!$B52,'Crush Margins'!$C$2:$C$3200,'Crush Margins Monthly'!$C52)</f>
        <v>52.343500000000006</v>
      </c>
      <c r="E52" s="18">
        <f>AVERAGEIFS('Crush Margins'!E$2:E$3200,'Crush Margins'!$B$2:$B$3200,'Crush Margins Monthly'!$B52,'Crush Margins'!$C$2:$C$3200,'Crush Margins Monthly'!$C52)</f>
        <v>-2.8368290521739676</v>
      </c>
      <c r="F52" s="18"/>
      <c r="G52" s="18"/>
      <c r="H52" s="18">
        <f>AVERAGEIFS('Crush Margins'!H$2:H$3200,'Crush Margins'!$B$2:$B$3200,'Crush Margins Monthly'!$B52,'Crush Margins'!$C$2:$C$3200,'Crush Margins Monthly'!$C52)</f>
        <v>85.625500000000002</v>
      </c>
      <c r="I52" s="18">
        <f>AVERAGEIFS('Crush Margins'!I$2:I$3200,'Crush Margins'!$B$2:$B$3200,'Crush Margins Monthly'!$B52,'Crush Margins'!$C$2:$C$3200,'Crush Margins Monthly'!$C52)</f>
        <v>516.42950000000008</v>
      </c>
    </row>
    <row r="53" spans="1:9" x14ac:dyDescent="0.2">
      <c r="A53" s="17">
        <v>41365</v>
      </c>
      <c r="B53" s="15">
        <f t="shared" si="0"/>
        <v>4</v>
      </c>
      <c r="C53" s="15">
        <f t="shared" si="1"/>
        <v>2013</v>
      </c>
      <c r="D53" s="18">
        <f>AVERAGEIFS('Crush Margins'!D$2:D$3200,'Crush Margins'!$B$2:$B$3200,'Crush Margins Monthly'!$B53,'Crush Margins'!$C$2:$C$3200,'Crush Margins Monthly'!$C53)</f>
        <v>48.982727272727288</v>
      </c>
      <c r="E53" s="18">
        <f>AVERAGEIFS('Crush Margins'!E$2:E$3200,'Crush Margins'!$B$2:$B$3200,'Crush Margins Monthly'!$B53,'Crush Margins'!$C$2:$C$3200,'Crush Margins Monthly'!$C53)</f>
        <v>0.27020591047685</v>
      </c>
      <c r="F53" s="18"/>
      <c r="G53" s="18"/>
      <c r="H53" s="18">
        <f>AVERAGEIFS('Crush Margins'!H$2:H$3200,'Crush Margins'!$B$2:$B$3200,'Crush Margins Monthly'!$B53,'Crush Margins'!$C$2:$C$3200,'Crush Margins Monthly'!$C53)</f>
        <v>84.364999999999966</v>
      </c>
      <c r="I53" s="18">
        <f>AVERAGEIFS('Crush Margins'!I$2:I$3200,'Crush Margins'!$B$2:$B$3200,'Crush Margins Monthly'!$B53,'Crush Margins'!$C$2:$C$3200,'Crush Margins Monthly'!$C53)</f>
        <v>374.18727272727261</v>
      </c>
    </row>
    <row r="54" spans="1:9" x14ac:dyDescent="0.2">
      <c r="A54" s="17">
        <v>41395</v>
      </c>
      <c r="B54" s="15">
        <f t="shared" si="0"/>
        <v>5</v>
      </c>
      <c r="C54" s="15">
        <f t="shared" si="1"/>
        <v>2013</v>
      </c>
      <c r="D54" s="18">
        <f>AVERAGEIFS('Crush Margins'!D$2:D$3200,'Crush Margins'!$B$2:$B$3200,'Crush Margins Monthly'!$B54,'Crush Margins'!$C$2:$C$3200,'Crush Margins Monthly'!$C54)</f>
        <v>71.376363636363649</v>
      </c>
      <c r="E54" s="18">
        <f>AVERAGEIFS('Crush Margins'!E$2:E$3200,'Crush Margins'!$B$2:$B$3200,'Crush Margins Monthly'!$B54,'Crush Margins'!$C$2:$C$3200,'Crush Margins Monthly'!$C54)</f>
        <v>8.1241775996532581</v>
      </c>
      <c r="F54" s="18">
        <f>AVERAGEIFS('Crush Margins'!F$2:F$3200,'Crush Margins'!$B$2:$B$3200,'Crush Margins Monthly'!$B54,'Crush Margins'!$C$2:$C$3200,'Crush Margins Monthly'!$C54)</f>
        <v>31.068571428571424</v>
      </c>
      <c r="G54" s="18"/>
      <c r="H54" s="18">
        <f>AVERAGEIFS('Crush Margins'!H$2:H$3200,'Crush Margins'!$B$2:$B$3200,'Crush Margins Monthly'!$B54,'Crush Margins'!$C$2:$C$3200,'Crush Margins Monthly'!$C54)</f>
        <v>94.350000000000009</v>
      </c>
      <c r="I54" s="18">
        <f>AVERAGEIFS('Crush Margins'!I$2:I$3200,'Crush Margins'!$B$2:$B$3200,'Crush Margins Monthly'!$B54,'Crush Margins'!$C$2:$C$3200,'Crush Margins Monthly'!$C54)</f>
        <v>157.64454545454544</v>
      </c>
    </row>
    <row r="55" spans="1:9" x14ac:dyDescent="0.2">
      <c r="A55" s="17">
        <v>41426</v>
      </c>
      <c r="B55" s="15">
        <f t="shared" si="0"/>
        <v>6</v>
      </c>
      <c r="C55" s="15">
        <f t="shared" si="1"/>
        <v>2013</v>
      </c>
      <c r="D55" s="18">
        <f>AVERAGEIFS('Crush Margins'!D$2:D$3200,'Crush Margins'!$B$2:$B$3200,'Crush Margins Monthly'!$B55,'Crush Margins'!$C$2:$C$3200,'Crush Margins Monthly'!$C55)</f>
        <v>90.14500000000001</v>
      </c>
      <c r="E55" s="18">
        <f>AVERAGEIFS('Crush Margins'!E$2:E$3200,'Crush Margins'!$B$2:$B$3200,'Crush Margins Monthly'!$B55,'Crush Margins'!$C$2:$C$3200,'Crush Margins Monthly'!$C55)</f>
        <v>13.09093088524086</v>
      </c>
      <c r="F55" s="18">
        <f>AVERAGEIFS('Crush Margins'!F$2:F$3200,'Crush Margins'!$B$2:$B$3200,'Crush Margins Monthly'!$B55,'Crush Margins'!$C$2:$C$3200,'Crush Margins Monthly'!$C55)</f>
        <v>35.034999999999997</v>
      </c>
      <c r="G55" s="18"/>
      <c r="H55" s="18">
        <f>AVERAGEIFS('Crush Margins'!H$2:H$3200,'Crush Margins'!$B$2:$B$3200,'Crush Margins Monthly'!$B55,'Crush Margins'!$C$2:$C$3200,'Crush Margins Monthly'!$C55)</f>
        <v>103.13249999999994</v>
      </c>
      <c r="I55" s="18">
        <f>AVERAGEIFS('Crush Margins'!I$2:I$3200,'Crush Margins'!$B$2:$B$3200,'Crush Margins Monthly'!$B55,'Crush Margins'!$C$2:$C$3200,'Crush Margins Monthly'!$C55)</f>
        <v>95.299999999999983</v>
      </c>
    </row>
    <row r="56" spans="1:9" x14ac:dyDescent="0.2">
      <c r="A56" s="17">
        <v>41456</v>
      </c>
      <c r="B56" s="15">
        <f t="shared" si="0"/>
        <v>7</v>
      </c>
      <c r="C56" s="15">
        <f t="shared" si="1"/>
        <v>2013</v>
      </c>
      <c r="D56" s="18">
        <f>AVERAGEIFS('Crush Margins'!D$2:D$3200,'Crush Margins'!$B$2:$B$3200,'Crush Margins Monthly'!$B56,'Crush Margins'!$C$2:$C$3200,'Crush Margins Monthly'!$C56)</f>
        <v>61.058181818181836</v>
      </c>
      <c r="E56" s="18">
        <f>AVERAGEIFS('Crush Margins'!E$2:E$3200,'Crush Margins'!$B$2:$B$3200,'Crush Margins Monthly'!$B56,'Crush Margins'!$C$2:$C$3200,'Crush Margins Monthly'!$C56)</f>
        <v>44.913236959506868</v>
      </c>
      <c r="F56" s="18">
        <f>AVERAGEIFS('Crush Margins'!F$2:F$3200,'Crush Margins'!$B$2:$B$3200,'Crush Margins Monthly'!$B56,'Crush Margins'!$C$2:$C$3200,'Crush Margins Monthly'!$C56)</f>
        <v>50.756818181818176</v>
      </c>
      <c r="G56" s="18"/>
      <c r="H56" s="18">
        <f>AVERAGEIFS('Crush Margins'!H$2:H$3200,'Crush Margins'!$B$2:$B$3200,'Crush Margins Monthly'!$B56,'Crush Margins'!$C$2:$C$3200,'Crush Margins Monthly'!$C56)</f>
        <v>85.6727272727273</v>
      </c>
      <c r="I56" s="18">
        <f>AVERAGEIFS('Crush Margins'!I$2:I$3200,'Crush Margins'!$B$2:$B$3200,'Crush Margins Monthly'!$B56,'Crush Margins'!$C$2:$C$3200,'Crush Margins Monthly'!$C56)</f>
        <v>75.87409090909091</v>
      </c>
    </row>
    <row r="57" spans="1:9" x14ac:dyDescent="0.2">
      <c r="A57" s="17">
        <v>41487</v>
      </c>
      <c r="B57" s="15">
        <f t="shared" si="0"/>
        <v>8</v>
      </c>
      <c r="C57" s="15">
        <f t="shared" si="1"/>
        <v>2013</v>
      </c>
      <c r="D57" s="18">
        <f>AVERAGEIFS('Crush Margins'!D$2:D$3200,'Crush Margins'!$B$2:$B$3200,'Crush Margins Monthly'!$B57,'Crush Margins'!$C$2:$C$3200,'Crush Margins Monthly'!$C57)</f>
        <v>30.74045454545454</v>
      </c>
      <c r="E57" s="18">
        <f>AVERAGEIFS('Crush Margins'!E$2:E$3200,'Crush Margins'!$B$2:$B$3200,'Crush Margins Monthly'!$B57,'Crush Margins'!$C$2:$C$3200,'Crush Margins Monthly'!$C57)</f>
        <v>60.170329652413052</v>
      </c>
      <c r="F57" s="18">
        <f>AVERAGEIFS('Crush Margins'!F$2:F$3200,'Crush Margins'!$B$2:$B$3200,'Crush Margins Monthly'!$B57,'Crush Margins'!$C$2:$C$3200,'Crush Margins Monthly'!$C57)</f>
        <v>44.391818181818188</v>
      </c>
      <c r="G57" s="18"/>
      <c r="H57" s="18">
        <f>AVERAGEIFS('Crush Margins'!H$2:H$3200,'Crush Margins'!$B$2:$B$3200,'Crush Margins Monthly'!$B57,'Crush Margins'!$C$2:$C$3200,'Crush Margins Monthly'!$C57)</f>
        <v>102.2672727272727</v>
      </c>
      <c r="I57" s="18">
        <f>AVERAGEIFS('Crush Margins'!I$2:I$3200,'Crush Margins'!$B$2:$B$3200,'Crush Margins Monthly'!$B57,'Crush Margins'!$C$2:$C$3200,'Crush Margins Monthly'!$C57)</f>
        <v>89.786818181818177</v>
      </c>
    </row>
    <row r="58" spans="1:9" x14ac:dyDescent="0.2">
      <c r="A58" s="17">
        <v>41518</v>
      </c>
      <c r="B58" s="15">
        <f t="shared" si="0"/>
        <v>9</v>
      </c>
      <c r="C58" s="15">
        <f t="shared" si="1"/>
        <v>2013</v>
      </c>
      <c r="D58" s="18">
        <f>AVERAGEIFS('Crush Margins'!D$2:D$3200,'Crush Margins'!$B$2:$B$3200,'Crush Margins Monthly'!$B58,'Crush Margins'!$C$2:$C$3200,'Crush Margins Monthly'!$C58)</f>
        <v>19.928500000000007</v>
      </c>
      <c r="E58" s="18">
        <f>AVERAGEIFS('Crush Margins'!E$2:E$3200,'Crush Margins'!$B$2:$B$3200,'Crush Margins Monthly'!$B58,'Crush Margins'!$C$2:$C$3200,'Crush Margins Monthly'!$C58)</f>
        <v>61.36946856248862</v>
      </c>
      <c r="F58" s="18">
        <f>AVERAGEIFS('Crush Margins'!F$2:F$3200,'Crush Margins'!$B$2:$B$3200,'Crush Margins Monthly'!$B58,'Crush Margins'!$C$2:$C$3200,'Crush Margins Monthly'!$C58)</f>
        <v>7.69</v>
      </c>
      <c r="G58" s="18"/>
      <c r="H58" s="18">
        <f>AVERAGEIFS('Crush Margins'!H$2:H$3200,'Crush Margins'!$B$2:$B$3200,'Crush Margins Monthly'!$B58,'Crush Margins'!$C$2:$C$3200,'Crush Margins Monthly'!$C58)</f>
        <v>55.456499999999984</v>
      </c>
      <c r="I58" s="18">
        <f>AVERAGEIFS('Crush Margins'!I$2:I$3200,'Crush Margins'!$B$2:$B$3200,'Crush Margins Monthly'!$B58,'Crush Margins'!$C$2:$C$3200,'Crush Margins Monthly'!$C58)</f>
        <v>71.524500000000032</v>
      </c>
    </row>
    <row r="59" spans="1:9" x14ac:dyDescent="0.2">
      <c r="A59" s="17">
        <v>41548</v>
      </c>
      <c r="B59" s="15">
        <f t="shared" si="0"/>
        <v>10</v>
      </c>
      <c r="C59" s="15">
        <f t="shared" si="1"/>
        <v>2013</v>
      </c>
      <c r="D59" s="18">
        <f>AVERAGEIFS('Crush Margins'!D$2:D$3200,'Crush Margins'!$B$2:$B$3200,'Crush Margins Monthly'!$B59,'Crush Margins'!$C$2:$C$3200,'Crush Margins Monthly'!$C59)</f>
        <v>3.7521739130434799</v>
      </c>
      <c r="E59" s="18">
        <f>AVERAGEIFS('Crush Margins'!E$2:E$3200,'Crush Margins'!$B$2:$B$3200,'Crush Margins Monthly'!$B59,'Crush Margins'!$C$2:$C$3200,'Crush Margins Monthly'!$C59)</f>
        <v>47.18615903053297</v>
      </c>
      <c r="F59" s="18">
        <f>AVERAGEIFS('Crush Margins'!F$2:F$3200,'Crush Margins'!$B$2:$B$3200,'Crush Margins Monthly'!$B59,'Crush Margins'!$C$2:$C$3200,'Crush Margins Monthly'!$C59)</f>
        <v>-22.578260869565216</v>
      </c>
      <c r="G59" s="18"/>
      <c r="H59" s="18">
        <f>AVERAGEIFS('Crush Margins'!H$2:H$3200,'Crush Margins'!$B$2:$B$3200,'Crush Margins Monthly'!$B59,'Crush Margins'!$C$2:$C$3200,'Crush Margins Monthly'!$C59)</f>
        <v>35.624347826086968</v>
      </c>
      <c r="I59" s="18">
        <f>AVERAGEIFS('Crush Margins'!I$2:I$3200,'Crush Margins'!$B$2:$B$3200,'Crush Margins Monthly'!$B59,'Crush Margins'!$C$2:$C$3200,'Crush Margins Monthly'!$C59)</f>
        <v>-35.747826086956515</v>
      </c>
    </row>
    <row r="60" spans="1:9" x14ac:dyDescent="0.2">
      <c r="A60" s="17">
        <v>41579</v>
      </c>
      <c r="B60" s="15">
        <f t="shared" si="0"/>
        <v>11</v>
      </c>
      <c r="C60" s="15">
        <f t="shared" si="1"/>
        <v>2013</v>
      </c>
      <c r="D60" s="18">
        <f>AVERAGEIFS('Crush Margins'!D$2:D$3200,'Crush Margins'!$B$2:$B$3200,'Crush Margins Monthly'!$B60,'Crush Margins'!$C$2:$C$3200,'Crush Margins Monthly'!$C60)</f>
        <v>-3.6035000000000013</v>
      </c>
      <c r="E60" s="18">
        <f>AVERAGEIFS('Crush Margins'!E$2:E$3200,'Crush Margins'!$B$2:$B$3200,'Crush Margins Monthly'!$B60,'Crush Margins'!$C$2:$C$3200,'Crush Margins Monthly'!$C60)</f>
        <v>47.882995936872987</v>
      </c>
      <c r="F60" s="18">
        <f>AVERAGEIFS('Crush Margins'!F$2:F$3200,'Crush Margins'!$B$2:$B$3200,'Crush Margins Monthly'!$B60,'Crush Margins'!$C$2:$C$3200,'Crush Margins Monthly'!$C60)</f>
        <v>-33.366500000000016</v>
      </c>
      <c r="G60" s="18"/>
      <c r="H60" s="18">
        <f>AVERAGEIFS('Crush Margins'!H$2:H$3200,'Crush Margins'!$B$2:$B$3200,'Crush Margins Monthly'!$B60,'Crush Margins'!$C$2:$C$3200,'Crush Margins Monthly'!$C60)</f>
        <v>27.702499999999997</v>
      </c>
      <c r="I60" s="18">
        <f>AVERAGEIFS('Crush Margins'!I$2:I$3200,'Crush Margins'!$B$2:$B$3200,'Crush Margins Monthly'!$B60,'Crush Margins'!$C$2:$C$3200,'Crush Margins Monthly'!$C60)</f>
        <v>-61.421500000000023</v>
      </c>
    </row>
    <row r="61" spans="1:9" x14ac:dyDescent="0.2">
      <c r="A61" s="17">
        <v>41609</v>
      </c>
      <c r="B61" s="15">
        <f t="shared" si="0"/>
        <v>12</v>
      </c>
      <c r="C61" s="15">
        <f t="shared" si="1"/>
        <v>2013</v>
      </c>
      <c r="D61" s="18">
        <f>AVERAGEIFS('Crush Margins'!D$2:D$3200,'Crush Margins'!$B$2:$B$3200,'Crush Margins Monthly'!$B61,'Crush Margins'!$C$2:$C$3200,'Crush Margins Monthly'!$C61)</f>
        <v>-22.554285714285712</v>
      </c>
      <c r="E61" s="18">
        <f>AVERAGEIFS('Crush Margins'!E$2:E$3200,'Crush Margins'!$B$2:$B$3200,'Crush Margins Monthly'!$B61,'Crush Margins'!$C$2:$C$3200,'Crush Margins Monthly'!$C61)</f>
        <v>39.903762874757426</v>
      </c>
      <c r="F61" s="18">
        <f>AVERAGEIFS('Crush Margins'!F$2:F$3200,'Crush Margins'!$B$2:$B$3200,'Crush Margins Monthly'!$B61,'Crush Margins'!$C$2:$C$3200,'Crush Margins Monthly'!$C61)</f>
        <v>-50.420000000000016</v>
      </c>
      <c r="G61" s="18"/>
      <c r="H61" s="18">
        <f>AVERAGEIFS('Crush Margins'!H$2:H$3200,'Crush Margins'!$B$2:$B$3200,'Crush Margins Monthly'!$B61,'Crush Margins'!$C$2:$C$3200,'Crush Margins Monthly'!$C61)</f>
        <v>-1.5238095238095251</v>
      </c>
      <c r="I61" s="18">
        <f>AVERAGEIFS('Crush Margins'!I$2:I$3200,'Crush Margins'!$B$2:$B$3200,'Crush Margins Monthly'!$B61,'Crush Margins'!$C$2:$C$3200,'Crush Margins Monthly'!$C61)</f>
        <v>-80.424761904761922</v>
      </c>
    </row>
    <row r="62" spans="1:9" x14ac:dyDescent="0.2">
      <c r="A62" s="17">
        <v>41640</v>
      </c>
      <c r="B62" s="15">
        <f t="shared" si="0"/>
        <v>1</v>
      </c>
      <c r="C62" s="15">
        <f t="shared" si="1"/>
        <v>2014</v>
      </c>
      <c r="D62" s="18">
        <f>AVERAGEIFS('Crush Margins'!D$2:D$3200,'Crush Margins'!$B$2:$B$3200,'Crush Margins Monthly'!$B62,'Crush Margins'!$C$2:$C$3200,'Crush Margins Monthly'!$C62)</f>
        <v>-20.826190476190472</v>
      </c>
      <c r="E62" s="18">
        <f>AVERAGEIFS('Crush Margins'!E$2:E$3200,'Crush Margins'!$B$2:$B$3200,'Crush Margins Monthly'!$B62,'Crush Margins'!$C$2:$C$3200,'Crush Margins Monthly'!$C62)</f>
        <v>36.955792305548933</v>
      </c>
      <c r="F62" s="18">
        <f>AVERAGEIFS('Crush Margins'!F$2:F$3200,'Crush Margins'!$B$2:$B$3200,'Crush Margins Monthly'!$B62,'Crush Margins'!$C$2:$C$3200,'Crush Margins Monthly'!$C62)</f>
        <v>-38.017142857142844</v>
      </c>
      <c r="G62" s="18"/>
      <c r="H62" s="18">
        <f>AVERAGEIFS('Crush Margins'!H$2:H$3200,'Crush Margins'!$B$2:$B$3200,'Crush Margins Monthly'!$B62,'Crush Margins'!$C$2:$C$3200,'Crush Margins Monthly'!$C62)</f>
        <v>-1.5819047619047619</v>
      </c>
      <c r="I62" s="18">
        <f>AVERAGEIFS('Crush Margins'!I$2:I$3200,'Crush Margins'!$B$2:$B$3200,'Crush Margins Monthly'!$B62,'Crush Margins'!$C$2:$C$3200,'Crush Margins Monthly'!$C62)</f>
        <v>-97.903333333333308</v>
      </c>
    </row>
    <row r="63" spans="1:9" x14ac:dyDescent="0.2">
      <c r="A63" s="17">
        <v>41671</v>
      </c>
      <c r="B63" s="15">
        <f t="shared" si="0"/>
        <v>2</v>
      </c>
      <c r="C63" s="15">
        <f t="shared" si="1"/>
        <v>2014</v>
      </c>
      <c r="D63" s="18">
        <f>AVERAGEIFS('Crush Margins'!D$2:D$3200,'Crush Margins'!$B$2:$B$3200,'Crush Margins Monthly'!$B63,'Crush Margins'!$C$2:$C$3200,'Crush Margins Monthly'!$C63)</f>
        <v>21.928947368421056</v>
      </c>
      <c r="E63" s="18">
        <f>AVERAGEIFS('Crush Margins'!E$2:E$3200,'Crush Margins'!$B$2:$B$3200,'Crush Margins Monthly'!$B63,'Crush Margins'!$C$2:$C$3200,'Crush Margins Monthly'!$C63)</f>
        <v>37.283866403162996</v>
      </c>
      <c r="F63" s="18">
        <f>AVERAGEIFS('Crush Margins'!F$2:F$3200,'Crush Margins'!$B$2:$B$3200,'Crush Margins Monthly'!$B63,'Crush Margins'!$C$2:$C$3200,'Crush Margins Monthly'!$C63)</f>
        <v>-16.031052631578941</v>
      </c>
      <c r="G63" s="18"/>
      <c r="H63" s="18">
        <f>AVERAGEIFS('Crush Margins'!H$2:H$3200,'Crush Margins'!$B$2:$B$3200,'Crush Margins Monthly'!$B63,'Crush Margins'!$C$2:$C$3200,'Crush Margins Monthly'!$C63)</f>
        <v>40.892631578947373</v>
      </c>
      <c r="I63" s="18">
        <f>AVERAGEIFS('Crush Margins'!I$2:I$3200,'Crush Margins'!$B$2:$B$3200,'Crush Margins Monthly'!$B63,'Crush Margins'!$C$2:$C$3200,'Crush Margins Monthly'!$C63)</f>
        <v>-45.001052631578958</v>
      </c>
    </row>
    <row r="64" spans="1:9" x14ac:dyDescent="0.2">
      <c r="A64" s="17">
        <v>41699</v>
      </c>
      <c r="B64" s="15">
        <f t="shared" si="0"/>
        <v>3</v>
      </c>
      <c r="C64" s="15">
        <f t="shared" si="1"/>
        <v>2014</v>
      </c>
      <c r="D64" s="18">
        <f>AVERAGEIFS('Crush Margins'!D$2:D$3200,'Crush Margins'!$B$2:$B$3200,'Crush Margins Monthly'!$B64,'Crush Margins'!$C$2:$C$3200,'Crush Margins Monthly'!$C64)</f>
        <v>50.327142857142853</v>
      </c>
      <c r="E64" s="18">
        <f>AVERAGEIFS('Crush Margins'!E$2:E$3200,'Crush Margins'!$B$2:$B$3200,'Crush Margins Monthly'!$B64,'Crush Margins'!$C$2:$C$3200,'Crush Margins Monthly'!$C64)</f>
        <v>17.132269718058005</v>
      </c>
      <c r="F64" s="18">
        <f>AVERAGEIFS('Crush Margins'!F$2:F$3200,'Crush Margins'!$B$2:$B$3200,'Crush Margins Monthly'!$B64,'Crush Margins'!$C$2:$C$3200,'Crush Margins Monthly'!$C64)</f>
        <v>14.763809523809519</v>
      </c>
      <c r="G64" s="18"/>
      <c r="H64" s="18">
        <f>AVERAGEIFS('Crush Margins'!H$2:H$3200,'Crush Margins'!$B$2:$B$3200,'Crush Margins Monthly'!$B64,'Crush Margins'!$C$2:$C$3200,'Crush Margins Monthly'!$C64)</f>
        <v>74.479047619047634</v>
      </c>
      <c r="I64" s="18">
        <f>AVERAGEIFS('Crush Margins'!I$2:I$3200,'Crush Margins'!$B$2:$B$3200,'Crush Margins Monthly'!$B64,'Crush Margins'!$C$2:$C$3200,'Crush Margins Monthly'!$C64)</f>
        <v>0.28238095238095151</v>
      </c>
    </row>
    <row r="65" spans="1:9" x14ac:dyDescent="0.2">
      <c r="A65" s="17">
        <v>41730</v>
      </c>
      <c r="B65" s="15">
        <f t="shared" si="0"/>
        <v>4</v>
      </c>
      <c r="C65" s="15">
        <f t="shared" si="1"/>
        <v>2014</v>
      </c>
      <c r="D65" s="18">
        <f>AVERAGEIFS('Crush Margins'!D$2:D$3200,'Crush Margins'!$B$2:$B$3200,'Crush Margins Monthly'!$B65,'Crush Margins'!$C$2:$C$3200,'Crush Margins Monthly'!$C65)</f>
        <v>71.697619047619057</v>
      </c>
      <c r="E65" s="18">
        <f>AVERAGEIFS('Crush Margins'!E$2:E$3200,'Crush Margins'!$B$2:$B$3200,'Crush Margins Monthly'!$B65,'Crush Margins'!$C$2:$C$3200,'Crush Margins Monthly'!$C65)</f>
        <v>11.476130818012516</v>
      </c>
      <c r="F65" s="18">
        <f>AVERAGEIFS('Crush Margins'!F$2:F$3200,'Crush Margins'!$B$2:$B$3200,'Crush Margins Monthly'!$B65,'Crush Margins'!$C$2:$C$3200,'Crush Margins Monthly'!$C65)</f>
        <v>28.977619047619051</v>
      </c>
      <c r="G65" s="18"/>
      <c r="H65" s="18">
        <f>AVERAGEIFS('Crush Margins'!H$2:H$3200,'Crush Margins'!$B$2:$B$3200,'Crush Margins Monthly'!$B65,'Crush Margins'!$C$2:$C$3200,'Crush Margins Monthly'!$C65)</f>
        <v>94.11</v>
      </c>
      <c r="I65" s="18">
        <f>AVERAGEIFS('Crush Margins'!I$2:I$3200,'Crush Margins'!$B$2:$B$3200,'Crush Margins Monthly'!$B65,'Crush Margins'!$C$2:$C$3200,'Crush Margins Monthly'!$C65)</f>
        <v>39.658095238095228</v>
      </c>
    </row>
    <row r="66" spans="1:9" x14ac:dyDescent="0.2">
      <c r="A66" s="17">
        <v>41760</v>
      </c>
      <c r="B66" s="15">
        <f t="shared" si="0"/>
        <v>5</v>
      </c>
      <c r="C66" s="15">
        <f t="shared" si="1"/>
        <v>2014</v>
      </c>
      <c r="D66" s="18">
        <f>AVERAGEIFS('Crush Margins'!D$2:D$3200,'Crush Margins'!$B$2:$B$3200,'Crush Margins Monthly'!$B66,'Crush Margins'!$C$2:$C$3200,'Crush Margins Monthly'!$C66)</f>
        <v>76.719523809523778</v>
      </c>
      <c r="E66" s="18">
        <f>AVERAGEIFS('Crush Margins'!E$2:E$3200,'Crush Margins'!$B$2:$B$3200,'Crush Margins Monthly'!$B66,'Crush Margins'!$C$2:$C$3200,'Crush Margins Monthly'!$C66)</f>
        <v>16.001605826762606</v>
      </c>
      <c r="F66" s="18">
        <f>AVERAGEIFS('Crush Margins'!F$2:F$3200,'Crush Margins'!$B$2:$B$3200,'Crush Margins Monthly'!$B66,'Crush Margins'!$C$2:$C$3200,'Crush Margins Monthly'!$C66)</f>
        <v>48.428095238095246</v>
      </c>
      <c r="G66" s="18"/>
      <c r="H66" s="18">
        <f>AVERAGEIFS('Crush Margins'!H$2:H$3200,'Crush Margins'!$B$2:$B$3200,'Crush Margins Monthly'!$B66,'Crush Margins'!$C$2:$C$3200,'Crush Margins Monthly'!$C66)</f>
        <v>93.434285714285664</v>
      </c>
      <c r="I66" s="18">
        <f>AVERAGEIFS('Crush Margins'!I$2:I$3200,'Crush Margins'!$B$2:$B$3200,'Crush Margins Monthly'!$B66,'Crush Margins'!$C$2:$C$3200,'Crush Margins Monthly'!$C66)</f>
        <v>36.830952380952382</v>
      </c>
    </row>
    <row r="67" spans="1:9" x14ac:dyDescent="0.2">
      <c r="A67" s="17">
        <v>41791</v>
      </c>
      <c r="B67" s="15">
        <f t="shared" ref="B67:B130" si="2">MONTH(A67)</f>
        <v>6</v>
      </c>
      <c r="C67" s="15">
        <f t="shared" ref="C67:C130" si="3">YEAR(A67)</f>
        <v>2014</v>
      </c>
      <c r="D67" s="18">
        <f>AVERAGEIFS('Crush Margins'!D$2:D$3200,'Crush Margins'!$B$2:$B$3200,'Crush Margins Monthly'!$B67,'Crush Margins'!$C$2:$C$3200,'Crush Margins Monthly'!$C67)</f>
        <v>64.91</v>
      </c>
      <c r="E67" s="18">
        <f>AVERAGEIFS('Crush Margins'!E$2:E$3200,'Crush Margins'!$B$2:$B$3200,'Crush Margins Monthly'!$B67,'Crush Margins'!$C$2:$C$3200,'Crush Margins Monthly'!$C67)</f>
        <v>21.884142866060909</v>
      </c>
      <c r="F67" s="18">
        <f>AVERAGEIFS('Crush Margins'!F$2:F$3200,'Crush Margins'!$B$2:$B$3200,'Crush Margins Monthly'!$B67,'Crush Margins'!$C$2:$C$3200,'Crush Margins Monthly'!$C67)</f>
        <v>77.286190476190455</v>
      </c>
      <c r="G67" s="18"/>
      <c r="H67" s="18">
        <f>AVERAGEIFS('Crush Margins'!H$2:H$3200,'Crush Margins'!$B$2:$B$3200,'Crush Margins Monthly'!$B67,'Crush Margins'!$C$2:$C$3200,'Crush Margins Monthly'!$C67)</f>
        <v>87.525714285714272</v>
      </c>
      <c r="I67" s="18">
        <f>AVERAGEIFS('Crush Margins'!I$2:I$3200,'Crush Margins'!$B$2:$B$3200,'Crush Margins Monthly'!$B67,'Crush Margins'!$C$2:$C$3200,'Crush Margins Monthly'!$C67)</f>
        <v>11.815714285714291</v>
      </c>
    </row>
    <row r="68" spans="1:9" x14ac:dyDescent="0.2">
      <c r="A68" s="17">
        <v>41821</v>
      </c>
      <c r="B68" s="15">
        <f t="shared" si="2"/>
        <v>7</v>
      </c>
      <c r="C68" s="15">
        <f t="shared" si="3"/>
        <v>2014</v>
      </c>
      <c r="D68" s="18">
        <f>AVERAGEIFS('Crush Margins'!D$2:D$3200,'Crush Margins'!$B$2:$B$3200,'Crush Margins Monthly'!$B68,'Crush Margins'!$C$2:$C$3200,'Crush Margins Monthly'!$C68)</f>
        <v>20.062272727272738</v>
      </c>
      <c r="E68" s="18">
        <f>AVERAGEIFS('Crush Margins'!E$2:E$3200,'Crush Margins'!$B$2:$B$3200,'Crush Margins Monthly'!$B68,'Crush Margins'!$C$2:$C$3200,'Crush Margins Monthly'!$C68)</f>
        <v>31.102781927568319</v>
      </c>
      <c r="F68" s="18">
        <f>AVERAGEIFS('Crush Margins'!F$2:F$3200,'Crush Margins'!$B$2:$B$3200,'Crush Margins Monthly'!$B68,'Crush Margins'!$C$2:$C$3200,'Crush Margins Monthly'!$C68)</f>
        <v>75.073181818181794</v>
      </c>
      <c r="G68" s="18"/>
      <c r="H68" s="18">
        <f>AVERAGEIFS('Crush Margins'!H$2:H$3200,'Crush Margins'!$B$2:$B$3200,'Crush Margins Monthly'!$B68,'Crush Margins'!$C$2:$C$3200,'Crush Margins Monthly'!$C68)</f>
        <v>55.72818181818181</v>
      </c>
      <c r="I68" s="18">
        <f>AVERAGEIFS('Crush Margins'!I$2:I$3200,'Crush Margins'!$B$2:$B$3200,'Crush Margins Monthly'!$B68,'Crush Margins'!$C$2:$C$3200,'Crush Margins Monthly'!$C68)</f>
        <v>-10.294545454545453</v>
      </c>
    </row>
    <row r="69" spans="1:9" x14ac:dyDescent="0.2">
      <c r="A69" s="17">
        <v>41852</v>
      </c>
      <c r="B69" s="15">
        <f t="shared" si="2"/>
        <v>8</v>
      </c>
      <c r="C69" s="15">
        <f t="shared" si="3"/>
        <v>2014</v>
      </c>
      <c r="D69" s="18">
        <f>AVERAGEIFS('Crush Margins'!D$2:D$3200,'Crush Margins'!$B$2:$B$3200,'Crush Margins Monthly'!$B69,'Crush Margins'!$C$2:$C$3200,'Crush Margins Monthly'!$C69)</f>
        <v>34.474285714285713</v>
      </c>
      <c r="E69" s="18">
        <f>AVERAGEIFS('Crush Margins'!E$2:E$3200,'Crush Margins'!$B$2:$B$3200,'Crush Margins Monthly'!$B69,'Crush Margins'!$C$2:$C$3200,'Crush Margins Monthly'!$C69)</f>
        <v>41.372772089969615</v>
      </c>
      <c r="F69" s="18">
        <f>AVERAGEIFS('Crush Margins'!F$2:F$3200,'Crush Margins'!$B$2:$B$3200,'Crush Margins Monthly'!$B69,'Crush Margins'!$C$2:$C$3200,'Crush Margins Monthly'!$C69)</f>
        <v>61.881904761904785</v>
      </c>
      <c r="G69" s="18"/>
      <c r="H69" s="18">
        <f>AVERAGEIFS('Crush Margins'!H$2:H$3200,'Crush Margins'!$B$2:$B$3200,'Crush Margins Monthly'!$B69,'Crush Margins'!$C$2:$C$3200,'Crush Margins Monthly'!$C69)</f>
        <v>53.99285714285714</v>
      </c>
      <c r="I69" s="18">
        <f>AVERAGEIFS('Crush Margins'!I$2:I$3200,'Crush Margins'!$B$2:$B$3200,'Crush Margins Monthly'!$B69,'Crush Margins'!$C$2:$C$3200,'Crush Margins Monthly'!$C69)</f>
        <v>17.06761904761904</v>
      </c>
    </row>
    <row r="70" spans="1:9" x14ac:dyDescent="0.2">
      <c r="A70" s="17">
        <v>41883</v>
      </c>
      <c r="B70" s="15">
        <f t="shared" si="2"/>
        <v>9</v>
      </c>
      <c r="C70" s="15">
        <f t="shared" si="3"/>
        <v>2014</v>
      </c>
      <c r="D70" s="18">
        <f>AVERAGEIFS('Crush Margins'!D$2:D$3200,'Crush Margins'!$B$2:$B$3200,'Crush Margins Monthly'!$B70,'Crush Margins'!$C$2:$C$3200,'Crush Margins Monthly'!$C70)</f>
        <v>31.087142857142847</v>
      </c>
      <c r="E70" s="18">
        <f>AVERAGEIFS('Crush Margins'!E$2:E$3200,'Crush Margins'!$B$2:$B$3200,'Crush Margins Monthly'!$B70,'Crush Margins'!$C$2:$C$3200,'Crush Margins Monthly'!$C70)</f>
        <v>56.23088061863595</v>
      </c>
      <c r="F70" s="18">
        <f>AVERAGEIFS('Crush Margins'!F$2:F$3200,'Crush Margins'!$B$2:$B$3200,'Crush Margins Monthly'!$B70,'Crush Margins'!$C$2:$C$3200,'Crush Margins Monthly'!$C70)</f>
        <v>51.782380952380947</v>
      </c>
      <c r="G70" s="18"/>
      <c r="H70" s="18">
        <f>AVERAGEIFS('Crush Margins'!H$2:H$3200,'Crush Margins'!$B$2:$B$3200,'Crush Margins Monthly'!$B70,'Crush Margins'!$C$2:$C$3200,'Crush Margins Monthly'!$C70)</f>
        <v>39.608571428571445</v>
      </c>
      <c r="I70" s="18">
        <f>AVERAGEIFS('Crush Margins'!I$2:I$3200,'Crush Margins'!$B$2:$B$3200,'Crush Margins Monthly'!$B70,'Crush Margins'!$C$2:$C$3200,'Crush Margins Monthly'!$C70)</f>
        <v>-19.747142857142851</v>
      </c>
    </row>
    <row r="71" spans="1:9" x14ac:dyDescent="0.2">
      <c r="A71" s="17">
        <v>41913</v>
      </c>
      <c r="B71" s="15">
        <f t="shared" si="2"/>
        <v>10</v>
      </c>
      <c r="C71" s="15">
        <f t="shared" si="3"/>
        <v>2014</v>
      </c>
      <c r="D71" s="18">
        <f>AVERAGEIFS('Crush Margins'!D$2:D$3200,'Crush Margins'!$B$2:$B$3200,'Crush Margins Monthly'!$B71,'Crush Margins'!$C$2:$C$3200,'Crush Margins Monthly'!$C71)</f>
        <v>35.347826086956523</v>
      </c>
      <c r="E71" s="18">
        <f>AVERAGEIFS('Crush Margins'!E$2:E$3200,'Crush Margins'!$B$2:$B$3200,'Crush Margins Monthly'!$B71,'Crush Margins'!$C$2:$C$3200,'Crush Margins Monthly'!$C71)</f>
        <v>68.345169672604385</v>
      </c>
      <c r="F71" s="18">
        <f>AVERAGEIFS('Crush Margins'!F$2:F$3200,'Crush Margins'!$B$2:$B$3200,'Crush Margins Monthly'!$B71,'Crush Margins'!$C$2:$C$3200,'Crush Margins Monthly'!$C71)</f>
        <v>29.146086956521746</v>
      </c>
      <c r="G71" s="18"/>
      <c r="H71" s="18">
        <f>AVERAGEIFS('Crush Margins'!H$2:H$3200,'Crush Margins'!$B$2:$B$3200,'Crush Margins Monthly'!$B71,'Crush Margins'!$C$2:$C$3200,'Crush Margins Monthly'!$C71)</f>
        <v>40.392173913043464</v>
      </c>
      <c r="I71" s="18">
        <f>AVERAGEIFS('Crush Margins'!I$2:I$3200,'Crush Margins'!$B$2:$B$3200,'Crush Margins Monthly'!$B71,'Crush Margins'!$C$2:$C$3200,'Crush Margins Monthly'!$C71)</f>
        <v>-15.757826086956516</v>
      </c>
    </row>
    <row r="72" spans="1:9" x14ac:dyDescent="0.2">
      <c r="A72" s="17">
        <v>41944</v>
      </c>
      <c r="B72" s="15">
        <f t="shared" si="2"/>
        <v>11</v>
      </c>
      <c r="C72" s="15">
        <f t="shared" si="3"/>
        <v>2014</v>
      </c>
      <c r="D72" s="18">
        <f>AVERAGEIFS('Crush Margins'!D$2:D$3200,'Crush Margins'!$B$2:$B$3200,'Crush Margins Monthly'!$B72,'Crush Margins'!$C$2:$C$3200,'Crush Margins Monthly'!$C72)</f>
        <v>29.200526315789471</v>
      </c>
      <c r="E72" s="18">
        <f>AVERAGEIFS('Crush Margins'!E$2:E$3200,'Crush Margins'!$B$2:$B$3200,'Crush Margins Monthly'!$B72,'Crush Margins'!$C$2:$C$3200,'Crush Margins Monthly'!$C72)</f>
        <v>58.815756547485066</v>
      </c>
      <c r="F72" s="18">
        <f>AVERAGEIFS('Crush Margins'!F$2:F$3200,'Crush Margins'!$B$2:$B$3200,'Crush Margins Monthly'!$B72,'Crush Margins'!$C$2:$C$3200,'Crush Margins Monthly'!$C72)</f>
        <v>21.609473684210528</v>
      </c>
      <c r="G72" s="18"/>
      <c r="H72" s="18">
        <f>AVERAGEIFS('Crush Margins'!H$2:H$3200,'Crush Margins'!$B$2:$B$3200,'Crush Margins Monthly'!$B72,'Crush Margins'!$C$2:$C$3200,'Crush Margins Monthly'!$C72)</f>
        <v>29.027368421052632</v>
      </c>
      <c r="I72" s="18">
        <f>AVERAGEIFS('Crush Margins'!I$2:I$3200,'Crush Margins'!$B$2:$B$3200,'Crush Margins Monthly'!$B72,'Crush Margins'!$C$2:$C$3200,'Crush Margins Monthly'!$C72)</f>
        <v>-26.696842105263148</v>
      </c>
    </row>
    <row r="73" spans="1:9" x14ac:dyDescent="0.2">
      <c r="A73" s="17">
        <v>41974</v>
      </c>
      <c r="B73" s="15">
        <f t="shared" si="2"/>
        <v>12</v>
      </c>
      <c r="C73" s="15">
        <f t="shared" si="3"/>
        <v>2014</v>
      </c>
      <c r="D73" s="18">
        <f>AVERAGEIFS('Crush Margins'!D$2:D$3200,'Crush Margins'!$B$2:$B$3200,'Crush Margins Monthly'!$B73,'Crush Margins'!$C$2:$C$3200,'Crush Margins Monthly'!$C73)</f>
        <v>30.059545454545457</v>
      </c>
      <c r="E73" s="18">
        <f>AVERAGEIFS('Crush Margins'!E$2:E$3200,'Crush Margins'!$B$2:$B$3200,'Crush Margins Monthly'!$B73,'Crush Margins'!$C$2:$C$3200,'Crush Margins Monthly'!$C73)</f>
        <v>50.603857063057006</v>
      </c>
      <c r="F73" s="18">
        <f>AVERAGEIFS('Crush Margins'!F$2:F$3200,'Crush Margins'!$B$2:$B$3200,'Crush Margins Monthly'!$B73,'Crush Margins'!$C$2:$C$3200,'Crush Margins Monthly'!$C73)</f>
        <v>28.635454545454547</v>
      </c>
      <c r="G73" s="18"/>
      <c r="H73" s="18">
        <f>AVERAGEIFS('Crush Margins'!H$2:H$3200,'Crush Margins'!$B$2:$B$3200,'Crush Margins Monthly'!$B73,'Crush Margins'!$C$2:$C$3200,'Crush Margins Monthly'!$C73)</f>
        <v>27.734545454545458</v>
      </c>
      <c r="I73" s="18">
        <f>AVERAGEIFS('Crush Margins'!I$2:I$3200,'Crush Margins'!$B$2:$B$3200,'Crush Margins Monthly'!$B73,'Crush Margins'!$C$2:$C$3200,'Crush Margins Monthly'!$C73)</f>
        <v>-33.253181818181815</v>
      </c>
    </row>
    <row r="74" spans="1:9" x14ac:dyDescent="0.2">
      <c r="A74" s="17">
        <v>42005</v>
      </c>
      <c r="B74" s="15">
        <f t="shared" si="2"/>
        <v>1</v>
      </c>
      <c r="C74" s="15">
        <f t="shared" si="3"/>
        <v>2015</v>
      </c>
      <c r="D74" s="18">
        <f>AVERAGEIFS('Crush Margins'!D$2:D$3200,'Crush Margins'!$B$2:$B$3200,'Crush Margins Monthly'!$B74,'Crush Margins'!$C$2:$C$3200,'Crush Margins Monthly'!$C74)</f>
        <v>15.590499999999995</v>
      </c>
      <c r="E74" s="18">
        <f>AVERAGEIFS('Crush Margins'!E$2:E$3200,'Crush Margins'!$B$2:$B$3200,'Crush Margins Monthly'!$B74,'Crush Margins'!$C$2:$C$3200,'Crush Margins Monthly'!$C74)</f>
        <v>30.982537116433956</v>
      </c>
      <c r="F74" s="18">
        <f>AVERAGEIFS('Crush Margins'!F$2:F$3200,'Crush Margins'!$B$2:$B$3200,'Crush Margins Monthly'!$B74,'Crush Margins'!$C$2:$C$3200,'Crush Margins Monthly'!$C74)</f>
        <v>26.889500000000005</v>
      </c>
      <c r="G74" s="18"/>
      <c r="H74" s="18">
        <f>AVERAGEIFS('Crush Margins'!H$2:H$3200,'Crush Margins'!$B$2:$B$3200,'Crush Margins Monthly'!$B74,'Crush Margins'!$C$2:$C$3200,'Crush Margins Monthly'!$C74)</f>
        <v>20.563999999999997</v>
      </c>
      <c r="I74" s="18">
        <f>AVERAGEIFS('Crush Margins'!I$2:I$3200,'Crush Margins'!$B$2:$B$3200,'Crush Margins Monthly'!$B74,'Crush Margins'!$C$2:$C$3200,'Crush Margins Monthly'!$C74)</f>
        <v>-16.534999999999997</v>
      </c>
    </row>
    <row r="75" spans="1:9" x14ac:dyDescent="0.2">
      <c r="A75" s="17">
        <v>42036</v>
      </c>
      <c r="B75" s="15">
        <f t="shared" si="2"/>
        <v>2</v>
      </c>
      <c r="C75" s="15">
        <f t="shared" si="3"/>
        <v>2015</v>
      </c>
      <c r="D75" s="18">
        <f>AVERAGEIFS('Crush Margins'!D$2:D$3200,'Crush Margins'!$B$2:$B$3200,'Crush Margins Monthly'!$B75,'Crush Margins'!$C$2:$C$3200,'Crush Margins Monthly'!$C75)</f>
        <v>0.83947368421052604</v>
      </c>
      <c r="E75" s="18">
        <f>AVERAGEIFS('Crush Margins'!E$2:E$3200,'Crush Margins'!$B$2:$B$3200,'Crush Margins Monthly'!$B75,'Crush Margins'!$C$2:$C$3200,'Crush Margins Monthly'!$C75)</f>
        <v>49.754203461645766</v>
      </c>
      <c r="F75" s="18">
        <f>AVERAGEIFS('Crush Margins'!F$2:F$3200,'Crush Margins'!$B$2:$B$3200,'Crush Margins Monthly'!$B75,'Crush Margins'!$C$2:$C$3200,'Crush Margins Monthly'!$C75)</f>
        <v>29.87631578947369</v>
      </c>
      <c r="G75" s="18"/>
      <c r="H75" s="18">
        <f>AVERAGEIFS('Crush Margins'!H$2:H$3200,'Crush Margins'!$B$2:$B$3200,'Crush Margins Monthly'!$B75,'Crush Margins'!$C$2:$C$3200,'Crush Margins Monthly'!$C75)</f>
        <v>1.3147368421052625</v>
      </c>
      <c r="I75" s="18">
        <f>AVERAGEIFS('Crush Margins'!I$2:I$3200,'Crush Margins'!$B$2:$B$3200,'Crush Margins Monthly'!$B75,'Crush Margins'!$C$2:$C$3200,'Crush Margins Monthly'!$C75)</f>
        <v>-2.9610526315789483</v>
      </c>
    </row>
    <row r="76" spans="1:9" x14ac:dyDescent="0.2">
      <c r="A76" s="17">
        <v>42064</v>
      </c>
      <c r="B76" s="15">
        <f t="shared" si="2"/>
        <v>3</v>
      </c>
      <c r="C76" s="15">
        <f t="shared" si="3"/>
        <v>2015</v>
      </c>
      <c r="D76" s="18">
        <f>AVERAGEIFS('Crush Margins'!D$2:D$3200,'Crush Margins'!$B$2:$B$3200,'Crush Margins Monthly'!$B76,'Crush Margins'!$C$2:$C$3200,'Crush Margins Monthly'!$C76)</f>
        <v>14.425454545454546</v>
      </c>
      <c r="E76" s="18">
        <f>AVERAGEIFS('Crush Margins'!E$2:E$3200,'Crush Margins'!$B$2:$B$3200,'Crush Margins Monthly'!$B76,'Crush Margins'!$C$2:$C$3200,'Crush Margins Monthly'!$C76)</f>
        <v>55.834306187345732</v>
      </c>
      <c r="F76" s="18">
        <f>AVERAGEIFS('Crush Margins'!F$2:F$3200,'Crush Margins'!$B$2:$B$3200,'Crush Margins Monthly'!$B76,'Crush Margins'!$C$2:$C$3200,'Crush Margins Monthly'!$C76)</f>
        <v>29.704090909090908</v>
      </c>
      <c r="G76" s="18"/>
      <c r="H76" s="18">
        <f>AVERAGEIFS('Crush Margins'!H$2:H$3200,'Crush Margins'!$B$2:$B$3200,'Crush Margins Monthly'!$B76,'Crush Margins'!$C$2:$C$3200,'Crush Margins Monthly'!$C76)</f>
        <v>4.6399999999999997</v>
      </c>
      <c r="I76" s="18">
        <f>AVERAGEIFS('Crush Margins'!I$2:I$3200,'Crush Margins'!$B$2:$B$3200,'Crush Margins Monthly'!$B76,'Crush Margins'!$C$2:$C$3200,'Crush Margins Monthly'!$C76)</f>
        <v>-10.577272727272728</v>
      </c>
    </row>
    <row r="77" spans="1:9" x14ac:dyDescent="0.2">
      <c r="A77" s="17">
        <v>42095</v>
      </c>
      <c r="B77" s="15">
        <f t="shared" si="2"/>
        <v>4</v>
      </c>
      <c r="C77" s="15">
        <f t="shared" si="3"/>
        <v>2015</v>
      </c>
      <c r="D77" s="18">
        <f>AVERAGEIFS('Crush Margins'!D$2:D$3200,'Crush Margins'!$B$2:$B$3200,'Crush Margins Monthly'!$B77,'Crush Margins'!$C$2:$C$3200,'Crush Margins Monthly'!$C77)</f>
        <v>41.433333333333316</v>
      </c>
      <c r="E77" s="18">
        <f>AVERAGEIFS('Crush Margins'!E$2:E$3200,'Crush Margins'!$B$2:$B$3200,'Crush Margins Monthly'!$B77,'Crush Margins'!$C$2:$C$3200,'Crush Margins Monthly'!$C77)</f>
        <v>40.815415295582682</v>
      </c>
      <c r="F77" s="18">
        <f>AVERAGEIFS('Crush Margins'!F$2:F$3200,'Crush Margins'!$B$2:$B$3200,'Crush Margins Monthly'!$B77,'Crush Margins'!$C$2:$C$3200,'Crush Margins Monthly'!$C77)</f>
        <v>37.88333333333334</v>
      </c>
      <c r="G77" s="18"/>
      <c r="H77" s="18">
        <f>AVERAGEIFS('Crush Margins'!H$2:H$3200,'Crush Margins'!$B$2:$B$3200,'Crush Margins Monthly'!$B77,'Crush Margins'!$C$2:$C$3200,'Crush Margins Monthly'!$C77)</f>
        <v>35.39142857142857</v>
      </c>
      <c r="I77" s="18">
        <f>AVERAGEIFS('Crush Margins'!I$2:I$3200,'Crush Margins'!$B$2:$B$3200,'Crush Margins Monthly'!$B77,'Crush Margins'!$C$2:$C$3200,'Crush Margins Monthly'!$C77)</f>
        <v>24.486190476190483</v>
      </c>
    </row>
    <row r="78" spans="1:9" x14ac:dyDescent="0.2">
      <c r="A78" s="17">
        <v>42125</v>
      </c>
      <c r="B78" s="15">
        <f t="shared" si="2"/>
        <v>5</v>
      </c>
      <c r="C78" s="15">
        <f t="shared" si="3"/>
        <v>2015</v>
      </c>
      <c r="D78" s="18">
        <f>AVERAGEIFS('Crush Margins'!D$2:D$3200,'Crush Margins'!$B$2:$B$3200,'Crush Margins Monthly'!$B78,'Crush Margins'!$C$2:$C$3200,'Crush Margins Monthly'!$C78)</f>
        <v>48.178500000000014</v>
      </c>
      <c r="E78" s="18">
        <f>AVERAGEIFS('Crush Margins'!E$2:E$3200,'Crush Margins'!$B$2:$B$3200,'Crush Margins Monthly'!$B78,'Crush Margins'!$C$2:$C$3200,'Crush Margins Monthly'!$C78)</f>
        <v>25.790647103075322</v>
      </c>
      <c r="F78" s="18">
        <f>AVERAGEIFS('Crush Margins'!F$2:F$3200,'Crush Margins'!$B$2:$B$3200,'Crush Margins Monthly'!$B78,'Crush Margins'!$C$2:$C$3200,'Crush Margins Monthly'!$C78)</f>
        <v>20.590499999999995</v>
      </c>
      <c r="G78" s="18"/>
      <c r="H78" s="18">
        <f>AVERAGEIFS('Crush Margins'!H$2:H$3200,'Crush Margins'!$B$2:$B$3200,'Crush Margins Monthly'!$B78,'Crush Margins'!$C$2:$C$3200,'Crush Margins Monthly'!$C78)</f>
        <v>47.177999999999997</v>
      </c>
      <c r="I78" s="18">
        <f>AVERAGEIFS('Crush Margins'!I$2:I$3200,'Crush Margins'!$B$2:$B$3200,'Crush Margins Monthly'!$B78,'Crush Margins'!$C$2:$C$3200,'Crush Margins Monthly'!$C78)</f>
        <v>24.109499999999993</v>
      </c>
    </row>
    <row r="79" spans="1:9" x14ac:dyDescent="0.2">
      <c r="A79" s="17">
        <v>42156</v>
      </c>
      <c r="B79" s="15">
        <f t="shared" si="2"/>
        <v>6</v>
      </c>
      <c r="C79" s="15">
        <f t="shared" si="3"/>
        <v>2015</v>
      </c>
      <c r="D79" s="18">
        <f>AVERAGEIFS('Crush Margins'!D$2:D$3200,'Crush Margins'!$B$2:$B$3200,'Crush Margins Monthly'!$B79,'Crush Margins'!$C$2:$C$3200,'Crush Margins Monthly'!$C79)</f>
        <v>31.070909090909083</v>
      </c>
      <c r="E79" s="18">
        <f>AVERAGEIFS('Crush Margins'!E$2:E$3200,'Crush Margins'!$B$2:$B$3200,'Crush Margins Monthly'!$B79,'Crush Margins'!$C$2:$C$3200,'Crush Margins Monthly'!$C79)</f>
        <v>21.519419594367609</v>
      </c>
      <c r="F79" s="18">
        <f>AVERAGEIFS('Crush Margins'!F$2:F$3200,'Crush Margins'!$B$2:$B$3200,'Crush Margins Monthly'!$B79,'Crush Margins'!$C$2:$C$3200,'Crush Margins Monthly'!$C79)</f>
        <v>6.339545454545453</v>
      </c>
      <c r="G79" s="18"/>
      <c r="H79" s="18">
        <f>AVERAGEIFS('Crush Margins'!H$2:H$3200,'Crush Margins'!$B$2:$B$3200,'Crush Margins Monthly'!$B79,'Crush Margins'!$C$2:$C$3200,'Crush Margins Monthly'!$C79)</f>
        <v>33.248181818181813</v>
      </c>
      <c r="I79" s="18">
        <f>AVERAGEIFS('Crush Margins'!I$2:I$3200,'Crush Margins'!$B$2:$B$3200,'Crush Margins Monthly'!$B79,'Crush Margins'!$C$2:$C$3200,'Crush Margins Monthly'!$C79)</f>
        <v>11.070909090909089</v>
      </c>
    </row>
    <row r="80" spans="1:9" x14ac:dyDescent="0.2">
      <c r="A80" s="17">
        <v>42186</v>
      </c>
      <c r="B80" s="15">
        <f t="shared" si="2"/>
        <v>7</v>
      </c>
      <c r="C80" s="15">
        <f t="shared" si="3"/>
        <v>2015</v>
      </c>
      <c r="D80" s="18">
        <f>AVERAGEIFS('Crush Margins'!D$2:D$3200,'Crush Margins'!$B$2:$B$3200,'Crush Margins Monthly'!$B80,'Crush Margins'!$C$2:$C$3200,'Crush Margins Monthly'!$C80)</f>
        <v>22.177727272727271</v>
      </c>
      <c r="E80" s="18">
        <f>AVERAGEIFS('Crush Margins'!E$2:E$3200,'Crush Margins'!$B$2:$B$3200,'Crush Margins Monthly'!$B80,'Crush Margins'!$C$2:$C$3200,'Crush Margins Monthly'!$C80)</f>
        <v>28.04336719188391</v>
      </c>
      <c r="F80" s="18">
        <f>AVERAGEIFS('Crush Margins'!F$2:F$3200,'Crush Margins'!$B$2:$B$3200,'Crush Margins Monthly'!$B80,'Crush Margins'!$C$2:$C$3200,'Crush Margins Monthly'!$C80)</f>
        <v>7.2895454545454523</v>
      </c>
      <c r="G80" s="18"/>
      <c r="H80" s="18">
        <f>AVERAGEIFS('Crush Margins'!H$2:H$3200,'Crush Margins'!$B$2:$B$3200,'Crush Margins Monthly'!$B80,'Crush Margins'!$C$2:$C$3200,'Crush Margins Monthly'!$C80)</f>
        <v>6.057272727272724</v>
      </c>
      <c r="I80" s="18">
        <f>AVERAGEIFS('Crush Margins'!I$2:I$3200,'Crush Margins'!$B$2:$B$3200,'Crush Margins Monthly'!$B80,'Crush Margins'!$C$2:$C$3200,'Crush Margins Monthly'!$C80)</f>
        <v>-2.0472727272727269</v>
      </c>
    </row>
    <row r="81" spans="1:9" x14ac:dyDescent="0.2">
      <c r="A81" s="17">
        <v>42217</v>
      </c>
      <c r="B81" s="15">
        <f t="shared" si="2"/>
        <v>8</v>
      </c>
      <c r="C81" s="15">
        <f t="shared" si="3"/>
        <v>2015</v>
      </c>
      <c r="D81" s="18">
        <f>AVERAGEIFS('Crush Margins'!D$2:D$3200,'Crush Margins'!$B$2:$B$3200,'Crush Margins Monthly'!$B81,'Crush Margins'!$C$2:$C$3200,'Crush Margins Monthly'!$C81)</f>
        <v>-3.0780952380952367</v>
      </c>
      <c r="E81" s="18">
        <f>AVERAGEIFS('Crush Margins'!E$2:E$3200,'Crush Margins'!$B$2:$B$3200,'Crush Margins Monthly'!$B81,'Crush Margins'!$C$2:$C$3200,'Crush Margins Monthly'!$C81)</f>
        <v>43.743922837956156</v>
      </c>
      <c r="F81" s="18">
        <f>AVERAGEIFS('Crush Margins'!F$2:F$3200,'Crush Margins'!$B$2:$B$3200,'Crush Margins Monthly'!$B81,'Crush Margins'!$C$2:$C$3200,'Crush Margins Monthly'!$C81)</f>
        <v>-13.928095238095235</v>
      </c>
      <c r="G81" s="18"/>
      <c r="H81" s="18">
        <f>AVERAGEIFS('Crush Margins'!H$2:H$3200,'Crush Margins'!$B$2:$B$3200,'Crush Margins Monthly'!$B81,'Crush Margins'!$C$2:$C$3200,'Crush Margins Monthly'!$C81)</f>
        <v>-13.744761904761898</v>
      </c>
      <c r="I81" s="18">
        <f>AVERAGEIFS('Crush Margins'!I$2:I$3200,'Crush Margins'!$B$2:$B$3200,'Crush Margins Monthly'!$B81,'Crush Margins'!$C$2:$C$3200,'Crush Margins Monthly'!$C81)</f>
        <v>-28.812380952380948</v>
      </c>
    </row>
    <row r="82" spans="1:9" x14ac:dyDescent="0.2">
      <c r="A82" s="17">
        <v>42248</v>
      </c>
      <c r="B82" s="15">
        <f t="shared" si="2"/>
        <v>9</v>
      </c>
      <c r="C82" s="15">
        <f t="shared" si="3"/>
        <v>2015</v>
      </c>
      <c r="D82" s="18">
        <f>AVERAGEIFS('Crush Margins'!D$2:D$3200,'Crush Margins'!$B$2:$B$3200,'Crush Margins Monthly'!$B82,'Crush Margins'!$C$2:$C$3200,'Crush Margins Monthly'!$C82)</f>
        <v>-10.192857142857138</v>
      </c>
      <c r="E82" s="18">
        <f>AVERAGEIFS('Crush Margins'!E$2:E$3200,'Crush Margins'!$B$2:$B$3200,'Crush Margins Monthly'!$B82,'Crush Margins'!$C$2:$C$3200,'Crush Margins Monthly'!$C82)</f>
        <v>23.593231199048589</v>
      </c>
      <c r="F82" s="18">
        <f>AVERAGEIFS('Crush Margins'!F$2:F$3200,'Crush Margins'!$B$2:$B$3200,'Crush Margins Monthly'!$B82,'Crush Margins'!$C$2:$C$3200,'Crush Margins Monthly'!$C82)</f>
        <v>-37.05142857142858</v>
      </c>
      <c r="G82" s="18"/>
      <c r="H82" s="18">
        <f>AVERAGEIFS('Crush Margins'!H$2:H$3200,'Crush Margins'!$B$2:$B$3200,'Crush Margins Monthly'!$B82,'Crush Margins'!$C$2:$C$3200,'Crush Margins Monthly'!$C82)</f>
        <v>-11.85</v>
      </c>
      <c r="I82" s="18">
        <f>AVERAGEIFS('Crush Margins'!I$2:I$3200,'Crush Margins'!$B$2:$B$3200,'Crush Margins Monthly'!$B82,'Crush Margins'!$C$2:$C$3200,'Crush Margins Monthly'!$C82)</f>
        <v>-9.8314285714285674</v>
      </c>
    </row>
    <row r="83" spans="1:9" x14ac:dyDescent="0.2">
      <c r="A83" s="17">
        <v>42278</v>
      </c>
      <c r="B83" s="15">
        <f t="shared" si="2"/>
        <v>10</v>
      </c>
      <c r="C83" s="15">
        <f t="shared" si="3"/>
        <v>2015</v>
      </c>
      <c r="D83" s="18">
        <f>AVERAGEIFS('Crush Margins'!D$2:D$3200,'Crush Margins'!$B$2:$B$3200,'Crush Margins Monthly'!$B83,'Crush Margins'!$C$2:$C$3200,'Crush Margins Monthly'!$C83)</f>
        <v>-31.355909090909094</v>
      </c>
      <c r="E83" s="18">
        <f>AVERAGEIFS('Crush Margins'!E$2:E$3200,'Crush Margins'!$B$2:$B$3200,'Crush Margins Monthly'!$B83,'Crush Margins'!$C$2:$C$3200,'Crush Margins Monthly'!$C83)</f>
        <v>-9.4940017579538561E-3</v>
      </c>
      <c r="F83" s="18">
        <f>AVERAGEIFS('Crush Margins'!F$2:F$3200,'Crush Margins'!$B$2:$B$3200,'Crush Margins Monthly'!$B83,'Crush Margins'!$C$2:$C$3200,'Crush Margins Monthly'!$C83)</f>
        <v>-74.943636363636372</v>
      </c>
      <c r="G83" s="18"/>
      <c r="H83" s="18">
        <f>AVERAGEIFS('Crush Margins'!H$2:H$3200,'Crush Margins'!$B$2:$B$3200,'Crush Margins Monthly'!$B83,'Crush Margins'!$C$2:$C$3200,'Crush Margins Monthly'!$C83)</f>
        <v>-34.601363636363651</v>
      </c>
      <c r="I83" s="18">
        <f>AVERAGEIFS('Crush Margins'!I$2:I$3200,'Crush Margins'!$B$2:$B$3200,'Crush Margins Monthly'!$B83,'Crush Margins'!$C$2:$C$3200,'Crush Margins Monthly'!$C83)</f>
        <v>-25.192272727272726</v>
      </c>
    </row>
    <row r="84" spans="1:9" x14ac:dyDescent="0.2">
      <c r="A84" s="17">
        <v>42309</v>
      </c>
      <c r="B84" s="15">
        <f t="shared" si="2"/>
        <v>11</v>
      </c>
      <c r="C84" s="15">
        <f t="shared" si="3"/>
        <v>2015</v>
      </c>
      <c r="D84" s="18">
        <f>AVERAGEIFS('Crush Margins'!D$2:D$3200,'Crush Margins'!$B$2:$B$3200,'Crush Margins Monthly'!$B84,'Crush Margins'!$C$2:$C$3200,'Crush Margins Monthly'!$C84)</f>
        <v>-28.066499999999998</v>
      </c>
      <c r="E84" s="18">
        <f>AVERAGEIFS('Crush Margins'!E$2:E$3200,'Crush Margins'!$B$2:$B$3200,'Crush Margins Monthly'!$B84,'Crush Margins'!$C$2:$C$3200,'Crush Margins Monthly'!$C84)</f>
        <v>8.1798422203473997</v>
      </c>
      <c r="F84" s="18">
        <f>AVERAGEIFS('Crush Margins'!F$2:F$3200,'Crush Margins'!$B$2:$B$3200,'Crush Margins Monthly'!$B84,'Crush Margins'!$C$2:$C$3200,'Crush Margins Monthly'!$C84)</f>
        <v>-61.729999999999983</v>
      </c>
      <c r="G84" s="18"/>
      <c r="H84" s="18">
        <f>AVERAGEIFS('Crush Margins'!H$2:H$3200,'Crush Margins'!$B$2:$B$3200,'Crush Margins Monthly'!$B84,'Crush Margins'!$C$2:$C$3200,'Crush Margins Monthly'!$C84)</f>
        <v>6.5740000000000007</v>
      </c>
      <c r="I84" s="18">
        <f>AVERAGEIFS('Crush Margins'!I$2:I$3200,'Crush Margins'!$B$2:$B$3200,'Crush Margins Monthly'!$B84,'Crush Margins'!$C$2:$C$3200,'Crush Margins Monthly'!$C84)</f>
        <v>19.534999999999989</v>
      </c>
    </row>
    <row r="85" spans="1:9" x14ac:dyDescent="0.2">
      <c r="A85" s="17">
        <v>42339</v>
      </c>
      <c r="B85" s="15">
        <f t="shared" si="2"/>
        <v>12</v>
      </c>
      <c r="C85" s="15">
        <f t="shared" si="3"/>
        <v>2015</v>
      </c>
      <c r="D85" s="18">
        <f>AVERAGEIFS('Crush Margins'!D$2:D$3200,'Crush Margins'!$B$2:$B$3200,'Crush Margins Monthly'!$B85,'Crush Margins'!$C$2:$C$3200,'Crush Margins Monthly'!$C85)</f>
        <v>-23.772727272727284</v>
      </c>
      <c r="E85" s="18">
        <f>AVERAGEIFS('Crush Margins'!E$2:E$3200,'Crush Margins'!$B$2:$B$3200,'Crush Margins Monthly'!$B85,'Crush Margins'!$C$2:$C$3200,'Crush Margins Monthly'!$C85)</f>
        <v>4.2174080475454483</v>
      </c>
      <c r="F85" s="18">
        <f>AVERAGEIFS('Crush Margins'!F$2:F$3200,'Crush Margins'!$B$2:$B$3200,'Crush Margins Monthly'!$B85,'Crush Margins'!$C$2:$C$3200,'Crush Margins Monthly'!$C85)</f>
        <v>-55.152727272727276</v>
      </c>
      <c r="G85" s="18"/>
      <c r="H85" s="18">
        <f>AVERAGEIFS('Crush Margins'!H$2:H$3200,'Crush Margins'!$B$2:$B$3200,'Crush Margins Monthly'!$B85,'Crush Margins'!$C$2:$C$3200,'Crush Margins Monthly'!$C85)</f>
        <v>25.544090909090905</v>
      </c>
      <c r="I85" s="18">
        <f>AVERAGEIFS('Crush Margins'!I$2:I$3200,'Crush Margins'!$B$2:$B$3200,'Crush Margins Monthly'!$B85,'Crush Margins'!$C$2:$C$3200,'Crush Margins Monthly'!$C85)</f>
        <v>34.461818181818181</v>
      </c>
    </row>
    <row r="86" spans="1:9" x14ac:dyDescent="0.2">
      <c r="A86" s="17">
        <v>42370</v>
      </c>
      <c r="B86" s="15">
        <f t="shared" si="2"/>
        <v>1</v>
      </c>
      <c r="C86" s="15">
        <f t="shared" si="3"/>
        <v>2016</v>
      </c>
      <c r="D86" s="18">
        <f>AVERAGEIFS('Crush Margins'!D$2:D$3200,'Crush Margins'!$B$2:$B$3200,'Crush Margins Monthly'!$B86,'Crush Margins'!$C$2:$C$3200,'Crush Margins Monthly'!$C86)</f>
        <v>-29.103684210526318</v>
      </c>
      <c r="E86" s="18">
        <f>AVERAGEIFS('Crush Margins'!E$2:E$3200,'Crush Margins'!$B$2:$B$3200,'Crush Margins Monthly'!$B86,'Crush Margins'!$C$2:$C$3200,'Crush Margins Monthly'!$C86)</f>
        <v>-5.4969566470307152</v>
      </c>
      <c r="F86" s="18">
        <f>AVERAGEIFS('Crush Margins'!F$2:F$3200,'Crush Margins'!$B$2:$B$3200,'Crush Margins Monthly'!$B86,'Crush Margins'!$C$2:$C$3200,'Crush Margins Monthly'!$C86)</f>
        <v>-64.995789473684198</v>
      </c>
      <c r="G86" s="18"/>
      <c r="H86" s="18">
        <f>AVERAGEIFS('Crush Margins'!H$2:H$3200,'Crush Margins'!$B$2:$B$3200,'Crush Margins Monthly'!$B86,'Crush Margins'!$C$2:$C$3200,'Crush Margins Monthly'!$C86)</f>
        <v>20.421578947368417</v>
      </c>
      <c r="I86" s="18">
        <f>AVERAGEIFS('Crush Margins'!I$2:I$3200,'Crush Margins'!$B$2:$B$3200,'Crush Margins Monthly'!$B86,'Crush Margins'!$C$2:$C$3200,'Crush Margins Monthly'!$C86)</f>
        <v>22.680526315789479</v>
      </c>
    </row>
    <row r="87" spans="1:9" x14ac:dyDescent="0.2">
      <c r="A87" s="17">
        <v>42401</v>
      </c>
      <c r="B87" s="15">
        <f t="shared" si="2"/>
        <v>2</v>
      </c>
      <c r="C87" s="15">
        <f t="shared" si="3"/>
        <v>2016</v>
      </c>
      <c r="D87" s="18">
        <f>AVERAGEIFS('Crush Margins'!D$2:D$3200,'Crush Margins'!$B$2:$B$3200,'Crush Margins Monthly'!$B87,'Crush Margins'!$C$2:$C$3200,'Crush Margins Monthly'!$C87)</f>
        <v>-73.115999999999985</v>
      </c>
      <c r="E87" s="18">
        <f>AVERAGEIFS('Crush Margins'!E$2:E$3200,'Crush Margins'!$B$2:$B$3200,'Crush Margins Monthly'!$B87,'Crush Margins'!$C$2:$C$3200,'Crush Margins Monthly'!$C87)</f>
        <v>2.9944932221320832</v>
      </c>
      <c r="F87" s="18">
        <f>AVERAGEIFS('Crush Margins'!F$2:F$3200,'Crush Margins'!$B$2:$B$3200,'Crush Margins Monthly'!$B87,'Crush Margins'!$C$2:$C$3200,'Crush Margins Monthly'!$C87)</f>
        <v>-96.067999999999984</v>
      </c>
      <c r="G87" s="18"/>
      <c r="H87" s="18">
        <f>AVERAGEIFS('Crush Margins'!H$2:H$3200,'Crush Margins'!$B$2:$B$3200,'Crush Margins Monthly'!$B87,'Crush Margins'!$C$2:$C$3200,'Crush Margins Monthly'!$C87)</f>
        <v>-17.800999999999998</v>
      </c>
      <c r="I87" s="18">
        <f>AVERAGEIFS('Crush Margins'!I$2:I$3200,'Crush Margins'!$B$2:$B$3200,'Crush Margins Monthly'!$B87,'Crush Margins'!$C$2:$C$3200,'Crush Margins Monthly'!$C87)</f>
        <v>-4.102999999999998</v>
      </c>
    </row>
    <row r="88" spans="1:9" x14ac:dyDescent="0.2">
      <c r="A88" s="17">
        <v>42430</v>
      </c>
      <c r="B88" s="15">
        <f t="shared" si="2"/>
        <v>3</v>
      </c>
      <c r="C88" s="15">
        <f t="shared" si="3"/>
        <v>2016</v>
      </c>
      <c r="D88" s="18">
        <f>AVERAGEIFS('Crush Margins'!D$2:D$3200,'Crush Margins'!$B$2:$B$3200,'Crush Margins Monthly'!$B88,'Crush Margins'!$C$2:$C$3200,'Crush Margins Monthly'!$C88)</f>
        <v>-53.958181818181806</v>
      </c>
      <c r="E88" s="18">
        <f>AVERAGEIFS('Crush Margins'!E$2:E$3200,'Crush Margins'!$B$2:$B$3200,'Crush Margins Monthly'!$B88,'Crush Margins'!$C$2:$C$3200,'Crush Margins Monthly'!$C88)</f>
        <v>16.704277597083713</v>
      </c>
      <c r="F88" s="18">
        <f>AVERAGEIFS('Crush Margins'!F$2:F$3200,'Crush Margins'!$B$2:$B$3200,'Crush Margins Monthly'!$B88,'Crush Margins'!$C$2:$C$3200,'Crush Margins Monthly'!$C88)</f>
        <v>-79.285454545454499</v>
      </c>
      <c r="G88" s="18"/>
      <c r="H88" s="18">
        <f>AVERAGEIFS('Crush Margins'!H$2:H$3200,'Crush Margins'!$B$2:$B$3200,'Crush Margins Monthly'!$B88,'Crush Margins'!$C$2:$C$3200,'Crush Margins Monthly'!$C88)</f>
        <v>-5.2377272727272732</v>
      </c>
      <c r="I88" s="18">
        <f>AVERAGEIFS('Crush Margins'!I$2:I$3200,'Crush Margins'!$B$2:$B$3200,'Crush Margins Monthly'!$B88,'Crush Margins'!$C$2:$C$3200,'Crush Margins Monthly'!$C88)</f>
        <v>10.121818181818183</v>
      </c>
    </row>
    <row r="89" spans="1:9" x14ac:dyDescent="0.2">
      <c r="A89" s="17">
        <v>42461</v>
      </c>
      <c r="B89" s="15">
        <f t="shared" si="2"/>
        <v>4</v>
      </c>
      <c r="C89" s="15">
        <f t="shared" si="3"/>
        <v>2016</v>
      </c>
      <c r="D89" s="18">
        <f>AVERAGEIFS('Crush Margins'!D$2:D$3200,'Crush Margins'!$B$2:$B$3200,'Crush Margins Monthly'!$B89,'Crush Margins'!$C$2:$C$3200,'Crush Margins Monthly'!$C89)</f>
        <v>-8.7580952380952368</v>
      </c>
      <c r="E89" s="18">
        <f>AVERAGEIFS('Crush Margins'!E$2:E$3200,'Crush Margins'!$B$2:$B$3200,'Crush Margins Monthly'!$B89,'Crush Margins'!$C$2:$C$3200,'Crush Margins Monthly'!$C89)</f>
        <v>-4.5856223345270086</v>
      </c>
      <c r="F89" s="18">
        <f>AVERAGEIFS('Crush Margins'!F$2:F$3200,'Crush Margins'!$B$2:$B$3200,'Crush Margins Monthly'!$B89,'Crush Margins'!$C$2:$C$3200,'Crush Margins Monthly'!$C89)</f>
        <v>-39.98095238095236</v>
      </c>
      <c r="G89" s="18"/>
      <c r="H89" s="18">
        <f>AVERAGEIFS('Crush Margins'!H$2:H$3200,'Crush Margins'!$B$2:$B$3200,'Crush Margins Monthly'!$B89,'Crush Margins'!$C$2:$C$3200,'Crush Margins Monthly'!$C89)</f>
        <v>36.590952380952395</v>
      </c>
      <c r="I89" s="18">
        <f>AVERAGEIFS('Crush Margins'!I$2:I$3200,'Crush Margins'!$B$2:$B$3200,'Crush Margins Monthly'!$B89,'Crush Margins'!$C$2:$C$3200,'Crush Margins Monthly'!$C89)</f>
        <v>49.566190476190478</v>
      </c>
    </row>
    <row r="90" spans="1:9" x14ac:dyDescent="0.2">
      <c r="A90" s="17">
        <v>42491</v>
      </c>
      <c r="B90" s="15">
        <f t="shared" si="2"/>
        <v>5</v>
      </c>
      <c r="C90" s="15">
        <f t="shared" si="3"/>
        <v>2016</v>
      </c>
      <c r="D90" s="18">
        <f>AVERAGEIFS('Crush Margins'!D$2:D$3200,'Crush Margins'!$B$2:$B$3200,'Crush Margins Monthly'!$B90,'Crush Margins'!$C$2:$C$3200,'Crush Margins Monthly'!$C90)</f>
        <v>24.739523809523813</v>
      </c>
      <c r="E90" s="18">
        <f>AVERAGEIFS('Crush Margins'!E$2:E$3200,'Crush Margins'!$B$2:$B$3200,'Crush Margins Monthly'!$B90,'Crush Margins'!$C$2:$C$3200,'Crush Margins Monthly'!$C90)</f>
        <v>-16.652651949098583</v>
      </c>
      <c r="F90" s="18">
        <f>AVERAGEIFS('Crush Margins'!F$2:F$3200,'Crush Margins'!$B$2:$B$3200,'Crush Margins Monthly'!$B90,'Crush Margins'!$C$2:$C$3200,'Crush Margins Monthly'!$C90)</f>
        <v>13.532380952380951</v>
      </c>
      <c r="G90" s="18"/>
      <c r="H90" s="18">
        <f>AVERAGEIFS('Crush Margins'!H$2:H$3200,'Crush Margins'!$B$2:$B$3200,'Crush Margins Monthly'!$B90,'Crush Margins'!$C$2:$C$3200,'Crush Margins Monthly'!$C90)</f>
        <v>72.372857142857171</v>
      </c>
      <c r="I90" s="18">
        <f>AVERAGEIFS('Crush Margins'!I$2:I$3200,'Crush Margins'!$B$2:$B$3200,'Crush Margins Monthly'!$B90,'Crush Margins'!$C$2:$C$3200,'Crush Margins Monthly'!$C90)</f>
        <v>81.196190476190438</v>
      </c>
    </row>
    <row r="91" spans="1:9" x14ac:dyDescent="0.2">
      <c r="A91" s="17">
        <v>42522</v>
      </c>
      <c r="B91" s="15">
        <f t="shared" si="2"/>
        <v>6</v>
      </c>
      <c r="C91" s="15">
        <f t="shared" si="3"/>
        <v>2016</v>
      </c>
      <c r="D91" s="18">
        <f>AVERAGEIFS('Crush Margins'!D$2:D$3200,'Crush Margins'!$B$2:$B$3200,'Crush Margins Monthly'!$B91,'Crush Margins'!$C$2:$C$3200,'Crush Margins Monthly'!$C91)</f>
        <v>2.3099999999999983</v>
      </c>
      <c r="E91" s="18">
        <f>AVERAGEIFS('Crush Margins'!E$2:E$3200,'Crush Margins'!$B$2:$B$3200,'Crush Margins Monthly'!$B91,'Crush Margins'!$C$2:$C$3200,'Crush Margins Monthly'!$C91)</f>
        <v>-8.0802717579917402</v>
      </c>
      <c r="F91" s="18">
        <f>AVERAGEIFS('Crush Margins'!F$2:F$3200,'Crush Margins'!$B$2:$B$3200,'Crush Margins Monthly'!$B91,'Crush Margins'!$C$2:$C$3200,'Crush Margins Monthly'!$C91)</f>
        <v>11.260000000000003</v>
      </c>
      <c r="G91" s="18"/>
      <c r="H91" s="18">
        <f>AVERAGEIFS('Crush Margins'!H$2:H$3200,'Crush Margins'!$B$2:$B$3200,'Crush Margins Monthly'!$B91,'Crush Margins'!$C$2:$C$3200,'Crush Margins Monthly'!$C91)</f>
        <v>57.884090909090894</v>
      </c>
      <c r="I91" s="18">
        <f>AVERAGEIFS('Crush Margins'!I$2:I$3200,'Crush Margins'!$B$2:$B$3200,'Crush Margins Monthly'!$B91,'Crush Margins'!$C$2:$C$3200,'Crush Margins Monthly'!$C91)</f>
        <v>84.900909090909096</v>
      </c>
    </row>
    <row r="92" spans="1:9" x14ac:dyDescent="0.2">
      <c r="A92" s="17">
        <v>42552</v>
      </c>
      <c r="B92" s="15">
        <f t="shared" si="2"/>
        <v>7</v>
      </c>
      <c r="C92" s="15">
        <f t="shared" si="3"/>
        <v>2016</v>
      </c>
      <c r="D92" s="18">
        <f>AVERAGEIFS('Crush Margins'!D$2:D$3200,'Crush Margins'!$B$2:$B$3200,'Crush Margins Monthly'!$B92,'Crush Margins'!$C$2:$C$3200,'Crush Margins Monthly'!$C92)</f>
        <v>-3.216000000000002</v>
      </c>
      <c r="E92" s="18">
        <f>AVERAGEIFS('Crush Margins'!E$2:E$3200,'Crush Margins'!$B$2:$B$3200,'Crush Margins Monthly'!$B92,'Crush Margins'!$C$2:$C$3200,'Crush Margins Monthly'!$C92)</f>
        <v>16.242632878388555</v>
      </c>
      <c r="F92" s="18">
        <f>AVERAGEIFS('Crush Margins'!F$2:F$3200,'Crush Margins'!$B$2:$B$3200,'Crush Margins Monthly'!$B92,'Crush Margins'!$C$2:$C$3200,'Crush Margins Monthly'!$C92)</f>
        <v>13.461500000000001</v>
      </c>
      <c r="G92" s="18"/>
      <c r="H92" s="18">
        <f>AVERAGEIFS('Crush Margins'!H$2:H$3200,'Crush Margins'!$B$2:$B$3200,'Crush Margins Monthly'!$B92,'Crush Margins'!$C$2:$C$3200,'Crush Margins Monthly'!$C92)</f>
        <v>51.32950000000001</v>
      </c>
      <c r="I92" s="18">
        <f>AVERAGEIFS('Crush Margins'!I$2:I$3200,'Crush Margins'!$B$2:$B$3200,'Crush Margins Monthly'!$B92,'Crush Margins'!$C$2:$C$3200,'Crush Margins Monthly'!$C92)</f>
        <v>70.150999999999996</v>
      </c>
    </row>
    <row r="93" spans="1:9" x14ac:dyDescent="0.2">
      <c r="A93" s="17">
        <v>42583</v>
      </c>
      <c r="B93" s="15">
        <f t="shared" si="2"/>
        <v>8</v>
      </c>
      <c r="C93" s="15">
        <f t="shared" si="3"/>
        <v>2016</v>
      </c>
      <c r="D93" s="18">
        <f>AVERAGEIFS('Crush Margins'!D$2:D$3200,'Crush Margins'!$B$2:$B$3200,'Crush Margins Monthly'!$B93,'Crush Margins'!$C$2:$C$3200,'Crush Margins Monthly'!$C93)</f>
        <v>-15.168260869565215</v>
      </c>
      <c r="E93" s="18">
        <f>AVERAGEIFS('Crush Margins'!E$2:E$3200,'Crush Margins'!$B$2:$B$3200,'Crush Margins Monthly'!$B93,'Crush Margins'!$C$2:$C$3200,'Crush Margins Monthly'!$C93)</f>
        <v>5.0341616055926712</v>
      </c>
      <c r="F93" s="18">
        <f>AVERAGEIFS('Crush Margins'!F$2:F$3200,'Crush Margins'!$B$2:$B$3200,'Crush Margins Monthly'!$B93,'Crush Margins'!$C$2:$C$3200,'Crush Margins Monthly'!$C93)</f>
        <v>-12.219130434782608</v>
      </c>
      <c r="G93" s="18"/>
      <c r="H93" s="18">
        <f>AVERAGEIFS('Crush Margins'!H$2:H$3200,'Crush Margins'!$B$2:$B$3200,'Crush Margins Monthly'!$B93,'Crush Margins'!$C$2:$C$3200,'Crush Margins Monthly'!$C93)</f>
        <v>36.881304347826081</v>
      </c>
      <c r="I93" s="18">
        <f>AVERAGEIFS('Crush Margins'!I$2:I$3200,'Crush Margins'!$B$2:$B$3200,'Crush Margins Monthly'!$B93,'Crush Margins'!$C$2:$C$3200,'Crush Margins Monthly'!$C93)</f>
        <v>158.36391304347825</v>
      </c>
    </row>
    <row r="94" spans="1:9" x14ac:dyDescent="0.2">
      <c r="A94" s="17">
        <v>42614</v>
      </c>
      <c r="B94" s="15">
        <f t="shared" si="2"/>
        <v>9</v>
      </c>
      <c r="C94" s="15">
        <f t="shared" si="3"/>
        <v>2016</v>
      </c>
      <c r="D94" s="18">
        <f>AVERAGEIFS('Crush Margins'!D$2:D$3200,'Crush Margins'!$B$2:$B$3200,'Crush Margins Monthly'!$B94,'Crush Margins'!$C$2:$C$3200,'Crush Margins Monthly'!$C94)</f>
        <v>-35.066190476190492</v>
      </c>
      <c r="E94" s="18">
        <f>AVERAGEIFS('Crush Margins'!E$2:E$3200,'Crush Margins'!$B$2:$B$3200,'Crush Margins Monthly'!$B94,'Crush Margins'!$C$2:$C$3200,'Crush Margins Monthly'!$C94)</f>
        <v>16.575605971521657</v>
      </c>
      <c r="F94" s="18">
        <f>AVERAGEIFS('Crush Margins'!F$2:F$3200,'Crush Margins'!$B$2:$B$3200,'Crush Margins Monthly'!$B94,'Crush Margins'!$C$2:$C$3200,'Crush Margins Monthly'!$C94)</f>
        <v>-39.775714285714272</v>
      </c>
      <c r="G94" s="18"/>
      <c r="H94" s="18">
        <f>AVERAGEIFS('Crush Margins'!H$2:H$3200,'Crush Margins'!$B$2:$B$3200,'Crush Margins Monthly'!$B94,'Crush Margins'!$C$2:$C$3200,'Crush Margins Monthly'!$C94)</f>
        <v>14.874285714285715</v>
      </c>
      <c r="I94" s="18">
        <f>AVERAGEIFS('Crush Margins'!I$2:I$3200,'Crush Margins'!$B$2:$B$3200,'Crush Margins Monthly'!$B94,'Crush Margins'!$C$2:$C$3200,'Crush Margins Monthly'!$C94)</f>
        <v>93.396666666666647</v>
      </c>
    </row>
    <row r="95" spans="1:9" x14ac:dyDescent="0.2">
      <c r="A95" s="17">
        <v>42644</v>
      </c>
      <c r="B95" s="15">
        <f t="shared" si="2"/>
        <v>10</v>
      </c>
      <c r="C95" s="15">
        <f t="shared" si="3"/>
        <v>2016</v>
      </c>
      <c r="D95" s="18">
        <f>AVERAGEIFS('Crush Margins'!D$2:D$3200,'Crush Margins'!$B$2:$B$3200,'Crush Margins Monthly'!$B95,'Crush Margins'!$C$2:$C$3200,'Crush Margins Monthly'!$C95)</f>
        <v>-34.483809523809519</v>
      </c>
      <c r="E95" s="18">
        <f>AVERAGEIFS('Crush Margins'!E$2:E$3200,'Crush Margins'!$B$2:$B$3200,'Crush Margins Monthly'!$B95,'Crush Margins'!$C$2:$C$3200,'Crush Margins Monthly'!$C95)</f>
        <v>16.041627608853304</v>
      </c>
      <c r="F95" s="18">
        <f>AVERAGEIFS('Crush Margins'!F$2:F$3200,'Crush Margins'!$B$2:$B$3200,'Crush Margins Monthly'!$B95,'Crush Margins'!$C$2:$C$3200,'Crush Margins Monthly'!$C95)</f>
        <v>-39.513333333333335</v>
      </c>
      <c r="G95" s="18"/>
      <c r="H95" s="18">
        <f>AVERAGEIFS('Crush Margins'!H$2:H$3200,'Crush Margins'!$B$2:$B$3200,'Crush Margins Monthly'!$B95,'Crush Margins'!$C$2:$C$3200,'Crush Margins Monthly'!$C95)</f>
        <v>12.962380952380949</v>
      </c>
      <c r="I95" s="18">
        <f>AVERAGEIFS('Crush Margins'!I$2:I$3200,'Crush Margins'!$B$2:$B$3200,'Crush Margins Monthly'!$B95,'Crush Margins'!$C$2:$C$3200,'Crush Margins Monthly'!$C95)</f>
        <v>17.160476190476192</v>
      </c>
    </row>
    <row r="96" spans="1:9" x14ac:dyDescent="0.2">
      <c r="A96" s="17">
        <v>42675</v>
      </c>
      <c r="B96" s="15">
        <f t="shared" si="2"/>
        <v>11</v>
      </c>
      <c r="C96" s="15">
        <f t="shared" si="3"/>
        <v>2016</v>
      </c>
      <c r="D96" s="18">
        <f>AVERAGEIFS('Crush Margins'!D$2:D$3200,'Crush Margins'!$B$2:$B$3200,'Crush Margins Monthly'!$B96,'Crush Margins'!$C$2:$C$3200,'Crush Margins Monthly'!$C96)</f>
        <v>-23.712857142857143</v>
      </c>
      <c r="E96" s="18">
        <f>AVERAGEIFS('Crush Margins'!E$2:E$3200,'Crush Margins'!$B$2:$B$3200,'Crush Margins Monthly'!$B96,'Crush Margins'!$C$2:$C$3200,'Crush Margins Monthly'!$C96)</f>
        <v>4.1929537012981788</v>
      </c>
      <c r="F96" s="18">
        <f>AVERAGEIFS('Crush Margins'!F$2:F$3200,'Crush Margins'!$B$2:$B$3200,'Crush Margins Monthly'!$B96,'Crush Margins'!$C$2:$C$3200,'Crush Margins Monthly'!$C96)</f>
        <v>-28.907619047619033</v>
      </c>
      <c r="G96" s="18"/>
      <c r="H96" s="18">
        <f>AVERAGEIFS('Crush Margins'!H$2:H$3200,'Crush Margins'!$B$2:$B$3200,'Crush Margins Monthly'!$B96,'Crush Margins'!$C$2:$C$3200,'Crush Margins Monthly'!$C96)</f>
        <v>29.293333333333333</v>
      </c>
      <c r="I96" s="18">
        <f>AVERAGEIFS('Crush Margins'!I$2:I$3200,'Crush Margins'!$B$2:$B$3200,'Crush Margins Monthly'!$B96,'Crush Margins'!$C$2:$C$3200,'Crush Margins Monthly'!$C96)</f>
        <v>24.782857142857139</v>
      </c>
    </row>
    <row r="97" spans="1:9" x14ac:dyDescent="0.2">
      <c r="A97" s="17">
        <v>42705</v>
      </c>
      <c r="B97" s="15">
        <f t="shared" si="2"/>
        <v>12</v>
      </c>
      <c r="C97" s="15">
        <f t="shared" si="3"/>
        <v>2016</v>
      </c>
      <c r="D97" s="18">
        <f>AVERAGEIFS('Crush Margins'!D$2:D$3200,'Crush Margins'!$B$2:$B$3200,'Crush Margins Monthly'!$B97,'Crush Margins'!$C$2:$C$3200,'Crush Margins Monthly'!$C97)</f>
        <v>-16.864761904761902</v>
      </c>
      <c r="E97" s="18">
        <f>AVERAGEIFS('Crush Margins'!E$2:E$3200,'Crush Margins'!$B$2:$B$3200,'Crush Margins Monthly'!$B97,'Crush Margins'!$C$2:$C$3200,'Crush Margins Monthly'!$C97)</f>
        <v>6.1646755576678265</v>
      </c>
      <c r="F97" s="18">
        <f>AVERAGEIFS('Crush Margins'!F$2:F$3200,'Crush Margins'!$B$2:$B$3200,'Crush Margins Monthly'!$B97,'Crush Margins'!$C$2:$C$3200,'Crush Margins Monthly'!$C97)</f>
        <v>-18.900476190476191</v>
      </c>
      <c r="G97" s="18"/>
      <c r="H97" s="18">
        <f>AVERAGEIFS('Crush Margins'!H$2:H$3200,'Crush Margins'!$B$2:$B$3200,'Crush Margins Monthly'!$B97,'Crush Margins'!$C$2:$C$3200,'Crush Margins Monthly'!$C97)</f>
        <v>29.434285714285725</v>
      </c>
      <c r="I97" s="18">
        <f>AVERAGEIFS('Crush Margins'!I$2:I$3200,'Crush Margins'!$B$2:$B$3200,'Crush Margins Monthly'!$B97,'Crush Margins'!$C$2:$C$3200,'Crush Margins Monthly'!$C97)</f>
        <v>16.266190476190474</v>
      </c>
    </row>
    <row r="98" spans="1:9" x14ac:dyDescent="0.2">
      <c r="A98" s="17">
        <v>42736</v>
      </c>
      <c r="B98" s="15">
        <f t="shared" si="2"/>
        <v>1</v>
      </c>
      <c r="C98" s="15">
        <f t="shared" si="3"/>
        <v>2017</v>
      </c>
      <c r="D98" s="18">
        <f>AVERAGEIFS('Crush Margins'!D$2:D$3200,'Crush Margins'!$B$2:$B$3200,'Crush Margins Monthly'!$B98,'Crush Margins'!$C$2:$C$3200,'Crush Margins Monthly'!$C98)</f>
        <v>-3.5765000000000002</v>
      </c>
      <c r="E98" s="18">
        <f>AVERAGEIFS('Crush Margins'!E$2:E$3200,'Crush Margins'!$B$2:$B$3200,'Crush Margins Monthly'!$B98,'Crush Margins'!$C$2:$C$3200,'Crush Margins Monthly'!$C98)</f>
        <v>26.714551365883</v>
      </c>
      <c r="F98" s="18">
        <f>AVERAGEIFS('Crush Margins'!F$2:F$3200,'Crush Margins'!$B$2:$B$3200,'Crush Margins Monthly'!$B98,'Crush Margins'!$C$2:$C$3200,'Crush Margins Monthly'!$C98)</f>
        <v>9.4660000000000011</v>
      </c>
      <c r="G98" s="18"/>
      <c r="H98" s="18">
        <f>AVERAGEIFS('Crush Margins'!H$2:H$3200,'Crush Margins'!$B$2:$B$3200,'Crush Margins Monthly'!$B98,'Crush Margins'!$C$2:$C$3200,'Crush Margins Monthly'!$C98)</f>
        <v>56.180000000000021</v>
      </c>
      <c r="I98" s="18">
        <f>AVERAGEIFS('Crush Margins'!I$2:I$3200,'Crush Margins'!$B$2:$B$3200,'Crush Margins Monthly'!$B98,'Crush Margins'!$C$2:$C$3200,'Crush Margins Monthly'!$C98)</f>
        <v>58.594500000000018</v>
      </c>
    </row>
    <row r="99" spans="1:9" x14ac:dyDescent="0.2">
      <c r="A99" s="17">
        <v>42767</v>
      </c>
      <c r="B99" s="15">
        <f t="shared" si="2"/>
        <v>2</v>
      </c>
      <c r="C99" s="15">
        <f t="shared" si="3"/>
        <v>2017</v>
      </c>
      <c r="D99" s="18">
        <f>AVERAGEIFS('Crush Margins'!D$2:D$3200,'Crush Margins'!$B$2:$B$3200,'Crush Margins Monthly'!$B99,'Crush Margins'!$C$2:$C$3200,'Crush Margins Monthly'!$C99)</f>
        <v>18.431052631578947</v>
      </c>
      <c r="E99" s="18">
        <f>AVERAGEIFS('Crush Margins'!E$2:E$3200,'Crush Margins'!$B$2:$B$3200,'Crush Margins Monthly'!$B99,'Crush Margins'!$C$2:$C$3200,'Crush Margins Monthly'!$C99)</f>
        <v>24.089366037089349</v>
      </c>
      <c r="F99" s="18">
        <f>AVERAGEIFS('Crush Margins'!F$2:F$3200,'Crush Margins'!$B$2:$B$3200,'Crush Margins Monthly'!$B99,'Crush Margins'!$C$2:$C$3200,'Crush Margins Monthly'!$C99)</f>
        <v>32.416842105263157</v>
      </c>
      <c r="G99" s="18"/>
      <c r="H99" s="18">
        <f>AVERAGEIFS('Crush Margins'!H$2:H$3200,'Crush Margins'!$B$2:$B$3200,'Crush Margins Monthly'!$B99,'Crush Margins'!$C$2:$C$3200,'Crush Margins Monthly'!$C99)</f>
        <v>70.006315789473675</v>
      </c>
      <c r="I99" s="18">
        <f>AVERAGEIFS('Crush Margins'!I$2:I$3200,'Crush Margins'!$B$2:$B$3200,'Crush Margins Monthly'!$B99,'Crush Margins'!$C$2:$C$3200,'Crush Margins Monthly'!$C99)</f>
        <v>69.452105263157904</v>
      </c>
    </row>
    <row r="100" spans="1:9" x14ac:dyDescent="0.2">
      <c r="A100" s="17">
        <v>42795</v>
      </c>
      <c r="B100" s="15">
        <f t="shared" si="2"/>
        <v>3</v>
      </c>
      <c r="C100" s="15">
        <f t="shared" si="3"/>
        <v>2017</v>
      </c>
      <c r="D100" s="18">
        <f>AVERAGEIFS('Crush Margins'!D$2:D$3200,'Crush Margins'!$B$2:$B$3200,'Crush Margins Monthly'!$B100,'Crush Margins'!$C$2:$C$3200,'Crush Margins Monthly'!$C100)</f>
        <v>36.139565217391308</v>
      </c>
      <c r="E100" s="18">
        <f>AVERAGEIFS('Crush Margins'!E$2:E$3200,'Crush Margins'!$B$2:$B$3200,'Crush Margins Monthly'!$B100,'Crush Margins'!$C$2:$C$3200,'Crush Margins Monthly'!$C100)</f>
        <v>4.0297668719017441</v>
      </c>
      <c r="F100" s="18">
        <f>AVERAGEIFS('Crush Margins'!F$2:F$3200,'Crush Margins'!$B$2:$B$3200,'Crush Margins Monthly'!$B100,'Crush Margins'!$C$2:$C$3200,'Crush Margins Monthly'!$C100)</f>
        <v>46.527826086956523</v>
      </c>
      <c r="G100" s="18"/>
      <c r="H100" s="18">
        <f>AVERAGEIFS('Crush Margins'!H$2:H$3200,'Crush Margins'!$B$2:$B$3200,'Crush Margins Monthly'!$B100,'Crush Margins'!$C$2:$C$3200,'Crush Margins Monthly'!$C100)</f>
        <v>91.547826086956476</v>
      </c>
      <c r="I100" s="18">
        <f>AVERAGEIFS('Crush Margins'!I$2:I$3200,'Crush Margins'!$B$2:$B$3200,'Crush Margins Monthly'!$B100,'Crush Margins'!$C$2:$C$3200,'Crush Margins Monthly'!$C100)</f>
        <v>83.412173913043432</v>
      </c>
    </row>
    <row r="101" spans="1:9" x14ac:dyDescent="0.2">
      <c r="A101" s="17">
        <v>42826</v>
      </c>
      <c r="B101" s="15">
        <f t="shared" si="2"/>
        <v>4</v>
      </c>
      <c r="C101" s="15">
        <f t="shared" si="3"/>
        <v>2017</v>
      </c>
      <c r="D101" s="18">
        <f>AVERAGEIFS('Crush Margins'!D$2:D$3200,'Crush Margins'!$B$2:$B$3200,'Crush Margins Monthly'!$B101,'Crush Margins'!$C$2:$C$3200,'Crush Margins Monthly'!$C101)</f>
        <v>54.997894736842106</v>
      </c>
      <c r="E101" s="18">
        <f>AVERAGEIFS('Crush Margins'!E$2:E$3200,'Crush Margins'!$B$2:$B$3200,'Crush Margins Monthly'!$B101,'Crush Margins'!$C$2:$C$3200,'Crush Margins Monthly'!$C101)</f>
        <v>3.9456067681187941</v>
      </c>
      <c r="F101" s="18">
        <f>AVERAGEIFS('Crush Margins'!F$2:F$3200,'Crush Margins'!$B$2:$B$3200,'Crush Margins Monthly'!$B101,'Crush Margins'!$C$2:$C$3200,'Crush Margins Monthly'!$C101)</f>
        <v>49.632105263157875</v>
      </c>
      <c r="G101" s="18"/>
      <c r="H101" s="18">
        <f>AVERAGEIFS('Crush Margins'!H$2:H$3200,'Crush Margins'!$B$2:$B$3200,'Crush Margins Monthly'!$B101,'Crush Margins'!$C$2:$C$3200,'Crush Margins Monthly'!$C101)</f>
        <v>116.95473684210526</v>
      </c>
      <c r="I101" s="18">
        <f>AVERAGEIFS('Crush Margins'!I$2:I$3200,'Crush Margins'!$B$2:$B$3200,'Crush Margins Monthly'!$B101,'Crush Margins'!$C$2:$C$3200,'Crush Margins Monthly'!$C101)</f>
        <v>103.18157894736845</v>
      </c>
    </row>
    <row r="102" spans="1:9" x14ac:dyDescent="0.2">
      <c r="A102" s="17">
        <v>42856</v>
      </c>
      <c r="B102" s="15">
        <f t="shared" si="2"/>
        <v>5</v>
      </c>
      <c r="C102" s="15">
        <f t="shared" si="3"/>
        <v>2017</v>
      </c>
      <c r="D102" s="18">
        <f>AVERAGEIFS('Crush Margins'!D$2:D$3200,'Crush Margins'!$B$2:$B$3200,'Crush Margins Monthly'!$B102,'Crush Margins'!$C$2:$C$3200,'Crush Margins Monthly'!$C102)</f>
        <v>41.878636363636367</v>
      </c>
      <c r="E102" s="18">
        <f>AVERAGEIFS('Crush Margins'!E$2:E$3200,'Crush Margins'!$B$2:$B$3200,'Crush Margins Monthly'!$B102,'Crush Margins'!$C$2:$C$3200,'Crush Margins Monthly'!$C102)</f>
        <v>2.3664474020507309</v>
      </c>
      <c r="F102" s="18">
        <f>AVERAGEIFS('Crush Margins'!F$2:F$3200,'Crush Margins'!$B$2:$B$3200,'Crush Margins Monthly'!$B102,'Crush Margins'!$C$2:$C$3200,'Crush Margins Monthly'!$C102)</f>
        <v>31.220454545454551</v>
      </c>
      <c r="G102" s="18"/>
      <c r="H102" s="18">
        <f>AVERAGEIFS('Crush Margins'!H$2:H$3200,'Crush Margins'!$B$2:$B$3200,'Crush Margins Monthly'!$B102,'Crush Margins'!$C$2:$C$3200,'Crush Margins Monthly'!$C102)</f>
        <v>92.506363636363631</v>
      </c>
      <c r="I102" s="18">
        <f>AVERAGEIFS('Crush Margins'!I$2:I$3200,'Crush Margins'!$B$2:$B$3200,'Crush Margins Monthly'!$B102,'Crush Margins'!$C$2:$C$3200,'Crush Margins Monthly'!$C102)</f>
        <v>88.480454545454535</v>
      </c>
    </row>
    <row r="103" spans="1:9" x14ac:dyDescent="0.2">
      <c r="A103" s="17">
        <v>42887</v>
      </c>
      <c r="B103" s="15">
        <f t="shared" si="2"/>
        <v>6</v>
      </c>
      <c r="C103" s="15">
        <f t="shared" si="3"/>
        <v>2017</v>
      </c>
      <c r="D103" s="18">
        <f>AVERAGEIFS('Crush Margins'!D$2:D$3200,'Crush Margins'!$B$2:$B$3200,'Crush Margins Monthly'!$B103,'Crush Margins'!$C$2:$C$3200,'Crush Margins Monthly'!$C103)</f>
        <v>41.246818181818178</v>
      </c>
      <c r="E103" s="18">
        <f>AVERAGEIFS('Crush Margins'!E$2:E$3200,'Crush Margins'!$B$2:$B$3200,'Crush Margins Monthly'!$B103,'Crush Margins'!$C$2:$C$3200,'Crush Margins Monthly'!$C103)</f>
        <v>4.790198451147563</v>
      </c>
      <c r="F103" s="18">
        <f>AVERAGEIFS('Crush Margins'!F$2:F$3200,'Crush Margins'!$B$2:$B$3200,'Crush Margins Monthly'!$B103,'Crush Margins'!$C$2:$C$3200,'Crush Margins Monthly'!$C103)</f>
        <v>28.656818181818188</v>
      </c>
      <c r="G103" s="18"/>
      <c r="H103" s="18">
        <f>AVERAGEIFS('Crush Margins'!H$2:H$3200,'Crush Margins'!$B$2:$B$3200,'Crush Margins Monthly'!$B103,'Crush Margins'!$C$2:$C$3200,'Crush Margins Monthly'!$C103)</f>
        <v>95.37909090909092</v>
      </c>
      <c r="I103" s="18">
        <f>AVERAGEIFS('Crush Margins'!I$2:I$3200,'Crush Margins'!$B$2:$B$3200,'Crush Margins Monthly'!$B103,'Crush Margins'!$C$2:$C$3200,'Crush Margins Monthly'!$C103)</f>
        <v>94.975909090909056</v>
      </c>
    </row>
    <row r="104" spans="1:9" x14ac:dyDescent="0.2">
      <c r="A104" s="17">
        <v>42917</v>
      </c>
      <c r="B104" s="15">
        <f t="shared" si="2"/>
        <v>7</v>
      </c>
      <c r="C104" s="15">
        <f t="shared" si="3"/>
        <v>2017</v>
      </c>
      <c r="D104" s="18">
        <f>AVERAGEIFS('Crush Margins'!D$2:D$3200,'Crush Margins'!$B$2:$B$3200,'Crush Margins Monthly'!$B104,'Crush Margins'!$C$2:$C$3200,'Crush Margins Monthly'!$C104)</f>
        <v>38.288000000000004</v>
      </c>
      <c r="E104" s="18">
        <f>AVERAGEIFS('Crush Margins'!E$2:E$3200,'Crush Margins'!$B$2:$B$3200,'Crush Margins Monthly'!$B104,'Crush Margins'!$C$2:$C$3200,'Crush Margins Monthly'!$C104)</f>
        <v>17.896768184447115</v>
      </c>
      <c r="F104" s="18">
        <f>AVERAGEIFS('Crush Margins'!F$2:F$3200,'Crush Margins'!$B$2:$B$3200,'Crush Margins Monthly'!$B104,'Crush Margins'!$C$2:$C$3200,'Crush Margins Monthly'!$C104)</f>
        <v>35.143000000000015</v>
      </c>
      <c r="G104" s="18"/>
      <c r="H104" s="18">
        <f>AVERAGEIFS('Crush Margins'!H$2:H$3200,'Crush Margins'!$B$2:$B$3200,'Crush Margins Monthly'!$B104,'Crush Margins'!$C$2:$C$3200,'Crush Margins Monthly'!$C104)</f>
        <v>92.114500000000007</v>
      </c>
      <c r="I104" s="18">
        <f>AVERAGEIFS('Crush Margins'!I$2:I$3200,'Crush Margins'!$B$2:$B$3200,'Crush Margins Monthly'!$B104,'Crush Margins'!$C$2:$C$3200,'Crush Margins Monthly'!$C104)</f>
        <v>90.365000000000023</v>
      </c>
    </row>
    <row r="105" spans="1:9" x14ac:dyDescent="0.2">
      <c r="A105" s="17">
        <v>42948</v>
      </c>
      <c r="B105" s="15">
        <f t="shared" si="2"/>
        <v>8</v>
      </c>
      <c r="C105" s="15">
        <f t="shared" si="3"/>
        <v>2017</v>
      </c>
      <c r="D105" s="18">
        <f>AVERAGEIFS('Crush Margins'!D$2:D$3200,'Crush Margins'!$B$2:$B$3200,'Crush Margins Monthly'!$B105,'Crush Margins'!$C$2:$C$3200,'Crush Margins Monthly'!$C105)</f>
        <v>39.059130434782617</v>
      </c>
      <c r="E105" s="18">
        <f>AVERAGEIFS('Crush Margins'!E$2:E$3200,'Crush Margins'!$B$2:$B$3200,'Crush Margins Monthly'!$B105,'Crush Margins'!$C$2:$C$3200,'Crush Margins Monthly'!$C105)</f>
        <v>9.8600361442749858</v>
      </c>
      <c r="F105" s="18">
        <f>AVERAGEIFS('Crush Margins'!F$2:F$3200,'Crush Margins'!$B$2:$B$3200,'Crush Margins Monthly'!$B105,'Crush Margins'!$C$2:$C$3200,'Crush Margins Monthly'!$C105)</f>
        <v>23.416956521739131</v>
      </c>
      <c r="G105" s="18"/>
      <c r="H105" s="18">
        <f>AVERAGEIFS('Crush Margins'!H$2:H$3200,'Crush Margins'!$B$2:$B$3200,'Crush Margins Monthly'!$B105,'Crush Margins'!$C$2:$C$3200,'Crush Margins Monthly'!$C105)</f>
        <v>93.898695652173942</v>
      </c>
      <c r="I105" s="18">
        <f>AVERAGEIFS('Crush Margins'!I$2:I$3200,'Crush Margins'!$B$2:$B$3200,'Crush Margins Monthly'!$B105,'Crush Margins'!$C$2:$C$3200,'Crush Margins Monthly'!$C105)</f>
        <v>87.329565217391277</v>
      </c>
    </row>
    <row r="106" spans="1:9" x14ac:dyDescent="0.2">
      <c r="A106" s="17">
        <v>42979</v>
      </c>
      <c r="B106" s="15">
        <f t="shared" si="2"/>
        <v>9</v>
      </c>
      <c r="C106" s="15">
        <f t="shared" si="3"/>
        <v>2017</v>
      </c>
      <c r="D106" s="18">
        <f>AVERAGEIFS('Crush Margins'!D$2:D$3200,'Crush Margins'!$B$2:$B$3200,'Crush Margins Monthly'!$B106,'Crush Margins'!$C$2:$C$3200,'Crush Margins Monthly'!$C106)</f>
        <v>38.220499999999994</v>
      </c>
      <c r="E106" s="18">
        <f>AVERAGEIFS('Crush Margins'!E$2:E$3200,'Crush Margins'!$B$2:$B$3200,'Crush Margins Monthly'!$B106,'Crush Margins'!$C$2:$C$3200,'Crush Margins Monthly'!$C106)</f>
        <v>20.644516488948199</v>
      </c>
      <c r="F106" s="18">
        <f>AVERAGEIFS('Crush Margins'!F$2:F$3200,'Crush Margins'!$B$2:$B$3200,'Crush Margins Monthly'!$B106,'Crush Margins'!$C$2:$C$3200,'Crush Margins Monthly'!$C106)</f>
        <v>34.986000000000004</v>
      </c>
      <c r="G106" s="18"/>
      <c r="H106" s="18">
        <f>AVERAGEIFS('Crush Margins'!H$2:H$3200,'Crush Margins'!$B$2:$B$3200,'Crush Margins Monthly'!$B106,'Crush Margins'!$C$2:$C$3200,'Crush Margins Monthly'!$C106)</f>
        <v>89.578499999999991</v>
      </c>
      <c r="I106" s="18">
        <f>AVERAGEIFS('Crush Margins'!I$2:I$3200,'Crush Margins'!$B$2:$B$3200,'Crush Margins Monthly'!$B106,'Crush Margins'!$C$2:$C$3200,'Crush Margins Monthly'!$C106)</f>
        <v>80.900499999999994</v>
      </c>
    </row>
    <row r="107" spans="1:9" x14ac:dyDescent="0.2">
      <c r="A107" s="17">
        <v>43009</v>
      </c>
      <c r="B107" s="15">
        <f t="shared" si="2"/>
        <v>10</v>
      </c>
      <c r="C107" s="15">
        <f t="shared" si="3"/>
        <v>2017</v>
      </c>
      <c r="D107" s="18">
        <f>AVERAGEIFS('Crush Margins'!D$2:D$3200,'Crush Margins'!$B$2:$B$3200,'Crush Margins Monthly'!$B107,'Crush Margins'!$C$2:$C$3200,'Crush Margins Monthly'!$C107)</f>
        <v>53.233181818181812</v>
      </c>
      <c r="E107" s="18">
        <f>AVERAGEIFS('Crush Margins'!E$2:E$3200,'Crush Margins'!$B$2:$B$3200,'Crush Margins Monthly'!$B107,'Crush Margins'!$C$2:$C$3200,'Crush Margins Monthly'!$C107)</f>
        <v>27.037324358234347</v>
      </c>
      <c r="F107" s="18">
        <f>AVERAGEIFS('Crush Margins'!F$2:F$3200,'Crush Margins'!$B$2:$B$3200,'Crush Margins Monthly'!$B107,'Crush Margins'!$C$2:$C$3200,'Crush Margins Monthly'!$C107)</f>
        <v>62.233636363636357</v>
      </c>
      <c r="G107" s="18"/>
      <c r="H107" s="18">
        <f>AVERAGEIFS('Crush Margins'!H$2:H$3200,'Crush Margins'!$B$2:$B$3200,'Crush Margins Monthly'!$B107,'Crush Margins'!$C$2:$C$3200,'Crush Margins Monthly'!$C107)</f>
        <v>106.44272727272724</v>
      </c>
      <c r="I107" s="18">
        <f>AVERAGEIFS('Crush Margins'!I$2:I$3200,'Crush Margins'!$B$2:$B$3200,'Crush Margins Monthly'!$B107,'Crush Margins'!$C$2:$C$3200,'Crush Margins Monthly'!$C107)</f>
        <v>112.14272727272729</v>
      </c>
    </row>
    <row r="108" spans="1:9" x14ac:dyDescent="0.2">
      <c r="A108" s="17">
        <v>43040</v>
      </c>
      <c r="B108" s="15">
        <f t="shared" si="2"/>
        <v>11</v>
      </c>
      <c r="C108" s="15">
        <f t="shared" si="3"/>
        <v>2017</v>
      </c>
      <c r="D108" s="18">
        <f>AVERAGEIFS('Crush Margins'!D$2:D$3200,'Crush Margins'!$B$2:$B$3200,'Crush Margins Monthly'!$B108,'Crush Margins'!$C$2:$C$3200,'Crush Margins Monthly'!$C108)</f>
        <v>52.841904761904765</v>
      </c>
      <c r="E108" s="18">
        <f>AVERAGEIFS('Crush Margins'!E$2:E$3200,'Crush Margins'!$B$2:$B$3200,'Crush Margins Monthly'!$B108,'Crush Margins'!$C$2:$C$3200,'Crush Margins Monthly'!$C108)</f>
        <v>20.227370396962257</v>
      </c>
      <c r="F108" s="18">
        <f>AVERAGEIFS('Crush Margins'!F$2:F$3200,'Crush Margins'!$B$2:$B$3200,'Crush Margins Monthly'!$B108,'Crush Margins'!$C$2:$C$3200,'Crush Margins Monthly'!$C108)</f>
        <v>63.226666666666674</v>
      </c>
      <c r="G108" s="18"/>
      <c r="H108" s="18">
        <f>AVERAGEIFS('Crush Margins'!H$2:H$3200,'Crush Margins'!$B$2:$B$3200,'Crush Margins Monthly'!$B108,'Crush Margins'!$C$2:$C$3200,'Crush Margins Monthly'!$C108)</f>
        <v>106.57857142857144</v>
      </c>
      <c r="I108" s="18">
        <f>AVERAGEIFS('Crush Margins'!I$2:I$3200,'Crush Margins'!$B$2:$B$3200,'Crush Margins Monthly'!$B108,'Crush Margins'!$C$2:$C$3200,'Crush Margins Monthly'!$C108)</f>
        <v>86.910952380952338</v>
      </c>
    </row>
    <row r="109" spans="1:9" x14ac:dyDescent="0.2">
      <c r="A109" s="17">
        <v>43070</v>
      </c>
      <c r="B109" s="15">
        <f t="shared" si="2"/>
        <v>12</v>
      </c>
      <c r="C109" s="15">
        <f t="shared" si="3"/>
        <v>2017</v>
      </c>
      <c r="D109" s="18">
        <f>AVERAGEIFS('Crush Margins'!D$2:D$3200,'Crush Margins'!$B$2:$B$3200,'Crush Margins Monthly'!$B109,'Crush Margins'!$C$2:$C$3200,'Crush Margins Monthly'!$C109)</f>
        <v>51.403499999999973</v>
      </c>
      <c r="E109" s="18">
        <f>AVERAGEIFS('Crush Margins'!E$2:E$3200,'Crush Margins'!$B$2:$B$3200,'Crush Margins Monthly'!$B109,'Crush Margins'!$C$2:$C$3200,'Crush Margins Monthly'!$C109)</f>
        <v>11.954759356479771</v>
      </c>
      <c r="F109" s="18">
        <f>AVERAGEIFS('Crush Margins'!F$2:F$3200,'Crush Margins'!$B$2:$B$3200,'Crush Margins Monthly'!$B109,'Crush Margins'!$C$2:$C$3200,'Crush Margins Monthly'!$C109)</f>
        <v>54.950000000000024</v>
      </c>
      <c r="G109" s="18"/>
      <c r="H109" s="18">
        <f>AVERAGEIFS('Crush Margins'!H$2:H$3200,'Crush Margins'!$B$2:$B$3200,'Crush Margins Monthly'!$B109,'Crush Margins'!$C$2:$C$3200,'Crush Margins Monthly'!$C109)</f>
        <v>96.768499999999989</v>
      </c>
      <c r="I109" s="18">
        <f>AVERAGEIFS('Crush Margins'!I$2:I$3200,'Crush Margins'!$B$2:$B$3200,'Crush Margins Monthly'!$B109,'Crush Margins'!$C$2:$C$3200,'Crush Margins Monthly'!$C109)</f>
        <v>63.038999999999987</v>
      </c>
    </row>
    <row r="110" spans="1:9" x14ac:dyDescent="0.2">
      <c r="A110" s="17">
        <v>43101</v>
      </c>
      <c r="B110" s="15">
        <f t="shared" si="2"/>
        <v>1</v>
      </c>
      <c r="C110" s="15">
        <f t="shared" si="3"/>
        <v>2018</v>
      </c>
      <c r="D110" s="18">
        <f>AVERAGEIFS('Crush Margins'!D$2:D$3200,'Crush Margins'!$B$2:$B$3200,'Crush Margins Monthly'!$B110,'Crush Margins'!$C$2:$C$3200,'Crush Margins Monthly'!$C110)</f>
        <v>11.620476190476191</v>
      </c>
      <c r="E110" s="18">
        <f>AVERAGEIFS('Crush Margins'!E$2:E$3200,'Crush Margins'!$B$2:$B$3200,'Crush Margins Monthly'!$B110,'Crush Margins'!$C$2:$C$3200,'Crush Margins Monthly'!$C110)</f>
        <v>17.762201182988786</v>
      </c>
      <c r="F110" s="18">
        <f>AVERAGEIFS('Crush Margins'!F$2:F$3200,'Crush Margins'!$B$2:$B$3200,'Crush Margins Monthly'!$B110,'Crush Margins'!$C$2:$C$3200,'Crush Margins Monthly'!$C110)</f>
        <v>20.412380952380953</v>
      </c>
      <c r="G110" s="18"/>
      <c r="H110" s="18">
        <f>AVERAGEIFS('Crush Margins'!H$2:H$3200,'Crush Margins'!$B$2:$B$3200,'Crush Margins Monthly'!$B110,'Crush Margins'!$C$2:$C$3200,'Crush Margins Monthly'!$C110)</f>
        <v>58.895238095238092</v>
      </c>
      <c r="I110" s="18">
        <f>AVERAGEIFS('Crush Margins'!I$2:I$3200,'Crush Margins'!$B$2:$B$3200,'Crush Margins Monthly'!$B110,'Crush Margins'!$C$2:$C$3200,'Crush Margins Monthly'!$C110)</f>
        <v>37.399999999999991</v>
      </c>
    </row>
    <row r="111" spans="1:9" x14ac:dyDescent="0.2">
      <c r="A111" s="17">
        <v>43132</v>
      </c>
      <c r="B111" s="15">
        <f t="shared" si="2"/>
        <v>2</v>
      </c>
      <c r="C111" s="15">
        <f t="shared" si="3"/>
        <v>2018</v>
      </c>
      <c r="D111" s="18">
        <f>AVERAGEIFS('Crush Margins'!D$2:D$3200,'Crush Margins'!$B$2:$B$3200,'Crush Margins Monthly'!$B111,'Crush Margins'!$C$2:$C$3200,'Crush Margins Monthly'!$C111)</f>
        <v>19.078947368421055</v>
      </c>
      <c r="E111" s="18">
        <f>AVERAGEIFS('Crush Margins'!E$2:E$3200,'Crush Margins'!$B$2:$B$3200,'Crush Margins Monthly'!$B111,'Crush Margins'!$C$2:$C$3200,'Crush Margins Monthly'!$C111)</f>
        <v>31.814743522274899</v>
      </c>
      <c r="F111" s="18">
        <f>AVERAGEIFS('Crush Margins'!F$2:F$3200,'Crush Margins'!$B$2:$B$3200,'Crush Margins Monthly'!$B111,'Crush Margins'!$C$2:$C$3200,'Crush Margins Monthly'!$C111)</f>
        <v>37.76736842105263</v>
      </c>
      <c r="G111" s="18"/>
      <c r="H111" s="18">
        <f>AVERAGEIFS('Crush Margins'!H$2:H$3200,'Crush Margins'!$B$2:$B$3200,'Crush Margins Monthly'!$B111,'Crush Margins'!$C$2:$C$3200,'Crush Margins Monthly'!$C111)</f>
        <v>74.896842105263161</v>
      </c>
      <c r="I111" s="18">
        <f>AVERAGEIFS('Crush Margins'!I$2:I$3200,'Crush Margins'!$B$2:$B$3200,'Crush Margins Monthly'!$B111,'Crush Margins'!$C$2:$C$3200,'Crush Margins Monthly'!$C111)</f>
        <v>63.748947368421057</v>
      </c>
    </row>
    <row r="112" spans="1:9" x14ac:dyDescent="0.2">
      <c r="A112" s="17">
        <v>43160</v>
      </c>
      <c r="B112" s="15">
        <f t="shared" si="2"/>
        <v>3</v>
      </c>
      <c r="C112" s="15">
        <f t="shared" si="3"/>
        <v>2018</v>
      </c>
      <c r="D112" s="18">
        <f>AVERAGEIFS('Crush Margins'!D$2:D$3200,'Crush Margins'!$B$2:$B$3200,'Crush Margins Monthly'!$B112,'Crush Margins'!$C$2:$C$3200,'Crush Margins Monthly'!$C112)</f>
        <v>24.871904761904759</v>
      </c>
      <c r="E112" s="18">
        <f>AVERAGEIFS('Crush Margins'!E$2:E$3200,'Crush Margins'!$B$2:$B$3200,'Crush Margins Monthly'!$B112,'Crush Margins'!$C$2:$C$3200,'Crush Margins Monthly'!$C112)</f>
        <v>28.153015295592144</v>
      </c>
      <c r="F112" s="18">
        <f>AVERAGEIFS('Crush Margins'!F$2:F$3200,'Crush Margins'!$B$2:$B$3200,'Crush Margins Monthly'!$B112,'Crush Margins'!$C$2:$C$3200,'Crush Margins Monthly'!$C112)</f>
        <v>27.429523809523804</v>
      </c>
      <c r="G112" s="18"/>
      <c r="H112" s="18">
        <f>AVERAGEIFS('Crush Margins'!H$2:H$3200,'Crush Margins'!$B$2:$B$3200,'Crush Margins Monthly'!$B112,'Crush Margins'!$C$2:$C$3200,'Crush Margins Monthly'!$C112)</f>
        <v>73.555714285714302</v>
      </c>
      <c r="I112" s="18">
        <f>AVERAGEIFS('Crush Margins'!I$2:I$3200,'Crush Margins'!$B$2:$B$3200,'Crush Margins Monthly'!$B112,'Crush Margins'!$C$2:$C$3200,'Crush Margins Monthly'!$C112)</f>
        <v>48.650952380952361</v>
      </c>
    </row>
    <row r="113" spans="1:9" x14ac:dyDescent="0.2">
      <c r="A113" s="17">
        <v>43191</v>
      </c>
      <c r="B113" s="15">
        <f t="shared" si="2"/>
        <v>4</v>
      </c>
      <c r="C113" s="15">
        <f t="shared" si="3"/>
        <v>2018</v>
      </c>
      <c r="D113" s="18">
        <f>AVERAGEIFS('Crush Margins'!D$2:D$3200,'Crush Margins'!$B$2:$B$3200,'Crush Margins Monthly'!$B113,'Crush Margins'!$C$2:$C$3200,'Crush Margins Monthly'!$C113)</f>
        <v>54.777619047619041</v>
      </c>
      <c r="E113" s="18">
        <f>AVERAGEIFS('Crush Margins'!E$2:E$3200,'Crush Margins'!$B$2:$B$3200,'Crush Margins Monthly'!$B113,'Crush Margins'!$C$2:$C$3200,'Crush Margins Monthly'!$C113)</f>
        <v>2.9429818705960735</v>
      </c>
      <c r="F113" s="18">
        <f>AVERAGEIFS('Crush Margins'!F$2:F$3200,'Crush Margins'!$B$2:$B$3200,'Crush Margins Monthly'!$B113,'Crush Margins'!$C$2:$C$3200,'Crush Margins Monthly'!$C113)</f>
        <v>41.058571428571419</v>
      </c>
      <c r="G113" s="18"/>
      <c r="H113" s="18">
        <f>AVERAGEIFS('Crush Margins'!H$2:H$3200,'Crush Margins'!$B$2:$B$3200,'Crush Margins Monthly'!$B113,'Crush Margins'!$C$2:$C$3200,'Crush Margins Monthly'!$C113)</f>
        <v>101.74952380952382</v>
      </c>
      <c r="I113" s="18">
        <f>AVERAGEIFS('Crush Margins'!I$2:I$3200,'Crush Margins'!$B$2:$B$3200,'Crush Margins Monthly'!$B113,'Crush Margins'!$C$2:$C$3200,'Crush Margins Monthly'!$C113)</f>
        <v>84.659047619047598</v>
      </c>
    </row>
    <row r="114" spans="1:9" x14ac:dyDescent="0.2">
      <c r="A114" s="17">
        <v>43221</v>
      </c>
      <c r="B114" s="15">
        <f t="shared" si="2"/>
        <v>5</v>
      </c>
      <c r="C114" s="15">
        <f t="shared" si="3"/>
        <v>2018</v>
      </c>
      <c r="D114" s="18">
        <f>AVERAGEIFS('Crush Margins'!D$2:D$3200,'Crush Margins'!$B$2:$B$3200,'Crush Margins Monthly'!$B114,'Crush Margins'!$C$2:$C$3200,'Crush Margins Monthly'!$C114)</f>
        <v>51.234999999999992</v>
      </c>
      <c r="E114" s="18">
        <f>AVERAGEIFS('Crush Margins'!E$2:E$3200,'Crush Margins'!$B$2:$B$3200,'Crush Margins Monthly'!$B114,'Crush Margins'!$C$2:$C$3200,'Crush Margins Monthly'!$C114)</f>
        <v>-11.563652112295371</v>
      </c>
      <c r="F114" s="18">
        <f>AVERAGEIFS('Crush Margins'!F$2:F$3200,'Crush Margins'!$B$2:$B$3200,'Crush Margins Monthly'!$B114,'Crush Margins'!$C$2:$C$3200,'Crush Margins Monthly'!$C114)</f>
        <v>45.851363636363629</v>
      </c>
      <c r="G114" s="18"/>
      <c r="H114" s="18">
        <f>AVERAGEIFS('Crush Margins'!H$2:H$3200,'Crush Margins'!$B$2:$B$3200,'Crush Margins Monthly'!$B114,'Crush Margins'!$C$2:$C$3200,'Crush Margins Monthly'!$C114)</f>
        <v>100.14500000000002</v>
      </c>
      <c r="I114" s="18">
        <f>AVERAGEIFS('Crush Margins'!I$2:I$3200,'Crush Margins'!$B$2:$B$3200,'Crush Margins Monthly'!$B114,'Crush Margins'!$C$2:$C$3200,'Crush Margins Monthly'!$C114)</f>
        <v>81.326363636363681</v>
      </c>
    </row>
    <row r="115" spans="1:9" x14ac:dyDescent="0.2">
      <c r="A115" s="17">
        <v>43252</v>
      </c>
      <c r="B115" s="15">
        <f t="shared" si="2"/>
        <v>6</v>
      </c>
      <c r="C115" s="15">
        <f t="shared" si="3"/>
        <v>2018</v>
      </c>
      <c r="D115" s="18">
        <f>AVERAGEIFS('Crush Margins'!D$2:D$3200,'Crush Margins'!$B$2:$B$3200,'Crush Margins Monthly'!$B115,'Crush Margins'!$C$2:$C$3200,'Crush Margins Monthly'!$C115)</f>
        <v>55.519047619047626</v>
      </c>
      <c r="E115" s="18">
        <f>AVERAGEIFS('Crush Margins'!E$2:E$3200,'Crush Margins'!$B$2:$B$3200,'Crush Margins Monthly'!$B115,'Crush Margins'!$C$2:$C$3200,'Crush Margins Monthly'!$C115)</f>
        <v>-6.5758925591419839</v>
      </c>
      <c r="F115" s="18">
        <f>AVERAGEIFS('Crush Margins'!F$2:F$3200,'Crush Margins'!$B$2:$B$3200,'Crush Margins Monthly'!$B115,'Crush Margins'!$C$2:$C$3200,'Crush Margins Monthly'!$C115)</f>
        <v>45.998571428571417</v>
      </c>
      <c r="G115" s="18"/>
      <c r="H115" s="18">
        <f>AVERAGEIFS('Crush Margins'!H$2:H$3200,'Crush Margins'!$B$2:$B$3200,'Crush Margins Monthly'!$B115,'Crush Margins'!$C$2:$C$3200,'Crush Margins Monthly'!$C115)</f>
        <v>98.888571428571424</v>
      </c>
      <c r="I115" s="18">
        <f>AVERAGEIFS('Crush Margins'!I$2:I$3200,'Crush Margins'!$B$2:$B$3200,'Crush Margins Monthly'!$B115,'Crush Margins'!$C$2:$C$3200,'Crush Margins Monthly'!$C115)</f>
        <v>101.7542857142857</v>
      </c>
    </row>
    <row r="116" spans="1:9" x14ac:dyDescent="0.2">
      <c r="A116" s="17">
        <v>43282</v>
      </c>
      <c r="B116" s="15">
        <f t="shared" si="2"/>
        <v>7</v>
      </c>
      <c r="C116" s="15">
        <f t="shared" si="3"/>
        <v>2018</v>
      </c>
      <c r="D116" s="18">
        <f>AVERAGEIFS('Crush Margins'!D$2:D$3200,'Crush Margins'!$B$2:$B$3200,'Crush Margins Monthly'!$B116,'Crush Margins'!$C$2:$C$3200,'Crush Margins Monthly'!$C116)</f>
        <v>60.690476190476183</v>
      </c>
      <c r="E116" s="18">
        <f>AVERAGEIFS('Crush Margins'!E$2:E$3200,'Crush Margins'!$B$2:$B$3200,'Crush Margins Monthly'!$B116,'Crush Margins'!$C$2:$C$3200,'Crush Margins Monthly'!$C116)</f>
        <v>0.83598906327311306</v>
      </c>
      <c r="F116" s="18">
        <f>AVERAGEIFS('Crush Margins'!F$2:F$3200,'Crush Margins'!$B$2:$B$3200,'Crush Margins Monthly'!$B116,'Crush Margins'!$C$2:$C$3200,'Crush Margins Monthly'!$C116)</f>
        <v>39.179047619047616</v>
      </c>
      <c r="G116" s="18"/>
      <c r="H116" s="18">
        <f>AVERAGEIFS('Crush Margins'!H$2:H$3200,'Crush Margins'!$B$2:$B$3200,'Crush Margins Monthly'!$B116,'Crush Margins'!$C$2:$C$3200,'Crush Margins Monthly'!$C116)</f>
        <v>95.340476190476181</v>
      </c>
      <c r="I116" s="18">
        <f>AVERAGEIFS('Crush Margins'!I$2:I$3200,'Crush Margins'!$B$2:$B$3200,'Crush Margins Monthly'!$B116,'Crush Margins'!$C$2:$C$3200,'Crush Margins Monthly'!$C116)</f>
        <v>89.372380952380951</v>
      </c>
    </row>
    <row r="117" spans="1:9" x14ac:dyDescent="0.2">
      <c r="A117" s="17">
        <v>43313</v>
      </c>
      <c r="B117" s="15">
        <f t="shared" si="2"/>
        <v>8</v>
      </c>
      <c r="C117" s="15">
        <f t="shared" si="3"/>
        <v>2018</v>
      </c>
      <c r="D117" s="18">
        <f>AVERAGEIFS('Crush Margins'!D$2:D$3200,'Crush Margins'!$B$2:$B$3200,'Crush Margins Monthly'!$B117,'Crush Margins'!$C$2:$C$3200,'Crush Margins Monthly'!$C117)</f>
        <v>50.698260869565225</v>
      </c>
      <c r="E117" s="18">
        <f>AVERAGEIFS('Crush Margins'!E$2:E$3200,'Crush Margins'!$B$2:$B$3200,'Crush Margins Monthly'!$B117,'Crush Margins'!$C$2:$C$3200,'Crush Margins Monthly'!$C117)</f>
        <v>3.0728995645817068</v>
      </c>
      <c r="F117" s="18">
        <f>AVERAGEIFS('Crush Margins'!F$2:F$3200,'Crush Margins'!$B$2:$B$3200,'Crush Margins Monthly'!$B117,'Crush Margins'!$C$2:$C$3200,'Crush Margins Monthly'!$C117)</f>
        <v>35.846956521739138</v>
      </c>
      <c r="G117" s="18"/>
      <c r="H117" s="18">
        <f>AVERAGEIFS('Crush Margins'!H$2:H$3200,'Crush Margins'!$B$2:$B$3200,'Crush Margins Monthly'!$B117,'Crush Margins'!$C$2:$C$3200,'Crush Margins Monthly'!$C117)</f>
        <v>86.580000000000013</v>
      </c>
      <c r="I117" s="18">
        <f>AVERAGEIFS('Crush Margins'!I$2:I$3200,'Crush Margins'!$B$2:$B$3200,'Crush Margins Monthly'!$B117,'Crush Margins'!$C$2:$C$3200,'Crush Margins Monthly'!$C117)</f>
        <v>78.457826086956516</v>
      </c>
    </row>
    <row r="118" spans="1:9" x14ac:dyDescent="0.2">
      <c r="A118" s="17">
        <v>43344</v>
      </c>
      <c r="B118" s="15">
        <f t="shared" si="2"/>
        <v>9</v>
      </c>
      <c r="C118" s="15">
        <f t="shared" si="3"/>
        <v>2018</v>
      </c>
      <c r="D118" s="18">
        <f>AVERAGEIFS('Crush Margins'!D$2:D$3200,'Crush Margins'!$B$2:$B$3200,'Crush Margins Monthly'!$B118,'Crush Margins'!$C$2:$C$3200,'Crush Margins Monthly'!$C118)</f>
        <v>47.990526315789467</v>
      </c>
      <c r="E118" s="18">
        <f>AVERAGEIFS('Crush Margins'!E$2:E$3200,'Crush Margins'!$B$2:$B$3200,'Crush Margins Monthly'!$B118,'Crush Margins'!$C$2:$C$3200,'Crush Margins Monthly'!$C118)</f>
        <v>18.133531783220086</v>
      </c>
      <c r="F118" s="18">
        <f>AVERAGEIFS('Crush Margins'!F$2:F$3200,'Crush Margins'!$B$2:$B$3200,'Crush Margins Monthly'!$B118,'Crush Margins'!$C$2:$C$3200,'Crush Margins Monthly'!$C118)</f>
        <v>20.860526315789485</v>
      </c>
      <c r="G118" s="18"/>
      <c r="H118" s="18">
        <f>AVERAGEIFS('Crush Margins'!H$2:H$3200,'Crush Margins'!$B$2:$B$3200,'Crush Margins Monthly'!$B118,'Crush Margins'!$C$2:$C$3200,'Crush Margins Monthly'!$C118)</f>
        <v>90.743157894736854</v>
      </c>
      <c r="I118" s="18">
        <f>AVERAGEIFS('Crush Margins'!I$2:I$3200,'Crush Margins'!$B$2:$B$3200,'Crush Margins Monthly'!$B118,'Crush Margins'!$C$2:$C$3200,'Crush Margins Monthly'!$C118)</f>
        <v>98.403684210526308</v>
      </c>
    </row>
    <row r="119" spans="1:9" x14ac:dyDescent="0.2">
      <c r="A119" s="17">
        <v>43374</v>
      </c>
      <c r="B119" s="15">
        <f t="shared" si="2"/>
        <v>10</v>
      </c>
      <c r="C119" s="15">
        <f t="shared" si="3"/>
        <v>2018</v>
      </c>
      <c r="D119" s="18">
        <f>AVERAGEIFS('Crush Margins'!D$2:D$3200,'Crush Margins'!$B$2:$B$3200,'Crush Margins Monthly'!$B119,'Crush Margins'!$C$2:$C$3200,'Crush Margins Monthly'!$C119)</f>
        <v>48.151304347826091</v>
      </c>
      <c r="E119" s="18">
        <f>AVERAGEIFS('Crush Margins'!E$2:E$3200,'Crush Margins'!$B$2:$B$3200,'Crush Margins Monthly'!$B119,'Crush Margins'!$C$2:$C$3200,'Crush Margins Monthly'!$C119)</f>
        <v>39.996582150706089</v>
      </c>
      <c r="F119" s="18">
        <f>AVERAGEIFS('Crush Margins'!F$2:F$3200,'Crush Margins'!$B$2:$B$3200,'Crush Margins Monthly'!$B119,'Crush Margins'!$C$2:$C$3200,'Crush Margins Monthly'!$C119)</f>
        <v>15.794782608695661</v>
      </c>
      <c r="G119" s="18"/>
      <c r="H119" s="18">
        <f>AVERAGEIFS('Crush Margins'!H$2:H$3200,'Crush Margins'!$B$2:$B$3200,'Crush Margins Monthly'!$B119,'Crush Margins'!$C$2:$C$3200,'Crush Margins Monthly'!$C119)</f>
        <v>96.855652173913043</v>
      </c>
      <c r="I119" s="18">
        <f>AVERAGEIFS('Crush Margins'!I$2:I$3200,'Crush Margins'!$B$2:$B$3200,'Crush Margins Monthly'!$B119,'Crush Margins'!$C$2:$C$3200,'Crush Margins Monthly'!$C119)</f>
        <v>80.538695652173899</v>
      </c>
    </row>
    <row r="120" spans="1:9" x14ac:dyDescent="0.2">
      <c r="A120" s="17">
        <v>43405</v>
      </c>
      <c r="B120" s="15">
        <f t="shared" si="2"/>
        <v>11</v>
      </c>
      <c r="C120" s="15">
        <f t="shared" si="3"/>
        <v>2018</v>
      </c>
      <c r="D120" s="18">
        <f>AVERAGEIFS('Crush Margins'!D$2:D$3200,'Crush Margins'!$B$2:$B$3200,'Crush Margins Monthly'!$B120,'Crush Margins'!$C$2:$C$3200,'Crush Margins Monthly'!$C120)</f>
        <v>24.84095238095238</v>
      </c>
      <c r="E120" s="18">
        <f>AVERAGEIFS('Crush Margins'!E$2:E$3200,'Crush Margins'!$B$2:$B$3200,'Crush Margins Monthly'!$B120,'Crush Margins'!$C$2:$C$3200,'Crush Margins Monthly'!$C120)</f>
        <v>33.825716060624494</v>
      </c>
      <c r="F120" s="18">
        <f>AVERAGEIFS('Crush Margins'!F$2:F$3200,'Crush Margins'!$B$2:$B$3200,'Crush Margins Monthly'!$B120,'Crush Margins'!$C$2:$C$3200,'Crush Margins Monthly'!$C120)</f>
        <v>-20.658095238095232</v>
      </c>
      <c r="G120" s="18"/>
      <c r="H120" s="18">
        <f>AVERAGEIFS('Crush Margins'!H$2:H$3200,'Crush Margins'!$B$2:$B$3200,'Crush Margins Monthly'!$B120,'Crush Margins'!$C$2:$C$3200,'Crush Margins Monthly'!$C120)</f>
        <v>61.67047619047618</v>
      </c>
      <c r="I120" s="18">
        <f>AVERAGEIFS('Crush Margins'!I$2:I$3200,'Crush Margins'!$B$2:$B$3200,'Crush Margins Monthly'!$B120,'Crush Margins'!$C$2:$C$3200,'Crush Margins Monthly'!$C120)</f>
        <v>56.200476190476195</v>
      </c>
    </row>
    <row r="121" spans="1:9" x14ac:dyDescent="0.2">
      <c r="A121" s="17">
        <v>43435</v>
      </c>
      <c r="B121" s="15">
        <f t="shared" si="2"/>
        <v>12</v>
      </c>
      <c r="C121" s="15">
        <f t="shared" si="3"/>
        <v>2018</v>
      </c>
      <c r="D121" s="18">
        <f>AVERAGEIFS('Crush Margins'!D$2:D$3200,'Crush Margins'!$B$2:$B$3200,'Crush Margins Monthly'!$B121,'Crush Margins'!$C$2:$C$3200,'Crush Margins Monthly'!$C121)</f>
        <v>3.9864999999999995</v>
      </c>
      <c r="E121" s="18">
        <f>AVERAGEIFS('Crush Margins'!E$2:E$3200,'Crush Margins'!$B$2:$B$3200,'Crush Margins Monthly'!$B121,'Crush Margins'!$C$2:$C$3200,'Crush Margins Monthly'!$C121)</f>
        <v>36.353287992482834</v>
      </c>
      <c r="F121" s="18">
        <f>AVERAGEIFS('Crush Margins'!F$2:F$3200,'Crush Margins'!$B$2:$B$3200,'Crush Margins Monthly'!$B121,'Crush Margins'!$C$2:$C$3200,'Crush Margins Monthly'!$C121)</f>
        <v>-52.950999999999986</v>
      </c>
      <c r="G121" s="18"/>
      <c r="H121" s="18">
        <f>AVERAGEIFS('Crush Margins'!H$2:H$3200,'Crush Margins'!$B$2:$B$3200,'Crush Margins Monthly'!$B121,'Crush Margins'!$C$2:$C$3200,'Crush Margins Monthly'!$C121)</f>
        <v>39.989000000000019</v>
      </c>
      <c r="I121" s="18">
        <f>AVERAGEIFS('Crush Margins'!I$2:I$3200,'Crush Margins'!$B$2:$B$3200,'Crush Margins Monthly'!$B121,'Crush Margins'!$C$2:$C$3200,'Crush Margins Monthly'!$C121)</f>
        <v>40.331999999999987</v>
      </c>
    </row>
    <row r="122" spans="1:9" x14ac:dyDescent="0.2">
      <c r="A122" s="17">
        <v>43466</v>
      </c>
      <c r="B122" s="15">
        <f t="shared" si="2"/>
        <v>1</v>
      </c>
      <c r="C122" s="15">
        <f t="shared" si="3"/>
        <v>2019</v>
      </c>
      <c r="D122" s="18">
        <f>AVERAGEIFS('Crush Margins'!D$2:D$3200,'Crush Margins'!$B$2:$B$3200,'Crush Margins Monthly'!$B122,'Crush Margins'!$C$2:$C$3200,'Crush Margins Monthly'!$C122)</f>
        <v>-16.306190476190473</v>
      </c>
      <c r="E122" s="18"/>
      <c r="F122" s="18">
        <f>AVERAGEIFS('Crush Margins'!F$2:F$3200,'Crush Margins'!$B$2:$B$3200,'Crush Margins Monthly'!$B122,'Crush Margins'!$C$2:$C$3200,'Crush Margins Monthly'!$C122)</f>
        <v>-69.610952380952398</v>
      </c>
      <c r="G122" s="18"/>
      <c r="H122" s="18">
        <f>AVERAGEIFS('Crush Margins'!H$2:H$3200,'Crush Margins'!$B$2:$B$3200,'Crush Margins Monthly'!$B122,'Crush Margins'!$C$2:$C$3200,'Crush Margins Monthly'!$C122)</f>
        <v>24.456666666666667</v>
      </c>
      <c r="I122" s="18">
        <f>AVERAGEIFS('Crush Margins'!I$2:I$3200,'Crush Margins'!$B$2:$B$3200,'Crush Margins Monthly'!$B122,'Crush Margins'!$C$2:$C$3200,'Crush Margins Monthly'!$C122)</f>
        <v>31.666666666666661</v>
      </c>
    </row>
    <row r="123" spans="1:9" x14ac:dyDescent="0.2">
      <c r="A123" s="17">
        <v>43497</v>
      </c>
      <c r="B123" s="15">
        <f t="shared" si="2"/>
        <v>2</v>
      </c>
      <c r="C123" s="15">
        <f t="shared" si="3"/>
        <v>2019</v>
      </c>
      <c r="D123" s="18">
        <f>AVERAGEIFS('Crush Margins'!D$2:D$3200,'Crush Margins'!$B$2:$B$3200,'Crush Margins Monthly'!$B123,'Crush Margins'!$C$2:$C$3200,'Crush Margins Monthly'!$C123)</f>
        <v>0.43611111111111117</v>
      </c>
      <c r="E123" s="18"/>
      <c r="F123" s="18">
        <f>AVERAGEIFS('Crush Margins'!F$2:F$3200,'Crush Margins'!$B$2:$B$3200,'Crush Margins Monthly'!$B123,'Crush Margins'!$C$2:$C$3200,'Crush Margins Monthly'!$C123)</f>
        <v>-34.857777777777784</v>
      </c>
      <c r="G123" s="18"/>
      <c r="H123" s="18">
        <f>AVERAGEIFS('Crush Margins'!H$2:H$3200,'Crush Margins'!$B$2:$B$3200,'Crush Margins Monthly'!$B123,'Crush Margins'!$C$2:$C$3200,'Crush Margins Monthly'!$C123)</f>
        <v>39.999444444444435</v>
      </c>
      <c r="I123" s="18">
        <f>AVERAGEIFS('Crush Margins'!I$2:I$3200,'Crush Margins'!$B$2:$B$3200,'Crush Margins Monthly'!$B123,'Crush Margins'!$C$2:$C$3200,'Crush Margins Monthly'!$C123)</f>
        <v>60.736666666666679</v>
      </c>
    </row>
    <row r="124" spans="1:9" x14ac:dyDescent="0.2">
      <c r="A124" s="17">
        <v>43525</v>
      </c>
      <c r="B124" s="15">
        <f t="shared" si="2"/>
        <v>3</v>
      </c>
      <c r="C124" s="15">
        <f t="shared" si="3"/>
        <v>2019</v>
      </c>
      <c r="D124" s="18">
        <f>AVERAGEIFS('Crush Margins'!D$2:D$3200,'Crush Margins'!$B$2:$B$3200,'Crush Margins Monthly'!$B124,'Crush Margins'!$C$2:$C$3200,'Crush Margins Monthly'!$C124)</f>
        <v>-2.0952380952380917E-2</v>
      </c>
      <c r="E124" s="18"/>
      <c r="F124" s="18">
        <f>AVERAGEIFS('Crush Margins'!F$2:F$3200,'Crush Margins'!$B$2:$B$3200,'Crush Margins Monthly'!$B124,'Crush Margins'!$C$2:$C$3200,'Crush Margins Monthly'!$C124)</f>
        <v>-34.061428571428571</v>
      </c>
      <c r="G124" s="18"/>
      <c r="H124" s="18">
        <f>AVERAGEIFS('Crush Margins'!H$2:H$3200,'Crush Margins'!$B$2:$B$3200,'Crush Margins Monthly'!$B124,'Crush Margins'!$C$2:$C$3200,'Crush Margins Monthly'!$C124)</f>
        <v>43.61</v>
      </c>
      <c r="I124" s="18">
        <f>AVERAGEIFS('Crush Margins'!I$2:I$3200,'Crush Margins'!$B$2:$B$3200,'Crush Margins Monthly'!$B124,'Crush Margins'!$C$2:$C$3200,'Crush Margins Monthly'!$C124)</f>
        <v>58.073809523809523</v>
      </c>
    </row>
    <row r="125" spans="1:9" x14ac:dyDescent="0.2">
      <c r="A125" s="17">
        <v>43556</v>
      </c>
      <c r="B125" s="15">
        <f t="shared" si="2"/>
        <v>4</v>
      </c>
      <c r="C125" s="15">
        <f t="shared" si="3"/>
        <v>2019</v>
      </c>
      <c r="D125" s="18">
        <f>AVERAGEIFS('Crush Margins'!D$2:D$3200,'Crush Margins'!$B$2:$B$3200,'Crush Margins Monthly'!$B125,'Crush Margins'!$C$2:$C$3200,'Crush Margins Monthly'!$C125)</f>
        <v>20.800952380952385</v>
      </c>
      <c r="E125" s="18"/>
      <c r="F125" s="18">
        <f>AVERAGEIFS('Crush Margins'!F$2:F$3200,'Crush Margins'!$B$2:$B$3200,'Crush Margins Monthly'!$B125,'Crush Margins'!$C$2:$C$3200,'Crush Margins Monthly'!$C125)</f>
        <v>-14.421428571428573</v>
      </c>
      <c r="G125" s="18"/>
      <c r="H125" s="18">
        <f>AVERAGEIFS('Crush Margins'!H$2:H$3200,'Crush Margins'!$B$2:$B$3200,'Crush Margins Monthly'!$B125,'Crush Margins'!$C$2:$C$3200,'Crush Margins Monthly'!$C125)</f>
        <v>60.600952380952386</v>
      </c>
      <c r="I125" s="18">
        <f>AVERAGEIFS('Crush Margins'!I$2:I$3200,'Crush Margins'!$B$2:$B$3200,'Crush Margins Monthly'!$B125,'Crush Margins'!$C$2:$C$3200,'Crush Margins Monthly'!$C125)</f>
        <v>79.310476190476223</v>
      </c>
    </row>
    <row r="126" spans="1:9" x14ac:dyDescent="0.2">
      <c r="A126" s="17">
        <v>43586</v>
      </c>
      <c r="B126" s="15">
        <f t="shared" si="2"/>
        <v>5</v>
      </c>
      <c r="C126" s="15">
        <f t="shared" si="3"/>
        <v>2019</v>
      </c>
      <c r="D126" s="18">
        <f>AVERAGEIFS('Crush Margins'!D$2:D$3200,'Crush Margins'!$B$2:$B$3200,'Crush Margins Monthly'!$B126,'Crush Margins'!$C$2:$C$3200,'Crush Margins Monthly'!$C126)</f>
        <v>33.318636363636365</v>
      </c>
      <c r="E126" s="18"/>
      <c r="F126" s="18">
        <f>AVERAGEIFS('Crush Margins'!F$2:F$3200,'Crush Margins'!$B$2:$B$3200,'Crush Margins Monthly'!$B126,'Crush Margins'!$C$2:$C$3200,'Crush Margins Monthly'!$C126)</f>
        <v>-0.63954545454545486</v>
      </c>
      <c r="G126" s="18"/>
      <c r="H126" s="18">
        <f>AVERAGEIFS('Crush Margins'!H$2:H$3200,'Crush Margins'!$B$2:$B$3200,'Crush Margins Monthly'!$B126,'Crush Margins'!$C$2:$C$3200,'Crush Margins Monthly'!$C126)</f>
        <v>76.569090909090903</v>
      </c>
      <c r="I126" s="18">
        <f>AVERAGEIFS('Crush Margins'!I$2:I$3200,'Crush Margins'!$B$2:$B$3200,'Crush Margins Monthly'!$B126,'Crush Margins'!$C$2:$C$3200,'Crush Margins Monthly'!$C126)</f>
        <v>84.422272727272713</v>
      </c>
    </row>
    <row r="127" spans="1:9" x14ac:dyDescent="0.2">
      <c r="A127" s="17">
        <v>43617</v>
      </c>
      <c r="B127" s="15">
        <f t="shared" si="2"/>
        <v>6</v>
      </c>
      <c r="C127" s="15">
        <f t="shared" si="3"/>
        <v>2019</v>
      </c>
      <c r="D127" s="18">
        <f>AVERAGEIFS('Crush Margins'!D$2:D$3200,'Crush Margins'!$B$2:$B$3200,'Crush Margins Monthly'!$B127,'Crush Margins'!$C$2:$C$3200,'Crush Margins Monthly'!$C127)</f>
        <v>24.609999999999996</v>
      </c>
      <c r="E127" s="18"/>
      <c r="F127" s="18">
        <f>AVERAGEIFS('Crush Margins'!F$2:F$3200,'Crush Margins'!$B$2:$B$3200,'Crush Margins Monthly'!$B127,'Crush Margins'!$C$2:$C$3200,'Crush Margins Monthly'!$C127)</f>
        <v>-12.847499999999997</v>
      </c>
      <c r="G127" s="18"/>
      <c r="H127" s="18">
        <f>AVERAGEIFS('Crush Margins'!H$2:H$3200,'Crush Margins'!$B$2:$B$3200,'Crush Margins Monthly'!$B127,'Crush Margins'!$C$2:$C$3200,'Crush Margins Monthly'!$C127)</f>
        <v>72.662499999999966</v>
      </c>
      <c r="I127" s="18">
        <f>AVERAGEIFS('Crush Margins'!I$2:I$3200,'Crush Margins'!$B$2:$B$3200,'Crush Margins Monthly'!$B127,'Crush Margins'!$C$2:$C$3200,'Crush Margins Monthly'!$C127)</f>
        <v>60.000000000000021</v>
      </c>
    </row>
    <row r="128" spans="1:9" x14ac:dyDescent="0.2">
      <c r="A128" s="17">
        <v>43647</v>
      </c>
      <c r="B128" s="15">
        <f t="shared" si="2"/>
        <v>7</v>
      </c>
      <c r="C128" s="15">
        <f t="shared" si="3"/>
        <v>2019</v>
      </c>
      <c r="D128" s="18">
        <f>AVERAGEIFS('Crush Margins'!D$2:D$3200,'Crush Margins'!$B$2:$B$3200,'Crush Margins Monthly'!$B128,'Crush Margins'!$C$2:$C$3200,'Crush Margins Monthly'!$C128)</f>
        <v>28.838636363636354</v>
      </c>
      <c r="E128" s="18"/>
      <c r="F128" s="18">
        <f>AVERAGEIFS('Crush Margins'!F$2:F$3200,'Crush Margins'!$B$2:$B$3200,'Crush Margins Monthly'!$B128,'Crush Margins'!$C$2:$C$3200,'Crush Margins Monthly'!$C128)</f>
        <v>0.2681818181818183</v>
      </c>
      <c r="G128" s="18"/>
      <c r="H128" s="18">
        <f>AVERAGEIFS('Crush Margins'!H$2:H$3200,'Crush Margins'!$B$2:$B$3200,'Crush Margins Monthly'!$B128,'Crush Margins'!$C$2:$C$3200,'Crush Margins Monthly'!$C128)</f>
        <v>71.695454545454538</v>
      </c>
      <c r="I128" s="18">
        <f>AVERAGEIFS('Crush Margins'!I$2:I$3200,'Crush Margins'!$B$2:$B$3200,'Crush Margins Monthly'!$B128,'Crush Margins'!$C$2:$C$3200,'Crush Margins Monthly'!$C128)</f>
        <v>54.81227272727272</v>
      </c>
    </row>
    <row r="129" spans="1:9" x14ac:dyDescent="0.2">
      <c r="A129" s="17">
        <v>43678</v>
      </c>
      <c r="B129" s="15">
        <f t="shared" si="2"/>
        <v>8</v>
      </c>
      <c r="C129" s="15">
        <f t="shared" si="3"/>
        <v>2019</v>
      </c>
      <c r="D129" s="18">
        <f>AVERAGEIFS('Crush Margins'!D$2:D$3200,'Crush Margins'!$B$2:$B$3200,'Crush Margins Monthly'!$B129,'Crush Margins'!$C$2:$C$3200,'Crush Margins Monthly'!$C129)</f>
        <v>26.215000000000011</v>
      </c>
      <c r="E129" s="18"/>
      <c r="F129" s="18">
        <f>AVERAGEIFS('Crush Margins'!F$2:F$3200,'Crush Margins'!$B$2:$B$3200,'Crush Margins Monthly'!$B129,'Crush Margins'!$C$2:$C$3200,'Crush Margins Monthly'!$C129)</f>
        <v>0.21772727272727413</v>
      </c>
      <c r="G129" s="18"/>
      <c r="H129" s="18">
        <f>AVERAGEIFS('Crush Margins'!H$2:H$3200,'Crush Margins'!$B$2:$B$3200,'Crush Margins Monthly'!$B129,'Crush Margins'!$C$2:$C$3200,'Crush Margins Monthly'!$C129)</f>
        <v>68.754090909090905</v>
      </c>
      <c r="I129" s="18">
        <f>AVERAGEIFS('Crush Margins'!I$2:I$3200,'Crush Margins'!$B$2:$B$3200,'Crush Margins Monthly'!$B129,'Crush Margins'!$C$2:$C$3200,'Crush Margins Monthly'!$C129)</f>
        <v>84.929090909090874</v>
      </c>
    </row>
    <row r="130" spans="1:9" x14ac:dyDescent="0.2">
      <c r="A130" s="17">
        <v>43709</v>
      </c>
      <c r="B130" s="15">
        <f t="shared" si="2"/>
        <v>9</v>
      </c>
      <c r="C130" s="15">
        <f t="shared" si="3"/>
        <v>2019</v>
      </c>
      <c r="D130" s="18">
        <f>AVERAGEIFS('Crush Margins'!D$2:D$3200,'Crush Margins'!$B$2:$B$3200,'Crush Margins Monthly'!$B130,'Crush Margins'!$C$2:$C$3200,'Crush Margins Monthly'!$C130)</f>
        <v>17.223499999999998</v>
      </c>
      <c r="E130" s="18"/>
      <c r="F130" s="18">
        <f>AVERAGEIFS('Crush Margins'!F$2:F$3200,'Crush Margins'!$B$2:$B$3200,'Crush Margins Monthly'!$B130,'Crush Margins'!$C$2:$C$3200,'Crush Margins Monthly'!$C130)</f>
        <v>-13.295999999999998</v>
      </c>
      <c r="G130" s="18"/>
      <c r="H130" s="18">
        <f>AVERAGEIFS('Crush Margins'!H$2:H$3200,'Crush Margins'!$B$2:$B$3200,'Crush Margins Monthly'!$B130,'Crush Margins'!$C$2:$C$3200,'Crush Margins Monthly'!$C130)</f>
        <v>67.913999999999987</v>
      </c>
      <c r="I130" s="18">
        <f>AVERAGEIFS('Crush Margins'!I$2:I$3200,'Crush Margins'!$B$2:$B$3200,'Crush Margins Monthly'!$B130,'Crush Margins'!$C$2:$C$3200,'Crush Margins Monthly'!$C130)</f>
        <v>70.814499999999995</v>
      </c>
    </row>
    <row r="131" spans="1:9" x14ac:dyDescent="0.2">
      <c r="A131" s="17">
        <v>43739</v>
      </c>
      <c r="B131" s="15">
        <f t="shared" ref="B131:B153" si="4">MONTH(A131)</f>
        <v>10</v>
      </c>
      <c r="C131" s="15">
        <f t="shared" ref="C131:C153" si="5">YEAR(A131)</f>
        <v>2019</v>
      </c>
      <c r="D131" s="18">
        <f>AVERAGEIFS('Crush Margins'!D$2:D$3200,'Crush Margins'!$B$2:$B$3200,'Crush Margins Monthly'!$B131,'Crush Margins'!$C$2:$C$3200,'Crush Margins Monthly'!$C131)</f>
        <v>-1.4069565217391298</v>
      </c>
      <c r="E131" s="18"/>
      <c r="F131" s="18">
        <f>AVERAGEIFS('Crush Margins'!F$2:F$3200,'Crush Margins'!$B$2:$B$3200,'Crush Margins Monthly'!$B131,'Crush Margins'!$C$2:$C$3200,'Crush Margins Monthly'!$C131)</f>
        <v>-36.091304347826103</v>
      </c>
      <c r="G131" s="18"/>
      <c r="H131" s="18">
        <f>AVERAGEIFS('Crush Margins'!H$2:H$3200,'Crush Margins'!$B$2:$B$3200,'Crush Margins Monthly'!$B131,'Crush Margins'!$C$2:$C$3200,'Crush Margins Monthly'!$C131)</f>
        <v>54.342608695652181</v>
      </c>
      <c r="I131" s="18">
        <f>AVERAGEIFS('Crush Margins'!I$2:I$3200,'Crush Margins'!$B$2:$B$3200,'Crush Margins Monthly'!$B131,'Crush Margins'!$C$2:$C$3200,'Crush Margins Monthly'!$C131)</f>
        <v>53.036086956521757</v>
      </c>
    </row>
    <row r="132" spans="1:9" x14ac:dyDescent="0.2">
      <c r="A132" s="17">
        <v>43770</v>
      </c>
      <c r="B132" s="15">
        <f t="shared" si="4"/>
        <v>11</v>
      </c>
      <c r="C132" s="15">
        <f t="shared" si="5"/>
        <v>2019</v>
      </c>
      <c r="D132" s="18">
        <f>AVERAGEIFS('Crush Margins'!D$2:D$3200,'Crush Margins'!$B$2:$B$3200,'Crush Margins Monthly'!$B132,'Crush Margins'!$C$2:$C$3200,'Crush Margins Monthly'!$C132)</f>
        <v>21.590000000000007</v>
      </c>
      <c r="E132" s="18"/>
      <c r="F132" s="18">
        <f>AVERAGEIFS('Crush Margins'!F$2:F$3200,'Crush Margins'!$B$2:$B$3200,'Crush Margins Monthly'!$B132,'Crush Margins'!$C$2:$C$3200,'Crush Margins Monthly'!$C132)</f>
        <v>-20.445499999999999</v>
      </c>
      <c r="G132" s="18"/>
      <c r="H132" s="18">
        <f>AVERAGEIFS('Crush Margins'!H$2:H$3200,'Crush Margins'!$B$2:$B$3200,'Crush Margins Monthly'!$B132,'Crush Margins'!$C$2:$C$3200,'Crush Margins Monthly'!$C132)</f>
        <v>65.035499999999999</v>
      </c>
      <c r="I132" s="18">
        <f>AVERAGEIFS('Crush Margins'!I$2:I$3200,'Crush Margins'!$B$2:$B$3200,'Crush Margins Monthly'!$B132,'Crush Margins'!$C$2:$C$3200,'Crush Margins Monthly'!$C132)</f>
        <v>59.073499999999989</v>
      </c>
    </row>
    <row r="133" spans="1:9" x14ac:dyDescent="0.2">
      <c r="A133" s="17">
        <v>43800</v>
      </c>
      <c r="B133" s="15">
        <f t="shared" si="4"/>
        <v>12</v>
      </c>
      <c r="C133" s="15">
        <f t="shared" si="5"/>
        <v>2019</v>
      </c>
      <c r="D133" s="18">
        <f>AVERAGEIFS('Crush Margins'!D$2:D$3200,'Crush Margins'!$B$2:$B$3200,'Crush Margins Monthly'!$B133,'Crush Margins'!$C$2:$C$3200,'Crush Margins Monthly'!$C133)</f>
        <v>13.933809523809524</v>
      </c>
      <c r="E133" s="18"/>
      <c r="F133" s="18">
        <f>AVERAGEIFS('Crush Margins'!F$2:F$3200,'Crush Margins'!$B$2:$B$3200,'Crush Margins Monthly'!$B133,'Crush Margins'!$C$2:$C$3200,'Crush Margins Monthly'!$C133)</f>
        <v>-35.646666666666668</v>
      </c>
      <c r="G133" s="18"/>
      <c r="H133" s="18">
        <f>AVERAGEIFS('Crush Margins'!H$2:H$3200,'Crush Margins'!$B$2:$B$3200,'Crush Margins Monthly'!$B133,'Crush Margins'!$C$2:$C$3200,'Crush Margins Monthly'!$C133)</f>
        <v>65.949999999999989</v>
      </c>
      <c r="I133" s="18">
        <f>AVERAGEIFS('Crush Margins'!I$2:I$3200,'Crush Margins'!$B$2:$B$3200,'Crush Margins Monthly'!$B133,'Crush Margins'!$C$2:$C$3200,'Crush Margins Monthly'!$C133)</f>
        <v>39.54</v>
      </c>
    </row>
    <row r="134" spans="1:9" x14ac:dyDescent="0.2">
      <c r="A134" s="17">
        <v>43831</v>
      </c>
      <c r="B134" s="15">
        <f t="shared" si="4"/>
        <v>1</v>
      </c>
      <c r="C134" s="15">
        <f t="shared" si="5"/>
        <v>2020</v>
      </c>
      <c r="D134" s="18">
        <f>AVERAGEIFS('Crush Margins'!D$2:D$3200,'Crush Margins'!$B$2:$B$3200,'Crush Margins Monthly'!$B134,'Crush Margins'!$C$2:$C$3200,'Crush Margins Monthly'!$C134)</f>
        <v>28.133181818181807</v>
      </c>
      <c r="E134" s="18">
        <f>AVERAGEIFS('Crush Margins'!E$2:E$3200,'Crush Margins'!$B$2:$B$3200,'Crush Margins Monthly'!$B134,'Crush Margins'!$C$2:$C$3200,'Crush Margins Monthly'!$C134)</f>
        <v>54.974545454545456</v>
      </c>
      <c r="F134" s="18">
        <f>AVERAGEIFS('Crush Margins'!F$2:F$3200,'Crush Margins'!$B$2:$B$3200,'Crush Margins Monthly'!$B134,'Crush Margins'!$C$2:$C$3200,'Crush Margins Monthly'!$C134)</f>
        <v>-14.454999999999997</v>
      </c>
      <c r="G134" s="18"/>
      <c r="H134" s="18">
        <f>AVERAGEIFS('Crush Margins'!H$2:H$3200,'Crush Margins'!$B$2:$B$3200,'Crush Margins Monthly'!$B134,'Crush Margins'!$C$2:$C$3200,'Crush Margins Monthly'!$C134)</f>
        <v>79.554090909090945</v>
      </c>
      <c r="I134" s="18">
        <f>AVERAGEIFS('Crush Margins'!I$2:I$3200,'Crush Margins'!$B$2:$B$3200,'Crush Margins Monthly'!$B134,'Crush Margins'!$C$2:$C$3200,'Crush Margins Monthly'!$C134)</f>
        <v>71.204090909090851</v>
      </c>
    </row>
    <row r="135" spans="1:9" x14ac:dyDescent="0.2">
      <c r="A135" s="17">
        <v>43862</v>
      </c>
      <c r="B135" s="15">
        <f t="shared" si="4"/>
        <v>2</v>
      </c>
      <c r="C135" s="15">
        <f t="shared" si="5"/>
        <v>2020</v>
      </c>
      <c r="D135" s="18">
        <f>AVERAGEIFS('Crush Margins'!D$2:D$3200,'Crush Margins'!$B$2:$B$3200,'Crush Margins Monthly'!$B135,'Crush Margins'!$C$2:$C$3200,'Crush Margins Monthly'!$C135)</f>
        <v>42.767499999999991</v>
      </c>
      <c r="E135" s="18">
        <f>AVERAGEIFS('Crush Margins'!E$2:E$3200,'Crush Margins'!$B$2:$B$3200,'Crush Margins Monthly'!$B135,'Crush Margins'!$C$2:$C$3200,'Crush Margins Monthly'!$C135)</f>
        <v>28.3505</v>
      </c>
      <c r="F135" s="18">
        <f>AVERAGEIFS('Crush Margins'!F$2:F$3200,'Crush Margins'!$B$2:$B$3200,'Crush Margins Monthly'!$B135,'Crush Margins'!$C$2:$C$3200,'Crush Margins Monthly'!$C135)</f>
        <v>5.8524999999999991</v>
      </c>
      <c r="G135" s="18"/>
      <c r="H135" s="18">
        <f>AVERAGEIFS('Crush Margins'!H$2:H$3200,'Crush Margins'!$B$2:$B$3200,'Crush Margins Monthly'!$B135,'Crush Margins'!$C$2:$C$3200,'Crush Margins Monthly'!$C135)</f>
        <v>95.777499999999989</v>
      </c>
      <c r="I135" s="18">
        <f>AVERAGEIFS('Crush Margins'!I$2:I$3200,'Crush Margins'!$B$2:$B$3200,'Crush Margins Monthly'!$B135,'Crush Margins'!$C$2:$C$3200,'Crush Margins Monthly'!$C135)</f>
        <v>88.912500000000009</v>
      </c>
    </row>
    <row r="136" spans="1:9" x14ac:dyDescent="0.2">
      <c r="A136" s="17">
        <v>43891</v>
      </c>
      <c r="B136" s="15">
        <f t="shared" si="4"/>
        <v>3</v>
      </c>
      <c r="C136" s="15">
        <f t="shared" si="5"/>
        <v>2020</v>
      </c>
      <c r="D136" s="18">
        <f>AVERAGEIFS('Crush Margins'!D$2:D$3200,'Crush Margins'!$B$2:$B$3200,'Crush Margins Monthly'!$B136,'Crush Margins'!$C$2:$C$3200,'Crush Margins Monthly'!$C136)</f>
        <v>53.085909090909105</v>
      </c>
      <c r="E136" s="18">
        <f>AVERAGEIFS('Crush Margins'!E$2:E$3200,'Crush Margins'!$B$2:$B$3200,'Crush Margins Monthly'!$B136,'Crush Margins'!$C$2:$C$3200,'Crush Margins Monthly'!$C136)</f>
        <v>45.378181818181822</v>
      </c>
      <c r="F136" s="18">
        <f>AVERAGEIFS('Crush Margins'!F$2:F$3200,'Crush Margins'!$B$2:$B$3200,'Crush Margins Monthly'!$B136,'Crush Margins'!$C$2:$C$3200,'Crush Margins Monthly'!$C136)</f>
        <v>0.6445454545454552</v>
      </c>
      <c r="G136" s="18"/>
      <c r="H136" s="18">
        <f>AVERAGEIFS('Crush Margins'!H$2:H$3200,'Crush Margins'!$B$2:$B$3200,'Crush Margins Monthly'!$B136,'Crush Margins'!$C$2:$C$3200,'Crush Margins Monthly'!$C136)</f>
        <v>97.392727272727313</v>
      </c>
      <c r="I136" s="18">
        <f>AVERAGEIFS('Crush Margins'!I$2:I$3200,'Crush Margins'!$B$2:$B$3200,'Crush Margins Monthly'!$B136,'Crush Margins'!$C$2:$C$3200,'Crush Margins Monthly'!$C136)</f>
        <v>107.6309090909091</v>
      </c>
    </row>
    <row r="137" spans="1:9" x14ac:dyDescent="0.2">
      <c r="A137" s="17">
        <v>43922</v>
      </c>
      <c r="B137" s="15">
        <f t="shared" si="4"/>
        <v>4</v>
      </c>
      <c r="C137" s="15">
        <f t="shared" si="5"/>
        <v>2020</v>
      </c>
      <c r="D137" s="18">
        <f>AVERAGEIFS('Crush Margins'!D$2:D$3200,'Crush Margins'!$B$2:$B$3200,'Crush Margins Monthly'!$B137,'Crush Margins'!$C$2:$C$3200,'Crush Margins Monthly'!$C137)</f>
        <v>77.485238095238103</v>
      </c>
      <c r="E137" s="18">
        <f>AVERAGEIFS('Crush Margins'!E$2:E$3200,'Crush Margins'!$B$2:$B$3200,'Crush Margins Monthly'!$B137,'Crush Margins'!$C$2:$C$3200,'Crush Margins Monthly'!$C137)</f>
        <v>29.464999999999996</v>
      </c>
      <c r="F137" s="18">
        <f>AVERAGEIFS('Crush Margins'!F$2:F$3200,'Crush Margins'!$B$2:$B$3200,'Crush Margins Monthly'!$B137,'Crush Margins'!$C$2:$C$3200,'Crush Margins Monthly'!$C137)</f>
        <v>26.160476190476196</v>
      </c>
      <c r="G137" s="18"/>
      <c r="H137" s="18">
        <f>AVERAGEIFS('Crush Margins'!H$2:H$3200,'Crush Margins'!$B$2:$B$3200,'Crush Margins Monthly'!$B137,'Crush Margins'!$C$2:$C$3200,'Crush Margins Monthly'!$C137)</f>
        <v>102.74380952380955</v>
      </c>
      <c r="I137" s="18">
        <f>AVERAGEIFS('Crush Margins'!I$2:I$3200,'Crush Margins'!$B$2:$B$3200,'Crush Margins Monthly'!$B137,'Crush Margins'!$C$2:$C$3200,'Crush Margins Monthly'!$C137)</f>
        <v>135.06571428571425</v>
      </c>
    </row>
    <row r="138" spans="1:9" x14ac:dyDescent="0.2">
      <c r="A138" s="17">
        <v>43952</v>
      </c>
      <c r="B138" s="15">
        <f t="shared" si="4"/>
        <v>5</v>
      </c>
      <c r="C138" s="15">
        <f t="shared" si="5"/>
        <v>2020</v>
      </c>
      <c r="D138" s="18">
        <f>AVERAGEIFS('Crush Margins'!D$2:D$3200,'Crush Margins'!$B$2:$B$3200,'Crush Margins Monthly'!$B138,'Crush Margins'!$C$2:$C$3200,'Crush Margins Monthly'!$C138)</f>
        <v>77.412499999999994</v>
      </c>
      <c r="E138" s="18">
        <f>AVERAGEIFS('Crush Margins'!E$2:E$3200,'Crush Margins'!$B$2:$B$3200,'Crush Margins Monthly'!$B138,'Crush Margins'!$C$2:$C$3200,'Crush Margins Monthly'!$C138)</f>
        <v>29.015882352941173</v>
      </c>
      <c r="F138" s="18">
        <f>AVERAGEIFS('Crush Margins'!F$2:F$3200,'Crush Margins'!$B$2:$B$3200,'Crush Margins Monthly'!$B138,'Crush Margins'!$C$2:$C$3200,'Crush Margins Monthly'!$C138)</f>
        <v>24.701000000000001</v>
      </c>
      <c r="G138" s="18"/>
      <c r="H138" s="18">
        <f>AVERAGEIFS('Crush Margins'!H$2:H$3200,'Crush Margins'!$B$2:$B$3200,'Crush Margins Monthly'!$B138,'Crush Margins'!$C$2:$C$3200,'Crush Margins Monthly'!$C138)</f>
        <v>102.503</v>
      </c>
      <c r="I138" s="18">
        <f>AVERAGEIFS('Crush Margins'!I$2:I$3200,'Crush Margins'!$B$2:$B$3200,'Crush Margins Monthly'!$B138,'Crush Margins'!$C$2:$C$3200,'Crush Margins Monthly'!$C138)</f>
        <v>127.28749999999999</v>
      </c>
    </row>
    <row r="139" spans="1:9" x14ac:dyDescent="0.2">
      <c r="A139" s="17">
        <v>43983</v>
      </c>
      <c r="B139" s="15">
        <f t="shared" si="4"/>
        <v>6</v>
      </c>
      <c r="C139" s="15">
        <f t="shared" si="5"/>
        <v>2020</v>
      </c>
      <c r="D139" s="18">
        <f>AVERAGEIFS('Crush Margins'!D$2:D$3200,'Crush Margins'!$B$2:$B$3200,'Crush Margins Monthly'!$B139,'Crush Margins'!$C$2:$C$3200,'Crush Margins Monthly'!$C139)</f>
        <v>69.654090909090911</v>
      </c>
      <c r="E139" s="18">
        <f>AVERAGEIFS('Crush Margins'!E$2:E$3200,'Crush Margins'!$B$2:$B$3200,'Crush Margins Monthly'!$B139,'Crush Margins'!$C$2:$C$3200,'Crush Margins Monthly'!$C139)</f>
        <v>31.570999999999991</v>
      </c>
      <c r="F139" s="18">
        <f>AVERAGEIFS('Crush Margins'!F$2:F$3200,'Crush Margins'!$B$2:$B$3200,'Crush Margins Monthly'!$B139,'Crush Margins'!$C$2:$C$3200,'Crush Margins Monthly'!$C139)</f>
        <v>35.609545454545447</v>
      </c>
      <c r="G139" s="18"/>
      <c r="H139" s="18">
        <f>AVERAGEIFS('Crush Margins'!H$2:H$3200,'Crush Margins'!$B$2:$B$3200,'Crush Margins Monthly'!$B139,'Crush Margins'!$C$2:$C$3200,'Crush Margins Monthly'!$C139)</f>
        <v>113.22045454545456</v>
      </c>
      <c r="I139" s="18">
        <f>AVERAGEIFS('Crush Margins'!I$2:I$3200,'Crush Margins'!$B$2:$B$3200,'Crush Margins Monthly'!$B139,'Crush Margins'!$C$2:$C$3200,'Crush Margins Monthly'!$C139)</f>
        <v>128.95045454545459</v>
      </c>
    </row>
    <row r="140" spans="1:9" x14ac:dyDescent="0.2">
      <c r="A140" s="17">
        <v>44013</v>
      </c>
      <c r="B140" s="15">
        <f t="shared" si="4"/>
        <v>7</v>
      </c>
      <c r="C140" s="15">
        <f t="shared" si="5"/>
        <v>2020</v>
      </c>
      <c r="D140" s="18">
        <f>AVERAGEIFS('Crush Margins'!D$2:D$3200,'Crush Margins'!$B$2:$B$3200,'Crush Margins Monthly'!$B140,'Crush Margins'!$C$2:$C$3200,'Crush Margins Monthly'!$C140)</f>
        <v>49.202608695652188</v>
      </c>
      <c r="E140" s="18">
        <f>AVERAGEIFS('Crush Margins'!E$2:E$3200,'Crush Margins'!$B$2:$B$3200,'Crush Margins Monthly'!$B140,'Crush Margins'!$C$2:$C$3200,'Crush Margins Monthly'!$C140)</f>
        <v>42.676521739130436</v>
      </c>
      <c r="F140" s="18">
        <f>AVERAGEIFS('Crush Margins'!F$2:F$3200,'Crush Margins'!$B$2:$B$3200,'Crush Margins Monthly'!$B140,'Crush Margins'!$C$2:$C$3200,'Crush Margins Monthly'!$C140)</f>
        <v>18.171304347826091</v>
      </c>
      <c r="G140" s="18"/>
      <c r="H140" s="18">
        <f>AVERAGEIFS('Crush Margins'!H$2:H$3200,'Crush Margins'!$B$2:$B$3200,'Crush Margins Monthly'!$B140,'Crush Margins'!$C$2:$C$3200,'Crush Margins Monthly'!$C140)</f>
        <v>91.373913043478254</v>
      </c>
      <c r="I140" s="18">
        <f>AVERAGEIFS('Crush Margins'!I$2:I$3200,'Crush Margins'!$B$2:$B$3200,'Crush Margins Monthly'!$B140,'Crush Margins'!$C$2:$C$3200,'Crush Margins Monthly'!$C140)</f>
        <v>118.04304347826091</v>
      </c>
    </row>
    <row r="141" spans="1:9" x14ac:dyDescent="0.2">
      <c r="A141" s="17">
        <v>44044</v>
      </c>
      <c r="B141" s="15">
        <f t="shared" si="4"/>
        <v>8</v>
      </c>
      <c r="C141" s="15">
        <f t="shared" si="5"/>
        <v>2020</v>
      </c>
      <c r="D141" s="18">
        <f>AVERAGEIFS('Crush Margins'!D$2:D$3200,'Crush Margins'!$B$2:$B$3200,'Crush Margins Monthly'!$B141,'Crush Margins'!$C$2:$C$3200,'Crush Margins Monthly'!$C141)</f>
        <v>32.574285714285729</v>
      </c>
      <c r="E141" s="18">
        <f>AVERAGEIFS('Crush Margins'!E$2:E$3200,'Crush Margins'!$B$2:$B$3200,'Crush Margins Monthly'!$B141,'Crush Margins'!$C$2:$C$3200,'Crush Margins Monthly'!$C141)</f>
        <v>68.424500000000009</v>
      </c>
      <c r="F141" s="18">
        <f>AVERAGEIFS('Crush Margins'!F$2:F$3200,'Crush Margins'!$B$2:$B$3200,'Crush Margins Monthly'!$B141,'Crush Margins'!$C$2:$C$3200,'Crush Margins Monthly'!$C141)</f>
        <v>-2.5747619047619055</v>
      </c>
      <c r="G141" s="18"/>
      <c r="H141" s="18">
        <f>AVERAGEIFS('Crush Margins'!H$2:H$3200,'Crush Margins'!$B$2:$B$3200,'Crush Margins Monthly'!$B141,'Crush Margins'!$C$2:$C$3200,'Crush Margins Monthly'!$C141)</f>
        <v>83.642380952380947</v>
      </c>
      <c r="I141" s="18">
        <f>AVERAGEIFS('Crush Margins'!I$2:I$3200,'Crush Margins'!$B$2:$B$3200,'Crush Margins Monthly'!$B141,'Crush Margins'!$C$2:$C$3200,'Crush Margins Monthly'!$C141)</f>
        <v>103.77761904761904</v>
      </c>
    </row>
    <row r="142" spans="1:9" x14ac:dyDescent="0.2">
      <c r="A142" s="17">
        <v>44075</v>
      </c>
      <c r="B142" s="15">
        <f t="shared" si="4"/>
        <v>9</v>
      </c>
      <c r="C142" s="15">
        <f t="shared" si="5"/>
        <v>2020</v>
      </c>
      <c r="D142" s="18">
        <f>AVERAGEIFS('Crush Margins'!D$2:D$3200,'Crush Margins'!$B$2:$B$3200,'Crush Margins Monthly'!$B142,'Crush Margins'!$C$2:$C$3200,'Crush Margins Monthly'!$C142)</f>
        <v>42.78954545454544</v>
      </c>
      <c r="E142" s="18">
        <f>AVERAGEIFS('Crush Margins'!E$2:E$3200,'Crush Margins'!$B$2:$B$3200,'Crush Margins Monthly'!$B142,'Crush Margins'!$C$2:$C$3200,'Crush Margins Monthly'!$C142)</f>
        <v>81.330909090909103</v>
      </c>
      <c r="F142" s="18">
        <f>AVERAGEIFS('Crush Margins'!F$2:F$3200,'Crush Margins'!$B$2:$B$3200,'Crush Margins Monthly'!$B142,'Crush Margins'!$C$2:$C$3200,'Crush Margins Monthly'!$C142)</f>
        <v>-12.68045454545455</v>
      </c>
      <c r="G142" s="18"/>
      <c r="H142" s="18">
        <f>AVERAGEIFS('Crush Margins'!H$2:H$3200,'Crush Margins'!$B$2:$B$3200,'Crush Margins Monthly'!$B142,'Crush Margins'!$C$2:$C$3200,'Crush Margins Monthly'!$C142)</f>
        <v>60.279090909090925</v>
      </c>
      <c r="I142" s="18">
        <f>AVERAGEIFS('Crush Margins'!I$2:I$3200,'Crush Margins'!$B$2:$B$3200,'Crush Margins Monthly'!$B142,'Crush Margins'!$C$2:$C$3200,'Crush Margins Monthly'!$C142)</f>
        <v>85.008636363636327</v>
      </c>
    </row>
    <row r="143" spans="1:9" x14ac:dyDescent="0.2">
      <c r="A143" s="17">
        <v>44105</v>
      </c>
      <c r="B143" s="15">
        <f t="shared" si="4"/>
        <v>10</v>
      </c>
      <c r="C143" s="15">
        <f t="shared" si="5"/>
        <v>2020</v>
      </c>
      <c r="D143" s="18">
        <f>AVERAGEIFS('Crush Margins'!D$2:D$3200,'Crush Margins'!$B$2:$B$3200,'Crush Margins Monthly'!$B143,'Crush Margins'!$C$2:$C$3200,'Crush Margins Monthly'!$C143)</f>
        <v>38.578181818181818</v>
      </c>
      <c r="E143" s="18">
        <f>AVERAGEIFS('Crush Margins'!E$2:E$3200,'Crush Margins'!$B$2:$B$3200,'Crush Margins Monthly'!$B143,'Crush Margins'!$C$2:$C$3200,'Crush Margins Monthly'!$C143)</f>
        <v>65.043636363636338</v>
      </c>
      <c r="F143" s="18">
        <f>AVERAGEIFS('Crush Margins'!F$2:F$3200,'Crush Margins'!$B$2:$B$3200,'Crush Margins Monthly'!$B143,'Crush Margins'!$C$2:$C$3200,'Crush Margins Monthly'!$C143)</f>
        <v>-25.745909090909091</v>
      </c>
      <c r="G143" s="18"/>
      <c r="H143" s="18">
        <f>AVERAGEIFS('Crush Margins'!H$2:H$3200,'Crush Margins'!$B$2:$B$3200,'Crush Margins Monthly'!$B143,'Crush Margins'!$C$2:$C$3200,'Crush Margins Monthly'!$C143)</f>
        <v>48.06227272727272</v>
      </c>
      <c r="I143" s="18">
        <f>AVERAGEIFS('Crush Margins'!I$2:I$3200,'Crush Margins'!$B$2:$B$3200,'Crush Margins Monthly'!$B143,'Crush Margins'!$C$2:$C$3200,'Crush Margins Monthly'!$C143)</f>
        <v>81.776363636363627</v>
      </c>
    </row>
    <row r="144" spans="1:9" x14ac:dyDescent="0.2">
      <c r="A144" s="17">
        <v>44136</v>
      </c>
      <c r="B144" s="15">
        <f t="shared" si="4"/>
        <v>11</v>
      </c>
      <c r="C144" s="15">
        <f t="shared" si="5"/>
        <v>2020</v>
      </c>
      <c r="D144" s="18">
        <f>AVERAGEIFS('Crush Margins'!D$2:D$3200,'Crush Margins'!$B$2:$B$3200,'Crush Margins Monthly'!$B144,'Crush Margins'!$C$2:$C$3200,'Crush Margins Monthly'!$C144)</f>
        <v>30.475238095238097</v>
      </c>
      <c r="E144" s="18">
        <f>AVERAGEIFS('Crush Margins'!E$2:E$3200,'Crush Margins'!$B$2:$B$3200,'Crush Margins Monthly'!$B144,'Crush Margins'!$C$2:$C$3200,'Crush Margins Monthly'!$C144)</f>
        <v>27.222380952380963</v>
      </c>
      <c r="F144" s="18">
        <f>AVERAGEIFS('Crush Margins'!F$2:F$3200,'Crush Margins'!$B$2:$B$3200,'Crush Margins Monthly'!$B144,'Crush Margins'!$C$2:$C$3200,'Crush Margins Monthly'!$C144)</f>
        <v>-65.886190476190478</v>
      </c>
      <c r="G144" s="18"/>
      <c r="H144" s="18">
        <f>AVERAGEIFS('Crush Margins'!H$2:H$3200,'Crush Margins'!$B$2:$B$3200,'Crush Margins Monthly'!$B144,'Crush Margins'!$C$2:$C$3200,'Crush Margins Monthly'!$C144)</f>
        <v>27.154761904761909</v>
      </c>
      <c r="I144" s="18">
        <f>AVERAGEIFS('Crush Margins'!I$2:I$3200,'Crush Margins'!$B$2:$B$3200,'Crush Margins Monthly'!$B144,'Crush Margins'!$C$2:$C$3200,'Crush Margins Monthly'!$C144)</f>
        <v>55.98571428571428</v>
      </c>
    </row>
    <row r="145" spans="1:9" x14ac:dyDescent="0.2">
      <c r="A145" s="17">
        <v>44166</v>
      </c>
      <c r="B145" s="15">
        <f t="shared" si="4"/>
        <v>12</v>
      </c>
      <c r="C145" s="15">
        <f t="shared" si="5"/>
        <v>2020</v>
      </c>
      <c r="D145" s="18">
        <f>AVERAGEIFS('Crush Margins'!D$2:D$3200,'Crush Margins'!$B$2:$B$3200,'Crush Margins Monthly'!$B145,'Crush Margins'!$C$2:$C$3200,'Crush Margins Monthly'!$C145)</f>
        <v>47.993913043478265</v>
      </c>
      <c r="E145" s="18">
        <f>AVERAGEIFS('Crush Margins'!E$2:E$3200,'Crush Margins'!$B$2:$B$3200,'Crush Margins Monthly'!$B145,'Crush Margins'!$C$2:$C$3200,'Crush Margins Monthly'!$C145)</f>
        <v>16.402380952380952</v>
      </c>
      <c r="F145" s="18">
        <f>AVERAGEIFS('Crush Margins'!F$2:F$3200,'Crush Margins'!$B$2:$B$3200,'Crush Margins Monthly'!$B145,'Crush Margins'!$C$2:$C$3200,'Crush Margins Monthly'!$C145)</f>
        <v>-56.617826086956526</v>
      </c>
      <c r="G145" s="18"/>
      <c r="H145" s="18">
        <f>AVERAGEIFS('Crush Margins'!H$2:H$3200,'Crush Margins'!$B$2:$B$3200,'Crush Margins Monthly'!$B145,'Crush Margins'!$C$2:$C$3200,'Crush Margins Monthly'!$C145)</f>
        <v>50.160434782608689</v>
      </c>
      <c r="I145" s="18">
        <f>AVERAGEIFS('Crush Margins'!I$2:I$3200,'Crush Margins'!$B$2:$B$3200,'Crush Margins Monthly'!$B145,'Crush Margins'!$C$2:$C$3200,'Crush Margins Monthly'!$C145)</f>
        <v>83.016521739130425</v>
      </c>
    </row>
    <row r="146" spans="1:9" x14ac:dyDescent="0.2">
      <c r="A146" s="17">
        <v>44197</v>
      </c>
      <c r="B146" s="15">
        <f t="shared" si="4"/>
        <v>1</v>
      </c>
      <c r="C146" s="15">
        <f t="shared" si="5"/>
        <v>2021</v>
      </c>
      <c r="D146" s="18">
        <f>AVERAGEIFS('Crush Margins'!D$2:D$3200,'Crush Margins'!$B$2:$B$3200,'Crush Margins Monthly'!$B146,'Crush Margins'!$C$2:$C$3200,'Crush Margins Monthly'!$C146)</f>
        <v>74.237499999999983</v>
      </c>
      <c r="E146" s="18">
        <f>AVERAGEIFS('Crush Margins'!E$2:E$3200,'Crush Margins'!$B$2:$B$3200,'Crush Margins Monthly'!$B146,'Crush Margins'!$C$2:$C$3200,'Crush Margins Monthly'!$C146)</f>
        <v>35.041000000000011</v>
      </c>
      <c r="F146" s="18">
        <f>AVERAGEIFS('Crush Margins'!F$2:F$3200,'Crush Margins'!$B$2:$B$3200,'Crush Margins Monthly'!$B146,'Crush Margins'!$C$2:$C$3200,'Crush Margins Monthly'!$C146)</f>
        <v>-47.650000000000013</v>
      </c>
      <c r="G146" s="18"/>
      <c r="H146" s="18">
        <f>AVERAGEIFS('Crush Margins'!H$2:H$3200,'Crush Margins'!$B$2:$B$3200,'Crush Margins Monthly'!$B146,'Crush Margins'!$C$2:$C$3200,'Crush Margins Monthly'!$C146)</f>
        <v>69.812499999999986</v>
      </c>
      <c r="I146" s="18">
        <f>AVERAGEIFS('Crush Margins'!I$2:I$3200,'Crush Margins'!$B$2:$B$3200,'Crush Margins Monthly'!$B146,'Crush Margins'!$C$2:$C$3200,'Crush Margins Monthly'!$C146)</f>
        <v>87.382499999999979</v>
      </c>
    </row>
    <row r="147" spans="1:9" x14ac:dyDescent="0.2">
      <c r="A147" s="17">
        <v>44228</v>
      </c>
      <c r="B147" s="15">
        <f t="shared" si="4"/>
        <v>2</v>
      </c>
      <c r="C147" s="15">
        <f t="shared" si="5"/>
        <v>2021</v>
      </c>
      <c r="D147" s="18">
        <f>AVERAGEIFS('Crush Margins'!D$2:D$3200,'Crush Margins'!$B$2:$B$3200,'Crush Margins Monthly'!$B147,'Crush Margins'!$C$2:$C$3200,'Crush Margins Monthly'!$C147)</f>
        <v>99.61999999999999</v>
      </c>
      <c r="E147" s="18">
        <f>AVERAGEIFS('Crush Margins'!E$2:E$3200,'Crush Margins'!$B$2:$B$3200,'Crush Margins Monthly'!$B147,'Crush Margins'!$C$2:$C$3200,'Crush Margins Monthly'!$C147)</f>
        <v>10.566499999999998</v>
      </c>
      <c r="F147" s="18">
        <f>AVERAGEIFS('Crush Margins'!F$2:F$3200,'Crush Margins'!$B$2:$B$3200,'Crush Margins Monthly'!$B147,'Crush Margins'!$C$2:$C$3200,'Crush Margins Monthly'!$C147)</f>
        <v>-10.309999999999992</v>
      </c>
      <c r="G147" s="18"/>
      <c r="H147" s="18">
        <f>AVERAGEIFS('Crush Margins'!H$2:H$3200,'Crush Margins'!$B$2:$B$3200,'Crush Margins Monthly'!$B147,'Crush Margins'!$C$2:$C$3200,'Crush Margins Monthly'!$C147)</f>
        <v>75.997500000000002</v>
      </c>
      <c r="I147" s="18">
        <f>AVERAGEIFS('Crush Margins'!I$2:I$3200,'Crush Margins'!$B$2:$B$3200,'Crush Margins Monthly'!$B147,'Crush Margins'!$C$2:$C$3200,'Crush Margins Monthly'!$C147)</f>
        <v>89.740000000000009</v>
      </c>
    </row>
    <row r="148" spans="1:9" x14ac:dyDescent="0.2">
      <c r="A148" s="17">
        <v>44256</v>
      </c>
      <c r="B148" s="15">
        <f t="shared" si="4"/>
        <v>3</v>
      </c>
      <c r="C148" s="15">
        <f t="shared" si="5"/>
        <v>2021</v>
      </c>
      <c r="D148" s="18">
        <f>AVERAGEIFS('Crush Margins'!D$2:D$3200,'Crush Margins'!$B$2:$B$3200,'Crush Margins Monthly'!$B148,'Crush Margins'!$C$2:$C$3200,'Crush Margins Monthly'!$C148)</f>
        <v>169.86695652173918</v>
      </c>
      <c r="E148" s="18">
        <f>AVERAGEIFS('Crush Margins'!E$2:E$3200,'Crush Margins'!$B$2:$B$3200,'Crush Margins Monthly'!$B148,'Crush Margins'!$C$2:$C$3200,'Crush Margins Monthly'!$C148)</f>
        <v>52.383913043478266</v>
      </c>
      <c r="F148" s="18">
        <f>AVERAGEIFS('Crush Margins'!F$2:F$3200,'Crush Margins'!$B$2:$B$3200,'Crush Margins Monthly'!$B148,'Crush Margins'!$C$2:$C$3200,'Crush Margins Monthly'!$C148)</f>
        <v>75.42043478260868</v>
      </c>
      <c r="G148" s="18"/>
      <c r="H148" s="18">
        <f>AVERAGEIFS('Crush Margins'!H$2:H$3200,'Crush Margins'!$B$2:$B$3200,'Crush Margins Monthly'!$B148,'Crush Margins'!$C$2:$C$3200,'Crush Margins Monthly'!$C148)</f>
        <v>113.41869565217392</v>
      </c>
      <c r="I148" s="18">
        <f>AVERAGEIFS('Crush Margins'!I$2:I$3200,'Crush Margins'!$B$2:$B$3200,'Crush Margins Monthly'!$B148,'Crush Margins'!$C$2:$C$3200,'Crush Margins Monthly'!$C148)</f>
        <v>148.63391304347823</v>
      </c>
    </row>
    <row r="149" spans="1:9" x14ac:dyDescent="0.2">
      <c r="A149" s="17">
        <v>44287</v>
      </c>
      <c r="B149" s="15">
        <f t="shared" si="4"/>
        <v>4</v>
      </c>
      <c r="C149" s="15">
        <f t="shared" si="5"/>
        <v>2021</v>
      </c>
      <c r="D149" s="18">
        <f>AVERAGEIFS('Crush Margins'!D$2:D$3200,'Crush Margins'!$B$2:$B$3200,'Crush Margins Monthly'!$B149,'Crush Margins'!$C$2:$C$3200,'Crush Margins Monthly'!$C149)</f>
        <v>174.54363636363638</v>
      </c>
      <c r="E149" s="18">
        <f>AVERAGEIFS('Crush Margins'!E$2:E$3200,'Crush Margins'!$B$2:$B$3200,'Crush Margins Monthly'!$B149,'Crush Margins'!$C$2:$C$3200,'Crush Margins Monthly'!$C149)</f>
        <v>30.571000000000009</v>
      </c>
      <c r="F149" s="18">
        <f>AVERAGEIFS('Crush Margins'!F$2:F$3200,'Crush Margins'!$B$2:$B$3200,'Crush Margins Monthly'!$B149,'Crush Margins'!$C$2:$C$3200,'Crush Margins Monthly'!$C149)</f>
        <v>92.669545454545457</v>
      </c>
      <c r="G149" s="18"/>
      <c r="H149" s="18">
        <f>AVERAGEIFS('Crush Margins'!H$2:H$3200,'Crush Margins'!$B$2:$B$3200,'Crush Margins Monthly'!$B149,'Crush Margins'!$C$2:$C$3200,'Crush Margins Monthly'!$C149)</f>
        <v>163.20772727272731</v>
      </c>
      <c r="I149" s="18">
        <f>AVERAGEIFS('Crush Margins'!I$2:I$3200,'Crush Margins'!$B$2:$B$3200,'Crush Margins Monthly'!$B149,'Crush Margins'!$C$2:$C$3200,'Crush Margins Monthly'!$C149)</f>
        <v>205.65318181818185</v>
      </c>
    </row>
    <row r="150" spans="1:9" x14ac:dyDescent="0.2">
      <c r="A150" s="17">
        <v>44317</v>
      </c>
      <c r="B150" s="15">
        <f t="shared" si="4"/>
        <v>5</v>
      </c>
      <c r="C150" s="15">
        <f t="shared" si="5"/>
        <v>2021</v>
      </c>
      <c r="D150" s="18">
        <f>AVERAGEIFS('Crush Margins'!D$2:D$3200,'Crush Margins'!$B$2:$B$3200,'Crush Margins Monthly'!$B150,'Crush Margins'!$C$2:$C$3200,'Crush Margins Monthly'!$C150)</f>
        <v>110.8752380952381</v>
      </c>
      <c r="E150" s="18">
        <f>AVERAGEIFS('Crush Margins'!E$2:E$3200,'Crush Margins'!$B$2:$B$3200,'Crush Margins Monthly'!$B150,'Crush Margins'!$C$2:$C$3200,'Crush Margins Monthly'!$C150)</f>
        <v>64.499473684210528</v>
      </c>
      <c r="F150" s="18">
        <f>AVERAGEIFS('Crush Margins'!F$2:F$3200,'Crush Margins'!$B$2:$B$3200,'Crush Margins Monthly'!$B150,'Crush Margins'!$C$2:$C$3200,'Crush Margins Monthly'!$C150)</f>
        <v>40.8904761904762</v>
      </c>
      <c r="G150" s="18"/>
      <c r="H150" s="18">
        <f>AVERAGEIFS('Crush Margins'!H$2:H$3200,'Crush Margins'!$B$2:$B$3200,'Crush Margins Monthly'!$B150,'Crush Margins'!$C$2:$C$3200,'Crush Margins Monthly'!$C150)</f>
        <v>182.80333333333334</v>
      </c>
      <c r="I150" s="18">
        <f>AVERAGEIFS('Crush Margins'!I$2:I$3200,'Crush Margins'!$B$2:$B$3200,'Crush Margins Monthly'!$B150,'Crush Margins'!$C$2:$C$3200,'Crush Margins Monthly'!$C150)</f>
        <v>184.09333333333339</v>
      </c>
    </row>
    <row r="151" spans="1:9" x14ac:dyDescent="0.2">
      <c r="A151" s="17">
        <v>44348</v>
      </c>
      <c r="B151" s="15">
        <f t="shared" si="4"/>
        <v>6</v>
      </c>
      <c r="C151" s="15">
        <f t="shared" si="5"/>
        <v>2021</v>
      </c>
      <c r="D151" s="18">
        <f>AVERAGEIFS('Crush Margins'!D$2:D$3200,'Crush Margins'!$B$2:$B$3200,'Crush Margins Monthly'!$B151,'Crush Margins'!$C$2:$C$3200,'Crush Margins Monthly'!$C151)</f>
        <v>45.691818181818164</v>
      </c>
      <c r="E151" s="18">
        <f>AVERAGEIFS('Crush Margins'!E$2:E$3200,'Crush Margins'!$B$2:$B$3200,'Crush Margins Monthly'!$B151,'Crush Margins'!$C$2:$C$3200,'Crush Margins Monthly'!$C151)</f>
        <v>81.06590909090913</v>
      </c>
      <c r="F151" s="18">
        <f>AVERAGEIFS('Crush Margins'!F$2:F$3200,'Crush Margins'!$B$2:$B$3200,'Crush Margins Monthly'!$B151,'Crush Margins'!$C$2:$C$3200,'Crush Margins Monthly'!$C151)</f>
        <v>-8.030454545454548</v>
      </c>
      <c r="G151" s="18"/>
      <c r="H151" s="18">
        <f>AVERAGEIFS('Crush Margins'!H$2:H$3200,'Crush Margins'!$B$2:$B$3200,'Crush Margins Monthly'!$B151,'Crush Margins'!$C$2:$C$3200,'Crush Margins Monthly'!$C151)</f>
        <v>190.22499999999999</v>
      </c>
      <c r="I151" s="18">
        <f>AVERAGEIFS('Crush Margins'!I$2:I$3200,'Crush Margins'!$B$2:$B$3200,'Crush Margins Monthly'!$B151,'Crush Margins'!$C$2:$C$3200,'Crush Margins Monthly'!$C151)</f>
        <v>171.26772727272729</v>
      </c>
    </row>
    <row r="152" spans="1:9" x14ac:dyDescent="0.2">
      <c r="A152" s="17">
        <v>44378</v>
      </c>
      <c r="B152" s="15">
        <f t="shared" si="4"/>
        <v>7</v>
      </c>
      <c r="C152" s="15">
        <f t="shared" si="5"/>
        <v>2021</v>
      </c>
      <c r="D152" s="18">
        <f>AVERAGEIFS('Crush Margins'!D$2:D$3200,'Crush Margins'!$B$2:$B$3200,'Crush Margins Monthly'!$B152,'Crush Margins'!$C$2:$C$3200,'Crush Margins Monthly'!$C152)</f>
        <v>26.143181818181812</v>
      </c>
      <c r="E152" s="18">
        <f>AVERAGEIFS('Crush Margins'!E$2:E$3200,'Crush Margins'!$B$2:$B$3200,'Crush Margins Monthly'!$B152,'Crush Margins'!$C$2:$C$3200,'Crush Margins Monthly'!$C152)</f>
        <v>60.520909090909115</v>
      </c>
      <c r="F152" s="18">
        <f>AVERAGEIFS('Crush Margins'!F$2:F$3200,'Crush Margins'!$B$2:$B$3200,'Crush Margins Monthly'!$B152,'Crush Margins'!$C$2:$C$3200,'Crush Margins Monthly'!$C152)</f>
        <v>-12.380909090909091</v>
      </c>
      <c r="G152" s="18" t="e">
        <f>AVERAGEIFS('Crush Margins'!G$2:G$3200,'Crush Margins'!$B$2:$B$3200,'Crush Margins Monthly'!$B152,'Crush Margins'!$C$2:$C$3200,'Crush Margins Monthly'!$C152)</f>
        <v>#DIV/0!</v>
      </c>
      <c r="H152" s="18">
        <f>AVERAGEIFS('Crush Margins'!H$2:H$3200,'Crush Margins'!$B$2:$B$3200,'Crush Margins Monthly'!$B152,'Crush Margins'!$C$2:$C$3200,'Crush Margins Monthly'!$C152)</f>
        <v>169.50363636363645</v>
      </c>
      <c r="I152" s="18">
        <f>AVERAGEIFS('Crush Margins'!I$2:I$3200,'Crush Margins'!$B$2:$B$3200,'Crush Margins Monthly'!$B152,'Crush Margins'!$C$2:$C$3200,'Crush Margins Monthly'!$C152)</f>
        <v>121.95227272727267</v>
      </c>
    </row>
    <row r="153" spans="1:9" x14ac:dyDescent="0.2">
      <c r="A153" s="17">
        <v>44409</v>
      </c>
      <c r="B153" s="15">
        <f t="shared" si="4"/>
        <v>8</v>
      </c>
      <c r="C153" s="15">
        <f t="shared" si="5"/>
        <v>2021</v>
      </c>
      <c r="D153" s="18" t="e">
        <f ca="1">AVERAGEIFS('Crush Margins'!D$2:D$3200,'Crush Margins'!$B$2:$B$3200,'Crush Margins Monthly'!$B153,'Crush Margins'!$C$2:$C$3200,'Crush Margins Monthly'!$C153)</f>
        <v>#NAME?</v>
      </c>
      <c r="E153" s="18">
        <f>AVERAGEIFS('Crush Margins'!E$2:E$3200,'Crush Margins'!$B$2:$B$3200,'Crush Margins Monthly'!$B153,'Crush Margins'!$C$2:$C$3200,'Crush Margins Monthly'!$C153)</f>
        <v>67.69</v>
      </c>
      <c r="F153" s="18" t="e">
        <f ca="1">AVERAGEIFS('Crush Margins'!F$2:F$3200,'Crush Margins'!$B$2:$B$3200,'Crush Margins Monthly'!$B153,'Crush Margins'!$C$2:$C$3200,'Crush Margins Monthly'!$C153)</f>
        <v>#NAME?</v>
      </c>
      <c r="G153" s="18" t="e">
        <f ca="1">AVERAGEIFS('Crush Margins'!G$2:G$3200,'Crush Margins'!$B$2:$B$3200,'Crush Margins Monthly'!$B153,'Crush Margins'!$C$2:$C$3200,'Crush Margins Monthly'!$C153)</f>
        <v>#NAME?</v>
      </c>
      <c r="H153" s="18" t="e">
        <f ca="1">AVERAGEIFS('Crush Margins'!H$2:H$3200,'Crush Margins'!$B$2:$B$3200,'Crush Margins Monthly'!$B153,'Crush Margins'!$C$2:$C$3200,'Crush Margins Monthly'!$C153)</f>
        <v>#NAME?</v>
      </c>
      <c r="I153" s="18" t="e">
        <f ca="1">AVERAGEIFS('Crush Margins'!I$2:I$3200,'Crush Margins'!$B$2:$B$3200,'Crush Margins Monthly'!$B153,'Crush Margins'!$C$2:$C$3200,'Crush Margins Monthly'!$C153)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8140-B3A1-4613-887F-31F7CCE670FB}">
  <sheetPr>
    <pageSetUpPr fitToPage="1"/>
  </sheetPr>
  <dimension ref="A1"/>
  <sheetViews>
    <sheetView topLeftCell="A11" zoomScale="85" zoomScaleNormal="85" workbookViewId="0">
      <selection activeCell="D839" sqref="D839"/>
    </sheetView>
  </sheetViews>
  <sheetFormatPr defaultRowHeight="15.75" x14ac:dyDescent="0.25"/>
  <cols>
    <col min="1" max="16384" width="9" style="19"/>
  </cols>
  <sheetData/>
  <pageMargins left="0.25" right="0.25" top="0.75" bottom="0.75" header="0.3" footer="0.3"/>
  <pageSetup scale="65" orientation="landscape" r:id="rId1"/>
  <headerFooter>
    <oddHeader>&amp;L&amp;G&amp;C&amp;"Arial,Bold"&amp;20WORLD CRUSHING MARGINS</oddHeader>
    <oddFooter>&amp;L&amp;D&amp;C&amp;P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42B6-2326-4437-8A5F-11C30B2F8DE6}">
  <dimension ref="A1:P74"/>
  <sheetViews>
    <sheetView topLeftCell="A29" workbookViewId="0">
      <selection activeCell="D839" sqref="D839"/>
    </sheetView>
  </sheetViews>
  <sheetFormatPr defaultRowHeight="12.75" x14ac:dyDescent="0.2"/>
  <cols>
    <col min="1" max="16384" width="9" style="11"/>
  </cols>
  <sheetData>
    <row r="1" spans="1:16" ht="15.75" x14ac:dyDescent="0.2">
      <c r="A1" s="20" t="s">
        <v>854</v>
      </c>
    </row>
    <row r="2" spans="1:16" x14ac:dyDescent="0.2">
      <c r="B2" s="11">
        <v>2009</v>
      </c>
      <c r="C2" s="11">
        <v>2010</v>
      </c>
      <c r="D2" s="11">
        <v>2011</v>
      </c>
      <c r="E2" s="11">
        <v>2012</v>
      </c>
      <c r="F2" s="11">
        <v>2013</v>
      </c>
      <c r="G2" s="11">
        <v>2014</v>
      </c>
      <c r="H2" s="11">
        <v>2015</v>
      </c>
      <c r="I2" s="11">
        <v>2016</v>
      </c>
      <c r="J2" s="11">
        <v>2017</v>
      </c>
      <c r="K2" s="11">
        <v>2018</v>
      </c>
      <c r="L2" s="11">
        <v>2019</v>
      </c>
      <c r="M2" s="11">
        <v>2020</v>
      </c>
      <c r="N2" s="11">
        <v>2021</v>
      </c>
      <c r="O2" s="11" t="s">
        <v>860</v>
      </c>
      <c r="P2" s="11" t="s">
        <v>861</v>
      </c>
    </row>
    <row r="3" spans="1:16" x14ac:dyDescent="0.2">
      <c r="A3" s="11" t="s">
        <v>862</v>
      </c>
      <c r="B3" s="18">
        <f>'Crush Margins Monthly'!$D2</f>
        <v>56.853846153846149</v>
      </c>
      <c r="C3" s="18">
        <f>'Crush Margins Monthly'!$D14</f>
        <v>32.978947368421053</v>
      </c>
      <c r="D3" s="18">
        <f>'Crush Margins Monthly'!$D26</f>
        <v>19.143157894736838</v>
      </c>
      <c r="E3" s="18">
        <f>'Crush Margins Monthly'!$D38</f>
        <v>-1.3442105263157891</v>
      </c>
      <c r="F3" s="18">
        <f>'Crush Margins Monthly'!$D50</f>
        <v>22.261428571428574</v>
      </c>
      <c r="G3" s="18">
        <f>'Crush Margins Monthly'!$D62</f>
        <v>-20.826190476190472</v>
      </c>
      <c r="H3" s="18">
        <f>'Crush Margins Monthly'!$D74</f>
        <v>15.590499999999995</v>
      </c>
      <c r="I3" s="18">
        <f>'Crush Margins Monthly'!$D86</f>
        <v>-29.103684210526318</v>
      </c>
      <c r="J3" s="18">
        <f>'Crush Margins Monthly'!$D98</f>
        <v>-3.5765000000000002</v>
      </c>
      <c r="K3" s="18">
        <f>'Crush Margins Monthly'!$D110</f>
        <v>11.620476190476191</v>
      </c>
      <c r="L3" s="18">
        <f>'Crush Margins Monthly'!$D122</f>
        <v>-16.306190476190473</v>
      </c>
      <c r="M3" s="18">
        <f>'Crush Margins Monthly'!$D134</f>
        <v>28.133181818181807</v>
      </c>
      <c r="N3" s="18">
        <f>'Crush Margins Monthly'!$D146</f>
        <v>74.237499999999983</v>
      </c>
      <c r="O3" s="18">
        <f>MAX(I3:M3)</f>
        <v>28.133181818181807</v>
      </c>
      <c r="P3" s="18">
        <f>MIN(I3:M3)</f>
        <v>-29.103684210526318</v>
      </c>
    </row>
    <row r="4" spans="1:16" x14ac:dyDescent="0.2">
      <c r="A4" s="11" t="s">
        <v>863</v>
      </c>
      <c r="B4" s="18">
        <f>'Crush Margins Monthly'!$D3</f>
        <v>86.563157894736804</v>
      </c>
      <c r="C4" s="18">
        <f>'Crush Margins Monthly'!$D15</f>
        <v>45.157894736842103</v>
      </c>
      <c r="D4" s="18">
        <f>'Crush Margins Monthly'!$D27</f>
        <v>34.24421052631579</v>
      </c>
      <c r="E4" s="18">
        <f>'Crush Margins Monthly'!$D39</f>
        <v>1.6435000000000008</v>
      </c>
      <c r="F4" s="18">
        <f>'Crush Margins Monthly'!$D51</f>
        <v>68.933157894736837</v>
      </c>
      <c r="G4" s="18">
        <f>'Crush Margins Monthly'!$D63</f>
        <v>21.928947368421056</v>
      </c>
      <c r="H4" s="18">
        <f>'Crush Margins Monthly'!$D75</f>
        <v>0.83947368421052604</v>
      </c>
      <c r="I4" s="18">
        <f>'Crush Margins Monthly'!$D87</f>
        <v>-73.115999999999985</v>
      </c>
      <c r="J4" s="18">
        <f>'Crush Margins Monthly'!$D99</f>
        <v>18.431052631578947</v>
      </c>
      <c r="K4" s="18">
        <f>'Crush Margins Monthly'!$D111</f>
        <v>19.078947368421055</v>
      </c>
      <c r="L4" s="18">
        <f>'Crush Margins Monthly'!$D123</f>
        <v>0.43611111111111117</v>
      </c>
      <c r="M4" s="18">
        <f>'Crush Margins Monthly'!$D135</f>
        <v>42.767499999999991</v>
      </c>
      <c r="N4" s="18">
        <f>'Crush Margins Monthly'!$D147</f>
        <v>99.61999999999999</v>
      </c>
      <c r="O4" s="18">
        <f t="shared" ref="O4:O14" si="0">MAX(I4:M4)</f>
        <v>42.767499999999991</v>
      </c>
      <c r="P4" s="18">
        <f t="shared" ref="P4:P14" si="1">MIN(I4:M4)</f>
        <v>-73.115999999999985</v>
      </c>
    </row>
    <row r="5" spans="1:16" x14ac:dyDescent="0.2">
      <c r="A5" s="11" t="s">
        <v>864</v>
      </c>
      <c r="B5" s="18">
        <f>'Crush Margins Monthly'!$D4</f>
        <v>99.268181818181802</v>
      </c>
      <c r="C5" s="18">
        <f>'Crush Margins Monthly'!$D16</f>
        <v>20.543478260869566</v>
      </c>
      <c r="D5" s="18">
        <f>'Crush Margins Monthly'!$D28</f>
        <v>41.80043478260869</v>
      </c>
      <c r="E5" s="18">
        <f>'Crush Margins Monthly'!$D40</f>
        <v>-0.41454545454545483</v>
      </c>
      <c r="F5" s="18">
        <f>'Crush Margins Monthly'!$D52</f>
        <v>52.343500000000006</v>
      </c>
      <c r="G5" s="18">
        <f>'Crush Margins Monthly'!$D64</f>
        <v>50.327142857142853</v>
      </c>
      <c r="H5" s="18">
        <f>'Crush Margins Monthly'!$D76</f>
        <v>14.425454545454546</v>
      </c>
      <c r="I5" s="18">
        <f>'Crush Margins Monthly'!$D88</f>
        <v>-53.958181818181806</v>
      </c>
      <c r="J5" s="18">
        <f>'Crush Margins Monthly'!$D100</f>
        <v>36.139565217391308</v>
      </c>
      <c r="K5" s="18">
        <f>'Crush Margins Monthly'!$D112</f>
        <v>24.871904761904759</v>
      </c>
      <c r="L5" s="18">
        <f>'Crush Margins Monthly'!$D124</f>
        <v>-2.0952380952380917E-2</v>
      </c>
      <c r="M5" s="18">
        <f>'Crush Margins Monthly'!$D136</f>
        <v>53.085909090909105</v>
      </c>
      <c r="N5" s="18">
        <f>'Crush Margins Monthly'!$D148</f>
        <v>169.86695652173918</v>
      </c>
      <c r="O5" s="18">
        <f t="shared" si="0"/>
        <v>53.085909090909105</v>
      </c>
      <c r="P5" s="18">
        <f t="shared" si="1"/>
        <v>-53.958181818181806</v>
      </c>
    </row>
    <row r="6" spans="1:16" x14ac:dyDescent="0.2">
      <c r="A6" s="11" t="s">
        <v>865</v>
      </c>
      <c r="B6" s="18">
        <f>'Crush Margins Monthly'!$D5</f>
        <v>128.75714285714284</v>
      </c>
      <c r="C6" s="18">
        <f>'Crush Margins Monthly'!$D17</f>
        <v>13.869047619047617</v>
      </c>
      <c r="D6" s="18">
        <f>'Crush Margins Monthly'!$D29</f>
        <v>52.777000000000001</v>
      </c>
      <c r="E6" s="18">
        <f>'Crush Margins Monthly'!$D41</f>
        <v>11.848500000000001</v>
      </c>
      <c r="F6" s="18">
        <f>'Crush Margins Monthly'!$D53</f>
        <v>48.982727272727288</v>
      </c>
      <c r="G6" s="18">
        <f>'Crush Margins Monthly'!$D65</f>
        <v>71.697619047619057</v>
      </c>
      <c r="H6" s="18">
        <f>'Crush Margins Monthly'!$D77</f>
        <v>41.433333333333316</v>
      </c>
      <c r="I6" s="18">
        <f>'Crush Margins Monthly'!$D89</f>
        <v>-8.7580952380952368</v>
      </c>
      <c r="J6" s="18">
        <f>'Crush Margins Monthly'!$D101</f>
        <v>54.997894736842106</v>
      </c>
      <c r="K6" s="18">
        <f>'Crush Margins Monthly'!$D113</f>
        <v>54.777619047619041</v>
      </c>
      <c r="L6" s="18">
        <f>'Crush Margins Monthly'!$D125</f>
        <v>20.800952380952385</v>
      </c>
      <c r="M6" s="18">
        <f>'Crush Margins Monthly'!$D137</f>
        <v>77.485238095238103</v>
      </c>
      <c r="N6" s="18">
        <f>'Crush Margins Monthly'!$D149</f>
        <v>174.54363636363638</v>
      </c>
      <c r="O6" s="18">
        <f t="shared" si="0"/>
        <v>77.485238095238103</v>
      </c>
      <c r="P6" s="18">
        <f t="shared" si="1"/>
        <v>-8.7580952380952368</v>
      </c>
    </row>
    <row r="7" spans="1:16" x14ac:dyDescent="0.2">
      <c r="A7" s="11" t="s">
        <v>866</v>
      </c>
      <c r="B7" s="18">
        <f>'Crush Margins Monthly'!$D6</f>
        <v>119.99000000000001</v>
      </c>
      <c r="C7" s="18">
        <f>'Crush Margins Monthly'!$D18</f>
        <v>9.4175000000000004</v>
      </c>
      <c r="D7" s="18">
        <f>'Crush Margins Monthly'!$D30</f>
        <v>49.402380952380966</v>
      </c>
      <c r="E7" s="18">
        <f>'Crush Margins Monthly'!$D42</f>
        <v>15.314999999999996</v>
      </c>
      <c r="F7" s="18">
        <f>'Crush Margins Monthly'!$D54</f>
        <v>71.376363636363649</v>
      </c>
      <c r="G7" s="18">
        <f>'Crush Margins Monthly'!$D66</f>
        <v>76.719523809523778</v>
      </c>
      <c r="H7" s="18">
        <f>'Crush Margins Monthly'!$D78</f>
        <v>48.178500000000014</v>
      </c>
      <c r="I7" s="18">
        <f>'Crush Margins Monthly'!$D90</f>
        <v>24.739523809523813</v>
      </c>
      <c r="J7" s="18">
        <f>'Crush Margins Monthly'!$D102</f>
        <v>41.878636363636367</v>
      </c>
      <c r="K7" s="18">
        <f>'Crush Margins Monthly'!$D114</f>
        <v>51.234999999999992</v>
      </c>
      <c r="L7" s="18">
        <f>'Crush Margins Monthly'!$D126</f>
        <v>33.318636363636365</v>
      </c>
      <c r="M7" s="18">
        <f>'Crush Margins Monthly'!$D138</f>
        <v>77.412499999999994</v>
      </c>
      <c r="N7" s="18">
        <f>'Crush Margins Monthly'!$D150</f>
        <v>110.8752380952381</v>
      </c>
      <c r="O7" s="18">
        <f t="shared" si="0"/>
        <v>77.412499999999994</v>
      </c>
      <c r="P7" s="18">
        <f t="shared" si="1"/>
        <v>24.739523809523813</v>
      </c>
    </row>
    <row r="8" spans="1:16" x14ac:dyDescent="0.2">
      <c r="A8" s="11" t="s">
        <v>867</v>
      </c>
      <c r="B8" s="18">
        <f>'Crush Margins Monthly'!$D7</f>
        <v>52.154545454545449</v>
      </c>
      <c r="C8" s="18">
        <f>'Crush Margins Monthly'!$D19</f>
        <v>1.4504545454545452</v>
      </c>
      <c r="D8" s="18">
        <f>'Crush Margins Monthly'!$D31</f>
        <v>61.749545454545434</v>
      </c>
      <c r="E8" s="18">
        <f>'Crush Margins Monthly'!$D43</f>
        <v>21.035238095238089</v>
      </c>
      <c r="F8" s="18">
        <f>'Crush Margins Monthly'!$D55</f>
        <v>90.14500000000001</v>
      </c>
      <c r="G8" s="18">
        <f>'Crush Margins Monthly'!$D67</f>
        <v>64.91</v>
      </c>
      <c r="H8" s="18">
        <f>'Crush Margins Monthly'!$D79</f>
        <v>31.070909090909083</v>
      </c>
      <c r="I8" s="18">
        <f>'Crush Margins Monthly'!$D91</f>
        <v>2.3099999999999983</v>
      </c>
      <c r="J8" s="18">
        <f>'Crush Margins Monthly'!$D103</f>
        <v>41.246818181818178</v>
      </c>
      <c r="K8" s="18">
        <f>'Crush Margins Monthly'!$D115</f>
        <v>55.519047619047626</v>
      </c>
      <c r="L8" s="18">
        <f>'Crush Margins Monthly'!$D127</f>
        <v>24.609999999999996</v>
      </c>
      <c r="M8" s="18">
        <f>'Crush Margins Monthly'!$D139</f>
        <v>69.654090909090911</v>
      </c>
      <c r="N8" s="18">
        <f>'Crush Margins Monthly'!$D151</f>
        <v>45.691818181818164</v>
      </c>
      <c r="O8" s="18">
        <f t="shared" si="0"/>
        <v>69.654090909090911</v>
      </c>
      <c r="P8" s="18">
        <f t="shared" si="1"/>
        <v>2.3099999999999983</v>
      </c>
    </row>
    <row r="9" spans="1:16" x14ac:dyDescent="0.2">
      <c r="A9" s="11" t="s">
        <v>868</v>
      </c>
      <c r="B9" s="18">
        <f>'Crush Margins Monthly'!$D8</f>
        <v>37.427272727272708</v>
      </c>
      <c r="C9" s="18">
        <f>'Crush Margins Monthly'!$D20</f>
        <v>24.253333333333327</v>
      </c>
      <c r="D9" s="18">
        <f>'Crush Margins Monthly'!$D32</f>
        <v>50.122</v>
      </c>
      <c r="E9" s="18">
        <f>'Crush Margins Monthly'!$D44</f>
        <v>17.785238095238096</v>
      </c>
      <c r="F9" s="18">
        <f>'Crush Margins Monthly'!$D56</f>
        <v>61.058181818181836</v>
      </c>
      <c r="G9" s="18">
        <f>'Crush Margins Monthly'!$D68</f>
        <v>20.062272727272738</v>
      </c>
      <c r="H9" s="18">
        <f>'Crush Margins Monthly'!$D80</f>
        <v>22.177727272727271</v>
      </c>
      <c r="I9" s="18">
        <f>'Crush Margins Monthly'!$D92</f>
        <v>-3.216000000000002</v>
      </c>
      <c r="J9" s="18">
        <f>'Crush Margins Monthly'!$D104</f>
        <v>38.288000000000004</v>
      </c>
      <c r="K9" s="18">
        <f>'Crush Margins Monthly'!$D116</f>
        <v>60.690476190476183</v>
      </c>
      <c r="L9" s="18">
        <f>'Crush Margins Monthly'!$D128</f>
        <v>28.838636363636354</v>
      </c>
      <c r="M9" s="18">
        <f>'Crush Margins Monthly'!$D140</f>
        <v>49.202608695652188</v>
      </c>
      <c r="N9" s="18">
        <f>'Crush Margins Monthly'!$D152</f>
        <v>26.143181818181812</v>
      </c>
      <c r="O9" s="18">
        <f t="shared" si="0"/>
        <v>60.690476190476183</v>
      </c>
      <c r="P9" s="18">
        <f t="shared" si="1"/>
        <v>-3.216000000000002</v>
      </c>
    </row>
    <row r="10" spans="1:16" x14ac:dyDescent="0.2">
      <c r="A10" s="11" t="s">
        <v>869</v>
      </c>
      <c r="B10" s="18">
        <f>'Crush Margins Monthly'!$D9</f>
        <v>19.785714285714285</v>
      </c>
      <c r="C10" s="18">
        <f>'Crush Margins Monthly'!$D21</f>
        <v>6.0354545454545416</v>
      </c>
      <c r="D10" s="18">
        <f>'Crush Margins Monthly'!$D33</f>
        <v>39.805217391304353</v>
      </c>
      <c r="E10" s="18">
        <f>'Crush Margins Monthly'!$D45</f>
        <v>-3.4643478260869567</v>
      </c>
      <c r="F10" s="18">
        <f>'Crush Margins Monthly'!$D57</f>
        <v>30.74045454545454</v>
      </c>
      <c r="G10" s="18">
        <f>'Crush Margins Monthly'!$D69</f>
        <v>34.474285714285713</v>
      </c>
      <c r="H10" s="18">
        <f>'Crush Margins Monthly'!$D81</f>
        <v>-3.0780952380952367</v>
      </c>
      <c r="I10" s="18">
        <f>'Crush Margins Monthly'!$D93</f>
        <v>-15.168260869565215</v>
      </c>
      <c r="J10" s="18">
        <f>'Crush Margins Monthly'!$D105</f>
        <v>39.059130434782617</v>
      </c>
      <c r="K10" s="18">
        <f>'Crush Margins Monthly'!$D117</f>
        <v>50.698260869565225</v>
      </c>
      <c r="L10" s="18">
        <f>'Crush Margins Monthly'!$D129</f>
        <v>26.215000000000011</v>
      </c>
      <c r="M10" s="18">
        <f>'Crush Margins Monthly'!$D141</f>
        <v>32.574285714285729</v>
      </c>
      <c r="N10" s="18" t="e">
        <f ca="1">'Crush Margins Monthly'!$D153</f>
        <v>#NAME?</v>
      </c>
      <c r="O10" s="18">
        <f t="shared" si="0"/>
        <v>50.698260869565225</v>
      </c>
      <c r="P10" s="18">
        <f t="shared" si="1"/>
        <v>-15.168260869565215</v>
      </c>
    </row>
    <row r="11" spans="1:16" x14ac:dyDescent="0.2">
      <c r="A11" s="11" t="s">
        <v>870</v>
      </c>
      <c r="B11" s="18">
        <f>'Crush Margins Monthly'!$D10</f>
        <v>23.000000000000004</v>
      </c>
      <c r="C11" s="18">
        <f>'Crush Margins Monthly'!$D22</f>
        <v>-23.114999999999998</v>
      </c>
      <c r="D11" s="18">
        <f>'Crush Margins Monthly'!$D34</f>
        <v>37.319047619047623</v>
      </c>
      <c r="E11" s="18">
        <f>'Crush Margins Monthly'!$D46</f>
        <v>-51.905789473684216</v>
      </c>
      <c r="F11" s="18">
        <f>'Crush Margins Monthly'!$D58</f>
        <v>19.928500000000007</v>
      </c>
      <c r="G11" s="18">
        <f>'Crush Margins Monthly'!$D70</f>
        <v>31.087142857142847</v>
      </c>
      <c r="H11" s="18">
        <f>'Crush Margins Monthly'!$D82</f>
        <v>-10.192857142857138</v>
      </c>
      <c r="I11" s="18">
        <f>'Crush Margins Monthly'!$D94</f>
        <v>-35.066190476190492</v>
      </c>
      <c r="J11" s="18">
        <f>'Crush Margins Monthly'!$D106</f>
        <v>38.220499999999994</v>
      </c>
      <c r="K11" s="18">
        <f>'Crush Margins Monthly'!$D118</f>
        <v>47.990526315789467</v>
      </c>
      <c r="L11" s="18">
        <f>'Crush Margins Monthly'!$D130</f>
        <v>17.223499999999998</v>
      </c>
      <c r="M11" s="18">
        <f>'Crush Margins Monthly'!$D142</f>
        <v>42.78954545454544</v>
      </c>
      <c r="N11" s="18"/>
      <c r="O11" s="18">
        <f t="shared" si="0"/>
        <v>47.990526315789467</v>
      </c>
      <c r="P11" s="18">
        <f t="shared" si="1"/>
        <v>-35.066190476190492</v>
      </c>
    </row>
    <row r="12" spans="1:16" x14ac:dyDescent="0.2">
      <c r="A12" s="11" t="s">
        <v>871</v>
      </c>
      <c r="B12" s="18">
        <f>'Crush Margins Monthly'!$D11</f>
        <v>36.118181818181817</v>
      </c>
      <c r="C12" s="18">
        <f>'Crush Margins Monthly'!$D23</f>
        <v>-21.345238095238091</v>
      </c>
      <c r="D12" s="18">
        <f>'Crush Margins Monthly'!$D35</f>
        <v>33.166666666666664</v>
      </c>
      <c r="E12" s="18">
        <f>'Crush Margins Monthly'!$D47</f>
        <v>-50.04739130434784</v>
      </c>
      <c r="F12" s="18">
        <f>'Crush Margins Monthly'!$D59</f>
        <v>3.7521739130434799</v>
      </c>
      <c r="G12" s="18">
        <f>'Crush Margins Monthly'!$D71</f>
        <v>35.347826086956523</v>
      </c>
      <c r="H12" s="18">
        <f>'Crush Margins Monthly'!$D83</f>
        <v>-31.355909090909094</v>
      </c>
      <c r="I12" s="18">
        <f>'Crush Margins Monthly'!$D95</f>
        <v>-34.483809523809519</v>
      </c>
      <c r="J12" s="18">
        <f>'Crush Margins Monthly'!$D107</f>
        <v>53.233181818181812</v>
      </c>
      <c r="K12" s="18">
        <f>'Crush Margins Monthly'!$D119</f>
        <v>48.151304347826091</v>
      </c>
      <c r="L12" s="18">
        <f>'Crush Margins Monthly'!$D131</f>
        <v>-1.4069565217391298</v>
      </c>
      <c r="M12" s="18">
        <f>'Crush Margins Monthly'!$D143</f>
        <v>38.578181818181818</v>
      </c>
      <c r="N12" s="18"/>
      <c r="O12" s="18">
        <f t="shared" si="0"/>
        <v>53.233181818181812</v>
      </c>
      <c r="P12" s="18">
        <f t="shared" si="1"/>
        <v>-34.483809523809519</v>
      </c>
    </row>
    <row r="13" spans="1:16" x14ac:dyDescent="0.2">
      <c r="A13" s="11" t="s">
        <v>872</v>
      </c>
      <c r="B13" s="18">
        <f>'Crush Margins Monthly'!$D12</f>
        <v>33.055000000000007</v>
      </c>
      <c r="C13" s="18">
        <f>'Crush Margins Monthly'!$D24</f>
        <v>-19.950952380952376</v>
      </c>
      <c r="D13" s="18">
        <f>'Crush Margins Monthly'!$D36</f>
        <v>25.18476190476191</v>
      </c>
      <c r="E13" s="18">
        <f>'Crush Margins Monthly'!$D48</f>
        <v>-56.174761904761922</v>
      </c>
      <c r="F13" s="18">
        <f>'Crush Margins Monthly'!$D60</f>
        <v>-3.6035000000000013</v>
      </c>
      <c r="G13" s="18">
        <f>'Crush Margins Monthly'!$D72</f>
        <v>29.200526315789471</v>
      </c>
      <c r="H13" s="18">
        <f>'Crush Margins Monthly'!$D84</f>
        <v>-28.066499999999998</v>
      </c>
      <c r="I13" s="18">
        <f>'Crush Margins Monthly'!$D96</f>
        <v>-23.712857142857143</v>
      </c>
      <c r="J13" s="18">
        <f>'Crush Margins Monthly'!$D108</f>
        <v>52.841904761904765</v>
      </c>
      <c r="K13" s="18">
        <f>'Crush Margins Monthly'!$D120</f>
        <v>24.84095238095238</v>
      </c>
      <c r="L13" s="18">
        <f>'Crush Margins Monthly'!$D132</f>
        <v>21.590000000000007</v>
      </c>
      <c r="M13" s="18">
        <f>'Crush Margins Monthly'!$D144</f>
        <v>30.475238095238097</v>
      </c>
      <c r="N13" s="18"/>
      <c r="O13" s="18">
        <f t="shared" si="0"/>
        <v>52.841904761904765</v>
      </c>
      <c r="P13" s="18">
        <f t="shared" si="1"/>
        <v>-23.712857142857143</v>
      </c>
    </row>
    <row r="14" spans="1:16" x14ac:dyDescent="0.2">
      <c r="A14" s="11" t="s">
        <v>873</v>
      </c>
      <c r="B14" s="18">
        <f>'Crush Margins Monthly'!$D13</f>
        <v>24.368181818181824</v>
      </c>
      <c r="C14" s="18">
        <f>'Crush Margins Monthly'!$D25</f>
        <v>-34.312380952380956</v>
      </c>
      <c r="D14" s="18">
        <f>'Crush Margins Monthly'!$D37</f>
        <v>18.679047619047612</v>
      </c>
      <c r="E14" s="18">
        <f>'Crush Margins Monthly'!$D49</f>
        <v>-52.950499999999991</v>
      </c>
      <c r="F14" s="18">
        <f>'Crush Margins Monthly'!$D61</f>
        <v>-22.554285714285712</v>
      </c>
      <c r="G14" s="18">
        <f>'Crush Margins Monthly'!$D73</f>
        <v>30.059545454545457</v>
      </c>
      <c r="H14" s="18">
        <f>'Crush Margins Monthly'!$D85</f>
        <v>-23.772727272727284</v>
      </c>
      <c r="I14" s="18">
        <f>'Crush Margins Monthly'!$D97</f>
        <v>-16.864761904761902</v>
      </c>
      <c r="J14" s="18">
        <f>'Crush Margins Monthly'!$D109</f>
        <v>51.403499999999973</v>
      </c>
      <c r="K14" s="18">
        <f>'Crush Margins Monthly'!$D121</f>
        <v>3.9864999999999995</v>
      </c>
      <c r="L14" s="18">
        <f>'Crush Margins Monthly'!$D133</f>
        <v>13.933809523809524</v>
      </c>
      <c r="M14" s="18">
        <f>'Crush Margins Monthly'!$D145</f>
        <v>47.993913043478265</v>
      </c>
      <c r="N14" s="18"/>
      <c r="O14" s="18">
        <f t="shared" si="0"/>
        <v>51.403499999999973</v>
      </c>
      <c r="P14" s="18">
        <f t="shared" si="1"/>
        <v>-16.864761904761902</v>
      </c>
    </row>
    <row r="16" spans="1:16" ht="15.75" x14ac:dyDescent="0.2">
      <c r="A16" s="20" t="s">
        <v>855</v>
      </c>
    </row>
    <row r="17" spans="1:16" x14ac:dyDescent="0.2">
      <c r="B17" s="11">
        <v>2009</v>
      </c>
      <c r="C17" s="11">
        <v>2010</v>
      </c>
      <c r="D17" s="11">
        <v>2011</v>
      </c>
      <c r="E17" s="11">
        <v>2012</v>
      </c>
      <c r="F17" s="11">
        <v>2013</v>
      </c>
      <c r="G17" s="11">
        <v>2014</v>
      </c>
      <c r="H17" s="11">
        <v>2015</v>
      </c>
      <c r="I17" s="11">
        <v>2016</v>
      </c>
      <c r="J17" s="11">
        <v>2017</v>
      </c>
      <c r="K17" s="11">
        <v>2018</v>
      </c>
      <c r="L17" s="11">
        <v>2019</v>
      </c>
      <c r="M17" s="11">
        <v>2020</v>
      </c>
      <c r="N17" s="11">
        <v>2021</v>
      </c>
      <c r="O17" s="11" t="s">
        <v>860</v>
      </c>
      <c r="P17" s="11" t="s">
        <v>861</v>
      </c>
    </row>
    <row r="18" spans="1:16" x14ac:dyDescent="0.2">
      <c r="A18" s="11" t="s">
        <v>862</v>
      </c>
      <c r="B18" s="18">
        <f>'Crush Margins Monthly'!$E2</f>
        <v>147.15103528943811</v>
      </c>
      <c r="C18" s="18">
        <f>'Crush Margins Monthly'!$E14</f>
        <v>120.81468358115137</v>
      </c>
      <c r="D18" s="18">
        <f>'Crush Margins Monthly'!$E26</f>
        <v>111.54716650442749</v>
      </c>
      <c r="E18" s="18">
        <f>'Crush Margins Monthly'!$E38</f>
        <v>31.476166453040598</v>
      </c>
      <c r="F18" s="18">
        <f>'Crush Margins Monthly'!$E50</f>
        <v>4.753077318429705</v>
      </c>
      <c r="G18" s="18">
        <f>'Crush Margins Monthly'!$E62</f>
        <v>36.955792305548933</v>
      </c>
      <c r="H18" s="18">
        <f>'Crush Margins Monthly'!$E74</f>
        <v>30.982537116433956</v>
      </c>
      <c r="I18" s="18">
        <f>'Crush Margins Monthly'!$E86</f>
        <v>-5.4969566470307152</v>
      </c>
      <c r="J18" s="18">
        <f>'Crush Margins Monthly'!$E98</f>
        <v>26.714551365883</v>
      </c>
      <c r="K18" s="18">
        <f>'Crush Margins Monthly'!$E110</f>
        <v>17.762201182988786</v>
      </c>
      <c r="L18" s="18"/>
      <c r="M18" s="18">
        <f>'Crush Margins Monthly'!$E134</f>
        <v>54.974545454545456</v>
      </c>
      <c r="N18" s="18">
        <f>'Crush Margins Monthly'!$E146</f>
        <v>35.041000000000011</v>
      </c>
      <c r="O18" s="18">
        <f>MAX(I18:M18)</f>
        <v>54.974545454545456</v>
      </c>
      <c r="P18" s="18">
        <f>MIN(I18:M18)</f>
        <v>-5.4969566470307152</v>
      </c>
    </row>
    <row r="19" spans="1:16" x14ac:dyDescent="0.2">
      <c r="A19" s="11" t="s">
        <v>863</v>
      </c>
      <c r="B19" s="18">
        <f>'Crush Margins Monthly'!$E3</f>
        <v>160.37608302588546</v>
      </c>
      <c r="C19" s="18">
        <f>'Crush Margins Monthly'!$E15</f>
        <v>121.04367802351869</v>
      </c>
      <c r="D19" s="18">
        <f>'Crush Margins Monthly'!$E27</f>
        <v>34.484284813136675</v>
      </c>
      <c r="E19" s="18">
        <f>'Crush Margins Monthly'!$E39</f>
        <v>16.846228095448165</v>
      </c>
      <c r="F19" s="18">
        <f>'Crush Margins Monthly'!$E51</f>
        <v>2.844385697484122</v>
      </c>
      <c r="G19" s="18">
        <f>'Crush Margins Monthly'!$E63</f>
        <v>37.283866403162996</v>
      </c>
      <c r="H19" s="18">
        <f>'Crush Margins Monthly'!$E75</f>
        <v>49.754203461645766</v>
      </c>
      <c r="I19" s="18">
        <f>'Crush Margins Monthly'!$E87</f>
        <v>2.9944932221320832</v>
      </c>
      <c r="J19" s="18">
        <f>'Crush Margins Monthly'!$E99</f>
        <v>24.089366037089349</v>
      </c>
      <c r="K19" s="18">
        <f>'Crush Margins Monthly'!$E111</f>
        <v>31.814743522274899</v>
      </c>
      <c r="L19" s="18"/>
      <c r="M19" s="18">
        <f>'Crush Margins Monthly'!$E135</f>
        <v>28.3505</v>
      </c>
      <c r="N19" s="18">
        <f>'Crush Margins Monthly'!$E147</f>
        <v>10.566499999999998</v>
      </c>
      <c r="O19" s="18">
        <f t="shared" ref="O19:O29" si="2">MAX(I19:M19)</f>
        <v>31.814743522274899</v>
      </c>
      <c r="P19" s="18">
        <f t="shared" ref="P19:P29" si="3">MIN(I19:M19)</f>
        <v>2.9944932221320832</v>
      </c>
    </row>
    <row r="20" spans="1:16" x14ac:dyDescent="0.2">
      <c r="A20" s="11" t="s">
        <v>864</v>
      </c>
      <c r="B20" s="18">
        <f>'Crush Margins Monthly'!$E4</f>
        <v>155.04291108326771</v>
      </c>
      <c r="C20" s="18">
        <f>'Crush Margins Monthly'!$E16</f>
        <v>105.79172836003288</v>
      </c>
      <c r="D20" s="18">
        <f>'Crush Margins Monthly'!$E28</f>
        <v>22.992513265556735</v>
      </c>
      <c r="E20" s="18">
        <f>'Crush Margins Monthly'!$E40</f>
        <v>20.337741504908795</v>
      </c>
      <c r="F20" s="18">
        <f>'Crush Margins Monthly'!$E52</f>
        <v>-2.8368290521739676</v>
      </c>
      <c r="G20" s="18">
        <f>'Crush Margins Monthly'!$E64</f>
        <v>17.132269718058005</v>
      </c>
      <c r="H20" s="18">
        <f>'Crush Margins Monthly'!$E76</f>
        <v>55.834306187345732</v>
      </c>
      <c r="I20" s="18">
        <f>'Crush Margins Monthly'!$E88</f>
        <v>16.704277597083713</v>
      </c>
      <c r="J20" s="18">
        <f>'Crush Margins Monthly'!$E100</f>
        <v>4.0297668719017441</v>
      </c>
      <c r="K20" s="18">
        <f>'Crush Margins Monthly'!$E112</f>
        <v>28.153015295592144</v>
      </c>
      <c r="L20" s="18"/>
      <c r="M20" s="18">
        <f>'Crush Margins Monthly'!$E136</f>
        <v>45.378181818181822</v>
      </c>
      <c r="N20" s="18">
        <f>'Crush Margins Monthly'!$E148</f>
        <v>52.383913043478266</v>
      </c>
      <c r="O20" s="18">
        <f t="shared" si="2"/>
        <v>45.378181818181822</v>
      </c>
      <c r="P20" s="18">
        <f t="shared" si="3"/>
        <v>4.0297668719017441</v>
      </c>
    </row>
    <row r="21" spans="1:16" x14ac:dyDescent="0.2">
      <c r="A21" s="11" t="s">
        <v>865</v>
      </c>
      <c r="B21" s="18">
        <f>'Crush Margins Monthly'!$E5</f>
        <v>166.437258415922</v>
      </c>
      <c r="C21" s="18">
        <f>'Crush Margins Monthly'!$E17</f>
        <v>104.60797384466176</v>
      </c>
      <c r="D21" s="18">
        <f>'Crush Margins Monthly'!$E29</f>
        <v>14.050135505719876</v>
      </c>
      <c r="E21" s="18">
        <f>'Crush Margins Monthly'!$E41</f>
        <v>27.517397934018259</v>
      </c>
      <c r="F21" s="18">
        <f>'Crush Margins Monthly'!$E53</f>
        <v>0.27020591047685</v>
      </c>
      <c r="G21" s="18">
        <f>'Crush Margins Monthly'!$E65</f>
        <v>11.476130818012516</v>
      </c>
      <c r="H21" s="18">
        <f>'Crush Margins Monthly'!$E77</f>
        <v>40.815415295582682</v>
      </c>
      <c r="I21" s="18">
        <f>'Crush Margins Monthly'!$E89</f>
        <v>-4.5856223345270086</v>
      </c>
      <c r="J21" s="18">
        <f>'Crush Margins Monthly'!$E101</f>
        <v>3.9456067681187941</v>
      </c>
      <c r="K21" s="18">
        <f>'Crush Margins Monthly'!$E113</f>
        <v>2.9429818705960735</v>
      </c>
      <c r="L21" s="18"/>
      <c r="M21" s="18">
        <f>'Crush Margins Monthly'!$E137</f>
        <v>29.464999999999996</v>
      </c>
      <c r="N21" s="18">
        <f>'Crush Margins Monthly'!$E149</f>
        <v>30.571000000000009</v>
      </c>
      <c r="O21" s="18">
        <f t="shared" si="2"/>
        <v>29.464999999999996</v>
      </c>
      <c r="P21" s="18">
        <f t="shared" si="3"/>
        <v>-4.5856223345270086</v>
      </c>
    </row>
    <row r="22" spans="1:16" x14ac:dyDescent="0.2">
      <c r="A22" s="11" t="s">
        <v>866</v>
      </c>
      <c r="B22" s="18">
        <f>'Crush Margins Monthly'!$E6</f>
        <v>174.6117830010769</v>
      </c>
      <c r="C22" s="18">
        <f>'Crush Margins Monthly'!$E18</f>
        <v>119.55330584002964</v>
      </c>
      <c r="D22" s="18">
        <f>'Crush Margins Monthly'!$E30</f>
        <v>-0.49193071969920366</v>
      </c>
      <c r="E22" s="18">
        <f>'Crush Margins Monthly'!$E42</f>
        <v>28.409279233554358</v>
      </c>
      <c r="F22" s="18">
        <f>'Crush Margins Monthly'!$E54</f>
        <v>8.1241775996532581</v>
      </c>
      <c r="G22" s="18">
        <f>'Crush Margins Monthly'!$E66</f>
        <v>16.001605826762606</v>
      </c>
      <c r="H22" s="18">
        <f>'Crush Margins Monthly'!$E78</f>
        <v>25.790647103075322</v>
      </c>
      <c r="I22" s="18">
        <f>'Crush Margins Monthly'!$E90</f>
        <v>-16.652651949098583</v>
      </c>
      <c r="J22" s="18">
        <f>'Crush Margins Monthly'!$E102</f>
        <v>2.3664474020507309</v>
      </c>
      <c r="K22" s="18">
        <f>'Crush Margins Monthly'!$E114</f>
        <v>-11.563652112295371</v>
      </c>
      <c r="L22" s="18"/>
      <c r="M22" s="18">
        <f>'Crush Margins Monthly'!$E138</f>
        <v>29.015882352941173</v>
      </c>
      <c r="N22" s="18">
        <f>'Crush Margins Monthly'!$E150</f>
        <v>64.499473684210528</v>
      </c>
      <c r="O22" s="18">
        <f t="shared" si="2"/>
        <v>29.015882352941173</v>
      </c>
      <c r="P22" s="18">
        <f t="shared" si="3"/>
        <v>-16.652651949098583</v>
      </c>
    </row>
    <row r="23" spans="1:16" x14ac:dyDescent="0.2">
      <c r="A23" s="11" t="s">
        <v>867</v>
      </c>
      <c r="B23" s="18">
        <f>'Crush Margins Monthly'!$E7</f>
        <v>185.35106122173843</v>
      </c>
      <c r="C23" s="18">
        <f>'Crush Margins Monthly'!$E19</f>
        <v>126.83381717069636</v>
      </c>
      <c r="D23" s="18">
        <f>'Crush Margins Monthly'!$E31</f>
        <v>8.3854857530714142</v>
      </c>
      <c r="E23" s="18">
        <f>'Crush Margins Monthly'!$E43</f>
        <v>40.127711260493115</v>
      </c>
      <c r="F23" s="18">
        <f>'Crush Margins Monthly'!$E55</f>
        <v>13.09093088524086</v>
      </c>
      <c r="G23" s="18">
        <f>'Crush Margins Monthly'!$E67</f>
        <v>21.884142866060909</v>
      </c>
      <c r="H23" s="18">
        <f>'Crush Margins Monthly'!$E79</f>
        <v>21.519419594367609</v>
      </c>
      <c r="I23" s="18">
        <f>'Crush Margins Monthly'!$E91</f>
        <v>-8.0802717579917402</v>
      </c>
      <c r="J23" s="18">
        <f>'Crush Margins Monthly'!$E103</f>
        <v>4.790198451147563</v>
      </c>
      <c r="K23" s="18">
        <f>'Crush Margins Monthly'!$E115</f>
        <v>-6.5758925591419839</v>
      </c>
      <c r="L23" s="18"/>
      <c r="M23" s="18">
        <f>'Crush Margins Monthly'!$E139</f>
        <v>31.570999999999991</v>
      </c>
      <c r="N23" s="18">
        <f>'Crush Margins Monthly'!$E151</f>
        <v>81.06590909090913</v>
      </c>
      <c r="O23" s="18">
        <f t="shared" si="2"/>
        <v>31.570999999999991</v>
      </c>
      <c r="P23" s="18">
        <f t="shared" si="3"/>
        <v>-8.0802717579917402</v>
      </c>
    </row>
    <row r="24" spans="1:16" x14ac:dyDescent="0.2">
      <c r="A24" s="11" t="s">
        <v>868</v>
      </c>
      <c r="B24" s="18">
        <f>'Crush Margins Monthly'!$E8</f>
        <v>149.21544987993425</v>
      </c>
      <c r="C24" s="18">
        <f>'Crush Margins Monthly'!$E20</f>
        <v>132.19678535952264</v>
      </c>
      <c r="D24" s="18">
        <f>'Crush Margins Monthly'!$E32</f>
        <v>14.133048416214587</v>
      </c>
      <c r="E24" s="18">
        <f>'Crush Margins Monthly'!$E44</f>
        <v>45.029318221027481</v>
      </c>
      <c r="F24" s="18">
        <f>'Crush Margins Monthly'!$E56</f>
        <v>44.913236959506868</v>
      </c>
      <c r="G24" s="18">
        <f>'Crush Margins Monthly'!$E68</f>
        <v>31.102781927568319</v>
      </c>
      <c r="H24" s="18">
        <f>'Crush Margins Monthly'!$E80</f>
        <v>28.04336719188391</v>
      </c>
      <c r="I24" s="18">
        <f>'Crush Margins Monthly'!$E92</f>
        <v>16.242632878388555</v>
      </c>
      <c r="J24" s="18">
        <f>'Crush Margins Monthly'!$E104</f>
        <v>17.896768184447115</v>
      </c>
      <c r="K24" s="18">
        <f>'Crush Margins Monthly'!$E116</f>
        <v>0.83598906327311306</v>
      </c>
      <c r="L24" s="18"/>
      <c r="M24" s="18">
        <f>'Crush Margins Monthly'!$E140</f>
        <v>42.676521739130436</v>
      </c>
      <c r="N24" s="18">
        <f>'Crush Margins Monthly'!$E152</f>
        <v>60.520909090909115</v>
      </c>
      <c r="O24" s="18">
        <f t="shared" si="2"/>
        <v>42.676521739130436</v>
      </c>
      <c r="P24" s="18">
        <f t="shared" si="3"/>
        <v>0.83598906327311306</v>
      </c>
    </row>
    <row r="25" spans="1:16" x14ac:dyDescent="0.2">
      <c r="A25" s="11" t="s">
        <v>869</v>
      </c>
      <c r="B25" s="18">
        <f>'Crush Margins Monthly'!$E9</f>
        <v>160.53445144781639</v>
      </c>
      <c r="C25" s="18">
        <f>'Crush Margins Monthly'!$E21</f>
        <v>154.22161500860341</v>
      </c>
      <c r="D25" s="18">
        <f>'Crush Margins Monthly'!$E33</f>
        <v>1.8393107711606853</v>
      </c>
      <c r="E25" s="18">
        <f>'Crush Margins Monthly'!$E45</f>
        <v>27.783181396611607</v>
      </c>
      <c r="F25" s="18">
        <f>'Crush Margins Monthly'!$E57</f>
        <v>60.170329652413052</v>
      </c>
      <c r="G25" s="18">
        <f>'Crush Margins Monthly'!$E69</f>
        <v>41.372772089969615</v>
      </c>
      <c r="H25" s="18">
        <f>'Crush Margins Monthly'!$E81</f>
        <v>43.743922837956156</v>
      </c>
      <c r="I25" s="18">
        <f>'Crush Margins Monthly'!$E93</f>
        <v>5.0341616055926712</v>
      </c>
      <c r="J25" s="18">
        <f>'Crush Margins Monthly'!$E105</f>
        <v>9.8600361442749858</v>
      </c>
      <c r="K25" s="18">
        <f>'Crush Margins Monthly'!$E117</f>
        <v>3.0728995645817068</v>
      </c>
      <c r="L25" s="18"/>
      <c r="M25" s="18">
        <f>'Crush Margins Monthly'!$E141</f>
        <v>68.424500000000009</v>
      </c>
      <c r="N25" s="18">
        <f>'Crush Margins Monthly'!$E153</f>
        <v>67.69</v>
      </c>
      <c r="O25" s="18">
        <f t="shared" si="2"/>
        <v>68.424500000000009</v>
      </c>
      <c r="P25" s="18">
        <f t="shared" si="3"/>
        <v>3.0728995645817068</v>
      </c>
    </row>
    <row r="26" spans="1:16" x14ac:dyDescent="0.2">
      <c r="A26" s="11" t="s">
        <v>870</v>
      </c>
      <c r="B26" s="18">
        <f>'Crush Margins Monthly'!$E10</f>
        <v>137.66350805189887</v>
      </c>
      <c r="C26" s="18">
        <f>'Crush Margins Monthly'!$E22</f>
        <v>148.7270964938605</v>
      </c>
      <c r="D26" s="18">
        <f>'Crush Margins Monthly'!$E34</f>
        <v>10.41756873824095</v>
      </c>
      <c r="E26" s="18">
        <f>'Crush Margins Monthly'!$E46</f>
        <v>-14.008513859665133</v>
      </c>
      <c r="F26" s="18">
        <f>'Crush Margins Monthly'!$E58</f>
        <v>61.36946856248862</v>
      </c>
      <c r="G26" s="18">
        <f>'Crush Margins Monthly'!$E70</f>
        <v>56.23088061863595</v>
      </c>
      <c r="H26" s="18">
        <f>'Crush Margins Monthly'!$E82</f>
        <v>23.593231199048589</v>
      </c>
      <c r="I26" s="18">
        <f>'Crush Margins Monthly'!$E94</f>
        <v>16.575605971521657</v>
      </c>
      <c r="J26" s="18">
        <f>'Crush Margins Monthly'!$E106</f>
        <v>20.644516488948199</v>
      </c>
      <c r="K26" s="18">
        <f>'Crush Margins Monthly'!$E118</f>
        <v>18.133531783220086</v>
      </c>
      <c r="L26" s="18"/>
      <c r="M26" s="18">
        <f>'Crush Margins Monthly'!$E142</f>
        <v>81.330909090909103</v>
      </c>
      <c r="N26" s="18"/>
      <c r="O26" s="18">
        <f t="shared" si="2"/>
        <v>81.330909090909103</v>
      </c>
      <c r="P26" s="18">
        <f t="shared" si="3"/>
        <v>16.575605971521657</v>
      </c>
    </row>
    <row r="27" spans="1:16" x14ac:dyDescent="0.2">
      <c r="A27" s="11" t="s">
        <v>871</v>
      </c>
      <c r="B27" s="18">
        <f>'Crush Margins Monthly'!$E11</f>
        <v>128.6921201537464</v>
      </c>
      <c r="C27" s="18">
        <f>'Crush Margins Monthly'!$E23</f>
        <v>151.67492014628823</v>
      </c>
      <c r="D27" s="18">
        <f>'Crush Margins Monthly'!$E35</f>
        <v>43.119161713571849</v>
      </c>
      <c r="E27" s="18">
        <f>'Crush Margins Monthly'!$E47</f>
        <v>28.502023468484595</v>
      </c>
      <c r="F27" s="18">
        <f>'Crush Margins Monthly'!$E59</f>
        <v>47.18615903053297</v>
      </c>
      <c r="G27" s="18">
        <f>'Crush Margins Monthly'!$E71</f>
        <v>68.345169672604385</v>
      </c>
      <c r="H27" s="18">
        <f>'Crush Margins Monthly'!$E83</f>
        <v>-9.4940017579538561E-3</v>
      </c>
      <c r="I27" s="18">
        <f>'Crush Margins Monthly'!$E95</f>
        <v>16.041627608853304</v>
      </c>
      <c r="J27" s="18">
        <f>'Crush Margins Monthly'!$E107</f>
        <v>27.037324358234347</v>
      </c>
      <c r="K27" s="18">
        <f>'Crush Margins Monthly'!$E119</f>
        <v>39.996582150706089</v>
      </c>
      <c r="L27" s="18"/>
      <c r="M27" s="18">
        <f>'Crush Margins Monthly'!$E143</f>
        <v>65.043636363636338</v>
      </c>
      <c r="N27" s="18"/>
      <c r="O27" s="18">
        <f t="shared" si="2"/>
        <v>65.043636363636338</v>
      </c>
      <c r="P27" s="18">
        <f t="shared" si="3"/>
        <v>16.041627608853304</v>
      </c>
    </row>
    <row r="28" spans="1:16" x14ac:dyDescent="0.2">
      <c r="A28" s="11" t="s">
        <v>872</v>
      </c>
      <c r="B28" s="18">
        <f>'Crush Margins Monthly'!$E12</f>
        <v>118.83305365982662</v>
      </c>
      <c r="C28" s="18">
        <f>'Crush Margins Monthly'!$E24</f>
        <v>187.02937616682442</v>
      </c>
      <c r="D28" s="18">
        <f>'Crush Margins Monthly'!$E36</f>
        <v>44.701196178904603</v>
      </c>
      <c r="E28" s="18">
        <f>'Crush Margins Monthly'!$E48</f>
        <v>14.936835562888254</v>
      </c>
      <c r="F28" s="18">
        <f>'Crush Margins Monthly'!$E60</f>
        <v>47.882995936872987</v>
      </c>
      <c r="G28" s="18">
        <f>'Crush Margins Monthly'!$E72</f>
        <v>58.815756547485066</v>
      </c>
      <c r="H28" s="18">
        <f>'Crush Margins Monthly'!$E84</f>
        <v>8.1798422203473997</v>
      </c>
      <c r="I28" s="18">
        <f>'Crush Margins Monthly'!$E96</f>
        <v>4.1929537012981788</v>
      </c>
      <c r="J28" s="18">
        <f>'Crush Margins Monthly'!$E108</f>
        <v>20.227370396962257</v>
      </c>
      <c r="K28" s="18">
        <f>'Crush Margins Monthly'!$E120</f>
        <v>33.825716060624494</v>
      </c>
      <c r="L28" s="18"/>
      <c r="M28" s="18">
        <f>'Crush Margins Monthly'!$E144</f>
        <v>27.222380952380963</v>
      </c>
      <c r="N28" s="18"/>
      <c r="O28" s="18">
        <f t="shared" si="2"/>
        <v>33.825716060624494</v>
      </c>
      <c r="P28" s="18">
        <f t="shared" si="3"/>
        <v>4.1929537012981788</v>
      </c>
    </row>
    <row r="29" spans="1:16" x14ac:dyDescent="0.2">
      <c r="A29" s="11" t="s">
        <v>873</v>
      </c>
      <c r="B29" s="18">
        <f>'Crush Margins Monthly'!$E13</f>
        <v>115.76109430033289</v>
      </c>
      <c r="C29" s="18">
        <f>'Crush Margins Monthly'!$E25</f>
        <v>222.30913982037379</v>
      </c>
      <c r="D29" s="18">
        <f>'Crush Margins Monthly'!$E37</f>
        <v>41.069274656348313</v>
      </c>
      <c r="E29" s="18">
        <f>'Crush Margins Monthly'!$E49</f>
        <v>19.02420250331523</v>
      </c>
      <c r="F29" s="18">
        <f>'Crush Margins Monthly'!$E61</f>
        <v>39.903762874757426</v>
      </c>
      <c r="G29" s="18">
        <f>'Crush Margins Monthly'!$E73</f>
        <v>50.603857063057006</v>
      </c>
      <c r="H29" s="18">
        <f>'Crush Margins Monthly'!$E85</f>
        <v>4.2174080475454483</v>
      </c>
      <c r="I29" s="18">
        <f>'Crush Margins Monthly'!$E97</f>
        <v>6.1646755576678265</v>
      </c>
      <c r="J29" s="18">
        <f>'Crush Margins Monthly'!$E109</f>
        <v>11.954759356479771</v>
      </c>
      <c r="K29" s="18">
        <f>'Crush Margins Monthly'!$E121</f>
        <v>36.353287992482834</v>
      </c>
      <c r="L29" s="18"/>
      <c r="M29" s="18">
        <f>'Crush Margins Monthly'!$E145</f>
        <v>16.402380952380952</v>
      </c>
      <c r="N29" s="18"/>
      <c r="O29" s="18">
        <f t="shared" si="2"/>
        <v>36.353287992482834</v>
      </c>
      <c r="P29" s="18">
        <f t="shared" si="3"/>
        <v>6.1646755576678265</v>
      </c>
    </row>
    <row r="31" spans="1:16" ht="15.75" x14ac:dyDescent="0.2">
      <c r="A31" s="20" t="s">
        <v>856</v>
      </c>
    </row>
    <row r="32" spans="1:16" x14ac:dyDescent="0.2">
      <c r="B32" s="11">
        <v>2009</v>
      </c>
      <c r="C32" s="11">
        <v>2010</v>
      </c>
      <c r="D32" s="11">
        <v>2011</v>
      </c>
      <c r="E32" s="11">
        <v>2012</v>
      </c>
      <c r="F32" s="11">
        <v>2013</v>
      </c>
      <c r="G32" s="11">
        <v>2014</v>
      </c>
      <c r="H32" s="11">
        <v>2015</v>
      </c>
      <c r="I32" s="11">
        <v>2016</v>
      </c>
      <c r="J32" s="11">
        <v>2017</v>
      </c>
      <c r="K32" s="11">
        <v>2018</v>
      </c>
      <c r="L32" s="11">
        <v>2019</v>
      </c>
      <c r="M32" s="11">
        <v>2020</v>
      </c>
      <c r="N32" s="11">
        <v>2021</v>
      </c>
      <c r="O32" s="11" t="s">
        <v>860</v>
      </c>
      <c r="P32" s="11" t="s">
        <v>861</v>
      </c>
    </row>
    <row r="33" spans="1:16" x14ac:dyDescent="0.2">
      <c r="A33" s="11" t="s">
        <v>862</v>
      </c>
      <c r="B33" s="18"/>
      <c r="C33" s="18"/>
      <c r="D33" s="18"/>
      <c r="E33" s="18"/>
      <c r="F33" s="18"/>
      <c r="G33" s="18">
        <f>'Crush Margins Monthly'!$F62</f>
        <v>-38.017142857142844</v>
      </c>
      <c r="H33" s="18">
        <f>'Crush Margins Monthly'!$F74</f>
        <v>26.889500000000005</v>
      </c>
      <c r="I33" s="18">
        <f>'Crush Margins Monthly'!$F86</f>
        <v>-64.995789473684198</v>
      </c>
      <c r="J33" s="18">
        <f>'Crush Margins Monthly'!$F98</f>
        <v>9.4660000000000011</v>
      </c>
      <c r="K33" s="18">
        <f>'Crush Margins Monthly'!$F110</f>
        <v>20.412380952380953</v>
      </c>
      <c r="L33" s="18">
        <f>'Crush Margins Monthly'!$F122</f>
        <v>-69.610952380952398</v>
      </c>
      <c r="M33" s="18">
        <f>'Crush Margins Monthly'!$F134</f>
        <v>-14.454999999999997</v>
      </c>
      <c r="N33" s="18">
        <f>'Crush Margins Monthly'!$F146</f>
        <v>-47.650000000000013</v>
      </c>
      <c r="O33" s="18">
        <f>MAX(I33:M33)</f>
        <v>20.412380952380953</v>
      </c>
      <c r="P33" s="18">
        <f>MIN(I33:M33)</f>
        <v>-69.610952380952398</v>
      </c>
    </row>
    <row r="34" spans="1:16" x14ac:dyDescent="0.2">
      <c r="A34" s="11" t="s">
        <v>863</v>
      </c>
      <c r="B34" s="18"/>
      <c r="C34" s="18"/>
      <c r="D34" s="18"/>
      <c r="E34" s="18"/>
      <c r="F34" s="18"/>
      <c r="G34" s="18">
        <f>'Crush Margins Monthly'!$F63</f>
        <v>-16.031052631578941</v>
      </c>
      <c r="H34" s="18">
        <f>'Crush Margins Monthly'!$F75</f>
        <v>29.87631578947369</v>
      </c>
      <c r="I34" s="18">
        <f>'Crush Margins Monthly'!$F87</f>
        <v>-96.067999999999984</v>
      </c>
      <c r="J34" s="18">
        <f>'Crush Margins Monthly'!$F99</f>
        <v>32.416842105263157</v>
      </c>
      <c r="K34" s="18">
        <f>'Crush Margins Monthly'!$F111</f>
        <v>37.76736842105263</v>
      </c>
      <c r="L34" s="18">
        <f>'Crush Margins Monthly'!$F123</f>
        <v>-34.857777777777784</v>
      </c>
      <c r="M34" s="18">
        <f>'Crush Margins Monthly'!$F135</f>
        <v>5.8524999999999991</v>
      </c>
      <c r="N34" s="18">
        <f>'Crush Margins Monthly'!$F147</f>
        <v>-10.309999999999992</v>
      </c>
      <c r="O34" s="18">
        <f t="shared" ref="O34:O44" si="4">MAX(I34:M34)</f>
        <v>37.76736842105263</v>
      </c>
      <c r="P34" s="18">
        <f t="shared" ref="P34:P44" si="5">MIN(I34:M34)</f>
        <v>-96.067999999999984</v>
      </c>
    </row>
    <row r="35" spans="1:16" x14ac:dyDescent="0.2">
      <c r="A35" s="11" t="s">
        <v>864</v>
      </c>
      <c r="B35" s="18"/>
      <c r="C35" s="18"/>
      <c r="D35" s="18"/>
      <c r="E35" s="18"/>
      <c r="F35" s="18"/>
      <c r="G35" s="18">
        <f>'Crush Margins Monthly'!$F64</f>
        <v>14.763809523809519</v>
      </c>
      <c r="H35" s="18">
        <f>'Crush Margins Monthly'!$F76</f>
        <v>29.704090909090908</v>
      </c>
      <c r="I35" s="18">
        <f>'Crush Margins Monthly'!$F88</f>
        <v>-79.285454545454499</v>
      </c>
      <c r="J35" s="18">
        <f>'Crush Margins Monthly'!$F100</f>
        <v>46.527826086956523</v>
      </c>
      <c r="K35" s="18">
        <f>'Crush Margins Monthly'!$F112</f>
        <v>27.429523809523804</v>
      </c>
      <c r="L35" s="18">
        <f>'Crush Margins Monthly'!$F124</f>
        <v>-34.061428571428571</v>
      </c>
      <c r="M35" s="18">
        <f>'Crush Margins Monthly'!$F136</f>
        <v>0.6445454545454552</v>
      </c>
      <c r="N35" s="18">
        <f>'Crush Margins Monthly'!$F148</f>
        <v>75.42043478260868</v>
      </c>
      <c r="O35" s="18">
        <f t="shared" si="4"/>
        <v>46.527826086956523</v>
      </c>
      <c r="P35" s="18">
        <f t="shared" si="5"/>
        <v>-79.285454545454499</v>
      </c>
    </row>
    <row r="36" spans="1:16" x14ac:dyDescent="0.2">
      <c r="A36" s="11" t="s">
        <v>865</v>
      </c>
      <c r="B36" s="18"/>
      <c r="C36" s="18"/>
      <c r="D36" s="18"/>
      <c r="E36" s="18"/>
      <c r="F36" s="18"/>
      <c r="G36" s="18">
        <f>'Crush Margins Monthly'!$F65</f>
        <v>28.977619047619051</v>
      </c>
      <c r="H36" s="18">
        <f>'Crush Margins Monthly'!$F77</f>
        <v>37.88333333333334</v>
      </c>
      <c r="I36" s="18">
        <f>'Crush Margins Monthly'!$F89</f>
        <v>-39.98095238095236</v>
      </c>
      <c r="J36" s="18">
        <f>'Crush Margins Monthly'!$F101</f>
        <v>49.632105263157875</v>
      </c>
      <c r="K36" s="18">
        <f>'Crush Margins Monthly'!$F113</f>
        <v>41.058571428571419</v>
      </c>
      <c r="L36" s="18">
        <f>'Crush Margins Monthly'!$F125</f>
        <v>-14.421428571428573</v>
      </c>
      <c r="M36" s="18">
        <f>'Crush Margins Monthly'!$F137</f>
        <v>26.160476190476196</v>
      </c>
      <c r="N36" s="18">
        <f>'Crush Margins Monthly'!$F149</f>
        <v>92.669545454545457</v>
      </c>
      <c r="O36" s="18">
        <f t="shared" si="4"/>
        <v>49.632105263157875</v>
      </c>
      <c r="P36" s="18">
        <f t="shared" si="5"/>
        <v>-39.98095238095236</v>
      </c>
    </row>
    <row r="37" spans="1:16" x14ac:dyDescent="0.2">
      <c r="A37" s="11" t="s">
        <v>866</v>
      </c>
      <c r="B37" s="18"/>
      <c r="C37" s="18"/>
      <c r="D37" s="18"/>
      <c r="E37" s="18"/>
      <c r="F37" s="18">
        <f>'Crush Margins Monthly'!$F54</f>
        <v>31.068571428571424</v>
      </c>
      <c r="G37" s="18">
        <f>'Crush Margins Monthly'!$F66</f>
        <v>48.428095238095246</v>
      </c>
      <c r="H37" s="18">
        <f>'Crush Margins Monthly'!$F78</f>
        <v>20.590499999999995</v>
      </c>
      <c r="I37" s="18">
        <f>'Crush Margins Monthly'!$F90</f>
        <v>13.532380952380951</v>
      </c>
      <c r="J37" s="18">
        <f>'Crush Margins Monthly'!$F102</f>
        <v>31.220454545454551</v>
      </c>
      <c r="K37" s="18">
        <f>'Crush Margins Monthly'!$F114</f>
        <v>45.851363636363629</v>
      </c>
      <c r="L37" s="18">
        <f>'Crush Margins Monthly'!$F126</f>
        <v>-0.63954545454545486</v>
      </c>
      <c r="M37" s="18">
        <f>'Crush Margins Monthly'!$F138</f>
        <v>24.701000000000001</v>
      </c>
      <c r="N37" s="18">
        <f>'Crush Margins Monthly'!$F150</f>
        <v>40.8904761904762</v>
      </c>
      <c r="O37" s="18">
        <f t="shared" si="4"/>
        <v>45.851363636363629</v>
      </c>
      <c r="P37" s="18">
        <f t="shared" si="5"/>
        <v>-0.63954545454545486</v>
      </c>
    </row>
    <row r="38" spans="1:16" x14ac:dyDescent="0.2">
      <c r="A38" s="11" t="s">
        <v>867</v>
      </c>
      <c r="B38" s="18"/>
      <c r="C38" s="18"/>
      <c r="D38" s="18"/>
      <c r="E38" s="18"/>
      <c r="F38" s="18">
        <f>'Crush Margins Monthly'!$F55</f>
        <v>35.034999999999997</v>
      </c>
      <c r="G38" s="18">
        <f>'Crush Margins Monthly'!$F67</f>
        <v>77.286190476190455</v>
      </c>
      <c r="H38" s="18">
        <f>'Crush Margins Monthly'!$F79</f>
        <v>6.339545454545453</v>
      </c>
      <c r="I38" s="18">
        <f>'Crush Margins Monthly'!$F91</f>
        <v>11.260000000000003</v>
      </c>
      <c r="J38" s="18">
        <f>'Crush Margins Monthly'!$F103</f>
        <v>28.656818181818188</v>
      </c>
      <c r="K38" s="18">
        <f>'Crush Margins Monthly'!$F115</f>
        <v>45.998571428571417</v>
      </c>
      <c r="L38" s="18">
        <f>'Crush Margins Monthly'!$F127</f>
        <v>-12.847499999999997</v>
      </c>
      <c r="M38" s="18">
        <f>'Crush Margins Monthly'!$F139</f>
        <v>35.609545454545447</v>
      </c>
      <c r="N38" s="18">
        <f>'Crush Margins Monthly'!$F151</f>
        <v>-8.030454545454548</v>
      </c>
      <c r="O38" s="18">
        <f t="shared" si="4"/>
        <v>45.998571428571417</v>
      </c>
      <c r="P38" s="18">
        <f t="shared" si="5"/>
        <v>-12.847499999999997</v>
      </c>
    </row>
    <row r="39" spans="1:16" x14ac:dyDescent="0.2">
      <c r="A39" s="11" t="s">
        <v>868</v>
      </c>
      <c r="B39" s="18"/>
      <c r="C39" s="18"/>
      <c r="D39" s="18"/>
      <c r="E39" s="18"/>
      <c r="F39" s="18">
        <f>'Crush Margins Monthly'!$F56</f>
        <v>50.756818181818176</v>
      </c>
      <c r="G39" s="18">
        <f>'Crush Margins Monthly'!$F68</f>
        <v>75.073181818181794</v>
      </c>
      <c r="H39" s="18">
        <f>'Crush Margins Monthly'!$F80</f>
        <v>7.2895454545454523</v>
      </c>
      <c r="I39" s="18">
        <f>'Crush Margins Monthly'!$F92</f>
        <v>13.461500000000001</v>
      </c>
      <c r="J39" s="18">
        <f>'Crush Margins Monthly'!$F104</f>
        <v>35.143000000000015</v>
      </c>
      <c r="K39" s="18">
        <f>'Crush Margins Monthly'!$F116</f>
        <v>39.179047619047616</v>
      </c>
      <c r="L39" s="18">
        <f>'Crush Margins Monthly'!$F128</f>
        <v>0.2681818181818183</v>
      </c>
      <c r="M39" s="18">
        <f>'Crush Margins Monthly'!$F140</f>
        <v>18.171304347826091</v>
      </c>
      <c r="N39" s="18">
        <f>'Crush Margins Monthly'!$F152</f>
        <v>-12.380909090909091</v>
      </c>
      <c r="O39" s="18">
        <f t="shared" si="4"/>
        <v>39.179047619047616</v>
      </c>
      <c r="P39" s="18">
        <f t="shared" si="5"/>
        <v>0.2681818181818183</v>
      </c>
    </row>
    <row r="40" spans="1:16" x14ac:dyDescent="0.2">
      <c r="A40" s="11" t="s">
        <v>869</v>
      </c>
      <c r="B40" s="18"/>
      <c r="C40" s="18"/>
      <c r="D40" s="18"/>
      <c r="E40" s="18"/>
      <c r="F40" s="18">
        <f>'Crush Margins Monthly'!$F57</f>
        <v>44.391818181818188</v>
      </c>
      <c r="G40" s="18">
        <f>'Crush Margins Monthly'!$F69</f>
        <v>61.881904761904785</v>
      </c>
      <c r="H40" s="18">
        <f>'Crush Margins Monthly'!$F81</f>
        <v>-13.928095238095235</v>
      </c>
      <c r="I40" s="18">
        <f>'Crush Margins Monthly'!$F93</f>
        <v>-12.219130434782608</v>
      </c>
      <c r="J40" s="18">
        <f>'Crush Margins Monthly'!$F105</f>
        <v>23.416956521739131</v>
      </c>
      <c r="K40" s="18">
        <f>'Crush Margins Monthly'!$F117</f>
        <v>35.846956521739138</v>
      </c>
      <c r="L40" s="18">
        <f>'Crush Margins Monthly'!$F129</f>
        <v>0.21772727272727413</v>
      </c>
      <c r="M40" s="18">
        <f>'Crush Margins Monthly'!$F141</f>
        <v>-2.5747619047619055</v>
      </c>
      <c r="N40" s="18" t="e">
        <f ca="1">'Crush Margins Monthly'!$F153</f>
        <v>#NAME?</v>
      </c>
      <c r="O40" s="18">
        <f t="shared" si="4"/>
        <v>35.846956521739138</v>
      </c>
      <c r="P40" s="18">
        <f t="shared" si="5"/>
        <v>-12.219130434782608</v>
      </c>
    </row>
    <row r="41" spans="1:16" x14ac:dyDescent="0.2">
      <c r="A41" s="11" t="s">
        <v>870</v>
      </c>
      <c r="B41" s="18"/>
      <c r="C41" s="18"/>
      <c r="D41" s="18"/>
      <c r="E41" s="18"/>
      <c r="F41" s="18">
        <f>'Crush Margins Monthly'!$F58</f>
        <v>7.69</v>
      </c>
      <c r="G41" s="18">
        <f>'Crush Margins Monthly'!$F70</f>
        <v>51.782380952380947</v>
      </c>
      <c r="H41" s="18">
        <f>'Crush Margins Monthly'!$F82</f>
        <v>-37.05142857142858</v>
      </c>
      <c r="I41" s="18">
        <f>'Crush Margins Monthly'!$F94</f>
        <v>-39.775714285714272</v>
      </c>
      <c r="J41" s="18">
        <f>'Crush Margins Monthly'!$F106</f>
        <v>34.986000000000004</v>
      </c>
      <c r="K41" s="18">
        <f>'Crush Margins Monthly'!$F118</f>
        <v>20.860526315789485</v>
      </c>
      <c r="L41" s="18">
        <f>'Crush Margins Monthly'!$F130</f>
        <v>-13.295999999999998</v>
      </c>
      <c r="M41" s="18">
        <f>'Crush Margins Monthly'!$F142</f>
        <v>-12.68045454545455</v>
      </c>
      <c r="N41" s="18"/>
      <c r="O41" s="18">
        <f t="shared" si="4"/>
        <v>34.986000000000004</v>
      </c>
      <c r="P41" s="18">
        <f t="shared" si="5"/>
        <v>-39.775714285714272</v>
      </c>
    </row>
    <row r="42" spans="1:16" x14ac:dyDescent="0.2">
      <c r="A42" s="11" t="s">
        <v>871</v>
      </c>
      <c r="B42" s="18"/>
      <c r="C42" s="18"/>
      <c r="D42" s="18"/>
      <c r="E42" s="18"/>
      <c r="F42" s="18">
        <f>'Crush Margins Monthly'!$F59</f>
        <v>-22.578260869565216</v>
      </c>
      <c r="G42" s="18">
        <f>'Crush Margins Monthly'!$F71</f>
        <v>29.146086956521746</v>
      </c>
      <c r="H42" s="18">
        <f>'Crush Margins Monthly'!$F83</f>
        <v>-74.943636363636372</v>
      </c>
      <c r="I42" s="18">
        <f>'Crush Margins Monthly'!$F95</f>
        <v>-39.513333333333335</v>
      </c>
      <c r="J42" s="18">
        <f>'Crush Margins Monthly'!$F107</f>
        <v>62.233636363636357</v>
      </c>
      <c r="K42" s="18">
        <f>'Crush Margins Monthly'!$F119</f>
        <v>15.794782608695661</v>
      </c>
      <c r="L42" s="18">
        <f>'Crush Margins Monthly'!$F131</f>
        <v>-36.091304347826103</v>
      </c>
      <c r="M42" s="18">
        <f>'Crush Margins Monthly'!$F143</f>
        <v>-25.745909090909091</v>
      </c>
      <c r="N42" s="18"/>
      <c r="O42" s="18">
        <f t="shared" si="4"/>
        <v>62.233636363636357</v>
      </c>
      <c r="P42" s="18">
        <f t="shared" si="5"/>
        <v>-39.513333333333335</v>
      </c>
    </row>
    <row r="43" spans="1:16" x14ac:dyDescent="0.2">
      <c r="A43" s="11" t="s">
        <v>872</v>
      </c>
      <c r="B43" s="18"/>
      <c r="C43" s="18"/>
      <c r="D43" s="18"/>
      <c r="E43" s="18"/>
      <c r="F43" s="18">
        <f>'Crush Margins Monthly'!$F60</f>
        <v>-33.366500000000016</v>
      </c>
      <c r="G43" s="18">
        <f>'Crush Margins Monthly'!$F72</f>
        <v>21.609473684210528</v>
      </c>
      <c r="H43" s="18">
        <f>'Crush Margins Monthly'!$F84</f>
        <v>-61.729999999999983</v>
      </c>
      <c r="I43" s="18">
        <f>'Crush Margins Monthly'!$F96</f>
        <v>-28.907619047619033</v>
      </c>
      <c r="J43" s="18">
        <f>'Crush Margins Monthly'!$F108</f>
        <v>63.226666666666674</v>
      </c>
      <c r="K43" s="18">
        <f>'Crush Margins Monthly'!$F120</f>
        <v>-20.658095238095232</v>
      </c>
      <c r="L43" s="18">
        <f>'Crush Margins Monthly'!$F132</f>
        <v>-20.445499999999999</v>
      </c>
      <c r="M43" s="18">
        <f>'Crush Margins Monthly'!$F144</f>
        <v>-65.886190476190478</v>
      </c>
      <c r="N43" s="18"/>
      <c r="O43" s="18">
        <f t="shared" si="4"/>
        <v>63.226666666666674</v>
      </c>
      <c r="P43" s="18">
        <f t="shared" si="5"/>
        <v>-65.886190476190478</v>
      </c>
    </row>
    <row r="44" spans="1:16" x14ac:dyDescent="0.2">
      <c r="A44" s="11" t="s">
        <v>873</v>
      </c>
      <c r="B44" s="18"/>
      <c r="C44" s="18"/>
      <c r="D44" s="18"/>
      <c r="E44" s="18"/>
      <c r="F44" s="18">
        <f>'Crush Margins Monthly'!$F61</f>
        <v>-50.420000000000016</v>
      </c>
      <c r="G44" s="18">
        <f>'Crush Margins Monthly'!$F73</f>
        <v>28.635454545454547</v>
      </c>
      <c r="H44" s="18">
        <f>'Crush Margins Monthly'!$F85</f>
        <v>-55.152727272727276</v>
      </c>
      <c r="I44" s="18">
        <f>'Crush Margins Monthly'!$F97</f>
        <v>-18.900476190476191</v>
      </c>
      <c r="J44" s="18">
        <f>'Crush Margins Monthly'!$F109</f>
        <v>54.950000000000024</v>
      </c>
      <c r="K44" s="18">
        <f>'Crush Margins Monthly'!$F121</f>
        <v>-52.950999999999986</v>
      </c>
      <c r="L44" s="18">
        <f>'Crush Margins Monthly'!$F133</f>
        <v>-35.646666666666668</v>
      </c>
      <c r="M44" s="18">
        <f>'Crush Margins Monthly'!$F145</f>
        <v>-56.617826086956526</v>
      </c>
      <c r="N44" s="18"/>
      <c r="O44" s="18">
        <f t="shared" si="4"/>
        <v>54.950000000000024</v>
      </c>
      <c r="P44" s="18">
        <f t="shared" si="5"/>
        <v>-56.617826086956526</v>
      </c>
    </row>
    <row r="46" spans="1:16" ht="15.75" x14ac:dyDescent="0.2">
      <c r="A46" s="20" t="s">
        <v>858</v>
      </c>
    </row>
    <row r="47" spans="1:16" x14ac:dyDescent="0.2">
      <c r="B47" s="11">
        <v>2009</v>
      </c>
      <c r="C47" s="11">
        <v>2010</v>
      </c>
      <c r="D47" s="11">
        <v>2011</v>
      </c>
      <c r="E47" s="11">
        <v>2012</v>
      </c>
      <c r="F47" s="11">
        <v>2013</v>
      </c>
      <c r="G47" s="11">
        <v>2014</v>
      </c>
      <c r="H47" s="11">
        <v>2015</v>
      </c>
      <c r="I47" s="11">
        <v>2016</v>
      </c>
      <c r="J47" s="11">
        <v>2017</v>
      </c>
      <c r="K47" s="11">
        <v>2018</v>
      </c>
      <c r="L47" s="11">
        <v>2019</v>
      </c>
      <c r="M47" s="11">
        <v>2020</v>
      </c>
      <c r="N47" s="11">
        <v>2021</v>
      </c>
      <c r="O47" s="11" t="s">
        <v>860</v>
      </c>
      <c r="P47" s="11" t="s">
        <v>861</v>
      </c>
    </row>
    <row r="48" spans="1:16" x14ac:dyDescent="0.2">
      <c r="A48" s="11" t="s">
        <v>862</v>
      </c>
      <c r="B48" s="18">
        <f>'Crush Margins Monthly'!$H2</f>
        <v>97.02166666666669</v>
      </c>
      <c r="C48" s="18">
        <f>'Crush Margins Monthly'!$H14</f>
        <v>42.457368421052635</v>
      </c>
      <c r="D48" s="18">
        <f>'Crush Margins Monthly'!$H26</f>
        <v>26.788947368421049</v>
      </c>
      <c r="E48" s="18">
        <f>'Crush Margins Monthly'!$H38</f>
        <v>-15.428947368421058</v>
      </c>
      <c r="F48" s="18">
        <f>'Crush Margins Monthly'!$H50</f>
        <v>76.333333333333357</v>
      </c>
      <c r="G48" s="18">
        <f>'Crush Margins Monthly'!$H62</f>
        <v>-1.5819047619047619</v>
      </c>
      <c r="H48" s="18">
        <f>'Crush Margins Monthly'!$H74</f>
        <v>20.563999999999997</v>
      </c>
      <c r="I48" s="18">
        <f>'Crush Margins Monthly'!$H86</f>
        <v>20.421578947368417</v>
      </c>
      <c r="J48" s="18">
        <f>'Crush Margins Monthly'!$H98</f>
        <v>56.180000000000021</v>
      </c>
      <c r="K48" s="18">
        <f>'Crush Margins Monthly'!$H110</f>
        <v>58.895238095238092</v>
      </c>
      <c r="L48" s="18">
        <f>'Crush Margins Monthly'!$H122</f>
        <v>24.456666666666667</v>
      </c>
      <c r="M48" s="18">
        <f>'Crush Margins Monthly'!$H134</f>
        <v>79.554090909090945</v>
      </c>
      <c r="N48" s="18">
        <f>'Crush Margins Monthly'!$H146</f>
        <v>69.812499999999986</v>
      </c>
      <c r="O48" s="18">
        <f>MAX(I48:M48)</f>
        <v>79.554090909090945</v>
      </c>
      <c r="P48" s="18">
        <f>MIN(I48:M48)</f>
        <v>20.421578947368417</v>
      </c>
    </row>
    <row r="49" spans="1:16" x14ac:dyDescent="0.2">
      <c r="A49" s="11" t="s">
        <v>863</v>
      </c>
      <c r="B49" s="18">
        <f>'Crush Margins Monthly'!$H3</f>
        <v>72.014210526315793</v>
      </c>
      <c r="C49" s="18">
        <f>'Crush Margins Monthly'!$H15</f>
        <v>45.352105263157895</v>
      </c>
      <c r="D49" s="18">
        <f>'Crush Margins Monthly'!$H27</f>
        <v>16.349473684210533</v>
      </c>
      <c r="E49" s="18">
        <f>'Crush Margins Monthly'!$H39</f>
        <v>-39.48099999999998</v>
      </c>
      <c r="F49" s="18">
        <f>'Crush Margins Monthly'!$H51</f>
        <v>104.70368421052629</v>
      </c>
      <c r="G49" s="18">
        <f>'Crush Margins Monthly'!$H63</f>
        <v>40.892631578947373</v>
      </c>
      <c r="H49" s="18">
        <f>'Crush Margins Monthly'!$H75</f>
        <v>1.3147368421052625</v>
      </c>
      <c r="I49" s="18">
        <f>'Crush Margins Monthly'!$H87</f>
        <v>-17.800999999999998</v>
      </c>
      <c r="J49" s="18">
        <f>'Crush Margins Monthly'!$H99</f>
        <v>70.006315789473675</v>
      </c>
      <c r="K49" s="18">
        <f>'Crush Margins Monthly'!$H111</f>
        <v>74.896842105263161</v>
      </c>
      <c r="L49" s="18">
        <f>'Crush Margins Monthly'!$H123</f>
        <v>39.999444444444435</v>
      </c>
      <c r="M49" s="18">
        <f>'Crush Margins Monthly'!$H135</f>
        <v>95.777499999999989</v>
      </c>
      <c r="N49" s="18">
        <f>'Crush Margins Monthly'!$H147</f>
        <v>75.997500000000002</v>
      </c>
      <c r="O49" s="18">
        <f t="shared" ref="O49:O59" si="6">MAX(I49:M49)</f>
        <v>95.777499999999989</v>
      </c>
      <c r="P49" s="18">
        <f t="shared" ref="P49:P59" si="7">MIN(I49:M49)</f>
        <v>-17.800999999999998</v>
      </c>
    </row>
    <row r="50" spans="1:16" x14ac:dyDescent="0.2">
      <c r="A50" s="11" t="s">
        <v>864</v>
      </c>
      <c r="B50" s="18">
        <f>'Crush Margins Monthly'!$H4</f>
        <v>58.014090909090903</v>
      </c>
      <c r="C50" s="18">
        <f>'Crush Margins Monthly'!$H16</f>
        <v>26.338695652173918</v>
      </c>
      <c r="D50" s="18">
        <f>'Crush Margins Monthly'!$H28</f>
        <v>30.138695652173912</v>
      </c>
      <c r="E50" s="18">
        <f>'Crush Margins Monthly'!$H40</f>
        <v>-11.721363636363634</v>
      </c>
      <c r="F50" s="18">
        <f>'Crush Margins Monthly'!$H52</f>
        <v>85.625500000000002</v>
      </c>
      <c r="G50" s="18">
        <f>'Crush Margins Monthly'!$H64</f>
        <v>74.479047619047634</v>
      </c>
      <c r="H50" s="18">
        <f>'Crush Margins Monthly'!$H76</f>
        <v>4.6399999999999997</v>
      </c>
      <c r="I50" s="18">
        <f>'Crush Margins Monthly'!$H88</f>
        <v>-5.2377272727272732</v>
      </c>
      <c r="J50" s="18">
        <f>'Crush Margins Monthly'!$H100</f>
        <v>91.547826086956476</v>
      </c>
      <c r="K50" s="18">
        <f>'Crush Margins Monthly'!$H112</f>
        <v>73.555714285714302</v>
      </c>
      <c r="L50" s="18">
        <f>'Crush Margins Monthly'!$H124</f>
        <v>43.61</v>
      </c>
      <c r="M50" s="18">
        <f>'Crush Margins Monthly'!$H136</f>
        <v>97.392727272727313</v>
      </c>
      <c r="N50" s="18">
        <f>'Crush Margins Monthly'!$H148</f>
        <v>113.41869565217392</v>
      </c>
      <c r="O50" s="18">
        <f t="shared" si="6"/>
        <v>97.392727272727313</v>
      </c>
      <c r="P50" s="18">
        <f t="shared" si="7"/>
        <v>-5.2377272727272732</v>
      </c>
    </row>
    <row r="51" spans="1:16" x14ac:dyDescent="0.2">
      <c r="A51" s="11" t="s">
        <v>865</v>
      </c>
      <c r="B51" s="18">
        <f>'Crush Margins Monthly'!$H5</f>
        <v>67.819523809523844</v>
      </c>
      <c r="C51" s="18">
        <f>'Crush Margins Monthly'!$H17</f>
        <v>21.846666666666671</v>
      </c>
      <c r="D51" s="18">
        <f>'Crush Margins Monthly'!$H29</f>
        <v>7.794999999999999</v>
      </c>
      <c r="E51" s="18">
        <f>'Crush Margins Monthly'!$H41</f>
        <v>-19.849</v>
      </c>
      <c r="F51" s="18">
        <f>'Crush Margins Monthly'!$H53</f>
        <v>84.364999999999966</v>
      </c>
      <c r="G51" s="18">
        <f>'Crush Margins Monthly'!$H65</f>
        <v>94.11</v>
      </c>
      <c r="H51" s="18">
        <f>'Crush Margins Monthly'!$H77</f>
        <v>35.39142857142857</v>
      </c>
      <c r="I51" s="18">
        <f>'Crush Margins Monthly'!$H89</f>
        <v>36.590952380952395</v>
      </c>
      <c r="J51" s="18">
        <f>'Crush Margins Monthly'!$H101</f>
        <v>116.95473684210526</v>
      </c>
      <c r="K51" s="18">
        <f>'Crush Margins Monthly'!$H113</f>
        <v>101.74952380952382</v>
      </c>
      <c r="L51" s="18">
        <f>'Crush Margins Monthly'!$H125</f>
        <v>60.600952380952386</v>
      </c>
      <c r="M51" s="18">
        <f>'Crush Margins Monthly'!$H137</f>
        <v>102.74380952380955</v>
      </c>
      <c r="N51" s="18">
        <f>'Crush Margins Monthly'!$H149</f>
        <v>163.20772727272731</v>
      </c>
      <c r="O51" s="18">
        <f t="shared" si="6"/>
        <v>116.95473684210526</v>
      </c>
      <c r="P51" s="18">
        <f t="shared" si="7"/>
        <v>36.590952380952395</v>
      </c>
    </row>
    <row r="52" spans="1:16" x14ac:dyDescent="0.2">
      <c r="A52" s="11" t="s">
        <v>866</v>
      </c>
      <c r="B52" s="18">
        <f>'Crush Margins Monthly'!$H6</f>
        <v>37.196999999999989</v>
      </c>
      <c r="C52" s="18">
        <f>'Crush Margins Monthly'!$H18</f>
        <v>33.514999999999993</v>
      </c>
      <c r="D52" s="18">
        <f>'Crush Margins Monthly'!$H30</f>
        <v>-1.0366666666666666</v>
      </c>
      <c r="E52" s="18">
        <f>'Crush Margins Monthly'!$H42</f>
        <v>-18.249545454545451</v>
      </c>
      <c r="F52" s="18">
        <f>'Crush Margins Monthly'!$H54</f>
        <v>94.350000000000009</v>
      </c>
      <c r="G52" s="18">
        <f>'Crush Margins Monthly'!$H66</f>
        <v>93.434285714285664</v>
      </c>
      <c r="H52" s="18">
        <f>'Crush Margins Monthly'!$H78</f>
        <v>47.177999999999997</v>
      </c>
      <c r="I52" s="18">
        <f>'Crush Margins Monthly'!$H90</f>
        <v>72.372857142857171</v>
      </c>
      <c r="J52" s="18">
        <f>'Crush Margins Monthly'!$H102</f>
        <v>92.506363636363631</v>
      </c>
      <c r="K52" s="18">
        <f>'Crush Margins Monthly'!$H114</f>
        <v>100.14500000000002</v>
      </c>
      <c r="L52" s="18">
        <f>'Crush Margins Monthly'!$H126</f>
        <v>76.569090909090903</v>
      </c>
      <c r="M52" s="18">
        <f>'Crush Margins Monthly'!$H138</f>
        <v>102.503</v>
      </c>
      <c r="N52" s="18">
        <f>'Crush Margins Monthly'!$H150</f>
        <v>182.80333333333334</v>
      </c>
      <c r="O52" s="18">
        <f t="shared" si="6"/>
        <v>102.503</v>
      </c>
      <c r="P52" s="18">
        <f t="shared" si="7"/>
        <v>72.372857142857171</v>
      </c>
    </row>
    <row r="53" spans="1:16" x14ac:dyDescent="0.2">
      <c r="A53" s="11" t="s">
        <v>867</v>
      </c>
      <c r="B53" s="18">
        <f>'Crush Margins Monthly'!$H7</f>
        <v>26.480909090909083</v>
      </c>
      <c r="C53" s="18">
        <f>'Crush Margins Monthly'!$H19</f>
        <v>41.80181818181817</v>
      </c>
      <c r="D53" s="18">
        <f>'Crush Margins Monthly'!$H31</f>
        <v>-5.0945454545454529</v>
      </c>
      <c r="E53" s="18">
        <f>'Crush Margins Monthly'!$H43</f>
        <v>-5.4514285714285693</v>
      </c>
      <c r="F53" s="18">
        <f>'Crush Margins Monthly'!$H55</f>
        <v>103.13249999999994</v>
      </c>
      <c r="G53" s="18">
        <f>'Crush Margins Monthly'!$H67</f>
        <v>87.525714285714272</v>
      </c>
      <c r="H53" s="18">
        <f>'Crush Margins Monthly'!$H79</f>
        <v>33.248181818181813</v>
      </c>
      <c r="I53" s="18">
        <f>'Crush Margins Monthly'!$H91</f>
        <v>57.884090909090894</v>
      </c>
      <c r="J53" s="18">
        <f>'Crush Margins Monthly'!$H103</f>
        <v>95.37909090909092</v>
      </c>
      <c r="K53" s="18">
        <f>'Crush Margins Monthly'!$H115</f>
        <v>98.888571428571424</v>
      </c>
      <c r="L53" s="18">
        <f>'Crush Margins Monthly'!$H127</f>
        <v>72.662499999999966</v>
      </c>
      <c r="M53" s="18">
        <f>'Crush Margins Monthly'!$H139</f>
        <v>113.22045454545456</v>
      </c>
      <c r="N53" s="18">
        <f>'Crush Margins Monthly'!$H151</f>
        <v>190.22499999999999</v>
      </c>
      <c r="O53" s="18">
        <f t="shared" si="6"/>
        <v>113.22045454545456</v>
      </c>
      <c r="P53" s="18">
        <f t="shared" si="7"/>
        <v>57.884090909090894</v>
      </c>
    </row>
    <row r="54" spans="1:16" x14ac:dyDescent="0.2">
      <c r="A54" s="11" t="s">
        <v>868</v>
      </c>
      <c r="B54" s="18">
        <f>'Crush Margins Monthly'!$H8</f>
        <v>37.462727272727278</v>
      </c>
      <c r="C54" s="18">
        <f>'Crush Margins Monthly'!$H20</f>
        <v>37.83</v>
      </c>
      <c r="D54" s="18">
        <f>'Crush Margins Monthly'!$H32</f>
        <v>16.775500000000001</v>
      </c>
      <c r="E54" s="18">
        <f>'Crush Margins Monthly'!$H44</f>
        <v>-4.2461904761904758</v>
      </c>
      <c r="F54" s="18">
        <f>'Crush Margins Monthly'!$H56</f>
        <v>85.6727272727273</v>
      </c>
      <c r="G54" s="18">
        <f>'Crush Margins Monthly'!$H68</f>
        <v>55.72818181818181</v>
      </c>
      <c r="H54" s="18">
        <f>'Crush Margins Monthly'!$H80</f>
        <v>6.057272727272724</v>
      </c>
      <c r="I54" s="18">
        <f>'Crush Margins Monthly'!$H92</f>
        <v>51.32950000000001</v>
      </c>
      <c r="J54" s="18">
        <f>'Crush Margins Monthly'!$H104</f>
        <v>92.114500000000007</v>
      </c>
      <c r="K54" s="18">
        <f>'Crush Margins Monthly'!$H116</f>
        <v>95.340476190476181</v>
      </c>
      <c r="L54" s="18">
        <f>'Crush Margins Monthly'!$H128</f>
        <v>71.695454545454538</v>
      </c>
      <c r="M54" s="18">
        <f>'Crush Margins Monthly'!$H140</f>
        <v>91.373913043478254</v>
      </c>
      <c r="N54" s="18">
        <f>'Crush Margins Monthly'!$H152</f>
        <v>169.50363636363645</v>
      </c>
      <c r="O54" s="18">
        <f t="shared" si="6"/>
        <v>95.340476190476181</v>
      </c>
      <c r="P54" s="18">
        <f t="shared" si="7"/>
        <v>51.32950000000001</v>
      </c>
    </row>
    <row r="55" spans="1:16" x14ac:dyDescent="0.2">
      <c r="A55" s="11" t="s">
        <v>869</v>
      </c>
      <c r="B55" s="18">
        <f>'Crush Margins Monthly'!$H9</f>
        <v>29.214761904761922</v>
      </c>
      <c r="C55" s="18">
        <f>'Crush Margins Monthly'!$H21</f>
        <v>24.289999999999996</v>
      </c>
      <c r="D55" s="18">
        <f>'Crush Margins Monthly'!$H33</f>
        <v>59.806086956521739</v>
      </c>
      <c r="E55" s="18">
        <f>'Crush Margins Monthly'!$H45</f>
        <v>48.389999999999993</v>
      </c>
      <c r="F55" s="18">
        <f>'Crush Margins Monthly'!$H57</f>
        <v>102.2672727272727</v>
      </c>
      <c r="G55" s="18">
        <f>'Crush Margins Monthly'!$H69</f>
        <v>53.99285714285714</v>
      </c>
      <c r="H55" s="18">
        <f>'Crush Margins Monthly'!$H81</f>
        <v>-13.744761904761898</v>
      </c>
      <c r="I55" s="18">
        <f>'Crush Margins Monthly'!$H93</f>
        <v>36.881304347826081</v>
      </c>
      <c r="J55" s="18">
        <f>'Crush Margins Monthly'!$H105</f>
        <v>93.898695652173942</v>
      </c>
      <c r="K55" s="18">
        <f>'Crush Margins Monthly'!$H117</f>
        <v>86.580000000000013</v>
      </c>
      <c r="L55" s="18">
        <f>'Crush Margins Monthly'!$H129</f>
        <v>68.754090909090905</v>
      </c>
      <c r="M55" s="18">
        <f>'Crush Margins Monthly'!$H141</f>
        <v>83.642380952380947</v>
      </c>
      <c r="N55" s="18" t="e">
        <f ca="1">'Crush Margins Monthly'!$H153</f>
        <v>#NAME?</v>
      </c>
      <c r="O55" s="18">
        <f t="shared" si="6"/>
        <v>93.898695652173942</v>
      </c>
      <c r="P55" s="18">
        <f t="shared" si="7"/>
        <v>36.881304347826081</v>
      </c>
    </row>
    <row r="56" spans="1:16" x14ac:dyDescent="0.2">
      <c r="A56" s="11" t="s">
        <v>870</v>
      </c>
      <c r="B56" s="18">
        <f>'Crush Margins Monthly'!$H10</f>
        <v>50.341904761904757</v>
      </c>
      <c r="C56" s="18">
        <f>'Crush Margins Monthly'!$H22</f>
        <v>32.033809523809531</v>
      </c>
      <c r="D56" s="18">
        <f>'Crush Margins Monthly'!$H34</f>
        <v>52.026190476190486</v>
      </c>
      <c r="E56" s="18">
        <f>'Crush Margins Monthly'!$H46</f>
        <v>9.1800000000000015</v>
      </c>
      <c r="F56" s="18">
        <f>'Crush Margins Monthly'!$H58</f>
        <v>55.456499999999984</v>
      </c>
      <c r="G56" s="18">
        <f>'Crush Margins Monthly'!$H70</f>
        <v>39.608571428571445</v>
      </c>
      <c r="H56" s="18">
        <f>'Crush Margins Monthly'!$H82</f>
        <v>-11.85</v>
      </c>
      <c r="I56" s="18">
        <f>'Crush Margins Monthly'!$H94</f>
        <v>14.874285714285715</v>
      </c>
      <c r="J56" s="18">
        <f>'Crush Margins Monthly'!$H106</f>
        <v>89.578499999999991</v>
      </c>
      <c r="K56" s="18">
        <f>'Crush Margins Monthly'!$H118</f>
        <v>90.743157894736854</v>
      </c>
      <c r="L56" s="18">
        <f>'Crush Margins Monthly'!$H130</f>
        <v>67.913999999999987</v>
      </c>
      <c r="M56" s="18">
        <f>'Crush Margins Monthly'!$H142</f>
        <v>60.279090909090925</v>
      </c>
      <c r="N56" s="18"/>
      <c r="O56" s="18">
        <f t="shared" si="6"/>
        <v>90.743157894736854</v>
      </c>
      <c r="P56" s="18">
        <f t="shared" si="7"/>
        <v>14.874285714285715</v>
      </c>
    </row>
    <row r="57" spans="1:16" x14ac:dyDescent="0.2">
      <c r="A57" s="11" t="s">
        <v>871</v>
      </c>
      <c r="B57" s="18">
        <f>'Crush Margins Monthly'!$H11</f>
        <v>37.914090909090909</v>
      </c>
      <c r="C57" s="18">
        <f>'Crush Margins Monthly'!$H23</f>
        <v>14.489047619047613</v>
      </c>
      <c r="D57" s="18">
        <f>'Crush Margins Monthly'!$H35</f>
        <v>40.462857142857153</v>
      </c>
      <c r="E57" s="18">
        <f>'Crush Margins Monthly'!$H47</f>
        <v>14.448260869565219</v>
      </c>
      <c r="F57" s="18">
        <f>'Crush Margins Monthly'!$H59</f>
        <v>35.624347826086968</v>
      </c>
      <c r="G57" s="18">
        <f>'Crush Margins Monthly'!$H71</f>
        <v>40.392173913043464</v>
      </c>
      <c r="H57" s="18">
        <f>'Crush Margins Monthly'!$H83</f>
        <v>-34.601363636363651</v>
      </c>
      <c r="I57" s="18">
        <f>'Crush Margins Monthly'!$H95</f>
        <v>12.962380952380949</v>
      </c>
      <c r="J57" s="18">
        <f>'Crush Margins Monthly'!$H107</f>
        <v>106.44272727272724</v>
      </c>
      <c r="K57" s="18">
        <f>'Crush Margins Monthly'!$H119</f>
        <v>96.855652173913043</v>
      </c>
      <c r="L57" s="18">
        <f>'Crush Margins Monthly'!$H131</f>
        <v>54.342608695652181</v>
      </c>
      <c r="M57" s="18">
        <f>'Crush Margins Monthly'!$H143</f>
        <v>48.06227272727272</v>
      </c>
      <c r="N57" s="18"/>
      <c r="O57" s="18">
        <f t="shared" si="6"/>
        <v>106.44272727272724</v>
      </c>
      <c r="P57" s="18">
        <f t="shared" si="7"/>
        <v>12.962380952380949</v>
      </c>
    </row>
    <row r="58" spans="1:16" x14ac:dyDescent="0.2">
      <c r="A58" s="11" t="s">
        <v>872</v>
      </c>
      <c r="B58" s="18">
        <f>'Crush Margins Monthly'!$H12</f>
        <v>15.347499999999993</v>
      </c>
      <c r="C58" s="18">
        <f>'Crush Margins Monthly'!$H24</f>
        <v>30.58857142857142</v>
      </c>
      <c r="D58" s="18">
        <f>'Crush Margins Monthly'!$H36</f>
        <v>20.222857142857141</v>
      </c>
      <c r="E58" s="18">
        <f>'Crush Margins Monthly'!$H48</f>
        <v>3.3790476190476193</v>
      </c>
      <c r="F58" s="18">
        <f>'Crush Margins Monthly'!$H60</f>
        <v>27.702499999999997</v>
      </c>
      <c r="G58" s="18">
        <f>'Crush Margins Monthly'!$H72</f>
        <v>29.027368421052632</v>
      </c>
      <c r="H58" s="18">
        <f>'Crush Margins Monthly'!$H84</f>
        <v>6.5740000000000007</v>
      </c>
      <c r="I58" s="18">
        <f>'Crush Margins Monthly'!$H96</f>
        <v>29.293333333333333</v>
      </c>
      <c r="J58" s="18">
        <f>'Crush Margins Monthly'!$H108</f>
        <v>106.57857142857144</v>
      </c>
      <c r="K58" s="18">
        <f>'Crush Margins Monthly'!$H120</f>
        <v>61.67047619047618</v>
      </c>
      <c r="L58" s="18">
        <f>'Crush Margins Monthly'!$H132</f>
        <v>65.035499999999999</v>
      </c>
      <c r="M58" s="18">
        <f>'Crush Margins Monthly'!$H144</f>
        <v>27.154761904761909</v>
      </c>
      <c r="N58" s="18"/>
      <c r="O58" s="18">
        <f t="shared" si="6"/>
        <v>106.57857142857144</v>
      </c>
      <c r="P58" s="18">
        <f t="shared" si="7"/>
        <v>27.154761904761909</v>
      </c>
    </row>
    <row r="59" spans="1:16" x14ac:dyDescent="0.2">
      <c r="A59" s="11" t="s">
        <v>873</v>
      </c>
      <c r="B59" s="18">
        <f>'Crush Margins Monthly'!$H13</f>
        <v>20.153636363636362</v>
      </c>
      <c r="C59" s="18">
        <f>'Crush Margins Monthly'!$H25</f>
        <v>30.225238095238101</v>
      </c>
      <c r="D59" s="18">
        <f>'Crush Margins Monthly'!$H37</f>
        <v>24.669047619047621</v>
      </c>
      <c r="E59" s="18">
        <f>'Crush Margins Monthly'!$H49</f>
        <v>9.0474999999999977</v>
      </c>
      <c r="F59" s="18">
        <f>'Crush Margins Monthly'!$H61</f>
        <v>-1.5238095238095251</v>
      </c>
      <c r="G59" s="18">
        <f>'Crush Margins Monthly'!$H73</f>
        <v>27.734545454545458</v>
      </c>
      <c r="H59" s="18">
        <f>'Crush Margins Monthly'!$H85</f>
        <v>25.544090909090905</v>
      </c>
      <c r="I59" s="18">
        <f>'Crush Margins Monthly'!$H97</f>
        <v>29.434285714285725</v>
      </c>
      <c r="J59" s="18">
        <f>'Crush Margins Monthly'!$H109</f>
        <v>96.768499999999989</v>
      </c>
      <c r="K59" s="18">
        <f>'Crush Margins Monthly'!$H121</f>
        <v>39.989000000000019</v>
      </c>
      <c r="L59" s="18">
        <f>'Crush Margins Monthly'!$H133</f>
        <v>65.949999999999989</v>
      </c>
      <c r="M59" s="18">
        <f>'Crush Margins Monthly'!$H145</f>
        <v>50.160434782608689</v>
      </c>
      <c r="N59" s="18"/>
      <c r="O59" s="18">
        <f t="shared" si="6"/>
        <v>96.768499999999989</v>
      </c>
      <c r="P59" s="18">
        <f t="shared" si="7"/>
        <v>29.434285714285725</v>
      </c>
    </row>
    <row r="60" spans="1:16" x14ac:dyDescent="0.2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6" ht="15.75" x14ac:dyDescent="0.2">
      <c r="A61" s="20" t="s">
        <v>859</v>
      </c>
    </row>
    <row r="62" spans="1:16" x14ac:dyDescent="0.2">
      <c r="B62" s="11">
        <v>2009</v>
      </c>
      <c r="C62" s="11">
        <v>2010</v>
      </c>
      <c r="D62" s="11">
        <v>2011</v>
      </c>
      <c r="E62" s="11">
        <v>2012</v>
      </c>
      <c r="F62" s="11">
        <v>2013</v>
      </c>
      <c r="G62" s="11">
        <v>2014</v>
      </c>
      <c r="H62" s="11">
        <v>2015</v>
      </c>
      <c r="I62" s="11">
        <v>2016</v>
      </c>
      <c r="J62" s="11">
        <v>2017</v>
      </c>
      <c r="K62" s="11">
        <v>2018</v>
      </c>
      <c r="L62" s="11">
        <v>2019</v>
      </c>
      <c r="M62" s="11">
        <v>2020</v>
      </c>
      <c r="N62" s="11">
        <v>2021</v>
      </c>
      <c r="O62" s="11" t="s">
        <v>860</v>
      </c>
      <c r="P62" s="11" t="s">
        <v>861</v>
      </c>
    </row>
    <row r="63" spans="1:16" x14ac:dyDescent="0.2">
      <c r="A63" s="11" t="s">
        <v>862</v>
      </c>
      <c r="B63" s="18">
        <f>'Crush Margins Monthly'!$I2</f>
        <v>-76.961538461538439</v>
      </c>
      <c r="C63" s="18">
        <f>'Crush Margins Monthly'!$I14</f>
        <v>-105.79473684210528</v>
      </c>
      <c r="D63" s="18">
        <f>'Crush Margins Monthly'!$I26</f>
        <v>-201.6757894736842</v>
      </c>
      <c r="E63" s="18">
        <f>'Crush Margins Monthly'!$I38</f>
        <v>-18.339999999999993</v>
      </c>
      <c r="F63" s="18">
        <f>'Crush Margins Monthly'!$I50</f>
        <v>347.00904761904775</v>
      </c>
      <c r="G63" s="18">
        <f>'Crush Margins Monthly'!$I62</f>
        <v>-97.903333333333308</v>
      </c>
      <c r="H63" s="18">
        <f>'Crush Margins Monthly'!$I74</f>
        <v>-16.534999999999997</v>
      </c>
      <c r="I63" s="18">
        <f>'Crush Margins Monthly'!$I86</f>
        <v>22.680526315789479</v>
      </c>
      <c r="J63" s="18">
        <f>'Crush Margins Monthly'!$I98</f>
        <v>58.594500000000018</v>
      </c>
      <c r="K63" s="18">
        <f>'Crush Margins Monthly'!$I110</f>
        <v>37.399999999999991</v>
      </c>
      <c r="L63" s="18">
        <f>'Crush Margins Monthly'!$I122</f>
        <v>31.666666666666661</v>
      </c>
      <c r="M63" s="18">
        <f>'Crush Margins Monthly'!$I134</f>
        <v>71.204090909090851</v>
      </c>
      <c r="N63" s="18">
        <f>'Crush Margins Monthly'!$I146</f>
        <v>87.382499999999979</v>
      </c>
      <c r="O63" s="18">
        <f>MAX(I63:M63)</f>
        <v>71.204090909090851</v>
      </c>
      <c r="P63" s="18">
        <f>MIN(I63:M63)</f>
        <v>22.680526315789479</v>
      </c>
    </row>
    <row r="64" spans="1:16" x14ac:dyDescent="0.2">
      <c r="A64" s="11" t="s">
        <v>863</v>
      </c>
      <c r="B64" s="18">
        <f>'Crush Margins Monthly'!$I3</f>
        <v>-57.815789473684212</v>
      </c>
      <c r="C64" s="18">
        <f>'Crush Margins Monthly'!$I15</f>
        <v>-115.38947368421053</v>
      </c>
      <c r="D64" s="18">
        <f>'Crush Margins Monthly'!$I27</f>
        <v>-111.72368421052624</v>
      </c>
      <c r="E64" s="18">
        <f>'Crush Margins Monthly'!$I39</f>
        <v>-42.311500000000009</v>
      </c>
      <c r="F64" s="18">
        <f>'Crush Margins Monthly'!$I51</f>
        <v>256.6031578947368</v>
      </c>
      <c r="G64" s="18">
        <f>'Crush Margins Monthly'!$I63</f>
        <v>-45.001052631578958</v>
      </c>
      <c r="H64" s="18">
        <f>'Crush Margins Monthly'!$I75</f>
        <v>-2.9610526315789483</v>
      </c>
      <c r="I64" s="18">
        <f>'Crush Margins Monthly'!$I87</f>
        <v>-4.102999999999998</v>
      </c>
      <c r="J64" s="18">
        <f>'Crush Margins Monthly'!$I99</f>
        <v>69.452105263157904</v>
      </c>
      <c r="K64" s="18">
        <f>'Crush Margins Monthly'!$I111</f>
        <v>63.748947368421057</v>
      </c>
      <c r="L64" s="18">
        <f>'Crush Margins Monthly'!$I123</f>
        <v>60.736666666666679</v>
      </c>
      <c r="M64" s="18">
        <f>'Crush Margins Monthly'!$I135</f>
        <v>88.912500000000009</v>
      </c>
      <c r="N64" s="18">
        <f>'Crush Margins Monthly'!$I147</f>
        <v>89.740000000000009</v>
      </c>
      <c r="O64" s="18">
        <f t="shared" ref="O64:O74" si="8">MAX(I64:M64)</f>
        <v>88.912500000000009</v>
      </c>
      <c r="P64" s="18">
        <f t="shared" ref="P64:P74" si="9">MIN(I64:M64)</f>
        <v>-4.102999999999998</v>
      </c>
    </row>
    <row r="65" spans="1:16" x14ac:dyDescent="0.2">
      <c r="A65" s="11" t="s">
        <v>864</v>
      </c>
      <c r="B65" s="18">
        <f>'Crush Margins Monthly'!$I4</f>
        <v>-58.159090909090899</v>
      </c>
      <c r="C65" s="18">
        <f>'Crush Margins Monthly'!$I16</f>
        <v>-132.46956521739133</v>
      </c>
      <c r="D65" s="18">
        <f>'Crush Margins Monthly'!$I28</f>
        <v>95.682173913043499</v>
      </c>
      <c r="E65" s="18">
        <f>'Crush Margins Monthly'!$I40</f>
        <v>35.250000000000007</v>
      </c>
      <c r="F65" s="18">
        <f>'Crush Margins Monthly'!$I52</f>
        <v>516.42950000000008</v>
      </c>
      <c r="G65" s="18">
        <f>'Crush Margins Monthly'!$I64</f>
        <v>0.28238095238095151</v>
      </c>
      <c r="H65" s="18">
        <f>'Crush Margins Monthly'!$I76</f>
        <v>-10.577272727272728</v>
      </c>
      <c r="I65" s="18">
        <f>'Crush Margins Monthly'!$I88</f>
        <v>10.121818181818183</v>
      </c>
      <c r="J65" s="18">
        <f>'Crush Margins Monthly'!$I100</f>
        <v>83.412173913043432</v>
      </c>
      <c r="K65" s="18">
        <f>'Crush Margins Monthly'!$I112</f>
        <v>48.650952380952361</v>
      </c>
      <c r="L65" s="18">
        <f>'Crush Margins Monthly'!$I124</f>
        <v>58.073809523809523</v>
      </c>
      <c r="M65" s="18">
        <f>'Crush Margins Monthly'!$I136</f>
        <v>107.6309090909091</v>
      </c>
      <c r="N65" s="18">
        <f>'Crush Margins Monthly'!$I148</f>
        <v>148.63391304347823</v>
      </c>
      <c r="O65" s="18">
        <f t="shared" si="8"/>
        <v>107.6309090909091</v>
      </c>
      <c r="P65" s="18">
        <f t="shared" si="9"/>
        <v>10.121818181818183</v>
      </c>
    </row>
    <row r="66" spans="1:16" x14ac:dyDescent="0.2">
      <c r="A66" s="11" t="s">
        <v>865</v>
      </c>
      <c r="B66" s="18">
        <f>'Crush Margins Monthly'!$I5</f>
        <v>-73.766666666666694</v>
      </c>
      <c r="C66" s="18">
        <f>'Crush Margins Monthly'!$I17</f>
        <v>-135.42619047619053</v>
      </c>
      <c r="D66" s="18">
        <f>'Crush Margins Monthly'!$I29</f>
        <v>74.41500000000002</v>
      </c>
      <c r="E66" s="18">
        <f>'Crush Margins Monthly'!$I41</f>
        <v>19.862500000000004</v>
      </c>
      <c r="F66" s="18">
        <f>'Crush Margins Monthly'!$I53</f>
        <v>374.18727272727261</v>
      </c>
      <c r="G66" s="18">
        <f>'Crush Margins Monthly'!$I65</f>
        <v>39.658095238095228</v>
      </c>
      <c r="H66" s="18">
        <f>'Crush Margins Monthly'!$I77</f>
        <v>24.486190476190483</v>
      </c>
      <c r="I66" s="18">
        <f>'Crush Margins Monthly'!$I89</f>
        <v>49.566190476190478</v>
      </c>
      <c r="J66" s="18">
        <f>'Crush Margins Monthly'!$I101</f>
        <v>103.18157894736845</v>
      </c>
      <c r="K66" s="18">
        <f>'Crush Margins Monthly'!$I113</f>
        <v>84.659047619047598</v>
      </c>
      <c r="L66" s="18">
        <f>'Crush Margins Monthly'!$I125</f>
        <v>79.310476190476223</v>
      </c>
      <c r="M66" s="18">
        <f>'Crush Margins Monthly'!$I137</f>
        <v>135.06571428571425</v>
      </c>
      <c r="N66" s="18">
        <f>'Crush Margins Monthly'!$I149</f>
        <v>205.65318181818185</v>
      </c>
      <c r="O66" s="18">
        <f t="shared" si="8"/>
        <v>135.06571428571425</v>
      </c>
      <c r="P66" s="18">
        <f t="shared" si="9"/>
        <v>49.566190476190478</v>
      </c>
    </row>
    <row r="67" spans="1:16" x14ac:dyDescent="0.2">
      <c r="A67" s="11" t="s">
        <v>866</v>
      </c>
      <c r="B67" s="18">
        <f>'Crush Margins Monthly'!$I6</f>
        <v>-89.289999999999992</v>
      </c>
      <c r="C67" s="18">
        <f>'Crush Margins Monthly'!$I18</f>
        <v>-126.42250000000001</v>
      </c>
      <c r="D67" s="18">
        <f>'Crush Margins Monthly'!$I30</f>
        <v>60.111428571428547</v>
      </c>
      <c r="E67" s="18">
        <f>'Crush Margins Monthly'!$I42</f>
        <v>38.387272727272716</v>
      </c>
      <c r="F67" s="18">
        <f>'Crush Margins Monthly'!$I54</f>
        <v>157.64454545454544</v>
      </c>
      <c r="G67" s="18">
        <f>'Crush Margins Monthly'!$I66</f>
        <v>36.830952380952382</v>
      </c>
      <c r="H67" s="18">
        <f>'Crush Margins Monthly'!$I78</f>
        <v>24.109499999999993</v>
      </c>
      <c r="I67" s="18">
        <f>'Crush Margins Monthly'!$I90</f>
        <v>81.196190476190438</v>
      </c>
      <c r="J67" s="18">
        <f>'Crush Margins Monthly'!$I102</f>
        <v>88.480454545454535</v>
      </c>
      <c r="K67" s="18">
        <f>'Crush Margins Monthly'!$I114</f>
        <v>81.326363636363681</v>
      </c>
      <c r="L67" s="18">
        <f>'Crush Margins Monthly'!$I126</f>
        <v>84.422272727272713</v>
      </c>
      <c r="M67" s="18">
        <f>'Crush Margins Monthly'!$I138</f>
        <v>127.28749999999999</v>
      </c>
      <c r="N67" s="18">
        <f>'Crush Margins Monthly'!$I150</f>
        <v>184.09333333333339</v>
      </c>
      <c r="O67" s="18">
        <f t="shared" si="8"/>
        <v>127.28749999999999</v>
      </c>
      <c r="P67" s="18">
        <f t="shared" si="9"/>
        <v>81.196190476190438</v>
      </c>
    </row>
    <row r="68" spans="1:16" x14ac:dyDescent="0.2">
      <c r="A68" s="11" t="s">
        <v>867</v>
      </c>
      <c r="B68" s="18">
        <f>'Crush Margins Monthly'!$I7</f>
        <v>-108.99545454545455</v>
      </c>
      <c r="C68" s="18">
        <f>'Crush Margins Monthly'!$I19</f>
        <v>-126.1781818181818</v>
      </c>
      <c r="D68" s="18">
        <f>'Crush Margins Monthly'!$I31</f>
        <v>44.805909090909104</v>
      </c>
      <c r="E68" s="18">
        <f>'Crush Margins Monthly'!$I43</f>
        <v>61.992380952380984</v>
      </c>
      <c r="F68" s="18">
        <f>'Crush Margins Monthly'!$I55</f>
        <v>95.299999999999983</v>
      </c>
      <c r="G68" s="18">
        <f>'Crush Margins Monthly'!$I67</f>
        <v>11.815714285714291</v>
      </c>
      <c r="H68" s="18">
        <f>'Crush Margins Monthly'!$I79</f>
        <v>11.070909090909089</v>
      </c>
      <c r="I68" s="18">
        <f>'Crush Margins Monthly'!$I91</f>
        <v>84.900909090909096</v>
      </c>
      <c r="J68" s="18">
        <f>'Crush Margins Monthly'!$I103</f>
        <v>94.975909090909056</v>
      </c>
      <c r="K68" s="18">
        <f>'Crush Margins Monthly'!$I115</f>
        <v>101.7542857142857</v>
      </c>
      <c r="L68" s="18">
        <f>'Crush Margins Monthly'!$I127</f>
        <v>60.000000000000021</v>
      </c>
      <c r="M68" s="18">
        <f>'Crush Margins Monthly'!$I139</f>
        <v>128.95045454545459</v>
      </c>
      <c r="N68" s="18">
        <f>'Crush Margins Monthly'!$I151</f>
        <v>171.26772727272729</v>
      </c>
      <c r="O68" s="18">
        <f t="shared" si="8"/>
        <v>128.95045454545459</v>
      </c>
      <c r="P68" s="18">
        <f t="shared" si="9"/>
        <v>60.000000000000021</v>
      </c>
    </row>
    <row r="69" spans="1:16" x14ac:dyDescent="0.2">
      <c r="A69" s="11" t="s">
        <v>868</v>
      </c>
      <c r="B69" s="18">
        <f>'Crush Margins Monthly'!$I8</f>
        <v>-100.60909090909091</v>
      </c>
      <c r="C69" s="18">
        <f>'Crush Margins Monthly'!$I20</f>
        <v>-137.62476190476184</v>
      </c>
      <c r="D69" s="18">
        <f>'Crush Margins Monthly'!$I32</f>
        <v>126.01199999999999</v>
      </c>
      <c r="E69" s="18">
        <f>'Crush Margins Monthly'!$I44</f>
        <v>53.266190476190495</v>
      </c>
      <c r="F69" s="18">
        <f>'Crush Margins Monthly'!$I56</f>
        <v>75.87409090909091</v>
      </c>
      <c r="G69" s="18">
        <f>'Crush Margins Monthly'!$I68</f>
        <v>-10.294545454545453</v>
      </c>
      <c r="H69" s="18">
        <f>'Crush Margins Monthly'!$I80</f>
        <v>-2.0472727272727269</v>
      </c>
      <c r="I69" s="18">
        <f>'Crush Margins Monthly'!$I92</f>
        <v>70.150999999999996</v>
      </c>
      <c r="J69" s="18">
        <f>'Crush Margins Monthly'!$I104</f>
        <v>90.365000000000023</v>
      </c>
      <c r="K69" s="18">
        <f>'Crush Margins Monthly'!$I116</f>
        <v>89.372380952380951</v>
      </c>
      <c r="L69" s="18">
        <f>'Crush Margins Monthly'!$I128</f>
        <v>54.81227272727272</v>
      </c>
      <c r="M69" s="18">
        <f>'Crush Margins Monthly'!$I140</f>
        <v>118.04304347826091</v>
      </c>
      <c r="N69" s="18">
        <f>'Crush Margins Monthly'!$I152</f>
        <v>121.95227272727267</v>
      </c>
      <c r="O69" s="18">
        <f t="shared" si="8"/>
        <v>118.04304347826091</v>
      </c>
      <c r="P69" s="18">
        <f t="shared" si="9"/>
        <v>54.81227272727272</v>
      </c>
    </row>
    <row r="70" spans="1:16" x14ac:dyDescent="0.2">
      <c r="A70" s="11" t="s">
        <v>869</v>
      </c>
      <c r="B70" s="18">
        <f>'Crush Margins Monthly'!$I9</f>
        <v>-114.4761904761905</v>
      </c>
      <c r="C70" s="18">
        <f>'Crush Margins Monthly'!$I21</f>
        <v>-141.90545454545452</v>
      </c>
      <c r="D70" s="18">
        <f>'Crush Margins Monthly'!$I33</f>
        <v>130.64739130434782</v>
      </c>
      <c r="E70" s="18">
        <f>'Crush Margins Monthly'!$I45</f>
        <v>64.626086956521718</v>
      </c>
      <c r="F70" s="18">
        <f>'Crush Margins Monthly'!$I57</f>
        <v>89.786818181818177</v>
      </c>
      <c r="G70" s="18">
        <f>'Crush Margins Monthly'!$I69</f>
        <v>17.06761904761904</v>
      </c>
      <c r="H70" s="18">
        <f>'Crush Margins Monthly'!$I81</f>
        <v>-28.812380952380948</v>
      </c>
      <c r="I70" s="18">
        <f>'Crush Margins Monthly'!$I93</f>
        <v>158.36391304347825</v>
      </c>
      <c r="J70" s="18">
        <f>'Crush Margins Monthly'!$I105</f>
        <v>87.329565217391277</v>
      </c>
      <c r="K70" s="18">
        <f>'Crush Margins Monthly'!$I117</f>
        <v>78.457826086956516</v>
      </c>
      <c r="L70" s="18">
        <f>'Crush Margins Monthly'!$I129</f>
        <v>84.929090909090874</v>
      </c>
      <c r="M70" s="18">
        <f>'Crush Margins Monthly'!$I141</f>
        <v>103.77761904761904</v>
      </c>
      <c r="N70" s="18" t="e">
        <f ca="1">'Crush Margins Monthly'!$I153</f>
        <v>#NAME?</v>
      </c>
      <c r="O70" s="18">
        <f t="shared" si="8"/>
        <v>158.36391304347825</v>
      </c>
      <c r="P70" s="18">
        <f t="shared" si="9"/>
        <v>78.457826086956516</v>
      </c>
    </row>
    <row r="71" spans="1:16" x14ac:dyDescent="0.2">
      <c r="A71" s="11" t="s">
        <v>870</v>
      </c>
      <c r="B71" s="18">
        <f>'Crush Margins Monthly'!$I10</f>
        <v>-151.98095238095237</v>
      </c>
      <c r="C71" s="18">
        <f>'Crush Margins Monthly'!$I22</f>
        <v>-165.89375000000004</v>
      </c>
      <c r="D71" s="18">
        <f>'Crush Margins Monthly'!$I34</f>
        <v>106.27190476190472</v>
      </c>
      <c r="E71" s="18">
        <f>'Crush Margins Monthly'!$I46</f>
        <v>323.58210526315793</v>
      </c>
      <c r="F71" s="18">
        <f>'Crush Margins Monthly'!$I58</f>
        <v>71.524500000000032</v>
      </c>
      <c r="G71" s="18">
        <f>'Crush Margins Monthly'!$I70</f>
        <v>-19.747142857142851</v>
      </c>
      <c r="H71" s="18">
        <f>'Crush Margins Monthly'!$I82</f>
        <v>-9.8314285714285674</v>
      </c>
      <c r="I71" s="18">
        <f>'Crush Margins Monthly'!$I94</f>
        <v>93.396666666666647</v>
      </c>
      <c r="J71" s="18">
        <f>'Crush Margins Monthly'!$I106</f>
        <v>80.900499999999994</v>
      </c>
      <c r="K71" s="18">
        <f>'Crush Margins Monthly'!$I118</f>
        <v>98.403684210526308</v>
      </c>
      <c r="L71" s="18">
        <f>'Crush Margins Monthly'!$I130</f>
        <v>70.814499999999995</v>
      </c>
      <c r="M71" s="18">
        <f>'Crush Margins Monthly'!$I142</f>
        <v>85.008636363636327</v>
      </c>
      <c r="N71" s="18"/>
      <c r="O71" s="18">
        <f t="shared" si="8"/>
        <v>98.403684210526308</v>
      </c>
      <c r="P71" s="18">
        <f t="shared" si="9"/>
        <v>70.814499999999995</v>
      </c>
    </row>
    <row r="72" spans="1:16" x14ac:dyDescent="0.2">
      <c r="A72" s="11" t="s">
        <v>871</v>
      </c>
      <c r="B72" s="18">
        <f>'Crush Margins Monthly'!$I11</f>
        <v>-99.622727272727261</v>
      </c>
      <c r="C72" s="18">
        <f>'Crush Margins Monthly'!$I23</f>
        <v>-164.47952380952376</v>
      </c>
      <c r="D72" s="18">
        <f>'Crush Margins Monthly'!$I35</f>
        <v>81.101428571428556</v>
      </c>
      <c r="E72" s="18">
        <f>'Crush Margins Monthly'!$I47</f>
        <v>88.317826086956543</v>
      </c>
      <c r="F72" s="18">
        <f>'Crush Margins Monthly'!$I59</f>
        <v>-35.747826086956515</v>
      </c>
      <c r="G72" s="18">
        <f>'Crush Margins Monthly'!$I71</f>
        <v>-15.757826086956516</v>
      </c>
      <c r="H72" s="18">
        <f>'Crush Margins Monthly'!$I83</f>
        <v>-25.192272727272726</v>
      </c>
      <c r="I72" s="18">
        <f>'Crush Margins Monthly'!$I95</f>
        <v>17.160476190476192</v>
      </c>
      <c r="J72" s="18">
        <f>'Crush Margins Monthly'!$I107</f>
        <v>112.14272727272729</v>
      </c>
      <c r="K72" s="18">
        <f>'Crush Margins Monthly'!$I119</f>
        <v>80.538695652173899</v>
      </c>
      <c r="L72" s="18">
        <f>'Crush Margins Monthly'!$I131</f>
        <v>53.036086956521757</v>
      </c>
      <c r="M72" s="18">
        <f>'Crush Margins Monthly'!$I143</f>
        <v>81.776363636363627</v>
      </c>
      <c r="N72" s="18"/>
      <c r="O72" s="18">
        <f t="shared" si="8"/>
        <v>112.14272727272729</v>
      </c>
      <c r="P72" s="18">
        <f t="shared" si="9"/>
        <v>17.160476190476192</v>
      </c>
    </row>
    <row r="73" spans="1:16" x14ac:dyDescent="0.2">
      <c r="A73" s="11" t="s">
        <v>872</v>
      </c>
      <c r="B73" s="18">
        <f>'Crush Margins Monthly'!$I12</f>
        <v>-104.10499999999995</v>
      </c>
      <c r="C73" s="18">
        <f>'Crush Margins Monthly'!$I24</f>
        <v>-217.27857142857144</v>
      </c>
      <c r="D73" s="18">
        <f>'Crush Margins Monthly'!$I36</f>
        <v>-38.348095238095226</v>
      </c>
      <c r="E73" s="18">
        <f>'Crush Margins Monthly'!$I48</f>
        <v>23.603809523809538</v>
      </c>
      <c r="F73" s="18">
        <f>'Crush Margins Monthly'!$I60</f>
        <v>-61.421500000000023</v>
      </c>
      <c r="G73" s="18">
        <f>'Crush Margins Monthly'!$I72</f>
        <v>-26.696842105263148</v>
      </c>
      <c r="H73" s="18">
        <f>'Crush Margins Monthly'!$I84</f>
        <v>19.534999999999989</v>
      </c>
      <c r="I73" s="18">
        <f>'Crush Margins Monthly'!$I96</f>
        <v>24.782857142857139</v>
      </c>
      <c r="J73" s="18">
        <f>'Crush Margins Monthly'!$I108</f>
        <v>86.910952380952338</v>
      </c>
      <c r="K73" s="18">
        <f>'Crush Margins Monthly'!$I120</f>
        <v>56.200476190476195</v>
      </c>
      <c r="L73" s="18">
        <f>'Crush Margins Monthly'!$I132</f>
        <v>59.073499999999989</v>
      </c>
      <c r="M73" s="18">
        <f>'Crush Margins Monthly'!$I144</f>
        <v>55.98571428571428</v>
      </c>
      <c r="N73" s="18"/>
      <c r="O73" s="18">
        <f t="shared" si="8"/>
        <v>86.910952380952338</v>
      </c>
      <c r="P73" s="18">
        <f t="shared" si="9"/>
        <v>24.782857142857139</v>
      </c>
    </row>
    <row r="74" spans="1:16" x14ac:dyDescent="0.2">
      <c r="A74" s="11" t="s">
        <v>873</v>
      </c>
      <c r="B74" s="18">
        <f>'Crush Margins Monthly'!$I13</f>
        <v>-117.6727272727273</v>
      </c>
      <c r="C74" s="18">
        <f>'Crush Margins Monthly'!$I25</f>
        <v>-248.87904761904761</v>
      </c>
      <c r="D74" s="18">
        <f>'Crush Margins Monthly'!$I37</f>
        <v>51.459523809523816</v>
      </c>
      <c r="E74" s="18">
        <f>'Crush Margins Monthly'!$I49</f>
        <v>438.80949999999996</v>
      </c>
      <c r="F74" s="18">
        <f>'Crush Margins Monthly'!$I61</f>
        <v>-80.424761904761922</v>
      </c>
      <c r="G74" s="18">
        <f>'Crush Margins Monthly'!$I73</f>
        <v>-33.253181818181815</v>
      </c>
      <c r="H74" s="18">
        <f>'Crush Margins Monthly'!$I85</f>
        <v>34.461818181818181</v>
      </c>
      <c r="I74" s="18">
        <f>'Crush Margins Monthly'!$I97</f>
        <v>16.266190476190474</v>
      </c>
      <c r="J74" s="18">
        <f>'Crush Margins Monthly'!$I109</f>
        <v>63.038999999999987</v>
      </c>
      <c r="K74" s="18">
        <f>'Crush Margins Monthly'!$I121</f>
        <v>40.331999999999987</v>
      </c>
      <c r="L74" s="18">
        <f>'Crush Margins Monthly'!$I133</f>
        <v>39.54</v>
      </c>
      <c r="M74" s="18">
        <f>'Crush Margins Monthly'!$I145</f>
        <v>83.016521739130425</v>
      </c>
      <c r="N74" s="18"/>
      <c r="O74" s="18">
        <f t="shared" si="8"/>
        <v>83.016521739130425</v>
      </c>
      <c r="P74" s="18">
        <f t="shared" si="9"/>
        <v>16.266190476190474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A1CD-732D-4409-B261-6ABDCE272B71}">
  <dimension ref="A1:M264"/>
  <sheetViews>
    <sheetView workbookViewId="0">
      <selection activeCell="D839" sqref="D839"/>
    </sheetView>
  </sheetViews>
  <sheetFormatPr defaultRowHeight="15.75" x14ac:dyDescent="0.25"/>
  <cols>
    <col min="1" max="1" width="9.375" style="10" bestFit="1" customWidth="1"/>
    <col min="2" max="3" width="4.25" style="12" customWidth="1"/>
    <col min="4" max="9" width="10.25" customWidth="1"/>
  </cols>
  <sheetData>
    <row r="1" spans="1:13" ht="31.5" x14ac:dyDescent="0.25">
      <c r="B1" s="12" t="s">
        <v>1</v>
      </c>
      <c r="C1" s="12" t="s">
        <v>2</v>
      </c>
      <c r="D1" s="3" t="s">
        <v>874</v>
      </c>
      <c r="E1" s="3" t="s">
        <v>875</v>
      </c>
      <c r="F1" s="3" t="s">
        <v>876</v>
      </c>
      <c r="G1" s="3" t="s">
        <v>877</v>
      </c>
      <c r="H1" s="3" t="s">
        <v>875</v>
      </c>
      <c r="I1" s="3" t="s">
        <v>876</v>
      </c>
      <c r="J1" s="3" t="s">
        <v>878</v>
      </c>
      <c r="K1" s="3" t="s">
        <v>879</v>
      </c>
      <c r="L1" s="3" t="s">
        <v>880</v>
      </c>
      <c r="M1" s="3" t="s">
        <v>881</v>
      </c>
    </row>
    <row r="2" spans="1:13" x14ac:dyDescent="0.25">
      <c r="A2" s="10">
        <v>36800</v>
      </c>
      <c r="B2" s="12">
        <f>MONTH(A2)</f>
        <v>10</v>
      </c>
      <c r="C2" s="12">
        <f>YEAR(A2)</f>
        <v>2000</v>
      </c>
      <c r="D2" s="13">
        <f>AVERAGEIFS('Sunflower Prices'!F2:F5304,'Sunflower Prices'!B2:B5304,'Sunflower Monthly'!B2,'Sunflower Prices'!C2:C5304,'Sunflower Monthly'!C2)</f>
        <v>112.67270576821606</v>
      </c>
      <c r="E2" s="13"/>
      <c r="F2" s="13"/>
      <c r="G2" s="13"/>
      <c r="H2" s="13"/>
      <c r="I2" s="13"/>
      <c r="J2" s="13"/>
    </row>
    <row r="3" spans="1:13" x14ac:dyDescent="0.25">
      <c r="A3" s="10">
        <v>36831</v>
      </c>
      <c r="B3" s="12">
        <f t="shared" ref="B3:B66" si="0">MONTH(A3)</f>
        <v>11</v>
      </c>
      <c r="C3" s="12">
        <f t="shared" ref="C3:C66" si="1">YEAR(A3)</f>
        <v>2000</v>
      </c>
      <c r="D3" s="13">
        <f>AVERAGEIFS('Sunflower Prices'!F3:F5305,'Sunflower Prices'!B3:B5305,'Sunflower Monthly'!B3,'Sunflower Prices'!C3:C5305,'Sunflower Monthly'!C3)</f>
        <v>110.27044201697241</v>
      </c>
      <c r="E3" s="13"/>
      <c r="F3" s="13"/>
      <c r="G3" s="13"/>
      <c r="H3" s="13"/>
      <c r="I3" s="13"/>
      <c r="J3" s="13"/>
    </row>
    <row r="4" spans="1:13" x14ac:dyDescent="0.25">
      <c r="A4" s="10">
        <v>36861</v>
      </c>
      <c r="B4" s="12">
        <f t="shared" si="0"/>
        <v>12</v>
      </c>
      <c r="C4" s="12">
        <f t="shared" si="1"/>
        <v>2000</v>
      </c>
      <c r="D4" s="13">
        <f>AVERAGEIFS('Sunflower Prices'!F4:F5306,'Sunflower Prices'!B4:B5306,'Sunflower Monthly'!B4,'Sunflower Prices'!C4:C5306,'Sunflower Monthly'!C4)</f>
        <v>114.7560717304744</v>
      </c>
      <c r="E4" s="13"/>
      <c r="F4" s="13"/>
      <c r="G4" s="13"/>
      <c r="H4" s="13"/>
      <c r="I4" s="13"/>
      <c r="J4" s="13"/>
    </row>
    <row r="5" spans="1:13" x14ac:dyDescent="0.25">
      <c r="A5" s="10">
        <v>36892</v>
      </c>
      <c r="B5" s="12">
        <f t="shared" si="0"/>
        <v>1</v>
      </c>
      <c r="C5" s="12">
        <f t="shared" si="1"/>
        <v>2001</v>
      </c>
      <c r="D5" s="13">
        <f>AVERAGEIFS('Sunflower Prices'!F5:F5307,'Sunflower Prices'!B5:B5307,'Sunflower Monthly'!B5,'Sunflower Prices'!C5:C5307,'Sunflower Monthly'!C5)</f>
        <v>121.97562474161347</v>
      </c>
      <c r="E5" s="13"/>
      <c r="F5" s="13"/>
      <c r="G5" s="13"/>
      <c r="H5" s="13"/>
      <c r="I5" s="13"/>
      <c r="J5" s="13"/>
    </row>
    <row r="6" spans="1:13" x14ac:dyDescent="0.25">
      <c r="A6" s="10">
        <v>36923</v>
      </c>
      <c r="B6" s="12">
        <f t="shared" si="0"/>
        <v>2</v>
      </c>
      <c r="C6" s="12">
        <f t="shared" si="1"/>
        <v>2001</v>
      </c>
      <c r="D6" s="13">
        <f>AVERAGEIFS('Sunflower Prices'!F6:F5308,'Sunflower Prices'!B6:B5308,'Sunflower Monthly'!B6,'Sunflower Prices'!C6:C5308,'Sunflower Monthly'!C6)</f>
        <v>146.36998806935571</v>
      </c>
      <c r="E6" s="13"/>
      <c r="F6" s="13"/>
      <c r="G6" s="13"/>
      <c r="H6" s="13"/>
      <c r="I6" s="13"/>
      <c r="J6" s="13"/>
    </row>
    <row r="7" spans="1:13" x14ac:dyDescent="0.25">
      <c r="A7" s="10">
        <v>36951</v>
      </c>
      <c r="B7" s="12">
        <f t="shared" si="0"/>
        <v>3</v>
      </c>
      <c r="C7" s="12">
        <f t="shared" si="1"/>
        <v>2001</v>
      </c>
      <c r="D7" s="13">
        <f>AVERAGEIFS('Sunflower Prices'!F7:F5309,'Sunflower Prices'!B7:B5309,'Sunflower Monthly'!B7,'Sunflower Prices'!C7:C5309,'Sunflower Monthly'!C7)</f>
        <v>153.16111587377847</v>
      </c>
      <c r="E7" s="13"/>
      <c r="F7" s="13"/>
      <c r="G7" s="13"/>
      <c r="H7" s="13"/>
      <c r="I7" s="13"/>
      <c r="J7" s="13"/>
    </row>
    <row r="8" spans="1:13" x14ac:dyDescent="0.25">
      <c r="A8" s="10">
        <v>36982</v>
      </c>
      <c r="B8" s="12">
        <f t="shared" si="0"/>
        <v>4</v>
      </c>
      <c r="C8" s="12">
        <f t="shared" si="1"/>
        <v>2001</v>
      </c>
      <c r="D8" s="13">
        <f>AVERAGEIFS('Sunflower Prices'!F8:F5310,'Sunflower Prices'!B8:B5310,'Sunflower Monthly'!B8,'Sunflower Prices'!C8:C5310,'Sunflower Monthly'!C8)</f>
        <v>164.06364633497674</v>
      </c>
      <c r="E8" s="13"/>
      <c r="F8" s="13"/>
      <c r="G8" s="13"/>
      <c r="H8" s="13"/>
      <c r="I8" s="13"/>
      <c r="J8" s="13"/>
    </row>
    <row r="9" spans="1:13" x14ac:dyDescent="0.25">
      <c r="A9" s="10">
        <v>37012</v>
      </c>
      <c r="B9" s="12">
        <f t="shared" si="0"/>
        <v>5</v>
      </c>
      <c r="C9" s="12">
        <f t="shared" si="1"/>
        <v>2001</v>
      </c>
      <c r="D9" s="13">
        <f>AVERAGEIFS('Sunflower Prices'!F9:F5311,'Sunflower Prices'!B9:B5311,'Sunflower Monthly'!B9,'Sunflower Prices'!C9:C5311,'Sunflower Monthly'!C9)</f>
        <v>193.72137015648289</v>
      </c>
      <c r="E9" s="13"/>
      <c r="F9" s="13"/>
      <c r="G9" s="13"/>
      <c r="H9" s="13"/>
      <c r="I9" s="13"/>
      <c r="J9" s="13"/>
    </row>
    <row r="10" spans="1:13" x14ac:dyDescent="0.25">
      <c r="A10" s="10">
        <v>37043</v>
      </c>
      <c r="B10" s="12">
        <f t="shared" si="0"/>
        <v>6</v>
      </c>
      <c r="C10" s="12">
        <f t="shared" si="1"/>
        <v>2001</v>
      </c>
      <c r="D10" s="13">
        <f>AVERAGEIFS('Sunflower Prices'!F10:F5312,'Sunflower Prices'!B10:B5312,'Sunflower Monthly'!B10,'Sunflower Prices'!C10:C5312,'Sunflower Monthly'!C10)</f>
        <v>218.61390056971854</v>
      </c>
      <c r="E10" s="13"/>
      <c r="F10" s="13"/>
      <c r="G10" s="13"/>
      <c r="H10" s="13"/>
      <c r="I10" s="13"/>
      <c r="J10" s="13"/>
    </row>
    <row r="11" spans="1:13" x14ac:dyDescent="0.25">
      <c r="A11" s="10">
        <v>37073</v>
      </c>
      <c r="B11" s="12">
        <f t="shared" si="0"/>
        <v>7</v>
      </c>
      <c r="C11" s="12">
        <f t="shared" si="1"/>
        <v>2001</v>
      </c>
      <c r="D11" s="13">
        <f>AVERAGEIFS('Sunflower Prices'!F11:F5313,'Sunflower Prices'!B11:B5313,'Sunflower Monthly'!B11,'Sunflower Prices'!C11:C5313,'Sunflower Monthly'!C11)</f>
        <v>224.29565711792247</v>
      </c>
      <c r="E11" s="13"/>
      <c r="F11" s="13"/>
      <c r="G11" s="13"/>
      <c r="H11" s="13"/>
      <c r="I11" s="13"/>
      <c r="J11" s="13"/>
    </row>
    <row r="12" spans="1:13" x14ac:dyDescent="0.25">
      <c r="A12" s="10">
        <v>37104</v>
      </c>
      <c r="B12" s="12">
        <f t="shared" si="0"/>
        <v>8</v>
      </c>
      <c r="C12" s="12">
        <f t="shared" si="1"/>
        <v>2001</v>
      </c>
      <c r="D12" s="13"/>
      <c r="E12" s="13"/>
      <c r="F12" s="13"/>
      <c r="G12" s="13"/>
      <c r="H12" s="13"/>
      <c r="I12" s="13"/>
      <c r="J12" s="13"/>
    </row>
    <row r="13" spans="1:13" x14ac:dyDescent="0.25">
      <c r="A13" s="10">
        <v>37135</v>
      </c>
      <c r="B13" s="12">
        <f t="shared" si="0"/>
        <v>9</v>
      </c>
      <c r="C13" s="12">
        <f t="shared" si="1"/>
        <v>2001</v>
      </c>
      <c r="D13" s="13">
        <f>AVERAGEIFS('Sunflower Prices'!F13:F5315,'Sunflower Prices'!B13:B5315,'Sunflower Monthly'!B13,'Sunflower Prices'!C13:C5315,'Sunflower Monthly'!C13)</f>
        <v>162.53053504132694</v>
      </c>
      <c r="E13" s="13"/>
      <c r="F13" s="13"/>
      <c r="G13" s="13"/>
      <c r="H13" s="13"/>
      <c r="I13" s="13"/>
      <c r="J13" s="13"/>
    </row>
    <row r="14" spans="1:13" x14ac:dyDescent="0.25">
      <c r="A14" s="10">
        <v>37165</v>
      </c>
      <c r="B14" s="12">
        <f t="shared" si="0"/>
        <v>10</v>
      </c>
      <c r="C14" s="12">
        <f t="shared" si="1"/>
        <v>2001</v>
      </c>
      <c r="D14" s="13">
        <f>AVERAGEIFS('Sunflower Prices'!F14:F5316,'Sunflower Prices'!B14:B5316,'Sunflower Monthly'!B14,'Sunflower Prices'!C14:C5316,'Sunflower Monthly'!C14)</f>
        <v>200.24007067025315</v>
      </c>
      <c r="E14" s="13"/>
      <c r="F14" s="13"/>
      <c r="G14" s="13"/>
      <c r="H14" s="13"/>
      <c r="I14" s="13"/>
      <c r="J14" s="13"/>
    </row>
    <row r="15" spans="1:13" x14ac:dyDescent="0.25">
      <c r="A15" s="10">
        <v>37196</v>
      </c>
      <c r="B15" s="12">
        <f t="shared" si="0"/>
        <v>11</v>
      </c>
      <c r="C15" s="12">
        <f t="shared" si="1"/>
        <v>2001</v>
      </c>
      <c r="D15" s="13">
        <f>AVERAGEIFS('Sunflower Prices'!F15:F5317,'Sunflower Prices'!B15:B5317,'Sunflower Monthly'!B15,'Sunflower Prices'!C15:C5317,'Sunflower Monthly'!C15)</f>
        <v>235.49717214668377</v>
      </c>
      <c r="E15" s="13"/>
      <c r="F15" s="13"/>
      <c r="G15" s="13"/>
      <c r="H15" s="13"/>
      <c r="I15" s="13"/>
      <c r="J15" s="13"/>
    </row>
    <row r="16" spans="1:13" x14ac:dyDescent="0.25">
      <c r="A16" s="10">
        <v>37226</v>
      </c>
      <c r="B16" s="12">
        <f t="shared" si="0"/>
        <v>12</v>
      </c>
      <c r="C16" s="12">
        <f t="shared" si="1"/>
        <v>2001</v>
      </c>
      <c r="D16" s="13">
        <f>AVERAGEIFS('Sunflower Prices'!F16:F5318,'Sunflower Prices'!B16:B5318,'Sunflower Monthly'!B16,'Sunflower Prices'!C16:C5318,'Sunflower Monthly'!C16)</f>
        <v>278.3054755205996</v>
      </c>
      <c r="E16" s="13"/>
      <c r="F16" s="13"/>
      <c r="G16" s="13"/>
      <c r="H16" s="13"/>
      <c r="I16" s="13"/>
      <c r="J16" s="13"/>
    </row>
    <row r="17" spans="1:10" x14ac:dyDescent="0.25">
      <c r="A17" s="10">
        <v>37257</v>
      </c>
      <c r="B17" s="12">
        <f t="shared" si="0"/>
        <v>1</v>
      </c>
      <c r="C17" s="12">
        <f t="shared" si="1"/>
        <v>2002</v>
      </c>
      <c r="D17" s="13">
        <f>AVERAGEIFS('Sunflower Prices'!F17:F5319,'Sunflower Prices'!B17:B5319,'Sunflower Monthly'!B17,'Sunflower Prices'!C17:C5319,'Sunflower Monthly'!C17)</f>
        <v>284.88500599667555</v>
      </c>
      <c r="E17" s="13"/>
      <c r="F17" s="13"/>
      <c r="G17" s="13"/>
      <c r="H17" s="13"/>
      <c r="I17" s="13"/>
      <c r="J17" s="13"/>
    </row>
    <row r="18" spans="1:10" x14ac:dyDescent="0.25">
      <c r="A18" s="10">
        <v>37288</v>
      </c>
      <c r="B18" s="12">
        <f t="shared" si="0"/>
        <v>2</v>
      </c>
      <c r="C18" s="12">
        <f t="shared" si="1"/>
        <v>2002</v>
      </c>
      <c r="D18" s="13">
        <f>AVERAGEIFS('Sunflower Prices'!F18:F5320,'Sunflower Prices'!B18:B5320,'Sunflower Monthly'!B18,'Sunflower Prices'!C18:C5320,'Sunflower Monthly'!C18)</f>
        <v>273.01854873472877</v>
      </c>
      <c r="E18" s="13"/>
      <c r="F18" s="13"/>
      <c r="G18" s="13"/>
      <c r="H18" s="13"/>
      <c r="I18" s="13"/>
      <c r="J18" s="13"/>
    </row>
    <row r="19" spans="1:10" x14ac:dyDescent="0.25">
      <c r="A19" s="10">
        <v>37316</v>
      </c>
      <c r="B19" s="12">
        <f t="shared" si="0"/>
        <v>3</v>
      </c>
      <c r="C19" s="12">
        <f t="shared" si="1"/>
        <v>2002</v>
      </c>
      <c r="D19" s="13">
        <f>AVERAGEIFS('Sunflower Prices'!F19:F5321,'Sunflower Prices'!B19:B5321,'Sunflower Monthly'!B19,'Sunflower Prices'!C19:C5321,'Sunflower Monthly'!C19)</f>
        <v>262.30918471044833</v>
      </c>
      <c r="E19" s="13"/>
      <c r="F19" s="13"/>
      <c r="G19" s="13"/>
      <c r="H19" s="13"/>
      <c r="I19" s="13"/>
      <c r="J19" s="13"/>
    </row>
    <row r="20" spans="1:10" x14ac:dyDescent="0.25">
      <c r="A20" s="10">
        <v>37347</v>
      </c>
      <c r="B20" s="12">
        <f t="shared" si="0"/>
        <v>4</v>
      </c>
      <c r="C20" s="12">
        <f t="shared" si="1"/>
        <v>2002</v>
      </c>
      <c r="D20" s="13">
        <f>AVERAGEIFS('Sunflower Prices'!F20:F5322,'Sunflower Prices'!B20:B5322,'Sunflower Monthly'!B20,'Sunflower Prices'!C20:C5322,'Sunflower Monthly'!C20)</f>
        <v>245.58090352305837</v>
      </c>
      <c r="E20" s="13"/>
      <c r="F20" s="13"/>
      <c r="G20" s="13"/>
      <c r="H20" s="13"/>
      <c r="I20" s="13"/>
      <c r="J20" s="13"/>
    </row>
    <row r="21" spans="1:10" x14ac:dyDescent="0.25">
      <c r="A21" s="10">
        <v>37377</v>
      </c>
      <c r="B21" s="12">
        <f t="shared" si="0"/>
        <v>5</v>
      </c>
      <c r="C21" s="12">
        <f t="shared" si="1"/>
        <v>2002</v>
      </c>
      <c r="D21" s="13">
        <f>AVERAGEIFS('Sunflower Prices'!F21:F5323,'Sunflower Prices'!B21:B5323,'Sunflower Monthly'!B21,'Sunflower Prices'!C21:C5323,'Sunflower Monthly'!C21)</f>
        <v>244.64480480226004</v>
      </c>
      <c r="E21" s="13"/>
      <c r="F21" s="13"/>
      <c r="G21" s="13"/>
      <c r="H21" s="13"/>
      <c r="I21" s="13"/>
      <c r="J21" s="13"/>
    </row>
    <row r="22" spans="1:10" x14ac:dyDescent="0.25">
      <c r="A22" s="10">
        <v>37408</v>
      </c>
      <c r="B22" s="12">
        <f t="shared" si="0"/>
        <v>6</v>
      </c>
      <c r="C22" s="12">
        <f t="shared" si="1"/>
        <v>2002</v>
      </c>
      <c r="D22" s="13">
        <f>AVERAGEIFS('Sunflower Prices'!F22:F5324,'Sunflower Prices'!B22:B5324,'Sunflower Monthly'!B22,'Sunflower Prices'!C22:C5324,'Sunflower Monthly'!C22)</f>
        <v>243.32581471717262</v>
      </c>
      <c r="E22" s="13"/>
      <c r="F22" s="13"/>
      <c r="G22" s="13"/>
      <c r="H22" s="13"/>
      <c r="I22" s="13"/>
      <c r="J22" s="13"/>
    </row>
    <row r="23" spans="1:10" x14ac:dyDescent="0.25">
      <c r="A23" s="10">
        <v>37438</v>
      </c>
      <c r="B23" s="12">
        <f t="shared" si="0"/>
        <v>7</v>
      </c>
      <c r="C23" s="12">
        <f t="shared" si="1"/>
        <v>2002</v>
      </c>
      <c r="D23" s="13">
        <f>AVERAGEIFS('Sunflower Prices'!F23:F5325,'Sunflower Prices'!B23:B5325,'Sunflower Monthly'!B23,'Sunflower Prices'!C23:C5325,'Sunflower Monthly'!C23)</f>
        <v>242.54508274393899</v>
      </c>
      <c r="E23" s="13"/>
      <c r="F23" s="13"/>
      <c r="G23" s="13"/>
      <c r="H23" s="13"/>
      <c r="I23" s="13"/>
      <c r="J23" s="13"/>
    </row>
    <row r="24" spans="1:10" x14ac:dyDescent="0.25">
      <c r="A24" s="10">
        <v>37469</v>
      </c>
      <c r="B24" s="12">
        <f t="shared" si="0"/>
        <v>8</v>
      </c>
      <c r="C24" s="12">
        <f t="shared" si="1"/>
        <v>2002</v>
      </c>
      <c r="D24" s="13">
        <f>AVERAGEIFS('Sunflower Prices'!F24:F5326,'Sunflower Prices'!B24:B5326,'Sunflower Monthly'!B24,'Sunflower Prices'!C24:C5326,'Sunflower Monthly'!C24)</f>
        <v>242.22422763340427</v>
      </c>
      <c r="E24" s="13"/>
      <c r="F24" s="13"/>
      <c r="G24" s="13"/>
      <c r="H24" s="13"/>
      <c r="I24" s="13"/>
      <c r="J24" s="13"/>
    </row>
    <row r="25" spans="1:10" x14ac:dyDescent="0.25">
      <c r="A25" s="10">
        <v>37500</v>
      </c>
      <c r="B25" s="12">
        <f t="shared" si="0"/>
        <v>9</v>
      </c>
      <c r="C25" s="12">
        <f t="shared" si="1"/>
        <v>2002</v>
      </c>
      <c r="D25" s="13">
        <f>AVERAGEIFS('Sunflower Prices'!F25:F5327,'Sunflower Prices'!B25:B5327,'Sunflower Monthly'!B25,'Sunflower Prices'!C25:C5327,'Sunflower Monthly'!C25)</f>
        <v>142.15252611483871</v>
      </c>
      <c r="E25" s="13"/>
      <c r="F25" s="13"/>
      <c r="G25" s="13"/>
      <c r="H25" s="13"/>
      <c r="I25" s="13"/>
      <c r="J25" s="13"/>
    </row>
    <row r="26" spans="1:10" x14ac:dyDescent="0.25">
      <c r="A26" s="10">
        <v>37530</v>
      </c>
      <c r="B26" s="12">
        <f t="shared" si="0"/>
        <v>10</v>
      </c>
      <c r="C26" s="12">
        <f t="shared" si="1"/>
        <v>2002</v>
      </c>
      <c r="D26" s="13">
        <f>AVERAGEIFS('Sunflower Prices'!F26:F5328,'Sunflower Prices'!B26:B5328,'Sunflower Monthly'!B26,'Sunflower Prices'!C26:C5328,'Sunflower Monthly'!C26)</f>
        <v>156.98344013681927</v>
      </c>
      <c r="E26" s="13"/>
      <c r="F26" s="13"/>
      <c r="G26" s="13"/>
      <c r="H26" s="13"/>
      <c r="I26" s="13"/>
      <c r="J26" s="13"/>
    </row>
    <row r="27" spans="1:10" x14ac:dyDescent="0.25">
      <c r="A27" s="10">
        <v>37561</v>
      </c>
      <c r="B27" s="12">
        <f t="shared" si="0"/>
        <v>11</v>
      </c>
      <c r="C27" s="12">
        <f t="shared" si="1"/>
        <v>2002</v>
      </c>
      <c r="D27" s="13">
        <f>AVERAGEIFS('Sunflower Prices'!F27:F5329,'Sunflower Prices'!B27:B5329,'Sunflower Monthly'!B27,'Sunflower Prices'!C27:C5329,'Sunflower Monthly'!C27)</f>
        <v>181.90227998814788</v>
      </c>
      <c r="E27" s="13"/>
      <c r="F27" s="13"/>
      <c r="G27" s="13"/>
      <c r="H27" s="13"/>
      <c r="I27" s="13"/>
      <c r="J27" s="13"/>
    </row>
    <row r="28" spans="1:10" x14ac:dyDescent="0.25">
      <c r="A28" s="10">
        <v>37591</v>
      </c>
      <c r="B28" s="12">
        <f t="shared" si="0"/>
        <v>12</v>
      </c>
      <c r="C28" s="12">
        <f t="shared" si="1"/>
        <v>2002</v>
      </c>
      <c r="D28" s="13">
        <f>AVERAGEIFS('Sunflower Prices'!F28:F5330,'Sunflower Prices'!B28:B5330,'Sunflower Monthly'!B28,'Sunflower Prices'!C28:C5330,'Sunflower Monthly'!C28)</f>
        <v>196.99309619625024</v>
      </c>
      <c r="E28" s="13"/>
      <c r="F28" s="13"/>
      <c r="G28" s="13"/>
      <c r="H28" s="13"/>
      <c r="I28" s="13"/>
      <c r="J28" s="13"/>
    </row>
    <row r="29" spans="1:10" x14ac:dyDescent="0.25">
      <c r="A29" s="10">
        <v>37622</v>
      </c>
      <c r="B29" s="12">
        <f t="shared" si="0"/>
        <v>1</v>
      </c>
      <c r="C29" s="12">
        <f t="shared" si="1"/>
        <v>2003</v>
      </c>
      <c r="D29" s="13">
        <f>AVERAGEIFS('Sunflower Prices'!F29:F5331,'Sunflower Prices'!B29:B5331,'Sunflower Monthly'!B29,'Sunflower Prices'!C29:C5331,'Sunflower Monthly'!C29)</f>
        <v>202.96184755459109</v>
      </c>
      <c r="E29" s="13"/>
      <c r="F29" s="13"/>
      <c r="G29" s="13"/>
      <c r="H29" s="13"/>
      <c r="I29" s="13"/>
      <c r="J29" s="13"/>
    </row>
    <row r="30" spans="1:10" x14ac:dyDescent="0.25">
      <c r="A30" s="10">
        <v>37653</v>
      </c>
      <c r="B30" s="12">
        <f t="shared" si="0"/>
        <v>2</v>
      </c>
      <c r="C30" s="12">
        <f t="shared" si="1"/>
        <v>2003</v>
      </c>
      <c r="D30" s="13">
        <f>AVERAGEIFS('Sunflower Prices'!F30:F5332,'Sunflower Prices'!B30:B5332,'Sunflower Monthly'!B30,'Sunflower Prices'!C30:C5332,'Sunflower Monthly'!C30)</f>
        <v>210.76949155131118</v>
      </c>
      <c r="E30" s="13"/>
      <c r="F30" s="13"/>
      <c r="G30" s="13"/>
      <c r="H30" s="13"/>
      <c r="I30" s="13"/>
      <c r="J30" s="13"/>
    </row>
    <row r="31" spans="1:10" x14ac:dyDescent="0.25">
      <c r="A31" s="10">
        <v>37681</v>
      </c>
      <c r="B31" s="12">
        <f t="shared" si="0"/>
        <v>3</v>
      </c>
      <c r="C31" s="12">
        <f t="shared" si="1"/>
        <v>2003</v>
      </c>
      <c r="D31" s="13">
        <f>AVERAGEIFS('Sunflower Prices'!F31:F5333,'Sunflower Prices'!B31:B5333,'Sunflower Monthly'!B31,'Sunflower Prices'!C31:C5333,'Sunflower Monthly'!C31)</f>
        <v>217.27717679575659</v>
      </c>
      <c r="E31" s="13"/>
      <c r="F31" s="13"/>
      <c r="G31" s="13"/>
      <c r="H31" s="13"/>
      <c r="I31" s="13"/>
      <c r="J31" s="13"/>
    </row>
    <row r="32" spans="1:10" x14ac:dyDescent="0.25">
      <c r="A32" s="10">
        <v>37712</v>
      </c>
      <c r="B32" s="12">
        <f t="shared" si="0"/>
        <v>4</v>
      </c>
      <c r="C32" s="12">
        <f t="shared" si="1"/>
        <v>2003</v>
      </c>
      <c r="D32" s="13">
        <f>AVERAGEIFS('Sunflower Prices'!F32:F5334,'Sunflower Prices'!B32:B5334,'Sunflower Monthly'!B32,'Sunflower Prices'!C32:C5334,'Sunflower Monthly'!C32)</f>
        <v>221.85365883412032</v>
      </c>
      <c r="E32" s="13"/>
      <c r="F32" s="13"/>
      <c r="G32" s="13"/>
      <c r="H32" s="13"/>
      <c r="I32" s="13"/>
      <c r="J32" s="13"/>
    </row>
    <row r="33" spans="1:10" x14ac:dyDescent="0.25">
      <c r="A33" s="10">
        <v>37742</v>
      </c>
      <c r="B33" s="12">
        <f t="shared" si="0"/>
        <v>5</v>
      </c>
      <c r="C33" s="12">
        <f t="shared" si="1"/>
        <v>2003</v>
      </c>
      <c r="D33" s="13">
        <f>AVERAGEIFS('Sunflower Prices'!F33:F5335,'Sunflower Prices'!B33:B5335,'Sunflower Monthly'!B33,'Sunflower Prices'!C33:C5335,'Sunflower Monthly'!C33)</f>
        <v>227.79291621076521</v>
      </c>
      <c r="E33" s="13"/>
      <c r="F33" s="13"/>
      <c r="G33" s="13"/>
      <c r="H33" s="13"/>
      <c r="I33" s="13"/>
      <c r="J33" s="13"/>
    </row>
    <row r="34" spans="1:10" x14ac:dyDescent="0.25">
      <c r="A34" s="10">
        <v>37773</v>
      </c>
      <c r="B34" s="12">
        <f t="shared" si="0"/>
        <v>6</v>
      </c>
      <c r="C34" s="12">
        <f t="shared" si="1"/>
        <v>2003</v>
      </c>
      <c r="D34" s="13">
        <f>AVERAGEIFS('Sunflower Prices'!F34:F5336,'Sunflower Prices'!B34:B5336,'Sunflower Monthly'!B34,'Sunflower Prices'!C34:C5336,'Sunflower Monthly'!C34)</f>
        <v>244.0061333663154</v>
      </c>
      <c r="E34" s="13"/>
      <c r="F34" s="13"/>
      <c r="G34" s="13"/>
      <c r="H34" s="13"/>
      <c r="I34" s="13"/>
      <c r="J34" s="13"/>
    </row>
    <row r="35" spans="1:10" x14ac:dyDescent="0.25">
      <c r="A35" s="10">
        <v>37803</v>
      </c>
      <c r="B35" s="12">
        <f t="shared" si="0"/>
        <v>7</v>
      </c>
      <c r="C35" s="12">
        <f t="shared" si="1"/>
        <v>2003</v>
      </c>
      <c r="D35" s="13">
        <f>AVERAGEIFS('Sunflower Prices'!F35:F5337,'Sunflower Prices'!B35:B5337,'Sunflower Monthly'!B35,'Sunflower Prices'!C35:C5337,'Sunflower Monthly'!C35)</f>
        <v>250.39842410916353</v>
      </c>
      <c r="E35" s="13"/>
      <c r="F35" s="13"/>
      <c r="G35" s="13"/>
      <c r="H35" s="13"/>
      <c r="I35" s="13"/>
      <c r="J35" s="13"/>
    </row>
    <row r="36" spans="1:10" x14ac:dyDescent="0.25">
      <c r="A36" s="10">
        <v>37834</v>
      </c>
      <c r="B36" s="12">
        <f t="shared" si="0"/>
        <v>8</v>
      </c>
      <c r="C36" s="12">
        <f t="shared" si="1"/>
        <v>2003</v>
      </c>
      <c r="D36" s="13">
        <f>AVERAGEIFS('Sunflower Prices'!F36:F5338,'Sunflower Prices'!B36:B5338,'Sunflower Monthly'!B36,'Sunflower Prices'!C36:C5338,'Sunflower Monthly'!C36)</f>
        <v>250.37677317273474</v>
      </c>
      <c r="E36" s="13"/>
      <c r="F36" s="13"/>
      <c r="G36" s="13"/>
      <c r="H36" s="13"/>
      <c r="I36" s="13"/>
      <c r="J36" s="13"/>
    </row>
    <row r="37" spans="1:10" x14ac:dyDescent="0.25">
      <c r="A37" s="10">
        <v>37865</v>
      </c>
      <c r="B37" s="12">
        <f t="shared" si="0"/>
        <v>9</v>
      </c>
      <c r="C37" s="12">
        <f t="shared" si="1"/>
        <v>2003</v>
      </c>
      <c r="D37" s="13">
        <f>AVERAGEIFS('Sunflower Prices'!F37:F5339,'Sunflower Prices'!B37:B5339,'Sunflower Monthly'!B37,'Sunflower Prices'!C37:C5339,'Sunflower Monthly'!C37)</f>
        <v>178.98869691130579</v>
      </c>
      <c r="E37" s="13"/>
      <c r="F37" s="13"/>
      <c r="G37" s="13"/>
      <c r="H37" s="13"/>
      <c r="I37" s="13"/>
      <c r="J37" s="13"/>
    </row>
    <row r="38" spans="1:10" x14ac:dyDescent="0.25">
      <c r="A38" s="10">
        <v>37895</v>
      </c>
      <c r="B38" s="12">
        <f t="shared" si="0"/>
        <v>10</v>
      </c>
      <c r="C38" s="12">
        <f t="shared" si="1"/>
        <v>2003</v>
      </c>
      <c r="D38" s="13">
        <f>AVERAGEIFS('Sunflower Prices'!F38:F5340,'Sunflower Prices'!B38:B5340,'Sunflower Monthly'!B38,'Sunflower Prices'!C38:C5340,'Sunflower Monthly'!C38)</f>
        <v>194.80030384272666</v>
      </c>
      <c r="E38" s="13"/>
      <c r="F38" s="13"/>
      <c r="G38" s="13"/>
      <c r="H38" s="13"/>
      <c r="I38" s="13"/>
      <c r="J38" s="13"/>
    </row>
    <row r="39" spans="1:10" x14ac:dyDescent="0.25">
      <c r="A39" s="10">
        <v>37926</v>
      </c>
      <c r="B39" s="12">
        <f t="shared" si="0"/>
        <v>11</v>
      </c>
      <c r="C39" s="12">
        <f t="shared" si="1"/>
        <v>2003</v>
      </c>
      <c r="D39" s="13">
        <f>AVERAGEIFS('Sunflower Prices'!F39:F5341,'Sunflower Prices'!B39:B5341,'Sunflower Monthly'!B39,'Sunflower Prices'!C39:C5341,'Sunflower Monthly'!C39)</f>
        <v>201.13355299280929</v>
      </c>
      <c r="E39" s="13"/>
      <c r="F39" s="13"/>
      <c r="G39" s="13"/>
      <c r="H39" s="13"/>
      <c r="I39" s="13"/>
      <c r="J39" s="13"/>
    </row>
    <row r="40" spans="1:10" x14ac:dyDescent="0.25">
      <c r="A40" s="10">
        <v>37956</v>
      </c>
      <c r="B40" s="12">
        <f t="shared" si="0"/>
        <v>12</v>
      </c>
      <c r="C40" s="12">
        <f t="shared" si="1"/>
        <v>2003</v>
      </c>
      <c r="D40" s="13">
        <f>AVERAGEIFS('Sunflower Prices'!F40:F5342,'Sunflower Prices'!B40:B5342,'Sunflower Monthly'!B40,'Sunflower Prices'!C40:C5342,'Sunflower Monthly'!C40)</f>
        <v>220.8028954324167</v>
      </c>
      <c r="E40" s="13"/>
      <c r="F40" s="13"/>
      <c r="G40" s="13"/>
      <c r="H40" s="13"/>
      <c r="I40" s="13"/>
      <c r="J40" s="13"/>
    </row>
    <row r="41" spans="1:10" x14ac:dyDescent="0.25">
      <c r="A41" s="10">
        <v>37987</v>
      </c>
      <c r="B41" s="12">
        <f t="shared" si="0"/>
        <v>1</v>
      </c>
      <c r="C41" s="12">
        <f t="shared" si="1"/>
        <v>2004</v>
      </c>
      <c r="D41" s="13">
        <f>AVERAGEIFS('Sunflower Prices'!F41:F5343,'Sunflower Prices'!B41:B5343,'Sunflower Monthly'!B41,'Sunflower Prices'!C41:C5343,'Sunflower Monthly'!C41)</f>
        <v>244.64459245004454</v>
      </c>
      <c r="E41" s="13"/>
      <c r="F41" s="13"/>
      <c r="G41" s="13"/>
      <c r="H41" s="13"/>
      <c r="I41" s="13"/>
      <c r="J41" s="13"/>
    </row>
    <row r="42" spans="1:10" x14ac:dyDescent="0.25">
      <c r="A42" s="10">
        <v>38018</v>
      </c>
      <c r="B42" s="12">
        <f t="shared" si="0"/>
        <v>2</v>
      </c>
      <c r="C42" s="12">
        <f t="shared" si="1"/>
        <v>2004</v>
      </c>
      <c r="D42" s="13">
        <f>AVERAGEIFS('Sunflower Prices'!F42:F5344,'Sunflower Prices'!B42:B5344,'Sunflower Monthly'!B42,'Sunflower Prices'!C42:C5344,'Sunflower Monthly'!C42)</f>
        <v>271.45199365355376</v>
      </c>
      <c r="E42" s="13"/>
      <c r="F42" s="13"/>
      <c r="G42" s="13"/>
      <c r="H42" s="13"/>
      <c r="I42" s="13"/>
      <c r="J42" s="13"/>
    </row>
    <row r="43" spans="1:10" x14ac:dyDescent="0.25">
      <c r="A43" s="10">
        <v>38047</v>
      </c>
      <c r="B43" s="12">
        <f t="shared" si="0"/>
        <v>3</v>
      </c>
      <c r="C43" s="12">
        <f t="shared" si="1"/>
        <v>2004</v>
      </c>
      <c r="D43" s="13">
        <f>AVERAGEIFS('Sunflower Prices'!F43:F5345,'Sunflower Prices'!B43:B5345,'Sunflower Monthly'!B43,'Sunflower Prices'!C43:C5345,'Sunflower Monthly'!C43)</f>
        <v>283.53589561487803</v>
      </c>
      <c r="E43" s="13"/>
      <c r="F43" s="13"/>
      <c r="G43" s="13"/>
      <c r="H43" s="13"/>
      <c r="I43" s="13"/>
      <c r="J43" s="13"/>
    </row>
    <row r="44" spans="1:10" x14ac:dyDescent="0.25">
      <c r="A44" s="10">
        <v>38078</v>
      </c>
      <c r="B44" s="12">
        <f t="shared" si="0"/>
        <v>4</v>
      </c>
      <c r="C44" s="12">
        <f t="shared" si="1"/>
        <v>2004</v>
      </c>
      <c r="D44" s="13">
        <f>AVERAGEIFS('Sunflower Prices'!F44:F5346,'Sunflower Prices'!B44:B5346,'Sunflower Monthly'!B44,'Sunflower Prices'!C44:C5346,'Sunflower Monthly'!C44)</f>
        <v>284.63313900827046</v>
      </c>
      <c r="E44" s="13"/>
      <c r="F44" s="13"/>
      <c r="G44" s="13"/>
      <c r="H44" s="13"/>
      <c r="I44" s="13"/>
      <c r="J44" s="13"/>
    </row>
    <row r="45" spans="1:10" x14ac:dyDescent="0.25">
      <c r="A45" s="10">
        <v>38108</v>
      </c>
      <c r="B45" s="12">
        <f t="shared" si="0"/>
        <v>5</v>
      </c>
      <c r="C45" s="12">
        <f t="shared" si="1"/>
        <v>2004</v>
      </c>
      <c r="D45" s="13">
        <f>AVERAGEIFS('Sunflower Prices'!F45:F5347,'Sunflower Prices'!B45:B5347,'Sunflower Monthly'!B45,'Sunflower Prices'!C45:C5347,'Sunflower Monthly'!C45)</f>
        <v>273.83843193723578</v>
      </c>
      <c r="E45" s="13"/>
      <c r="F45" s="13"/>
      <c r="G45" s="13"/>
      <c r="H45" s="13"/>
      <c r="I45" s="13"/>
      <c r="J45" s="13"/>
    </row>
    <row r="46" spans="1:10" x14ac:dyDescent="0.25">
      <c r="A46" s="10">
        <v>38139</v>
      </c>
      <c r="B46" s="12">
        <f t="shared" si="0"/>
        <v>6</v>
      </c>
      <c r="C46" s="12">
        <f t="shared" si="1"/>
        <v>2004</v>
      </c>
      <c r="D46" s="13">
        <f>AVERAGEIFS('Sunflower Prices'!F46:F5348,'Sunflower Prices'!B46:B5348,'Sunflower Monthly'!B46,'Sunflower Prices'!C46:C5348,'Sunflower Monthly'!C46)</f>
        <v>268.73026189788629</v>
      </c>
      <c r="E46" s="13"/>
      <c r="F46" s="13"/>
      <c r="G46" s="13"/>
      <c r="H46" s="13"/>
      <c r="I46" s="13"/>
      <c r="J46" s="13"/>
    </row>
    <row r="47" spans="1:10" x14ac:dyDescent="0.25">
      <c r="A47" s="10">
        <v>38169</v>
      </c>
      <c r="B47" s="12">
        <f t="shared" si="0"/>
        <v>7</v>
      </c>
      <c r="C47" s="12">
        <f t="shared" si="1"/>
        <v>2004</v>
      </c>
      <c r="D47" s="13">
        <f>AVERAGEIFS('Sunflower Prices'!F47:F5349,'Sunflower Prices'!B47:B5349,'Sunflower Monthly'!B47,'Sunflower Prices'!C47:C5349,'Sunflower Monthly'!C47)</f>
        <v>268.260661241869</v>
      </c>
      <c r="E47" s="13"/>
      <c r="F47" s="13"/>
      <c r="G47" s="13"/>
      <c r="H47" s="13"/>
      <c r="I47" s="13"/>
      <c r="J47" s="13"/>
    </row>
    <row r="48" spans="1:10" x14ac:dyDescent="0.25">
      <c r="A48" s="10">
        <v>38200</v>
      </c>
      <c r="B48" s="12">
        <f t="shared" si="0"/>
        <v>8</v>
      </c>
      <c r="C48" s="12">
        <f t="shared" si="1"/>
        <v>2004</v>
      </c>
      <c r="D48" s="13">
        <f>AVERAGEIFS('Sunflower Prices'!F48:F5350,'Sunflower Prices'!B48:B5350,'Sunflower Monthly'!B48,'Sunflower Prices'!C48:C5350,'Sunflower Monthly'!C48)</f>
        <v>266.95873231990487</v>
      </c>
      <c r="E48" s="13"/>
      <c r="F48" s="13"/>
      <c r="G48" s="13"/>
      <c r="H48" s="13"/>
      <c r="I48" s="13"/>
      <c r="J48" s="13"/>
    </row>
    <row r="49" spans="1:10" x14ac:dyDescent="0.25">
      <c r="A49" s="10">
        <v>38231</v>
      </c>
      <c r="B49" s="12">
        <f t="shared" si="0"/>
        <v>9</v>
      </c>
      <c r="C49" s="12">
        <f t="shared" si="1"/>
        <v>2004</v>
      </c>
      <c r="D49" s="13">
        <f>AVERAGEIFS('Sunflower Prices'!F49:F5351,'Sunflower Prices'!B49:B5351,'Sunflower Monthly'!B49,'Sunflower Prices'!C49:C5351,'Sunflower Monthly'!C49)</f>
        <v>240.25587059482041</v>
      </c>
      <c r="E49" s="13"/>
      <c r="F49" s="13"/>
      <c r="G49" s="13"/>
      <c r="H49" s="13"/>
      <c r="I49" s="13"/>
      <c r="J49" s="13"/>
    </row>
    <row r="50" spans="1:10" x14ac:dyDescent="0.25">
      <c r="A50" s="10">
        <v>38261</v>
      </c>
      <c r="B50" s="12">
        <f t="shared" si="0"/>
        <v>10</v>
      </c>
      <c r="C50" s="12">
        <f t="shared" si="1"/>
        <v>2004</v>
      </c>
      <c r="D50" s="13">
        <f>AVERAGEIFS('Sunflower Prices'!F50:F5352,'Sunflower Prices'!B50:B5352,'Sunflower Monthly'!B50,'Sunflower Prices'!C50:C5352,'Sunflower Monthly'!C50)</f>
        <v>270.06630358048017</v>
      </c>
      <c r="E50" s="13"/>
      <c r="F50" s="13"/>
      <c r="G50" s="13"/>
      <c r="H50" s="13"/>
      <c r="I50" s="13"/>
      <c r="J50" s="13"/>
    </row>
    <row r="51" spans="1:10" x14ac:dyDescent="0.25">
      <c r="A51" s="10">
        <v>38292</v>
      </c>
      <c r="B51" s="12">
        <f t="shared" si="0"/>
        <v>11</v>
      </c>
      <c r="C51" s="12">
        <f t="shared" si="1"/>
        <v>2004</v>
      </c>
      <c r="D51" s="13">
        <f>AVERAGEIFS('Sunflower Prices'!F51:F5353,'Sunflower Prices'!B51:B5353,'Sunflower Monthly'!B51,'Sunflower Prices'!C51:C5353,'Sunflower Monthly'!C51)</f>
        <v>295.53924533472093</v>
      </c>
      <c r="E51" s="13"/>
      <c r="F51" s="13"/>
      <c r="G51" s="13"/>
      <c r="H51" s="13"/>
      <c r="I51" s="13"/>
      <c r="J51" s="13"/>
    </row>
    <row r="52" spans="1:10" x14ac:dyDescent="0.25">
      <c r="A52" s="10">
        <v>38322</v>
      </c>
      <c r="B52" s="12">
        <f t="shared" si="0"/>
        <v>12</v>
      </c>
      <c r="C52" s="12">
        <f t="shared" si="1"/>
        <v>2004</v>
      </c>
      <c r="D52" s="13">
        <f>AVERAGEIFS('Sunflower Prices'!F52:F5354,'Sunflower Prices'!B52:B5354,'Sunflower Monthly'!B52,'Sunflower Prices'!C52:C5354,'Sunflower Monthly'!C52)</f>
        <v>279.17306652673022</v>
      </c>
      <c r="E52" s="13"/>
      <c r="F52" s="13"/>
      <c r="G52" s="13"/>
      <c r="H52" s="13"/>
      <c r="I52" s="13"/>
      <c r="J52" s="13"/>
    </row>
    <row r="53" spans="1:10" x14ac:dyDescent="0.25">
      <c r="A53" s="10">
        <v>38353</v>
      </c>
      <c r="B53" s="12">
        <f t="shared" si="0"/>
        <v>1</v>
      </c>
      <c r="C53" s="12">
        <f t="shared" si="1"/>
        <v>2005</v>
      </c>
      <c r="D53" s="13">
        <f>AVERAGEIFS('Sunflower Prices'!F53:F5355,'Sunflower Prices'!B53:B5355,'Sunflower Monthly'!B53,'Sunflower Prices'!C53:C5355,'Sunflower Monthly'!C53)</f>
        <v>271.04654767246586</v>
      </c>
      <c r="E53" s="13"/>
      <c r="F53" s="13"/>
      <c r="G53" s="13"/>
      <c r="H53" s="13"/>
      <c r="I53" s="13"/>
      <c r="J53" s="13"/>
    </row>
    <row r="54" spans="1:10" x14ac:dyDescent="0.25">
      <c r="A54" s="10">
        <v>38384</v>
      </c>
      <c r="B54" s="12">
        <f t="shared" si="0"/>
        <v>2</v>
      </c>
      <c r="C54" s="12">
        <f t="shared" si="1"/>
        <v>2005</v>
      </c>
      <c r="D54" s="13">
        <f>AVERAGEIFS('Sunflower Prices'!F54:F5356,'Sunflower Prices'!B54:B5356,'Sunflower Monthly'!B54,'Sunflower Prices'!C54:C5356,'Sunflower Monthly'!C54)</f>
        <v>269.69906054368113</v>
      </c>
      <c r="E54" s="13"/>
      <c r="F54" s="13"/>
      <c r="G54" s="13"/>
      <c r="H54" s="13"/>
      <c r="I54" s="13"/>
      <c r="J54" s="13"/>
    </row>
    <row r="55" spans="1:10" x14ac:dyDescent="0.25">
      <c r="A55" s="10">
        <v>38412</v>
      </c>
      <c r="B55" s="12">
        <f t="shared" si="0"/>
        <v>3</v>
      </c>
      <c r="C55" s="12">
        <f t="shared" si="1"/>
        <v>2005</v>
      </c>
      <c r="D55" s="13">
        <f>AVERAGEIFS('Sunflower Prices'!F55:F5357,'Sunflower Prices'!B55:B5357,'Sunflower Monthly'!B55,'Sunflower Prices'!C55:C5357,'Sunflower Monthly'!C55)</f>
        <v>264.90773855674968</v>
      </c>
      <c r="E55" s="13"/>
      <c r="F55" s="13"/>
      <c r="G55" s="13"/>
      <c r="H55" s="13"/>
      <c r="I55" s="13"/>
      <c r="J55" s="13"/>
    </row>
    <row r="56" spans="1:10" x14ac:dyDescent="0.25">
      <c r="A56" s="10">
        <v>38443</v>
      </c>
      <c r="B56" s="12">
        <f t="shared" si="0"/>
        <v>4</v>
      </c>
      <c r="C56" s="12">
        <f t="shared" si="1"/>
        <v>2005</v>
      </c>
      <c r="D56" s="13">
        <f>AVERAGEIFS('Sunflower Prices'!F56:F5358,'Sunflower Prices'!B56:B5358,'Sunflower Monthly'!B56,'Sunflower Prices'!C56:C5358,'Sunflower Monthly'!C56)</f>
        <v>242.4864984810275</v>
      </c>
      <c r="E56" s="13"/>
      <c r="F56" s="13"/>
      <c r="G56" s="13"/>
      <c r="H56" s="13"/>
      <c r="I56" s="13"/>
      <c r="J56" s="13"/>
    </row>
    <row r="57" spans="1:10" x14ac:dyDescent="0.25">
      <c r="A57" s="10">
        <v>38473</v>
      </c>
      <c r="B57" s="12">
        <f t="shared" si="0"/>
        <v>5</v>
      </c>
      <c r="C57" s="12">
        <f t="shared" si="1"/>
        <v>2005</v>
      </c>
      <c r="D57" s="13">
        <f>AVERAGEIFS('Sunflower Prices'!F57:F5359,'Sunflower Prices'!B57:B5359,'Sunflower Monthly'!B57,'Sunflower Prices'!C57:C5359,'Sunflower Monthly'!C57)</f>
        <v>249.9278170981365</v>
      </c>
      <c r="E57" s="13"/>
      <c r="F57" s="13"/>
      <c r="G57" s="13"/>
      <c r="H57" s="13"/>
      <c r="I57" s="13"/>
      <c r="J57" s="13"/>
    </row>
    <row r="58" spans="1:10" x14ac:dyDescent="0.25">
      <c r="A58" s="10">
        <v>38504</v>
      </c>
      <c r="B58" s="12">
        <f t="shared" si="0"/>
        <v>6</v>
      </c>
      <c r="C58" s="12">
        <f t="shared" si="1"/>
        <v>2005</v>
      </c>
      <c r="D58" s="13">
        <f>AVERAGEIFS('Sunflower Prices'!F58:F5360,'Sunflower Prices'!B58:B5360,'Sunflower Monthly'!B58,'Sunflower Prices'!C58:C5360,'Sunflower Monthly'!C58)</f>
        <v>260.13178821744111</v>
      </c>
      <c r="E58" s="13"/>
      <c r="F58" s="13"/>
      <c r="G58" s="13"/>
      <c r="H58" s="13"/>
      <c r="I58" s="13"/>
      <c r="J58" s="13"/>
    </row>
    <row r="59" spans="1:10" x14ac:dyDescent="0.25">
      <c r="A59" s="10">
        <v>38534</v>
      </c>
      <c r="B59" s="12">
        <f t="shared" si="0"/>
        <v>7</v>
      </c>
      <c r="C59" s="12">
        <f t="shared" si="1"/>
        <v>2005</v>
      </c>
      <c r="D59" s="13">
        <f>AVERAGEIFS('Sunflower Prices'!F59:F5361,'Sunflower Prices'!B59:B5361,'Sunflower Monthly'!B59,'Sunflower Prices'!C59:C5361,'Sunflower Monthly'!C59)</f>
        <v>261.44748543596461</v>
      </c>
      <c r="E59" s="13"/>
      <c r="F59" s="13"/>
      <c r="G59" s="13"/>
      <c r="H59" s="13"/>
      <c r="I59" s="13"/>
      <c r="J59" s="13"/>
    </row>
    <row r="60" spans="1:10" x14ac:dyDescent="0.25">
      <c r="A60" s="10">
        <v>38565</v>
      </c>
      <c r="B60" s="12">
        <f t="shared" si="0"/>
        <v>8</v>
      </c>
      <c r="C60" s="12">
        <f t="shared" si="1"/>
        <v>2005</v>
      </c>
      <c r="D60" s="13">
        <f>AVERAGEIFS('Sunflower Prices'!F60:F5362,'Sunflower Prices'!B60:B5362,'Sunflower Monthly'!B60,'Sunflower Prices'!C60:C5362,'Sunflower Monthly'!C60)</f>
        <v>258.86135303354968</v>
      </c>
      <c r="E60" s="13"/>
      <c r="F60" s="13"/>
      <c r="G60" s="13"/>
      <c r="H60" s="13"/>
      <c r="I60" s="13"/>
      <c r="J60" s="13"/>
    </row>
    <row r="61" spans="1:10" x14ac:dyDescent="0.25">
      <c r="A61" s="10">
        <v>38596</v>
      </c>
      <c r="B61" s="12">
        <f t="shared" si="0"/>
        <v>9</v>
      </c>
      <c r="C61" s="12">
        <f t="shared" si="1"/>
        <v>2005</v>
      </c>
      <c r="D61" s="13">
        <f>AVERAGEIFS('Sunflower Prices'!F61:F5363,'Sunflower Prices'!B61:B5363,'Sunflower Monthly'!B61,'Sunflower Prices'!C61:C5363,'Sunflower Monthly'!C61)</f>
        <v>225.71544576256005</v>
      </c>
      <c r="E61" s="13"/>
      <c r="F61" s="13"/>
      <c r="G61" s="13"/>
      <c r="H61" s="13"/>
      <c r="I61" s="13"/>
      <c r="J61" s="13"/>
    </row>
    <row r="62" spans="1:10" x14ac:dyDescent="0.25">
      <c r="A62" s="10">
        <v>38626</v>
      </c>
      <c r="B62" s="12">
        <f t="shared" si="0"/>
        <v>10</v>
      </c>
      <c r="C62" s="12">
        <f t="shared" si="1"/>
        <v>2005</v>
      </c>
      <c r="D62" s="13">
        <f>AVERAGEIFS('Sunflower Prices'!F62:F5364,'Sunflower Prices'!B62:B5364,'Sunflower Monthly'!B62,'Sunflower Prices'!C62:C5364,'Sunflower Monthly'!C62)</f>
        <v>181.34149559387561</v>
      </c>
      <c r="E62" s="13"/>
      <c r="F62" s="13"/>
      <c r="G62" s="13"/>
      <c r="H62" s="13"/>
      <c r="I62" s="13"/>
      <c r="J62" s="13"/>
    </row>
    <row r="63" spans="1:10" x14ac:dyDescent="0.25">
      <c r="A63" s="10">
        <v>38657</v>
      </c>
      <c r="B63" s="12">
        <f t="shared" si="0"/>
        <v>11</v>
      </c>
      <c r="C63" s="12">
        <f t="shared" si="1"/>
        <v>2005</v>
      </c>
      <c r="D63" s="13">
        <f>AVERAGEIFS('Sunflower Prices'!F63:F5365,'Sunflower Prices'!B63:B5365,'Sunflower Monthly'!B63,'Sunflower Prices'!C63:C5365,'Sunflower Monthly'!C63)</f>
        <v>162.25316339590069</v>
      </c>
      <c r="E63" s="13"/>
      <c r="F63" s="13"/>
      <c r="G63" s="13"/>
      <c r="H63" s="13"/>
      <c r="I63" s="13"/>
      <c r="J63" s="13"/>
    </row>
    <row r="64" spans="1:10" x14ac:dyDescent="0.25">
      <c r="A64" s="10">
        <v>38687</v>
      </c>
      <c r="B64" s="12">
        <f t="shared" si="0"/>
        <v>12</v>
      </c>
      <c r="C64" s="12">
        <f t="shared" si="1"/>
        <v>2005</v>
      </c>
      <c r="D64" s="13">
        <f>AVERAGEIFS('Sunflower Prices'!F64:F5366,'Sunflower Prices'!B64:B5366,'Sunflower Monthly'!B64,'Sunflower Prices'!C64:C5366,'Sunflower Monthly'!C64)</f>
        <v>166.52590948970777</v>
      </c>
      <c r="E64" s="13"/>
      <c r="F64" s="13"/>
      <c r="G64" s="13"/>
      <c r="H64" s="13"/>
      <c r="I64" s="13"/>
      <c r="J64" s="13"/>
    </row>
    <row r="65" spans="1:10" x14ac:dyDescent="0.25">
      <c r="A65" s="10">
        <v>38718</v>
      </c>
      <c r="B65" s="12">
        <f t="shared" si="0"/>
        <v>1</v>
      </c>
      <c r="C65" s="12">
        <f t="shared" si="1"/>
        <v>2006</v>
      </c>
      <c r="D65" s="13">
        <f>AVERAGEIFS('Sunflower Prices'!F65:F5367,'Sunflower Prices'!B65:B5367,'Sunflower Monthly'!B65,'Sunflower Prices'!C65:C5367,'Sunflower Monthly'!C65)</f>
        <v>170.244823564554</v>
      </c>
      <c r="E65" s="13"/>
      <c r="F65" s="13"/>
      <c r="G65" s="13"/>
      <c r="H65" s="13"/>
      <c r="I65" s="13"/>
      <c r="J65" s="13"/>
    </row>
    <row r="66" spans="1:10" x14ac:dyDescent="0.25">
      <c r="A66" s="10">
        <v>38749</v>
      </c>
      <c r="B66" s="12">
        <f t="shared" si="0"/>
        <v>2</v>
      </c>
      <c r="C66" s="12">
        <f t="shared" si="1"/>
        <v>2006</v>
      </c>
      <c r="D66" s="13">
        <f>AVERAGEIFS('Sunflower Prices'!F66:F5368,'Sunflower Prices'!B66:B5368,'Sunflower Monthly'!B66,'Sunflower Prices'!C66:C5368,'Sunflower Monthly'!C66)</f>
        <v>168.26822688604565</v>
      </c>
      <c r="E66" s="13"/>
      <c r="F66" s="13"/>
      <c r="G66" s="13"/>
      <c r="H66" s="13"/>
      <c r="I66" s="13"/>
      <c r="J66" s="13"/>
    </row>
    <row r="67" spans="1:10" x14ac:dyDescent="0.25">
      <c r="A67" s="10">
        <v>38777</v>
      </c>
      <c r="B67" s="12">
        <f t="shared" ref="B67:B130" si="2">MONTH(A67)</f>
        <v>3</v>
      </c>
      <c r="C67" s="12">
        <f t="shared" ref="C67:C130" si="3">YEAR(A67)</f>
        <v>2006</v>
      </c>
      <c r="D67" s="13">
        <f>AVERAGEIFS('Sunflower Prices'!F67:F5369,'Sunflower Prices'!B67:B5369,'Sunflower Monthly'!B67,'Sunflower Prices'!C67:C5369,'Sunflower Monthly'!C67)</f>
        <v>178.71221138323301</v>
      </c>
      <c r="E67" s="13"/>
      <c r="F67" s="13"/>
      <c r="G67" s="13"/>
      <c r="H67" s="13"/>
      <c r="I67" s="13"/>
      <c r="J67" s="13"/>
    </row>
    <row r="68" spans="1:10" x14ac:dyDescent="0.25">
      <c r="A68" s="10">
        <v>38808</v>
      </c>
      <c r="B68" s="12">
        <f t="shared" si="2"/>
        <v>4</v>
      </c>
      <c r="C68" s="12">
        <f t="shared" si="3"/>
        <v>2006</v>
      </c>
      <c r="D68" s="13">
        <f>AVERAGEIFS('Sunflower Prices'!F68:F5370,'Sunflower Prices'!B68:B5370,'Sunflower Monthly'!B68,'Sunflower Prices'!C68:C5370,'Sunflower Monthly'!C68)</f>
        <v>197.47297892508476</v>
      </c>
      <c r="E68" s="13"/>
      <c r="F68" s="13"/>
      <c r="G68" s="13"/>
      <c r="H68" s="13"/>
      <c r="I68" s="13"/>
      <c r="J68" s="13"/>
    </row>
    <row r="69" spans="1:10" x14ac:dyDescent="0.25">
      <c r="A69" s="10">
        <v>38838</v>
      </c>
      <c r="B69" s="12">
        <f t="shared" si="2"/>
        <v>5</v>
      </c>
      <c r="C69" s="12">
        <f t="shared" si="3"/>
        <v>2006</v>
      </c>
      <c r="D69" s="13">
        <f>AVERAGEIFS('Sunflower Prices'!F69:F5371,'Sunflower Prices'!B69:B5371,'Sunflower Monthly'!B69,'Sunflower Prices'!C69:C5371,'Sunflower Monthly'!C69)</f>
        <v>232.14254789696591</v>
      </c>
      <c r="E69" s="13"/>
      <c r="F69" s="13"/>
      <c r="G69" s="13"/>
      <c r="H69" s="13"/>
      <c r="I69" s="13"/>
      <c r="J69" s="13"/>
    </row>
    <row r="70" spans="1:10" x14ac:dyDescent="0.25">
      <c r="A70" s="10">
        <v>38869</v>
      </c>
      <c r="B70" s="12">
        <f t="shared" si="2"/>
        <v>6</v>
      </c>
      <c r="C70" s="12">
        <f t="shared" si="3"/>
        <v>2006</v>
      </c>
      <c r="D70" s="13">
        <f>AVERAGEIFS('Sunflower Prices'!F70:F5372,'Sunflower Prices'!B70:B5372,'Sunflower Monthly'!B70,'Sunflower Prices'!C70:C5372,'Sunflower Monthly'!C70)</f>
        <v>236.36203407013866</v>
      </c>
      <c r="E70" s="13"/>
      <c r="F70" s="13"/>
      <c r="G70" s="13"/>
      <c r="H70" s="13"/>
      <c r="I70" s="13"/>
      <c r="J70" s="13"/>
    </row>
    <row r="71" spans="1:10" x14ac:dyDescent="0.25">
      <c r="A71" s="10">
        <v>38899</v>
      </c>
      <c r="B71" s="12">
        <f t="shared" si="2"/>
        <v>7</v>
      </c>
      <c r="C71" s="12">
        <f t="shared" si="3"/>
        <v>2006</v>
      </c>
      <c r="D71" s="13">
        <f>AVERAGEIFS('Sunflower Prices'!F71:F5373,'Sunflower Prices'!B71:B5373,'Sunflower Monthly'!B71,'Sunflower Prices'!C71:C5373,'Sunflower Monthly'!C71)</f>
        <v>228.11945431029613</v>
      </c>
      <c r="E71" s="13"/>
      <c r="F71" s="13"/>
      <c r="G71" s="13"/>
      <c r="H71" s="13"/>
      <c r="I71" s="13"/>
      <c r="J71" s="13"/>
    </row>
    <row r="72" spans="1:10" x14ac:dyDescent="0.25">
      <c r="A72" s="10">
        <v>38930</v>
      </c>
      <c r="B72" s="12">
        <f t="shared" si="2"/>
        <v>8</v>
      </c>
      <c r="C72" s="12">
        <f t="shared" si="3"/>
        <v>2006</v>
      </c>
      <c r="D72" s="13">
        <f>AVERAGEIFS('Sunflower Prices'!F72:F5374,'Sunflower Prices'!B72:B5374,'Sunflower Monthly'!B72,'Sunflower Prices'!C72:C5374,'Sunflower Monthly'!C72)</f>
        <v>221.42129424824302</v>
      </c>
      <c r="E72" s="13"/>
      <c r="F72" s="13"/>
      <c r="G72" s="13"/>
      <c r="H72" s="13"/>
      <c r="I72" s="13"/>
      <c r="J72" s="13"/>
    </row>
    <row r="73" spans="1:10" x14ac:dyDescent="0.25">
      <c r="A73" s="10">
        <v>38961</v>
      </c>
      <c r="B73" s="12">
        <f t="shared" si="2"/>
        <v>9</v>
      </c>
      <c r="C73" s="12">
        <f t="shared" si="3"/>
        <v>2006</v>
      </c>
      <c r="D73" s="13">
        <f>AVERAGEIFS('Sunflower Prices'!F73:F5375,'Sunflower Prices'!B73:B5375,'Sunflower Monthly'!B73,'Sunflower Prices'!C73:C5375,'Sunflower Monthly'!C73)</f>
        <v>197.45633148673832</v>
      </c>
      <c r="E73" s="13"/>
      <c r="F73" s="13"/>
      <c r="G73" s="13"/>
      <c r="H73" s="13"/>
      <c r="I73" s="13"/>
      <c r="J73" s="13"/>
    </row>
    <row r="74" spans="1:10" x14ac:dyDescent="0.25">
      <c r="A74" s="10">
        <v>38991</v>
      </c>
      <c r="B74" s="12">
        <f t="shared" si="2"/>
        <v>10</v>
      </c>
      <c r="C74" s="12">
        <f t="shared" si="3"/>
        <v>2006</v>
      </c>
      <c r="D74" s="13">
        <f>AVERAGEIFS('Sunflower Prices'!F74:F5376,'Sunflower Prices'!B74:B5376,'Sunflower Monthly'!B74,'Sunflower Prices'!C74:C5376,'Sunflower Monthly'!C74)</f>
        <v>191.08110246548233</v>
      </c>
      <c r="E74" s="13"/>
      <c r="F74" s="13"/>
      <c r="G74" s="13"/>
      <c r="H74" s="13"/>
      <c r="I74" s="13"/>
      <c r="J74" s="13"/>
    </row>
    <row r="75" spans="1:10" x14ac:dyDescent="0.25">
      <c r="A75" s="10">
        <v>39022</v>
      </c>
      <c r="B75" s="12">
        <f t="shared" si="2"/>
        <v>11</v>
      </c>
      <c r="C75" s="12">
        <f t="shared" si="3"/>
        <v>2006</v>
      </c>
      <c r="D75" s="13">
        <f>AVERAGEIFS('Sunflower Prices'!F75:F5377,'Sunflower Prices'!B75:B5377,'Sunflower Monthly'!B75,'Sunflower Prices'!C75:C5377,'Sunflower Monthly'!C75)</f>
        <v>195.56061411289562</v>
      </c>
      <c r="E75" s="13"/>
      <c r="F75" s="13"/>
      <c r="G75" s="13"/>
      <c r="H75" s="13"/>
      <c r="I75" s="13"/>
      <c r="J75" s="13"/>
    </row>
    <row r="76" spans="1:10" x14ac:dyDescent="0.25">
      <c r="A76" s="10">
        <v>39052</v>
      </c>
      <c r="B76" s="12">
        <f t="shared" si="2"/>
        <v>12</v>
      </c>
      <c r="C76" s="12">
        <f t="shared" si="3"/>
        <v>2006</v>
      </c>
      <c r="D76" s="13">
        <f>AVERAGEIFS('Sunflower Prices'!F76:F5378,'Sunflower Prices'!B76:B5378,'Sunflower Monthly'!B76,'Sunflower Prices'!C76:C5378,'Sunflower Monthly'!C76)</f>
        <v>214.00747728534952</v>
      </c>
      <c r="E76" s="13"/>
      <c r="F76" s="13"/>
      <c r="G76" s="13"/>
      <c r="H76" s="13"/>
      <c r="I76" s="13"/>
      <c r="J76" s="13"/>
    </row>
    <row r="77" spans="1:10" x14ac:dyDescent="0.25">
      <c r="A77" s="10">
        <v>39083</v>
      </c>
      <c r="B77" s="12">
        <f t="shared" si="2"/>
        <v>1</v>
      </c>
      <c r="C77" s="12">
        <f t="shared" si="3"/>
        <v>2007</v>
      </c>
      <c r="D77" s="13">
        <f>AVERAGEIFS('Sunflower Prices'!F77:F5379,'Sunflower Prices'!B77:B5379,'Sunflower Monthly'!B77,'Sunflower Prices'!C77:C5379,'Sunflower Monthly'!C77)</f>
        <v>235.41477197945247</v>
      </c>
      <c r="E77" s="13"/>
      <c r="F77" s="13"/>
      <c r="G77" s="13"/>
      <c r="H77" s="13"/>
      <c r="I77" s="13"/>
      <c r="J77" s="13"/>
    </row>
    <row r="78" spans="1:10" x14ac:dyDescent="0.25">
      <c r="A78" s="10">
        <v>39114</v>
      </c>
      <c r="B78" s="12">
        <f t="shared" si="2"/>
        <v>2</v>
      </c>
      <c r="C78" s="12">
        <f t="shared" si="3"/>
        <v>2007</v>
      </c>
      <c r="D78" s="13">
        <f>AVERAGEIFS('Sunflower Prices'!F78:F5380,'Sunflower Prices'!B78:B5380,'Sunflower Monthly'!B78,'Sunflower Prices'!C78:C5380,'Sunflower Monthly'!C78)</f>
        <v>239.47319997443466</v>
      </c>
      <c r="E78" s="13"/>
      <c r="F78" s="13"/>
      <c r="G78" s="13"/>
      <c r="H78" s="13"/>
      <c r="I78" s="13"/>
      <c r="J78" s="13"/>
    </row>
    <row r="79" spans="1:10" x14ac:dyDescent="0.25">
      <c r="A79" s="10">
        <v>39142</v>
      </c>
      <c r="B79" s="12">
        <f t="shared" si="2"/>
        <v>3</v>
      </c>
      <c r="C79" s="12">
        <f t="shared" si="3"/>
        <v>2007</v>
      </c>
      <c r="D79" s="13">
        <f>AVERAGEIFS('Sunflower Prices'!F79:F5381,'Sunflower Prices'!B79:B5381,'Sunflower Monthly'!B79,'Sunflower Prices'!C79:C5381,'Sunflower Monthly'!C79)</f>
        <v>245.74502192942921</v>
      </c>
      <c r="E79" s="13"/>
      <c r="F79" s="13"/>
      <c r="G79" s="13"/>
      <c r="H79" s="13"/>
      <c r="I79" s="13"/>
      <c r="J79" s="13"/>
    </row>
    <row r="80" spans="1:10" x14ac:dyDescent="0.25">
      <c r="A80" s="10">
        <v>39173</v>
      </c>
      <c r="B80" s="12">
        <f t="shared" si="2"/>
        <v>4</v>
      </c>
      <c r="C80" s="12">
        <f t="shared" si="3"/>
        <v>2007</v>
      </c>
      <c r="D80" s="13">
        <f>AVERAGEIFS('Sunflower Prices'!F80:F5382,'Sunflower Prices'!B80:B5382,'Sunflower Monthly'!B80,'Sunflower Prices'!C80:C5382,'Sunflower Monthly'!C80)</f>
        <v>265.22809860122112</v>
      </c>
      <c r="E80" s="13"/>
      <c r="F80" s="13"/>
      <c r="G80" s="13"/>
      <c r="H80" s="13"/>
      <c r="I80" s="13"/>
      <c r="J80" s="13"/>
    </row>
    <row r="81" spans="1:10" x14ac:dyDescent="0.25">
      <c r="A81" s="10">
        <v>39203</v>
      </c>
      <c r="B81" s="12">
        <f t="shared" si="2"/>
        <v>5</v>
      </c>
      <c r="C81" s="12">
        <f t="shared" si="3"/>
        <v>2007</v>
      </c>
      <c r="D81" s="13">
        <f>AVERAGEIFS('Sunflower Prices'!F81:F5383,'Sunflower Prices'!B81:B5383,'Sunflower Monthly'!B81,'Sunflower Prices'!C81:C5383,'Sunflower Monthly'!C81)</f>
        <v>304.84783436641231</v>
      </c>
      <c r="E81" s="13"/>
      <c r="F81" s="13"/>
      <c r="G81" s="13"/>
      <c r="H81" s="13"/>
      <c r="I81" s="13"/>
      <c r="J81" s="13"/>
    </row>
    <row r="82" spans="1:10" x14ac:dyDescent="0.25">
      <c r="A82" s="10">
        <v>39234</v>
      </c>
      <c r="B82" s="12">
        <f t="shared" si="2"/>
        <v>6</v>
      </c>
      <c r="C82" s="12">
        <f t="shared" si="3"/>
        <v>2007</v>
      </c>
      <c r="D82" s="13">
        <f>AVERAGEIFS('Sunflower Prices'!F82:F5384,'Sunflower Prices'!B82:B5384,'Sunflower Monthly'!B82,'Sunflower Prices'!C82:C5384,'Sunflower Monthly'!C82)</f>
        <v>338.40417394081589</v>
      </c>
      <c r="E82" s="13"/>
      <c r="F82" s="13"/>
      <c r="G82" s="13"/>
      <c r="H82" s="13"/>
      <c r="I82" s="13"/>
      <c r="J82" s="13"/>
    </row>
    <row r="83" spans="1:10" x14ac:dyDescent="0.25">
      <c r="A83" s="10">
        <v>39264</v>
      </c>
      <c r="B83" s="12">
        <f t="shared" si="2"/>
        <v>7</v>
      </c>
      <c r="C83" s="12">
        <f t="shared" si="3"/>
        <v>2007</v>
      </c>
      <c r="D83" s="13">
        <f>AVERAGEIFS('Sunflower Prices'!F83:F5385,'Sunflower Prices'!B83:B5385,'Sunflower Monthly'!B83,'Sunflower Prices'!C83:C5385,'Sunflower Monthly'!C83)</f>
        <v>375.65969332072785</v>
      </c>
      <c r="E83" s="13"/>
      <c r="F83" s="13"/>
      <c r="G83" s="13"/>
      <c r="H83" s="13"/>
      <c r="I83" s="13"/>
      <c r="J83" s="13"/>
    </row>
    <row r="84" spans="1:10" x14ac:dyDescent="0.25">
      <c r="A84" s="10">
        <v>39295</v>
      </c>
      <c r="B84" s="12">
        <f t="shared" si="2"/>
        <v>8</v>
      </c>
      <c r="C84" s="12">
        <f t="shared" si="3"/>
        <v>2007</v>
      </c>
      <c r="D84" s="13">
        <f>AVERAGEIFS('Sunflower Prices'!F84:F5386,'Sunflower Prices'!B84:B5386,'Sunflower Monthly'!B84,'Sunflower Prices'!C84:C5386,'Sunflower Monthly'!C84)</f>
        <v>380.42890812986889</v>
      </c>
      <c r="E84" s="13"/>
      <c r="F84" s="13"/>
      <c r="G84" s="13"/>
      <c r="H84" s="13"/>
      <c r="I84" s="13"/>
      <c r="J84" s="13"/>
    </row>
    <row r="85" spans="1:10" x14ac:dyDescent="0.25">
      <c r="A85" s="10">
        <v>39326</v>
      </c>
      <c r="B85" s="12">
        <f t="shared" si="2"/>
        <v>9</v>
      </c>
      <c r="C85" s="12">
        <f t="shared" si="3"/>
        <v>2007</v>
      </c>
      <c r="D85" s="13">
        <f>AVERAGEIFS('Sunflower Prices'!F85:F5387,'Sunflower Prices'!B85:B5387,'Sunflower Monthly'!B85,'Sunflower Prices'!C85:C5387,'Sunflower Monthly'!C85)</f>
        <v>504.87241656136615</v>
      </c>
      <c r="E85" s="13"/>
      <c r="F85" s="13"/>
      <c r="G85" s="13"/>
      <c r="H85" s="13"/>
      <c r="I85" s="13"/>
      <c r="J85" s="13"/>
    </row>
    <row r="86" spans="1:10" x14ac:dyDescent="0.25">
      <c r="A86" s="10">
        <v>39356</v>
      </c>
      <c r="B86" s="12">
        <f t="shared" si="2"/>
        <v>10</v>
      </c>
      <c r="C86" s="12">
        <f t="shared" si="3"/>
        <v>2007</v>
      </c>
      <c r="D86" s="13">
        <f>AVERAGEIFS('Sunflower Prices'!F86:F5388,'Sunflower Prices'!B86:B5388,'Sunflower Monthly'!B86,'Sunflower Prices'!C86:C5388,'Sunflower Monthly'!C86)</f>
        <v>552.75654472689666</v>
      </c>
      <c r="E86" s="13"/>
      <c r="F86" s="13"/>
      <c r="G86" s="13"/>
      <c r="H86" s="13"/>
      <c r="I86" s="13"/>
      <c r="J86" s="13"/>
    </row>
    <row r="87" spans="1:10" x14ac:dyDescent="0.25">
      <c r="A87" s="10">
        <v>39387</v>
      </c>
      <c r="B87" s="12">
        <f t="shared" si="2"/>
        <v>11</v>
      </c>
      <c r="C87" s="12">
        <f t="shared" si="3"/>
        <v>2007</v>
      </c>
      <c r="D87" s="13">
        <f>AVERAGEIFS('Sunflower Prices'!F87:F5389,'Sunflower Prices'!B87:B5389,'Sunflower Monthly'!B87,'Sunflower Prices'!C87:C5389,'Sunflower Monthly'!C87)</f>
        <v>611.06268718168997</v>
      </c>
      <c r="E87" s="13"/>
      <c r="F87" s="13"/>
      <c r="G87" s="13"/>
      <c r="H87" s="13"/>
      <c r="I87" s="13"/>
      <c r="J87" s="13"/>
    </row>
    <row r="88" spans="1:10" x14ac:dyDescent="0.25">
      <c r="A88" s="10">
        <v>39417</v>
      </c>
      <c r="B88" s="12">
        <f t="shared" si="2"/>
        <v>12</v>
      </c>
      <c r="C88" s="12">
        <f t="shared" si="3"/>
        <v>2007</v>
      </c>
      <c r="D88" s="13">
        <f>AVERAGEIFS('Sunflower Prices'!F88:F5390,'Sunflower Prices'!B88:B5390,'Sunflower Monthly'!B88,'Sunflower Prices'!C88:C5390,'Sunflower Monthly'!C88)</f>
        <v>675.68355396547645</v>
      </c>
      <c r="E88" s="13"/>
      <c r="F88" s="13"/>
      <c r="G88" s="13"/>
      <c r="H88" s="13"/>
      <c r="I88" s="13"/>
      <c r="J88" s="13"/>
    </row>
    <row r="89" spans="1:10" x14ac:dyDescent="0.25">
      <c r="A89" s="10">
        <v>39448</v>
      </c>
      <c r="B89" s="12">
        <f t="shared" si="2"/>
        <v>1</v>
      </c>
      <c r="C89" s="12">
        <f t="shared" si="3"/>
        <v>2008</v>
      </c>
      <c r="D89" s="13">
        <f>AVERAGEIFS('Sunflower Prices'!F89:F5391,'Sunflower Prices'!B89:B5391,'Sunflower Monthly'!B89,'Sunflower Prices'!C89:C5391,'Sunflower Monthly'!C89)</f>
        <v>691.7421429809358</v>
      </c>
      <c r="E89" s="13"/>
      <c r="F89" s="13"/>
      <c r="G89" s="13"/>
      <c r="H89" s="13"/>
      <c r="I89" s="13"/>
      <c r="J89" s="13"/>
    </row>
    <row r="90" spans="1:10" x14ac:dyDescent="0.25">
      <c r="A90" s="10">
        <v>39479</v>
      </c>
      <c r="B90" s="12">
        <f t="shared" si="2"/>
        <v>2</v>
      </c>
      <c r="C90" s="12">
        <f t="shared" si="3"/>
        <v>2008</v>
      </c>
      <c r="D90" s="13">
        <f>AVERAGEIFS('Sunflower Prices'!F90:F5392,'Sunflower Prices'!B90:B5392,'Sunflower Monthly'!B90,'Sunflower Prices'!C90:C5392,'Sunflower Monthly'!C90)</f>
        <v>771.02070809682323</v>
      </c>
      <c r="E90" s="13"/>
      <c r="F90" s="13"/>
      <c r="G90" s="13"/>
      <c r="H90" s="13"/>
      <c r="I90" s="13"/>
      <c r="J90" s="13"/>
    </row>
    <row r="91" spans="1:10" x14ac:dyDescent="0.25">
      <c r="A91" s="10">
        <v>39508</v>
      </c>
      <c r="B91" s="12">
        <f t="shared" si="2"/>
        <v>3</v>
      </c>
      <c r="C91" s="12">
        <f t="shared" si="3"/>
        <v>2008</v>
      </c>
      <c r="D91" s="13">
        <f>AVERAGEIFS('Sunflower Prices'!F91:F5393,'Sunflower Prices'!B91:B5393,'Sunflower Monthly'!B91,'Sunflower Prices'!C91:C5393,'Sunflower Monthly'!C91)</f>
        <v>916.44620434508363</v>
      </c>
      <c r="E91" s="13"/>
      <c r="F91" s="13"/>
      <c r="G91" s="13"/>
      <c r="H91" s="13"/>
      <c r="I91" s="13"/>
      <c r="J91" s="13"/>
    </row>
    <row r="92" spans="1:10" x14ac:dyDescent="0.25">
      <c r="A92" s="10">
        <v>39539</v>
      </c>
      <c r="B92" s="12">
        <f t="shared" si="2"/>
        <v>4</v>
      </c>
      <c r="C92" s="12">
        <f t="shared" si="3"/>
        <v>2008</v>
      </c>
      <c r="D92" s="13">
        <f>AVERAGEIFS('Sunflower Prices'!F92:F5394,'Sunflower Prices'!B92:B5394,'Sunflower Monthly'!B92,'Sunflower Prices'!C92:C5394,'Sunflower Monthly'!C92)</f>
        <v>1017.9025595495357</v>
      </c>
      <c r="E92" s="13"/>
      <c r="F92" s="13"/>
      <c r="G92" s="13"/>
      <c r="H92" s="13"/>
      <c r="I92" s="13"/>
      <c r="J92" s="13"/>
    </row>
    <row r="93" spans="1:10" x14ac:dyDescent="0.25">
      <c r="A93" s="10">
        <v>39569</v>
      </c>
      <c r="B93" s="12">
        <f t="shared" si="2"/>
        <v>5</v>
      </c>
      <c r="C93" s="12">
        <f t="shared" si="3"/>
        <v>2008</v>
      </c>
      <c r="D93" s="13">
        <f>AVERAGEIFS('Sunflower Prices'!F93:F5395,'Sunflower Prices'!B93:B5395,'Sunflower Monthly'!B93,'Sunflower Prices'!C93:C5395,'Sunflower Monthly'!C93)</f>
        <v>966.24059682130473</v>
      </c>
      <c r="E93" s="13"/>
      <c r="F93" s="13"/>
      <c r="G93" s="13"/>
      <c r="H93" s="13"/>
      <c r="I93" s="13"/>
      <c r="J93" s="13"/>
    </row>
    <row r="94" spans="1:10" x14ac:dyDescent="0.25">
      <c r="A94" s="10">
        <v>39600</v>
      </c>
      <c r="B94" s="12">
        <f t="shared" si="2"/>
        <v>6</v>
      </c>
      <c r="C94" s="12">
        <f t="shared" si="3"/>
        <v>2008</v>
      </c>
      <c r="D94" s="13">
        <f>AVERAGEIFS('Sunflower Prices'!F94:F5396,'Sunflower Prices'!B94:B5396,'Sunflower Monthly'!B94,'Sunflower Prices'!C94:C5396,'Sunflower Monthly'!C94)</f>
        <v>759.07654256593082</v>
      </c>
      <c r="E94" s="13"/>
      <c r="F94" s="13"/>
      <c r="G94" s="13"/>
      <c r="H94" s="13"/>
      <c r="I94" s="13"/>
      <c r="J94" s="13"/>
    </row>
    <row r="95" spans="1:10" x14ac:dyDescent="0.25">
      <c r="A95" s="10">
        <v>39630</v>
      </c>
      <c r="B95" s="12">
        <f t="shared" si="2"/>
        <v>7</v>
      </c>
      <c r="C95" s="12">
        <f t="shared" si="3"/>
        <v>2008</v>
      </c>
      <c r="D95" s="13">
        <f>AVERAGEIFS('Sunflower Prices'!F95:F5397,'Sunflower Prices'!B95:B5397,'Sunflower Monthly'!B95,'Sunflower Prices'!C95:C5397,'Sunflower Monthly'!C95)</f>
        <v>696.03621459562692</v>
      </c>
      <c r="E95" s="13"/>
      <c r="F95" s="13"/>
      <c r="G95" s="13"/>
      <c r="H95" s="13"/>
      <c r="I95" s="13"/>
      <c r="J95" s="13"/>
    </row>
    <row r="96" spans="1:10" x14ac:dyDescent="0.25">
      <c r="A96" s="10">
        <v>39661</v>
      </c>
      <c r="B96" s="12">
        <f t="shared" si="2"/>
        <v>8</v>
      </c>
      <c r="C96" s="12">
        <f t="shared" si="3"/>
        <v>2008</v>
      </c>
      <c r="D96" s="13">
        <f>AVERAGEIFS('Sunflower Prices'!F96:F5398,'Sunflower Prices'!B96:B5398,'Sunflower Monthly'!B96,'Sunflower Prices'!C96:C5398,'Sunflower Monthly'!C96)</f>
        <v>552.27424547189082</v>
      </c>
      <c r="E96" s="13"/>
      <c r="F96" s="13"/>
      <c r="G96" s="13"/>
      <c r="H96" s="13"/>
      <c r="I96" s="13"/>
      <c r="J96" s="13"/>
    </row>
    <row r="97" spans="1:10" x14ac:dyDescent="0.25">
      <c r="A97" s="10">
        <v>39692</v>
      </c>
      <c r="B97" s="12">
        <f t="shared" si="2"/>
        <v>9</v>
      </c>
      <c r="C97" s="12">
        <f t="shared" si="3"/>
        <v>2008</v>
      </c>
      <c r="D97" s="13">
        <f>AVERAGEIFS('Sunflower Prices'!F97:F5399,'Sunflower Prices'!B97:B5399,'Sunflower Monthly'!B97,'Sunflower Prices'!C97:C5399,'Sunflower Monthly'!C97)</f>
        <v>349.89820624522537</v>
      </c>
      <c r="E97" s="13"/>
      <c r="F97" s="13"/>
      <c r="G97" s="13"/>
      <c r="H97" s="13"/>
      <c r="I97" s="13"/>
      <c r="J97" s="13"/>
    </row>
    <row r="98" spans="1:10" x14ac:dyDescent="0.25">
      <c r="A98" s="10">
        <v>39722</v>
      </c>
      <c r="B98" s="12">
        <f t="shared" si="2"/>
        <v>10</v>
      </c>
      <c r="C98" s="12">
        <f t="shared" si="3"/>
        <v>2008</v>
      </c>
      <c r="D98" s="13">
        <f>AVERAGEIFS('Sunflower Prices'!F98:F5400,'Sunflower Prices'!B98:B5400,'Sunflower Monthly'!B98,'Sunflower Prices'!C98:C5400,'Sunflower Monthly'!C98)</f>
        <v>303.29776639809552</v>
      </c>
      <c r="E98" s="13"/>
      <c r="F98" s="13"/>
      <c r="G98" s="13"/>
      <c r="H98" s="13"/>
      <c r="I98" s="13"/>
      <c r="J98" s="13"/>
    </row>
    <row r="99" spans="1:10" x14ac:dyDescent="0.25">
      <c r="A99" s="10">
        <v>39753</v>
      </c>
      <c r="B99" s="12">
        <f t="shared" si="2"/>
        <v>11</v>
      </c>
      <c r="C99" s="12">
        <f t="shared" si="3"/>
        <v>2008</v>
      </c>
      <c r="D99" s="13">
        <f>AVERAGEIFS('Sunflower Prices'!F99:F5401,'Sunflower Prices'!B99:B5401,'Sunflower Monthly'!B99,'Sunflower Prices'!C99:C5401,'Sunflower Monthly'!C99)</f>
        <v>208.99952427735496</v>
      </c>
      <c r="E99" s="13"/>
      <c r="F99" s="13"/>
      <c r="G99" s="13"/>
      <c r="H99" s="13"/>
      <c r="I99" s="13"/>
      <c r="J99" s="13"/>
    </row>
    <row r="100" spans="1:10" x14ac:dyDescent="0.25">
      <c r="A100" s="10">
        <v>39783</v>
      </c>
      <c r="B100" s="12">
        <f t="shared" si="2"/>
        <v>12</v>
      </c>
      <c r="C100" s="12">
        <f t="shared" si="3"/>
        <v>2008</v>
      </c>
      <c r="D100" s="13">
        <f>AVERAGEIFS('Sunflower Prices'!F100:F5402,'Sunflower Prices'!B100:B5402,'Sunflower Monthly'!B100,'Sunflower Prices'!C100:C5402,'Sunflower Monthly'!C100)</f>
        <v>218.53417608334468</v>
      </c>
      <c r="E100" s="13"/>
      <c r="F100" s="13"/>
      <c r="G100" s="13"/>
      <c r="H100" s="13"/>
      <c r="I100" s="13"/>
      <c r="J100" s="13"/>
    </row>
    <row r="101" spans="1:10" x14ac:dyDescent="0.25">
      <c r="A101" s="10">
        <v>39814</v>
      </c>
      <c r="B101" s="12">
        <f t="shared" si="2"/>
        <v>1</v>
      </c>
      <c r="C101" s="12">
        <f t="shared" si="3"/>
        <v>2009</v>
      </c>
      <c r="D101" s="13">
        <f>AVERAGEIFS('Sunflower Prices'!F101:F5403,'Sunflower Prices'!B101:B5403,'Sunflower Monthly'!B101,'Sunflower Prices'!C101:C5403,'Sunflower Monthly'!C101)</f>
        <v>221.01108383300496</v>
      </c>
      <c r="E101" s="13"/>
      <c r="F101" s="13"/>
      <c r="G101" s="13"/>
      <c r="H101" s="13"/>
      <c r="I101" s="13"/>
      <c r="J101" s="13"/>
    </row>
    <row r="102" spans="1:10" x14ac:dyDescent="0.25">
      <c r="A102" s="10">
        <v>39845</v>
      </c>
      <c r="B102" s="12">
        <f t="shared" si="2"/>
        <v>2</v>
      </c>
      <c r="C102" s="12">
        <f t="shared" si="3"/>
        <v>2009</v>
      </c>
      <c r="D102" s="13">
        <f>AVERAGEIFS('Sunflower Prices'!F102:F5404,'Sunflower Prices'!B102:B5404,'Sunflower Monthly'!B102,'Sunflower Prices'!C102:C5404,'Sunflower Monthly'!C102)</f>
        <v>300.30723807978416</v>
      </c>
      <c r="E102" s="13"/>
      <c r="F102" s="13"/>
      <c r="G102" s="13"/>
      <c r="H102" s="13"/>
      <c r="I102" s="13"/>
      <c r="J102" s="13"/>
    </row>
    <row r="103" spans="1:10" x14ac:dyDescent="0.25">
      <c r="A103" s="10">
        <v>39873</v>
      </c>
      <c r="B103" s="12">
        <f t="shared" si="2"/>
        <v>3</v>
      </c>
      <c r="C103" s="12">
        <f t="shared" si="3"/>
        <v>2009</v>
      </c>
      <c r="D103" s="13">
        <f>AVERAGEIFS('Sunflower Prices'!F103:F5405,'Sunflower Prices'!B103:B5405,'Sunflower Monthly'!B103,'Sunflower Prices'!C103:C5405,'Sunflower Monthly'!C103)</f>
        <v>296.05981929328624</v>
      </c>
      <c r="E103" s="13"/>
      <c r="F103" s="13"/>
      <c r="G103" s="13"/>
      <c r="H103" s="13"/>
      <c r="I103" s="13"/>
      <c r="J103" s="13"/>
    </row>
    <row r="104" spans="1:10" x14ac:dyDescent="0.25">
      <c r="A104" s="10">
        <v>39904</v>
      </c>
      <c r="B104" s="12">
        <f t="shared" si="2"/>
        <v>4</v>
      </c>
      <c r="C104" s="12">
        <f t="shared" si="3"/>
        <v>2009</v>
      </c>
      <c r="D104" s="13">
        <f>AVERAGEIFS('Sunflower Prices'!F104:F5406,'Sunflower Prices'!B104:B5406,'Sunflower Monthly'!B104,'Sunflower Prices'!C104:C5406,'Sunflower Monthly'!C104)</f>
        <v>279.30958644961072</v>
      </c>
      <c r="E104" s="13"/>
      <c r="F104" s="13"/>
      <c r="G104" s="13"/>
      <c r="H104" s="13"/>
      <c r="I104" s="13"/>
      <c r="J104" s="13"/>
    </row>
    <row r="105" spans="1:10" x14ac:dyDescent="0.25">
      <c r="A105" s="10">
        <v>39934</v>
      </c>
      <c r="B105" s="12">
        <f t="shared" si="2"/>
        <v>5</v>
      </c>
      <c r="C105" s="12">
        <f t="shared" si="3"/>
        <v>2009</v>
      </c>
      <c r="D105" s="13">
        <f>AVERAGEIFS('Sunflower Prices'!F105:F5407,'Sunflower Prices'!B105:B5407,'Sunflower Monthly'!B105,'Sunflower Prices'!C105:C5407,'Sunflower Monthly'!C105)</f>
        <v>290.78111917972524</v>
      </c>
      <c r="E105" s="13"/>
      <c r="F105" s="13"/>
      <c r="G105" s="13"/>
      <c r="H105" s="13"/>
      <c r="I105" s="13"/>
      <c r="J105" s="13"/>
    </row>
    <row r="106" spans="1:10" x14ac:dyDescent="0.25">
      <c r="A106" s="10">
        <v>39965</v>
      </c>
      <c r="B106" s="12">
        <f t="shared" si="2"/>
        <v>6</v>
      </c>
      <c r="C106" s="12">
        <f t="shared" si="3"/>
        <v>2009</v>
      </c>
      <c r="D106" s="13">
        <f>AVERAGEIFS('Sunflower Prices'!F106:F5408,'Sunflower Prices'!B106:B5408,'Sunflower Monthly'!B106,'Sunflower Prices'!C106:C5408,'Sunflower Monthly'!C106)</f>
        <v>307.13857094439305</v>
      </c>
      <c r="E106" s="13"/>
      <c r="F106" s="13"/>
      <c r="G106" s="13"/>
      <c r="H106" s="13"/>
      <c r="I106" s="13"/>
      <c r="J106" s="13"/>
    </row>
    <row r="107" spans="1:10" x14ac:dyDescent="0.25">
      <c r="A107" s="10">
        <v>39995</v>
      </c>
      <c r="B107" s="12">
        <f t="shared" si="2"/>
        <v>7</v>
      </c>
      <c r="C107" s="12">
        <f t="shared" si="3"/>
        <v>2009</v>
      </c>
      <c r="D107" s="13">
        <f>AVERAGEIFS('Sunflower Prices'!F107:F5409,'Sunflower Prices'!B107:B5409,'Sunflower Monthly'!B107,'Sunflower Prices'!C107:C5409,'Sunflower Monthly'!C107)</f>
        <v>288.4331446459579</v>
      </c>
      <c r="E107" s="13"/>
      <c r="F107" s="13"/>
      <c r="G107" s="13"/>
      <c r="H107" s="13"/>
      <c r="I107" s="13"/>
      <c r="J107" s="13"/>
    </row>
    <row r="108" spans="1:10" x14ac:dyDescent="0.25">
      <c r="A108" s="10">
        <v>40026</v>
      </c>
      <c r="B108" s="12">
        <f t="shared" si="2"/>
        <v>8</v>
      </c>
      <c r="C108" s="12">
        <f t="shared" si="3"/>
        <v>2009</v>
      </c>
      <c r="D108" s="13">
        <f>AVERAGEIFS('Sunflower Prices'!F108:F5410,'Sunflower Prices'!B108:B5410,'Sunflower Monthly'!B108,'Sunflower Prices'!C108:C5410,'Sunflower Monthly'!C108)</f>
        <v>270.35959250044971</v>
      </c>
      <c r="E108" s="13"/>
      <c r="F108" s="13"/>
      <c r="G108" s="13"/>
      <c r="H108" s="13"/>
      <c r="I108" s="13"/>
      <c r="J108" s="13"/>
    </row>
    <row r="109" spans="1:10" x14ac:dyDescent="0.25">
      <c r="A109" s="10">
        <v>40057</v>
      </c>
      <c r="B109" s="12">
        <f t="shared" si="2"/>
        <v>9</v>
      </c>
      <c r="C109" s="12">
        <f t="shared" si="3"/>
        <v>2009</v>
      </c>
      <c r="D109" s="13">
        <f>AVERAGEIFS('Sunflower Prices'!F109:F5411,'Sunflower Prices'!B109:B5411,'Sunflower Monthly'!B109,'Sunflower Prices'!C109:C5411,'Sunflower Monthly'!C109)</f>
        <v>325.7407927558387</v>
      </c>
      <c r="E109" s="13"/>
      <c r="F109" s="13"/>
      <c r="G109" s="13"/>
      <c r="H109" s="13"/>
      <c r="I109" s="13"/>
      <c r="J109" s="13"/>
    </row>
    <row r="110" spans="1:10" x14ac:dyDescent="0.25">
      <c r="A110" s="10">
        <v>40087</v>
      </c>
      <c r="B110" s="12">
        <f t="shared" si="2"/>
        <v>10</v>
      </c>
      <c r="C110" s="12">
        <f t="shared" si="3"/>
        <v>2009</v>
      </c>
      <c r="D110" s="13">
        <f>AVERAGEIFS('Sunflower Prices'!F110:F5412,'Sunflower Prices'!B110:B5412,'Sunflower Monthly'!B110,'Sunflower Prices'!C110:C5412,'Sunflower Monthly'!C110)</f>
        <v>317.55773673970896</v>
      </c>
      <c r="E110" s="13"/>
      <c r="F110" s="13"/>
      <c r="G110" s="13"/>
      <c r="H110" s="13"/>
      <c r="I110" s="13"/>
      <c r="J110" s="13"/>
    </row>
    <row r="111" spans="1:10" x14ac:dyDescent="0.25">
      <c r="A111" s="10">
        <v>40118</v>
      </c>
      <c r="B111" s="12">
        <f t="shared" si="2"/>
        <v>11</v>
      </c>
      <c r="C111" s="12">
        <f t="shared" si="3"/>
        <v>2009</v>
      </c>
      <c r="D111" s="13">
        <f>AVERAGEIFS('Sunflower Prices'!F111:F5413,'Sunflower Prices'!B111:B5413,'Sunflower Monthly'!B111,'Sunflower Prices'!C111:C5413,'Sunflower Monthly'!C111)</f>
        <v>336.84241457192991</v>
      </c>
      <c r="E111" s="13"/>
      <c r="F111" s="13"/>
      <c r="G111" s="13"/>
      <c r="H111" s="13"/>
      <c r="I111" s="13"/>
      <c r="J111" s="13"/>
    </row>
    <row r="112" spans="1:10" x14ac:dyDescent="0.25">
      <c r="A112" s="10">
        <v>40148</v>
      </c>
      <c r="B112" s="12">
        <f t="shared" si="2"/>
        <v>12</v>
      </c>
      <c r="C112" s="12">
        <f t="shared" si="3"/>
        <v>2009</v>
      </c>
      <c r="D112" s="13">
        <f>AVERAGEIFS('Sunflower Prices'!F112:F5414,'Sunflower Prices'!B112:B5414,'Sunflower Monthly'!B112,'Sunflower Prices'!C112:C5414,'Sunflower Monthly'!C112)</f>
        <v>402.39417966898259</v>
      </c>
      <c r="E112" s="13"/>
      <c r="F112" s="13"/>
      <c r="G112" s="13"/>
      <c r="H112" s="13"/>
      <c r="I112" s="13"/>
      <c r="J112" s="13"/>
    </row>
    <row r="113" spans="1:10" x14ac:dyDescent="0.25">
      <c r="A113" s="10">
        <v>40179</v>
      </c>
      <c r="B113" s="12">
        <f t="shared" si="2"/>
        <v>1</v>
      </c>
      <c r="C113" s="12">
        <f t="shared" si="3"/>
        <v>2010</v>
      </c>
      <c r="D113" s="13">
        <f>AVERAGEIFS('Sunflower Prices'!F113:F5415,'Sunflower Prices'!B113:B5415,'Sunflower Monthly'!B113,'Sunflower Prices'!C113:C5415,'Sunflower Monthly'!C113)</f>
        <v>433.96100609446859</v>
      </c>
      <c r="E113" s="13"/>
      <c r="F113" s="13"/>
      <c r="G113" s="13"/>
      <c r="H113" s="13"/>
      <c r="I113" s="13"/>
      <c r="J113" s="13"/>
    </row>
    <row r="114" spans="1:10" x14ac:dyDescent="0.25">
      <c r="A114" s="10">
        <v>40210</v>
      </c>
      <c r="B114" s="12">
        <f t="shared" si="2"/>
        <v>2</v>
      </c>
      <c r="C114" s="12">
        <f t="shared" si="3"/>
        <v>2010</v>
      </c>
      <c r="D114" s="13">
        <f>AVERAGEIFS('Sunflower Prices'!F114:F5416,'Sunflower Prices'!B114:B5416,'Sunflower Monthly'!B114,'Sunflower Prices'!C114:C5416,'Sunflower Monthly'!C114)</f>
        <v>415.75121225329389</v>
      </c>
      <c r="E114" s="13"/>
      <c r="F114" s="13"/>
      <c r="G114" s="13"/>
      <c r="H114" s="13"/>
      <c r="I114" s="13"/>
      <c r="J114" s="13"/>
    </row>
    <row r="115" spans="1:10" x14ac:dyDescent="0.25">
      <c r="A115" s="10">
        <v>40238</v>
      </c>
      <c r="B115" s="12">
        <f t="shared" si="2"/>
        <v>3</v>
      </c>
      <c r="C115" s="12">
        <f t="shared" si="3"/>
        <v>2010</v>
      </c>
      <c r="D115" s="13">
        <f>AVERAGEIFS('Sunflower Prices'!F115:F5417,'Sunflower Prices'!B115:B5417,'Sunflower Monthly'!B115,'Sunflower Prices'!C115:C5417,'Sunflower Monthly'!C115)</f>
        <v>424.62901849647506</v>
      </c>
      <c r="E115" s="13"/>
      <c r="F115" s="13"/>
      <c r="G115" s="13"/>
      <c r="H115" s="13"/>
      <c r="I115" s="13"/>
      <c r="J115" s="13"/>
    </row>
    <row r="116" spans="1:10" x14ac:dyDescent="0.25">
      <c r="A116" s="10">
        <v>40269</v>
      </c>
      <c r="B116" s="12">
        <f t="shared" si="2"/>
        <v>4</v>
      </c>
      <c r="C116" s="12">
        <f t="shared" si="3"/>
        <v>2010</v>
      </c>
      <c r="D116" s="13">
        <f>AVERAGEIFS('Sunflower Prices'!F116:F5418,'Sunflower Prices'!B116:B5418,'Sunflower Monthly'!B116,'Sunflower Prices'!C116:C5418,'Sunflower Monthly'!C116)</f>
        <v>395.08657354764148</v>
      </c>
      <c r="E116" s="13"/>
      <c r="F116" s="13"/>
      <c r="G116" s="13"/>
      <c r="H116" s="13"/>
      <c r="I116" s="13"/>
      <c r="J116" s="13"/>
    </row>
    <row r="117" spans="1:10" x14ac:dyDescent="0.25">
      <c r="A117" s="10">
        <v>40299</v>
      </c>
      <c r="B117" s="12">
        <f t="shared" si="2"/>
        <v>5</v>
      </c>
      <c r="C117" s="12">
        <f t="shared" si="3"/>
        <v>2010</v>
      </c>
      <c r="D117" s="13">
        <f>AVERAGEIFS('Sunflower Prices'!F117:F5419,'Sunflower Prices'!B117:B5419,'Sunflower Monthly'!B117,'Sunflower Prices'!C117:C5419,'Sunflower Monthly'!C117)</f>
        <v>367.12582475581513</v>
      </c>
      <c r="E117" s="13"/>
      <c r="F117" s="13"/>
      <c r="G117" s="13"/>
      <c r="H117" s="13"/>
      <c r="I117" s="13"/>
      <c r="J117" s="13"/>
    </row>
    <row r="118" spans="1:10" x14ac:dyDescent="0.25">
      <c r="A118" s="10">
        <v>40330</v>
      </c>
      <c r="B118" s="12">
        <f t="shared" si="2"/>
        <v>6</v>
      </c>
      <c r="C118" s="12">
        <f t="shared" si="3"/>
        <v>2010</v>
      </c>
      <c r="D118" s="13">
        <f>AVERAGEIFS('Sunflower Prices'!F118:F5420,'Sunflower Prices'!B118:B5420,'Sunflower Monthly'!B118,'Sunflower Prices'!C118:C5420,'Sunflower Monthly'!C118)</f>
        <v>355.15266793237265</v>
      </c>
      <c r="E118" s="13"/>
      <c r="F118" s="13"/>
      <c r="G118" s="13"/>
      <c r="H118" s="13"/>
      <c r="I118" s="13"/>
      <c r="J118" s="13"/>
    </row>
    <row r="119" spans="1:10" x14ac:dyDescent="0.25">
      <c r="A119" s="10">
        <v>40360</v>
      </c>
      <c r="B119" s="12">
        <f t="shared" si="2"/>
        <v>7</v>
      </c>
      <c r="C119" s="12">
        <f t="shared" si="3"/>
        <v>2010</v>
      </c>
      <c r="D119" s="13">
        <f>AVERAGEIFS('Sunflower Prices'!F119:F5421,'Sunflower Prices'!B119:B5421,'Sunflower Monthly'!B119,'Sunflower Prices'!C119:C5421,'Sunflower Monthly'!C119)</f>
        <v>375.02801072973045</v>
      </c>
      <c r="E119" s="13"/>
      <c r="F119" s="13"/>
      <c r="G119" s="13"/>
      <c r="H119" s="13"/>
      <c r="I119" s="13"/>
      <c r="J119" s="13"/>
    </row>
    <row r="120" spans="1:10" x14ac:dyDescent="0.25">
      <c r="A120" s="10">
        <v>40391</v>
      </c>
      <c r="B120" s="12">
        <f t="shared" si="2"/>
        <v>8</v>
      </c>
      <c r="C120" s="12">
        <f t="shared" si="3"/>
        <v>2010</v>
      </c>
      <c r="D120" s="13">
        <f>AVERAGEIFS('Sunflower Prices'!F120:F5422,'Sunflower Prices'!B120:B5422,'Sunflower Monthly'!B120,'Sunflower Prices'!C120:C5422,'Sunflower Monthly'!C120)</f>
        <v>424.01478513511069</v>
      </c>
      <c r="E120" s="13"/>
      <c r="F120" s="13"/>
      <c r="G120" s="13"/>
      <c r="H120" s="13"/>
      <c r="I120" s="13"/>
      <c r="J120" s="13"/>
    </row>
    <row r="121" spans="1:10" x14ac:dyDescent="0.25">
      <c r="A121" s="10">
        <v>40422</v>
      </c>
      <c r="B121" s="12">
        <f t="shared" si="2"/>
        <v>9</v>
      </c>
      <c r="C121" s="12">
        <f t="shared" si="3"/>
        <v>2010</v>
      </c>
      <c r="D121" s="13">
        <f>AVERAGEIFS('Sunflower Prices'!F121:F5423,'Sunflower Prices'!B121:B5423,'Sunflower Monthly'!B121,'Sunflower Prices'!C121:C5423,'Sunflower Monthly'!C121)</f>
        <v>517.8925562662954</v>
      </c>
      <c r="E121" s="13"/>
      <c r="F121" s="13"/>
      <c r="G121" s="13"/>
      <c r="H121" s="13"/>
      <c r="I121" s="13"/>
      <c r="J121" s="13"/>
    </row>
    <row r="122" spans="1:10" x14ac:dyDescent="0.25">
      <c r="A122" s="10">
        <v>40452</v>
      </c>
      <c r="B122" s="12">
        <f t="shared" si="2"/>
        <v>10</v>
      </c>
      <c r="C122" s="12">
        <f t="shared" si="3"/>
        <v>2010</v>
      </c>
      <c r="D122" s="13">
        <f>AVERAGEIFS('Sunflower Prices'!F122:F5424,'Sunflower Prices'!B122:B5424,'Sunflower Monthly'!B122,'Sunflower Prices'!C122:C5424,'Sunflower Monthly'!C122)</f>
        <v>614.2308687879389</v>
      </c>
      <c r="E122" s="13"/>
      <c r="F122" s="13"/>
      <c r="G122" s="13"/>
      <c r="H122" s="13"/>
      <c r="I122" s="13"/>
      <c r="J122" s="13"/>
    </row>
    <row r="123" spans="1:10" x14ac:dyDescent="0.25">
      <c r="A123" s="10">
        <v>40483</v>
      </c>
      <c r="B123" s="12">
        <f t="shared" si="2"/>
        <v>11</v>
      </c>
      <c r="C123" s="12">
        <f t="shared" si="3"/>
        <v>2010</v>
      </c>
      <c r="D123" s="13">
        <f>AVERAGEIFS('Sunflower Prices'!F123:F5425,'Sunflower Prices'!B123:B5425,'Sunflower Monthly'!B123,'Sunflower Prices'!C123:C5425,'Sunflower Monthly'!C123)</f>
        <v>678.36155723940271</v>
      </c>
      <c r="E123" s="13"/>
      <c r="F123" s="13"/>
      <c r="G123" s="13"/>
      <c r="H123" s="13"/>
      <c r="I123" s="13"/>
      <c r="J123" s="13"/>
    </row>
    <row r="124" spans="1:10" x14ac:dyDescent="0.25">
      <c r="A124" s="10">
        <v>40513</v>
      </c>
      <c r="B124" s="12">
        <f t="shared" si="2"/>
        <v>12</v>
      </c>
      <c r="C124" s="12">
        <f t="shared" si="3"/>
        <v>2010</v>
      </c>
      <c r="D124" s="13">
        <f>AVERAGEIFS('Sunflower Prices'!F124:F5426,'Sunflower Prices'!B124:B5426,'Sunflower Monthly'!B124,'Sunflower Prices'!C124:C5426,'Sunflower Monthly'!C124)</f>
        <v>694.52433527852145</v>
      </c>
      <c r="E124" s="13"/>
      <c r="F124" s="13"/>
      <c r="G124" s="13"/>
      <c r="H124" s="13"/>
      <c r="I124" s="13"/>
      <c r="J124" s="13"/>
    </row>
    <row r="125" spans="1:10" x14ac:dyDescent="0.25">
      <c r="A125" s="10">
        <v>40544</v>
      </c>
      <c r="B125" s="12">
        <f t="shared" si="2"/>
        <v>1</v>
      </c>
      <c r="C125" s="12">
        <f t="shared" si="3"/>
        <v>2011</v>
      </c>
      <c r="D125" s="13">
        <f>AVERAGEIFS('Sunflower Prices'!F125:F5427,'Sunflower Prices'!B125:B5427,'Sunflower Monthly'!B125,'Sunflower Prices'!C125:C5427,'Sunflower Monthly'!C125)</f>
        <v>683.57680319947463</v>
      </c>
      <c r="E125" s="13"/>
      <c r="F125" s="13"/>
      <c r="G125" s="13"/>
      <c r="H125" s="13"/>
      <c r="I125" s="13"/>
      <c r="J125" s="13"/>
    </row>
    <row r="126" spans="1:10" x14ac:dyDescent="0.25">
      <c r="A126" s="10">
        <v>40575</v>
      </c>
      <c r="B126" s="12">
        <f t="shared" si="2"/>
        <v>2</v>
      </c>
      <c r="C126" s="12">
        <f t="shared" si="3"/>
        <v>2011</v>
      </c>
      <c r="D126" s="13">
        <f>AVERAGEIFS('Sunflower Prices'!F126:F5428,'Sunflower Prices'!B126:B5428,'Sunflower Monthly'!B126,'Sunflower Prices'!C126:C5428,'Sunflower Monthly'!C126)</f>
        <v>699.52162223959169</v>
      </c>
      <c r="E126" s="13"/>
      <c r="F126" s="13"/>
      <c r="G126" s="13"/>
      <c r="H126" s="13"/>
      <c r="I126" s="13"/>
      <c r="J126" s="13"/>
    </row>
    <row r="127" spans="1:10" x14ac:dyDescent="0.25">
      <c r="A127" s="10">
        <v>40603</v>
      </c>
      <c r="B127" s="12">
        <f t="shared" si="2"/>
        <v>3</v>
      </c>
      <c r="C127" s="12">
        <f t="shared" si="3"/>
        <v>2011</v>
      </c>
      <c r="D127" s="13">
        <f>AVERAGEIFS('Sunflower Prices'!F127:F5429,'Sunflower Prices'!B127:B5429,'Sunflower Monthly'!B127,'Sunflower Prices'!C127:C5429,'Sunflower Monthly'!C127)</f>
        <v>694.17044626470181</v>
      </c>
      <c r="E127" s="13"/>
      <c r="F127" s="13"/>
      <c r="G127" s="13"/>
      <c r="H127" s="13"/>
      <c r="I127" s="13"/>
      <c r="J127" s="13"/>
    </row>
    <row r="128" spans="1:10" x14ac:dyDescent="0.25">
      <c r="A128" s="10">
        <v>40634</v>
      </c>
      <c r="B128" s="12">
        <f t="shared" si="2"/>
        <v>4</v>
      </c>
      <c r="C128" s="12">
        <f t="shared" si="3"/>
        <v>2011</v>
      </c>
      <c r="D128" s="13">
        <f>AVERAGEIFS('Sunflower Prices'!F128:F5430,'Sunflower Prices'!B128:B5430,'Sunflower Monthly'!B128,'Sunflower Prices'!C128:C5430,'Sunflower Monthly'!C128)</f>
        <v>663.58124784695394</v>
      </c>
      <c r="E128" s="13"/>
      <c r="F128" s="13"/>
      <c r="G128" s="13"/>
      <c r="H128" s="13"/>
      <c r="I128" s="13"/>
      <c r="J128" s="13"/>
    </row>
    <row r="129" spans="1:10" x14ac:dyDescent="0.25">
      <c r="A129" s="10">
        <v>40664</v>
      </c>
      <c r="B129" s="12">
        <f t="shared" si="2"/>
        <v>5</v>
      </c>
      <c r="C129" s="12">
        <f t="shared" si="3"/>
        <v>2011</v>
      </c>
      <c r="D129" s="13">
        <f>AVERAGEIFS('Sunflower Prices'!F129:F5431,'Sunflower Prices'!B129:B5431,'Sunflower Monthly'!B129,'Sunflower Prices'!C129:C5431,'Sunflower Monthly'!C129)</f>
        <v>627.10850627565105</v>
      </c>
      <c r="E129" s="13"/>
      <c r="F129" s="13"/>
      <c r="G129" s="13"/>
      <c r="H129" s="13"/>
      <c r="I129" s="13"/>
      <c r="J129" s="13"/>
    </row>
    <row r="130" spans="1:10" x14ac:dyDescent="0.25">
      <c r="A130" s="10">
        <v>40695</v>
      </c>
      <c r="B130" s="12">
        <f t="shared" si="2"/>
        <v>6</v>
      </c>
      <c r="C130" s="12">
        <f t="shared" si="3"/>
        <v>2011</v>
      </c>
      <c r="D130" s="13">
        <f>AVERAGEIFS('Sunflower Prices'!F130:F5432,'Sunflower Prices'!B130:B5432,'Sunflower Monthly'!B130,'Sunflower Prices'!C130:C5432,'Sunflower Monthly'!C130)</f>
        <v>596.49335537472552</v>
      </c>
      <c r="E130" s="13"/>
      <c r="F130" s="13"/>
      <c r="G130" s="13"/>
      <c r="H130" s="13"/>
      <c r="I130" s="13"/>
      <c r="J130" s="13"/>
    </row>
    <row r="131" spans="1:10" x14ac:dyDescent="0.25">
      <c r="A131" s="10">
        <v>40725</v>
      </c>
      <c r="B131" s="12">
        <f t="shared" ref="B131:B194" si="4">MONTH(A131)</f>
        <v>7</v>
      </c>
      <c r="C131" s="12">
        <f t="shared" ref="C131:C194" si="5">YEAR(A131)</f>
        <v>2011</v>
      </c>
      <c r="D131" s="13">
        <f>AVERAGEIFS('Sunflower Prices'!F131:F5433,'Sunflower Prices'!B131:B5433,'Sunflower Monthly'!B131,'Sunflower Prices'!C131:C5433,'Sunflower Monthly'!C131)</f>
        <v>545.62124496815136</v>
      </c>
      <c r="E131" s="13"/>
      <c r="F131" s="13"/>
      <c r="G131" s="13"/>
      <c r="H131" s="13"/>
      <c r="I131" s="13"/>
      <c r="J131" s="13"/>
    </row>
    <row r="132" spans="1:10" x14ac:dyDescent="0.25">
      <c r="A132" s="10">
        <v>40756</v>
      </c>
      <c r="B132" s="12">
        <f t="shared" si="4"/>
        <v>8</v>
      </c>
      <c r="C132" s="12">
        <f t="shared" si="5"/>
        <v>2011</v>
      </c>
      <c r="D132" s="13"/>
      <c r="E132" s="13"/>
      <c r="F132" s="13"/>
      <c r="G132" s="13"/>
      <c r="H132" s="13"/>
      <c r="I132" s="13"/>
      <c r="J132" s="13"/>
    </row>
    <row r="133" spans="1:10" x14ac:dyDescent="0.25">
      <c r="A133" s="10">
        <v>40787</v>
      </c>
      <c r="B133" s="12">
        <f t="shared" si="4"/>
        <v>9</v>
      </c>
      <c r="C133" s="12">
        <f t="shared" si="5"/>
        <v>2011</v>
      </c>
      <c r="D133" s="13">
        <f>AVERAGEIFS('Sunflower Prices'!F133:F5435,'Sunflower Prices'!B133:B5435,'Sunflower Monthly'!B133,'Sunflower Prices'!C133:C5435,'Sunflower Monthly'!C133)</f>
        <v>393.63475690825049</v>
      </c>
      <c r="E133" s="13"/>
      <c r="F133" s="13"/>
      <c r="G133" s="13"/>
      <c r="H133" s="13"/>
      <c r="I133" s="13"/>
      <c r="J133" s="13"/>
    </row>
    <row r="134" spans="1:10" x14ac:dyDescent="0.25">
      <c r="A134" s="10">
        <v>40817</v>
      </c>
      <c r="B134" s="12">
        <f t="shared" si="4"/>
        <v>10</v>
      </c>
      <c r="C134" s="12">
        <f t="shared" si="5"/>
        <v>2011</v>
      </c>
      <c r="D134" s="13">
        <f>AVERAGEIFS('Sunflower Prices'!F134:F5436,'Sunflower Prices'!B134:B5436,'Sunflower Monthly'!B134,'Sunflower Prices'!C134:C5436,'Sunflower Monthly'!C134)</f>
        <v>355.60824267191526</v>
      </c>
      <c r="E134" s="13"/>
      <c r="F134" s="13"/>
      <c r="G134" s="13"/>
      <c r="H134" s="13"/>
      <c r="I134" s="13"/>
      <c r="J134" s="13"/>
    </row>
    <row r="135" spans="1:10" x14ac:dyDescent="0.25">
      <c r="A135" s="10">
        <v>40848</v>
      </c>
      <c r="B135" s="12">
        <f t="shared" si="4"/>
        <v>11</v>
      </c>
      <c r="C135" s="12">
        <f t="shared" si="5"/>
        <v>2011</v>
      </c>
      <c r="D135" s="13">
        <f>AVERAGEIFS('Sunflower Prices'!F135:F5437,'Sunflower Prices'!B135:B5437,'Sunflower Monthly'!B135,'Sunflower Prices'!C135:C5437,'Sunflower Monthly'!C135)</f>
        <v>342.05576150441885</v>
      </c>
      <c r="E135" s="13"/>
      <c r="F135" s="13"/>
      <c r="G135" s="13"/>
      <c r="H135" s="13"/>
      <c r="I135" s="13"/>
      <c r="J135" s="13"/>
    </row>
    <row r="136" spans="1:10" x14ac:dyDescent="0.25">
      <c r="A136" s="10">
        <v>40878</v>
      </c>
      <c r="B136" s="12">
        <f t="shared" si="4"/>
        <v>12</v>
      </c>
      <c r="C136" s="12">
        <f t="shared" si="5"/>
        <v>2011</v>
      </c>
      <c r="D136" s="13">
        <f>AVERAGEIFS('Sunflower Prices'!F136:F5438,'Sunflower Prices'!B136:B5438,'Sunflower Monthly'!B136,'Sunflower Prices'!C136:C5438,'Sunflower Monthly'!C136)</f>
        <v>367.81123186585495</v>
      </c>
      <c r="E136" s="13"/>
      <c r="F136" s="13"/>
      <c r="G136" s="13"/>
      <c r="H136" s="13"/>
      <c r="I136" s="13"/>
      <c r="J136" s="13"/>
    </row>
    <row r="137" spans="1:10" x14ac:dyDescent="0.25">
      <c r="A137" s="10">
        <v>40909</v>
      </c>
      <c r="B137" s="12">
        <f t="shared" si="4"/>
        <v>1</v>
      </c>
      <c r="C137" s="12">
        <f t="shared" si="5"/>
        <v>2012</v>
      </c>
      <c r="D137" s="13">
        <f>AVERAGEIFS('Sunflower Prices'!F137:F5439,'Sunflower Prices'!B137:B5439,'Sunflower Monthly'!B137,'Sunflower Prices'!C137:C5439,'Sunflower Monthly'!C137)</f>
        <v>395.77810393701827</v>
      </c>
      <c r="E137" s="13"/>
      <c r="F137" s="13"/>
      <c r="G137" s="13"/>
      <c r="H137" s="13"/>
      <c r="I137" s="13"/>
      <c r="J137" s="13"/>
    </row>
    <row r="138" spans="1:10" x14ac:dyDescent="0.25">
      <c r="A138" s="10">
        <v>40940</v>
      </c>
      <c r="B138" s="12">
        <f t="shared" si="4"/>
        <v>2</v>
      </c>
      <c r="C138" s="12">
        <f t="shared" si="5"/>
        <v>2012</v>
      </c>
      <c r="D138" s="13">
        <f>AVERAGEIFS('Sunflower Prices'!F138:F5440,'Sunflower Prices'!B138:B5440,'Sunflower Monthly'!B138,'Sunflower Prices'!C138:C5440,'Sunflower Monthly'!C138)</f>
        <v>406.54327634933333</v>
      </c>
      <c r="E138" s="13"/>
      <c r="F138" s="13"/>
      <c r="G138" s="13"/>
      <c r="H138" s="13"/>
      <c r="I138" s="13"/>
      <c r="J138" s="13"/>
    </row>
    <row r="139" spans="1:10" x14ac:dyDescent="0.25">
      <c r="A139" s="10">
        <v>40969</v>
      </c>
      <c r="B139" s="12">
        <f t="shared" si="4"/>
        <v>3</v>
      </c>
      <c r="C139" s="12">
        <f t="shared" si="5"/>
        <v>2012</v>
      </c>
      <c r="D139" s="13">
        <f>AVERAGEIFS('Sunflower Prices'!F139:F5441,'Sunflower Prices'!B139:B5441,'Sunflower Monthly'!B139,'Sunflower Prices'!C139:C5441,'Sunflower Monthly'!C139)</f>
        <v>415.97928697330701</v>
      </c>
      <c r="E139" s="13"/>
      <c r="F139" s="13"/>
      <c r="G139" s="13"/>
      <c r="H139" s="13"/>
      <c r="I139" s="13"/>
      <c r="J139" s="13"/>
    </row>
    <row r="140" spans="1:10" x14ac:dyDescent="0.25">
      <c r="A140" s="10">
        <v>41000</v>
      </c>
      <c r="B140" s="12">
        <f t="shared" si="4"/>
        <v>4</v>
      </c>
      <c r="C140" s="12">
        <f t="shared" si="5"/>
        <v>2012</v>
      </c>
      <c r="D140" s="13">
        <f>AVERAGEIFS('Sunflower Prices'!F140:F5442,'Sunflower Prices'!B140:B5442,'Sunflower Monthly'!B140,'Sunflower Prices'!C140:C5442,'Sunflower Monthly'!C140)</f>
        <v>438.44949935795415</v>
      </c>
      <c r="E140" s="13"/>
      <c r="F140" s="13"/>
      <c r="G140" s="13"/>
      <c r="H140" s="13"/>
      <c r="I140" s="13"/>
      <c r="J140" s="13"/>
    </row>
    <row r="141" spans="1:10" x14ac:dyDescent="0.25">
      <c r="A141" s="10">
        <v>41030</v>
      </c>
      <c r="B141" s="12">
        <f t="shared" si="4"/>
        <v>5</v>
      </c>
      <c r="C141" s="12">
        <f t="shared" si="5"/>
        <v>2012</v>
      </c>
      <c r="D141" s="13">
        <f>AVERAGEIFS('Sunflower Prices'!F141:F5443,'Sunflower Prices'!B141:B5443,'Sunflower Monthly'!B141,'Sunflower Prices'!C141:C5443,'Sunflower Monthly'!C141)</f>
        <v>468.04600853356925</v>
      </c>
      <c r="E141" s="13"/>
      <c r="F141" s="13"/>
      <c r="G141" s="13"/>
      <c r="H141" s="13"/>
      <c r="I141" s="13"/>
      <c r="J141" s="13"/>
    </row>
    <row r="142" spans="1:10" x14ac:dyDescent="0.25">
      <c r="A142" s="10">
        <v>41061</v>
      </c>
      <c r="B142" s="12">
        <f t="shared" si="4"/>
        <v>6</v>
      </c>
      <c r="C142" s="12">
        <f t="shared" si="5"/>
        <v>2012</v>
      </c>
      <c r="D142" s="13">
        <f>AVERAGEIFS('Sunflower Prices'!F142:F5444,'Sunflower Prices'!B142:B5444,'Sunflower Monthly'!B142,'Sunflower Prices'!C142:C5444,'Sunflower Monthly'!C142)</f>
        <v>470.03166315482855</v>
      </c>
      <c r="E142" s="13"/>
      <c r="F142" s="13"/>
      <c r="G142" s="13"/>
      <c r="H142" s="13"/>
      <c r="I142" s="13"/>
      <c r="J142" s="13"/>
    </row>
    <row r="143" spans="1:10" x14ac:dyDescent="0.25">
      <c r="A143" s="10">
        <v>41091</v>
      </c>
      <c r="B143" s="12">
        <f t="shared" si="4"/>
        <v>7</v>
      </c>
      <c r="C143" s="12">
        <f t="shared" si="5"/>
        <v>2012</v>
      </c>
      <c r="D143" s="13">
        <f>AVERAGEIFS('Sunflower Prices'!F143:F5445,'Sunflower Prices'!B143:B5445,'Sunflower Monthly'!B143,'Sunflower Prices'!C143:C5445,'Sunflower Monthly'!C143)</f>
        <v>435.24676010178251</v>
      </c>
      <c r="E143" s="13"/>
      <c r="F143" s="13"/>
      <c r="G143" s="13"/>
      <c r="H143" s="13"/>
      <c r="I143" s="13"/>
      <c r="J143" s="13"/>
    </row>
    <row r="144" spans="1:10" x14ac:dyDescent="0.25">
      <c r="A144" s="10">
        <v>41122</v>
      </c>
      <c r="B144" s="12">
        <f t="shared" si="4"/>
        <v>8</v>
      </c>
      <c r="C144" s="12">
        <f t="shared" si="5"/>
        <v>2012</v>
      </c>
      <c r="D144" s="13">
        <f>AVERAGEIFS('Sunflower Prices'!F144:F5446,'Sunflower Prices'!B144:B5446,'Sunflower Monthly'!B144,'Sunflower Prices'!C144:C5446,'Sunflower Monthly'!C144)</f>
        <v>497.32827063972388</v>
      </c>
      <c r="E144" s="13"/>
      <c r="F144" s="13"/>
      <c r="G144" s="13"/>
      <c r="H144" s="13"/>
      <c r="I144" s="13"/>
      <c r="J144" s="13"/>
    </row>
    <row r="145" spans="1:10" x14ac:dyDescent="0.25">
      <c r="A145" s="10">
        <v>41153</v>
      </c>
      <c r="B145" s="12">
        <f t="shared" si="4"/>
        <v>9</v>
      </c>
      <c r="C145" s="12">
        <f t="shared" si="5"/>
        <v>2012</v>
      </c>
      <c r="D145" s="13">
        <f>AVERAGEIFS('Sunflower Prices'!F145:F5447,'Sunflower Prices'!B145:B5447,'Sunflower Monthly'!B145,'Sunflower Prices'!C145:C5447,'Sunflower Monthly'!C145)</f>
        <v>582.87821552449088</v>
      </c>
      <c r="E145" s="13"/>
      <c r="F145" s="13"/>
      <c r="G145" s="13"/>
      <c r="H145" s="13"/>
      <c r="I145" s="13"/>
      <c r="J145" s="13"/>
    </row>
    <row r="146" spans="1:10" x14ac:dyDescent="0.25">
      <c r="A146" s="10">
        <v>41183</v>
      </c>
      <c r="B146" s="12">
        <f t="shared" si="4"/>
        <v>10</v>
      </c>
      <c r="C146" s="12">
        <f t="shared" si="5"/>
        <v>2012</v>
      </c>
      <c r="D146" s="13">
        <f>AVERAGEIFS('Sunflower Prices'!F146:F5448,'Sunflower Prices'!B146:B5448,'Sunflower Monthly'!B146,'Sunflower Prices'!C146:C5448,'Sunflower Monthly'!C146)</f>
        <v>565.89230697918379</v>
      </c>
      <c r="E146" s="13"/>
      <c r="F146" s="13"/>
      <c r="G146" s="13"/>
      <c r="H146" s="13"/>
      <c r="I146" s="13"/>
      <c r="J146" s="13"/>
    </row>
    <row r="147" spans="1:10" x14ac:dyDescent="0.25">
      <c r="A147" s="10">
        <v>41214</v>
      </c>
      <c r="B147" s="12">
        <f t="shared" si="4"/>
        <v>11</v>
      </c>
      <c r="C147" s="12">
        <f t="shared" si="5"/>
        <v>2012</v>
      </c>
      <c r="D147" s="13">
        <f>AVERAGEIFS('Sunflower Prices'!F147:F5449,'Sunflower Prices'!B147:B5449,'Sunflower Monthly'!B147,'Sunflower Prices'!C147:C5449,'Sunflower Monthly'!C147)</f>
        <v>544.0874002077868</v>
      </c>
      <c r="E147" s="13"/>
      <c r="F147" s="13"/>
      <c r="G147" s="13"/>
      <c r="H147" s="13"/>
      <c r="I147" s="13"/>
      <c r="J147" s="13"/>
    </row>
    <row r="148" spans="1:10" x14ac:dyDescent="0.25">
      <c r="A148" s="10">
        <v>41244</v>
      </c>
      <c r="B148" s="12">
        <f t="shared" si="4"/>
        <v>12</v>
      </c>
      <c r="C148" s="12">
        <f t="shared" si="5"/>
        <v>2012</v>
      </c>
      <c r="D148" s="13">
        <f>AVERAGEIFS('Sunflower Prices'!F148:F5450,'Sunflower Prices'!B148:B5450,'Sunflower Monthly'!B148,'Sunflower Prices'!C148:C5450,'Sunflower Monthly'!C148)</f>
        <v>558.79640907133239</v>
      </c>
      <c r="E148" s="13"/>
      <c r="F148" s="13"/>
      <c r="G148" s="13"/>
      <c r="H148" s="13"/>
      <c r="I148" s="13"/>
      <c r="J148" s="13"/>
    </row>
    <row r="149" spans="1:10" x14ac:dyDescent="0.25">
      <c r="A149" s="10">
        <v>41275</v>
      </c>
      <c r="B149" s="12">
        <f t="shared" si="4"/>
        <v>1</v>
      </c>
      <c r="C149" s="12">
        <f t="shared" si="5"/>
        <v>2013</v>
      </c>
      <c r="D149" s="13">
        <f>AVERAGEIFS('Sunflower Prices'!F149:F5451,'Sunflower Prices'!B149:B5451,'Sunflower Monthly'!B149,'Sunflower Prices'!C149:C5451,'Sunflower Monthly'!C149)</f>
        <v>572.6275615308034</v>
      </c>
      <c r="E149" s="13"/>
      <c r="F149" s="13"/>
      <c r="G149" s="13"/>
      <c r="H149" s="13"/>
      <c r="I149" s="13"/>
      <c r="J149" s="13"/>
    </row>
    <row r="150" spans="1:10" x14ac:dyDescent="0.25">
      <c r="A150" s="10">
        <v>41306</v>
      </c>
      <c r="B150" s="12">
        <f t="shared" si="4"/>
        <v>2</v>
      </c>
      <c r="C150" s="12">
        <f t="shared" si="5"/>
        <v>2013</v>
      </c>
      <c r="D150" s="13">
        <f>AVERAGEIFS('Sunflower Prices'!F150:F5452,'Sunflower Prices'!B150:B5452,'Sunflower Monthly'!B150,'Sunflower Prices'!C150:C5452,'Sunflower Monthly'!C150)</f>
        <v>557.99378539274392</v>
      </c>
      <c r="E150" s="13"/>
      <c r="F150" s="13"/>
      <c r="G150" s="13"/>
      <c r="H150" s="13"/>
      <c r="I150" s="13"/>
      <c r="J150" s="13"/>
    </row>
    <row r="151" spans="1:10" x14ac:dyDescent="0.25">
      <c r="A151" s="10">
        <v>41334</v>
      </c>
      <c r="B151" s="12">
        <f t="shared" si="4"/>
        <v>3</v>
      </c>
      <c r="C151" s="12">
        <f t="shared" si="5"/>
        <v>2013</v>
      </c>
      <c r="D151" s="13">
        <f>AVERAGEIFS('Sunflower Prices'!F151:F5453,'Sunflower Prices'!B151:B5453,'Sunflower Monthly'!B151,'Sunflower Prices'!C151:C5453,'Sunflower Monthly'!C151)</f>
        <v>539.50087457049494</v>
      </c>
      <c r="E151" s="13"/>
      <c r="F151" s="13"/>
      <c r="G151" s="13"/>
      <c r="H151" s="13"/>
      <c r="I151" s="13"/>
      <c r="J151" s="13"/>
    </row>
    <row r="152" spans="1:10" x14ac:dyDescent="0.25">
      <c r="A152" s="10">
        <v>41365</v>
      </c>
      <c r="B152" s="12">
        <f t="shared" si="4"/>
        <v>4</v>
      </c>
      <c r="C152" s="12">
        <f t="shared" si="5"/>
        <v>2013</v>
      </c>
      <c r="D152" s="13">
        <f>AVERAGEIFS('Sunflower Prices'!F152:F5454,'Sunflower Prices'!B152:B5454,'Sunflower Monthly'!B152,'Sunflower Prices'!C152:C5454,'Sunflower Monthly'!C152)</f>
        <v>519.66199249007252</v>
      </c>
      <c r="E152" s="13"/>
      <c r="F152" s="13"/>
      <c r="G152" s="13"/>
      <c r="H152" s="13"/>
      <c r="I152" s="13"/>
      <c r="J152" s="13"/>
    </row>
    <row r="153" spans="1:10" x14ac:dyDescent="0.25">
      <c r="A153" s="10">
        <v>41395</v>
      </c>
      <c r="B153" s="12">
        <f t="shared" si="4"/>
        <v>5</v>
      </c>
      <c r="C153" s="12">
        <f t="shared" si="5"/>
        <v>2013</v>
      </c>
      <c r="D153" s="13">
        <f>AVERAGEIFS('Sunflower Prices'!F153:F5455,'Sunflower Prices'!B153:B5455,'Sunflower Monthly'!B153,'Sunflower Prices'!C153:C5455,'Sunflower Monthly'!C153)</f>
        <v>507.11998352269813</v>
      </c>
      <c r="E153" s="13"/>
      <c r="F153" s="13"/>
      <c r="G153" s="13"/>
      <c r="H153" s="13"/>
      <c r="I153" s="13"/>
      <c r="J153" s="13"/>
    </row>
    <row r="154" spans="1:10" x14ac:dyDescent="0.25">
      <c r="A154" s="10">
        <v>41426</v>
      </c>
      <c r="B154" s="12">
        <f t="shared" si="4"/>
        <v>6</v>
      </c>
      <c r="C154" s="12">
        <f t="shared" si="5"/>
        <v>2013</v>
      </c>
      <c r="D154" s="13">
        <f>AVERAGEIFS('Sunflower Prices'!F154:F5456,'Sunflower Prices'!B154:B5456,'Sunflower Monthly'!B154,'Sunflower Prices'!C154:C5456,'Sunflower Monthly'!C154)</f>
        <v>496.60380956128705</v>
      </c>
      <c r="E154" s="13"/>
      <c r="F154" s="13"/>
      <c r="G154" s="13"/>
      <c r="H154" s="13"/>
      <c r="I154" s="13"/>
      <c r="J154" s="13"/>
    </row>
    <row r="155" spans="1:10" x14ac:dyDescent="0.25">
      <c r="A155" s="10">
        <v>41456</v>
      </c>
      <c r="B155" s="12">
        <f t="shared" si="4"/>
        <v>7</v>
      </c>
      <c r="C155" s="12">
        <f t="shared" si="5"/>
        <v>2013</v>
      </c>
      <c r="D155" s="13">
        <f>AVERAGEIFS('Sunflower Prices'!F155:F5457,'Sunflower Prices'!B155:B5457,'Sunflower Monthly'!B155,'Sunflower Prices'!C155:C5457,'Sunflower Monthly'!C155)</f>
        <v>488.02087851097235</v>
      </c>
      <c r="E155" s="13"/>
      <c r="F155" s="13"/>
      <c r="G155" s="13"/>
      <c r="H155" s="13"/>
      <c r="I155" s="13"/>
      <c r="J155" s="13"/>
    </row>
    <row r="156" spans="1:10" x14ac:dyDescent="0.25">
      <c r="A156" s="10">
        <v>41487</v>
      </c>
      <c r="B156" s="12">
        <f t="shared" si="4"/>
        <v>8</v>
      </c>
      <c r="C156" s="12">
        <f t="shared" si="5"/>
        <v>2013</v>
      </c>
      <c r="D156" s="13"/>
      <c r="E156" s="13"/>
      <c r="F156" s="13"/>
      <c r="G156" s="13"/>
      <c r="H156" s="13"/>
      <c r="I156" s="13"/>
      <c r="J156" s="13"/>
    </row>
    <row r="157" spans="1:10" x14ac:dyDescent="0.25">
      <c r="A157" s="10">
        <v>41518</v>
      </c>
      <c r="B157" s="12">
        <f t="shared" si="4"/>
        <v>9</v>
      </c>
      <c r="C157" s="12">
        <f t="shared" si="5"/>
        <v>2013</v>
      </c>
      <c r="D157" s="13">
        <f>AVERAGEIFS('Sunflower Prices'!F157:F5459,'Sunflower Prices'!B157:B5459,'Sunflower Monthly'!B157,'Sunflower Prices'!C157:C5459,'Sunflower Monthly'!C157)</f>
        <v>352.23859534144793</v>
      </c>
      <c r="E157" s="13"/>
      <c r="F157" s="13"/>
      <c r="G157" s="13"/>
      <c r="H157" s="13"/>
      <c r="I157" s="13"/>
      <c r="J157" s="13"/>
    </row>
    <row r="158" spans="1:10" x14ac:dyDescent="0.25">
      <c r="A158" s="10">
        <v>41548</v>
      </c>
      <c r="B158" s="12">
        <f t="shared" si="4"/>
        <v>10</v>
      </c>
      <c r="C158" s="12">
        <f t="shared" si="5"/>
        <v>2013</v>
      </c>
      <c r="D158" s="13">
        <f>AVERAGEIFS('Sunflower Prices'!F158:F5460,'Sunflower Prices'!B158:B5460,'Sunflower Monthly'!B158,'Sunflower Prices'!C158:C5460,'Sunflower Monthly'!C158)</f>
        <v>345.19917661180415</v>
      </c>
      <c r="E158" s="13"/>
      <c r="F158" s="13"/>
      <c r="G158" s="13"/>
      <c r="H158" s="13"/>
      <c r="I158" s="13"/>
      <c r="J158" s="13"/>
    </row>
    <row r="159" spans="1:10" x14ac:dyDescent="0.25">
      <c r="A159" s="10">
        <v>41579</v>
      </c>
      <c r="B159" s="12">
        <f t="shared" si="4"/>
        <v>11</v>
      </c>
      <c r="C159" s="12">
        <f t="shared" si="5"/>
        <v>2013</v>
      </c>
      <c r="D159" s="13">
        <f>AVERAGEIFS('Sunflower Prices'!F159:F5461,'Sunflower Prices'!B159:B5461,'Sunflower Monthly'!B159,'Sunflower Prices'!C159:C5461,'Sunflower Monthly'!C159)</f>
        <v>324.88618649751544</v>
      </c>
      <c r="E159" s="13"/>
      <c r="F159" s="13"/>
      <c r="G159" s="13"/>
      <c r="H159" s="13"/>
      <c r="I159" s="13"/>
      <c r="J159" s="13"/>
    </row>
    <row r="160" spans="1:10" x14ac:dyDescent="0.25">
      <c r="A160" s="10">
        <v>41609</v>
      </c>
      <c r="B160" s="12">
        <f t="shared" si="4"/>
        <v>12</v>
      </c>
      <c r="C160" s="12">
        <f t="shared" si="5"/>
        <v>2013</v>
      </c>
      <c r="D160" s="13">
        <f>AVERAGEIFS('Sunflower Prices'!F160:F5462,'Sunflower Prices'!B160:B5462,'Sunflower Monthly'!B160,'Sunflower Prices'!C160:C5462,'Sunflower Monthly'!C160)</f>
        <v>345.58633032478411</v>
      </c>
      <c r="E160" s="13"/>
      <c r="F160" s="13"/>
      <c r="G160" s="13"/>
      <c r="H160" s="13"/>
      <c r="I160" s="13"/>
      <c r="J160" s="13"/>
    </row>
    <row r="161" spans="1:10" x14ac:dyDescent="0.25">
      <c r="A161" s="10">
        <v>41640</v>
      </c>
      <c r="B161" s="12">
        <f t="shared" si="4"/>
        <v>1</v>
      </c>
      <c r="C161" s="12">
        <f t="shared" si="5"/>
        <v>2014</v>
      </c>
      <c r="D161" s="13">
        <f>AVERAGEIFS('Sunflower Prices'!F161:F5463,'Sunflower Prices'!B161:B5463,'Sunflower Monthly'!B161,'Sunflower Prices'!C161:C5463,'Sunflower Monthly'!C161)</f>
        <v>328.4054094820566</v>
      </c>
      <c r="E161" s="13"/>
      <c r="F161" s="13"/>
      <c r="G161" s="13"/>
      <c r="H161" s="13"/>
      <c r="I161" s="13"/>
      <c r="J161" s="13"/>
    </row>
    <row r="162" spans="1:10" x14ac:dyDescent="0.25">
      <c r="A162" s="10">
        <v>41671</v>
      </c>
      <c r="B162" s="12">
        <f t="shared" si="4"/>
        <v>2</v>
      </c>
      <c r="C162" s="12">
        <f t="shared" si="5"/>
        <v>2014</v>
      </c>
      <c r="D162" s="13">
        <f>AVERAGEIFS('Sunflower Prices'!F162:F5464,'Sunflower Prices'!B162:B5464,'Sunflower Monthly'!B162,'Sunflower Prices'!C162:C5464,'Sunflower Monthly'!C162)</f>
        <v>325.98716585723065</v>
      </c>
      <c r="E162" s="13"/>
      <c r="F162" s="13"/>
      <c r="G162" s="13"/>
      <c r="H162" s="13"/>
      <c r="I162" s="13"/>
      <c r="J162" s="13"/>
    </row>
    <row r="163" spans="1:10" x14ac:dyDescent="0.25">
      <c r="A163" s="10">
        <v>41699</v>
      </c>
      <c r="B163" s="12">
        <f t="shared" si="4"/>
        <v>3</v>
      </c>
      <c r="C163" s="12">
        <f t="shared" si="5"/>
        <v>2014</v>
      </c>
      <c r="D163" s="13">
        <f>AVERAGEIFS('Sunflower Prices'!F163:F5465,'Sunflower Prices'!B163:B5465,'Sunflower Monthly'!B163,'Sunflower Prices'!C163:C5465,'Sunflower Monthly'!C163)</f>
        <v>358.09979464835101</v>
      </c>
      <c r="E163" s="13"/>
      <c r="F163" s="13"/>
      <c r="G163" s="13"/>
      <c r="H163" s="13"/>
      <c r="I163" s="13"/>
      <c r="J163" s="13"/>
    </row>
    <row r="164" spans="1:10" x14ac:dyDescent="0.25">
      <c r="A164" s="10">
        <v>41730</v>
      </c>
      <c r="B164" s="12">
        <f t="shared" si="4"/>
        <v>4</v>
      </c>
      <c r="C164" s="12">
        <f t="shared" si="5"/>
        <v>2014</v>
      </c>
      <c r="D164" s="13">
        <f>AVERAGEIFS('Sunflower Prices'!F164:F5466,'Sunflower Prices'!B164:B5466,'Sunflower Monthly'!B164,'Sunflower Prices'!C164:C5466,'Sunflower Monthly'!C164)</f>
        <v>384.94928495122991</v>
      </c>
      <c r="E164" s="13"/>
      <c r="F164" s="13"/>
      <c r="G164" s="13"/>
      <c r="H164" s="13"/>
      <c r="I164" s="13"/>
      <c r="J164" s="13"/>
    </row>
    <row r="165" spans="1:10" x14ac:dyDescent="0.25">
      <c r="A165" s="10">
        <v>41760</v>
      </c>
      <c r="B165" s="12">
        <f t="shared" si="4"/>
        <v>5</v>
      </c>
      <c r="C165" s="12">
        <f t="shared" si="5"/>
        <v>2014</v>
      </c>
      <c r="D165" s="13">
        <f>AVERAGEIFS('Sunflower Prices'!F165:F5467,'Sunflower Prices'!B165:B5467,'Sunflower Monthly'!B165,'Sunflower Prices'!C165:C5467,'Sunflower Monthly'!C165)</f>
        <v>404.1428668256022</v>
      </c>
      <c r="E165" s="13"/>
      <c r="F165" s="13"/>
      <c r="G165" s="13"/>
      <c r="H165" s="13"/>
      <c r="I165" s="13"/>
      <c r="J165" s="13"/>
    </row>
    <row r="166" spans="1:10" x14ac:dyDescent="0.25">
      <c r="A166" s="10">
        <v>41791</v>
      </c>
      <c r="B166" s="12">
        <f t="shared" si="4"/>
        <v>6</v>
      </c>
      <c r="C166" s="12">
        <f t="shared" si="5"/>
        <v>2014</v>
      </c>
      <c r="D166" s="13">
        <f>AVERAGEIFS('Sunflower Prices'!F166:F5468,'Sunflower Prices'!B166:B5468,'Sunflower Monthly'!B166,'Sunflower Prices'!C166:C5468,'Sunflower Monthly'!C166)</f>
        <v>408.99587326410324</v>
      </c>
      <c r="E166" s="13"/>
      <c r="F166" s="13"/>
      <c r="G166" s="13"/>
      <c r="H166" s="13"/>
      <c r="I166" s="13"/>
      <c r="J166" s="13"/>
    </row>
    <row r="167" spans="1:10" x14ac:dyDescent="0.25">
      <c r="A167" s="10">
        <v>41821</v>
      </c>
      <c r="B167" s="12">
        <f t="shared" si="4"/>
        <v>7</v>
      </c>
      <c r="C167" s="12">
        <f t="shared" si="5"/>
        <v>2014</v>
      </c>
      <c r="D167" s="13">
        <f>AVERAGEIFS('Sunflower Prices'!F167:F5469,'Sunflower Prices'!B167:B5469,'Sunflower Monthly'!B167,'Sunflower Prices'!C167:C5469,'Sunflower Monthly'!C167)</f>
        <v>397.65482240658434</v>
      </c>
      <c r="E167" s="13"/>
      <c r="F167" s="13"/>
      <c r="G167" s="13"/>
      <c r="H167" s="13"/>
      <c r="I167" s="13"/>
      <c r="J167" s="13"/>
    </row>
    <row r="168" spans="1:10" x14ac:dyDescent="0.25">
      <c r="A168" s="10">
        <v>41852</v>
      </c>
      <c r="B168" s="12">
        <f t="shared" si="4"/>
        <v>8</v>
      </c>
      <c r="C168" s="12">
        <f t="shared" si="5"/>
        <v>2014</v>
      </c>
      <c r="D168" s="13"/>
      <c r="E168" s="13"/>
      <c r="F168" s="13"/>
      <c r="G168" s="13"/>
      <c r="H168" s="13"/>
      <c r="I168" s="13"/>
      <c r="J168" s="13"/>
    </row>
    <row r="169" spans="1:10" x14ac:dyDescent="0.25">
      <c r="A169" s="10">
        <v>41883</v>
      </c>
      <c r="B169" s="12">
        <f t="shared" si="4"/>
        <v>9</v>
      </c>
      <c r="C169" s="12">
        <f t="shared" si="5"/>
        <v>2014</v>
      </c>
      <c r="D169" s="13">
        <f>AVERAGEIFS('Sunflower Prices'!F169:F5471,'Sunflower Prices'!B169:B5471,'Sunflower Monthly'!B169,'Sunflower Prices'!C169:C5471,'Sunflower Monthly'!C169)</f>
        <v>313.34123995673963</v>
      </c>
      <c r="E169" s="13"/>
      <c r="F169" s="13"/>
      <c r="G169" s="13"/>
      <c r="H169" s="13"/>
      <c r="I169" s="13"/>
      <c r="J169" s="13"/>
    </row>
    <row r="170" spans="1:10" x14ac:dyDescent="0.25">
      <c r="A170" s="10">
        <v>41913</v>
      </c>
      <c r="B170" s="12">
        <f t="shared" si="4"/>
        <v>10</v>
      </c>
      <c r="C170" s="12">
        <f t="shared" si="5"/>
        <v>2014</v>
      </c>
      <c r="D170" s="13">
        <f>AVERAGEIFS('Sunflower Prices'!F170:F5472,'Sunflower Prices'!B170:B5472,'Sunflower Monthly'!B170,'Sunflower Prices'!C170:C5472,'Sunflower Monthly'!C170)</f>
        <v>331.34510610242165</v>
      </c>
      <c r="E170" s="13"/>
      <c r="F170" s="13"/>
      <c r="G170" s="13"/>
      <c r="H170" s="13"/>
      <c r="I170" s="13"/>
      <c r="J170" s="13"/>
    </row>
    <row r="171" spans="1:10" x14ac:dyDescent="0.25">
      <c r="A171" s="10">
        <v>41944</v>
      </c>
      <c r="B171" s="12">
        <f t="shared" si="4"/>
        <v>11</v>
      </c>
      <c r="C171" s="12">
        <f t="shared" si="5"/>
        <v>2014</v>
      </c>
      <c r="D171" s="13">
        <f>AVERAGEIFS('Sunflower Prices'!F171:F5473,'Sunflower Prices'!B171:B5473,'Sunflower Monthly'!B171,'Sunflower Prices'!C171:C5473,'Sunflower Monthly'!C171)</f>
        <v>366.08491657428306</v>
      </c>
      <c r="E171" s="13"/>
      <c r="F171" s="13"/>
      <c r="G171" s="13"/>
      <c r="H171" s="13"/>
      <c r="I171" s="13"/>
      <c r="J171" s="13"/>
    </row>
    <row r="172" spans="1:10" x14ac:dyDescent="0.25">
      <c r="A172" s="10">
        <v>41974</v>
      </c>
      <c r="B172" s="12">
        <f t="shared" si="4"/>
        <v>12</v>
      </c>
      <c r="C172" s="12">
        <f t="shared" si="5"/>
        <v>2014</v>
      </c>
      <c r="D172" s="13">
        <f>AVERAGEIFS('Sunflower Prices'!F172:F5474,'Sunflower Prices'!B172:B5474,'Sunflower Monthly'!B172,'Sunflower Prices'!C172:C5474,'Sunflower Monthly'!C172)</f>
        <v>353.0119390138222</v>
      </c>
      <c r="E172" s="13"/>
      <c r="F172" s="13"/>
      <c r="G172" s="13"/>
      <c r="H172" s="13"/>
      <c r="I172" s="13"/>
      <c r="J172" s="13"/>
    </row>
    <row r="173" spans="1:10" x14ac:dyDescent="0.25">
      <c r="A173" s="10">
        <v>42005</v>
      </c>
      <c r="B173" s="12">
        <f t="shared" si="4"/>
        <v>1</v>
      </c>
      <c r="C173" s="12">
        <f t="shared" si="5"/>
        <v>2015</v>
      </c>
      <c r="D173" s="13">
        <f>AVERAGEIFS('Sunflower Prices'!F173:F5475,'Sunflower Prices'!B173:B5475,'Sunflower Monthly'!B173,'Sunflower Prices'!C173:C5475,'Sunflower Monthly'!C173)</f>
        <v>322.85183726212091</v>
      </c>
      <c r="E173" s="13"/>
      <c r="F173" s="13"/>
      <c r="G173" s="13"/>
      <c r="H173" s="13"/>
      <c r="I173" s="13"/>
      <c r="J173" s="13"/>
    </row>
    <row r="174" spans="1:10" x14ac:dyDescent="0.25">
      <c r="A174" s="10">
        <v>42036</v>
      </c>
      <c r="B174" s="12">
        <f t="shared" si="4"/>
        <v>2</v>
      </c>
      <c r="C174" s="12">
        <f t="shared" si="5"/>
        <v>2015</v>
      </c>
      <c r="D174" s="13">
        <f>AVERAGEIFS('Sunflower Prices'!F174:F5476,'Sunflower Prices'!B174:B5476,'Sunflower Monthly'!B174,'Sunflower Prices'!C174:C5476,'Sunflower Monthly'!C174)</f>
        <v>345.7229915238064</v>
      </c>
      <c r="E174" s="13"/>
      <c r="F174" s="13"/>
      <c r="G174" s="13"/>
      <c r="H174" s="13"/>
      <c r="I174" s="13"/>
      <c r="J174" s="13"/>
    </row>
    <row r="175" spans="1:10" x14ac:dyDescent="0.25">
      <c r="A175" s="10">
        <v>42064</v>
      </c>
      <c r="B175" s="12">
        <f t="shared" si="4"/>
        <v>3</v>
      </c>
      <c r="C175" s="12">
        <f t="shared" si="5"/>
        <v>2015</v>
      </c>
      <c r="D175" s="13">
        <f>AVERAGEIFS('Sunflower Prices'!F175:F5477,'Sunflower Prices'!B175:B5477,'Sunflower Monthly'!B175,'Sunflower Prices'!C175:C5477,'Sunflower Monthly'!C175)</f>
        <v>361.14035466622164</v>
      </c>
      <c r="E175" s="13"/>
      <c r="F175" s="13"/>
      <c r="G175" s="13"/>
      <c r="H175" s="13"/>
      <c r="I175" s="13"/>
      <c r="J175" s="13"/>
    </row>
    <row r="176" spans="1:10" x14ac:dyDescent="0.25">
      <c r="A176" s="10">
        <v>42095</v>
      </c>
      <c r="B176" s="12">
        <f t="shared" si="4"/>
        <v>4</v>
      </c>
      <c r="C176" s="12">
        <f t="shared" si="5"/>
        <v>2015</v>
      </c>
      <c r="D176" s="13">
        <f>AVERAGEIFS('Sunflower Prices'!F176:F5478,'Sunflower Prices'!B176:B5478,'Sunflower Monthly'!B176,'Sunflower Prices'!C176:C5478,'Sunflower Monthly'!C176)</f>
        <v>398.63382632142498</v>
      </c>
      <c r="E176" s="13"/>
      <c r="F176" s="13"/>
      <c r="G176" s="13"/>
      <c r="H176" s="13"/>
      <c r="I176" s="13"/>
      <c r="J176" s="13"/>
    </row>
    <row r="177" spans="1:10" x14ac:dyDescent="0.25">
      <c r="A177" s="10">
        <v>42125</v>
      </c>
      <c r="B177" s="12">
        <f t="shared" si="4"/>
        <v>5</v>
      </c>
      <c r="C177" s="12">
        <f t="shared" si="5"/>
        <v>2015</v>
      </c>
      <c r="D177" s="13">
        <f>AVERAGEIFS('Sunflower Prices'!F177:F5479,'Sunflower Prices'!B177:B5479,'Sunflower Monthly'!B177,'Sunflower Prices'!C177:C5479,'Sunflower Monthly'!C177)</f>
        <v>405.67834944173319</v>
      </c>
      <c r="E177" s="13"/>
      <c r="F177" s="13"/>
      <c r="G177" s="13"/>
      <c r="H177" s="13"/>
      <c r="I177" s="13"/>
      <c r="J177" s="13"/>
    </row>
    <row r="178" spans="1:10" x14ac:dyDescent="0.25">
      <c r="A178" s="10">
        <v>42156</v>
      </c>
      <c r="B178" s="12">
        <f t="shared" si="4"/>
        <v>6</v>
      </c>
      <c r="C178" s="12">
        <f t="shared" si="5"/>
        <v>2015</v>
      </c>
      <c r="D178" s="13">
        <f>AVERAGEIFS('Sunflower Prices'!F178:F5480,'Sunflower Prices'!B178:B5480,'Sunflower Monthly'!B178,'Sunflower Prices'!C178:C5480,'Sunflower Monthly'!C178)</f>
        <v>404.01527789033202</v>
      </c>
      <c r="E178" s="13"/>
      <c r="F178" s="13"/>
      <c r="G178" s="13"/>
      <c r="H178" s="13"/>
      <c r="I178" s="13"/>
      <c r="J178" s="13"/>
    </row>
    <row r="179" spans="1:10" x14ac:dyDescent="0.25">
      <c r="A179" s="10">
        <v>42186</v>
      </c>
      <c r="B179" s="12">
        <f t="shared" si="4"/>
        <v>7</v>
      </c>
      <c r="C179" s="12">
        <f t="shared" si="5"/>
        <v>2015</v>
      </c>
      <c r="D179" s="13"/>
      <c r="E179" s="13"/>
      <c r="F179" s="13"/>
      <c r="G179" s="13"/>
      <c r="H179" s="13"/>
      <c r="I179" s="13"/>
      <c r="J179" s="13"/>
    </row>
    <row r="180" spans="1:10" x14ac:dyDescent="0.25">
      <c r="A180" s="10">
        <v>42217</v>
      </c>
      <c r="B180" s="12">
        <f t="shared" si="4"/>
        <v>8</v>
      </c>
      <c r="C180" s="12">
        <f t="shared" si="5"/>
        <v>2015</v>
      </c>
      <c r="D180" s="13">
        <f>AVERAGEIFS('Sunflower Prices'!F180:F5482,'Sunflower Prices'!B180:B5482,'Sunflower Monthly'!B180,'Sunflower Prices'!C180:C5482,'Sunflower Monthly'!C180)</f>
        <v>345.80655119192642</v>
      </c>
      <c r="E180" s="13"/>
      <c r="F180" s="13"/>
      <c r="G180" s="13"/>
      <c r="H180" s="13"/>
      <c r="I180" s="13"/>
      <c r="J180" s="13"/>
    </row>
    <row r="181" spans="1:10" x14ac:dyDescent="0.25">
      <c r="A181" s="10">
        <v>42248</v>
      </c>
      <c r="B181" s="12">
        <f t="shared" si="4"/>
        <v>9</v>
      </c>
      <c r="C181" s="12">
        <f t="shared" si="5"/>
        <v>2015</v>
      </c>
      <c r="D181" s="13">
        <f>AVERAGEIFS('Sunflower Prices'!F181:F5483,'Sunflower Prices'!B181:B5483,'Sunflower Monthly'!B181,'Sunflower Prices'!C181:C5483,'Sunflower Monthly'!C181)</f>
        <v>392.29222091304985</v>
      </c>
      <c r="E181" s="13"/>
      <c r="F181" s="13"/>
      <c r="G181" s="13"/>
      <c r="H181" s="13"/>
      <c r="I181" s="13"/>
      <c r="J181" s="13"/>
    </row>
    <row r="182" spans="1:10" x14ac:dyDescent="0.25">
      <c r="A182" s="10">
        <v>42278</v>
      </c>
      <c r="B182" s="12">
        <f t="shared" si="4"/>
        <v>10</v>
      </c>
      <c r="C182" s="12">
        <f t="shared" si="5"/>
        <v>2015</v>
      </c>
      <c r="D182" s="13">
        <f>AVERAGEIFS('Sunflower Prices'!F182:F5484,'Sunflower Prices'!B182:B5484,'Sunflower Monthly'!B182,'Sunflower Prices'!C182:C5484,'Sunflower Monthly'!C182)</f>
        <v>396.68801269077647</v>
      </c>
      <c r="E182" s="13"/>
      <c r="F182" s="13"/>
      <c r="G182" s="13"/>
      <c r="H182" s="13"/>
      <c r="I182" s="13"/>
      <c r="J182" s="13"/>
    </row>
    <row r="183" spans="1:10" x14ac:dyDescent="0.25">
      <c r="A183" s="10">
        <v>42309</v>
      </c>
      <c r="B183" s="12">
        <f t="shared" si="4"/>
        <v>11</v>
      </c>
      <c r="C183" s="12">
        <f t="shared" si="5"/>
        <v>2015</v>
      </c>
      <c r="D183" s="13">
        <f>AVERAGEIFS('Sunflower Prices'!F183:F5485,'Sunflower Prices'!B183:B5485,'Sunflower Monthly'!B183,'Sunflower Prices'!C183:C5485,'Sunflower Monthly'!C183)</f>
        <v>366.91062257345732</v>
      </c>
      <c r="E183" s="13"/>
      <c r="F183" s="13"/>
      <c r="G183" s="13"/>
      <c r="H183" s="13"/>
      <c r="I183" s="13"/>
      <c r="J183" s="13"/>
    </row>
    <row r="184" spans="1:10" x14ac:dyDescent="0.25">
      <c r="A184" s="10">
        <v>42339</v>
      </c>
      <c r="B184" s="12">
        <f t="shared" si="4"/>
        <v>12</v>
      </c>
      <c r="C184" s="12">
        <f t="shared" si="5"/>
        <v>2015</v>
      </c>
      <c r="D184" s="13">
        <f>AVERAGEIFS('Sunflower Prices'!F184:F5486,'Sunflower Prices'!B184:B5486,'Sunflower Monthly'!B184,'Sunflower Prices'!C184:C5486,'Sunflower Monthly'!C184)</f>
        <v>362.12224252899273</v>
      </c>
      <c r="E184" s="13"/>
      <c r="F184" s="13"/>
      <c r="G184" s="13"/>
      <c r="H184" s="13"/>
      <c r="I184" s="13"/>
      <c r="J184" s="13"/>
    </row>
    <row r="185" spans="1:10" x14ac:dyDescent="0.25">
      <c r="A185" s="10">
        <v>42370</v>
      </c>
      <c r="B185" s="12">
        <f t="shared" si="4"/>
        <v>1</v>
      </c>
      <c r="C185" s="12">
        <f t="shared" si="5"/>
        <v>2016</v>
      </c>
      <c r="D185" s="13">
        <f>AVERAGEIFS('Sunflower Prices'!F185:F5487,'Sunflower Prices'!B185:B5487,'Sunflower Monthly'!B185,'Sunflower Prices'!C185:C5487,'Sunflower Monthly'!C185)</f>
        <v>335.14019366050167</v>
      </c>
      <c r="E185" s="13"/>
      <c r="F185" s="13"/>
      <c r="G185" s="13"/>
      <c r="H185" s="13"/>
      <c r="I185" s="13"/>
      <c r="J185" s="13"/>
    </row>
    <row r="186" spans="1:10" x14ac:dyDescent="0.25">
      <c r="A186" s="10">
        <v>42401</v>
      </c>
      <c r="B186" s="12">
        <f t="shared" si="4"/>
        <v>2</v>
      </c>
      <c r="C186" s="12">
        <f t="shared" si="5"/>
        <v>2016</v>
      </c>
      <c r="D186" s="13">
        <f>AVERAGEIFS('Sunflower Prices'!F186:F5488,'Sunflower Prices'!B186:B5488,'Sunflower Monthly'!B186,'Sunflower Prices'!C186:C5488,'Sunflower Monthly'!C186)</f>
        <v>347.83228699419016</v>
      </c>
      <c r="E186" s="13"/>
      <c r="F186" s="13"/>
      <c r="G186" s="13"/>
      <c r="H186" s="13"/>
      <c r="I186" s="13"/>
      <c r="J186" s="13"/>
    </row>
    <row r="187" spans="1:10" x14ac:dyDescent="0.25">
      <c r="A187" s="10">
        <v>42430</v>
      </c>
      <c r="B187" s="12">
        <f t="shared" si="4"/>
        <v>3</v>
      </c>
      <c r="C187" s="12">
        <f t="shared" si="5"/>
        <v>2016</v>
      </c>
      <c r="D187" s="13">
        <f>AVERAGEIFS('Sunflower Prices'!F187:F5489,'Sunflower Prices'!B187:B5489,'Sunflower Monthly'!B187,'Sunflower Prices'!C187:C5489,'Sunflower Monthly'!C187)</f>
        <v>367.1559762000303</v>
      </c>
      <c r="E187" s="13"/>
      <c r="F187" s="13"/>
      <c r="G187" s="13"/>
      <c r="H187" s="13"/>
      <c r="I187" s="13"/>
      <c r="J187" s="13"/>
    </row>
    <row r="188" spans="1:10" x14ac:dyDescent="0.25">
      <c r="A188" s="10">
        <v>42461</v>
      </c>
      <c r="B188" s="12">
        <f t="shared" si="4"/>
        <v>4</v>
      </c>
      <c r="C188" s="12">
        <f t="shared" si="5"/>
        <v>2016</v>
      </c>
      <c r="D188" s="13">
        <f>AVERAGEIFS('Sunflower Prices'!F188:F5490,'Sunflower Prices'!B188:B5490,'Sunflower Monthly'!B188,'Sunflower Prices'!C188:C5490,'Sunflower Monthly'!C188)</f>
        <v>365.08638568981581</v>
      </c>
      <c r="E188" s="13"/>
      <c r="F188" s="13"/>
      <c r="G188" s="13"/>
      <c r="H188" s="13"/>
      <c r="I188" s="13"/>
      <c r="J188" s="13"/>
    </row>
    <row r="189" spans="1:10" x14ac:dyDescent="0.25">
      <c r="A189" s="10">
        <v>42491</v>
      </c>
      <c r="B189" s="12">
        <f t="shared" si="4"/>
        <v>5</v>
      </c>
      <c r="C189" s="12">
        <f t="shared" si="5"/>
        <v>2016</v>
      </c>
      <c r="D189" s="13">
        <f>AVERAGEIFS('Sunflower Prices'!F189:F5491,'Sunflower Prices'!B189:B5491,'Sunflower Monthly'!B189,'Sunflower Prices'!C189:C5491,'Sunflower Monthly'!C189)</f>
        <v>361.97021559353169</v>
      </c>
      <c r="E189" s="13"/>
      <c r="F189" s="13"/>
      <c r="G189" s="13"/>
      <c r="H189" s="13"/>
      <c r="I189" s="13"/>
      <c r="J189" s="13"/>
    </row>
    <row r="190" spans="1:10" x14ac:dyDescent="0.25">
      <c r="A190" s="10">
        <v>42522</v>
      </c>
      <c r="B190" s="12">
        <f t="shared" si="4"/>
        <v>6</v>
      </c>
      <c r="C190" s="12">
        <f t="shared" si="5"/>
        <v>2016</v>
      </c>
      <c r="D190" s="13">
        <f>AVERAGEIFS('Sunflower Prices'!F190:F5492,'Sunflower Prices'!B190:B5492,'Sunflower Monthly'!B190,'Sunflower Prices'!C190:C5492,'Sunflower Monthly'!C190)</f>
        <v>393.32796244976112</v>
      </c>
      <c r="E190" s="13"/>
      <c r="F190" s="13"/>
      <c r="G190" s="13"/>
      <c r="H190" s="13"/>
      <c r="I190" s="13"/>
      <c r="J190" s="13"/>
    </row>
    <row r="191" spans="1:10" x14ac:dyDescent="0.25">
      <c r="A191" s="10">
        <v>42552</v>
      </c>
      <c r="B191" s="12">
        <f t="shared" si="4"/>
        <v>7</v>
      </c>
      <c r="C191" s="12">
        <f t="shared" si="5"/>
        <v>2016</v>
      </c>
      <c r="D191" s="13">
        <f>AVERAGEIFS('Sunflower Prices'!F191:F5493,'Sunflower Prices'!B191:B5493,'Sunflower Monthly'!B191,'Sunflower Prices'!C191:C5493,'Sunflower Monthly'!C191)</f>
        <v>390.99065681430631</v>
      </c>
      <c r="E191" s="13"/>
      <c r="F191" s="13"/>
      <c r="G191" s="13"/>
      <c r="H191" s="13"/>
      <c r="I191" s="13"/>
      <c r="J191" s="13"/>
    </row>
    <row r="192" spans="1:10" x14ac:dyDescent="0.25">
      <c r="A192" s="10">
        <v>42583</v>
      </c>
      <c r="B192" s="12">
        <f t="shared" si="4"/>
        <v>8</v>
      </c>
      <c r="C192" s="12">
        <f t="shared" si="5"/>
        <v>2016</v>
      </c>
      <c r="D192" s="13"/>
      <c r="E192" s="13"/>
      <c r="F192" s="13"/>
      <c r="G192" s="13"/>
      <c r="H192" s="13"/>
      <c r="I192" s="13"/>
      <c r="J192" s="13"/>
    </row>
    <row r="193" spans="1:10" x14ac:dyDescent="0.25">
      <c r="A193" s="10">
        <v>42614</v>
      </c>
      <c r="B193" s="12">
        <f t="shared" si="4"/>
        <v>9</v>
      </c>
      <c r="C193" s="12">
        <f t="shared" si="5"/>
        <v>2016</v>
      </c>
      <c r="D193" s="13"/>
      <c r="E193" s="13"/>
      <c r="F193" s="13"/>
      <c r="G193" s="13"/>
      <c r="H193" s="13"/>
      <c r="I193" s="13"/>
      <c r="J193" s="13"/>
    </row>
    <row r="194" spans="1:10" x14ac:dyDescent="0.25">
      <c r="A194" s="10">
        <v>42644</v>
      </c>
      <c r="B194" s="12">
        <f t="shared" si="4"/>
        <v>10</v>
      </c>
      <c r="C194" s="12">
        <f t="shared" si="5"/>
        <v>2016</v>
      </c>
      <c r="D194" s="13">
        <f>AVERAGEIFS('Sunflower Prices'!F194:F5496,'Sunflower Prices'!B194:B5496,'Sunflower Monthly'!B194,'Sunflower Prices'!C194:C5496,'Sunflower Monthly'!C194)</f>
        <v>322.50174603858204</v>
      </c>
      <c r="E194" s="13"/>
      <c r="F194" s="13"/>
      <c r="G194" s="13"/>
      <c r="H194" s="13"/>
      <c r="I194" s="13"/>
      <c r="J194" s="13"/>
    </row>
    <row r="195" spans="1:10" x14ac:dyDescent="0.25">
      <c r="A195" s="10">
        <v>42675</v>
      </c>
      <c r="B195" s="12">
        <f t="shared" ref="B195:B258" si="6">MONTH(A195)</f>
        <v>11</v>
      </c>
      <c r="C195" s="12">
        <f t="shared" ref="C195:C258" si="7">YEAR(A195)</f>
        <v>2016</v>
      </c>
      <c r="D195" s="13">
        <f>AVERAGEIFS('Sunflower Prices'!F195:F5497,'Sunflower Prices'!B195:B5497,'Sunflower Monthly'!B195,'Sunflower Prices'!C195:C5497,'Sunflower Monthly'!C195)</f>
        <v>314.17426934237824</v>
      </c>
      <c r="E195" s="13"/>
      <c r="F195" s="13"/>
      <c r="G195" s="13"/>
      <c r="H195" s="13"/>
      <c r="I195" s="13"/>
      <c r="J195" s="13"/>
    </row>
    <row r="196" spans="1:10" x14ac:dyDescent="0.25">
      <c r="A196" s="10">
        <v>42705</v>
      </c>
      <c r="B196" s="12">
        <f t="shared" si="6"/>
        <v>12</v>
      </c>
      <c r="C196" s="12">
        <f t="shared" si="7"/>
        <v>2016</v>
      </c>
      <c r="D196" s="13">
        <f>AVERAGEIFS('Sunflower Prices'!F196:F5498,'Sunflower Prices'!B196:B5498,'Sunflower Monthly'!B196,'Sunflower Prices'!C196:C5498,'Sunflower Monthly'!C196)</f>
        <v>335.82977452633651</v>
      </c>
      <c r="E196" s="13"/>
      <c r="F196" s="13"/>
      <c r="G196" s="13"/>
      <c r="H196" s="13"/>
      <c r="I196" s="13"/>
      <c r="J196" s="13"/>
    </row>
    <row r="197" spans="1:10" x14ac:dyDescent="0.25">
      <c r="A197" s="10">
        <v>42736</v>
      </c>
      <c r="B197" s="12">
        <f t="shared" si="6"/>
        <v>1</v>
      </c>
      <c r="C197" s="12">
        <f t="shared" si="7"/>
        <v>2017</v>
      </c>
      <c r="D197" s="13">
        <f>AVERAGEIFS('Sunflower Prices'!F197:F5499,'Sunflower Prices'!B197:B5499,'Sunflower Monthly'!B197,'Sunflower Prices'!C197:C5499,'Sunflower Monthly'!C197)</f>
        <v>345.84488995665066</v>
      </c>
      <c r="E197" s="13"/>
      <c r="F197" s="13"/>
      <c r="G197" s="13"/>
      <c r="H197" s="13"/>
      <c r="I197" s="13"/>
      <c r="J197" s="13"/>
    </row>
    <row r="198" spans="1:10" x14ac:dyDescent="0.25">
      <c r="A198" s="10">
        <v>42767</v>
      </c>
      <c r="B198" s="12">
        <f t="shared" si="6"/>
        <v>2</v>
      </c>
      <c r="C198" s="12">
        <f t="shared" si="7"/>
        <v>2017</v>
      </c>
      <c r="D198" s="13">
        <f>AVERAGEIFS('Sunflower Prices'!F198:F5500,'Sunflower Prices'!B198:B5500,'Sunflower Monthly'!B198,'Sunflower Prices'!C198:C5500,'Sunflower Monthly'!C198)</f>
        <v>341.0914681045237</v>
      </c>
      <c r="E198" s="13"/>
      <c r="F198" s="13"/>
      <c r="G198" s="13"/>
      <c r="H198" s="13"/>
      <c r="I198" s="13"/>
      <c r="J198" s="13"/>
    </row>
    <row r="199" spans="1:10" x14ac:dyDescent="0.25">
      <c r="A199" s="10">
        <v>42795</v>
      </c>
      <c r="B199" s="12">
        <f t="shared" si="6"/>
        <v>3</v>
      </c>
      <c r="C199" s="12">
        <f t="shared" si="7"/>
        <v>2017</v>
      </c>
      <c r="D199" s="13">
        <f>AVERAGEIFS('Sunflower Prices'!F199:F5501,'Sunflower Prices'!B199:B5501,'Sunflower Monthly'!B199,'Sunflower Prices'!C199:C5501,'Sunflower Monthly'!C199)</f>
        <v>335.34760385626464</v>
      </c>
      <c r="E199" s="13"/>
      <c r="F199" s="13"/>
      <c r="G199" s="13"/>
      <c r="H199" s="13"/>
      <c r="I199" s="13"/>
      <c r="J199" s="13"/>
    </row>
    <row r="200" spans="1:10" x14ac:dyDescent="0.25">
      <c r="A200" s="10">
        <v>42826</v>
      </c>
      <c r="B200" s="12">
        <f t="shared" si="6"/>
        <v>4</v>
      </c>
      <c r="C200" s="12">
        <f t="shared" si="7"/>
        <v>2017</v>
      </c>
      <c r="D200" s="13">
        <f>AVERAGEIFS('Sunflower Prices'!F200:F5502,'Sunflower Prices'!B200:B5502,'Sunflower Monthly'!B200,'Sunflower Prices'!C200:C5502,'Sunflower Monthly'!C200)</f>
        <v>321.12790053953057</v>
      </c>
      <c r="E200" s="13"/>
      <c r="F200" s="13"/>
      <c r="G200" s="13"/>
      <c r="H200" s="13"/>
      <c r="I200" s="13"/>
      <c r="J200" s="13"/>
    </row>
    <row r="201" spans="1:10" x14ac:dyDescent="0.25">
      <c r="A201" s="10">
        <v>42856</v>
      </c>
      <c r="B201" s="12">
        <f t="shared" si="6"/>
        <v>5</v>
      </c>
      <c r="C201" s="12">
        <f t="shared" si="7"/>
        <v>2017</v>
      </c>
      <c r="D201" s="13">
        <f>AVERAGEIFS('Sunflower Prices'!F201:F5503,'Sunflower Prices'!B201:B5503,'Sunflower Monthly'!B201,'Sunflower Prices'!C201:C5503,'Sunflower Monthly'!C201)</f>
        <v>313.90356915590706</v>
      </c>
      <c r="E201" s="13"/>
      <c r="F201" s="13"/>
      <c r="G201" s="13"/>
      <c r="H201" s="13"/>
      <c r="I201" s="13"/>
      <c r="J201" s="13"/>
    </row>
    <row r="202" spans="1:10" x14ac:dyDescent="0.25">
      <c r="A202" s="10">
        <v>42887</v>
      </c>
      <c r="B202" s="12">
        <f t="shared" si="6"/>
        <v>6</v>
      </c>
      <c r="C202" s="12">
        <f t="shared" si="7"/>
        <v>2017</v>
      </c>
      <c r="D202" s="13">
        <f>AVERAGEIFS('Sunflower Prices'!F202:F5504,'Sunflower Prices'!B202:B5504,'Sunflower Monthly'!B202,'Sunflower Prices'!C202:C5504,'Sunflower Monthly'!C202)</f>
        <v>330.43547536653449</v>
      </c>
      <c r="E202" s="13"/>
      <c r="F202" s="13"/>
      <c r="G202" s="13"/>
      <c r="H202" s="13"/>
      <c r="I202" s="13"/>
      <c r="J202" s="13"/>
    </row>
    <row r="203" spans="1:10" x14ac:dyDescent="0.25">
      <c r="A203" s="10">
        <v>42917</v>
      </c>
      <c r="B203" s="12">
        <f t="shared" si="6"/>
        <v>7</v>
      </c>
      <c r="C203" s="12">
        <f t="shared" si="7"/>
        <v>2017</v>
      </c>
      <c r="D203" s="13">
        <f>AVERAGEIFS('Sunflower Prices'!F203:F5505,'Sunflower Prices'!B203:B5505,'Sunflower Monthly'!B203,'Sunflower Prices'!C203:C5505,'Sunflower Monthly'!C203)</f>
        <v>332.82817736075503</v>
      </c>
      <c r="E203" s="13"/>
      <c r="F203" s="13"/>
      <c r="G203" s="13"/>
      <c r="H203" s="13"/>
      <c r="I203" s="13"/>
      <c r="J203" s="13"/>
    </row>
    <row r="204" spans="1:10" x14ac:dyDescent="0.25">
      <c r="A204" s="10">
        <v>42948</v>
      </c>
      <c r="B204" s="12">
        <f t="shared" si="6"/>
        <v>8</v>
      </c>
      <c r="C204" s="12">
        <f t="shared" si="7"/>
        <v>2017</v>
      </c>
      <c r="D204" s="13">
        <f>AVERAGEIFS('Sunflower Prices'!F204:F5506,'Sunflower Prices'!B204:B5506,'Sunflower Monthly'!B204,'Sunflower Prices'!C204:C5506,'Sunflower Monthly'!C204)</f>
        <v>341.3163330376106</v>
      </c>
      <c r="E204" s="13"/>
      <c r="F204" s="13"/>
      <c r="G204" s="13"/>
      <c r="H204" s="13"/>
      <c r="I204" s="13"/>
      <c r="J204" s="13"/>
    </row>
    <row r="205" spans="1:10" x14ac:dyDescent="0.25">
      <c r="A205" s="10">
        <v>42979</v>
      </c>
      <c r="B205" s="12">
        <f t="shared" si="6"/>
        <v>9</v>
      </c>
      <c r="C205" s="12">
        <f t="shared" si="7"/>
        <v>2017</v>
      </c>
      <c r="D205" s="13">
        <f>AVERAGEIFS('Sunflower Prices'!F205:F5507,'Sunflower Prices'!B205:B5507,'Sunflower Monthly'!B205,'Sunflower Prices'!C205:C5507,'Sunflower Monthly'!C205)</f>
        <v>310.51631541550438</v>
      </c>
      <c r="E205" s="13"/>
      <c r="F205" s="13"/>
      <c r="G205" s="13"/>
      <c r="H205" s="13"/>
      <c r="I205" s="13"/>
      <c r="J205" s="13"/>
    </row>
    <row r="206" spans="1:10" x14ac:dyDescent="0.25">
      <c r="A206" s="10">
        <v>43009</v>
      </c>
      <c r="B206" s="12">
        <f t="shared" si="6"/>
        <v>10</v>
      </c>
      <c r="C206" s="12">
        <f t="shared" si="7"/>
        <v>2017</v>
      </c>
      <c r="D206" s="13">
        <f>AVERAGEIFS('Sunflower Prices'!F206:F5508,'Sunflower Prices'!B206:B5508,'Sunflower Monthly'!B206,'Sunflower Prices'!C206:C5508,'Sunflower Monthly'!C206)</f>
        <v>288.42072237764381</v>
      </c>
      <c r="E206" s="13"/>
      <c r="F206" s="13"/>
      <c r="G206" s="13"/>
      <c r="H206" s="13"/>
      <c r="I206" s="13"/>
      <c r="J206" s="13"/>
    </row>
    <row r="207" spans="1:10" x14ac:dyDescent="0.25">
      <c r="A207" s="10">
        <v>43040</v>
      </c>
      <c r="B207" s="12">
        <f t="shared" si="6"/>
        <v>11</v>
      </c>
      <c r="C207" s="12">
        <f t="shared" si="7"/>
        <v>2017</v>
      </c>
      <c r="D207" s="13">
        <f>AVERAGEIFS('Sunflower Prices'!F207:F5509,'Sunflower Prices'!B207:B5509,'Sunflower Monthly'!B207,'Sunflower Prices'!C207:C5509,'Sunflower Monthly'!C207)</f>
        <v>294.95092192970611</v>
      </c>
      <c r="E207" s="13"/>
      <c r="F207" s="13"/>
      <c r="G207" s="13"/>
      <c r="H207" s="13"/>
      <c r="I207" s="13"/>
      <c r="J207" s="13"/>
    </row>
    <row r="208" spans="1:10" x14ac:dyDescent="0.25">
      <c r="A208" s="10">
        <v>43070</v>
      </c>
      <c r="B208" s="12">
        <f t="shared" si="6"/>
        <v>12</v>
      </c>
      <c r="C208" s="12">
        <f t="shared" si="7"/>
        <v>2017</v>
      </c>
      <c r="D208" s="13">
        <f>AVERAGEIFS('Sunflower Prices'!F208:F5510,'Sunflower Prices'!B208:B5510,'Sunflower Monthly'!B208,'Sunflower Prices'!C208:C5510,'Sunflower Monthly'!C208)</f>
        <v>315.35833761188417</v>
      </c>
      <c r="E208" s="13"/>
      <c r="F208" s="13"/>
      <c r="G208" s="13"/>
      <c r="H208" s="13"/>
      <c r="I208" s="13"/>
      <c r="J208" s="13"/>
    </row>
    <row r="209" spans="1:10" x14ac:dyDescent="0.25">
      <c r="A209" s="10">
        <v>43101</v>
      </c>
      <c r="B209" s="12">
        <f t="shared" si="6"/>
        <v>1</v>
      </c>
      <c r="C209" s="12">
        <f t="shared" si="7"/>
        <v>2018</v>
      </c>
      <c r="D209" s="13">
        <f>AVERAGEIFS('Sunflower Prices'!F209:F5511,'Sunflower Prices'!B209:B5511,'Sunflower Monthly'!B209,'Sunflower Prices'!C209:C5511,'Sunflower Monthly'!C209)</f>
        <v>343.31743466922768</v>
      </c>
      <c r="E209" s="13"/>
      <c r="F209" s="13"/>
      <c r="G209" s="13"/>
      <c r="H209" s="13"/>
      <c r="I209" s="13"/>
      <c r="J209" s="13"/>
    </row>
    <row r="210" spans="1:10" x14ac:dyDescent="0.25">
      <c r="A210" s="10">
        <v>43132</v>
      </c>
      <c r="B210" s="12">
        <f t="shared" si="6"/>
        <v>2</v>
      </c>
      <c r="C210" s="12">
        <f t="shared" si="7"/>
        <v>2018</v>
      </c>
      <c r="D210" s="13">
        <f>AVERAGEIFS('Sunflower Prices'!F210:F5512,'Sunflower Prices'!B210:B5512,'Sunflower Monthly'!B210,'Sunflower Prices'!C210:C5512,'Sunflower Monthly'!C210)</f>
        <v>347.96557266071619</v>
      </c>
      <c r="E210" s="13"/>
      <c r="F210" s="13"/>
      <c r="G210" s="13"/>
      <c r="H210" s="13"/>
      <c r="I210" s="13"/>
      <c r="J210" s="13"/>
    </row>
    <row r="211" spans="1:10" x14ac:dyDescent="0.25">
      <c r="A211" s="10">
        <v>43160</v>
      </c>
      <c r="B211" s="12">
        <f t="shared" si="6"/>
        <v>3</v>
      </c>
      <c r="C211" s="12">
        <f t="shared" si="7"/>
        <v>2018</v>
      </c>
      <c r="D211" s="13">
        <f>AVERAGEIFS('Sunflower Prices'!F211:F5513,'Sunflower Prices'!B211:B5513,'Sunflower Monthly'!B211,'Sunflower Prices'!C211:C5513,'Sunflower Monthly'!C211)</f>
        <v>354.9455017786841</v>
      </c>
      <c r="E211" s="13"/>
      <c r="F211" s="13"/>
      <c r="G211" s="13"/>
      <c r="H211" s="13"/>
      <c r="I211" s="13"/>
      <c r="J211" s="13"/>
    </row>
    <row r="212" spans="1:10" x14ac:dyDescent="0.25">
      <c r="A212" s="10">
        <v>43191</v>
      </c>
      <c r="B212" s="12">
        <f t="shared" si="6"/>
        <v>4</v>
      </c>
      <c r="C212" s="12">
        <f t="shared" si="7"/>
        <v>2018</v>
      </c>
      <c r="D212" s="13">
        <f>AVERAGEIFS('Sunflower Prices'!F212:F5514,'Sunflower Prices'!B212:B5514,'Sunflower Monthly'!B212,'Sunflower Prices'!C212:C5514,'Sunflower Monthly'!C212)</f>
        <v>345.59941978484102</v>
      </c>
      <c r="E212" s="13"/>
      <c r="F212" s="13"/>
      <c r="G212" s="13"/>
      <c r="H212" s="13"/>
      <c r="I212" s="13"/>
      <c r="J212" s="13"/>
    </row>
    <row r="213" spans="1:10" x14ac:dyDescent="0.25">
      <c r="A213" s="10">
        <v>43221</v>
      </c>
      <c r="B213" s="12">
        <f t="shared" si="6"/>
        <v>5</v>
      </c>
      <c r="C213" s="12">
        <f t="shared" si="7"/>
        <v>2018</v>
      </c>
      <c r="D213" s="13">
        <f>AVERAGEIFS('Sunflower Prices'!F213:F5515,'Sunflower Prices'!B213:B5515,'Sunflower Monthly'!B213,'Sunflower Prices'!C213:C5515,'Sunflower Monthly'!C213)</f>
        <v>351.81364621688647</v>
      </c>
      <c r="E213" s="13"/>
      <c r="F213" s="13"/>
      <c r="G213" s="13"/>
      <c r="H213" s="13"/>
      <c r="I213" s="13"/>
      <c r="J213" s="13"/>
    </row>
    <row r="214" spans="1:10" x14ac:dyDescent="0.25">
      <c r="A214" s="10">
        <v>43252</v>
      </c>
      <c r="B214" s="12">
        <f t="shared" si="6"/>
        <v>6</v>
      </c>
      <c r="C214" s="12">
        <f t="shared" si="7"/>
        <v>2018</v>
      </c>
      <c r="D214" s="13">
        <f>AVERAGEIFS('Sunflower Prices'!F214:F5516,'Sunflower Prices'!B214:B5516,'Sunflower Monthly'!B214,'Sunflower Prices'!C214:C5516,'Sunflower Monthly'!C214)</f>
        <v>357.42250111676805</v>
      </c>
      <c r="E214" s="13"/>
      <c r="F214" s="13"/>
      <c r="G214" s="13"/>
      <c r="H214" s="13"/>
      <c r="I214" s="13"/>
      <c r="J214" s="13"/>
    </row>
    <row r="215" spans="1:10" x14ac:dyDescent="0.25">
      <c r="A215" s="10">
        <v>43282</v>
      </c>
      <c r="B215" s="12">
        <f t="shared" si="6"/>
        <v>7</v>
      </c>
      <c r="C215" s="12">
        <f t="shared" si="7"/>
        <v>2018</v>
      </c>
      <c r="D215" s="13">
        <f>AVERAGEIFS('Sunflower Prices'!F215:F5517,'Sunflower Prices'!B215:B5517,'Sunflower Monthly'!B215,'Sunflower Prices'!C215:C5517,'Sunflower Monthly'!C215)</f>
        <v>343.19558226717379</v>
      </c>
      <c r="E215" s="13"/>
      <c r="F215" s="13"/>
      <c r="G215" s="13"/>
      <c r="H215" s="13"/>
      <c r="I215" s="13"/>
      <c r="J215" s="13"/>
    </row>
    <row r="216" spans="1:10" x14ac:dyDescent="0.25">
      <c r="A216" s="10">
        <v>43313</v>
      </c>
      <c r="B216" s="12">
        <f t="shared" si="6"/>
        <v>8</v>
      </c>
      <c r="C216" s="12">
        <f t="shared" si="7"/>
        <v>2018</v>
      </c>
      <c r="D216" s="13"/>
      <c r="E216" s="13"/>
      <c r="F216" s="13"/>
      <c r="G216" s="13"/>
      <c r="H216" s="13"/>
      <c r="I216" s="13"/>
      <c r="J216" s="13"/>
    </row>
    <row r="217" spans="1:10" x14ac:dyDescent="0.25">
      <c r="A217" s="10">
        <v>43344</v>
      </c>
      <c r="B217" s="12">
        <f t="shared" si="6"/>
        <v>9</v>
      </c>
      <c r="C217" s="12">
        <f t="shared" si="7"/>
        <v>2018</v>
      </c>
      <c r="D217" s="13">
        <f>AVERAGEIFS('Sunflower Prices'!F217:F5519,'Sunflower Prices'!B217:B5519,'Sunflower Monthly'!B217,'Sunflower Prices'!C217:C5519,'Sunflower Monthly'!C217)</f>
        <v>304.26748121357042</v>
      </c>
      <c r="E217" s="13"/>
      <c r="F217" s="13"/>
      <c r="G217" s="13"/>
      <c r="H217" s="13"/>
      <c r="I217" s="13"/>
      <c r="J217" s="13"/>
    </row>
    <row r="218" spans="1:10" x14ac:dyDescent="0.25">
      <c r="A218" s="10">
        <v>43374</v>
      </c>
      <c r="B218" s="12">
        <f t="shared" si="6"/>
        <v>10</v>
      </c>
      <c r="C218" s="12">
        <f t="shared" si="7"/>
        <v>2018</v>
      </c>
      <c r="D218" s="13">
        <f>AVERAGEIFS('Sunflower Prices'!F218:F5520,'Sunflower Prices'!B218:B5520,'Sunflower Monthly'!B218,'Sunflower Prices'!C218:C5520,'Sunflower Monthly'!C218)</f>
        <v>301.61397085161968</v>
      </c>
      <c r="E218" s="13"/>
      <c r="F218" s="13"/>
      <c r="G218" s="13"/>
      <c r="H218" s="13"/>
      <c r="I218" s="13"/>
      <c r="J218" s="13"/>
    </row>
    <row r="219" spans="1:10" x14ac:dyDescent="0.25">
      <c r="A219" s="10">
        <v>43405</v>
      </c>
      <c r="B219" s="12">
        <f t="shared" si="6"/>
        <v>11</v>
      </c>
      <c r="C219" s="12">
        <f t="shared" si="7"/>
        <v>2018</v>
      </c>
      <c r="D219" s="13">
        <f>AVERAGEIFS('Sunflower Prices'!F219:F5521,'Sunflower Prices'!B219:B5521,'Sunflower Monthly'!B219,'Sunflower Prices'!C219:C5521,'Sunflower Monthly'!C219)</f>
        <v>283.34306538876342</v>
      </c>
      <c r="E219" s="13"/>
      <c r="F219" s="13"/>
      <c r="G219" s="13"/>
      <c r="H219" s="13"/>
      <c r="I219" s="13"/>
      <c r="J219" s="13"/>
    </row>
    <row r="220" spans="1:10" x14ac:dyDescent="0.25">
      <c r="A220" s="10">
        <v>43435</v>
      </c>
      <c r="B220" s="12">
        <f t="shared" si="6"/>
        <v>12</v>
      </c>
      <c r="C220" s="12">
        <f t="shared" si="7"/>
        <v>2018</v>
      </c>
      <c r="D220" s="13">
        <f>AVERAGEIFS('Sunflower Prices'!F220:F5522,'Sunflower Prices'!B220:B5522,'Sunflower Monthly'!B220,'Sunflower Prices'!C220:C5522,'Sunflower Monthly'!C220)</f>
        <v>295.31056032795652</v>
      </c>
      <c r="E220" s="13"/>
      <c r="F220" s="13"/>
      <c r="G220" s="13"/>
      <c r="H220" s="13"/>
      <c r="I220" s="13"/>
      <c r="J220" s="13"/>
    </row>
    <row r="221" spans="1:10" x14ac:dyDescent="0.25">
      <c r="A221" s="10">
        <v>43466</v>
      </c>
      <c r="B221" s="12">
        <f t="shared" si="6"/>
        <v>1</v>
      </c>
      <c r="C221" s="12">
        <f t="shared" si="7"/>
        <v>2019</v>
      </c>
      <c r="D221" s="13">
        <f>AVERAGEIFS('Sunflower Prices'!F221:F5523,'Sunflower Prices'!B221:B5523,'Sunflower Monthly'!B221,'Sunflower Prices'!C221:C5523,'Sunflower Monthly'!C221)</f>
        <v>313.48968187307941</v>
      </c>
      <c r="E221" s="13"/>
      <c r="F221" s="13"/>
      <c r="G221" s="13"/>
      <c r="H221" s="13"/>
      <c r="I221" s="13"/>
      <c r="J221" s="13"/>
    </row>
    <row r="222" spans="1:10" x14ac:dyDescent="0.25">
      <c r="A222" s="10">
        <v>43497</v>
      </c>
      <c r="B222" s="12">
        <f t="shared" si="6"/>
        <v>2</v>
      </c>
      <c r="C222" s="12">
        <f t="shared" si="7"/>
        <v>2019</v>
      </c>
      <c r="D222" s="13">
        <f>AVERAGEIFS('Sunflower Prices'!F222:F5524,'Sunflower Prices'!B222:B5524,'Sunflower Monthly'!B222,'Sunflower Prices'!C222:C5524,'Sunflower Monthly'!C222)</f>
        <v>332.65426448103494</v>
      </c>
      <c r="E222" s="13"/>
      <c r="F222" s="13"/>
      <c r="G222" s="13"/>
      <c r="H222" s="13"/>
      <c r="I222" s="13"/>
      <c r="J222" s="13"/>
    </row>
    <row r="223" spans="1:10" x14ac:dyDescent="0.25">
      <c r="A223" s="10">
        <v>43525</v>
      </c>
      <c r="B223" s="12">
        <f t="shared" si="6"/>
        <v>3</v>
      </c>
      <c r="C223" s="12">
        <f t="shared" si="7"/>
        <v>2019</v>
      </c>
      <c r="D223" s="13">
        <f>AVERAGEIFS('Sunflower Prices'!F223:F5525,'Sunflower Prices'!B223:B5525,'Sunflower Monthly'!B223,'Sunflower Prices'!C223:C5525,'Sunflower Monthly'!C223)</f>
        <v>328.38936514230892</v>
      </c>
      <c r="E223" s="13"/>
      <c r="F223" s="13"/>
      <c r="G223" s="13"/>
      <c r="H223" s="13"/>
      <c r="I223" s="13"/>
      <c r="J223" s="13"/>
    </row>
    <row r="224" spans="1:10" x14ac:dyDescent="0.25">
      <c r="A224" s="10">
        <v>43556</v>
      </c>
      <c r="B224" s="12">
        <f t="shared" si="6"/>
        <v>4</v>
      </c>
      <c r="C224" s="12">
        <f t="shared" si="7"/>
        <v>2019</v>
      </c>
      <c r="D224" s="13">
        <f>AVERAGEIFS('Sunflower Prices'!F224:F5526,'Sunflower Prices'!B224:B5526,'Sunflower Monthly'!B224,'Sunflower Prices'!C224:C5526,'Sunflower Monthly'!C224)</f>
        <v>314.41119140177801</v>
      </c>
      <c r="E224" s="13"/>
      <c r="F224" s="13"/>
      <c r="G224" s="13"/>
      <c r="H224" s="13"/>
      <c r="I224" s="13"/>
      <c r="J224" s="13"/>
    </row>
    <row r="225" spans="1:10" x14ac:dyDescent="0.25">
      <c r="A225" s="10">
        <v>43586</v>
      </c>
      <c r="B225" s="12">
        <f t="shared" si="6"/>
        <v>5</v>
      </c>
      <c r="C225" s="12">
        <f t="shared" si="7"/>
        <v>2019</v>
      </c>
      <c r="D225" s="13">
        <f>AVERAGEIFS('Sunflower Prices'!F225:F5527,'Sunflower Prices'!B225:B5527,'Sunflower Monthly'!B225,'Sunflower Prices'!C225:C5527,'Sunflower Monthly'!C225)</f>
        <v>302.50305860551265</v>
      </c>
      <c r="E225" s="13"/>
      <c r="F225" s="13"/>
      <c r="G225" s="13"/>
      <c r="H225" s="13"/>
      <c r="I225" s="13"/>
      <c r="J225" s="13"/>
    </row>
    <row r="226" spans="1:10" x14ac:dyDescent="0.25">
      <c r="A226" s="10">
        <v>43617</v>
      </c>
      <c r="B226" s="12">
        <f t="shared" si="6"/>
        <v>6</v>
      </c>
      <c r="C226" s="12">
        <f t="shared" si="7"/>
        <v>2019</v>
      </c>
      <c r="D226" s="13">
        <f>AVERAGEIFS('Sunflower Prices'!F226:F5528,'Sunflower Prices'!B226:B5528,'Sunflower Monthly'!B226,'Sunflower Prices'!C226:C5528,'Sunflower Monthly'!C226)</f>
        <v>305.23389139394055</v>
      </c>
      <c r="E226" s="13"/>
      <c r="F226" s="13"/>
      <c r="G226" s="13"/>
      <c r="H226" s="13"/>
      <c r="I226" s="13"/>
      <c r="J226" s="13"/>
    </row>
    <row r="227" spans="1:10" x14ac:dyDescent="0.25">
      <c r="A227" s="10">
        <v>43647</v>
      </c>
      <c r="B227" s="12">
        <f t="shared" si="6"/>
        <v>7</v>
      </c>
      <c r="C227" s="12">
        <f t="shared" si="7"/>
        <v>2019</v>
      </c>
      <c r="D227" s="13">
        <f>AVERAGEIFS('Sunflower Prices'!F227:F5529,'Sunflower Prices'!B227:B5529,'Sunflower Monthly'!B227,'Sunflower Prices'!C227:C5529,'Sunflower Monthly'!C227)</f>
        <v>316.76686937030291</v>
      </c>
      <c r="E227" s="13"/>
      <c r="F227" s="13"/>
      <c r="G227" s="13"/>
      <c r="H227" s="13"/>
      <c r="I227" s="13"/>
      <c r="J227" s="13"/>
    </row>
    <row r="228" spans="1:10" x14ac:dyDescent="0.25">
      <c r="A228" s="10">
        <v>43678</v>
      </c>
      <c r="B228" s="12">
        <f t="shared" si="6"/>
        <v>8</v>
      </c>
      <c r="C228" s="12">
        <f t="shared" si="7"/>
        <v>2019</v>
      </c>
      <c r="D228" s="13"/>
      <c r="E228" s="13"/>
      <c r="F228" s="13"/>
      <c r="G228" s="13"/>
      <c r="H228" s="13"/>
      <c r="I228" s="13"/>
      <c r="J228" s="13"/>
    </row>
    <row r="229" spans="1:10" x14ac:dyDescent="0.25">
      <c r="A229" s="10">
        <v>43709</v>
      </c>
      <c r="B229" s="12">
        <f t="shared" si="6"/>
        <v>9</v>
      </c>
      <c r="C229" s="12">
        <f t="shared" si="7"/>
        <v>2019</v>
      </c>
      <c r="D229" s="13">
        <f>AVERAGEIFS('Sunflower Prices'!F229:F5531,'Sunflower Prices'!B229:B5531,'Sunflower Monthly'!B229,'Sunflower Prices'!C229:C5531,'Sunflower Monthly'!C229)</f>
        <v>295.08109205078404</v>
      </c>
      <c r="E229" s="13"/>
      <c r="F229" s="13"/>
      <c r="G229" s="13"/>
      <c r="H229" s="13"/>
      <c r="I229" s="13"/>
      <c r="J229" s="13"/>
    </row>
    <row r="230" spans="1:10" x14ac:dyDescent="0.25">
      <c r="A230" s="10">
        <v>43739</v>
      </c>
      <c r="B230" s="12">
        <f t="shared" si="6"/>
        <v>10</v>
      </c>
      <c r="C230" s="12">
        <f t="shared" si="7"/>
        <v>2019</v>
      </c>
      <c r="D230" s="13">
        <f>AVERAGEIFS('Sunflower Prices'!F230:F5532,'Sunflower Prices'!B230:B5532,'Sunflower Monthly'!B230,'Sunflower Prices'!C230:C5532,'Sunflower Monthly'!C230)</f>
        <v>269.3692417288803</v>
      </c>
      <c r="E230" s="13"/>
      <c r="F230" s="13"/>
      <c r="G230" s="13"/>
      <c r="H230" s="13"/>
      <c r="I230" s="13"/>
      <c r="J230" s="13"/>
    </row>
    <row r="231" spans="1:10" x14ac:dyDescent="0.25">
      <c r="A231" s="10">
        <v>43770</v>
      </c>
      <c r="B231" s="12">
        <f t="shared" si="6"/>
        <v>11</v>
      </c>
      <c r="C231" s="12">
        <f t="shared" si="7"/>
        <v>2019</v>
      </c>
      <c r="D231" s="13">
        <f>AVERAGEIFS('Sunflower Prices'!F231:F5533,'Sunflower Prices'!B231:B5533,'Sunflower Monthly'!B231,'Sunflower Prices'!C231:C5533,'Sunflower Monthly'!C231)</f>
        <v>263.92426476645676</v>
      </c>
      <c r="E231" s="13"/>
      <c r="F231" s="13"/>
      <c r="G231" s="13"/>
      <c r="H231" s="13"/>
      <c r="I231" s="13"/>
      <c r="J231" s="13"/>
    </row>
    <row r="232" spans="1:10" x14ac:dyDescent="0.25">
      <c r="A232" s="10">
        <v>43800</v>
      </c>
      <c r="B232" s="12">
        <f t="shared" si="6"/>
        <v>12</v>
      </c>
      <c r="C232" s="12">
        <f t="shared" si="7"/>
        <v>2019</v>
      </c>
      <c r="D232" s="13">
        <f>AVERAGEIFS('Sunflower Prices'!F232:F5534,'Sunflower Prices'!B232:B5534,'Sunflower Monthly'!B232,'Sunflower Prices'!C232:C5534,'Sunflower Monthly'!C232)</f>
        <v>286.51948449145141</v>
      </c>
      <c r="E232" s="13"/>
      <c r="F232" s="13"/>
      <c r="G232" s="13"/>
      <c r="H232" s="13"/>
      <c r="I232" s="13"/>
      <c r="J232" s="13"/>
    </row>
    <row r="233" spans="1:10" x14ac:dyDescent="0.25">
      <c r="A233" s="10">
        <v>43831</v>
      </c>
      <c r="B233" s="12">
        <f t="shared" si="6"/>
        <v>1</v>
      </c>
      <c r="C233" s="12">
        <f t="shared" si="7"/>
        <v>2020</v>
      </c>
      <c r="D233" s="13">
        <f>AVERAGEIFS('Sunflower Prices'!F233:F5535,'Sunflower Prices'!B233:B5535,'Sunflower Monthly'!B233,'Sunflower Prices'!C233:C5535,'Sunflower Monthly'!C233)</f>
        <v>313.5659591346344</v>
      </c>
      <c r="E233" s="13"/>
      <c r="F233" s="13"/>
      <c r="G233" s="13"/>
      <c r="H233" s="13"/>
      <c r="I233" s="13"/>
      <c r="J233" s="13">
        <f>AVERAGEIFS('Sunflower Prices'!I233:I5535,'Sunflower Prices'!B233:B5535,'Sunflower Monthly'!B233,'Sunflower Prices'!C233:C5535,'Sunflower Monthly'!C233)</f>
        <v>358.67430622452531</v>
      </c>
    </row>
    <row r="234" spans="1:10" x14ac:dyDescent="0.25">
      <c r="A234" s="10">
        <v>43862</v>
      </c>
      <c r="B234" s="12">
        <f t="shared" si="6"/>
        <v>2</v>
      </c>
      <c r="C234" s="12">
        <f t="shared" si="7"/>
        <v>2020</v>
      </c>
      <c r="D234" s="13">
        <f>AVERAGEIFS('Sunflower Prices'!F234:F5536,'Sunflower Prices'!B234:B5536,'Sunflower Monthly'!B234,'Sunflower Prices'!C234:C5536,'Sunflower Monthly'!C234)</f>
        <v>306.03213003025149</v>
      </c>
      <c r="E234" s="13"/>
      <c r="F234" s="13"/>
      <c r="G234" s="13"/>
      <c r="H234" s="13"/>
      <c r="I234" s="13"/>
      <c r="J234" s="13">
        <f>AVERAGEIFS('Sunflower Prices'!I234:I5536,'Sunflower Prices'!B234:B5536,'Sunflower Monthly'!B234,'Sunflower Prices'!C234:C5536,'Sunflower Monthly'!C234)</f>
        <v>348.61709040356186</v>
      </c>
    </row>
    <row r="235" spans="1:10" x14ac:dyDescent="0.25">
      <c r="A235" s="10">
        <v>43891</v>
      </c>
      <c r="B235" s="12">
        <f t="shared" si="6"/>
        <v>3</v>
      </c>
      <c r="C235" s="12">
        <f t="shared" si="7"/>
        <v>2020</v>
      </c>
      <c r="D235" s="13">
        <f>AVERAGEIFS('Sunflower Prices'!F235:F5537,'Sunflower Prices'!B235:B5537,'Sunflower Monthly'!B235,'Sunflower Prices'!C235:C5537,'Sunflower Monthly'!C235)</f>
        <v>268.88443762177656</v>
      </c>
      <c r="E235" s="13"/>
      <c r="F235" s="13"/>
      <c r="G235" s="13"/>
      <c r="H235" s="13"/>
      <c r="I235" s="13"/>
      <c r="J235" s="13">
        <f>AVERAGEIFS('Sunflower Prices'!I235:I5537,'Sunflower Prices'!B235:B5537,'Sunflower Monthly'!B235,'Sunflower Prices'!C235:C5537,'Sunflower Monthly'!C235)</f>
        <v>316.83055360664554</v>
      </c>
    </row>
    <row r="236" spans="1:10" x14ac:dyDescent="0.25">
      <c r="A236" s="10">
        <v>43922</v>
      </c>
      <c r="B236" s="12">
        <f t="shared" si="6"/>
        <v>4</v>
      </c>
      <c r="C236" s="12">
        <f t="shared" si="7"/>
        <v>2020</v>
      </c>
      <c r="D236" s="13">
        <f>AVERAGEIFS('Sunflower Prices'!F236:F5538,'Sunflower Prices'!B236:B5538,'Sunflower Monthly'!B236,'Sunflower Prices'!C236:C5538,'Sunflower Monthly'!C236)</f>
        <v>301.82287411114817</v>
      </c>
      <c r="E236" s="13"/>
      <c r="F236" s="13"/>
      <c r="G236" s="13"/>
      <c r="H236" s="13"/>
      <c r="I236" s="13"/>
      <c r="J236" s="13">
        <f>AVERAGEIFS('Sunflower Prices'!I236:I5538,'Sunflower Prices'!B236:B5538,'Sunflower Monthly'!B236,'Sunflower Prices'!C236:C5538,'Sunflower Monthly'!C236)</f>
        <v>349.9056779367213</v>
      </c>
    </row>
    <row r="237" spans="1:10" x14ac:dyDescent="0.25">
      <c r="A237" s="10">
        <v>43952</v>
      </c>
      <c r="B237" s="12">
        <f t="shared" si="6"/>
        <v>5</v>
      </c>
      <c r="C237" s="12">
        <f t="shared" si="7"/>
        <v>2020</v>
      </c>
      <c r="D237" s="13">
        <f>AVERAGEIFS('Sunflower Prices'!F237:F5539,'Sunflower Prices'!B237:B5539,'Sunflower Monthly'!B237,'Sunflower Prices'!C237:C5539,'Sunflower Monthly'!C237)</f>
        <v>336.68380548007565</v>
      </c>
      <c r="E237" s="13"/>
      <c r="F237" s="13"/>
      <c r="G237" s="13"/>
      <c r="H237" s="13"/>
      <c r="I237" s="13"/>
      <c r="J237" s="13">
        <f>AVERAGEIFS('Sunflower Prices'!I237:I5539,'Sunflower Prices'!B237:B5539,'Sunflower Monthly'!B237,'Sunflower Prices'!C237:C5539,'Sunflower Monthly'!C237)</f>
        <v>356.52436323351907</v>
      </c>
    </row>
    <row r="238" spans="1:10" x14ac:dyDescent="0.25">
      <c r="A238" s="10">
        <v>43983</v>
      </c>
      <c r="B238" s="12">
        <f t="shared" si="6"/>
        <v>6</v>
      </c>
      <c r="C238" s="12">
        <f t="shared" si="7"/>
        <v>2020</v>
      </c>
      <c r="D238" s="13">
        <f>AVERAGEIFS('Sunflower Prices'!F238:F5540,'Sunflower Prices'!B238:B5540,'Sunflower Monthly'!B238,'Sunflower Prices'!C238:C5540,'Sunflower Monthly'!C238)</f>
        <v>383.6930561141196</v>
      </c>
      <c r="E238" s="13"/>
      <c r="F238" s="13"/>
      <c r="G238" s="13"/>
      <c r="H238" s="13"/>
      <c r="I238" s="13"/>
      <c r="J238" s="13">
        <f>AVERAGEIFS('Sunflower Prices'!I238:I5540,'Sunflower Prices'!B238:B5540,'Sunflower Monthly'!B238,'Sunflower Prices'!C238:C5540,'Sunflower Monthly'!C238)</f>
        <v>372.40841801609048</v>
      </c>
    </row>
    <row r="239" spans="1:10" x14ac:dyDescent="0.25">
      <c r="A239" s="10">
        <v>44013</v>
      </c>
      <c r="B239" s="12">
        <f t="shared" si="6"/>
        <v>7</v>
      </c>
      <c r="C239" s="12">
        <f t="shared" si="7"/>
        <v>2020</v>
      </c>
      <c r="D239" s="13">
        <f>AVERAGEIFS('Sunflower Prices'!F239:F5541,'Sunflower Prices'!B239:B5541,'Sunflower Monthly'!B239,'Sunflower Prices'!C239:C5541,'Sunflower Monthly'!C239)</f>
        <v>330.37878244536233</v>
      </c>
      <c r="E239" s="13"/>
      <c r="F239" s="13"/>
      <c r="G239" s="13"/>
      <c r="H239" s="13"/>
      <c r="I239" s="13"/>
      <c r="J239" s="13">
        <f>AVERAGEIFS('Sunflower Prices'!I239:I5541,'Sunflower Prices'!B239:B5541,'Sunflower Monthly'!B239,'Sunflower Prices'!C239:C5541,'Sunflower Monthly'!C239)</f>
        <v>366.94999209468921</v>
      </c>
    </row>
    <row r="240" spans="1:10" x14ac:dyDescent="0.25">
      <c r="A240" s="10">
        <v>44044</v>
      </c>
      <c r="B240" s="12">
        <f t="shared" si="6"/>
        <v>8</v>
      </c>
      <c r="C240" s="12">
        <f t="shared" si="7"/>
        <v>2020</v>
      </c>
      <c r="D240" s="13">
        <f>AVERAGEIFS('Sunflower Prices'!F240:F5542,'Sunflower Prices'!B240:B5542,'Sunflower Monthly'!B240,'Sunflower Prices'!C240:C5542,'Sunflower Monthly'!C240)</f>
        <v>306.0448341611808</v>
      </c>
      <c r="E240" s="13"/>
      <c r="F240" s="13"/>
      <c r="G240" s="13"/>
      <c r="H240" s="13"/>
      <c r="I240" s="13"/>
      <c r="J240" s="13">
        <f>AVERAGEIFS('Sunflower Prices'!I240:I5542,'Sunflower Prices'!B240:B5542,'Sunflower Monthly'!B240,'Sunflower Prices'!C240:C5542,'Sunflower Monthly'!C240)</f>
        <v>347.66419062855363</v>
      </c>
    </row>
    <row r="241" spans="1:12" x14ac:dyDescent="0.25">
      <c r="A241" s="10">
        <v>44075</v>
      </c>
      <c r="B241" s="12">
        <f t="shared" si="6"/>
        <v>9</v>
      </c>
      <c r="C241" s="12">
        <f t="shared" si="7"/>
        <v>2020</v>
      </c>
      <c r="D241" s="13">
        <f>AVERAGEIFS('Sunflower Prices'!F241:F5543,'Sunflower Prices'!B241:B5543,'Sunflower Monthly'!B241,'Sunflower Prices'!C241:C5543,'Sunflower Monthly'!C241)</f>
        <v>380.54945700677951</v>
      </c>
      <c r="E241" s="13"/>
      <c r="F241" s="13"/>
      <c r="G241" s="13"/>
      <c r="H241" s="13"/>
      <c r="I241" s="13"/>
      <c r="J241" s="13">
        <f>AVERAGEIFS('Sunflower Prices'!I241:I5543,'Sunflower Prices'!B241:B5543,'Sunflower Monthly'!B241,'Sunflower Prices'!C241:C5543,'Sunflower Monthly'!C241)</f>
        <v>394.17622937417104</v>
      </c>
    </row>
    <row r="242" spans="1:12" x14ac:dyDescent="0.25">
      <c r="A242" s="10">
        <v>44105</v>
      </c>
      <c r="B242" s="12">
        <f t="shared" si="6"/>
        <v>10</v>
      </c>
      <c r="C242" s="12">
        <f t="shared" si="7"/>
        <v>2020</v>
      </c>
      <c r="D242" s="13">
        <f>AVERAGEIFS('Sunflower Prices'!F242:F5544,'Sunflower Prices'!B242:B5544,'Sunflower Monthly'!B242,'Sunflower Prices'!C242:C5544,'Sunflower Monthly'!C242)</f>
        <v>407.1888781240412</v>
      </c>
      <c r="E242" s="13"/>
      <c r="F242" s="13"/>
      <c r="G242" s="13"/>
      <c r="H242" s="13"/>
      <c r="I242" s="13"/>
      <c r="J242" s="13">
        <f>AVERAGEIFS('Sunflower Prices'!I242:I5544,'Sunflower Prices'!B242:B5544,'Sunflower Monthly'!B242,'Sunflower Prices'!C242:C5544,'Sunflower Monthly'!C242)</f>
        <v>435.31444394330026</v>
      </c>
    </row>
    <row r="243" spans="1:12" x14ac:dyDescent="0.25">
      <c r="A243" s="10">
        <v>44136</v>
      </c>
      <c r="B243" s="12">
        <f t="shared" si="6"/>
        <v>11</v>
      </c>
      <c r="C243" s="12">
        <f t="shared" si="7"/>
        <v>2020</v>
      </c>
      <c r="D243" s="13">
        <f>AVERAGEIFS('Sunflower Prices'!F243:F5545,'Sunflower Prices'!B243:B5545,'Sunflower Monthly'!B243,'Sunflower Prices'!C243:C5545,'Sunflower Monthly'!C243)</f>
        <v>485.37682380350043</v>
      </c>
      <c r="E243" s="13"/>
      <c r="F243" s="13"/>
      <c r="G243" s="13"/>
      <c r="H243" s="13"/>
      <c r="I243" s="13"/>
      <c r="J243" s="13">
        <f>AVERAGEIFS('Sunflower Prices'!I243:I5545,'Sunflower Prices'!B243:B5545,'Sunflower Monthly'!B243,'Sunflower Prices'!C243:C5545,'Sunflower Monthly'!C243)</f>
        <v>543.92985179164293</v>
      </c>
    </row>
    <row r="244" spans="1:12" x14ac:dyDescent="0.25">
      <c r="A244" s="10">
        <v>44166</v>
      </c>
      <c r="B244" s="12">
        <f t="shared" si="6"/>
        <v>12</v>
      </c>
      <c r="C244" s="12">
        <f t="shared" si="7"/>
        <v>2020</v>
      </c>
      <c r="D244" s="13">
        <f>AVERAGEIFS('Sunflower Prices'!F244:F5546,'Sunflower Prices'!B244:B5546,'Sunflower Monthly'!B244,'Sunflower Prices'!C244:C5546,'Sunflower Monthly'!C244)</f>
        <v>499.96809839726006</v>
      </c>
      <c r="E244" s="13"/>
      <c r="F244" s="13"/>
      <c r="G244" s="13"/>
      <c r="H244" s="13"/>
      <c r="I244" s="13"/>
      <c r="J244" s="13">
        <f>AVERAGEIFS('Sunflower Prices'!I244:I5546,'Sunflower Prices'!B244:B5546,'Sunflower Monthly'!B244,'Sunflower Prices'!C244:C5546,'Sunflower Monthly'!C244)</f>
        <v>579.01106256049547</v>
      </c>
    </row>
    <row r="245" spans="1:12" x14ac:dyDescent="0.25">
      <c r="A245" s="10">
        <v>44197</v>
      </c>
      <c r="B245" s="12">
        <f t="shared" si="6"/>
        <v>1</v>
      </c>
      <c r="C245" s="12">
        <f t="shared" si="7"/>
        <v>2021</v>
      </c>
      <c r="D245" s="13">
        <f>AVERAGEIFS('Sunflower Prices'!F245:F5547,'Sunflower Prices'!B245:B5547,'Sunflower Monthly'!B245,'Sunflower Prices'!C245:C5547,'Sunflower Monthly'!C245)</f>
        <v>530.92286389029118</v>
      </c>
      <c r="E245" s="13"/>
      <c r="F245" s="13"/>
      <c r="G245" s="13"/>
      <c r="H245" s="13"/>
      <c r="I245" s="13"/>
      <c r="J245" s="13">
        <f>AVERAGEIFS('Sunflower Prices'!I245:I5547,'Sunflower Prices'!B245:B5547,'Sunflower Monthly'!B245,'Sunflower Prices'!C245:C5547,'Sunflower Monthly'!C245)</f>
        <v>756.02840350094039</v>
      </c>
    </row>
    <row r="246" spans="1:12" x14ac:dyDescent="0.25">
      <c r="A246" s="10">
        <v>44228</v>
      </c>
      <c r="B246" s="12">
        <f t="shared" si="6"/>
        <v>2</v>
      </c>
      <c r="C246" s="12">
        <f t="shared" si="7"/>
        <v>2021</v>
      </c>
      <c r="D246" s="13">
        <f>AVERAGEIFS('Sunflower Prices'!F246:F5548,'Sunflower Prices'!B246:B5548,'Sunflower Monthly'!B246,'Sunflower Prices'!C246:C5548,'Sunflower Monthly'!C246)</f>
        <v>593.61619019706609</v>
      </c>
      <c r="E246" s="13"/>
      <c r="F246" s="13"/>
      <c r="G246" s="13"/>
      <c r="H246" s="13"/>
      <c r="I246" s="13"/>
      <c r="J246" s="13">
        <f>AVERAGEIFS('Sunflower Prices'!I246:I5548,'Sunflower Prices'!B246:B5548,'Sunflower Monthly'!B246,'Sunflower Prices'!C246:C5548,'Sunflower Monthly'!C246)</f>
        <v>820.22577500150874</v>
      </c>
    </row>
    <row r="247" spans="1:12" x14ac:dyDescent="0.25">
      <c r="A247" s="10">
        <v>44256</v>
      </c>
      <c r="B247" s="12">
        <f t="shared" si="6"/>
        <v>3</v>
      </c>
      <c r="C247" s="12">
        <f t="shared" si="7"/>
        <v>2021</v>
      </c>
      <c r="D247" s="13">
        <f>AVERAGEIFS('Sunflower Prices'!F247:F5549,'Sunflower Prices'!B247:B5549,'Sunflower Monthly'!B247,'Sunflower Prices'!C247:C5549,'Sunflower Monthly'!C247)</f>
        <v>655.85112864467635</v>
      </c>
      <c r="E247" s="13"/>
      <c r="F247" s="13"/>
      <c r="G247" s="13"/>
      <c r="H247" s="13"/>
      <c r="I247" s="13"/>
      <c r="J247" s="13">
        <f>AVERAGEIFS('Sunflower Prices'!I247:I5549,'Sunflower Prices'!B247:B5549,'Sunflower Monthly'!B247,'Sunflower Prices'!C247:C5549,'Sunflower Monthly'!C247)</f>
        <v>856.27177818853261</v>
      </c>
    </row>
    <row r="248" spans="1:12" x14ac:dyDescent="0.25">
      <c r="A248" s="10">
        <v>44287</v>
      </c>
      <c r="B248" s="12">
        <f t="shared" si="6"/>
        <v>4</v>
      </c>
      <c r="C248" s="12">
        <f t="shared" si="7"/>
        <v>2021</v>
      </c>
      <c r="D248" s="13">
        <f>AVERAGEIFS('Sunflower Prices'!F248:F5550,'Sunflower Prices'!B248:B5550,'Sunflower Monthly'!B248,'Sunflower Prices'!C248:C5550,'Sunflower Monthly'!C248)</f>
        <v>690.1593155458736</v>
      </c>
      <c r="E248" s="13"/>
      <c r="F248" s="13"/>
      <c r="G248" s="13"/>
      <c r="H248" s="13"/>
      <c r="I248" s="13"/>
      <c r="J248" s="13">
        <f>AVERAGEIFS('Sunflower Prices'!I248:I5550,'Sunflower Prices'!B248:B5550,'Sunflower Monthly'!B248,'Sunflower Prices'!C248:C5550,'Sunflower Monthly'!C248)</f>
        <v>874.36172738914263</v>
      </c>
    </row>
    <row r="249" spans="1:12" x14ac:dyDescent="0.25">
      <c r="A249" s="10">
        <v>44317</v>
      </c>
      <c r="B249" s="12">
        <f t="shared" si="6"/>
        <v>5</v>
      </c>
      <c r="C249" s="12">
        <f t="shared" si="7"/>
        <v>2021</v>
      </c>
      <c r="D249" s="13">
        <f>AVERAGEIFS('Sunflower Prices'!F249:F5551,'Sunflower Prices'!B249:B5551,'Sunflower Monthly'!B249,'Sunflower Prices'!C249:C5551,'Sunflower Monthly'!C249)</f>
        <v>706.57690229418722</v>
      </c>
      <c r="E249" s="13"/>
      <c r="F249" s="13"/>
      <c r="G249" s="13"/>
      <c r="H249" s="13"/>
      <c r="I249" s="13"/>
      <c r="J249" s="13">
        <f>AVERAGEIFS('Sunflower Prices'!I249:I5551,'Sunflower Prices'!B249:B5551,'Sunflower Monthly'!B249,'Sunflower Prices'!C249:C5551,'Sunflower Monthly'!C249)</f>
        <v>830.54785048182157</v>
      </c>
    </row>
    <row r="250" spans="1:12" x14ac:dyDescent="0.25">
      <c r="A250" s="10">
        <v>44348</v>
      </c>
      <c r="B250" s="12">
        <f t="shared" si="6"/>
        <v>6</v>
      </c>
      <c r="C250" s="12">
        <f t="shared" si="7"/>
        <v>2021</v>
      </c>
      <c r="D250" s="13">
        <f>AVERAGEIFS('Sunflower Prices'!F250:F5552,'Sunflower Prices'!B250:B5552,'Sunflower Monthly'!B250,'Sunflower Prices'!C250:C5552,'Sunflower Monthly'!C250)</f>
        <v>633.38711955848453</v>
      </c>
      <c r="E250" s="13"/>
      <c r="F250" s="13"/>
      <c r="G250" s="13"/>
      <c r="H250" s="13"/>
      <c r="I250" s="13"/>
      <c r="J250" s="13">
        <f>AVERAGEIFS('Sunflower Prices'!I250:I5552,'Sunflower Prices'!B250:B5552,'Sunflower Monthly'!B250,'Sunflower Prices'!C250:C5552,'Sunflower Monthly'!C250)</f>
        <v>643.09661602445772</v>
      </c>
    </row>
    <row r="251" spans="1:12" x14ac:dyDescent="0.25">
      <c r="A251" s="10">
        <v>44378</v>
      </c>
      <c r="B251" s="12">
        <f t="shared" si="6"/>
        <v>7</v>
      </c>
      <c r="C251" s="12">
        <f t="shared" si="7"/>
        <v>2021</v>
      </c>
      <c r="D251" s="13" t="e">
        <f ca="1">AVERAGEIFS('Sunflower Prices'!F251:F5553,'Sunflower Prices'!B251:B5553,'Sunflower Monthly'!B251,'Sunflower Prices'!C251:C5553,'Sunflower Monthly'!C251)</f>
        <v>#NAME?</v>
      </c>
      <c r="E251" s="13"/>
      <c r="F251" s="13"/>
      <c r="G251" s="13"/>
      <c r="H251" s="13"/>
      <c r="I251" s="13"/>
      <c r="J251" s="13" t="e">
        <f ca="1">AVERAGEIFS('Sunflower Prices'!I251:I5553,'Sunflower Prices'!B251:B5553,'Sunflower Monthly'!B251,'Sunflower Prices'!C251:C5553,'Sunflower Monthly'!C251)</f>
        <v>#NAME?</v>
      </c>
    </row>
    <row r="252" spans="1:12" x14ac:dyDescent="0.25">
      <c r="A252" s="10">
        <v>44409</v>
      </c>
      <c r="B252" s="12">
        <f t="shared" si="6"/>
        <v>8</v>
      </c>
      <c r="C252" s="12">
        <f t="shared" si="7"/>
        <v>2021</v>
      </c>
      <c r="D252" s="13" t="e">
        <f ca="1">AVERAGEIFS('Sunflower Prices'!F252:F5554,'Sunflower Prices'!B252:B5554,'Sunflower Monthly'!B252,'Sunflower Prices'!C252:C5554,'Sunflower Monthly'!C252)</f>
        <v>#NAME?</v>
      </c>
      <c r="E252" s="13"/>
      <c r="F252" s="13"/>
      <c r="G252" s="13"/>
      <c r="H252" s="13"/>
      <c r="I252" s="13"/>
      <c r="J252" s="13" t="e">
        <f ca="1">AVERAGEIFS('Sunflower Prices'!I252:I5554,'Sunflower Prices'!B252:B5554,'Sunflower Monthly'!B252,'Sunflower Prices'!C252:C5554,'Sunflower Monthly'!C252)</f>
        <v>#NAME?</v>
      </c>
    </row>
    <row r="253" spans="1:12" x14ac:dyDescent="0.25">
      <c r="A253" s="10">
        <v>44440</v>
      </c>
      <c r="B253" s="12">
        <f t="shared" si="6"/>
        <v>9</v>
      </c>
      <c r="C253" s="12">
        <f t="shared" si="7"/>
        <v>2021</v>
      </c>
      <c r="D253" s="21" t="e">
        <f ca="1">MROUND(FORECAST([2]Prices!$J$623,D194:D252,[2]Prices!$J$564:$J$622),5)</f>
        <v>#NAME?</v>
      </c>
      <c r="E253" s="21" t="e">
        <f ca="1">MROUND(D253+_xlfn.STDEV.S(D2:D252),5)</f>
        <v>#NAME?</v>
      </c>
      <c r="F253" s="21" t="e">
        <f ca="1">MROUND(D253-_xlfn.STDEV.S(D2:D252),5)</f>
        <v>#NAME?</v>
      </c>
      <c r="G253" s="21"/>
      <c r="H253" s="21"/>
      <c r="I253" s="21"/>
      <c r="J253" s="21" t="e">
        <f ca="1">MROUND(FORECAST([2]Prices!$J$623,J233:J252,[2]Prices!$J$603:$J$622),5)</f>
        <v>#NAME?</v>
      </c>
      <c r="K253" s="21" t="e">
        <f ca="1">MROUND(J253+_xlfn.STDEV.S(J233:J252),5)</f>
        <v>#NAME?</v>
      </c>
      <c r="L253" s="21" t="e">
        <f ca="1">MROUND(J253-_xlfn.STDEV.S(J233:J252),5)</f>
        <v>#NAME?</v>
      </c>
    </row>
    <row r="254" spans="1:12" x14ac:dyDescent="0.25">
      <c r="A254" s="10">
        <v>44470</v>
      </c>
      <c r="B254" s="12">
        <f t="shared" si="6"/>
        <v>10</v>
      </c>
      <c r="C254" s="12">
        <f t="shared" si="7"/>
        <v>2021</v>
      </c>
      <c r="D254" s="21" t="e">
        <f ca="1">MROUND(FORECAST([2]Prices!$J$623,D195:D253,[2]Prices!$J$564:$J$622),5)</f>
        <v>#NAME?</v>
      </c>
      <c r="E254" s="21" t="e">
        <f t="shared" ref="E254:E264" ca="1" si="8">MROUND(D254+_xlfn.STDEV.S(D3:D253),5)</f>
        <v>#NAME?</v>
      </c>
      <c r="F254" s="21" t="e">
        <f t="shared" ref="F254:F264" ca="1" si="9">MROUND(D254-_xlfn.STDEV.S(D3:D253),5)</f>
        <v>#NAME?</v>
      </c>
      <c r="G254" s="21"/>
      <c r="H254" s="21"/>
      <c r="I254" s="21"/>
      <c r="J254" s="21" t="e">
        <f ca="1">MROUND(FORECAST([2]Prices!$J$623,J234:J253,[2]Prices!$J$603:$J$622),5)</f>
        <v>#NAME?</v>
      </c>
      <c r="K254" s="21" t="e">
        <f t="shared" ref="K254:K264" ca="1" si="10">MROUND(J254+_xlfn.STDEV.S(J234:J253),5)</f>
        <v>#NAME?</v>
      </c>
      <c r="L254" s="21" t="e">
        <f t="shared" ref="L254:L264" ca="1" si="11">MROUND(J254-_xlfn.STDEV.S(J234:J253),5)</f>
        <v>#NAME?</v>
      </c>
    </row>
    <row r="255" spans="1:12" x14ac:dyDescent="0.25">
      <c r="A255" s="10">
        <v>44501</v>
      </c>
      <c r="B255" s="12">
        <f t="shared" si="6"/>
        <v>11</v>
      </c>
      <c r="C255" s="12">
        <f t="shared" si="7"/>
        <v>2021</v>
      </c>
      <c r="D255" s="21" t="e">
        <f ca="1">MROUND(FORECAST([2]Prices!$J$623,D196:D254,[2]Prices!$J$564:$J$622),5)</f>
        <v>#NAME?</v>
      </c>
      <c r="E255" s="21" t="e">
        <f t="shared" ca="1" si="8"/>
        <v>#NAME?</v>
      </c>
      <c r="F255" s="21" t="e">
        <f t="shared" ca="1" si="9"/>
        <v>#NAME?</v>
      </c>
      <c r="G255" s="21"/>
      <c r="H255" s="21"/>
      <c r="I255" s="21"/>
      <c r="J255" s="21" t="e">
        <f ca="1">MROUND(FORECAST([2]Prices!$J$623,J235:J254,[2]Prices!$J$603:$J$622),5)</f>
        <v>#NAME?</v>
      </c>
      <c r="K255" s="21" t="e">
        <f t="shared" ca="1" si="10"/>
        <v>#NAME?</v>
      </c>
      <c r="L255" s="21" t="e">
        <f t="shared" ca="1" si="11"/>
        <v>#NAME?</v>
      </c>
    </row>
    <row r="256" spans="1:12" x14ac:dyDescent="0.25">
      <c r="A256" s="10">
        <v>44531</v>
      </c>
      <c r="B256" s="12">
        <f t="shared" si="6"/>
        <v>12</v>
      </c>
      <c r="C256" s="12">
        <f t="shared" si="7"/>
        <v>2021</v>
      </c>
      <c r="D256" s="21" t="e">
        <f ca="1">MROUND(FORECAST([2]Prices!$J$623,D197:D255,[2]Prices!$J$564:$J$622),5)</f>
        <v>#NAME?</v>
      </c>
      <c r="E256" s="21" t="e">
        <f t="shared" ca="1" si="8"/>
        <v>#NAME?</v>
      </c>
      <c r="F256" s="21" t="e">
        <f t="shared" ca="1" si="9"/>
        <v>#NAME?</v>
      </c>
      <c r="G256" s="21"/>
      <c r="H256" s="21"/>
      <c r="I256" s="21"/>
      <c r="J256" s="21" t="e">
        <f ca="1">MROUND(FORECAST([2]Prices!$J$623,J236:J255,[2]Prices!$J$603:$J$622),5)</f>
        <v>#NAME?</v>
      </c>
      <c r="K256" s="21" t="e">
        <f t="shared" ca="1" si="10"/>
        <v>#NAME?</v>
      </c>
      <c r="L256" s="21" t="e">
        <f t="shared" ca="1" si="11"/>
        <v>#NAME?</v>
      </c>
    </row>
    <row r="257" spans="1:12" x14ac:dyDescent="0.25">
      <c r="A257" s="10">
        <v>44562</v>
      </c>
      <c r="B257" s="12">
        <f t="shared" si="6"/>
        <v>1</v>
      </c>
      <c r="C257" s="12">
        <f t="shared" si="7"/>
        <v>2022</v>
      </c>
      <c r="D257" s="21" t="e">
        <f ca="1">MROUND(FORECAST([2]Prices!$J$623,D198:D256,[2]Prices!$J$564:$J$622),5)</f>
        <v>#NAME?</v>
      </c>
      <c r="E257" s="21" t="e">
        <f t="shared" ca="1" si="8"/>
        <v>#NAME?</v>
      </c>
      <c r="F257" s="21" t="e">
        <f t="shared" ca="1" si="9"/>
        <v>#NAME?</v>
      </c>
      <c r="G257" s="21"/>
      <c r="H257" s="21"/>
      <c r="I257" s="21"/>
      <c r="J257" s="21" t="e">
        <f ca="1">MROUND(FORECAST([2]Prices!$J$623,J237:J256,[2]Prices!$J$603:$J$622),5)</f>
        <v>#NAME?</v>
      </c>
      <c r="K257" s="21" t="e">
        <f t="shared" ca="1" si="10"/>
        <v>#NAME?</v>
      </c>
      <c r="L257" s="21" t="e">
        <f t="shared" ca="1" si="11"/>
        <v>#NAME?</v>
      </c>
    </row>
    <row r="258" spans="1:12" x14ac:dyDescent="0.25">
      <c r="A258" s="10">
        <v>44593</v>
      </c>
      <c r="B258" s="12">
        <f t="shared" si="6"/>
        <v>2</v>
      </c>
      <c r="C258" s="12">
        <f t="shared" si="7"/>
        <v>2022</v>
      </c>
      <c r="D258" s="21" t="e">
        <f ca="1">MROUND(FORECAST([2]Prices!$J$623,D199:D257,[2]Prices!$J$564:$J$622),5)</f>
        <v>#NAME?</v>
      </c>
      <c r="E258" s="21" t="e">
        <f t="shared" ca="1" si="8"/>
        <v>#NAME?</v>
      </c>
      <c r="F258" s="21" t="e">
        <f t="shared" ca="1" si="9"/>
        <v>#NAME?</v>
      </c>
      <c r="G258" s="21"/>
      <c r="H258" s="21"/>
      <c r="I258" s="21"/>
      <c r="J258" s="21" t="e">
        <f ca="1">MROUND(FORECAST([2]Prices!$J$623,J238:J257,[2]Prices!$J$603:$J$622),5)</f>
        <v>#NAME?</v>
      </c>
      <c r="K258" s="21" t="e">
        <f t="shared" ca="1" si="10"/>
        <v>#NAME?</v>
      </c>
      <c r="L258" s="21" t="e">
        <f t="shared" ca="1" si="11"/>
        <v>#NAME?</v>
      </c>
    </row>
    <row r="259" spans="1:12" x14ac:dyDescent="0.25">
      <c r="A259" s="10">
        <v>44621</v>
      </c>
      <c r="B259" s="12">
        <f t="shared" ref="B259:B270" si="12">MONTH(A259)</f>
        <v>3</v>
      </c>
      <c r="C259" s="12">
        <f t="shared" ref="C259:C270" si="13">YEAR(A259)</f>
        <v>2022</v>
      </c>
      <c r="D259" s="21" t="e">
        <f ca="1">MROUND(FORECAST([2]Prices!$J$623,D200:D258,[2]Prices!$J$564:$J$622),5)</f>
        <v>#NAME?</v>
      </c>
      <c r="E259" s="21" t="e">
        <f t="shared" ca="1" si="8"/>
        <v>#NAME?</v>
      </c>
      <c r="F259" s="21" t="e">
        <f t="shared" ca="1" si="9"/>
        <v>#NAME?</v>
      </c>
      <c r="G259" s="21"/>
      <c r="H259" s="21"/>
      <c r="I259" s="21"/>
      <c r="J259" s="21" t="e">
        <f ca="1">MROUND(FORECAST([2]Prices!$J$623,J239:J258,[2]Prices!$J$603:$J$622),5)</f>
        <v>#NAME?</v>
      </c>
      <c r="K259" s="21" t="e">
        <f t="shared" ca="1" si="10"/>
        <v>#NAME?</v>
      </c>
      <c r="L259" s="21" t="e">
        <f t="shared" ca="1" si="11"/>
        <v>#NAME?</v>
      </c>
    </row>
    <row r="260" spans="1:12" x14ac:dyDescent="0.25">
      <c r="A260" s="10">
        <v>44652</v>
      </c>
      <c r="B260" s="12">
        <f t="shared" si="12"/>
        <v>4</v>
      </c>
      <c r="C260" s="12">
        <f t="shared" si="13"/>
        <v>2022</v>
      </c>
      <c r="D260" s="21" t="e">
        <f ca="1">MROUND(FORECAST([2]Prices!$J$623,D201:D259,[2]Prices!$J$564:$J$622),5)</f>
        <v>#NAME?</v>
      </c>
      <c r="E260" s="21" t="e">
        <f t="shared" ca="1" si="8"/>
        <v>#NAME?</v>
      </c>
      <c r="F260" s="21" t="e">
        <f t="shared" ca="1" si="9"/>
        <v>#NAME?</v>
      </c>
      <c r="G260" s="21"/>
      <c r="H260" s="21"/>
      <c r="I260" s="21"/>
      <c r="J260" s="21" t="e">
        <f ca="1">MROUND(FORECAST([2]Prices!$J$623,J240:J259,[2]Prices!$J$603:$J$622),5)</f>
        <v>#NAME?</v>
      </c>
      <c r="K260" s="21" t="e">
        <f t="shared" ca="1" si="10"/>
        <v>#NAME?</v>
      </c>
      <c r="L260" s="21" t="e">
        <f t="shared" ca="1" si="11"/>
        <v>#NAME?</v>
      </c>
    </row>
    <row r="261" spans="1:12" x14ac:dyDescent="0.25">
      <c r="A261" s="10">
        <v>44682</v>
      </c>
      <c r="B261" s="12">
        <f t="shared" si="12"/>
        <v>5</v>
      </c>
      <c r="C261" s="12">
        <f t="shared" si="13"/>
        <v>2022</v>
      </c>
      <c r="D261" s="21" t="e">
        <f ca="1">MROUND(FORECAST([2]Prices!$J$623,D202:D260,[2]Prices!$J$564:$J$622),5)</f>
        <v>#NAME?</v>
      </c>
      <c r="E261" s="21" t="e">
        <f t="shared" ca="1" si="8"/>
        <v>#NAME?</v>
      </c>
      <c r="F261" s="21" t="e">
        <f t="shared" ca="1" si="9"/>
        <v>#NAME?</v>
      </c>
      <c r="G261" s="21"/>
      <c r="H261" s="21"/>
      <c r="I261" s="21"/>
      <c r="J261" s="21" t="e">
        <f ca="1">MROUND(FORECAST([2]Prices!$J$623,J241:J260,[2]Prices!$J$603:$J$622),5)</f>
        <v>#NAME?</v>
      </c>
      <c r="K261" s="21" t="e">
        <f t="shared" ca="1" si="10"/>
        <v>#NAME?</v>
      </c>
      <c r="L261" s="21" t="e">
        <f t="shared" ca="1" si="11"/>
        <v>#NAME?</v>
      </c>
    </row>
    <row r="262" spans="1:12" x14ac:dyDescent="0.25">
      <c r="A262" s="10">
        <v>44713</v>
      </c>
      <c r="B262" s="12">
        <f t="shared" si="12"/>
        <v>6</v>
      </c>
      <c r="C262" s="12">
        <f t="shared" si="13"/>
        <v>2022</v>
      </c>
      <c r="D262" s="21" t="e">
        <f ca="1">MROUND(FORECAST([2]Prices!$J$623,D203:D261,[2]Prices!$J$564:$J$622),5)</f>
        <v>#NAME?</v>
      </c>
      <c r="E262" s="21" t="e">
        <f t="shared" ca="1" si="8"/>
        <v>#NAME?</v>
      </c>
      <c r="F262" s="21" t="e">
        <f t="shared" ca="1" si="9"/>
        <v>#NAME?</v>
      </c>
      <c r="G262" s="21"/>
      <c r="H262" s="21"/>
      <c r="I262" s="21"/>
      <c r="J262" s="21" t="e">
        <f ca="1">MROUND(FORECAST([2]Prices!$J$623,J242:J261,[2]Prices!$J$603:$J$622),5)</f>
        <v>#NAME?</v>
      </c>
      <c r="K262" s="21" t="e">
        <f t="shared" ca="1" si="10"/>
        <v>#NAME?</v>
      </c>
      <c r="L262" s="21" t="e">
        <f t="shared" ca="1" si="11"/>
        <v>#NAME?</v>
      </c>
    </row>
    <row r="263" spans="1:12" x14ac:dyDescent="0.25">
      <c r="A263" s="10">
        <v>44743</v>
      </c>
      <c r="B263" s="12">
        <f t="shared" si="12"/>
        <v>7</v>
      </c>
      <c r="C263" s="12">
        <f t="shared" si="13"/>
        <v>2022</v>
      </c>
      <c r="D263" s="21" t="e">
        <f ca="1">MROUND(FORECAST([2]Prices!$J$623,D204:D262,[2]Prices!$J$564:$J$622),5)</f>
        <v>#NAME?</v>
      </c>
      <c r="E263" s="21" t="e">
        <f t="shared" ca="1" si="8"/>
        <v>#NAME?</v>
      </c>
      <c r="F263" s="21" t="e">
        <f t="shared" ca="1" si="9"/>
        <v>#NAME?</v>
      </c>
      <c r="G263" s="21"/>
      <c r="H263" s="21"/>
      <c r="I263" s="21"/>
      <c r="J263" s="21" t="e">
        <f ca="1">MROUND(FORECAST([2]Prices!$J$623,J243:J262,[2]Prices!$J$603:$J$622),5)</f>
        <v>#NAME?</v>
      </c>
      <c r="K263" s="21" t="e">
        <f t="shared" ca="1" si="10"/>
        <v>#NAME?</v>
      </c>
      <c r="L263" s="21" t="e">
        <f t="shared" ca="1" si="11"/>
        <v>#NAME?</v>
      </c>
    </row>
    <row r="264" spans="1:12" x14ac:dyDescent="0.25">
      <c r="A264" s="10">
        <v>44774</v>
      </c>
      <c r="B264" s="12">
        <f t="shared" si="12"/>
        <v>8</v>
      </c>
      <c r="C264" s="12">
        <f t="shared" si="13"/>
        <v>2022</v>
      </c>
      <c r="D264" s="21" t="e">
        <f ca="1">MROUND(FORECAST([2]Prices!$J$623,D205:D263,[2]Prices!$J$564:$J$622),5)</f>
        <v>#NAME?</v>
      </c>
      <c r="E264" s="21" t="e">
        <f t="shared" ca="1" si="8"/>
        <v>#NAME?</v>
      </c>
      <c r="F264" s="21" t="e">
        <f t="shared" ca="1" si="9"/>
        <v>#NAME?</v>
      </c>
      <c r="G264" s="21"/>
      <c r="H264" s="21"/>
      <c r="I264" s="21"/>
      <c r="J264" s="21" t="e">
        <f ca="1">MROUND(FORECAST([2]Prices!$J$623,J244:J263,[2]Prices!$J$603:$J$622),5)</f>
        <v>#NAME?</v>
      </c>
      <c r="K264" s="21" t="e">
        <f t="shared" ca="1" si="10"/>
        <v>#NAME?</v>
      </c>
      <c r="L264" s="21" t="e">
        <f t="shared" ca="1" si="11"/>
        <v>#NAME?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2A79-053A-46A3-9EE5-F53A0955487C}">
  <dimension ref="A1:T71"/>
  <sheetViews>
    <sheetView topLeftCell="A3" workbookViewId="0">
      <selection activeCell="D839" sqref="D839"/>
    </sheetView>
  </sheetViews>
  <sheetFormatPr defaultRowHeight="15.75" x14ac:dyDescent="0.25"/>
  <cols>
    <col min="1" max="1" width="10" bestFit="1" customWidth="1"/>
    <col min="2" max="3" width="4.625" style="2" customWidth="1"/>
    <col min="4" max="15" width="11.375" customWidth="1"/>
    <col min="17" max="20" width="16.25" customWidth="1"/>
  </cols>
  <sheetData>
    <row r="1" spans="1:20" ht="63" customHeight="1" x14ac:dyDescent="0.25">
      <c r="B1" s="2" t="s">
        <v>1</v>
      </c>
      <c r="C1" s="2" t="s">
        <v>2</v>
      </c>
      <c r="D1" s="22" t="s">
        <v>3</v>
      </c>
      <c r="E1" s="22"/>
      <c r="F1" s="22"/>
      <c r="G1" s="22" t="s">
        <v>4</v>
      </c>
      <c r="H1" s="22"/>
      <c r="I1" s="22"/>
      <c r="J1" s="22" t="s">
        <v>5</v>
      </c>
      <c r="K1" s="22"/>
      <c r="L1" s="22"/>
      <c r="M1" s="22" t="s">
        <v>6</v>
      </c>
      <c r="N1" s="22"/>
      <c r="O1" s="22"/>
      <c r="Q1" s="23" t="s">
        <v>882</v>
      </c>
      <c r="R1" s="23" t="s">
        <v>883</v>
      </c>
      <c r="S1" s="23" t="s">
        <v>884</v>
      </c>
      <c r="T1" s="23" t="s">
        <v>885</v>
      </c>
    </row>
    <row r="2" spans="1:20" x14ac:dyDescent="0.25">
      <c r="D2" s="23" t="s">
        <v>886</v>
      </c>
      <c r="E2" s="23" t="s">
        <v>887</v>
      </c>
      <c r="F2" s="23" t="s">
        <v>888</v>
      </c>
      <c r="G2" s="23" t="s">
        <v>886</v>
      </c>
      <c r="H2" s="23" t="s">
        <v>887</v>
      </c>
      <c r="I2" s="23" t="s">
        <v>888</v>
      </c>
      <c r="J2" s="23" t="s">
        <v>886</v>
      </c>
      <c r="K2" s="23" t="s">
        <v>887</v>
      </c>
      <c r="L2" s="23" t="s">
        <v>888</v>
      </c>
      <c r="M2" s="23" t="s">
        <v>886</v>
      </c>
      <c r="N2" s="23" t="s">
        <v>887</v>
      </c>
      <c r="O2" s="23" t="s">
        <v>888</v>
      </c>
      <c r="Q2" s="23"/>
      <c r="R2" s="23"/>
      <c r="S2" s="23"/>
      <c r="T2" s="23"/>
    </row>
    <row r="3" spans="1:20" x14ac:dyDescent="0.25">
      <c r="A3" s="24">
        <v>43191</v>
      </c>
      <c r="B3" s="25">
        <f>MONTH(A3)</f>
        <v>4</v>
      </c>
      <c r="C3" s="25">
        <f>YEAR(A3)</f>
        <v>2018</v>
      </c>
      <c r="D3" s="26">
        <f>AVERAGEIFS('Sunflower Oil Prices'!D$2:D$900,'Sunflower Oil Prices'!$B$2:$B$900,'Sun Oil Monthly'!$B3,'Sunflower Oil Prices'!$C$2:$C$900,'Sun Oil Monthly'!$C3)</f>
        <v>769.83333333333337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Q3" s="26">
        <f>IF(D3="","",D3/2204.622*100)</f>
        <v>34.919062466642053</v>
      </c>
      <c r="R3" s="26" t="str">
        <f>IF(G3="","",G3/2204.622*100)</f>
        <v/>
      </c>
      <c r="S3" s="26" t="str">
        <f>IF(J3="","",J3/2204.622*100)</f>
        <v/>
      </c>
      <c r="T3" s="26" t="str">
        <f t="shared" ref="T3:T42" si="0">IF(M3="","",M3/2204.622*100)</f>
        <v/>
      </c>
    </row>
    <row r="4" spans="1:20" x14ac:dyDescent="0.25">
      <c r="A4" s="24">
        <v>43221</v>
      </c>
      <c r="B4" s="25">
        <f t="shared" ref="B4:B55" si="1">MONTH(A4)</f>
        <v>5</v>
      </c>
      <c r="C4" s="25">
        <f t="shared" ref="C4:C55" si="2">YEAR(A4)</f>
        <v>2018</v>
      </c>
      <c r="D4" s="26">
        <f>AVERAGEIFS('Sunflower Oil Prices'!D$2:D$900,'Sunflower Oil Prices'!$B$2:$B$900,'Sun Oil Monthly'!$B4,'Sunflower Oil Prices'!$C$2:$C$900,'Sun Oil Monthly'!$C4)</f>
        <v>756.89473684210532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Q4" s="26">
        <f t="shared" ref="Q4:Q42" si="3">IF(D4="","",D4/2204.622*100)</f>
        <v>34.332177436408848</v>
      </c>
      <c r="R4" s="26" t="str">
        <f t="shared" ref="R4:R42" si="4">IF(G4="","",G4/2204.622*100)</f>
        <v/>
      </c>
      <c r="S4" s="26" t="str">
        <f t="shared" ref="S4:S42" si="5">IF(J4="","",J4/2204.622*100)</f>
        <v/>
      </c>
      <c r="T4" s="26" t="str">
        <f t="shared" si="0"/>
        <v/>
      </c>
    </row>
    <row r="5" spans="1:20" x14ac:dyDescent="0.25">
      <c r="A5" s="24">
        <v>43252</v>
      </c>
      <c r="B5" s="25">
        <f t="shared" si="1"/>
        <v>6</v>
      </c>
      <c r="C5" s="25">
        <f t="shared" si="2"/>
        <v>2018</v>
      </c>
      <c r="D5" s="26">
        <f>AVERAGEIFS('Sunflower Oil Prices'!D$2:D$900,'Sunflower Oil Prices'!$B$2:$B$900,'Sun Oil Monthly'!$B5,'Sunflower Oil Prices'!$C$2:$C$900,'Sun Oil Monthly'!$C5)</f>
        <v>732.61904761904759</v>
      </c>
      <c r="E5" s="26"/>
      <c r="F5" s="26"/>
      <c r="G5" s="26"/>
      <c r="H5" s="26"/>
      <c r="I5" s="26"/>
      <c r="J5" s="26"/>
      <c r="K5" s="26"/>
      <c r="L5" s="26"/>
      <c r="M5" s="26">
        <f>AVERAGEIFS('Sunflower Oil Prices'!G$2:G$900,'Sunflower Oil Prices'!$B$2:$B$900,'Sun Oil Monthly'!$B5,'Sunflower Oil Prices'!$C$2:$C$900,'Sun Oil Monthly'!$C5)</f>
        <v>715.3</v>
      </c>
      <c r="N5" s="26"/>
      <c r="O5" s="26"/>
      <c r="Q5" s="26">
        <f t="shared" si="3"/>
        <v>33.231050385011471</v>
      </c>
      <c r="R5" s="26" t="str">
        <f t="shared" si="4"/>
        <v/>
      </c>
      <c r="S5" s="26" t="str">
        <f t="shared" si="5"/>
        <v/>
      </c>
      <c r="T5" s="26">
        <f t="shared" si="0"/>
        <v>32.445471377859789</v>
      </c>
    </row>
    <row r="6" spans="1:20" x14ac:dyDescent="0.25">
      <c r="A6" s="24">
        <v>43282</v>
      </c>
      <c r="B6" s="25">
        <f t="shared" si="1"/>
        <v>7</v>
      </c>
      <c r="C6" s="25">
        <f t="shared" si="2"/>
        <v>2018</v>
      </c>
      <c r="D6" s="26">
        <f>AVERAGEIFS('Sunflower Oil Prices'!D$2:D$900,'Sunflower Oil Prices'!$B$2:$B$900,'Sun Oil Monthly'!$B6,'Sunflower Oil Prices'!$C$2:$C$900,'Sun Oil Monthly'!$C6)</f>
        <v>742.27272727272725</v>
      </c>
      <c r="E6" s="26"/>
      <c r="F6" s="26"/>
      <c r="G6" s="26"/>
      <c r="H6" s="26"/>
      <c r="I6" s="26"/>
      <c r="J6" s="26">
        <f>AVERAGEIFS('Sunflower Oil Prices'!F$2:F$900,'Sunflower Oil Prices'!$B$2:$B$900,'Sun Oil Monthly'!$B6,'Sunflower Oil Prices'!$C$2:$C$900,'Sun Oil Monthly'!$C6)</f>
        <v>764.5</v>
      </c>
      <c r="K6" s="26"/>
      <c r="L6" s="26"/>
      <c r="M6" s="26">
        <f>AVERAGEIFS('Sunflower Oil Prices'!G$2:G$900,'Sunflower Oil Prices'!$B$2:$B$900,'Sun Oil Monthly'!$B6,'Sunflower Oil Prices'!$C$2:$C$900,'Sun Oil Monthly'!$C6)</f>
        <v>718.25</v>
      </c>
      <c r="N6" s="26"/>
      <c r="O6" s="26"/>
      <c r="Q6" s="26">
        <f t="shared" si="3"/>
        <v>33.668934051856844</v>
      </c>
      <c r="R6" s="26" t="str">
        <f t="shared" si="4"/>
        <v/>
      </c>
      <c r="S6" s="26">
        <f t="shared" si="5"/>
        <v>34.677146467739142</v>
      </c>
      <c r="T6" s="26">
        <f t="shared" si="0"/>
        <v>32.579281164752963</v>
      </c>
    </row>
    <row r="7" spans="1:20" x14ac:dyDescent="0.25">
      <c r="A7" s="24">
        <v>43313</v>
      </c>
      <c r="B7" s="25">
        <f t="shared" si="1"/>
        <v>8</v>
      </c>
      <c r="C7" s="25">
        <f t="shared" si="2"/>
        <v>2018</v>
      </c>
      <c r="D7" s="26">
        <f>AVERAGEIFS('Sunflower Oil Prices'!D$2:D$900,'Sunflower Oil Prices'!$B$2:$B$900,'Sun Oil Monthly'!$B7,'Sunflower Oil Prices'!$C$2:$C$900,'Sun Oil Monthly'!$C7)</f>
        <v>714.09090909090912</v>
      </c>
      <c r="E7" s="26"/>
      <c r="F7" s="26"/>
      <c r="G7" s="26"/>
      <c r="H7" s="26"/>
      <c r="I7" s="26"/>
      <c r="J7" s="26">
        <f>AVERAGEIFS('Sunflower Oil Prices'!F$2:F$900,'Sunflower Oil Prices'!$B$2:$B$900,'Sun Oil Monthly'!$B7,'Sunflower Oil Prices'!$C$2:$C$900,'Sun Oil Monthly'!$C7)</f>
        <v>731</v>
      </c>
      <c r="K7" s="26"/>
      <c r="L7" s="26"/>
      <c r="M7" s="26">
        <f>AVERAGEIFS('Sunflower Oil Prices'!G$2:G$900,'Sunflower Oil Prices'!$B$2:$B$900,'Sun Oil Monthly'!$B7,'Sunflower Oil Prices'!$C$2:$C$900,'Sun Oil Monthly'!$C7)</f>
        <v>718.81818181818187</v>
      </c>
      <c r="N7" s="26"/>
      <c r="O7" s="26"/>
      <c r="Q7" s="26">
        <f t="shared" si="3"/>
        <v>32.390627921290324</v>
      </c>
      <c r="R7" s="26" t="str">
        <f t="shared" si="4"/>
        <v/>
      </c>
      <c r="S7" s="26">
        <f t="shared" si="5"/>
        <v>33.157611599630229</v>
      </c>
      <c r="T7" s="26">
        <f t="shared" si="0"/>
        <v>32.60505346577245</v>
      </c>
    </row>
    <row r="8" spans="1:20" x14ac:dyDescent="0.25">
      <c r="A8" s="24">
        <v>43344</v>
      </c>
      <c r="B8" s="25">
        <f t="shared" si="1"/>
        <v>9</v>
      </c>
      <c r="C8" s="25">
        <f t="shared" si="2"/>
        <v>2018</v>
      </c>
      <c r="D8" s="26">
        <f>AVERAGEIFS('Sunflower Oil Prices'!D$2:D$900,'Sunflower Oil Prices'!$B$2:$B$900,'Sun Oil Monthly'!$B8,'Sunflower Oil Prices'!$C$2:$C$900,'Sun Oil Monthly'!$C8)</f>
        <v>693.9</v>
      </c>
      <c r="E8" s="26"/>
      <c r="F8" s="26"/>
      <c r="G8" s="26"/>
      <c r="H8" s="26"/>
      <c r="I8" s="26"/>
      <c r="J8" s="26">
        <f>AVERAGEIFS('Sunflower Oil Prices'!F$2:F$900,'Sunflower Oil Prices'!$B$2:$B$900,'Sun Oil Monthly'!$B8,'Sunflower Oil Prices'!$C$2:$C$900,'Sun Oil Monthly'!$C8)</f>
        <v>710.85</v>
      </c>
      <c r="K8" s="26"/>
      <c r="L8" s="26"/>
      <c r="M8" s="26">
        <f>AVERAGEIFS('Sunflower Oil Prices'!G$2:G$900,'Sunflower Oil Prices'!$B$2:$B$900,'Sun Oil Monthly'!$B8,'Sunflower Oil Prices'!$C$2:$C$900,'Sun Oil Monthly'!$C8)</f>
        <v>691.65</v>
      </c>
      <c r="N8" s="26"/>
      <c r="O8" s="26"/>
      <c r="Q8" s="26">
        <f t="shared" si="3"/>
        <v>31.474783432261859</v>
      </c>
      <c r="R8" s="26" t="str">
        <f t="shared" si="4"/>
        <v/>
      </c>
      <c r="S8" s="26">
        <f t="shared" si="5"/>
        <v>32.243622716275169</v>
      </c>
      <c r="T8" s="26">
        <f t="shared" si="0"/>
        <v>31.372725120224693</v>
      </c>
    </row>
    <row r="9" spans="1:20" x14ac:dyDescent="0.25">
      <c r="A9" s="24">
        <v>43374</v>
      </c>
      <c r="B9" s="25">
        <f t="shared" si="1"/>
        <v>10</v>
      </c>
      <c r="C9" s="25">
        <f t="shared" si="2"/>
        <v>2018</v>
      </c>
      <c r="D9" s="26">
        <f>AVERAGEIFS('Sunflower Oil Prices'!D$2:D$900,'Sunflower Oil Prices'!$B$2:$B$900,'Sun Oil Monthly'!$B9,'Sunflower Oil Prices'!$C$2:$C$900,'Sun Oil Monthly'!$C9)</f>
        <v>667.26086956521738</v>
      </c>
      <c r="E9" s="26"/>
      <c r="F9" s="26"/>
      <c r="G9" s="26"/>
      <c r="H9" s="26"/>
      <c r="I9" s="26"/>
      <c r="J9" s="26">
        <f>AVERAGEIFS('Sunflower Oil Prices'!F$2:F$900,'Sunflower Oil Prices'!$B$2:$B$900,'Sun Oil Monthly'!$B9,'Sunflower Oil Prices'!$C$2:$C$900,'Sun Oil Monthly'!$C9)</f>
        <v>704.21739130434787</v>
      </c>
      <c r="K9" s="26"/>
      <c r="L9" s="26"/>
      <c r="M9" s="26">
        <f>AVERAGEIFS('Sunflower Oil Prices'!G$2:G$900,'Sunflower Oil Prices'!$B$2:$B$900,'Sun Oil Monthly'!$B9,'Sunflower Oil Prices'!$C$2:$C$900,'Sun Oil Monthly'!$C9)</f>
        <v>665.90909090909088</v>
      </c>
      <c r="N9" s="26"/>
      <c r="O9" s="26"/>
      <c r="Q9" s="26">
        <f t="shared" si="3"/>
        <v>30.266452460567727</v>
      </c>
      <c r="R9" s="26" t="str">
        <f t="shared" si="4"/>
        <v/>
      </c>
      <c r="S9" s="26">
        <f t="shared" si="5"/>
        <v>31.942772561661272</v>
      </c>
      <c r="T9" s="26">
        <f t="shared" si="0"/>
        <v>30.205136794837887</v>
      </c>
    </row>
    <row r="10" spans="1:20" x14ac:dyDescent="0.25">
      <c r="A10" s="24">
        <v>43405</v>
      </c>
      <c r="B10" s="25">
        <f t="shared" si="1"/>
        <v>11</v>
      </c>
      <c r="C10" s="25">
        <f t="shared" si="2"/>
        <v>2018</v>
      </c>
      <c r="D10" s="26">
        <f>AVERAGEIFS('Sunflower Oil Prices'!D$2:D$900,'Sunflower Oil Prices'!$B$2:$B$900,'Sun Oil Monthly'!$B10,'Sunflower Oil Prices'!$C$2:$C$900,'Sun Oil Monthly'!$C10)</f>
        <v>637.22727272727275</v>
      </c>
      <c r="E10" s="26"/>
      <c r="F10" s="26"/>
      <c r="G10" s="26"/>
      <c r="H10" s="26"/>
      <c r="I10" s="26"/>
      <c r="J10" s="26">
        <f>AVERAGEIFS('Sunflower Oil Prices'!F$2:F$900,'Sunflower Oil Prices'!$B$2:$B$900,'Sun Oil Monthly'!$B10,'Sunflower Oil Prices'!$C$2:$C$900,'Sun Oil Monthly'!$C10)</f>
        <v>676.68181818181813</v>
      </c>
      <c r="K10" s="26"/>
      <c r="L10" s="26"/>
      <c r="M10" s="26">
        <f>AVERAGEIFS('Sunflower Oil Prices'!G$2:G$900,'Sunflower Oil Prices'!$B$2:$B$900,'Sun Oil Monthly'!$B10,'Sunflower Oil Prices'!$C$2:$C$900,'Sun Oil Monthly'!$C10)</f>
        <v>645.09523809523807</v>
      </c>
      <c r="N10" s="26"/>
      <c r="O10" s="26"/>
      <c r="Q10" s="26">
        <f t="shared" si="3"/>
        <v>28.904151039374227</v>
      </c>
      <c r="R10" s="26" t="str">
        <f t="shared" si="4"/>
        <v/>
      </c>
      <c r="S10" s="26">
        <f t="shared" si="5"/>
        <v>30.693779622167344</v>
      </c>
      <c r="T10" s="26">
        <f t="shared" si="0"/>
        <v>29.261036045872629</v>
      </c>
    </row>
    <row r="11" spans="1:20" x14ac:dyDescent="0.25">
      <c r="A11" s="24">
        <v>43435</v>
      </c>
      <c r="B11" s="25">
        <f t="shared" si="1"/>
        <v>12</v>
      </c>
      <c r="C11" s="25">
        <f t="shared" si="2"/>
        <v>2018</v>
      </c>
      <c r="D11" s="26">
        <f>AVERAGEIFS('Sunflower Oil Prices'!D$2:D$900,'Sunflower Oil Prices'!$B$2:$B$900,'Sun Oil Monthly'!$B11,'Sunflower Oil Prices'!$C$2:$C$900,'Sun Oil Monthly'!$C11)</f>
        <v>639.05882352941171</v>
      </c>
      <c r="E11" s="26"/>
      <c r="F11" s="26"/>
      <c r="G11" s="26"/>
      <c r="H11" s="26"/>
      <c r="I11" s="26"/>
      <c r="J11" s="26">
        <f>AVERAGEIFS('Sunflower Oil Prices'!F$2:F$900,'Sunflower Oil Prices'!$B$2:$B$900,'Sun Oil Monthly'!$B11,'Sunflower Oil Prices'!$C$2:$C$900,'Sun Oil Monthly'!$C11)</f>
        <v>674.5</v>
      </c>
      <c r="K11" s="26"/>
      <c r="L11" s="26"/>
      <c r="M11" s="26">
        <f>AVERAGEIFS('Sunflower Oil Prices'!G$2:G$900,'Sunflower Oil Prices'!$B$2:$B$900,'Sun Oil Monthly'!$B11,'Sunflower Oil Prices'!$C$2:$C$900,'Sun Oil Monthly'!$C11)</f>
        <v>618.82352941176475</v>
      </c>
      <c r="N11" s="26"/>
      <c r="O11" s="26"/>
      <c r="Q11" s="26">
        <f t="shared" si="3"/>
        <v>28.98722880971939</v>
      </c>
      <c r="R11" s="26" t="str">
        <f t="shared" si="4"/>
        <v/>
      </c>
      <c r="S11" s="26">
        <f t="shared" si="5"/>
        <v>30.594813986252522</v>
      </c>
      <c r="T11" s="26">
        <f t="shared" si="0"/>
        <v>28.069371049175995</v>
      </c>
    </row>
    <row r="12" spans="1:20" x14ac:dyDescent="0.25">
      <c r="A12" s="24">
        <v>43466</v>
      </c>
      <c r="B12" s="25">
        <f t="shared" si="1"/>
        <v>1</v>
      </c>
      <c r="C12" s="25">
        <f t="shared" si="2"/>
        <v>2019</v>
      </c>
      <c r="D12" s="26">
        <f>AVERAGEIFS('Sunflower Oil Prices'!D$2:D$900,'Sunflower Oil Prices'!$B$2:$B$900,'Sun Oil Monthly'!$B12,'Sunflower Oil Prices'!$C$2:$C$900,'Sun Oil Monthly'!$C12)</f>
        <v>651.77272727272725</v>
      </c>
      <c r="E12" s="26"/>
      <c r="F12" s="26"/>
      <c r="G12" s="26"/>
      <c r="H12" s="26"/>
      <c r="I12" s="26"/>
      <c r="J12" s="26">
        <f>AVERAGEIFS('Sunflower Oil Prices'!F$2:F$900,'Sunflower Oil Prices'!$B$2:$B$900,'Sun Oil Monthly'!$B12,'Sunflower Oil Prices'!$C$2:$C$900,'Sun Oil Monthly'!$C12)</f>
        <v>685.05681818181813</v>
      </c>
      <c r="K12" s="26"/>
      <c r="L12" s="26"/>
      <c r="M12" s="26">
        <f>AVERAGEIFS('Sunflower Oil Prices'!G$2:G$900,'Sunflower Oil Prices'!$B$2:$B$900,'Sun Oil Monthly'!$B12,'Sunflower Oil Prices'!$C$2:$C$900,'Sun Oil Monthly'!$C12)</f>
        <v>616.59090909090912</v>
      </c>
      <c r="N12" s="26"/>
      <c r="O12" s="26"/>
      <c r="Q12" s="26">
        <f t="shared" si="3"/>
        <v>29.563921945473069</v>
      </c>
      <c r="R12" s="26" t="str">
        <f t="shared" si="4"/>
        <v/>
      </c>
      <c r="S12" s="26">
        <f t="shared" si="5"/>
        <v>31.073663339194574</v>
      </c>
      <c r="T12" s="26">
        <f t="shared" si="0"/>
        <v>27.968101066346485</v>
      </c>
    </row>
    <row r="13" spans="1:20" x14ac:dyDescent="0.25">
      <c r="A13" s="24">
        <v>43497</v>
      </c>
      <c r="B13" s="25">
        <f t="shared" si="1"/>
        <v>2</v>
      </c>
      <c r="C13" s="25">
        <f t="shared" si="2"/>
        <v>2019</v>
      </c>
      <c r="D13" s="26">
        <f>AVERAGEIFS('Sunflower Oil Prices'!D$2:D$900,'Sunflower Oil Prices'!$B$2:$B$900,'Sun Oil Monthly'!$B13,'Sunflower Oil Prices'!$C$2:$C$900,'Sun Oil Monthly'!$C13)</f>
        <v>671.35</v>
      </c>
      <c r="E13" s="26"/>
      <c r="F13" s="26"/>
      <c r="G13" s="26"/>
      <c r="H13" s="26"/>
      <c r="I13" s="26"/>
      <c r="J13" s="26">
        <f>AVERAGEIFS('Sunflower Oil Prices'!F$2:F$900,'Sunflower Oil Prices'!$B$2:$B$900,'Sun Oil Monthly'!$B13,'Sunflower Oil Prices'!$C$2:$C$900,'Sun Oil Monthly'!$C13)</f>
        <v>704.41250000000002</v>
      </c>
      <c r="K13" s="26"/>
      <c r="L13" s="26"/>
      <c r="M13" s="26">
        <f>AVERAGEIFS('Sunflower Oil Prices'!G$2:G$900,'Sunflower Oil Prices'!$B$2:$B$900,'Sun Oil Monthly'!$B13,'Sunflower Oil Prices'!$C$2:$C$900,'Sun Oil Monthly'!$C13)</f>
        <v>652.5</v>
      </c>
      <c r="N13" s="26"/>
      <c r="O13" s="26"/>
      <c r="Q13" s="26">
        <f t="shared" si="3"/>
        <v>30.45193234940049</v>
      </c>
      <c r="R13" s="26" t="str">
        <f t="shared" si="4"/>
        <v/>
      </c>
      <c r="S13" s="26">
        <f t="shared" si="5"/>
        <v>31.951622545724394</v>
      </c>
      <c r="T13" s="26">
        <f t="shared" si="0"/>
        <v>29.596910490778011</v>
      </c>
    </row>
    <row r="14" spans="1:20" x14ac:dyDescent="0.25">
      <c r="A14" s="24">
        <v>43525</v>
      </c>
      <c r="B14" s="25">
        <f t="shared" si="1"/>
        <v>3</v>
      </c>
      <c r="C14" s="25">
        <f t="shared" si="2"/>
        <v>2019</v>
      </c>
      <c r="D14" s="26">
        <f>AVERAGEIFS('Sunflower Oil Prices'!D$2:D$900,'Sunflower Oil Prices'!$B$2:$B$900,'Sun Oil Monthly'!$B14,'Sunflower Oil Prices'!$C$2:$C$900,'Sun Oil Monthly'!$C14)</f>
        <v>661.26190476190482</v>
      </c>
      <c r="E14" s="26"/>
      <c r="F14" s="26"/>
      <c r="G14" s="26"/>
      <c r="H14" s="26"/>
      <c r="I14" s="26"/>
      <c r="J14" s="26">
        <f>AVERAGEIFS('Sunflower Oil Prices'!F$2:F$900,'Sunflower Oil Prices'!$B$2:$B$900,'Sun Oil Monthly'!$B14,'Sunflower Oil Prices'!$C$2:$C$900,'Sun Oil Monthly'!$C14)</f>
        <v>696.80952380952385</v>
      </c>
      <c r="K14" s="26"/>
      <c r="L14" s="26"/>
      <c r="M14" s="26">
        <f>AVERAGEIFS('Sunflower Oil Prices'!G$2:G$900,'Sunflower Oil Prices'!$B$2:$B$900,'Sun Oil Monthly'!$B14,'Sunflower Oil Prices'!$C$2:$C$900,'Sun Oil Monthly'!$C14)</f>
        <v>642.36842105263156</v>
      </c>
      <c r="N14" s="26"/>
      <c r="O14" s="26"/>
      <c r="Q14" s="26">
        <f t="shared" si="3"/>
        <v>29.994343917547084</v>
      </c>
      <c r="R14" s="26" t="str">
        <f t="shared" si="4"/>
        <v/>
      </c>
      <c r="S14" s="26">
        <f t="shared" si="5"/>
        <v>31.606757249520502</v>
      </c>
      <c r="T14" s="26">
        <f t="shared" si="0"/>
        <v>29.137349670493702</v>
      </c>
    </row>
    <row r="15" spans="1:20" x14ac:dyDescent="0.25">
      <c r="A15" s="24">
        <v>43556</v>
      </c>
      <c r="B15" s="25">
        <f t="shared" si="1"/>
        <v>4</v>
      </c>
      <c r="C15" s="25">
        <f t="shared" si="2"/>
        <v>2019</v>
      </c>
      <c r="D15" s="26">
        <f>AVERAGEIFS('Sunflower Oil Prices'!D$2:D$900,'Sunflower Oil Prices'!$B$2:$B$900,'Sun Oil Monthly'!$B15,'Sunflower Oil Prices'!$C$2:$C$900,'Sun Oil Monthly'!$C15)</f>
        <v>662.35</v>
      </c>
      <c r="E15" s="26"/>
      <c r="F15" s="26"/>
      <c r="G15" s="26"/>
      <c r="H15" s="26"/>
      <c r="I15" s="26"/>
      <c r="J15" s="26">
        <f>AVERAGEIFS('Sunflower Oil Prices'!F$2:F$900,'Sunflower Oil Prices'!$B$2:$B$900,'Sun Oil Monthly'!$B15,'Sunflower Oil Prices'!$C$2:$C$900,'Sun Oil Monthly'!$C15)</f>
        <v>696.82500000000005</v>
      </c>
      <c r="K15" s="26"/>
      <c r="L15" s="26"/>
      <c r="M15" s="26">
        <f>AVERAGEIFS('Sunflower Oil Prices'!G$2:G$900,'Sunflower Oil Prices'!$B$2:$B$900,'Sun Oil Monthly'!$B15,'Sunflower Oil Prices'!$C$2:$C$900,'Sun Oil Monthly'!$C15)</f>
        <v>640.57894736842104</v>
      </c>
      <c r="N15" s="26"/>
      <c r="O15" s="26"/>
      <c r="Q15" s="26">
        <f t="shared" si="3"/>
        <v>30.043699101251825</v>
      </c>
      <c r="R15" s="26" t="str">
        <f t="shared" si="4"/>
        <v/>
      </c>
      <c r="S15" s="26">
        <f t="shared" si="5"/>
        <v>31.607459237910181</v>
      </c>
      <c r="T15" s="26">
        <f t="shared" si="0"/>
        <v>29.056180486651272</v>
      </c>
    </row>
    <row r="16" spans="1:20" x14ac:dyDescent="0.25">
      <c r="A16" s="24">
        <v>43586</v>
      </c>
      <c r="B16" s="25">
        <f t="shared" si="1"/>
        <v>5</v>
      </c>
      <c r="C16" s="25">
        <f t="shared" si="2"/>
        <v>2019</v>
      </c>
      <c r="D16" s="26">
        <f>AVERAGEIFS('Sunflower Oil Prices'!D$2:D$900,'Sunflower Oil Prices'!$B$2:$B$900,'Sun Oil Monthly'!$B16,'Sunflower Oil Prices'!$C$2:$C$900,'Sun Oil Monthly'!$C16)</f>
        <v>684.28571428571433</v>
      </c>
      <c r="E16" s="26"/>
      <c r="F16" s="26"/>
      <c r="G16" s="26"/>
      <c r="H16" s="26"/>
      <c r="I16" s="26"/>
      <c r="J16" s="26">
        <f>AVERAGEIFS('Sunflower Oil Prices'!F$2:F$900,'Sunflower Oil Prices'!$B$2:$B$900,'Sun Oil Monthly'!$B16,'Sunflower Oil Prices'!$C$2:$C$900,'Sun Oil Monthly'!$C16)</f>
        <v>721.15789473684208</v>
      </c>
      <c r="K16" s="26"/>
      <c r="L16" s="26"/>
      <c r="M16" s="26">
        <f>AVERAGEIFS('Sunflower Oil Prices'!G$2:G$900,'Sunflower Oil Prices'!$B$2:$B$900,'Sun Oil Monthly'!$B16,'Sunflower Oil Prices'!$C$2:$C$900,'Sun Oil Monthly'!$C16)</f>
        <v>664</v>
      </c>
      <c r="N16" s="26"/>
      <c r="O16" s="26"/>
      <c r="Q16" s="26">
        <f t="shared" si="3"/>
        <v>31.038686644953845</v>
      </c>
      <c r="R16" s="26" t="str">
        <f t="shared" si="4"/>
        <v/>
      </c>
      <c r="S16" s="26">
        <f t="shared" si="5"/>
        <v>32.7111810884969</v>
      </c>
      <c r="T16" s="26">
        <f t="shared" si="0"/>
        <v>30.118541863412414</v>
      </c>
    </row>
    <row r="17" spans="1:20" x14ac:dyDescent="0.25">
      <c r="A17" s="24">
        <v>43617</v>
      </c>
      <c r="B17" s="25">
        <f t="shared" si="1"/>
        <v>6</v>
      </c>
      <c r="C17" s="25">
        <f t="shared" si="2"/>
        <v>2019</v>
      </c>
      <c r="D17" s="26">
        <f>AVERAGEIFS('Sunflower Oil Prices'!D$2:D$900,'Sunflower Oil Prices'!$B$2:$B$900,'Sun Oil Monthly'!$B17,'Sunflower Oil Prices'!$C$2:$C$900,'Sun Oil Monthly'!$C17)</f>
        <v>703.10526315789468</v>
      </c>
      <c r="E17" s="26"/>
      <c r="F17" s="26"/>
      <c r="G17" s="26"/>
      <c r="H17" s="26"/>
      <c r="I17" s="26"/>
      <c r="J17" s="26">
        <f>AVERAGEIFS('Sunflower Oil Prices'!F$2:F$900,'Sunflower Oil Prices'!$B$2:$B$900,'Sun Oil Monthly'!$B17,'Sunflower Oil Prices'!$C$2:$C$900,'Sun Oil Monthly'!$C17)</f>
        <v>732.23684210526312</v>
      </c>
      <c r="K17" s="26"/>
      <c r="L17" s="26"/>
      <c r="M17" s="26">
        <f>AVERAGEIFS('Sunflower Oil Prices'!G$2:G$900,'Sunflower Oil Prices'!$B$2:$B$900,'Sun Oil Monthly'!$B17,'Sunflower Oil Prices'!$C$2:$C$900,'Sun Oil Monthly'!$C17)</f>
        <v>687.16666666666663</v>
      </c>
      <c r="N17" s="26"/>
      <c r="O17" s="26"/>
      <c r="Q17" s="26">
        <f t="shared" si="3"/>
        <v>31.892327263263031</v>
      </c>
      <c r="R17" s="26" t="str">
        <f t="shared" si="4"/>
        <v/>
      </c>
      <c r="S17" s="26">
        <f t="shared" si="5"/>
        <v>33.213713829638969</v>
      </c>
      <c r="T17" s="26">
        <f t="shared" si="0"/>
        <v>31.169364483646934</v>
      </c>
    </row>
    <row r="18" spans="1:20" x14ac:dyDescent="0.25">
      <c r="A18" s="24">
        <v>43647</v>
      </c>
      <c r="B18" s="25">
        <f t="shared" si="1"/>
        <v>7</v>
      </c>
      <c r="C18" s="25">
        <f t="shared" si="2"/>
        <v>2019</v>
      </c>
      <c r="D18" s="26">
        <f>AVERAGEIFS('Sunflower Oil Prices'!D$2:D$900,'Sunflower Oil Prices'!$B$2:$B$900,'Sun Oil Monthly'!$B18,'Sunflower Oil Prices'!$C$2:$C$900,'Sun Oil Monthly'!$C18)</f>
        <v>734.47826086956525</v>
      </c>
      <c r="E18" s="26"/>
      <c r="F18" s="26"/>
      <c r="G18" s="26"/>
      <c r="H18" s="26"/>
      <c r="I18" s="26"/>
      <c r="J18" s="26">
        <f>AVERAGEIFS('Sunflower Oil Prices'!F$2:F$900,'Sunflower Oil Prices'!$B$2:$B$900,'Sun Oil Monthly'!$B18,'Sunflower Oil Prices'!$C$2:$C$900,'Sun Oil Monthly'!$C18)</f>
        <v>760.32608695652175</v>
      </c>
      <c r="K18" s="26"/>
      <c r="L18" s="26"/>
      <c r="M18" s="26">
        <f>AVERAGEIFS('Sunflower Oil Prices'!G$2:G$900,'Sunflower Oil Prices'!$B$2:$B$900,'Sun Oil Monthly'!$B18,'Sunflower Oil Prices'!$C$2:$C$900,'Sun Oil Monthly'!$C18)</f>
        <v>718.09523809523807</v>
      </c>
      <c r="N18" s="26"/>
      <c r="O18" s="26"/>
      <c r="Q18" s="26">
        <f t="shared" si="3"/>
        <v>33.315382903262567</v>
      </c>
      <c r="R18" s="26" t="str">
        <f t="shared" si="4"/>
        <v/>
      </c>
      <c r="S18" s="26">
        <f t="shared" si="5"/>
        <v>34.487820903380346</v>
      </c>
      <c r="T18" s="26">
        <f t="shared" si="0"/>
        <v>32.572261280856225</v>
      </c>
    </row>
    <row r="19" spans="1:20" x14ac:dyDescent="0.25">
      <c r="A19" s="24">
        <v>43678</v>
      </c>
      <c r="B19" s="25">
        <f t="shared" si="1"/>
        <v>8</v>
      </c>
      <c r="C19" s="25">
        <f t="shared" si="2"/>
        <v>2019</v>
      </c>
      <c r="D19" s="26">
        <f>AVERAGEIFS('Sunflower Oil Prices'!D$2:D$900,'Sunflower Oil Prices'!$B$2:$B$900,'Sun Oil Monthly'!$B19,'Sunflower Oil Prices'!$C$2:$C$900,'Sun Oil Monthly'!$C19)</f>
        <v>732.80952380952385</v>
      </c>
      <c r="E19" s="26"/>
      <c r="F19" s="26"/>
      <c r="G19" s="26"/>
      <c r="H19" s="26"/>
      <c r="I19" s="26"/>
      <c r="J19" s="26">
        <f>AVERAGEIFS('Sunflower Oil Prices'!F$2:F$900,'Sunflower Oil Prices'!$B$2:$B$900,'Sun Oil Monthly'!$B19,'Sunflower Oil Prices'!$C$2:$C$900,'Sun Oil Monthly'!$C19)</f>
        <v>764.64285714285711</v>
      </c>
      <c r="K19" s="26"/>
      <c r="L19" s="26"/>
      <c r="M19" s="26">
        <f>AVERAGEIFS('Sunflower Oil Prices'!G$2:G$900,'Sunflower Oil Prices'!$B$2:$B$900,'Sun Oil Monthly'!$B19,'Sunflower Oil Prices'!$C$2:$C$900,'Sun Oil Monthly'!$C19)</f>
        <v>719.04761904761904</v>
      </c>
      <c r="N19" s="26"/>
      <c r="O19" s="26"/>
      <c r="Q19" s="26">
        <f t="shared" si="3"/>
        <v>33.239690242115152</v>
      </c>
      <c r="R19" s="26" t="str">
        <f t="shared" si="4"/>
        <v/>
      </c>
      <c r="S19" s="26">
        <f t="shared" si="5"/>
        <v>34.683626360566898</v>
      </c>
      <c r="T19" s="26">
        <f t="shared" si="0"/>
        <v>32.615460566374601</v>
      </c>
    </row>
    <row r="20" spans="1:20" x14ac:dyDescent="0.25">
      <c r="A20" s="24">
        <v>43709</v>
      </c>
      <c r="B20" s="25">
        <f t="shared" si="1"/>
        <v>9</v>
      </c>
      <c r="C20" s="25">
        <f t="shared" si="2"/>
        <v>2019</v>
      </c>
      <c r="D20" s="26">
        <f>AVERAGEIFS('Sunflower Oil Prices'!D$2:D$900,'Sunflower Oil Prices'!$B$2:$B$900,'Sun Oil Monthly'!$B20,'Sunflower Oil Prices'!$C$2:$C$900,'Sun Oil Monthly'!$C20)</f>
        <v>702.80952380952385</v>
      </c>
      <c r="E20" s="26"/>
      <c r="F20" s="26"/>
      <c r="G20" s="26"/>
      <c r="H20" s="26"/>
      <c r="I20" s="26"/>
      <c r="J20" s="26">
        <f>AVERAGEIFS('Sunflower Oil Prices'!F$2:F$900,'Sunflower Oil Prices'!$B$2:$B$900,'Sun Oil Monthly'!$B20,'Sunflower Oil Prices'!$C$2:$C$900,'Sun Oil Monthly'!$C20)</f>
        <v>746.80952380952385</v>
      </c>
      <c r="K20" s="26"/>
      <c r="L20" s="26"/>
      <c r="M20" s="26">
        <f>AVERAGEIFS('Sunflower Oil Prices'!G$2:G$900,'Sunflower Oil Prices'!$B$2:$B$900,'Sun Oil Monthly'!$B20,'Sunflower Oil Prices'!$C$2:$C$900,'Sun Oil Monthly'!$C20)</f>
        <v>707.19047619047615</v>
      </c>
      <c r="N20" s="26"/>
      <c r="O20" s="26"/>
      <c r="Q20" s="26">
        <f t="shared" si="3"/>
        <v>31.878912748286275</v>
      </c>
      <c r="R20" s="26" t="str">
        <f t="shared" si="4"/>
        <v/>
      </c>
      <c r="S20" s="26">
        <f t="shared" si="5"/>
        <v>33.874719739235296</v>
      </c>
      <c r="T20" s="26">
        <f t="shared" si="0"/>
        <v>32.07762946167081</v>
      </c>
    </row>
    <row r="21" spans="1:20" x14ac:dyDescent="0.25">
      <c r="A21" s="24">
        <v>43739</v>
      </c>
      <c r="B21" s="25">
        <f t="shared" si="1"/>
        <v>10</v>
      </c>
      <c r="C21" s="25">
        <f t="shared" si="2"/>
        <v>2019</v>
      </c>
      <c r="D21" s="26">
        <f>AVERAGEIFS('Sunflower Oil Prices'!D$2:D$900,'Sunflower Oil Prices'!$B$2:$B$900,'Sun Oil Monthly'!$B21,'Sunflower Oil Prices'!$C$2:$C$900,'Sun Oil Monthly'!$C21)</f>
        <v>682.08695652173913</v>
      </c>
      <c r="E21" s="26"/>
      <c r="F21" s="26"/>
      <c r="G21" s="26"/>
      <c r="H21" s="26"/>
      <c r="I21" s="26"/>
      <c r="J21" s="26">
        <f>AVERAGEIFS('Sunflower Oil Prices'!F$2:F$900,'Sunflower Oil Prices'!$B$2:$B$900,'Sun Oil Monthly'!$B21,'Sunflower Oil Prices'!$C$2:$C$900,'Sun Oil Monthly'!$C21)</f>
        <v>729.56521739130437</v>
      </c>
      <c r="K21" s="26"/>
      <c r="L21" s="26"/>
      <c r="M21" s="26">
        <f>AVERAGEIFS('Sunflower Oil Prices'!G$2:G$900,'Sunflower Oil Prices'!$B$2:$B$900,'Sun Oil Monthly'!$B21,'Sunflower Oil Prices'!$C$2:$C$900,'Sun Oil Monthly'!$C21)</f>
        <v>678.60869565217388</v>
      </c>
      <c r="N21" s="26"/>
      <c r="O21" s="26"/>
      <c r="Q21" s="26">
        <f t="shared" si="3"/>
        <v>30.938952642300549</v>
      </c>
      <c r="R21" s="26" t="str">
        <f t="shared" si="4"/>
        <v/>
      </c>
      <c r="S21" s="26">
        <f t="shared" si="5"/>
        <v>33.0925309368819</v>
      </c>
      <c r="T21" s="26">
        <f t="shared" si="0"/>
        <v>30.781181338668212</v>
      </c>
    </row>
    <row r="22" spans="1:20" x14ac:dyDescent="0.25">
      <c r="A22" s="24">
        <v>43770</v>
      </c>
      <c r="B22" s="25">
        <f t="shared" si="1"/>
        <v>11</v>
      </c>
      <c r="C22" s="25">
        <f t="shared" si="2"/>
        <v>2019</v>
      </c>
      <c r="D22" s="26">
        <f>AVERAGEIFS('Sunflower Oil Prices'!D$2:D$900,'Sunflower Oil Prices'!$B$2:$B$900,'Sun Oil Monthly'!$B22,'Sunflower Oil Prices'!$C$2:$C$900,'Sun Oil Monthly'!$C22)</f>
        <v>712.09523809523807</v>
      </c>
      <c r="E22" s="26"/>
      <c r="F22" s="26"/>
      <c r="G22" s="26"/>
      <c r="H22" s="26"/>
      <c r="I22" s="26"/>
      <c r="J22" s="26">
        <f>AVERAGEIFS('Sunflower Oil Prices'!F$2:F$900,'Sunflower Oil Prices'!$B$2:$B$900,'Sun Oil Monthly'!$B22,'Sunflower Oil Prices'!$C$2:$C$900,'Sun Oil Monthly'!$C22)</f>
        <v>754.26190476190482</v>
      </c>
      <c r="K22" s="26"/>
      <c r="L22" s="26"/>
      <c r="M22" s="26">
        <f>AVERAGEIFS('Sunflower Oil Prices'!G$2:G$900,'Sunflower Oil Prices'!$B$2:$B$900,'Sun Oil Monthly'!$B22,'Sunflower Oil Prices'!$C$2:$C$900,'Sun Oil Monthly'!$C22)</f>
        <v>688.25</v>
      </c>
      <c r="N22" s="26"/>
      <c r="O22" s="26"/>
      <c r="Q22" s="26">
        <f t="shared" si="3"/>
        <v>32.300105782090448</v>
      </c>
      <c r="R22" s="26" t="str">
        <f t="shared" si="4"/>
        <v/>
      </c>
      <c r="S22" s="26">
        <f t="shared" si="5"/>
        <v>34.212754148416593</v>
      </c>
      <c r="T22" s="26">
        <f t="shared" si="0"/>
        <v>31.218503670924086</v>
      </c>
    </row>
    <row r="23" spans="1:20" x14ac:dyDescent="0.25">
      <c r="A23" s="24">
        <v>43800</v>
      </c>
      <c r="B23" s="25">
        <f t="shared" si="1"/>
        <v>12</v>
      </c>
      <c r="C23" s="25">
        <f t="shared" si="2"/>
        <v>2019</v>
      </c>
      <c r="D23" s="26">
        <f>AVERAGEIFS('Sunflower Oil Prices'!D$2:D$900,'Sunflower Oil Prices'!$B$2:$B$900,'Sun Oil Monthly'!$B23,'Sunflower Oil Prices'!$C$2:$C$900,'Sun Oil Monthly'!$C23)</f>
        <v>762.4</v>
      </c>
      <c r="E23" s="26"/>
      <c r="F23" s="26"/>
      <c r="G23" s="26"/>
      <c r="H23" s="26"/>
      <c r="I23" s="26"/>
      <c r="J23" s="26">
        <f>AVERAGEIFS('Sunflower Oil Prices'!F$2:F$900,'Sunflower Oil Prices'!$B$2:$B$900,'Sun Oil Monthly'!$B23,'Sunflower Oil Prices'!$C$2:$C$900,'Sun Oil Monthly'!$C23)</f>
        <v>800.07500000000005</v>
      </c>
      <c r="K23" s="26"/>
      <c r="L23" s="26"/>
      <c r="M23" s="26">
        <f>AVERAGEIFS('Sunflower Oil Prices'!G$2:G$900,'Sunflower Oil Prices'!$B$2:$B$900,'Sun Oil Monthly'!$B23,'Sunflower Oil Prices'!$C$2:$C$900,'Sun Oil Monthly'!$C23)</f>
        <v>747.5</v>
      </c>
      <c r="N23" s="26"/>
      <c r="O23" s="26"/>
      <c r="Q23" s="26">
        <f t="shared" si="3"/>
        <v>34.581892043171116</v>
      </c>
      <c r="R23" s="26" t="str">
        <f t="shared" si="4"/>
        <v/>
      </c>
      <c r="S23" s="26">
        <f t="shared" si="5"/>
        <v>36.290801779171218</v>
      </c>
      <c r="T23" s="26">
        <f t="shared" si="0"/>
        <v>33.906039221236114</v>
      </c>
    </row>
    <row r="24" spans="1:20" x14ac:dyDescent="0.25">
      <c r="A24" s="24">
        <v>43831</v>
      </c>
      <c r="B24" s="25">
        <f t="shared" si="1"/>
        <v>1</v>
      </c>
      <c r="C24" s="25">
        <f t="shared" si="2"/>
        <v>2020</v>
      </c>
      <c r="D24" s="26">
        <f>AVERAGEIFS('Sunflower Oil Prices'!D$2:D$900,'Sunflower Oil Prices'!$B$2:$B$900,'Sun Oil Monthly'!$B24,'Sunflower Oil Prices'!$C$2:$C$900,'Sun Oil Monthly'!$C24)</f>
        <v>781.18181818181813</v>
      </c>
      <c r="E24" s="26"/>
      <c r="F24" s="26"/>
      <c r="G24" s="26">
        <f>AVERAGEIFS('Sunflower Oil Prices'!E$2:E$900,'Sunflower Oil Prices'!$B$2:$B$900,'Sun Oil Monthly'!$B24,'Sunflower Oil Prices'!$C$2:$C$900,'Sun Oil Monthly'!$C24)</f>
        <v>771.18181818181813</v>
      </c>
      <c r="H24" s="26"/>
      <c r="I24" s="26"/>
      <c r="J24" s="26">
        <f>AVERAGEIFS('Sunflower Oil Prices'!F$2:F$900,'Sunflower Oil Prices'!$B$2:$B$900,'Sun Oil Monthly'!$B24,'Sunflower Oil Prices'!$C$2:$C$900,'Sun Oil Monthly'!$C24)</f>
        <v>821.59090909090912</v>
      </c>
      <c r="K24" s="26"/>
      <c r="L24" s="26"/>
      <c r="M24" s="26">
        <f>AVERAGEIFS('Sunflower Oil Prices'!G$2:G$900,'Sunflower Oil Prices'!$B$2:$B$900,'Sun Oil Monthly'!$B24,'Sunflower Oil Prices'!$C$2:$C$900,'Sun Oil Monthly'!$C24)</f>
        <v>783.86363636363637</v>
      </c>
      <c r="N24" s="26"/>
      <c r="O24" s="26"/>
      <c r="Q24" s="26">
        <f t="shared" si="3"/>
        <v>35.433821225671259</v>
      </c>
      <c r="R24" s="26">
        <f t="shared" si="4"/>
        <v>34.980228727728303</v>
      </c>
      <c r="S24" s="26">
        <f t="shared" si="5"/>
        <v>37.266747274177128</v>
      </c>
      <c r="T24" s="26">
        <f t="shared" si="0"/>
        <v>35.555466486483233</v>
      </c>
    </row>
    <row r="25" spans="1:20" x14ac:dyDescent="0.25">
      <c r="A25" s="24">
        <v>43862</v>
      </c>
      <c r="B25" s="25">
        <f t="shared" si="1"/>
        <v>2</v>
      </c>
      <c r="C25" s="25">
        <f t="shared" si="2"/>
        <v>2020</v>
      </c>
      <c r="D25" s="26">
        <f>AVERAGEIFS('Sunflower Oil Prices'!D$2:D$900,'Sunflower Oil Prices'!$B$2:$B$900,'Sun Oil Monthly'!$B25,'Sunflower Oil Prices'!$C$2:$C$900,'Sun Oil Monthly'!$C25)</f>
        <v>712.75</v>
      </c>
      <c r="E25" s="26"/>
      <c r="F25" s="26"/>
      <c r="G25" s="26">
        <f>AVERAGEIFS('Sunflower Oil Prices'!E$2:E$900,'Sunflower Oil Prices'!$B$2:$B$900,'Sun Oil Monthly'!$B25,'Sunflower Oil Prices'!$C$2:$C$900,'Sun Oil Monthly'!$C25)</f>
        <v>702.75</v>
      </c>
      <c r="H25" s="26"/>
      <c r="I25" s="26"/>
      <c r="J25" s="26">
        <f>AVERAGEIFS('Sunflower Oil Prices'!F$2:F$900,'Sunflower Oil Prices'!$B$2:$B$900,'Sun Oil Monthly'!$B25,'Sunflower Oil Prices'!$C$2:$C$900,'Sun Oil Monthly'!$C25)</f>
        <v>754.5</v>
      </c>
      <c r="K25" s="26"/>
      <c r="L25" s="26"/>
      <c r="M25" s="26">
        <f>AVERAGEIFS('Sunflower Oil Prices'!G$2:G$900,'Sunflower Oil Prices'!$B$2:$B$900,'Sun Oil Monthly'!$B25,'Sunflower Oil Prices'!$C$2:$C$900,'Sun Oil Monthly'!$C25)</f>
        <v>731.84210526315792</v>
      </c>
      <c r="N25" s="26"/>
      <c r="O25" s="26"/>
      <c r="Q25" s="26">
        <f t="shared" si="3"/>
        <v>32.32980529088433</v>
      </c>
      <c r="R25" s="26">
        <f t="shared" si="4"/>
        <v>31.876212792941377</v>
      </c>
      <c r="S25" s="26">
        <f t="shared" si="5"/>
        <v>34.223553969796185</v>
      </c>
      <c r="T25" s="26">
        <f t="shared" si="0"/>
        <v>33.195808862614903</v>
      </c>
    </row>
    <row r="26" spans="1:20" x14ac:dyDescent="0.25">
      <c r="A26" s="24">
        <v>43891</v>
      </c>
      <c r="B26" s="25">
        <f t="shared" si="1"/>
        <v>3</v>
      </c>
      <c r="C26" s="25">
        <f t="shared" si="2"/>
        <v>2020</v>
      </c>
      <c r="D26" s="26">
        <f>AVERAGEIFS('Sunflower Oil Prices'!D$2:D$900,'Sunflower Oil Prices'!$B$2:$B$900,'Sun Oil Monthly'!$B26,'Sunflower Oil Prices'!$C$2:$C$900,'Sun Oil Monthly'!$C26)</f>
        <v>659.81818181818187</v>
      </c>
      <c r="E26" s="26"/>
      <c r="F26" s="26"/>
      <c r="G26" s="26">
        <f>AVERAGEIFS('Sunflower Oil Prices'!E$2:E$900,'Sunflower Oil Prices'!$B$2:$B$900,'Sun Oil Monthly'!$B26,'Sunflower Oil Prices'!$C$2:$C$900,'Sun Oil Monthly'!$C26)</f>
        <v>649.81818181818187</v>
      </c>
      <c r="H26" s="26"/>
      <c r="I26" s="26"/>
      <c r="J26" s="26">
        <f>AVERAGEIFS('Sunflower Oil Prices'!F$2:F$900,'Sunflower Oil Prices'!$B$2:$B$900,'Sun Oil Monthly'!$B26,'Sunflower Oil Prices'!$C$2:$C$900,'Sun Oil Monthly'!$C26)</f>
        <v>698.77272727272725</v>
      </c>
      <c r="K26" s="26"/>
      <c r="L26" s="26"/>
      <c r="M26" s="26">
        <f>AVERAGEIFS('Sunflower Oil Prices'!G$2:G$900,'Sunflower Oil Prices'!$B$2:$B$900,'Sun Oil Monthly'!$B26,'Sunflower Oil Prices'!$C$2:$C$900,'Sun Oil Monthly'!$C26)</f>
        <v>664.75</v>
      </c>
      <c r="N26" s="26"/>
      <c r="O26" s="26"/>
      <c r="Q26" s="26">
        <f t="shared" si="3"/>
        <v>29.928857727908998</v>
      </c>
      <c r="R26" s="26">
        <f t="shared" si="4"/>
        <v>29.475265229966041</v>
      </c>
      <c r="S26" s="26">
        <f t="shared" si="5"/>
        <v>31.695806685804971</v>
      </c>
      <c r="T26" s="26">
        <f t="shared" si="0"/>
        <v>30.152561300758133</v>
      </c>
    </row>
    <row r="27" spans="1:20" x14ac:dyDescent="0.25">
      <c r="A27" s="24">
        <v>43922</v>
      </c>
      <c r="B27" s="25">
        <f t="shared" si="1"/>
        <v>4</v>
      </c>
      <c r="C27" s="25">
        <f t="shared" si="2"/>
        <v>2020</v>
      </c>
      <c r="D27" s="26">
        <f>AVERAGEIFS('Sunflower Oil Prices'!D$2:D$900,'Sunflower Oil Prices'!$B$2:$B$900,'Sun Oil Monthly'!$B27,'Sunflower Oil Prices'!$C$2:$C$900,'Sun Oil Monthly'!$C27)</f>
        <v>692.4</v>
      </c>
      <c r="E27" s="26"/>
      <c r="F27" s="26"/>
      <c r="G27" s="26">
        <f>AVERAGEIFS('Sunflower Oil Prices'!E$2:E$900,'Sunflower Oil Prices'!$B$2:$B$900,'Sun Oil Monthly'!$B27,'Sunflower Oil Prices'!$C$2:$C$900,'Sun Oil Monthly'!$C27)</f>
        <v>682.4</v>
      </c>
      <c r="H27" s="26"/>
      <c r="I27" s="26"/>
      <c r="J27" s="26">
        <f>AVERAGEIFS('Sunflower Oil Prices'!F$2:F$900,'Sunflower Oil Prices'!$B$2:$B$900,'Sun Oil Monthly'!$B27,'Sunflower Oil Prices'!$C$2:$C$900,'Sun Oil Monthly'!$C27)</f>
        <v>722.35</v>
      </c>
      <c r="K27" s="26"/>
      <c r="L27" s="26"/>
      <c r="M27" s="26">
        <f>AVERAGEIFS('Sunflower Oil Prices'!G$2:G$900,'Sunflower Oil Prices'!$B$2:$B$900,'Sun Oil Monthly'!$B27,'Sunflower Oil Prices'!$C$2:$C$900,'Sun Oil Monthly'!$C27)</f>
        <v>675.25</v>
      </c>
      <c r="N27" s="26"/>
      <c r="O27" s="26"/>
      <c r="Q27" s="26">
        <f t="shared" si="3"/>
        <v>31.406744557570416</v>
      </c>
      <c r="R27" s="26">
        <f t="shared" si="4"/>
        <v>30.95315205962746</v>
      </c>
      <c r="S27" s="26">
        <f t="shared" si="5"/>
        <v>32.765254088909572</v>
      </c>
      <c r="T27" s="26">
        <f t="shared" si="0"/>
        <v>30.628833423598245</v>
      </c>
    </row>
    <row r="28" spans="1:20" x14ac:dyDescent="0.25">
      <c r="A28" s="24">
        <v>43952</v>
      </c>
      <c r="B28" s="25">
        <f t="shared" si="1"/>
        <v>5</v>
      </c>
      <c r="C28" s="25">
        <f t="shared" si="2"/>
        <v>2020</v>
      </c>
      <c r="D28" s="26">
        <f>AVERAGEIFS('Sunflower Oil Prices'!D$2:D$900,'Sunflower Oil Prices'!$B$2:$B$900,'Sun Oil Monthly'!$B28,'Sunflower Oil Prices'!$C$2:$C$900,'Sun Oil Monthly'!$C28)</f>
        <v>719.63157894736844</v>
      </c>
      <c r="E28" s="26"/>
      <c r="F28" s="26"/>
      <c r="G28" s="26">
        <f>AVERAGEIFS('Sunflower Oil Prices'!E$2:E$900,'Sunflower Oil Prices'!$B$2:$B$900,'Sun Oil Monthly'!$B28,'Sunflower Oil Prices'!$C$2:$C$900,'Sun Oil Monthly'!$C28)</f>
        <v>711.82352941176475</v>
      </c>
      <c r="H28" s="26"/>
      <c r="I28" s="26"/>
      <c r="J28" s="26">
        <f>AVERAGEIFS('Sunflower Oil Prices'!F$2:F$900,'Sunflower Oil Prices'!$B$2:$B$900,'Sun Oil Monthly'!$B28,'Sunflower Oil Prices'!$C$2:$C$900,'Sun Oil Monthly'!$C28)</f>
        <v>745.61764705882354</v>
      </c>
      <c r="K28" s="26"/>
      <c r="L28" s="26"/>
      <c r="M28" s="26">
        <f>AVERAGEIFS('Sunflower Oil Prices'!G$2:G$900,'Sunflower Oil Prices'!$B$2:$B$900,'Sun Oil Monthly'!$B28,'Sunflower Oil Prices'!$C$2:$C$900,'Sun Oil Monthly'!$C28)</f>
        <v>703.15789473684208</v>
      </c>
      <c r="N28" s="26"/>
      <c r="O28" s="26"/>
      <c r="Q28" s="26">
        <f t="shared" si="3"/>
        <v>32.641948549337187</v>
      </c>
      <c r="R28" s="26">
        <f t="shared" si="4"/>
        <v>32.2877812800455</v>
      </c>
      <c r="S28" s="26">
        <f t="shared" si="5"/>
        <v>33.820657103976266</v>
      </c>
      <c r="T28" s="26">
        <f t="shared" si="0"/>
        <v>31.894714592199573</v>
      </c>
    </row>
    <row r="29" spans="1:20" x14ac:dyDescent="0.25">
      <c r="A29" s="24">
        <v>43983</v>
      </c>
      <c r="B29" s="25">
        <f t="shared" si="1"/>
        <v>6</v>
      </c>
      <c r="C29" s="25">
        <f t="shared" si="2"/>
        <v>2020</v>
      </c>
      <c r="D29" s="26">
        <f>AVERAGEIFS('Sunflower Oil Prices'!D$2:D$900,'Sunflower Oil Prices'!$B$2:$B$900,'Sun Oil Monthly'!$B29,'Sunflower Oil Prices'!$C$2:$C$900,'Sun Oil Monthly'!$C29)</f>
        <v>772.52380952380952</v>
      </c>
      <c r="E29" s="26"/>
      <c r="F29" s="26"/>
      <c r="G29" s="26">
        <f>AVERAGEIFS('Sunflower Oil Prices'!E$2:E$900,'Sunflower Oil Prices'!$B$2:$B$900,'Sun Oil Monthly'!$B29,'Sunflower Oil Prices'!$C$2:$C$900,'Sun Oil Monthly'!$C29)</f>
        <v>762.38095238095241</v>
      </c>
      <c r="H29" s="26"/>
      <c r="I29" s="26"/>
      <c r="J29" s="26">
        <f>AVERAGEIFS('Sunflower Oil Prices'!F$2:F$900,'Sunflower Oil Prices'!$B$2:$B$900,'Sun Oil Monthly'!$B29,'Sunflower Oil Prices'!$C$2:$C$900,'Sun Oil Monthly'!$C29)</f>
        <v>801.90476190476193</v>
      </c>
      <c r="K29" s="26"/>
      <c r="L29" s="26"/>
      <c r="M29" s="26">
        <f>AVERAGEIFS('Sunflower Oil Prices'!G$2:G$900,'Sunflower Oil Prices'!$B$2:$B$900,'Sun Oil Monthly'!$B29,'Sunflower Oil Prices'!$C$2:$C$900,'Sun Oil Monthly'!$C29)</f>
        <v>750.68181818181813</v>
      </c>
      <c r="N29" s="26"/>
      <c r="O29" s="26"/>
      <c r="Q29" s="26">
        <f t="shared" si="3"/>
        <v>35.041100448231468</v>
      </c>
      <c r="R29" s="26">
        <f t="shared" si="4"/>
        <v>34.581028057460756</v>
      </c>
      <c r="S29" s="26">
        <f t="shared" si="5"/>
        <v>36.373798406473398</v>
      </c>
      <c r="T29" s="26">
        <f t="shared" si="0"/>
        <v>34.050364106945239</v>
      </c>
    </row>
    <row r="30" spans="1:20" x14ac:dyDescent="0.25">
      <c r="A30" s="24">
        <v>44013</v>
      </c>
      <c r="B30" s="25">
        <f t="shared" si="1"/>
        <v>7</v>
      </c>
      <c r="C30" s="25">
        <f t="shared" si="2"/>
        <v>2020</v>
      </c>
      <c r="D30" s="26">
        <f>AVERAGEIFS('Sunflower Oil Prices'!D$2:D$900,'Sunflower Oil Prices'!$B$2:$B$900,'Sun Oil Monthly'!$B30,'Sunflower Oil Prices'!$C$2:$C$900,'Sun Oil Monthly'!$C30)</f>
        <v>772.91304347826087</v>
      </c>
      <c r="E30" s="26"/>
      <c r="F30" s="26"/>
      <c r="G30" s="26">
        <f>AVERAGEIFS('Sunflower Oil Prices'!E$2:E$900,'Sunflower Oil Prices'!$B$2:$B$900,'Sun Oil Monthly'!$B30,'Sunflower Oil Prices'!$C$2:$C$900,'Sun Oil Monthly'!$C30)</f>
        <v>763.95652173913038</v>
      </c>
      <c r="H30" s="26"/>
      <c r="I30" s="26"/>
      <c r="J30" s="26">
        <f>AVERAGEIFS('Sunflower Oil Prices'!F$2:F$900,'Sunflower Oil Prices'!$B$2:$B$900,'Sun Oil Monthly'!$B30,'Sunflower Oil Prices'!$C$2:$C$900,'Sun Oil Monthly'!$C30)</f>
        <v>812.28260869565213</v>
      </c>
      <c r="K30" s="26"/>
      <c r="L30" s="26"/>
      <c r="M30" s="26">
        <f>AVERAGEIFS('Sunflower Oil Prices'!G$2:G$900,'Sunflower Oil Prices'!$B$2:$B$900,'Sun Oil Monthly'!$B30,'Sunflower Oil Prices'!$C$2:$C$900,'Sun Oil Monthly'!$C30)</f>
        <v>759.52380952380952</v>
      </c>
      <c r="N30" s="26"/>
      <c r="O30" s="26"/>
      <c r="Q30" s="26">
        <f t="shared" si="3"/>
        <v>35.058755808399852</v>
      </c>
      <c r="R30" s="26">
        <f t="shared" si="4"/>
        <v>34.652494701546587</v>
      </c>
      <c r="S30" s="26">
        <f t="shared" si="5"/>
        <v>36.844529751388315</v>
      </c>
      <c r="T30" s="26">
        <f t="shared" si="0"/>
        <v>34.451430200905627</v>
      </c>
    </row>
    <row r="31" spans="1:20" x14ac:dyDescent="0.25">
      <c r="A31" s="24">
        <v>44044</v>
      </c>
      <c r="B31" s="25">
        <f t="shared" si="1"/>
        <v>8</v>
      </c>
      <c r="C31" s="25">
        <f t="shared" si="2"/>
        <v>2020</v>
      </c>
      <c r="D31" s="26">
        <f>AVERAGEIFS('Sunflower Oil Prices'!D$2:D$900,'Sunflower Oil Prices'!$B$2:$B$900,'Sun Oil Monthly'!$B31,'Sunflower Oil Prices'!$C$2:$C$900,'Sun Oil Monthly'!$C31)</f>
        <v>798.2</v>
      </c>
      <c r="E31" s="26"/>
      <c r="F31" s="26"/>
      <c r="G31" s="26">
        <f>AVERAGEIFS('Sunflower Oil Prices'!E$2:E$900,'Sunflower Oil Prices'!$B$2:$B$900,'Sun Oil Monthly'!$B31,'Sunflower Oil Prices'!$C$2:$C$900,'Sun Oil Monthly'!$C31)</f>
        <v>789.8</v>
      </c>
      <c r="H31" s="26"/>
      <c r="I31" s="26"/>
      <c r="J31" s="26">
        <f>AVERAGEIFS('Sunflower Oil Prices'!F$2:F$900,'Sunflower Oil Prices'!$B$2:$B$900,'Sun Oil Monthly'!$B31,'Sunflower Oil Prices'!$C$2:$C$900,'Sun Oil Monthly'!$C31)</f>
        <v>849</v>
      </c>
      <c r="K31" s="26"/>
      <c r="L31" s="26"/>
      <c r="M31" s="26">
        <f>AVERAGEIFS('Sunflower Oil Prices'!G$2:G$900,'Sunflower Oil Prices'!$B$2:$B$900,'Sun Oil Monthly'!$B31,'Sunflower Oil Prices'!$C$2:$C$900,'Sun Oil Monthly'!$C31)</f>
        <v>784.73684210526312</v>
      </c>
      <c r="N31" s="26"/>
      <c r="O31" s="26"/>
      <c r="Q31" s="26">
        <f t="shared" si="3"/>
        <v>36.205753185806913</v>
      </c>
      <c r="R31" s="26">
        <f t="shared" si="4"/>
        <v>35.824735487534824</v>
      </c>
      <c r="S31" s="26">
        <f t="shared" si="5"/>
        <v>38.51000307535714</v>
      </c>
      <c r="T31" s="26">
        <f t="shared" si="0"/>
        <v>35.595074443839501</v>
      </c>
    </row>
    <row r="32" spans="1:20" x14ac:dyDescent="0.25">
      <c r="A32" s="24">
        <v>44075</v>
      </c>
      <c r="B32" s="25">
        <f t="shared" si="1"/>
        <v>9</v>
      </c>
      <c r="C32" s="25">
        <f t="shared" si="2"/>
        <v>2020</v>
      </c>
      <c r="D32" s="26">
        <f>AVERAGEIFS('Sunflower Oil Prices'!D$2:D$900,'Sunflower Oil Prices'!$B$2:$B$900,'Sun Oil Monthly'!$B32,'Sunflower Oil Prices'!$C$2:$C$900,'Sun Oil Monthly'!$C32)</f>
        <v>927.81818181818187</v>
      </c>
      <c r="E32" s="26"/>
      <c r="F32" s="26"/>
      <c r="G32" s="26">
        <f>AVERAGEIFS('Sunflower Oil Prices'!E$2:E$900,'Sunflower Oil Prices'!$B$2:$B$900,'Sun Oil Monthly'!$B32,'Sunflower Oil Prices'!$C$2:$C$900,'Sun Oil Monthly'!$C32)</f>
        <v>917.0454545454545</v>
      </c>
      <c r="H32" s="26"/>
      <c r="I32" s="26"/>
      <c r="J32" s="26">
        <f>AVERAGEIFS('Sunflower Oil Prices'!F$2:F$900,'Sunflower Oil Prices'!$B$2:$B$900,'Sun Oil Monthly'!$B32,'Sunflower Oil Prices'!$C$2:$C$900,'Sun Oil Monthly'!$C32)</f>
        <v>989.31818181818187</v>
      </c>
      <c r="K32" s="26"/>
      <c r="L32" s="26"/>
      <c r="M32" s="26">
        <f>AVERAGEIFS('Sunflower Oil Prices'!G$2:G$900,'Sunflower Oil Prices'!$B$2:$B$900,'Sun Oil Monthly'!$B32,'Sunflower Oil Prices'!$C$2:$C$900,'Sun Oil Monthly'!$C32)</f>
        <v>901.59090909090912</v>
      </c>
      <c r="N32" s="26"/>
      <c r="O32" s="26"/>
      <c r="Q32" s="26">
        <f t="shared" si="3"/>
        <v>42.08513667278028</v>
      </c>
      <c r="R32" s="26">
        <f t="shared" si="4"/>
        <v>41.596493845450809</v>
      </c>
      <c r="S32" s="26">
        <f t="shared" si="5"/>
        <v>44.874730535129466</v>
      </c>
      <c r="T32" s="26">
        <f t="shared" si="0"/>
        <v>40.895487257720788</v>
      </c>
    </row>
    <row r="33" spans="1:20" x14ac:dyDescent="0.25">
      <c r="A33" s="24">
        <v>44105</v>
      </c>
      <c r="B33" s="25">
        <f t="shared" si="1"/>
        <v>10</v>
      </c>
      <c r="C33" s="25">
        <f t="shared" si="2"/>
        <v>2020</v>
      </c>
      <c r="D33" s="26">
        <f>AVERAGEIFS('Sunflower Oil Prices'!D$2:D$900,'Sunflower Oil Prices'!$B$2:$B$900,'Sun Oil Monthly'!$B33,'Sunflower Oil Prices'!$C$2:$C$900,'Sun Oil Monthly'!$C33)</f>
        <v>964.36363636363637</v>
      </c>
      <c r="E33" s="26"/>
      <c r="F33" s="26"/>
      <c r="G33" s="26">
        <f>AVERAGEIFS('Sunflower Oil Prices'!E$2:E$900,'Sunflower Oil Prices'!$B$2:$B$900,'Sun Oil Monthly'!$B33,'Sunflower Oil Prices'!$C$2:$C$900,'Sun Oil Monthly'!$C33)</f>
        <v>950.72727272727275</v>
      </c>
      <c r="H33" s="26"/>
      <c r="I33" s="26"/>
      <c r="J33" s="26">
        <f>AVERAGEIFS('Sunflower Oil Prices'!F$2:F$900,'Sunflower Oil Prices'!$B$2:$B$900,'Sun Oil Monthly'!$B33,'Sunflower Oil Prices'!$C$2:$C$900,'Sun Oil Monthly'!$C33)</f>
        <v>987.72727272727275</v>
      </c>
      <c r="K33" s="26"/>
      <c r="L33" s="26"/>
      <c r="M33" s="26">
        <f>AVERAGEIFS('Sunflower Oil Prices'!G$2:G$900,'Sunflower Oil Prices'!$B$2:$B$900,'Sun Oil Monthly'!$B33,'Sunflower Oil Prices'!$C$2:$C$900,'Sun Oil Monthly'!$C33)</f>
        <v>955.71428571428567</v>
      </c>
      <c r="N33" s="26"/>
      <c r="O33" s="26"/>
      <c r="Q33" s="26">
        <f t="shared" si="3"/>
        <v>43.742811074353625</v>
      </c>
      <c r="R33" s="26">
        <f t="shared" si="4"/>
        <v>43.124275849885954</v>
      </c>
      <c r="S33" s="26">
        <f t="shared" si="5"/>
        <v>44.802568092274903</v>
      </c>
      <c r="T33" s="26">
        <f t="shared" si="0"/>
        <v>43.350483017691275</v>
      </c>
    </row>
    <row r="34" spans="1:20" x14ac:dyDescent="0.25">
      <c r="A34" s="24">
        <v>44136</v>
      </c>
      <c r="B34" s="25">
        <f t="shared" si="1"/>
        <v>11</v>
      </c>
      <c r="C34" s="25">
        <f t="shared" si="2"/>
        <v>2020</v>
      </c>
      <c r="D34" s="26">
        <f>AVERAGEIFS('Sunflower Oil Prices'!D$2:D$900,'Sunflower Oil Prices'!$B$2:$B$900,'Sun Oil Monthly'!$B34,'Sunflower Oil Prices'!$C$2:$C$900,'Sun Oil Monthly'!$C34)</f>
        <v>1082.6428571428571</v>
      </c>
      <c r="E34" s="26"/>
      <c r="F34" s="26"/>
      <c r="G34" s="26">
        <f>AVERAGEIFS('Sunflower Oil Prices'!E$2:E$900,'Sunflower Oil Prices'!$B$2:$B$900,'Sun Oil Monthly'!$B34,'Sunflower Oil Prices'!$C$2:$C$900,'Sun Oil Monthly'!$C34)</f>
        <v>1071.0952380952381</v>
      </c>
      <c r="H34" s="26"/>
      <c r="I34" s="26"/>
      <c r="J34" s="26">
        <f>AVERAGEIFS('Sunflower Oil Prices'!F$2:F$900,'Sunflower Oil Prices'!$B$2:$B$900,'Sun Oil Monthly'!$B34,'Sunflower Oil Prices'!$C$2:$C$900,'Sun Oil Monthly'!$C34)</f>
        <v>1111.6666666666667</v>
      </c>
      <c r="K34" s="26"/>
      <c r="L34" s="26"/>
      <c r="M34" s="26">
        <f>AVERAGEIFS('Sunflower Oil Prices'!G$2:G$900,'Sunflower Oil Prices'!$B$2:$B$900,'Sun Oil Monthly'!$B34,'Sunflower Oil Prices'!$C$2:$C$900,'Sun Oil Monthly'!$C34)</f>
        <v>1059.75</v>
      </c>
      <c r="N34" s="26"/>
      <c r="O34" s="26"/>
      <c r="Q34" s="26">
        <f t="shared" si="3"/>
        <v>49.107867795152963</v>
      </c>
      <c r="R34" s="26">
        <f t="shared" si="4"/>
        <v>48.584076458242642</v>
      </c>
      <c r="S34" s="26">
        <f t="shared" si="5"/>
        <v>50.424366021325504</v>
      </c>
      <c r="T34" s="26">
        <f t="shared" si="0"/>
        <v>48.069464969504985</v>
      </c>
    </row>
    <row r="35" spans="1:20" x14ac:dyDescent="0.25">
      <c r="A35" s="24">
        <v>44166</v>
      </c>
      <c r="B35" s="25">
        <f t="shared" si="1"/>
        <v>12</v>
      </c>
      <c r="C35" s="25">
        <f t="shared" si="2"/>
        <v>2020</v>
      </c>
      <c r="D35" s="26">
        <f>AVERAGEIFS('Sunflower Oil Prices'!D$2:D$900,'Sunflower Oil Prices'!$B$2:$B$900,'Sun Oil Monthly'!$B35,'Sunflower Oil Prices'!$C$2:$C$900,'Sun Oil Monthly'!$C35)</f>
        <v>1147.8571428571429</v>
      </c>
      <c r="E35" s="26"/>
      <c r="F35" s="26"/>
      <c r="G35" s="26">
        <f>AVERAGEIFS('Sunflower Oil Prices'!E$2:E$900,'Sunflower Oil Prices'!$B$2:$B$900,'Sun Oil Monthly'!$B35,'Sunflower Oil Prices'!$C$2:$C$900,'Sun Oil Monthly'!$C35)</f>
        <v>1133.047619047619</v>
      </c>
      <c r="H35" s="26"/>
      <c r="I35" s="26"/>
      <c r="J35" s="26">
        <f>AVERAGEIFS('Sunflower Oil Prices'!F$2:F$900,'Sunflower Oil Prices'!$B$2:$B$900,'Sun Oil Monthly'!$B35,'Sunflower Oil Prices'!$C$2:$C$900,'Sun Oil Monthly'!$C35)</f>
        <v>1181.047619047619</v>
      </c>
      <c r="K35" s="26"/>
      <c r="L35" s="26"/>
      <c r="M35" s="26">
        <f>AVERAGEIFS('Sunflower Oil Prices'!G$2:G$900,'Sunflower Oil Prices'!$B$2:$B$900,'Sun Oil Monthly'!$B35,'Sunflower Oil Prices'!$C$2:$C$900,'Sun Oil Monthly'!$C35)</f>
        <v>1138.9473684210527</v>
      </c>
      <c r="N35" s="26"/>
      <c r="O35" s="26"/>
      <c r="Q35" s="26">
        <f t="shared" si="3"/>
        <v>52.065938871023832</v>
      </c>
      <c r="R35" s="26">
        <f t="shared" si="4"/>
        <v>51.394189981213067</v>
      </c>
      <c r="S35" s="26">
        <f t="shared" si="5"/>
        <v>53.571433971339268</v>
      </c>
      <c r="T35" s="26">
        <f t="shared" si="0"/>
        <v>51.661798186766383</v>
      </c>
    </row>
    <row r="36" spans="1:20" x14ac:dyDescent="0.25">
      <c r="A36" s="24">
        <v>44197</v>
      </c>
      <c r="B36" s="25">
        <f t="shared" si="1"/>
        <v>1</v>
      </c>
      <c r="C36" s="25">
        <f t="shared" si="2"/>
        <v>2021</v>
      </c>
      <c r="D36" s="26">
        <f>AVERAGEIFS('Sunflower Oil Prices'!D$2:D$900,'Sunflower Oil Prices'!$B$2:$B$900,'Sun Oil Monthly'!$B36,'Sunflower Oil Prices'!$C$2:$C$900,'Sun Oil Monthly'!$C36)</f>
        <v>1270.95</v>
      </c>
      <c r="E36" s="26"/>
      <c r="F36" s="26"/>
      <c r="G36" s="26">
        <f>AVERAGEIFS('Sunflower Oil Prices'!E$2:E$900,'Sunflower Oil Prices'!$B$2:$B$900,'Sun Oil Monthly'!$B36,'Sunflower Oil Prices'!$C$2:$C$900,'Sun Oil Monthly'!$C36)</f>
        <v>1250.25</v>
      </c>
      <c r="H36" s="26"/>
      <c r="I36" s="26"/>
      <c r="J36" s="26">
        <f>AVERAGEIFS('Sunflower Oil Prices'!F$2:F$900,'Sunflower Oil Prices'!$B$2:$B$900,'Sun Oil Monthly'!$B36,'Sunflower Oil Prices'!$C$2:$C$900,'Sun Oil Monthly'!$C36)</f>
        <v>1290.75</v>
      </c>
      <c r="K36" s="26"/>
      <c r="L36" s="26"/>
      <c r="M36" s="26">
        <f>AVERAGEIFS('Sunflower Oil Prices'!G$2:G$900,'Sunflower Oil Prices'!$B$2:$B$900,'Sun Oil Monthly'!$B36,'Sunflower Oil Prices'!$C$2:$C$900,'Sun Oil Monthly'!$C36)</f>
        <v>1260.25</v>
      </c>
      <c r="N36" s="26"/>
      <c r="O36" s="26"/>
      <c r="Q36" s="26">
        <f t="shared" si="3"/>
        <v>57.649338526060255</v>
      </c>
      <c r="R36" s="26">
        <f t="shared" si="4"/>
        <v>56.710402055318333</v>
      </c>
      <c r="S36" s="26">
        <f t="shared" si="5"/>
        <v>58.547451671987318</v>
      </c>
      <c r="T36" s="26">
        <f t="shared" si="0"/>
        <v>57.16399455326129</v>
      </c>
    </row>
    <row r="37" spans="1:20" x14ac:dyDescent="0.25">
      <c r="A37" s="24">
        <v>44228</v>
      </c>
      <c r="B37" s="25">
        <f t="shared" si="1"/>
        <v>2</v>
      </c>
      <c r="C37" s="25">
        <f t="shared" si="2"/>
        <v>2021</v>
      </c>
      <c r="D37" s="26">
        <f>AVERAGEIFS('Sunflower Oil Prices'!D$2:D$900,'Sunflower Oil Prices'!$B$2:$B$900,'Sun Oil Monthly'!$B37,'Sunflower Oil Prices'!$C$2:$C$900,'Sun Oil Monthly'!$C37)</f>
        <v>1350.25</v>
      </c>
      <c r="E37" s="26"/>
      <c r="F37" s="26"/>
      <c r="G37" s="26">
        <f>AVERAGEIFS('Sunflower Oil Prices'!E$2:E$900,'Sunflower Oil Prices'!$B$2:$B$900,'Sun Oil Monthly'!$B37,'Sunflower Oil Prices'!$C$2:$C$900,'Sun Oil Monthly'!$C37)</f>
        <v>1309.8947368421052</v>
      </c>
      <c r="H37" s="26"/>
      <c r="I37" s="26"/>
      <c r="J37" s="26">
        <f>AVERAGEIFS('Sunflower Oil Prices'!F$2:F$900,'Sunflower Oil Prices'!$B$2:$B$900,'Sun Oil Monthly'!$B37,'Sunflower Oil Prices'!$C$2:$C$900,'Sun Oil Monthly'!$C37)</f>
        <v>1379.25</v>
      </c>
      <c r="K37" s="26"/>
      <c r="L37" s="26"/>
      <c r="M37" s="26">
        <f>AVERAGEIFS('Sunflower Oil Prices'!G$2:G$900,'Sunflower Oil Prices'!$B$2:$B$900,'Sun Oil Monthly'!$B37,'Sunflower Oil Prices'!$C$2:$C$900,'Sun Oil Monthly'!$C37)</f>
        <v>1290</v>
      </c>
      <c r="N37" s="26"/>
      <c r="O37" s="26"/>
      <c r="Q37" s="26">
        <f t="shared" si="3"/>
        <v>61.246327034747914</v>
      </c>
      <c r="R37" s="26">
        <f t="shared" si="4"/>
        <v>59.415842572654419</v>
      </c>
      <c r="S37" s="26">
        <f t="shared" si="5"/>
        <v>62.561745278782489</v>
      </c>
      <c r="T37" s="26">
        <f t="shared" si="0"/>
        <v>58.513432234641591</v>
      </c>
    </row>
    <row r="38" spans="1:20" x14ac:dyDescent="0.25">
      <c r="A38" s="24">
        <v>44256</v>
      </c>
      <c r="B38" s="25">
        <f t="shared" si="1"/>
        <v>3</v>
      </c>
      <c r="C38" s="25">
        <f t="shared" si="2"/>
        <v>2021</v>
      </c>
      <c r="D38" s="26">
        <f>AVERAGEIFS('Sunflower Oil Prices'!D$2:D$900,'Sunflower Oil Prices'!$B$2:$B$900,'Sun Oil Monthly'!$B38,'Sunflower Oil Prices'!$C$2:$C$900,'Sun Oil Monthly'!$C38)</f>
        <v>1581.8695652173913</v>
      </c>
      <c r="E38" s="26"/>
      <c r="F38" s="26"/>
      <c r="G38" s="26">
        <f>AVERAGEIFS('Sunflower Oil Prices'!E$2:E$900,'Sunflower Oil Prices'!$B$2:$B$900,'Sun Oil Monthly'!$B38,'Sunflower Oil Prices'!$C$2:$C$900,'Sun Oil Monthly'!$C38)</f>
        <v>1530.4347826086957</v>
      </c>
      <c r="H38" s="26"/>
      <c r="I38" s="26"/>
      <c r="J38" s="26">
        <f>AVERAGEIFS('Sunflower Oil Prices'!F$2:F$900,'Sunflower Oil Prices'!$B$2:$B$900,'Sun Oil Monthly'!$B38,'Sunflower Oil Prices'!$C$2:$C$900,'Sun Oil Monthly'!$C38)</f>
        <v>1634.7826086956522</v>
      </c>
      <c r="K38" s="26"/>
      <c r="L38" s="26"/>
      <c r="M38" s="26">
        <f>AVERAGEIFS('Sunflower Oil Prices'!G$2:G$900,'Sunflower Oil Prices'!$B$2:$B$900,'Sun Oil Monthly'!$B38,'Sunflower Oil Prices'!$C$2:$C$900,'Sun Oil Monthly'!$C38)</f>
        <v>1528.4782608695652</v>
      </c>
      <c r="N38" s="26"/>
      <c r="O38" s="26"/>
      <c r="Q38" s="26">
        <f t="shared" si="3"/>
        <v>71.752416750689747</v>
      </c>
      <c r="R38" s="26">
        <f t="shared" si="4"/>
        <v>69.419373598226628</v>
      </c>
      <c r="S38" s="26">
        <f t="shared" si="5"/>
        <v>74.152512707196621</v>
      </c>
      <c r="T38" s="26">
        <f t="shared" si="0"/>
        <v>69.330627239933435</v>
      </c>
    </row>
    <row r="39" spans="1:20" x14ac:dyDescent="0.25">
      <c r="A39" s="24">
        <v>44287</v>
      </c>
      <c r="B39" s="25">
        <f t="shared" si="1"/>
        <v>4</v>
      </c>
      <c r="C39" s="25">
        <f t="shared" si="2"/>
        <v>2021</v>
      </c>
      <c r="D39" s="26">
        <f>AVERAGEIFS('Sunflower Oil Prices'!D$2:D$900,'Sunflower Oil Prices'!$B$2:$B$900,'Sun Oil Monthly'!$B39,'Sunflower Oil Prices'!$C$2:$C$900,'Sun Oil Monthly'!$C39)</f>
        <v>1545.85</v>
      </c>
      <c r="E39" s="26"/>
      <c r="F39" s="26"/>
      <c r="G39" s="26">
        <f>AVERAGEIFS('Sunflower Oil Prices'!E$2:E$900,'Sunflower Oil Prices'!$B$2:$B$900,'Sun Oil Monthly'!$B39,'Sunflower Oil Prices'!$C$2:$C$900,'Sun Oil Monthly'!$C39)</f>
        <v>1502.5</v>
      </c>
      <c r="H39" s="26"/>
      <c r="I39" s="26"/>
      <c r="J39" s="26">
        <f>AVERAGEIFS('Sunflower Oil Prices'!F$2:F$900,'Sunflower Oil Prices'!$B$2:$B$900,'Sun Oil Monthly'!$B39,'Sunflower Oil Prices'!$C$2:$C$900,'Sun Oil Monthly'!$C39)</f>
        <v>1583</v>
      </c>
      <c r="K39" s="26"/>
      <c r="L39" s="26"/>
      <c r="M39" s="26">
        <f>AVERAGEIFS('Sunflower Oil Prices'!G$2:G$900,'Sunflower Oil Prices'!$B$2:$B$900,'Sun Oil Monthly'!$B39,'Sunflower Oil Prices'!$C$2:$C$900,'Sun Oil Monthly'!$C39)</f>
        <v>1491.5</v>
      </c>
      <c r="N39" s="26"/>
      <c r="O39" s="26"/>
      <c r="Q39" s="26">
        <f t="shared" si="3"/>
        <v>70.118596294512173</v>
      </c>
      <c r="R39" s="26">
        <f t="shared" si="4"/>
        <v>68.15227281592945</v>
      </c>
      <c r="S39" s="26">
        <f t="shared" si="5"/>
        <v>71.803692424370254</v>
      </c>
      <c r="T39" s="26">
        <f t="shared" si="0"/>
        <v>67.653321068192199</v>
      </c>
    </row>
    <row r="40" spans="1:20" x14ac:dyDescent="0.25">
      <c r="A40" s="24">
        <v>44317</v>
      </c>
      <c r="B40" s="25">
        <f t="shared" si="1"/>
        <v>5</v>
      </c>
      <c r="C40" s="25">
        <f t="shared" si="2"/>
        <v>2021</v>
      </c>
      <c r="D40" s="26">
        <f>AVERAGEIFS('Sunflower Oil Prices'!D$2:D$900,'Sunflower Oil Prices'!$B$2:$B$900,'Sun Oil Monthly'!$B40,'Sunflower Oil Prices'!$C$2:$C$900,'Sun Oil Monthly'!$C40)</f>
        <v>1536.3684210526317</v>
      </c>
      <c r="E40" s="26"/>
      <c r="F40" s="26"/>
      <c r="G40" s="26">
        <f>AVERAGEIFS('Sunflower Oil Prices'!E$2:E$900,'Sunflower Oil Prices'!$B$2:$B$900,'Sun Oil Monthly'!$B40,'Sunflower Oil Prices'!$C$2:$C$900,'Sun Oil Monthly'!$C40)</f>
        <v>1510.5263157894738</v>
      </c>
      <c r="H40" s="26"/>
      <c r="I40" s="26"/>
      <c r="J40" s="26">
        <f>AVERAGEIFS('Sunflower Oil Prices'!F$2:F$900,'Sunflower Oil Prices'!$B$2:$B$900,'Sun Oil Monthly'!$B40,'Sunflower Oil Prices'!$C$2:$C$900,'Sun Oil Monthly'!$C40)</f>
        <v>1599.4117647058824</v>
      </c>
      <c r="K40" s="26"/>
      <c r="L40" s="26"/>
      <c r="M40" s="26">
        <f>AVERAGEIFS('Sunflower Oil Prices'!G$2:G$900,'Sunflower Oil Prices'!$B$2:$B$900,'Sun Oil Monthly'!$B40,'Sunflower Oil Prices'!$C$2:$C$900,'Sun Oil Monthly'!$C40)</f>
        <v>1499.7058823529412</v>
      </c>
      <c r="N40" s="26"/>
      <c r="O40" s="26"/>
      <c r="Q40" s="26">
        <f t="shared" si="3"/>
        <v>69.688518986594147</v>
      </c>
      <c r="R40" s="26">
        <f t="shared" si="4"/>
        <v>68.516340478752085</v>
      </c>
      <c r="S40" s="26">
        <f t="shared" si="5"/>
        <v>72.548117759229598</v>
      </c>
      <c r="T40" s="26">
        <f t="shared" si="0"/>
        <v>68.025533735621863</v>
      </c>
    </row>
    <row r="41" spans="1:20" x14ac:dyDescent="0.25">
      <c r="A41" s="24">
        <v>44348</v>
      </c>
      <c r="B41" s="25">
        <f t="shared" si="1"/>
        <v>6</v>
      </c>
      <c r="C41" s="25">
        <f t="shared" si="2"/>
        <v>2021</v>
      </c>
      <c r="D41" s="26">
        <f>AVERAGEIFS('Sunflower Oil Prices'!D$2:D$900,'Sunflower Oil Prices'!$B$2:$B$900,'Sun Oil Monthly'!$B41,'Sunflower Oil Prices'!$C$2:$C$900,'Sun Oil Monthly'!$C41)</f>
        <v>1217.5</v>
      </c>
      <c r="E41" s="26"/>
      <c r="F41" s="26"/>
      <c r="G41" s="26">
        <f>AVERAGEIFS('Sunflower Oil Prices'!E$2:E$900,'Sunflower Oil Prices'!$B$2:$B$900,'Sun Oil Monthly'!$B41,'Sunflower Oil Prices'!$C$2:$C$900,'Sun Oil Monthly'!$C41)</f>
        <v>1222.5</v>
      </c>
      <c r="H41" s="26"/>
      <c r="I41" s="26"/>
      <c r="J41" s="26">
        <f>AVERAGEIFS('Sunflower Oil Prices'!F$2:F$900,'Sunflower Oil Prices'!$B$2:$B$900,'Sun Oil Monthly'!$B41,'Sunflower Oil Prices'!$C$2:$C$900,'Sun Oil Monthly'!$C41)</f>
        <v>1312.7272727272727</v>
      </c>
      <c r="K41" s="26"/>
      <c r="L41" s="26"/>
      <c r="M41" s="26">
        <f>AVERAGEIFS('Sunflower Oil Prices'!G$2:G$900,'Sunflower Oil Prices'!$B$2:$B$900,'Sun Oil Monthly'!$B41,'Sunflower Oil Prices'!$C$2:$C$900,'Sun Oil Monthly'!$C41)</f>
        <v>1251.8181818181818</v>
      </c>
      <c r="N41" s="26"/>
      <c r="O41" s="26"/>
      <c r="Q41" s="26">
        <f t="shared" si="3"/>
        <v>55.224886624555147</v>
      </c>
      <c r="R41" s="26">
        <f t="shared" si="4"/>
        <v>55.451682873526622</v>
      </c>
      <c r="S41" s="26">
        <f t="shared" si="5"/>
        <v>59.544324275421047</v>
      </c>
      <c r="T41" s="26">
        <f t="shared" si="0"/>
        <v>56.781533606132108</v>
      </c>
    </row>
    <row r="42" spans="1:20" x14ac:dyDescent="0.25">
      <c r="A42" s="24">
        <v>44378</v>
      </c>
      <c r="B42" s="25">
        <f t="shared" si="1"/>
        <v>7</v>
      </c>
      <c r="C42" s="25">
        <f t="shared" si="2"/>
        <v>2021</v>
      </c>
      <c r="D42" s="26">
        <f>AVERAGEIFS('Sunflower Oil Prices'!D$2:D$900,'Sunflower Oil Prices'!$B$2:$B$900,'Sun Oil Monthly'!$B42,'Sunflower Oil Prices'!$C$2:$C$900,'Sun Oil Monthly'!$C42)</f>
        <v>1195.1363636363637</v>
      </c>
      <c r="E42" s="26"/>
      <c r="F42" s="26"/>
      <c r="G42" s="26">
        <f>AVERAGEIFS('Sunflower Oil Prices'!E$2:E$900,'Sunflower Oil Prices'!$B$2:$B$900,'Sun Oil Monthly'!$B42,'Sunflower Oil Prices'!$C$2:$C$900,'Sun Oil Monthly'!$C42)</f>
        <v>1184.7727272727273</v>
      </c>
      <c r="H42" s="26"/>
      <c r="I42" s="26"/>
      <c r="J42" s="26">
        <f>AVERAGEIFS('Sunflower Oil Prices'!F$2:F$900,'Sunflower Oil Prices'!$B$2:$B$900,'Sun Oil Monthly'!$B42,'Sunflower Oil Prices'!$C$2:$C$900,'Sun Oil Monthly'!$C42)</f>
        <v>1277.9545454545455</v>
      </c>
      <c r="K42" s="26"/>
      <c r="L42" s="26"/>
      <c r="M42" s="26">
        <f>AVERAGEIFS('Sunflower Oil Prices'!G$2:G$900,'Sunflower Oil Prices'!$B$2:$B$900,'Sun Oil Monthly'!$B42,'Sunflower Oil Prices'!$C$2:$C$900,'Sun Oil Monthly'!$C42)</f>
        <v>1255</v>
      </c>
      <c r="N42" s="26"/>
      <c r="O42" s="26"/>
      <c r="Q42" s="26">
        <f t="shared" si="3"/>
        <v>54.210488856428171</v>
      </c>
      <c r="R42" s="26">
        <f t="shared" si="4"/>
        <v>53.740402085832741</v>
      </c>
      <c r="S42" s="26">
        <f t="shared" si="5"/>
        <v>57.967059453028483</v>
      </c>
      <c r="T42" s="26">
        <f t="shared" si="0"/>
        <v>56.925858491841232</v>
      </c>
    </row>
    <row r="43" spans="1:20" x14ac:dyDescent="0.25">
      <c r="A43" s="24">
        <v>44409</v>
      </c>
      <c r="B43" s="25">
        <f t="shared" si="1"/>
        <v>8</v>
      </c>
      <c r="C43" s="25">
        <f t="shared" si="2"/>
        <v>2021</v>
      </c>
      <c r="D43" s="27">
        <f>MROUND(Q43*2204.622/100,5)</f>
        <v>1415</v>
      </c>
      <c r="E43" s="27">
        <f>MROUND(_xlfn.STDEV.P(D$3:D42)+D43,5)</f>
        <v>1685</v>
      </c>
      <c r="F43" s="27">
        <f>MROUND(D43-_xlfn.STDEV.P(D$3:D42),5)</f>
        <v>1145</v>
      </c>
      <c r="G43" s="27">
        <f>MROUND(R43*2204.622/100,5)</f>
        <v>1385</v>
      </c>
      <c r="H43" s="27">
        <f>MROUND(_xlfn.STDEV.P(G$24:G$42)+G43,5)</f>
        <v>1680</v>
      </c>
      <c r="I43" s="27">
        <f>MROUND(G43-_xlfn.STDEV.S(G$24:G$42),5)</f>
        <v>1080</v>
      </c>
      <c r="J43" s="27">
        <f>MROUND(S43*2204.622/100,5)</f>
        <v>1480</v>
      </c>
      <c r="K43" s="27">
        <f>MROUND(_xlfn.STDEV.P(J$6:J42)+J43,5)</f>
        <v>1765</v>
      </c>
      <c r="L43" s="27">
        <f>MROUND(J43-_xlfn.STDEV.P(J$6:J42),5)</f>
        <v>1195</v>
      </c>
      <c r="M43" s="27">
        <f t="shared" ref="M43:M55" si="6">MROUND(T43*2204.622/100,5)</f>
        <v>1405</v>
      </c>
      <c r="N43" s="27">
        <f>MROUND(_xlfn.STDEV.P(M$5:M42)+M43,5)</f>
        <v>1675</v>
      </c>
      <c r="O43" s="27">
        <f>MROUND(M43-_xlfn.STDEV.P(M$5:M42),5)</f>
        <v>1135</v>
      </c>
      <c r="Q43" s="26">
        <f>FORECAST([2]Prices!$L622,Q3:Q42,[2]Prices!$L$582:$L$621)</f>
        <v>64.165304112697044</v>
      </c>
      <c r="R43" s="26">
        <f>FORECAST([2]Prices!$L622,R3:R42,[2]Prices!$L$582:$L$621)</f>
        <v>62.719277898118335</v>
      </c>
      <c r="S43" s="26">
        <f>FORECAST([2]Prices!$L622,S3:S42,[2]Prices!$L$582:$L$621)</f>
        <v>67.030384679838249</v>
      </c>
      <c r="T43" s="26">
        <f>FORECAST([2]Prices!$L622,T3:T42,[2]Prices!$L$582:$L$621)</f>
        <v>63.770732421913891</v>
      </c>
    </row>
    <row r="44" spans="1:20" x14ac:dyDescent="0.25">
      <c r="A44" s="24">
        <v>44440</v>
      </c>
      <c r="B44" s="25">
        <f t="shared" si="1"/>
        <v>9</v>
      </c>
      <c r="C44" s="25">
        <f t="shared" si="2"/>
        <v>2021</v>
      </c>
      <c r="D44" s="27">
        <f t="shared" ref="D44:D55" si="7">MROUND(Q44*2204.622/100,5)</f>
        <v>1435</v>
      </c>
      <c r="E44" s="27">
        <f>MROUND(_xlfn.STDEV.P(D$3:D43)+D44,5)</f>
        <v>1715</v>
      </c>
      <c r="F44" s="27">
        <f>MROUND(D44-_xlfn.STDEV.P(D$3:D43),5)</f>
        <v>1155</v>
      </c>
      <c r="G44" s="27">
        <f t="shared" ref="G44:G55" si="8">MROUND(R44*2204.622/100,5)</f>
        <v>1395</v>
      </c>
      <c r="H44" s="27">
        <f t="shared" ref="H44:H54" si="9">MROUND(_xlfn.STDEV.P(G$24:G$42)+G44,5)</f>
        <v>1690</v>
      </c>
      <c r="I44" s="27">
        <f t="shared" ref="I44:I55" si="10">MROUND(G44-_xlfn.STDEV.S(G$24:G$42),5)</f>
        <v>1090</v>
      </c>
      <c r="J44" s="27">
        <f t="shared" ref="J44:J55" si="11">MROUND(S44*2204.622/100,5)</f>
        <v>1500</v>
      </c>
      <c r="K44" s="27">
        <f>MROUND(_xlfn.STDEV.P(J$6:J43)+J44,5)</f>
        <v>1795</v>
      </c>
      <c r="L44" s="27">
        <f>MROUND(J44-_xlfn.STDEV.P(J$6:J43),5)</f>
        <v>1205</v>
      </c>
      <c r="M44" s="27">
        <f t="shared" si="6"/>
        <v>1435</v>
      </c>
      <c r="N44" s="27">
        <f>MROUND(_xlfn.STDEV.P(M$5:M43)+M44,5)</f>
        <v>1720</v>
      </c>
      <c r="O44" s="27">
        <f>MROUND(M44-_xlfn.STDEV.P(M$5:M43),5)</f>
        <v>1150</v>
      </c>
      <c r="Q44" s="26">
        <f>FORECAST([2]Prices!$L623,Q4:Q43,[2]Prices!$L$582:$L$621)</f>
        <v>65.052344866899944</v>
      </c>
      <c r="R44" s="26">
        <f>FORECAST([2]Prices!$L623,R4:R43,[2]Prices!$L$582:$L$621)</f>
        <v>63.201163429852507</v>
      </c>
      <c r="S44" s="26">
        <f>FORECAST([2]Prices!$L623,S4:S43,[2]Prices!$L$582:$L$621)</f>
        <v>68.122034994498833</v>
      </c>
      <c r="T44" s="26">
        <f>FORECAST([2]Prices!$L623,T4:T43,[2]Prices!$L$582:$L$621)</f>
        <v>64.982496583599698</v>
      </c>
    </row>
    <row r="45" spans="1:20" x14ac:dyDescent="0.25">
      <c r="A45" s="24">
        <v>44470</v>
      </c>
      <c r="B45" s="25">
        <f t="shared" si="1"/>
        <v>10</v>
      </c>
      <c r="C45" s="25">
        <f t="shared" si="2"/>
        <v>2021</v>
      </c>
      <c r="D45" s="27">
        <f t="shared" si="7"/>
        <v>1475</v>
      </c>
      <c r="E45" s="27">
        <f>MROUND(_xlfn.STDEV.P(D$3:D44)+D45,5)</f>
        <v>1765</v>
      </c>
      <c r="F45" s="27">
        <f>MROUND(D45-_xlfn.STDEV.P(D$3:D44),5)</f>
        <v>1185</v>
      </c>
      <c r="G45" s="27">
        <f t="shared" si="8"/>
        <v>1420</v>
      </c>
      <c r="H45" s="27">
        <f t="shared" si="9"/>
        <v>1715</v>
      </c>
      <c r="I45" s="27">
        <f t="shared" si="10"/>
        <v>1115</v>
      </c>
      <c r="J45" s="27">
        <f t="shared" si="11"/>
        <v>1545</v>
      </c>
      <c r="K45" s="27">
        <f>MROUND(_xlfn.STDEV.P(J$6:J44)+J45,5)</f>
        <v>1850</v>
      </c>
      <c r="L45" s="27">
        <f>MROUND(J45-_xlfn.STDEV.P(J$6:J44),5)</f>
        <v>1240</v>
      </c>
      <c r="M45" s="27">
        <f t="shared" si="6"/>
        <v>1480</v>
      </c>
      <c r="N45" s="27">
        <f>MROUND(_xlfn.STDEV.P(M$5:M44)+M45,5)</f>
        <v>1775</v>
      </c>
      <c r="O45" s="27">
        <f>MROUND(M45-_xlfn.STDEV.P(M$5:M44),5)</f>
        <v>1185</v>
      </c>
      <c r="Q45" s="26">
        <f>FORECAST([2]Prices!$L624,Q5:Q44,[2]Prices!$L$582:$L$621)</f>
        <v>66.993019059101854</v>
      </c>
      <c r="R45" s="26">
        <f>FORECAST([2]Prices!$L624,R5:R44,[2]Prices!$L$582:$L$621)</f>
        <v>64.478764317830723</v>
      </c>
      <c r="S45" s="26">
        <f>FORECAST([2]Prices!$L624,S5:S44,[2]Prices!$L$582:$L$621)</f>
        <v>70.185580331581875</v>
      </c>
      <c r="T45" s="26">
        <f>FORECAST([2]Prices!$L624,T5:T44,[2]Prices!$L$582:$L$621)</f>
        <v>67.089919463760609</v>
      </c>
    </row>
    <row r="46" spans="1:20" x14ac:dyDescent="0.25">
      <c r="A46" s="24">
        <v>44501</v>
      </c>
      <c r="B46" s="25">
        <f t="shared" si="1"/>
        <v>11</v>
      </c>
      <c r="C46" s="25">
        <f t="shared" si="2"/>
        <v>2021</v>
      </c>
      <c r="D46" s="27">
        <f t="shared" si="7"/>
        <v>1545</v>
      </c>
      <c r="E46" s="27">
        <f>MROUND(_xlfn.STDEV.P(D$3:D45)+D46,5)</f>
        <v>1845</v>
      </c>
      <c r="F46" s="27">
        <f>MROUND(D46-_xlfn.STDEV.P(D$3:D45),5)</f>
        <v>1245</v>
      </c>
      <c r="G46" s="27">
        <f t="shared" si="8"/>
        <v>1470</v>
      </c>
      <c r="H46" s="27">
        <f t="shared" si="9"/>
        <v>1765</v>
      </c>
      <c r="I46" s="27">
        <f t="shared" si="10"/>
        <v>1165</v>
      </c>
      <c r="J46" s="27">
        <f t="shared" si="11"/>
        <v>1615</v>
      </c>
      <c r="K46" s="27">
        <f>MROUND(_xlfn.STDEV.P(J$6:J45)+J46,5)</f>
        <v>1935</v>
      </c>
      <c r="L46" s="27">
        <f>MROUND(J46-_xlfn.STDEV.P(J$6:J45),5)</f>
        <v>1295</v>
      </c>
      <c r="M46" s="27">
        <f t="shared" si="6"/>
        <v>1545</v>
      </c>
      <c r="N46" s="27">
        <f>MROUND(_xlfn.STDEV.P(M$5:M45)+M46,5)</f>
        <v>1850</v>
      </c>
      <c r="O46" s="27">
        <f>MROUND(M46-_xlfn.STDEV.P(M$5:M45),5)</f>
        <v>1240</v>
      </c>
      <c r="Q46" s="26">
        <f>FORECAST([2]Prices!$L625,Q6:Q45,[2]Prices!$L$582:$L$621)</f>
        <v>69.986938358718973</v>
      </c>
      <c r="R46" s="26">
        <f>FORECAST([2]Prices!$L625,R6:R45,[2]Prices!$L$582:$L$621)</f>
        <v>66.568376812687305</v>
      </c>
      <c r="S46" s="26">
        <f>FORECAST([2]Prices!$L625,S6:S45,[2]Prices!$L$582:$L$621)</f>
        <v>73.297946951108827</v>
      </c>
      <c r="T46" s="26">
        <f>FORECAST([2]Prices!$L625,T6:T45,[2]Prices!$L$582:$L$621)</f>
        <v>70.098086721037816</v>
      </c>
    </row>
    <row r="47" spans="1:20" x14ac:dyDescent="0.25">
      <c r="A47" s="24">
        <v>44531</v>
      </c>
      <c r="B47" s="25">
        <f t="shared" si="1"/>
        <v>12</v>
      </c>
      <c r="C47" s="25">
        <f t="shared" si="2"/>
        <v>2021</v>
      </c>
      <c r="D47" s="27">
        <f t="shared" si="7"/>
        <v>1565</v>
      </c>
      <c r="E47" s="27">
        <f>MROUND(_xlfn.STDEV.P(D$3:D46)+D47,5)</f>
        <v>1875</v>
      </c>
      <c r="F47" s="27">
        <f>MROUND(D47-_xlfn.STDEV.P(D$3:D46),5)</f>
        <v>1255</v>
      </c>
      <c r="G47" s="27">
        <f t="shared" si="8"/>
        <v>1480</v>
      </c>
      <c r="H47" s="27">
        <f t="shared" si="9"/>
        <v>1775</v>
      </c>
      <c r="I47" s="27">
        <f t="shared" si="10"/>
        <v>1175</v>
      </c>
      <c r="J47" s="27">
        <f t="shared" si="11"/>
        <v>1640</v>
      </c>
      <c r="K47" s="27">
        <f>MROUND(_xlfn.STDEV.P(J$6:J46)+J47,5)</f>
        <v>1970</v>
      </c>
      <c r="L47" s="27">
        <f>MROUND(J47-_xlfn.STDEV.P(J$6:J46),5)</f>
        <v>1310</v>
      </c>
      <c r="M47" s="27">
        <f t="shared" si="6"/>
        <v>1565</v>
      </c>
      <c r="N47" s="27">
        <f>MROUND(_xlfn.STDEV.P(M$5:M46)+M47,5)</f>
        <v>1880</v>
      </c>
      <c r="O47" s="27">
        <f>MROUND(M47-_xlfn.STDEV.P(M$5:M46),5)</f>
        <v>1250</v>
      </c>
      <c r="Q47" s="26">
        <f>FORECAST([2]Prices!$L626,Q7:Q46,[2]Prices!$L$582:$L$621)</f>
        <v>70.93335455211529</v>
      </c>
      <c r="R47" s="26">
        <f>FORECAST([2]Prices!$L626,R7:R46,[2]Prices!$L$582:$L$621)</f>
        <v>67.096986039771281</v>
      </c>
      <c r="S47" s="26">
        <f>FORECAST([2]Prices!$L626,S7:S46,[2]Prices!$L$582:$L$621)</f>
        <v>74.281989861247084</v>
      </c>
      <c r="T47" s="26">
        <f>FORECAST([2]Prices!$L626,T7:T46,[2]Prices!$L$582:$L$621)</f>
        <v>71.079827469066458</v>
      </c>
    </row>
    <row r="48" spans="1:20" x14ac:dyDescent="0.25">
      <c r="A48" s="24">
        <v>44562</v>
      </c>
      <c r="B48" s="25">
        <f t="shared" si="1"/>
        <v>1</v>
      </c>
      <c r="C48" s="25">
        <f t="shared" si="2"/>
        <v>2022</v>
      </c>
      <c r="D48" s="27">
        <f t="shared" si="7"/>
        <v>1605</v>
      </c>
      <c r="E48" s="27">
        <f>MROUND(_xlfn.STDEV.P(D$3:D47)+D48,5)</f>
        <v>1930</v>
      </c>
      <c r="F48" s="27">
        <f>MROUND(D48-_xlfn.STDEV.P(D$3:D47),5)</f>
        <v>1280</v>
      </c>
      <c r="G48" s="27">
        <f t="shared" si="8"/>
        <v>1505</v>
      </c>
      <c r="H48" s="27">
        <f t="shared" si="9"/>
        <v>1800</v>
      </c>
      <c r="I48" s="27">
        <f t="shared" si="10"/>
        <v>1200</v>
      </c>
      <c r="J48" s="27">
        <f t="shared" si="11"/>
        <v>1685</v>
      </c>
      <c r="K48" s="27">
        <f>MROUND(_xlfn.STDEV.P(J$6:J47)+J48,5)</f>
        <v>2025</v>
      </c>
      <c r="L48" s="27">
        <f>MROUND(J48-_xlfn.STDEV.P(J$6:J47),5)</f>
        <v>1345</v>
      </c>
      <c r="M48" s="27">
        <f t="shared" si="6"/>
        <v>1610</v>
      </c>
      <c r="N48" s="27">
        <f>MROUND(_xlfn.STDEV.P(M$5:M47)+M48,5)</f>
        <v>1935</v>
      </c>
      <c r="O48" s="27">
        <f>MROUND(M48-_xlfn.STDEV.P(M$5:M47),5)</f>
        <v>1285</v>
      </c>
      <c r="Q48" s="26">
        <f>FORECAST([2]Prices!$L627,Q8:Q47,[2]Prices!$L$582:$L$621)</f>
        <v>72.90744704123405</v>
      </c>
      <c r="R48" s="26">
        <f>FORECAST([2]Prices!$L627,R8:R47,[2]Prices!$L$582:$L$621)</f>
        <v>68.319525828770779</v>
      </c>
      <c r="S48" s="26">
        <f>FORECAST([2]Prices!$L627,S8:S47,[2]Prices!$L$582:$L$621)</f>
        <v>76.390776755711514</v>
      </c>
      <c r="T48" s="26">
        <f>FORECAST([2]Prices!$L627,T8:T47,[2]Prices!$L$582:$L$621)</f>
        <v>73.126042781684873</v>
      </c>
    </row>
    <row r="49" spans="1:20" x14ac:dyDescent="0.25">
      <c r="A49" s="24">
        <v>44593</v>
      </c>
      <c r="B49" s="25">
        <f t="shared" si="1"/>
        <v>2</v>
      </c>
      <c r="C49" s="25">
        <f t="shared" si="2"/>
        <v>2022</v>
      </c>
      <c r="D49" s="27">
        <f t="shared" si="7"/>
        <v>1640</v>
      </c>
      <c r="E49" s="27">
        <f>MROUND(_xlfn.STDEV.P(D$3:D48)+D49,5)</f>
        <v>1975</v>
      </c>
      <c r="F49" s="27">
        <f>MROUND(D49-_xlfn.STDEV.P(D$3:D48),5)</f>
        <v>1305</v>
      </c>
      <c r="G49" s="27">
        <f t="shared" si="8"/>
        <v>1525</v>
      </c>
      <c r="H49" s="27">
        <f t="shared" si="9"/>
        <v>1820</v>
      </c>
      <c r="I49" s="27">
        <f t="shared" si="10"/>
        <v>1220</v>
      </c>
      <c r="J49" s="27">
        <f t="shared" si="11"/>
        <v>1720</v>
      </c>
      <c r="K49" s="27">
        <f>MROUND(_xlfn.STDEV.P(J$6:J48)+J49,5)</f>
        <v>2075</v>
      </c>
      <c r="L49" s="27">
        <f>MROUND(J49-_xlfn.STDEV.P(J$6:J48),5)</f>
        <v>1365</v>
      </c>
      <c r="M49" s="27">
        <f t="shared" si="6"/>
        <v>1645</v>
      </c>
      <c r="N49" s="27">
        <f>MROUND(_xlfn.STDEV.P(M$5:M48)+M49,5)</f>
        <v>1985</v>
      </c>
      <c r="O49" s="27">
        <f>MROUND(M49-_xlfn.STDEV.P(M$5:M48),5)</f>
        <v>1305</v>
      </c>
      <c r="Q49" s="26">
        <f>FORECAST([2]Prices!$L628,Q9:Q48,[2]Prices!$L$582:$L$621)</f>
        <v>74.315653804226343</v>
      </c>
      <c r="R49" s="26">
        <f>FORECAST([2]Prices!$L628,R9:R48,[2]Prices!$L$582:$L$621)</f>
        <v>69.181535486420628</v>
      </c>
      <c r="S49" s="26">
        <f>FORECAST([2]Prices!$L628,S9:S48,[2]Prices!$L$582:$L$621)</f>
        <v>77.943096572631617</v>
      </c>
      <c r="T49" s="26">
        <f>FORECAST([2]Prices!$L628,T9:T48,[2]Prices!$L$582:$L$621)</f>
        <v>74.609363415868586</v>
      </c>
    </row>
    <row r="50" spans="1:20" x14ac:dyDescent="0.25">
      <c r="A50" s="24">
        <v>44621</v>
      </c>
      <c r="B50" s="25">
        <f t="shared" si="1"/>
        <v>3</v>
      </c>
      <c r="C50" s="25">
        <f t="shared" si="2"/>
        <v>2022</v>
      </c>
      <c r="D50" s="27">
        <f t="shared" si="7"/>
        <v>1665</v>
      </c>
      <c r="E50" s="27">
        <f>MROUND(_xlfn.STDEV.P(D$3:D49)+D50,5)</f>
        <v>2010</v>
      </c>
      <c r="F50" s="27">
        <f>MROUND(D50-_xlfn.STDEV.P(D$3:D49),5)</f>
        <v>1320</v>
      </c>
      <c r="G50" s="27">
        <f t="shared" si="8"/>
        <v>1540</v>
      </c>
      <c r="H50" s="27">
        <f t="shared" si="9"/>
        <v>1835</v>
      </c>
      <c r="I50" s="27">
        <f t="shared" si="10"/>
        <v>1235</v>
      </c>
      <c r="J50" s="27">
        <f t="shared" si="11"/>
        <v>1745</v>
      </c>
      <c r="K50" s="27">
        <f>MROUND(_xlfn.STDEV.P(J$6:J49)+J50,5)</f>
        <v>2110</v>
      </c>
      <c r="L50" s="27">
        <f>MROUND(J50-_xlfn.STDEV.P(J$6:J49),5)</f>
        <v>1380</v>
      </c>
      <c r="M50" s="27">
        <f t="shared" si="6"/>
        <v>1670</v>
      </c>
      <c r="N50" s="27">
        <f>MROUND(_xlfn.STDEV.P(M$5:M49)+M50,5)</f>
        <v>2020</v>
      </c>
      <c r="O50" s="27">
        <f>MROUND(M50-_xlfn.STDEV.P(M$5:M49),5)</f>
        <v>1320</v>
      </c>
      <c r="Q50" s="26">
        <f>FORECAST([2]Prices!$L629,Q10:Q49,[2]Prices!$L$582:$L$621)</f>
        <v>75.419071925434764</v>
      </c>
      <c r="R50" s="26">
        <f>FORECAST([2]Prices!$L629,R10:R49,[2]Prices!$L$582:$L$621)</f>
        <v>69.829032620007439</v>
      </c>
      <c r="S50" s="26">
        <f>FORECAST([2]Prices!$L629,S10:S49,[2]Prices!$L$582:$L$621)</f>
        <v>79.168491560848238</v>
      </c>
      <c r="T50" s="26">
        <f>FORECAST([2]Prices!$L629,T10:T49,[2]Prices!$L$582:$L$621)</f>
        <v>75.77668568326709</v>
      </c>
    </row>
    <row r="51" spans="1:20" x14ac:dyDescent="0.25">
      <c r="A51" s="24">
        <v>44652</v>
      </c>
      <c r="B51" s="25">
        <f t="shared" si="1"/>
        <v>4</v>
      </c>
      <c r="C51" s="25">
        <f t="shared" si="2"/>
        <v>2022</v>
      </c>
      <c r="D51" s="27">
        <f t="shared" si="7"/>
        <v>1680</v>
      </c>
      <c r="E51" s="27">
        <f>MROUND(_xlfn.STDEV.P(D$3:D50)+D51,5)</f>
        <v>2035</v>
      </c>
      <c r="F51" s="27">
        <f>MROUND(D51-_xlfn.STDEV.P(D$3:D50),5)</f>
        <v>1325</v>
      </c>
      <c r="G51" s="27">
        <f t="shared" si="8"/>
        <v>1550</v>
      </c>
      <c r="H51" s="27">
        <f t="shared" si="9"/>
        <v>1845</v>
      </c>
      <c r="I51" s="27">
        <f t="shared" si="10"/>
        <v>1245</v>
      </c>
      <c r="J51" s="27">
        <f t="shared" si="11"/>
        <v>1760</v>
      </c>
      <c r="K51" s="27">
        <f>MROUND(_xlfn.STDEV.P(J$6:J50)+J51,5)</f>
        <v>2135</v>
      </c>
      <c r="L51" s="27">
        <f>MROUND(J51-_xlfn.STDEV.P(J$6:J50),5)</f>
        <v>1385</v>
      </c>
      <c r="M51" s="27">
        <f t="shared" si="6"/>
        <v>1685</v>
      </c>
      <c r="N51" s="27">
        <f>MROUND(_xlfn.STDEV.P(M$5:M50)+M51,5)</f>
        <v>2045</v>
      </c>
      <c r="O51" s="27">
        <f>MROUND(M51-_xlfn.STDEV.P(M$5:M50),5)</f>
        <v>1325</v>
      </c>
      <c r="Q51" s="26">
        <f>FORECAST([2]Prices!$L630,Q11:Q50,[2]Prices!$L$582:$L$621)</f>
        <v>76.10078112898502</v>
      </c>
      <c r="R51" s="26">
        <f>FORECAST([2]Prices!$L630,R11:R50,[2]Prices!$L$582:$L$621)</f>
        <v>70.273670115631774</v>
      </c>
      <c r="S51" s="26">
        <f>FORECAST([2]Prices!$L630,S11:S50,[2]Prices!$L$582:$L$621)</f>
        <v>79.913784016060276</v>
      </c>
      <c r="T51" s="26">
        <f>FORECAST([2]Prices!$L630,T11:T50,[2]Prices!$L$582:$L$621)</f>
        <v>76.494619724257007</v>
      </c>
    </row>
    <row r="52" spans="1:20" x14ac:dyDescent="0.25">
      <c r="A52" s="24">
        <v>44682</v>
      </c>
      <c r="B52" s="25">
        <f t="shared" si="1"/>
        <v>5</v>
      </c>
      <c r="C52" s="25">
        <f t="shared" si="2"/>
        <v>2022</v>
      </c>
      <c r="D52" s="27">
        <f t="shared" si="7"/>
        <v>1655</v>
      </c>
      <c r="E52" s="27">
        <f>MROUND(_xlfn.STDEV.P(D$3:D51)+D52,5)</f>
        <v>2020</v>
      </c>
      <c r="F52" s="27">
        <f>MROUND(D52-_xlfn.STDEV.P(D$3:D51),5)</f>
        <v>1290</v>
      </c>
      <c r="G52" s="27">
        <f t="shared" si="8"/>
        <v>1530</v>
      </c>
      <c r="H52" s="27">
        <f t="shared" si="9"/>
        <v>1825</v>
      </c>
      <c r="I52" s="27">
        <f t="shared" si="10"/>
        <v>1225</v>
      </c>
      <c r="J52" s="27">
        <f t="shared" si="11"/>
        <v>1735</v>
      </c>
      <c r="K52" s="27">
        <f>MROUND(_xlfn.STDEV.P(J$6:J51)+J52,5)</f>
        <v>2125</v>
      </c>
      <c r="L52" s="27">
        <f>MROUND(J52-_xlfn.STDEV.P(J$6:J51),5)</f>
        <v>1345</v>
      </c>
      <c r="M52" s="27">
        <f t="shared" si="6"/>
        <v>1660</v>
      </c>
      <c r="N52" s="27">
        <f>MROUND(_xlfn.STDEV.P(M$5:M51)+M52,5)</f>
        <v>2035</v>
      </c>
      <c r="O52" s="27">
        <f>MROUND(M52-_xlfn.STDEV.P(M$5:M51),5)</f>
        <v>1285</v>
      </c>
      <c r="Q52" s="26">
        <f>FORECAST([2]Prices!$L631,Q12:Q51,[2]Prices!$L$582:$L$621)</f>
        <v>74.988998946708747</v>
      </c>
      <c r="R52" s="26">
        <f>FORECAST([2]Prices!$L631,R12:R51,[2]Prices!$L$582:$L$621)</f>
        <v>69.469308459670003</v>
      </c>
      <c r="S52" s="26">
        <f>FORECAST([2]Prices!$L631,S12:S51,[2]Prices!$L$582:$L$621)</f>
        <v>78.753815773851073</v>
      </c>
      <c r="T52" s="26">
        <f>FORECAST([2]Prices!$L631,T12:T51,[2]Prices!$L$582:$L$621)</f>
        <v>75.397588122264722</v>
      </c>
    </row>
    <row r="53" spans="1:20" x14ac:dyDescent="0.25">
      <c r="A53" s="24">
        <v>44713</v>
      </c>
      <c r="B53" s="25">
        <f t="shared" si="1"/>
        <v>6</v>
      </c>
      <c r="C53" s="25">
        <f t="shared" si="2"/>
        <v>2022</v>
      </c>
      <c r="D53" s="27">
        <f t="shared" si="7"/>
        <v>1675</v>
      </c>
      <c r="E53" s="27">
        <f>MROUND(_xlfn.STDEV.P(D$3:D52)+D53,5)</f>
        <v>2050</v>
      </c>
      <c r="F53" s="27">
        <f>MROUND(D53-_xlfn.STDEV.P(D$3:D52),5)</f>
        <v>1300</v>
      </c>
      <c r="G53" s="27">
        <f t="shared" si="8"/>
        <v>1545</v>
      </c>
      <c r="H53" s="27">
        <f t="shared" si="9"/>
        <v>1840</v>
      </c>
      <c r="I53" s="27">
        <f t="shared" si="10"/>
        <v>1240</v>
      </c>
      <c r="J53" s="27">
        <f t="shared" si="11"/>
        <v>1760</v>
      </c>
      <c r="K53" s="27">
        <f>MROUND(_xlfn.STDEV.P(J$6:J52)+J53,5)</f>
        <v>2155</v>
      </c>
      <c r="L53" s="27">
        <f>MROUND(J53-_xlfn.STDEV.P(J$6:J52),5)</f>
        <v>1365</v>
      </c>
      <c r="M53" s="27">
        <f t="shared" si="6"/>
        <v>1685</v>
      </c>
      <c r="N53" s="27">
        <f>MROUND(_xlfn.STDEV.P(M$5:M52)+M53,5)</f>
        <v>2065</v>
      </c>
      <c r="O53" s="27">
        <f>MROUND(M53-_xlfn.STDEV.P(M$5:M52),5)</f>
        <v>1305</v>
      </c>
      <c r="Q53" s="26">
        <f>FORECAST([2]Prices!$L632,Q13:Q52,[2]Prices!$L$582:$L$621)</f>
        <v>75.908126203797053</v>
      </c>
      <c r="R53" s="26">
        <f>FORECAST([2]Prices!$L632,R13:R52,[2]Prices!$L$582:$L$621)</f>
        <v>69.999024358217909</v>
      </c>
      <c r="S53" s="26">
        <f>FORECAST([2]Prices!$L632,S13:S52,[2]Prices!$L$582:$L$621)</f>
        <v>79.725780220948266</v>
      </c>
      <c r="T53" s="26">
        <f>FORECAST([2]Prices!$L632,T13:T52,[2]Prices!$L$582:$L$621)</f>
        <v>76.416590761315376</v>
      </c>
    </row>
    <row r="54" spans="1:20" x14ac:dyDescent="0.25">
      <c r="A54" s="24">
        <v>44743</v>
      </c>
      <c r="B54" s="25">
        <f t="shared" si="1"/>
        <v>7</v>
      </c>
      <c r="C54" s="25">
        <f t="shared" si="2"/>
        <v>2022</v>
      </c>
      <c r="D54" s="27">
        <f t="shared" si="7"/>
        <v>1710</v>
      </c>
      <c r="E54" s="27">
        <f>MROUND(_xlfn.STDEV.P(D$3:D53)+D54,5)</f>
        <v>2095</v>
      </c>
      <c r="F54" s="27">
        <f>MROUND(D54-_xlfn.STDEV.P(D$3:D53),5)</f>
        <v>1325</v>
      </c>
      <c r="G54" s="27">
        <f t="shared" si="8"/>
        <v>1565</v>
      </c>
      <c r="H54" s="27">
        <f t="shared" si="9"/>
        <v>1860</v>
      </c>
      <c r="I54" s="27">
        <f t="shared" si="10"/>
        <v>1260</v>
      </c>
      <c r="J54" s="27">
        <f t="shared" si="11"/>
        <v>1795</v>
      </c>
      <c r="K54" s="27">
        <f>MROUND(_xlfn.STDEV.P(J$6:J53)+J54,5)</f>
        <v>2200</v>
      </c>
      <c r="L54" s="27">
        <f>MROUND(J54-_xlfn.STDEV.P(J$6:J53),5)</f>
        <v>1390</v>
      </c>
      <c r="M54" s="27">
        <f t="shared" si="6"/>
        <v>1720</v>
      </c>
      <c r="N54" s="27">
        <f>MROUND(_xlfn.STDEV.P(M$5:M53)+M54,5)</f>
        <v>2110</v>
      </c>
      <c r="O54" s="27">
        <f>MROUND(M54-_xlfn.STDEV.P(M$5:M53),5)</f>
        <v>1330</v>
      </c>
      <c r="Q54" s="26">
        <f>FORECAST([2]Prices!$L633,Q14:Q53,[2]Prices!$L$582:$L$621)</f>
        <v>77.49791064245413</v>
      </c>
      <c r="R54" s="26">
        <f>FORECAST([2]Prices!$L633,R14:R53,[2]Prices!$L$582:$L$621)</f>
        <v>71.00462104110602</v>
      </c>
      <c r="S54" s="26">
        <f>FORECAST([2]Prices!$L633,S14:S53,[2]Prices!$L$582:$L$621)</f>
        <v>81.368104605567936</v>
      </c>
      <c r="T54" s="26">
        <f>FORECAST([2]Prices!$L633,T14:T53,[2]Prices!$L$582:$L$621)</f>
        <v>78.059976101920341</v>
      </c>
    </row>
    <row r="55" spans="1:20" x14ac:dyDescent="0.25">
      <c r="A55" s="24">
        <v>44774</v>
      </c>
      <c r="B55" s="25">
        <f t="shared" si="1"/>
        <v>8</v>
      </c>
      <c r="C55" s="25">
        <f t="shared" si="2"/>
        <v>2022</v>
      </c>
      <c r="D55" s="27">
        <f t="shared" si="7"/>
        <v>1735</v>
      </c>
      <c r="E55" s="27">
        <f>MROUND(_xlfn.STDEV.P(D$3:D54)+D55,5)</f>
        <v>2125</v>
      </c>
      <c r="F55" s="27">
        <f>MROUND(D55-_xlfn.STDEV.P(D$3:D54),5)</f>
        <v>1345</v>
      </c>
      <c r="G55" s="27">
        <f t="shared" si="8"/>
        <v>1585</v>
      </c>
      <c r="H55" s="27">
        <f>MROUND(_xlfn.STDEV.P(G$24:G$42)+G55,5)</f>
        <v>1880</v>
      </c>
      <c r="I55" s="27">
        <f t="shared" si="10"/>
        <v>1280</v>
      </c>
      <c r="J55" s="27">
        <f t="shared" si="11"/>
        <v>1820</v>
      </c>
      <c r="K55" s="27">
        <f>MROUND(_xlfn.STDEV.P(J$6:J54)+J55,5)</f>
        <v>2235</v>
      </c>
      <c r="L55" s="27">
        <f>MROUND(J55-_xlfn.STDEV.P(J$6:J54),5)</f>
        <v>1405</v>
      </c>
      <c r="M55" s="27">
        <f t="shared" si="6"/>
        <v>1750</v>
      </c>
      <c r="N55" s="27">
        <f>MROUND(_xlfn.STDEV.P(M$5:M54)+M55,5)</f>
        <v>2150</v>
      </c>
      <c r="O55" s="27">
        <f>MROUND(M55-_xlfn.STDEV.P(M$5:M54),5)</f>
        <v>1350</v>
      </c>
      <c r="Q55" s="26">
        <f>FORECAST([2]Prices!$L634,Q15:Q54,[2]Prices!$L$582:$L$621)</f>
        <v>78.783984704970692</v>
      </c>
      <c r="R55" s="26">
        <f>FORECAST([2]Prices!$L634,R15:R54,[2]Prices!$L$582:$L$621)</f>
        <v>71.912386350535613</v>
      </c>
      <c r="S55" s="26">
        <f>FORECAST([2]Prices!$L634,S15:S54,[2]Prices!$L$582:$L$621)</f>
        <v>82.661831741487745</v>
      </c>
      <c r="T55" s="26">
        <f>FORECAST([2]Prices!$L634,T15:T54,[2]Prices!$L$582:$L$621)</f>
        <v>79.319673113797336</v>
      </c>
    </row>
    <row r="71" spans="2:3" s="8" customFormat="1" x14ac:dyDescent="0.25">
      <c r="B71" s="6"/>
      <c r="C71" s="6"/>
    </row>
  </sheetData>
  <mergeCells count="4">
    <mergeCell ref="D1:F1"/>
    <mergeCell ref="G1:I1"/>
    <mergeCell ref="J1:L1"/>
    <mergeCell ref="M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B78A-7DD3-40DE-94C3-454A5274EC6F}">
  <dimension ref="A1:N132"/>
  <sheetViews>
    <sheetView workbookViewId="0">
      <selection activeCell="D839" sqref="D839"/>
    </sheetView>
  </sheetViews>
  <sheetFormatPr defaultRowHeight="15.75" x14ac:dyDescent="0.25"/>
  <cols>
    <col min="1" max="1" width="11.125" style="28" bestFit="1" customWidth="1"/>
    <col min="2" max="2" width="14.375" style="28" customWidth="1"/>
    <col min="5" max="5" width="12.25" style="28" customWidth="1"/>
    <col min="6" max="6" width="11.75" style="28" customWidth="1"/>
    <col min="7" max="10" width="9" style="28"/>
    <col min="11" max="12" width="7.25" style="35" customWidth="1"/>
    <col min="13" max="16384" width="9" style="28"/>
  </cols>
  <sheetData>
    <row r="1" spans="1:14" ht="31.5" x14ac:dyDescent="0.25">
      <c r="B1" s="23" t="s">
        <v>889</v>
      </c>
      <c r="C1" s="28"/>
      <c r="D1" s="29"/>
      <c r="E1" s="23" t="s">
        <v>890</v>
      </c>
      <c r="F1" s="23" t="s">
        <v>891</v>
      </c>
      <c r="K1" s="30" t="s">
        <v>1</v>
      </c>
      <c r="L1" s="30" t="s">
        <v>2</v>
      </c>
      <c r="M1" s="29" t="s">
        <v>1</v>
      </c>
      <c r="N1" s="29" t="s">
        <v>2</v>
      </c>
    </row>
    <row r="2" spans="1:14" ht="15" x14ac:dyDescent="0.2">
      <c r="A2" s="24">
        <v>44378</v>
      </c>
      <c r="B2" s="31" t="e">
        <f ca="1">_xll.RHistory("SUNF-EXTANK-P1","NDA_RAW.Nda_last","START:"&amp;$A2&amp;" END:"&amp;$A2&amp;" INTERVAL:1W",,,)</f>
        <v>#NAME?</v>
      </c>
      <c r="C2" s="28"/>
      <c r="D2" s="32">
        <v>44378</v>
      </c>
      <c r="E2" s="33" t="e">
        <f ca="1">MROUND(AVERAGEIFS(B$2:B50,K$2:K50,M2,L$2:L50,N2),0.1)</f>
        <v>#NAME?</v>
      </c>
      <c r="F2" s="34" t="e">
        <f ca="1">((E2-50)-1000)*0.7</f>
        <v>#NAME?</v>
      </c>
      <c r="K2" s="35">
        <f t="shared" ref="K2:K38" si="0">MONTH(A2)</f>
        <v>7</v>
      </c>
      <c r="L2" s="35">
        <f t="shared" ref="L2:L38" si="1">YEAR(A2)</f>
        <v>2021</v>
      </c>
      <c r="M2" s="28">
        <f>MONTH(D2)</f>
        <v>7</v>
      </c>
      <c r="N2" s="28">
        <f>YEAR(D2)</f>
        <v>2021</v>
      </c>
    </row>
    <row r="3" spans="1:14" ht="15" x14ac:dyDescent="0.2">
      <c r="A3" s="24">
        <v>44379</v>
      </c>
      <c r="B3" s="31" t="e">
        <f ca="1">_xll.RHistory("SUNF-EXTANK-P1","NDA_RAW.Nda_last","START:"&amp;$A3&amp;" END:"&amp;$A3&amp;" INTERVAL:1W",,,)</f>
        <v>#NAME?</v>
      </c>
      <c r="C3" s="28"/>
      <c r="D3" s="32">
        <v>44409</v>
      </c>
      <c r="E3" s="33" t="e">
        <f ca="1">MROUND(AVERAGEIFS(B$2:B51,K$2:K51,M3,L$2:L51,N3),0.1)</f>
        <v>#NAME?</v>
      </c>
      <c r="F3" s="34" t="e">
        <f ca="1">((E3-50)-1000)*0.7</f>
        <v>#NAME?</v>
      </c>
      <c r="K3" s="35">
        <f t="shared" si="0"/>
        <v>7</v>
      </c>
      <c r="L3" s="35">
        <f t="shared" si="1"/>
        <v>2021</v>
      </c>
      <c r="M3" s="28">
        <f>MONTH(D3)</f>
        <v>8</v>
      </c>
      <c r="N3" s="28">
        <f>YEAR(D3)</f>
        <v>2021</v>
      </c>
    </row>
    <row r="4" spans="1:14" ht="15" x14ac:dyDescent="0.2">
      <c r="A4" s="24">
        <v>44380</v>
      </c>
      <c r="B4" s="31" t="e">
        <f ca="1">_xll.RHistory("SUNF-EXTANK-P1","NDA_RAW.Nda_last","START:"&amp;$A4&amp;" END:"&amp;$A4&amp;" INTERVAL:1W",,,)</f>
        <v>#NAME?</v>
      </c>
      <c r="C4" s="28"/>
      <c r="D4" s="28"/>
      <c r="F4" s="32"/>
      <c r="K4" s="35">
        <f t="shared" si="0"/>
        <v>7</v>
      </c>
      <c r="L4" s="35">
        <f t="shared" si="1"/>
        <v>2021</v>
      </c>
    </row>
    <row r="5" spans="1:14" ht="15" x14ac:dyDescent="0.2">
      <c r="A5" s="24">
        <v>44381</v>
      </c>
      <c r="B5" s="31" t="e">
        <f ca="1">_xll.RHistory("SUNF-EXTANK-P1","NDA_RAW.Nda_last","START:"&amp;$A5&amp;" END:"&amp;$A5&amp;" INTERVAL:1W",,,)</f>
        <v>#NAME?</v>
      </c>
      <c r="C5" s="28"/>
      <c r="D5" s="28"/>
      <c r="K5" s="35">
        <f t="shared" si="0"/>
        <v>7</v>
      </c>
      <c r="L5" s="35">
        <f t="shared" si="1"/>
        <v>2021</v>
      </c>
    </row>
    <row r="6" spans="1:14" ht="15" x14ac:dyDescent="0.2">
      <c r="A6" s="24">
        <v>44382</v>
      </c>
      <c r="B6" s="31" t="e">
        <f ca="1">_xll.RHistory("SUNF-EXTANK-P1","NDA_RAW.Nda_last","START:"&amp;$A6&amp;" END:"&amp;$A6&amp;" INTERVAL:1W",,,)</f>
        <v>#NAME?</v>
      </c>
      <c r="C6" s="28"/>
      <c r="D6" s="28"/>
      <c r="K6" s="35">
        <f t="shared" si="0"/>
        <v>7</v>
      </c>
      <c r="L6" s="35">
        <f t="shared" si="1"/>
        <v>2021</v>
      </c>
    </row>
    <row r="7" spans="1:14" ht="15" x14ac:dyDescent="0.2">
      <c r="A7" s="24">
        <v>44383</v>
      </c>
      <c r="B7" s="31" t="e">
        <f ca="1">_xll.RHistory("SUNF-EXTANK-P1","NDA_RAW.Nda_last","START:"&amp;$A7&amp;" END:"&amp;$A7&amp;" INTERVAL:1W",,,)</f>
        <v>#NAME?</v>
      </c>
      <c r="C7" s="28"/>
      <c r="D7" s="28"/>
      <c r="K7" s="35">
        <f t="shared" si="0"/>
        <v>7</v>
      </c>
      <c r="L7" s="35">
        <f t="shared" si="1"/>
        <v>2021</v>
      </c>
    </row>
    <row r="8" spans="1:14" ht="15" x14ac:dyDescent="0.2">
      <c r="A8" s="24">
        <v>44384</v>
      </c>
      <c r="B8" s="31" t="e">
        <f ca="1">_xll.RHistory("SUNF-EXTANK-P1","NDA_RAW.Nda_last","START:"&amp;$A8&amp;" END:"&amp;$A8&amp;" INTERVAL:1W",,,)</f>
        <v>#NAME?</v>
      </c>
      <c r="C8" s="28"/>
      <c r="D8" s="28"/>
      <c r="K8" s="35">
        <f t="shared" si="0"/>
        <v>7</v>
      </c>
      <c r="L8" s="35">
        <f t="shared" si="1"/>
        <v>2021</v>
      </c>
    </row>
    <row r="9" spans="1:14" ht="15" x14ac:dyDescent="0.2">
      <c r="A9" s="24">
        <v>44385</v>
      </c>
      <c r="B9" s="31" t="e">
        <f ca="1">_xll.RHistory("SUNF-EXTANK-P1","NDA_RAW.Nda_last","START:"&amp;$A9&amp;" END:"&amp;$A9&amp;" INTERVAL:1W",,,)</f>
        <v>#NAME?</v>
      </c>
      <c r="C9" s="28"/>
      <c r="D9" s="28"/>
      <c r="K9" s="35">
        <f t="shared" si="0"/>
        <v>7</v>
      </c>
      <c r="L9" s="35">
        <f t="shared" si="1"/>
        <v>2021</v>
      </c>
    </row>
    <row r="10" spans="1:14" ht="15" x14ac:dyDescent="0.2">
      <c r="A10" s="24">
        <v>44386</v>
      </c>
      <c r="B10" s="31" t="e">
        <f ca="1">_xll.RHistory("SUNF-EXTANK-P1","NDA_RAW.Nda_last","START:"&amp;$A10&amp;" END:"&amp;$A10&amp;" INTERVAL:1W",,,)</f>
        <v>#NAME?</v>
      </c>
      <c r="C10" s="28"/>
      <c r="D10" s="28"/>
      <c r="K10" s="35">
        <f t="shared" si="0"/>
        <v>7</v>
      </c>
      <c r="L10" s="35">
        <f t="shared" si="1"/>
        <v>2021</v>
      </c>
    </row>
    <row r="11" spans="1:14" ht="15" x14ac:dyDescent="0.2">
      <c r="A11" s="24">
        <v>44387</v>
      </c>
      <c r="B11" s="31" t="e">
        <f ca="1">_xll.RHistory("SUNF-EXTANK-P1","NDA_RAW.Nda_last","START:"&amp;$A11&amp;" END:"&amp;$A11&amp;" INTERVAL:1W",,,)</f>
        <v>#NAME?</v>
      </c>
      <c r="C11" s="28"/>
      <c r="D11" s="28"/>
      <c r="K11" s="35">
        <f t="shared" si="0"/>
        <v>7</v>
      </c>
      <c r="L11" s="35">
        <f t="shared" si="1"/>
        <v>2021</v>
      </c>
    </row>
    <row r="12" spans="1:14" ht="15" x14ac:dyDescent="0.2">
      <c r="A12" s="24">
        <v>44388</v>
      </c>
      <c r="B12" s="31" t="e">
        <f ca="1">_xll.RHistory("SUNF-EXTANK-P1","NDA_RAW.Nda_last","START:"&amp;$A12&amp;" END:"&amp;$A12&amp;" INTERVAL:1W",,,)</f>
        <v>#NAME?</v>
      </c>
      <c r="C12" s="28"/>
      <c r="D12" s="28"/>
      <c r="K12" s="35">
        <f t="shared" si="0"/>
        <v>7</v>
      </c>
      <c r="L12" s="35">
        <f t="shared" si="1"/>
        <v>2021</v>
      </c>
    </row>
    <row r="13" spans="1:14" ht="15" x14ac:dyDescent="0.2">
      <c r="A13" s="24">
        <v>44389</v>
      </c>
      <c r="B13" s="31" t="e">
        <f ca="1">_xll.RHistory("SUNF-EXTANK-P1","NDA_RAW.Nda_last","START:"&amp;$A13&amp;" END:"&amp;$A13&amp;" INTERVAL:1W",,,)</f>
        <v>#NAME?</v>
      </c>
      <c r="C13" s="28"/>
      <c r="D13" s="28"/>
      <c r="K13" s="35">
        <f t="shared" si="0"/>
        <v>7</v>
      </c>
      <c r="L13" s="35">
        <f t="shared" si="1"/>
        <v>2021</v>
      </c>
    </row>
    <row r="14" spans="1:14" ht="15" x14ac:dyDescent="0.2">
      <c r="A14" s="24">
        <v>44390</v>
      </c>
      <c r="B14" s="31" t="e">
        <f ca="1">_xll.RHistory("SUNF-EXTANK-P1","NDA_RAW.Nda_last","START:"&amp;$A14&amp;" END:"&amp;$A14&amp;" INTERVAL:1W",,,)</f>
        <v>#NAME?</v>
      </c>
      <c r="C14" s="28"/>
      <c r="D14" s="28"/>
      <c r="K14" s="35">
        <f t="shared" si="0"/>
        <v>7</v>
      </c>
      <c r="L14" s="35">
        <f t="shared" si="1"/>
        <v>2021</v>
      </c>
    </row>
    <row r="15" spans="1:14" ht="15" x14ac:dyDescent="0.2">
      <c r="A15" s="24">
        <v>44391</v>
      </c>
      <c r="B15" s="31" t="e">
        <f ca="1">_xll.RHistory("SUNF-EXTANK-P1","NDA_RAW.Nda_last","START:"&amp;$A15&amp;" END:"&amp;$A15&amp;" INTERVAL:1W",,,)</f>
        <v>#NAME?</v>
      </c>
      <c r="C15" s="28"/>
      <c r="D15" s="28"/>
      <c r="K15" s="35">
        <f t="shared" si="0"/>
        <v>7</v>
      </c>
      <c r="L15" s="35">
        <f t="shared" si="1"/>
        <v>2021</v>
      </c>
    </row>
    <row r="16" spans="1:14" ht="15" x14ac:dyDescent="0.2">
      <c r="A16" s="24">
        <v>44392</v>
      </c>
      <c r="B16" s="31" t="e">
        <f ca="1">_xll.RHistory("SUNF-EXTANK-P1","NDA_RAW.Nda_last","START:"&amp;$A16&amp;" END:"&amp;$A16&amp;" INTERVAL:1W",,,)</f>
        <v>#NAME?</v>
      </c>
      <c r="C16" s="28"/>
      <c r="D16" s="28"/>
      <c r="K16" s="35">
        <f t="shared" si="0"/>
        <v>7</v>
      </c>
      <c r="L16" s="35">
        <f t="shared" si="1"/>
        <v>2021</v>
      </c>
    </row>
    <row r="17" spans="1:12" ht="15" x14ac:dyDescent="0.2">
      <c r="A17" s="24">
        <v>44393</v>
      </c>
      <c r="B17" s="31" t="e">
        <f ca="1">_xll.RHistory("SUNF-EXTANK-P1","NDA_RAW.Nda_last","START:"&amp;$A17&amp;" END:"&amp;$A17&amp;" INTERVAL:1W",,,)</f>
        <v>#NAME?</v>
      </c>
      <c r="C17" s="28"/>
      <c r="D17" s="28"/>
      <c r="K17" s="35">
        <f t="shared" si="0"/>
        <v>7</v>
      </c>
      <c r="L17" s="35">
        <f t="shared" si="1"/>
        <v>2021</v>
      </c>
    </row>
    <row r="18" spans="1:12" ht="15" x14ac:dyDescent="0.2">
      <c r="A18" s="24">
        <v>44394</v>
      </c>
      <c r="B18" s="31" t="e">
        <f ca="1">_xll.RHistory("SUNF-EXTANK-P1","NDA_RAW.Nda_last","START:"&amp;$A18&amp;" END:"&amp;$A18&amp;" INTERVAL:1W",,,)</f>
        <v>#NAME?</v>
      </c>
      <c r="C18" s="28"/>
      <c r="D18" s="28"/>
      <c r="K18" s="35">
        <f t="shared" si="0"/>
        <v>7</v>
      </c>
      <c r="L18" s="35">
        <f t="shared" si="1"/>
        <v>2021</v>
      </c>
    </row>
    <row r="19" spans="1:12" ht="15" x14ac:dyDescent="0.2">
      <c r="A19" s="24">
        <v>44395</v>
      </c>
      <c r="B19" s="31" t="e">
        <f ca="1">_xll.RHistory("SUNF-EXTANK-P1","NDA_RAW.Nda_last","START:"&amp;$A19&amp;" END:"&amp;$A19&amp;" INTERVAL:1W",,,)</f>
        <v>#NAME?</v>
      </c>
      <c r="C19" s="28"/>
      <c r="D19" s="28"/>
      <c r="K19" s="35">
        <f t="shared" si="0"/>
        <v>7</v>
      </c>
      <c r="L19" s="35">
        <f t="shared" si="1"/>
        <v>2021</v>
      </c>
    </row>
    <row r="20" spans="1:12" ht="15" x14ac:dyDescent="0.2">
      <c r="A20" s="24">
        <v>44396</v>
      </c>
      <c r="B20" s="31" t="e">
        <f ca="1">_xll.RHistory("SUNF-EXTANK-P1","NDA_RAW.Nda_last","START:"&amp;$A20&amp;" END:"&amp;$A20&amp;" INTERVAL:1W",,,)</f>
        <v>#NAME?</v>
      </c>
      <c r="C20" s="28"/>
      <c r="D20" s="28"/>
      <c r="K20" s="35">
        <f t="shared" si="0"/>
        <v>7</v>
      </c>
      <c r="L20" s="35">
        <f t="shared" si="1"/>
        <v>2021</v>
      </c>
    </row>
    <row r="21" spans="1:12" ht="15" x14ac:dyDescent="0.2">
      <c r="A21" s="24">
        <v>44397</v>
      </c>
      <c r="B21" s="31" t="e">
        <f ca="1">_xll.RHistory("SUNF-EXTANK-P1","NDA_RAW.Nda_last","START:"&amp;$A21&amp;" END:"&amp;$A21&amp;" INTERVAL:1W",,,)</f>
        <v>#NAME?</v>
      </c>
      <c r="C21" s="28"/>
      <c r="D21" s="28"/>
      <c r="K21" s="35">
        <f t="shared" si="0"/>
        <v>7</v>
      </c>
      <c r="L21" s="35">
        <f t="shared" si="1"/>
        <v>2021</v>
      </c>
    </row>
    <row r="22" spans="1:12" ht="15" x14ac:dyDescent="0.2">
      <c r="A22" s="24">
        <v>44398</v>
      </c>
      <c r="B22" s="31" t="e">
        <f ca="1">_xll.RHistory("SUNF-EXTANK-P1","NDA_RAW.Nda_last","START:"&amp;$A22&amp;" END:"&amp;$A22&amp;" INTERVAL:1W",,,)</f>
        <v>#NAME?</v>
      </c>
      <c r="C22" s="28"/>
      <c r="D22" s="28"/>
      <c r="K22" s="35">
        <f t="shared" si="0"/>
        <v>7</v>
      </c>
      <c r="L22" s="35">
        <f t="shared" si="1"/>
        <v>2021</v>
      </c>
    </row>
    <row r="23" spans="1:12" ht="15" x14ac:dyDescent="0.2">
      <c r="A23" s="24">
        <v>44399</v>
      </c>
      <c r="B23" s="31" t="e">
        <f ca="1">_xll.RHistory("SUNF-EXTANK-P1","NDA_RAW.Nda_last","START:"&amp;$A23&amp;" END:"&amp;$A23&amp;" INTERVAL:1W",,,)</f>
        <v>#NAME?</v>
      </c>
      <c r="C23" s="28"/>
      <c r="D23" s="28"/>
      <c r="K23" s="35">
        <f t="shared" si="0"/>
        <v>7</v>
      </c>
      <c r="L23" s="35">
        <f t="shared" si="1"/>
        <v>2021</v>
      </c>
    </row>
    <row r="24" spans="1:12" ht="15" x14ac:dyDescent="0.2">
      <c r="A24" s="24">
        <v>44400</v>
      </c>
      <c r="B24" s="31" t="e">
        <f ca="1">_xll.RHistory("SUNF-EXTANK-P1","NDA_RAW.Nda_last","START:"&amp;$A24&amp;" END:"&amp;$A24&amp;" INTERVAL:1W",,,)</f>
        <v>#NAME?</v>
      </c>
      <c r="C24" s="28"/>
      <c r="D24" s="28"/>
      <c r="K24" s="35">
        <f t="shared" si="0"/>
        <v>7</v>
      </c>
      <c r="L24" s="35">
        <f t="shared" si="1"/>
        <v>2021</v>
      </c>
    </row>
    <row r="25" spans="1:12" ht="15" x14ac:dyDescent="0.2">
      <c r="A25" s="24">
        <v>44401</v>
      </c>
      <c r="B25" s="31" t="e">
        <f ca="1">_xll.RHistory("SUNF-EXTANK-P1","NDA_RAW.Nda_last","START:"&amp;$A25&amp;" END:"&amp;$A25&amp;" INTERVAL:1W",,,)</f>
        <v>#NAME?</v>
      </c>
      <c r="C25" s="28"/>
      <c r="D25" s="28"/>
      <c r="K25" s="35">
        <f t="shared" si="0"/>
        <v>7</v>
      </c>
      <c r="L25" s="35">
        <f t="shared" si="1"/>
        <v>2021</v>
      </c>
    </row>
    <row r="26" spans="1:12" ht="15" x14ac:dyDescent="0.2">
      <c r="A26" s="24">
        <v>44402</v>
      </c>
      <c r="B26" s="31" t="e">
        <f ca="1">_xll.RHistory("SUNF-EXTANK-P1","NDA_RAW.Nda_last","START:"&amp;$A26&amp;" END:"&amp;$A26&amp;" INTERVAL:1W",,,)</f>
        <v>#NAME?</v>
      </c>
      <c r="C26" s="28"/>
      <c r="D26" s="28"/>
      <c r="K26" s="35">
        <f t="shared" si="0"/>
        <v>7</v>
      </c>
      <c r="L26" s="35">
        <f t="shared" si="1"/>
        <v>2021</v>
      </c>
    </row>
    <row r="27" spans="1:12" ht="15" x14ac:dyDescent="0.2">
      <c r="A27" s="24">
        <v>44403</v>
      </c>
      <c r="B27" s="31" t="e">
        <f ca="1">_xll.RHistory("SUNF-EXTANK-P1","NDA_RAW.Nda_last","START:"&amp;$A27&amp;" END:"&amp;$A27&amp;" INTERVAL:1W",,,)</f>
        <v>#NAME?</v>
      </c>
      <c r="C27" s="28"/>
      <c r="D27" s="28"/>
      <c r="K27" s="35">
        <f t="shared" si="0"/>
        <v>7</v>
      </c>
      <c r="L27" s="35">
        <f t="shared" si="1"/>
        <v>2021</v>
      </c>
    </row>
    <row r="28" spans="1:12" ht="15" x14ac:dyDescent="0.2">
      <c r="A28" s="24">
        <v>44404</v>
      </c>
      <c r="B28" s="31" t="e">
        <f ca="1">_xll.RHistory("SUNF-EXTANK-P1","NDA_RAW.Nda_last","START:"&amp;$A28&amp;" END:"&amp;$A28&amp;" INTERVAL:1W",,,)</f>
        <v>#NAME?</v>
      </c>
      <c r="C28" s="28"/>
      <c r="D28" s="28"/>
      <c r="K28" s="35">
        <f t="shared" si="0"/>
        <v>7</v>
      </c>
      <c r="L28" s="35">
        <f t="shared" si="1"/>
        <v>2021</v>
      </c>
    </row>
    <row r="29" spans="1:12" ht="15" x14ac:dyDescent="0.2">
      <c r="A29" s="24">
        <v>44405</v>
      </c>
      <c r="B29" s="31" t="e">
        <f ca="1">_xll.RHistory("SUNF-EXTANK-P1","NDA_RAW.Nda_last","START:"&amp;$A29&amp;" END:"&amp;$A29&amp;" INTERVAL:1W",,,)</f>
        <v>#NAME?</v>
      </c>
      <c r="C29" s="28"/>
      <c r="D29" s="28"/>
      <c r="K29" s="35">
        <f t="shared" si="0"/>
        <v>7</v>
      </c>
      <c r="L29" s="35">
        <f t="shared" si="1"/>
        <v>2021</v>
      </c>
    </row>
    <row r="30" spans="1:12" ht="15" x14ac:dyDescent="0.2">
      <c r="A30" s="24">
        <v>44406</v>
      </c>
      <c r="B30" s="31" t="e">
        <f ca="1">_xll.RHistory("SUNF-EXTANK-P1","NDA_RAW.Nda_last","START:"&amp;$A30&amp;" END:"&amp;$A30&amp;" INTERVAL:1W",,,)</f>
        <v>#NAME?</v>
      </c>
      <c r="C30" s="28"/>
      <c r="D30" s="28"/>
      <c r="K30" s="35">
        <f t="shared" si="0"/>
        <v>7</v>
      </c>
      <c r="L30" s="35">
        <f t="shared" si="1"/>
        <v>2021</v>
      </c>
    </row>
    <row r="31" spans="1:12" ht="15" x14ac:dyDescent="0.2">
      <c r="A31" s="24">
        <v>44407</v>
      </c>
      <c r="B31" s="31" t="e">
        <f ca="1">_xll.RHistory("SUNF-EXTANK-P1","NDA_RAW.Nda_last","START:"&amp;$A31&amp;" END:"&amp;$A31&amp;" INTERVAL:1W",,,)</f>
        <v>#NAME?</v>
      </c>
      <c r="C31" s="28"/>
      <c r="D31" s="28"/>
      <c r="K31" s="35">
        <f t="shared" si="0"/>
        <v>7</v>
      </c>
      <c r="L31" s="35">
        <f t="shared" si="1"/>
        <v>2021</v>
      </c>
    </row>
    <row r="32" spans="1:12" ht="15" x14ac:dyDescent="0.2">
      <c r="A32" s="24">
        <v>44408</v>
      </c>
      <c r="B32" s="31" t="e">
        <f ca="1">_xll.RHistory("SUNF-EXTANK-P1","NDA_RAW.Nda_last","START:"&amp;$A32&amp;" END:"&amp;$A32&amp;" INTERVAL:1W",,,)</f>
        <v>#NAME?</v>
      </c>
      <c r="C32" s="28"/>
      <c r="D32" s="28"/>
      <c r="K32" s="35">
        <f t="shared" si="0"/>
        <v>7</v>
      </c>
      <c r="L32" s="35">
        <f t="shared" si="1"/>
        <v>2021</v>
      </c>
    </row>
    <row r="33" spans="1:12" ht="15" x14ac:dyDescent="0.2">
      <c r="A33" s="24">
        <v>44409</v>
      </c>
      <c r="B33" s="31" t="e">
        <f ca="1">_xll.RHistory("SUNF-EXTANK-P1","NDA_RAW.Nda_last","START:"&amp;$A33&amp;" END:"&amp;$A33&amp;" INTERVAL:1W",,,)</f>
        <v>#NAME?</v>
      </c>
      <c r="C33" s="28"/>
      <c r="D33" s="28"/>
      <c r="K33" s="35">
        <f t="shared" si="0"/>
        <v>8</v>
      </c>
      <c r="L33" s="35">
        <f t="shared" si="1"/>
        <v>2021</v>
      </c>
    </row>
    <row r="34" spans="1:12" ht="15" x14ac:dyDescent="0.2">
      <c r="A34" s="24">
        <v>44410</v>
      </c>
      <c r="B34" s="31" t="e">
        <f ca="1">_xll.RHistory("SUNF-EXTANK-P1","NDA_RAW.Nda_last","START:"&amp;$A34&amp;" END:"&amp;$A34&amp;" INTERVAL:1W",,,)</f>
        <v>#NAME?</v>
      </c>
      <c r="C34" s="28"/>
      <c r="D34" s="28"/>
      <c r="K34" s="35">
        <f t="shared" si="0"/>
        <v>8</v>
      </c>
      <c r="L34" s="35">
        <f t="shared" si="1"/>
        <v>2021</v>
      </c>
    </row>
    <row r="35" spans="1:12" ht="15" x14ac:dyDescent="0.2">
      <c r="A35" s="24">
        <v>44411</v>
      </c>
      <c r="B35" s="31" t="e">
        <f ca="1">_xll.RHistory("SUNF-EXTANK-P1","NDA_RAW.Nda_last","START:"&amp;$A35&amp;" END:"&amp;$A35&amp;" INTERVAL:1W",,,)</f>
        <v>#NAME?</v>
      </c>
      <c r="C35" s="28"/>
      <c r="D35" s="28"/>
      <c r="K35" s="35">
        <f t="shared" si="0"/>
        <v>8</v>
      </c>
      <c r="L35" s="35">
        <f t="shared" si="1"/>
        <v>2021</v>
      </c>
    </row>
    <row r="36" spans="1:12" ht="15" x14ac:dyDescent="0.2">
      <c r="A36" s="24">
        <v>44412</v>
      </c>
      <c r="B36" s="31" t="e">
        <f ca="1">_xll.RHistory("SUNF-EXTANK-P1","NDA_RAW.Nda_last","START:"&amp;$A36&amp;" END:"&amp;$A36&amp;" INTERVAL:1W",,,)</f>
        <v>#NAME?</v>
      </c>
      <c r="C36" s="28"/>
      <c r="D36" s="28"/>
      <c r="K36" s="35">
        <f t="shared" si="0"/>
        <v>8</v>
      </c>
      <c r="L36" s="35">
        <f t="shared" si="1"/>
        <v>2021</v>
      </c>
    </row>
    <row r="37" spans="1:12" ht="15" x14ac:dyDescent="0.2">
      <c r="A37" s="24">
        <v>44413</v>
      </c>
      <c r="B37" s="31" t="e">
        <f ca="1">_xll.RHistory("SUNF-EXTANK-P1","NDA_RAW.Nda_last","START:"&amp;$A37&amp;" END:"&amp;$A37&amp;" INTERVAL:1W",,,)</f>
        <v>#NAME?</v>
      </c>
      <c r="C37" s="28"/>
      <c r="D37" s="28"/>
      <c r="K37" s="35">
        <f t="shared" si="0"/>
        <v>8</v>
      </c>
      <c r="L37" s="35">
        <f t="shared" si="1"/>
        <v>2021</v>
      </c>
    </row>
    <row r="38" spans="1:12" ht="15" x14ac:dyDescent="0.2">
      <c r="A38" s="24">
        <v>44414</v>
      </c>
      <c r="B38" s="31" t="e">
        <f ca="1">_xll.RHistory("SUNF-EXTANK-P1","NDA_RAW.Nda_last","START:"&amp;$A38&amp;" END:"&amp;$A38&amp;" INTERVAL:1W",,,)</f>
        <v>#NAME?</v>
      </c>
      <c r="C38" s="28"/>
      <c r="D38" s="28"/>
      <c r="K38" s="35">
        <f t="shared" si="0"/>
        <v>8</v>
      </c>
      <c r="L38" s="35">
        <f t="shared" si="1"/>
        <v>2021</v>
      </c>
    </row>
    <row r="39" spans="1:12" ht="15" x14ac:dyDescent="0.2">
      <c r="A39" s="24"/>
      <c r="B39" s="31"/>
      <c r="C39" s="28"/>
      <c r="D39" s="28"/>
    </row>
    <row r="40" spans="1:12" ht="15" x14ac:dyDescent="0.2">
      <c r="A40" s="24"/>
      <c r="B40" s="31"/>
      <c r="C40" s="28"/>
      <c r="D40" s="28"/>
    </row>
    <row r="41" spans="1:12" ht="15" x14ac:dyDescent="0.2">
      <c r="A41" s="24"/>
      <c r="B41" s="31"/>
      <c r="C41" s="28"/>
      <c r="D41" s="28"/>
    </row>
    <row r="42" spans="1:12" ht="15" x14ac:dyDescent="0.2">
      <c r="A42" s="24"/>
      <c r="B42" s="31"/>
      <c r="C42" s="28"/>
      <c r="D42" s="28"/>
    </row>
    <row r="43" spans="1:12" ht="15" x14ac:dyDescent="0.2">
      <c r="A43" s="24"/>
      <c r="B43" s="31"/>
      <c r="C43" s="28"/>
      <c r="D43" s="28"/>
    </row>
    <row r="44" spans="1:12" ht="15" x14ac:dyDescent="0.2">
      <c r="A44" s="24"/>
      <c r="B44" s="31"/>
      <c r="C44" s="28"/>
      <c r="D44" s="28"/>
    </row>
    <row r="45" spans="1:12" ht="15" x14ac:dyDescent="0.2">
      <c r="A45" s="24"/>
      <c r="B45" s="31"/>
      <c r="C45" s="28"/>
      <c r="D45" s="28"/>
    </row>
    <row r="46" spans="1:12" ht="15" x14ac:dyDescent="0.2">
      <c r="A46" s="24"/>
      <c r="B46" s="31"/>
      <c r="C46" s="28"/>
      <c r="D46" s="28"/>
    </row>
    <row r="47" spans="1:12" ht="15" x14ac:dyDescent="0.2">
      <c r="A47" s="24"/>
      <c r="B47" s="31"/>
      <c r="C47" s="28"/>
      <c r="D47" s="28"/>
    </row>
    <row r="48" spans="1:12" ht="15" x14ac:dyDescent="0.2">
      <c r="A48" s="24"/>
      <c r="B48" s="31"/>
      <c r="C48" s="28"/>
      <c r="D48" s="28"/>
    </row>
    <row r="49" spans="1:12" ht="15" x14ac:dyDescent="0.2">
      <c r="A49" s="24"/>
      <c r="B49" s="31"/>
      <c r="C49" s="28"/>
      <c r="D49" s="28"/>
    </row>
    <row r="50" spans="1:12" s="38" customFormat="1" ht="15" x14ac:dyDescent="0.2">
      <c r="A50" s="36"/>
      <c r="B50" s="37"/>
      <c r="K50" s="39"/>
      <c r="L50" s="39"/>
    </row>
    <row r="51" spans="1:12" ht="15" x14ac:dyDescent="0.2">
      <c r="A51" s="24"/>
      <c r="B51" s="31"/>
      <c r="C51" s="28"/>
      <c r="D51" s="28"/>
    </row>
    <row r="52" spans="1:12" ht="15" x14ac:dyDescent="0.2">
      <c r="A52" s="24"/>
      <c r="B52" s="31"/>
      <c r="C52" s="28"/>
      <c r="D52" s="28"/>
    </row>
    <row r="53" spans="1:12" ht="15" x14ac:dyDescent="0.2">
      <c r="A53" s="24"/>
      <c r="B53" s="31"/>
      <c r="C53" s="28"/>
      <c r="D53" s="28"/>
    </row>
    <row r="54" spans="1:12" ht="15" x14ac:dyDescent="0.2">
      <c r="A54" s="24"/>
      <c r="B54" s="31"/>
      <c r="C54" s="28"/>
      <c r="D54" s="28"/>
    </row>
    <row r="55" spans="1:12" ht="15" x14ac:dyDescent="0.2">
      <c r="A55" s="24"/>
      <c r="B55" s="31"/>
      <c r="C55" s="28"/>
      <c r="D55" s="28"/>
    </row>
    <row r="56" spans="1:12" ht="15" x14ac:dyDescent="0.2">
      <c r="A56" s="24"/>
      <c r="B56" s="31"/>
      <c r="C56" s="28"/>
      <c r="D56" s="28"/>
    </row>
    <row r="57" spans="1:12" ht="15" x14ac:dyDescent="0.2">
      <c r="A57" s="24"/>
      <c r="B57" s="31"/>
      <c r="C57" s="28"/>
      <c r="D57" s="28"/>
    </row>
    <row r="58" spans="1:12" ht="15" x14ac:dyDescent="0.2">
      <c r="A58" s="24"/>
      <c r="B58" s="31"/>
      <c r="C58" s="28"/>
      <c r="D58" s="28"/>
    </row>
    <row r="59" spans="1:12" ht="15" x14ac:dyDescent="0.2">
      <c r="A59" s="24"/>
      <c r="B59" s="31"/>
      <c r="C59" s="28"/>
      <c r="D59" s="28"/>
    </row>
    <row r="60" spans="1:12" ht="15" x14ac:dyDescent="0.2">
      <c r="A60" s="24"/>
      <c r="B60" s="31"/>
      <c r="C60" s="28"/>
      <c r="D60" s="28"/>
    </row>
    <row r="61" spans="1:12" ht="15" x14ac:dyDescent="0.2">
      <c r="A61" s="24"/>
      <c r="B61" s="31"/>
      <c r="C61" s="28"/>
      <c r="D61" s="28"/>
    </row>
    <row r="62" spans="1:12" ht="15" x14ac:dyDescent="0.2">
      <c r="A62" s="24"/>
      <c r="B62" s="31"/>
      <c r="C62" s="28"/>
      <c r="D62" s="28"/>
    </row>
    <row r="63" spans="1:12" ht="15" x14ac:dyDescent="0.2">
      <c r="A63" s="24"/>
      <c r="B63" s="31"/>
      <c r="C63" s="28"/>
      <c r="D63" s="28"/>
    </row>
    <row r="64" spans="1:12" ht="15" x14ac:dyDescent="0.2">
      <c r="A64" s="24"/>
      <c r="B64" s="31"/>
      <c r="C64" s="28"/>
      <c r="D64" s="28"/>
    </row>
    <row r="65" spans="1:4" ht="15" x14ac:dyDescent="0.2">
      <c r="A65" s="24"/>
      <c r="B65" s="31"/>
      <c r="C65" s="28"/>
      <c r="D65" s="28"/>
    </row>
    <row r="66" spans="1:4" ht="15" x14ac:dyDescent="0.2">
      <c r="A66" s="24"/>
      <c r="B66" s="31"/>
      <c r="C66" s="28"/>
      <c r="D66" s="28"/>
    </row>
    <row r="67" spans="1:4" ht="15" x14ac:dyDescent="0.2">
      <c r="A67" s="24"/>
      <c r="B67" s="31"/>
      <c r="C67" s="28"/>
      <c r="D67" s="28"/>
    </row>
    <row r="68" spans="1:4" ht="15" x14ac:dyDescent="0.2">
      <c r="A68" s="24"/>
      <c r="B68" s="31"/>
      <c r="C68" s="28"/>
      <c r="D68" s="28"/>
    </row>
    <row r="69" spans="1:4" ht="15" x14ac:dyDescent="0.2">
      <c r="A69" s="24"/>
      <c r="B69" s="31"/>
      <c r="C69" s="28"/>
      <c r="D69" s="28"/>
    </row>
    <row r="70" spans="1:4" ht="15" x14ac:dyDescent="0.2">
      <c r="A70" s="24"/>
      <c r="B70" s="31"/>
      <c r="C70" s="28"/>
      <c r="D70" s="28"/>
    </row>
    <row r="71" spans="1:4" ht="15" x14ac:dyDescent="0.2">
      <c r="A71" s="24"/>
      <c r="B71" s="31"/>
      <c r="C71" s="28"/>
      <c r="D71" s="28"/>
    </row>
    <row r="72" spans="1:4" ht="15" x14ac:dyDescent="0.2">
      <c r="A72" s="24"/>
      <c r="B72" s="31"/>
      <c r="C72" s="28"/>
      <c r="D72" s="28"/>
    </row>
    <row r="73" spans="1:4" ht="15" x14ac:dyDescent="0.2">
      <c r="A73" s="24"/>
      <c r="B73" s="31"/>
      <c r="C73" s="28"/>
      <c r="D73" s="28"/>
    </row>
    <row r="74" spans="1:4" ht="15" x14ac:dyDescent="0.2">
      <c r="A74" s="24"/>
      <c r="B74" s="31"/>
      <c r="C74" s="28"/>
      <c r="D74" s="28"/>
    </row>
    <row r="75" spans="1:4" ht="15" x14ac:dyDescent="0.2">
      <c r="A75" s="24"/>
      <c r="B75" s="31"/>
      <c r="C75" s="28"/>
      <c r="D75" s="28"/>
    </row>
    <row r="76" spans="1:4" ht="15" x14ac:dyDescent="0.2">
      <c r="A76" s="24"/>
      <c r="B76" s="31"/>
      <c r="C76" s="28"/>
      <c r="D76" s="28"/>
    </row>
    <row r="77" spans="1:4" ht="15" x14ac:dyDescent="0.2">
      <c r="A77" s="24"/>
      <c r="B77" s="31"/>
      <c r="C77" s="28"/>
      <c r="D77" s="28"/>
    </row>
    <row r="78" spans="1:4" ht="15" x14ac:dyDescent="0.2">
      <c r="A78" s="24"/>
      <c r="B78" s="31"/>
      <c r="C78" s="28"/>
      <c r="D78" s="28"/>
    </row>
    <row r="79" spans="1:4" ht="15" x14ac:dyDescent="0.2">
      <c r="A79" s="24"/>
      <c r="B79" s="31"/>
      <c r="C79" s="28"/>
      <c r="D79" s="28"/>
    </row>
    <row r="80" spans="1:4" ht="15" x14ac:dyDescent="0.2">
      <c r="A80" s="24"/>
      <c r="B80" s="31"/>
      <c r="C80" s="28"/>
      <c r="D80" s="28"/>
    </row>
    <row r="81" spans="1:4" ht="15" x14ac:dyDescent="0.2">
      <c r="A81" s="24"/>
      <c r="B81" s="31"/>
      <c r="C81" s="28"/>
      <c r="D81" s="28"/>
    </row>
    <row r="82" spans="1:4" ht="15" x14ac:dyDescent="0.2">
      <c r="A82" s="24"/>
      <c r="B82" s="31"/>
      <c r="C82" s="28"/>
      <c r="D82" s="28"/>
    </row>
    <row r="83" spans="1:4" ht="15" x14ac:dyDescent="0.2">
      <c r="A83" s="24"/>
      <c r="B83" s="31"/>
      <c r="C83" s="28"/>
      <c r="D83" s="28"/>
    </row>
    <row r="84" spans="1:4" ht="15" x14ac:dyDescent="0.2">
      <c r="A84" s="24"/>
      <c r="B84" s="31"/>
      <c r="C84" s="28"/>
      <c r="D84" s="28"/>
    </row>
    <row r="85" spans="1:4" ht="15" x14ac:dyDescent="0.2">
      <c r="A85" s="24"/>
      <c r="B85" s="31"/>
      <c r="C85" s="28"/>
      <c r="D85" s="28"/>
    </row>
    <row r="86" spans="1:4" ht="15" x14ac:dyDescent="0.2">
      <c r="A86" s="24"/>
      <c r="B86" s="31"/>
      <c r="C86" s="28"/>
      <c r="D86" s="28"/>
    </row>
    <row r="87" spans="1:4" ht="15" x14ac:dyDescent="0.2">
      <c r="A87" s="24"/>
      <c r="B87" s="31"/>
      <c r="C87" s="28"/>
      <c r="D87" s="28"/>
    </row>
    <row r="88" spans="1:4" ht="15" x14ac:dyDescent="0.2">
      <c r="A88" s="24"/>
      <c r="B88" s="31"/>
      <c r="C88" s="28"/>
      <c r="D88" s="28"/>
    </row>
    <row r="89" spans="1:4" ht="15" x14ac:dyDescent="0.2">
      <c r="A89" s="24"/>
      <c r="B89" s="31"/>
      <c r="C89" s="28"/>
      <c r="D89" s="28"/>
    </row>
    <row r="90" spans="1:4" ht="15" x14ac:dyDescent="0.2">
      <c r="A90" s="24"/>
      <c r="B90" s="31"/>
      <c r="C90" s="28"/>
      <c r="D90" s="28"/>
    </row>
    <row r="91" spans="1:4" ht="15" x14ac:dyDescent="0.2">
      <c r="A91" s="24"/>
      <c r="B91" s="31"/>
      <c r="C91" s="28"/>
      <c r="D91" s="28"/>
    </row>
    <row r="92" spans="1:4" ht="15" x14ac:dyDescent="0.2">
      <c r="A92" s="24"/>
      <c r="B92" s="31"/>
      <c r="C92" s="28"/>
      <c r="D92" s="28"/>
    </row>
    <row r="93" spans="1:4" ht="15" x14ac:dyDescent="0.2">
      <c r="A93" s="24"/>
      <c r="B93" s="31"/>
      <c r="C93" s="28"/>
      <c r="D93" s="28"/>
    </row>
    <row r="94" spans="1:4" ht="15" x14ac:dyDescent="0.2">
      <c r="A94" s="24"/>
      <c r="B94" s="31"/>
      <c r="C94" s="28"/>
      <c r="D94" s="28"/>
    </row>
    <row r="95" spans="1:4" ht="15" x14ac:dyDescent="0.2">
      <c r="A95" s="24"/>
      <c r="B95" s="31"/>
      <c r="C95" s="28"/>
      <c r="D95" s="28"/>
    </row>
    <row r="96" spans="1:4" ht="15" x14ac:dyDescent="0.2">
      <c r="A96" s="24"/>
      <c r="B96" s="31"/>
      <c r="C96" s="28"/>
      <c r="D96" s="28"/>
    </row>
    <row r="97" spans="1:4" ht="15" x14ac:dyDescent="0.2">
      <c r="A97" s="24"/>
      <c r="B97" s="31"/>
      <c r="C97" s="28"/>
      <c r="D97" s="28"/>
    </row>
    <row r="98" spans="1:4" ht="15" x14ac:dyDescent="0.2">
      <c r="A98" s="24"/>
      <c r="B98" s="31"/>
      <c r="C98" s="28"/>
      <c r="D98" s="28"/>
    </row>
    <row r="99" spans="1:4" ht="15" x14ac:dyDescent="0.2">
      <c r="A99" s="24"/>
      <c r="B99" s="31"/>
      <c r="C99" s="28"/>
      <c r="D99" s="28"/>
    </row>
    <row r="100" spans="1:4" ht="15" x14ac:dyDescent="0.2">
      <c r="A100" s="24"/>
      <c r="B100" s="31"/>
      <c r="C100" s="28"/>
      <c r="D100" s="28"/>
    </row>
    <row r="101" spans="1:4" ht="15" x14ac:dyDescent="0.2">
      <c r="A101" s="24"/>
      <c r="B101" s="31"/>
      <c r="C101" s="28"/>
      <c r="D101" s="28"/>
    </row>
    <row r="102" spans="1:4" ht="15" x14ac:dyDescent="0.2">
      <c r="A102" s="24"/>
      <c r="B102" s="31"/>
      <c r="C102" s="28"/>
      <c r="D102" s="28"/>
    </row>
    <row r="103" spans="1:4" ht="15" x14ac:dyDescent="0.2">
      <c r="A103" s="24"/>
      <c r="B103" s="31"/>
      <c r="C103" s="28"/>
      <c r="D103" s="28"/>
    </row>
    <row r="104" spans="1:4" ht="15" x14ac:dyDescent="0.2">
      <c r="A104" s="24"/>
      <c r="B104" s="31"/>
      <c r="C104" s="28"/>
      <c r="D104" s="28"/>
    </row>
    <row r="105" spans="1:4" ht="15" x14ac:dyDescent="0.2">
      <c r="A105" s="24"/>
      <c r="B105" s="31"/>
      <c r="C105" s="28"/>
      <c r="D105" s="28"/>
    </row>
    <row r="106" spans="1:4" ht="15" x14ac:dyDescent="0.2">
      <c r="A106" s="24"/>
      <c r="B106" s="31"/>
      <c r="C106" s="28"/>
      <c r="D106" s="28"/>
    </row>
    <row r="107" spans="1:4" ht="15" x14ac:dyDescent="0.2">
      <c r="A107" s="24"/>
      <c r="B107" s="31"/>
      <c r="C107" s="28"/>
      <c r="D107" s="28"/>
    </row>
    <row r="108" spans="1:4" ht="15" x14ac:dyDescent="0.2">
      <c r="A108" s="24"/>
      <c r="B108" s="31"/>
      <c r="C108" s="28"/>
      <c r="D108" s="28"/>
    </row>
    <row r="109" spans="1:4" ht="15" x14ac:dyDescent="0.2">
      <c r="A109" s="24"/>
      <c r="B109" s="31"/>
      <c r="C109" s="28"/>
      <c r="D109" s="28"/>
    </row>
    <row r="110" spans="1:4" ht="15" x14ac:dyDescent="0.2">
      <c r="A110" s="24"/>
      <c r="B110" s="31"/>
      <c r="C110" s="28"/>
      <c r="D110" s="28"/>
    </row>
    <row r="111" spans="1:4" ht="15" x14ac:dyDescent="0.2">
      <c r="A111" s="24"/>
      <c r="B111" s="31"/>
      <c r="C111" s="28"/>
      <c r="D111" s="28"/>
    </row>
    <row r="112" spans="1:4" ht="15" x14ac:dyDescent="0.2">
      <c r="A112" s="24"/>
      <c r="B112" s="31"/>
      <c r="C112" s="28"/>
      <c r="D112" s="28"/>
    </row>
    <row r="113" spans="1:4" ht="15" x14ac:dyDescent="0.2">
      <c r="A113" s="24"/>
      <c r="B113" s="31"/>
      <c r="C113" s="28"/>
      <c r="D113" s="28"/>
    </row>
    <row r="114" spans="1:4" ht="15" x14ac:dyDescent="0.2">
      <c r="A114" s="24"/>
      <c r="B114" s="31"/>
      <c r="C114" s="28"/>
      <c r="D114" s="28"/>
    </row>
    <row r="115" spans="1:4" ht="15" x14ac:dyDescent="0.2">
      <c r="A115" s="24"/>
      <c r="B115" s="31"/>
      <c r="C115" s="28"/>
      <c r="D115" s="28"/>
    </row>
    <row r="116" spans="1:4" ht="15" x14ac:dyDescent="0.2">
      <c r="A116" s="24"/>
      <c r="B116" s="31"/>
      <c r="C116" s="28"/>
      <c r="D116" s="28"/>
    </row>
    <row r="117" spans="1:4" ht="15" x14ac:dyDescent="0.2">
      <c r="A117" s="24"/>
      <c r="B117" s="31"/>
      <c r="C117" s="28"/>
      <c r="D117" s="28"/>
    </row>
    <row r="118" spans="1:4" ht="15" x14ac:dyDescent="0.2">
      <c r="A118" s="24"/>
      <c r="B118" s="31"/>
      <c r="C118" s="28"/>
      <c r="D118" s="28"/>
    </row>
    <row r="119" spans="1:4" ht="15" x14ac:dyDescent="0.2">
      <c r="A119" s="24"/>
      <c r="B119" s="31"/>
      <c r="C119" s="28"/>
      <c r="D119" s="28"/>
    </row>
    <row r="120" spans="1:4" ht="15" x14ac:dyDescent="0.2">
      <c r="A120" s="24"/>
      <c r="B120" s="31"/>
      <c r="C120" s="28"/>
      <c r="D120" s="28"/>
    </row>
    <row r="121" spans="1:4" ht="15" x14ac:dyDescent="0.2">
      <c r="A121" s="24"/>
      <c r="B121" s="31"/>
      <c r="C121" s="28"/>
      <c r="D121" s="28"/>
    </row>
    <row r="122" spans="1:4" ht="15" x14ac:dyDescent="0.2">
      <c r="A122" s="24"/>
      <c r="B122" s="31"/>
      <c r="C122" s="28"/>
      <c r="D122" s="28"/>
    </row>
    <row r="123" spans="1:4" ht="15" x14ac:dyDescent="0.2">
      <c r="A123" s="24"/>
      <c r="B123" s="31"/>
      <c r="C123" s="28"/>
      <c r="D123" s="28"/>
    </row>
    <row r="124" spans="1:4" ht="15" x14ac:dyDescent="0.2">
      <c r="A124" s="24"/>
      <c r="B124" s="31"/>
      <c r="C124" s="28"/>
      <c r="D124" s="28"/>
    </row>
    <row r="125" spans="1:4" ht="15" x14ac:dyDescent="0.2">
      <c r="A125" s="24"/>
      <c r="B125" s="31"/>
      <c r="C125" s="28"/>
      <c r="D125" s="28"/>
    </row>
    <row r="126" spans="1:4" ht="15" x14ac:dyDescent="0.2">
      <c r="A126" s="24"/>
      <c r="B126" s="31"/>
      <c r="C126" s="28"/>
      <c r="D126" s="28"/>
    </row>
    <row r="127" spans="1:4" ht="15" x14ac:dyDescent="0.2">
      <c r="A127" s="24"/>
      <c r="B127" s="31"/>
      <c r="C127" s="28"/>
      <c r="D127" s="28"/>
    </row>
    <row r="128" spans="1:4" ht="15" x14ac:dyDescent="0.2">
      <c r="A128" s="24"/>
      <c r="B128" s="31"/>
      <c r="C128" s="28"/>
      <c r="D128" s="28"/>
    </row>
    <row r="129" spans="1:4" ht="15" x14ac:dyDescent="0.2">
      <c r="A129" s="24"/>
      <c r="B129" s="31"/>
      <c r="C129" s="28"/>
      <c r="D129" s="28"/>
    </row>
    <row r="130" spans="1:4" ht="15" x14ac:dyDescent="0.2">
      <c r="A130" s="24"/>
      <c r="B130" s="31"/>
      <c r="C130" s="28"/>
      <c r="D130" s="28"/>
    </row>
    <row r="131" spans="1:4" ht="15" x14ac:dyDescent="0.2">
      <c r="A131" s="24"/>
      <c r="B131" s="31"/>
      <c r="C131" s="28"/>
      <c r="D131" s="28"/>
    </row>
    <row r="132" spans="1:4" ht="15" x14ac:dyDescent="0.2">
      <c r="A132" s="24"/>
      <c r="B132" s="31"/>
      <c r="C132" s="28"/>
      <c r="D13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9</vt:i4>
      </vt:variant>
      <vt:variant>
        <vt:lpstr>Charts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Sunflower Oil Prices</vt:lpstr>
      <vt:lpstr>Sunflower Prices</vt:lpstr>
      <vt:lpstr>Crush Margins</vt:lpstr>
      <vt:lpstr>Crush Margins Monthly</vt:lpstr>
      <vt:lpstr>Charts Print</vt:lpstr>
      <vt:lpstr>Crush Margins Chart Data</vt:lpstr>
      <vt:lpstr>Sunflower Monthly</vt:lpstr>
      <vt:lpstr>Sun Oil Monthly</vt:lpstr>
      <vt:lpstr>Russian Taxes</vt:lpstr>
      <vt:lpstr>NWE Crush Chart</vt:lpstr>
      <vt:lpstr>Ukraine Crush Chart</vt:lpstr>
      <vt:lpstr>Argentina Crush Chart</vt:lpstr>
      <vt:lpstr>France Crush Chart</vt:lpstr>
      <vt:lpstr>Italy Crush Chart</vt:lpstr>
      <vt:lpstr>Ukraine Sunflower</vt:lpstr>
      <vt:lpstr>Russia Sunflower</vt:lpstr>
      <vt:lpstr>Ukraine Sunoil</vt:lpstr>
      <vt:lpstr>Russia Sunoil</vt:lpstr>
      <vt:lpstr>EU Sunoil</vt:lpstr>
      <vt:lpstr>Argentina Sunoil</vt:lpstr>
      <vt:lpstr>'Charts Print'!Print_Area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2025-07-17T09:29:44Z</dcterms:created>
  <dcterms:modified xsi:type="dcterms:W3CDTF">2025-07-17T09:30:06Z</dcterms:modified>
</cp:coreProperties>
</file>