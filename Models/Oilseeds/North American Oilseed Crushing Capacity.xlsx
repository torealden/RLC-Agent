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71868E2A-DF4E-4341-A0F9-39AA6AA95FFC}" xr6:coauthVersionLast="47" xr6:coauthVersionMax="47" xr10:uidLastSave="{00000000-0000-0000-0000-000000000000}"/>
  <bookViews>
    <workbookView xWindow="-120" yWindow="-120" windowWidth="29040" windowHeight="16440" firstSheet="1" activeTab="6" xr2:uid="{F9EAC631-6C2F-45DB-8F69-2F2B2AE04708}"/>
  </bookViews>
  <sheets>
    <sheet name="US Soy Crush" sheetId="1" r:id="rId1"/>
    <sheet name="Chart1" sheetId="2" r:id="rId2"/>
    <sheet name="Chart2" sheetId="3" r:id="rId3"/>
    <sheet name="Refined Demand v Capacity" sheetId="4" r:id="rId4"/>
    <sheet name="Refined Demand v Ref Capacity" sheetId="5" r:id="rId5"/>
    <sheet name="US Soy Crush v Capacity" sheetId="6" r:id="rId6"/>
    <sheet name="US Soy diff units" sheetId="7" r:id="rId7"/>
    <sheet name="Food Plant List" sheetId="8" r:id="rId8"/>
    <sheet name="Closed" sheetId="9" r:id="rId9"/>
    <sheet name="Canola Crush" sheetId="10" r:id="rId10"/>
    <sheet name="Crush Stats " sheetId="11" r:id="rId11"/>
    <sheet name="Canola Crush (RC)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'US Soy Crush'!$A$1:$K$71</definedName>
    <definedName name="_xlnm._FilterDatabase" localSheetId="6" hidden="1">'US Soy diff units'!$A$2:$S$101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1" l="1"/>
  <c r="I68" i="12"/>
  <c r="I67" i="12"/>
  <c r="D68" i="12"/>
  <c r="D67" i="12"/>
  <c r="D66" i="12"/>
  <c r="D65" i="12"/>
  <c r="J66" i="12" s="1"/>
  <c r="D64" i="12"/>
  <c r="D63" i="12"/>
  <c r="I64" i="12" s="1"/>
  <c r="D62" i="12"/>
  <c r="D61" i="12"/>
  <c r="D60" i="12"/>
  <c r="D59" i="12"/>
  <c r="R59" i="12" s="1"/>
  <c r="D58" i="12"/>
  <c r="D57" i="12"/>
  <c r="D56" i="12"/>
  <c r="K138" i="7"/>
  <c r="L138" i="7" s="1"/>
  <c r="K137" i="7"/>
  <c r="L137" i="7" s="1"/>
  <c r="K136" i="7"/>
  <c r="L136" i="7" s="1"/>
  <c r="K135" i="7"/>
  <c r="L135" i="7" s="1"/>
  <c r="K134" i="7"/>
  <c r="L134" i="7" s="1"/>
  <c r="G142" i="7"/>
  <c r="F142" i="7" s="1"/>
  <c r="H142" i="7" s="1"/>
  <c r="G141" i="7"/>
  <c r="F141" i="7" s="1"/>
  <c r="H141" i="7" s="1"/>
  <c r="G140" i="7"/>
  <c r="G139" i="7"/>
  <c r="G138" i="7"/>
  <c r="G137" i="7"/>
  <c r="G136" i="7"/>
  <c r="G135" i="7"/>
  <c r="F135" i="7" s="1"/>
  <c r="H135" i="7" s="1"/>
  <c r="G134" i="7"/>
  <c r="F134" i="7" s="1"/>
  <c r="H134" i="7" s="1"/>
  <c r="G133" i="7"/>
  <c r="F133" i="7" s="1"/>
  <c r="H133" i="7" s="1"/>
  <c r="G132" i="7"/>
  <c r="F132" i="7" s="1"/>
  <c r="H132" i="7" s="1"/>
  <c r="T182" i="7"/>
  <c r="T181" i="7"/>
  <c r="T180" i="7"/>
  <c r="T179" i="7"/>
  <c r="T178" i="7"/>
  <c r="T177" i="7"/>
  <c r="T176" i="7"/>
  <c r="L176" i="7"/>
  <c r="K176" i="7"/>
  <c r="J176" i="7"/>
  <c r="I176" i="7"/>
  <c r="H176" i="7"/>
  <c r="G176" i="7"/>
  <c r="F176" i="7"/>
  <c r="E176" i="7"/>
  <c r="M176" i="7"/>
  <c r="O171" i="7"/>
  <c r="N171" i="7"/>
  <c r="L171" i="7" s="1"/>
  <c r="K171" i="7"/>
  <c r="P171" i="7" s="1"/>
  <c r="O170" i="7"/>
  <c r="Q170" i="7" s="1"/>
  <c r="N170" i="7"/>
  <c r="L170" i="7" s="1"/>
  <c r="K170" i="7"/>
  <c r="O169" i="7"/>
  <c r="Q169" i="7" s="1"/>
  <c r="N169" i="7"/>
  <c r="L169" i="7" s="1"/>
  <c r="K169" i="7"/>
  <c r="P169" i="7" s="1"/>
  <c r="O168" i="7"/>
  <c r="N168" i="7"/>
  <c r="L168" i="7" s="1"/>
  <c r="K168" i="7"/>
  <c r="P168" i="7" s="1"/>
  <c r="O167" i="7"/>
  <c r="L167" i="7" s="1"/>
  <c r="N167" i="7"/>
  <c r="K167" i="7"/>
  <c r="O166" i="7"/>
  <c r="N166" i="7"/>
  <c r="K166" i="7"/>
  <c r="O165" i="7"/>
  <c r="N165" i="7"/>
  <c r="K165" i="7"/>
  <c r="O164" i="7"/>
  <c r="N164" i="7"/>
  <c r="L164" i="7" s="1"/>
  <c r="K164" i="7"/>
  <c r="O163" i="7"/>
  <c r="N163" i="7"/>
  <c r="L163" i="7" s="1"/>
  <c r="K163" i="7"/>
  <c r="P163" i="7" s="1"/>
  <c r="O162" i="7"/>
  <c r="N162" i="7"/>
  <c r="L162" i="7" s="1"/>
  <c r="K162" i="7"/>
  <c r="O161" i="7"/>
  <c r="Q161" i="7" s="1"/>
  <c r="N161" i="7"/>
  <c r="K161" i="7"/>
  <c r="O160" i="7"/>
  <c r="Q160" i="7" s="1"/>
  <c r="N160" i="7"/>
  <c r="K160" i="7"/>
  <c r="O159" i="7"/>
  <c r="N159" i="7"/>
  <c r="Q159" i="7" s="1"/>
  <c r="T159" i="7" s="1"/>
  <c r="K159" i="7"/>
  <c r="O158" i="7"/>
  <c r="N158" i="7"/>
  <c r="K158" i="7"/>
  <c r="O157" i="7"/>
  <c r="N157" i="7"/>
  <c r="K157" i="7"/>
  <c r="O156" i="7"/>
  <c r="N156" i="7"/>
  <c r="K156" i="7"/>
  <c r="O155" i="7"/>
  <c r="N155" i="7"/>
  <c r="K155" i="7"/>
  <c r="M175" i="7"/>
  <c r="L175" i="7"/>
  <c r="K175" i="7"/>
  <c r="J175" i="7"/>
  <c r="I175" i="7"/>
  <c r="H175" i="7"/>
  <c r="G175" i="7"/>
  <c r="F175" i="7"/>
  <c r="E175" i="7"/>
  <c r="M171" i="7"/>
  <c r="J171" i="7"/>
  <c r="M170" i="7"/>
  <c r="J170" i="7"/>
  <c r="M169" i="7"/>
  <c r="J169" i="7"/>
  <c r="M168" i="7"/>
  <c r="J168" i="7"/>
  <c r="M167" i="7"/>
  <c r="J167" i="7"/>
  <c r="M166" i="7"/>
  <c r="J166" i="7"/>
  <c r="M165" i="7"/>
  <c r="J165" i="7"/>
  <c r="M164" i="7"/>
  <c r="J164" i="7"/>
  <c r="M163" i="7"/>
  <c r="J163" i="7"/>
  <c r="M162" i="7"/>
  <c r="J162" i="7"/>
  <c r="M161" i="7"/>
  <c r="J161" i="7"/>
  <c r="M160" i="7"/>
  <c r="J160" i="7"/>
  <c r="M159" i="7"/>
  <c r="L159" i="7" s="1"/>
  <c r="J159" i="7"/>
  <c r="M158" i="7"/>
  <c r="J158" i="7"/>
  <c r="M157" i="7"/>
  <c r="J157" i="7"/>
  <c r="M156" i="7"/>
  <c r="J156" i="7"/>
  <c r="M155" i="7"/>
  <c r="J155" i="7"/>
  <c r="K142" i="7"/>
  <c r="L142" i="7" s="1"/>
  <c r="K141" i="7"/>
  <c r="L141" i="7" s="1"/>
  <c r="K132" i="7"/>
  <c r="C150" i="7"/>
  <c r="N150" i="7" s="1"/>
  <c r="C149" i="7"/>
  <c r="K149" i="7" s="1"/>
  <c r="C148" i="7"/>
  <c r="N148" i="7" s="1"/>
  <c r="C147" i="7"/>
  <c r="N147" i="7" s="1"/>
  <c r="C146" i="7"/>
  <c r="K146" i="7" s="1"/>
  <c r="C145" i="7"/>
  <c r="C144" i="7"/>
  <c r="K144" i="7" s="1"/>
  <c r="C143" i="7"/>
  <c r="N143" i="7" s="1"/>
  <c r="C142" i="7"/>
  <c r="N142" i="7" s="1"/>
  <c r="M142" i="7" s="1"/>
  <c r="C141" i="7"/>
  <c r="N141" i="7" s="1"/>
  <c r="M141" i="7" s="1"/>
  <c r="C132" i="7"/>
  <c r="N132" i="7" s="1"/>
  <c r="M132" i="7" s="1"/>
  <c r="T175" i="7"/>
  <c r="T174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U158" i="7" s="1"/>
  <c r="G157" i="7"/>
  <c r="H157" i="7" s="1"/>
  <c r="G156" i="7"/>
  <c r="U156" i="7" s="1"/>
  <c r="G155" i="7"/>
  <c r="U155" i="7" s="1"/>
  <c r="C73" i="12"/>
  <c r="C72" i="12"/>
  <c r="C71" i="12"/>
  <c r="C69" i="12"/>
  <c r="C68" i="12"/>
  <c r="Q67" i="12"/>
  <c r="R67" i="12" s="1"/>
  <c r="J67" i="12"/>
  <c r="C67" i="12"/>
  <c r="Q66" i="12"/>
  <c r="R66" i="12" s="1"/>
  <c r="C66" i="12"/>
  <c r="Q65" i="12"/>
  <c r="C65" i="12"/>
  <c r="Q64" i="12"/>
  <c r="C64" i="12"/>
  <c r="Q63" i="12"/>
  <c r="R63" i="12"/>
  <c r="C63" i="12"/>
  <c r="Q62" i="12"/>
  <c r="C62" i="12"/>
  <c r="Q61" i="12"/>
  <c r="C61" i="12"/>
  <c r="Q60" i="12"/>
  <c r="C60" i="12"/>
  <c r="Q59" i="12"/>
  <c r="C59" i="12"/>
  <c r="Q58" i="12"/>
  <c r="C58" i="12"/>
  <c r="Q57" i="12"/>
  <c r="C57" i="12"/>
  <c r="Q56" i="12"/>
  <c r="C56" i="12"/>
  <c r="F46" i="12"/>
  <c r="G46" i="12" s="1"/>
  <c r="H46" i="12" s="1"/>
  <c r="F45" i="12"/>
  <c r="G45" i="12" s="1"/>
  <c r="E37" i="12"/>
  <c r="D37" i="12"/>
  <c r="F35" i="12"/>
  <c r="G35" i="12" s="1"/>
  <c r="H35" i="12" s="1"/>
  <c r="F34" i="12"/>
  <c r="G34" i="12" s="1"/>
  <c r="F33" i="12"/>
  <c r="G33" i="12" s="1"/>
  <c r="H33" i="12" s="1"/>
  <c r="G32" i="12"/>
  <c r="F32" i="12"/>
  <c r="F31" i="12"/>
  <c r="G31" i="12" s="1"/>
  <c r="F30" i="12"/>
  <c r="G30" i="12" s="1"/>
  <c r="H30" i="12" s="1"/>
  <c r="H37" i="12" s="1"/>
  <c r="F29" i="12"/>
  <c r="G29" i="12" s="1"/>
  <c r="G37" i="12" s="1"/>
  <c r="U22" i="12"/>
  <c r="E22" i="12"/>
  <c r="O20" i="12"/>
  <c r="G20" i="12"/>
  <c r="O19" i="12"/>
  <c r="H19" i="12"/>
  <c r="F19" i="12"/>
  <c r="G19" i="12" s="1"/>
  <c r="O18" i="12"/>
  <c r="G18" i="12"/>
  <c r="O17" i="12"/>
  <c r="F17" i="12"/>
  <c r="G17" i="12" s="1"/>
  <c r="H17" i="12" s="1"/>
  <c r="O16" i="12"/>
  <c r="H16" i="12"/>
  <c r="G16" i="12"/>
  <c r="F16" i="12"/>
  <c r="O15" i="12"/>
  <c r="H15" i="12"/>
  <c r="F15" i="12"/>
  <c r="G15" i="12" s="1"/>
  <c r="D15" i="12"/>
  <c r="C70" i="12" s="1"/>
  <c r="O14" i="12"/>
  <c r="F14" i="12"/>
  <c r="G14" i="12" s="1"/>
  <c r="H14" i="12" s="1"/>
  <c r="O13" i="12"/>
  <c r="G13" i="12"/>
  <c r="E13" i="12"/>
  <c r="O12" i="12"/>
  <c r="G12" i="12"/>
  <c r="E12" i="12"/>
  <c r="O11" i="12"/>
  <c r="F11" i="12"/>
  <c r="G11" i="12" s="1"/>
  <c r="H11" i="12" s="1"/>
  <c r="O10" i="12"/>
  <c r="G10" i="12"/>
  <c r="F10" i="12"/>
  <c r="O9" i="12"/>
  <c r="F9" i="12"/>
  <c r="G9" i="12" s="1"/>
  <c r="O8" i="12"/>
  <c r="F8" i="12"/>
  <c r="F26" i="12" s="1"/>
  <c r="O7" i="12"/>
  <c r="G7" i="12"/>
  <c r="H7" i="12" s="1"/>
  <c r="F7" i="12"/>
  <c r="O6" i="12"/>
  <c r="F6" i="12"/>
  <c r="G6" i="12" s="1"/>
  <c r="H6" i="12" s="1"/>
  <c r="O5" i="12"/>
  <c r="F5" i="12"/>
  <c r="G5" i="12" s="1"/>
  <c r="O4" i="12"/>
  <c r="G4" i="12"/>
  <c r="F4" i="12"/>
  <c r="O3" i="12"/>
  <c r="F60" i="12" s="1"/>
  <c r="G3" i="12"/>
  <c r="F3" i="12"/>
  <c r="M35" i="11"/>
  <c r="L35" i="11"/>
  <c r="K35" i="11"/>
  <c r="E60" i="10"/>
  <c r="F60" i="10" s="1"/>
  <c r="G60" i="10" s="1"/>
  <c r="E59" i="10"/>
  <c r="F59" i="10" s="1"/>
  <c r="F50" i="10"/>
  <c r="G50" i="10" s="1"/>
  <c r="H50" i="10" s="1"/>
  <c r="F49" i="10"/>
  <c r="G49" i="10" s="1"/>
  <c r="F48" i="10"/>
  <c r="G48" i="10" s="1"/>
  <c r="H48" i="10" s="1"/>
  <c r="F47" i="10"/>
  <c r="G47" i="10" s="1"/>
  <c r="F46" i="10"/>
  <c r="G46" i="10" s="1"/>
  <c r="F45" i="10"/>
  <c r="G45" i="10" s="1"/>
  <c r="H45" i="10" s="1"/>
  <c r="G44" i="10"/>
  <c r="F44" i="10"/>
  <c r="I27" i="10"/>
  <c r="J27" i="10" s="1"/>
  <c r="K27" i="10" s="1"/>
  <c r="I24" i="10"/>
  <c r="J24" i="10" s="1"/>
  <c r="K24" i="10" s="1"/>
  <c r="I23" i="10"/>
  <c r="J23" i="10" s="1"/>
  <c r="K23" i="10" s="1"/>
  <c r="G23" i="10"/>
  <c r="E23" i="10"/>
  <c r="I22" i="10"/>
  <c r="J22" i="10" s="1"/>
  <c r="K22" i="10" s="1"/>
  <c r="D22" i="10"/>
  <c r="H20" i="10"/>
  <c r="I26" i="10" s="1"/>
  <c r="J26" i="10" s="1"/>
  <c r="K26" i="10" s="1"/>
  <c r="F20" i="10"/>
  <c r="G20" i="10" s="1"/>
  <c r="F19" i="10"/>
  <c r="G19" i="10" s="1"/>
  <c r="F18" i="10"/>
  <c r="G18" i="10" s="1"/>
  <c r="H18" i="10" s="1"/>
  <c r="H17" i="10"/>
  <c r="F17" i="10"/>
  <c r="G17" i="10" s="1"/>
  <c r="D17" i="10"/>
  <c r="H16" i="10"/>
  <c r="F16" i="10"/>
  <c r="G16" i="10" s="1"/>
  <c r="D16" i="10"/>
  <c r="F15" i="10"/>
  <c r="G15" i="10" s="1"/>
  <c r="F14" i="10"/>
  <c r="G14" i="10" s="1"/>
  <c r="H14" i="10" s="1"/>
  <c r="G13" i="10"/>
  <c r="E13" i="10"/>
  <c r="G12" i="10"/>
  <c r="E12" i="10"/>
  <c r="F11" i="10"/>
  <c r="E28" i="10" s="1"/>
  <c r="F10" i="10"/>
  <c r="G10" i="10" s="1"/>
  <c r="F9" i="10"/>
  <c r="G9" i="10" s="1"/>
  <c r="F8" i="10"/>
  <c r="G8" i="10" s="1"/>
  <c r="H8" i="10" s="1"/>
  <c r="F7" i="10"/>
  <c r="G7" i="10" s="1"/>
  <c r="H7" i="10" s="1"/>
  <c r="F6" i="10"/>
  <c r="G6" i="10" s="1"/>
  <c r="H6" i="10" s="1"/>
  <c r="F5" i="10"/>
  <c r="G5" i="10" s="1"/>
  <c r="F4" i="10"/>
  <c r="G4" i="10" s="1"/>
  <c r="F3" i="10"/>
  <c r="D203" i="7"/>
  <c r="F202" i="7"/>
  <c r="D202" i="7"/>
  <c r="D201" i="7"/>
  <c r="P188" i="7"/>
  <c r="O188" i="7"/>
  <c r="M188" i="7"/>
  <c r="L188" i="7"/>
  <c r="K188" i="7"/>
  <c r="J188" i="7"/>
  <c r="I188" i="7"/>
  <c r="H188" i="7"/>
  <c r="G188" i="7"/>
  <c r="F188" i="7"/>
  <c r="E188" i="7"/>
  <c r="N187" i="7"/>
  <c r="N188" i="7" s="1"/>
  <c r="P183" i="7"/>
  <c r="P182" i="7"/>
  <c r="P181" i="7"/>
  <c r="P180" i="7"/>
  <c r="P179" i="7"/>
  <c r="P178" i="7"/>
  <c r="P177" i="7"/>
  <c r="P176" i="7"/>
  <c r="P175" i="7"/>
  <c r="P174" i="7"/>
  <c r="M174" i="7"/>
  <c r="L174" i="7"/>
  <c r="K174" i="7"/>
  <c r="J174" i="7"/>
  <c r="I174" i="7"/>
  <c r="H174" i="7"/>
  <c r="G174" i="7"/>
  <c r="F174" i="7"/>
  <c r="E174" i="7"/>
  <c r="L166" i="7"/>
  <c r="P166" i="7"/>
  <c r="L165" i="7"/>
  <c r="P165" i="7"/>
  <c r="Q164" i="7"/>
  <c r="D159" i="7"/>
  <c r="F159" i="7" s="1"/>
  <c r="P158" i="7"/>
  <c r="F158" i="7"/>
  <c r="E158" i="7"/>
  <c r="Q157" i="7"/>
  <c r="L157" i="7"/>
  <c r="F157" i="7"/>
  <c r="E157" i="7" s="1"/>
  <c r="L156" i="7"/>
  <c r="F156" i="7"/>
  <c r="L155" i="7"/>
  <c r="P155" i="7"/>
  <c r="F155" i="7"/>
  <c r="E142" i="7"/>
  <c r="E141" i="7"/>
  <c r="F140" i="7"/>
  <c r="H140" i="7" s="1"/>
  <c r="E140" i="7"/>
  <c r="I139" i="7"/>
  <c r="F139" i="7"/>
  <c r="H139" i="7" s="1"/>
  <c r="E139" i="7"/>
  <c r="A139" i="7"/>
  <c r="F138" i="7"/>
  <c r="H138" i="7" s="1"/>
  <c r="E138" i="7"/>
  <c r="F137" i="7"/>
  <c r="H137" i="7" s="1"/>
  <c r="E137" i="7"/>
  <c r="F136" i="7"/>
  <c r="H136" i="7" s="1"/>
  <c r="E136" i="7"/>
  <c r="E135" i="7"/>
  <c r="E134" i="7"/>
  <c r="E133" i="7"/>
  <c r="L132" i="7"/>
  <c r="E132" i="7"/>
  <c r="N129" i="7"/>
  <c r="N127" i="7"/>
  <c r="N125" i="7"/>
  <c r="N122" i="7"/>
  <c r="N114" i="7"/>
  <c r="I114" i="7"/>
  <c r="F114" i="7"/>
  <c r="N111" i="7"/>
  <c r="I111" i="7"/>
  <c r="F111" i="7"/>
  <c r="N110" i="7"/>
  <c r="I110" i="7"/>
  <c r="F110" i="7"/>
  <c r="D95" i="7"/>
  <c r="O95" i="7" s="1"/>
  <c r="D93" i="7"/>
  <c r="I141" i="7" s="1"/>
  <c r="D91" i="7"/>
  <c r="E91" i="7" s="1"/>
  <c r="D90" i="7"/>
  <c r="E90" i="7" s="1"/>
  <c r="O88" i="7"/>
  <c r="F87" i="7" a="1"/>
  <c r="F87" i="7" s="1"/>
  <c r="O86" i="7"/>
  <c r="I86" i="7"/>
  <c r="H86" i="7"/>
  <c r="F86" i="7"/>
  <c r="O85" i="7"/>
  <c r="N85" i="7"/>
  <c r="G85" i="7"/>
  <c r="I85" i="7" s="1"/>
  <c r="O84" i="7"/>
  <c r="N84" i="7"/>
  <c r="O83" i="7"/>
  <c r="L83" i="7"/>
  <c r="E83" i="7"/>
  <c r="H83" i="7" s="1"/>
  <c r="O82" i="7"/>
  <c r="I82" i="7"/>
  <c r="H82" i="7"/>
  <c r="F82" i="7"/>
  <c r="O81" i="7"/>
  <c r="E81" i="7"/>
  <c r="O80" i="7"/>
  <c r="N80" i="7"/>
  <c r="E80" i="7"/>
  <c r="O79" i="7"/>
  <c r="N79" i="7"/>
  <c r="O78" i="7"/>
  <c r="N78" i="7"/>
  <c r="O77" i="7"/>
  <c r="I77" i="7"/>
  <c r="J77" i="7" s="1"/>
  <c r="N77" i="7" s="1"/>
  <c r="H77" i="7"/>
  <c r="F77" i="7"/>
  <c r="O76" i="7"/>
  <c r="N76" i="7"/>
  <c r="O75" i="7"/>
  <c r="N75" i="7"/>
  <c r="H75" i="7"/>
  <c r="F75" i="7"/>
  <c r="O74" i="7"/>
  <c r="N74" i="7"/>
  <c r="G74" i="7"/>
  <c r="F74" i="7"/>
  <c r="O73" i="7"/>
  <c r="E73" i="7"/>
  <c r="N72" i="7"/>
  <c r="G72" i="7"/>
  <c r="I72" i="7" s="1"/>
  <c r="O71" i="7"/>
  <c r="N71" i="7"/>
  <c r="I71" i="7"/>
  <c r="J71" i="7" s="1"/>
  <c r="H71" i="7"/>
  <c r="F71" i="7"/>
  <c r="O70" i="7"/>
  <c r="N70" i="7"/>
  <c r="I70" i="7"/>
  <c r="J70" i="7" s="1"/>
  <c r="H70" i="7"/>
  <c r="F70" i="7"/>
  <c r="O69" i="7"/>
  <c r="I69" i="7"/>
  <c r="K69" i="7" s="1"/>
  <c r="L69" i="7" s="1"/>
  <c r="H69" i="7"/>
  <c r="F69" i="7"/>
  <c r="O68" i="7"/>
  <c r="I68" i="7"/>
  <c r="K68" i="7" s="1"/>
  <c r="L68" i="7" s="1"/>
  <c r="H68" i="7"/>
  <c r="F68" i="7"/>
  <c r="O67" i="7"/>
  <c r="E67" i="7"/>
  <c r="D66" i="7"/>
  <c r="E66" i="7" s="1"/>
  <c r="O65" i="7"/>
  <c r="I65" i="7"/>
  <c r="J65" i="7" s="1"/>
  <c r="N65" i="7" s="1"/>
  <c r="H65" i="7"/>
  <c r="F65" i="7"/>
  <c r="O64" i="7"/>
  <c r="D64" i="7"/>
  <c r="O63" i="7"/>
  <c r="I63" i="7"/>
  <c r="J63" i="7" s="1"/>
  <c r="N63" i="7" s="1"/>
  <c r="H63" i="7"/>
  <c r="F63" i="7"/>
  <c r="O62" i="7"/>
  <c r="N62" i="7"/>
  <c r="I62" i="7"/>
  <c r="K62" i="7" s="1"/>
  <c r="L62" i="7" s="1"/>
  <c r="H62" i="7"/>
  <c r="F62" i="7"/>
  <c r="O61" i="7"/>
  <c r="O60" i="7"/>
  <c r="I60" i="7"/>
  <c r="K60" i="7" s="1"/>
  <c r="L60" i="7" s="1"/>
  <c r="H60" i="7"/>
  <c r="F60" i="7"/>
  <c r="O59" i="7"/>
  <c r="N59" i="7"/>
  <c r="E58" i="7"/>
  <c r="G57" i="7"/>
  <c r="E57" i="7"/>
  <c r="U56" i="7"/>
  <c r="O56" i="7"/>
  <c r="F56" i="7"/>
  <c r="G56" i="7" s="1"/>
  <c r="I55" i="7"/>
  <c r="J55" i="7" s="1"/>
  <c r="N55" i="7" s="1"/>
  <c r="O55" i="7" s="1"/>
  <c r="H55" i="7"/>
  <c r="F55" i="7"/>
  <c r="O54" i="7"/>
  <c r="N54" i="7"/>
  <c r="E54" i="7"/>
  <c r="O53" i="7"/>
  <c r="N53" i="7"/>
  <c r="I53" i="7"/>
  <c r="K53" i="7" s="1"/>
  <c r="L53" i="7" s="1"/>
  <c r="H53" i="7"/>
  <c r="F53" i="7"/>
  <c r="U52" i="7"/>
  <c r="O52" i="7"/>
  <c r="F52" i="7"/>
  <c r="G52" i="7" s="1"/>
  <c r="H52" i="7" s="1"/>
  <c r="U51" i="7"/>
  <c r="O51" i="7"/>
  <c r="I51" i="7"/>
  <c r="K51" i="7" s="1"/>
  <c r="L51" i="7" s="1"/>
  <c r="H51" i="7"/>
  <c r="F51" i="7"/>
  <c r="O50" i="7"/>
  <c r="G50" i="7"/>
  <c r="I50" i="7" s="1"/>
  <c r="N49" i="7"/>
  <c r="O49" i="7" s="1"/>
  <c r="E49" i="7"/>
  <c r="U48" i="7"/>
  <c r="O48" i="7"/>
  <c r="G48" i="7"/>
  <c r="I48" i="7" s="1"/>
  <c r="O47" i="7"/>
  <c r="I47" i="7"/>
  <c r="J47" i="7" s="1"/>
  <c r="N47" i="7" s="1"/>
  <c r="H47" i="7"/>
  <c r="F47" i="7"/>
  <c r="O46" i="7"/>
  <c r="N46" i="7"/>
  <c r="I46" i="7"/>
  <c r="K46" i="7" s="1"/>
  <c r="L46" i="7" s="1"/>
  <c r="H46" i="7"/>
  <c r="F46" i="7"/>
  <c r="O45" i="7"/>
  <c r="I45" i="7"/>
  <c r="J45" i="7" s="1"/>
  <c r="N45" i="7" s="1"/>
  <c r="H45" i="7"/>
  <c r="F45" i="7"/>
  <c r="O44" i="7"/>
  <c r="N44" i="7"/>
  <c r="I44" i="7"/>
  <c r="J44" i="7" s="1"/>
  <c r="H44" i="7"/>
  <c r="F44" i="7"/>
  <c r="O43" i="7"/>
  <c r="N43" i="7"/>
  <c r="I43" i="7"/>
  <c r="K43" i="7" s="1"/>
  <c r="L43" i="7" s="1"/>
  <c r="H43" i="7"/>
  <c r="F43" i="7"/>
  <c r="O42" i="7"/>
  <c r="I42" i="7"/>
  <c r="K42" i="7" s="1"/>
  <c r="L42" i="7" s="1"/>
  <c r="H42" i="7"/>
  <c r="F42" i="7"/>
  <c r="O41" i="7"/>
  <c r="N41" i="7"/>
  <c r="I41" i="7"/>
  <c r="J41" i="7" s="1"/>
  <c r="H41" i="7"/>
  <c r="F41" i="7"/>
  <c r="O39" i="7"/>
  <c r="N39" i="7"/>
  <c r="I39" i="7"/>
  <c r="K39" i="7" s="1"/>
  <c r="L39" i="7" s="1"/>
  <c r="H39" i="7"/>
  <c r="F39" i="7"/>
  <c r="O38" i="7"/>
  <c r="I38" i="7"/>
  <c r="K38" i="7" s="1"/>
  <c r="L38" i="7" s="1"/>
  <c r="H38" i="7"/>
  <c r="F38" i="7"/>
  <c r="I37" i="7"/>
  <c r="K37" i="7" s="1"/>
  <c r="L37" i="7" s="1"/>
  <c r="H37" i="7"/>
  <c r="F37" i="7"/>
  <c r="D37" i="7" s="1"/>
  <c r="O36" i="7"/>
  <c r="N36" i="7"/>
  <c r="I36" i="7"/>
  <c r="K36" i="7" s="1"/>
  <c r="L36" i="7" s="1"/>
  <c r="H36" i="7"/>
  <c r="F36" i="7"/>
  <c r="O35" i="7"/>
  <c r="I35" i="7"/>
  <c r="J35" i="7" s="1"/>
  <c r="N35" i="7" s="1"/>
  <c r="H35" i="7"/>
  <c r="F35" i="7"/>
  <c r="O34" i="7"/>
  <c r="I34" i="7"/>
  <c r="K34" i="7" s="1"/>
  <c r="L34" i="7" s="1"/>
  <c r="H34" i="7"/>
  <c r="F34" i="7"/>
  <c r="I33" i="7"/>
  <c r="K33" i="7" s="1"/>
  <c r="L33" i="7" s="1"/>
  <c r="H33" i="7"/>
  <c r="F33" i="7"/>
  <c r="D33" i="7"/>
  <c r="O32" i="7"/>
  <c r="I32" i="7"/>
  <c r="K32" i="7" s="1"/>
  <c r="L32" i="7" s="1"/>
  <c r="H32" i="7"/>
  <c r="F32" i="7"/>
  <c r="O31" i="7"/>
  <c r="I31" i="7"/>
  <c r="K31" i="7" s="1"/>
  <c r="L31" i="7" s="1"/>
  <c r="H31" i="7"/>
  <c r="F31" i="7"/>
  <c r="B181" i="7" s="1"/>
  <c r="O30" i="7"/>
  <c r="N30" i="7"/>
  <c r="O29" i="7"/>
  <c r="N29" i="7"/>
  <c r="I29" i="7"/>
  <c r="J29" i="7" s="1"/>
  <c r="H29" i="7"/>
  <c r="F29" i="7"/>
  <c r="O28" i="7"/>
  <c r="I28" i="7"/>
  <c r="K28" i="7" s="1"/>
  <c r="L28" i="7" s="1"/>
  <c r="H28" i="7"/>
  <c r="F28" i="7"/>
  <c r="O27" i="7"/>
  <c r="N27" i="7"/>
  <c r="G27" i="7"/>
  <c r="I27" i="7" s="1"/>
  <c r="O26" i="7"/>
  <c r="I26" i="7"/>
  <c r="K26" i="7" s="1"/>
  <c r="L26" i="7" s="1"/>
  <c r="H26" i="7"/>
  <c r="F26" i="7"/>
  <c r="O25" i="7"/>
  <c r="O93" i="7" s="1"/>
  <c r="J141" i="7" s="1"/>
  <c r="I25" i="7"/>
  <c r="K25" i="7" s="1"/>
  <c r="L25" i="7" s="1"/>
  <c r="H25" i="7"/>
  <c r="E25" i="7"/>
  <c r="U98" i="7" s="1"/>
  <c r="O24" i="7"/>
  <c r="I24" i="7"/>
  <c r="J24" i="7" s="1"/>
  <c r="N24" i="7" s="1"/>
  <c r="H24" i="7"/>
  <c r="F24" i="7"/>
  <c r="O23" i="7"/>
  <c r="N23" i="7"/>
  <c r="I23" i="7"/>
  <c r="K23" i="7" s="1"/>
  <c r="L23" i="7" s="1"/>
  <c r="H23" i="7"/>
  <c r="F23" i="7"/>
  <c r="O22" i="7"/>
  <c r="N22" i="7"/>
  <c r="I22" i="7"/>
  <c r="K22" i="7" s="1"/>
  <c r="L22" i="7" s="1"/>
  <c r="H22" i="7"/>
  <c r="F22" i="7"/>
  <c r="O21" i="7"/>
  <c r="I21" i="7"/>
  <c r="K21" i="7" s="1"/>
  <c r="L21" i="7" s="1"/>
  <c r="H21" i="7"/>
  <c r="E21" i="7"/>
  <c r="O20" i="7"/>
  <c r="K20" i="7"/>
  <c r="L20" i="7" s="1"/>
  <c r="I20" i="7"/>
  <c r="J20" i="7" s="1"/>
  <c r="N20" i="7" s="1"/>
  <c r="H20" i="7"/>
  <c r="F20" i="7"/>
  <c r="O19" i="7"/>
  <c r="N19" i="7"/>
  <c r="I19" i="7"/>
  <c r="K19" i="7" s="1"/>
  <c r="L19" i="7" s="1"/>
  <c r="H19" i="7"/>
  <c r="F19" i="7"/>
  <c r="O18" i="7"/>
  <c r="I18" i="7"/>
  <c r="J18" i="7" s="1"/>
  <c r="N18" i="7" s="1"/>
  <c r="H18" i="7"/>
  <c r="F18" i="7"/>
  <c r="O17" i="7"/>
  <c r="L17" i="7"/>
  <c r="J17" i="7"/>
  <c r="N17" i="7" s="1"/>
  <c r="I17" i="7"/>
  <c r="K17" i="7" s="1"/>
  <c r="H17" i="7"/>
  <c r="F17" i="7"/>
  <c r="O16" i="7"/>
  <c r="N16" i="7"/>
  <c r="I16" i="7"/>
  <c r="K16" i="7" s="1"/>
  <c r="L16" i="7" s="1"/>
  <c r="H16" i="7"/>
  <c r="F16" i="7"/>
  <c r="O15" i="7"/>
  <c r="N15" i="7"/>
  <c r="I15" i="7"/>
  <c r="K15" i="7" s="1"/>
  <c r="L15" i="7" s="1"/>
  <c r="H15" i="7"/>
  <c r="F15" i="7"/>
  <c r="O14" i="7"/>
  <c r="I14" i="7"/>
  <c r="K14" i="7" s="1"/>
  <c r="L14" i="7" s="1"/>
  <c r="H14" i="7"/>
  <c r="F14" i="7"/>
  <c r="O13" i="7"/>
  <c r="N13" i="7"/>
  <c r="I13" i="7"/>
  <c r="K13" i="7" s="1"/>
  <c r="L13" i="7" s="1"/>
  <c r="H13" i="7"/>
  <c r="F13" i="7"/>
  <c r="O12" i="7"/>
  <c r="I12" i="7"/>
  <c r="H12" i="7"/>
  <c r="E12" i="7"/>
  <c r="O11" i="7"/>
  <c r="I11" i="7"/>
  <c r="K11" i="7" s="1"/>
  <c r="L11" i="7" s="1"/>
  <c r="H11" i="7"/>
  <c r="F11" i="7"/>
  <c r="O10" i="7"/>
  <c r="I10" i="7"/>
  <c r="J10" i="7" s="1"/>
  <c r="N10" i="7" s="1"/>
  <c r="H10" i="7"/>
  <c r="F10" i="7"/>
  <c r="O9" i="7"/>
  <c r="N9" i="7"/>
  <c r="I9" i="7"/>
  <c r="J9" i="7" s="1"/>
  <c r="H9" i="7"/>
  <c r="F9" i="7"/>
  <c r="O8" i="7"/>
  <c r="I8" i="7"/>
  <c r="J8" i="7" s="1"/>
  <c r="N8" i="7" s="1"/>
  <c r="H8" i="7"/>
  <c r="F8" i="7"/>
  <c r="O7" i="7"/>
  <c r="I7" i="7"/>
  <c r="J7" i="7" s="1"/>
  <c r="N7" i="7" s="1"/>
  <c r="H7" i="7"/>
  <c r="F7" i="7"/>
  <c r="U6" i="7"/>
  <c r="O90" i="7" s="1"/>
  <c r="O6" i="7"/>
  <c r="G6" i="7"/>
  <c r="I6" i="7" s="1"/>
  <c r="O5" i="7"/>
  <c r="I5" i="7"/>
  <c r="K5" i="7" s="1"/>
  <c r="L5" i="7" s="1"/>
  <c r="F5" i="7"/>
  <c r="O4" i="7"/>
  <c r="I4" i="7"/>
  <c r="K4" i="7" s="1"/>
  <c r="L4" i="7" s="1"/>
  <c r="H4" i="7"/>
  <c r="F4" i="7"/>
  <c r="O3" i="7"/>
  <c r="I3" i="7"/>
  <c r="K3" i="7" s="1"/>
  <c r="H3" i="7"/>
  <c r="F3" i="7"/>
  <c r="J71" i="1"/>
  <c r="K71" i="1" s="1"/>
  <c r="I71" i="1"/>
  <c r="G71" i="1"/>
  <c r="J69" i="1"/>
  <c r="K69" i="1" s="1"/>
  <c r="I69" i="1"/>
  <c r="G69" i="1"/>
  <c r="J68" i="1"/>
  <c r="K68" i="1" s="1"/>
  <c r="I68" i="1"/>
  <c r="G68" i="1"/>
  <c r="J66" i="1"/>
  <c r="K66" i="1" s="1"/>
  <c r="I66" i="1"/>
  <c r="G66" i="1"/>
  <c r="J65" i="1"/>
  <c r="K65" i="1" s="1"/>
  <c r="I65" i="1"/>
  <c r="G65" i="1"/>
  <c r="J64" i="1"/>
  <c r="K64" i="1" s="1"/>
  <c r="I64" i="1"/>
  <c r="G64" i="1"/>
  <c r="J61" i="1"/>
  <c r="K61" i="1" s="1"/>
  <c r="I61" i="1"/>
  <c r="G61" i="1"/>
  <c r="J60" i="1"/>
  <c r="K60" i="1" s="1"/>
  <c r="I60" i="1"/>
  <c r="G60" i="1"/>
  <c r="J58" i="1"/>
  <c r="K58" i="1" s="1"/>
  <c r="I58" i="1"/>
  <c r="G58" i="1"/>
  <c r="J57" i="1"/>
  <c r="K57" i="1" s="1"/>
  <c r="I57" i="1"/>
  <c r="G57" i="1"/>
  <c r="J56" i="1"/>
  <c r="K56" i="1" s="1"/>
  <c r="I56" i="1"/>
  <c r="G56" i="1"/>
  <c r="J55" i="1"/>
  <c r="K55" i="1" s="1"/>
  <c r="I55" i="1"/>
  <c r="G55" i="1"/>
  <c r="J54" i="1"/>
  <c r="K54" i="1" s="1"/>
  <c r="I54" i="1"/>
  <c r="G54" i="1"/>
  <c r="J53" i="1"/>
  <c r="K53" i="1" s="1"/>
  <c r="I53" i="1"/>
  <c r="G53" i="1"/>
  <c r="J52" i="1"/>
  <c r="K52" i="1" s="1"/>
  <c r="I52" i="1"/>
  <c r="G52" i="1"/>
  <c r="J50" i="1"/>
  <c r="K50" i="1" s="1"/>
  <c r="I50" i="1"/>
  <c r="G50" i="1"/>
  <c r="J49" i="1"/>
  <c r="K49" i="1" s="1"/>
  <c r="I49" i="1"/>
  <c r="G49" i="1"/>
  <c r="J48" i="1"/>
  <c r="K48" i="1" s="1"/>
  <c r="I48" i="1"/>
  <c r="G48" i="1"/>
  <c r="J47" i="1"/>
  <c r="K47" i="1" s="1"/>
  <c r="G47" i="1"/>
  <c r="J44" i="1"/>
  <c r="K44" i="1" s="1"/>
  <c r="I44" i="1"/>
  <c r="G44" i="1"/>
  <c r="J43" i="1"/>
  <c r="K43" i="1" s="1"/>
  <c r="I43" i="1"/>
  <c r="G43" i="1"/>
  <c r="J42" i="1"/>
  <c r="K42" i="1" s="1"/>
  <c r="I42" i="1"/>
  <c r="G42" i="1"/>
  <c r="J41" i="1"/>
  <c r="K41" i="1" s="1"/>
  <c r="I41" i="1"/>
  <c r="G41" i="1"/>
  <c r="J40" i="1"/>
  <c r="K40" i="1" s="1"/>
  <c r="I40" i="1"/>
  <c r="G40" i="1"/>
  <c r="J39" i="1"/>
  <c r="K39" i="1" s="1"/>
  <c r="I39" i="1"/>
  <c r="G39" i="1"/>
  <c r="J38" i="1"/>
  <c r="K38" i="1" s="1"/>
  <c r="I38" i="1"/>
  <c r="G38" i="1"/>
  <c r="J37" i="1"/>
  <c r="K37" i="1" s="1"/>
  <c r="I37" i="1"/>
  <c r="G37" i="1"/>
  <c r="J36" i="1"/>
  <c r="K36" i="1" s="1"/>
  <c r="I36" i="1"/>
  <c r="G36" i="1"/>
  <c r="J35" i="1"/>
  <c r="K35" i="1" s="1"/>
  <c r="I35" i="1"/>
  <c r="G35" i="1"/>
  <c r="J34" i="1"/>
  <c r="K34" i="1" s="1"/>
  <c r="I34" i="1"/>
  <c r="G34" i="1"/>
  <c r="J33" i="1"/>
  <c r="K33" i="1" s="1"/>
  <c r="I33" i="1"/>
  <c r="G33" i="1"/>
  <c r="J32" i="1"/>
  <c r="K32" i="1" s="1"/>
  <c r="I32" i="1"/>
  <c r="G32" i="1"/>
  <c r="J31" i="1"/>
  <c r="K31" i="1" s="1"/>
  <c r="I31" i="1"/>
  <c r="G31" i="1"/>
  <c r="J30" i="1"/>
  <c r="K30" i="1" s="1"/>
  <c r="I30" i="1"/>
  <c r="G30" i="1"/>
  <c r="J29" i="1"/>
  <c r="K29" i="1" s="1"/>
  <c r="I29" i="1"/>
  <c r="G29" i="1"/>
  <c r="J28" i="1"/>
  <c r="K28" i="1" s="1"/>
  <c r="I28" i="1"/>
  <c r="G28" i="1"/>
  <c r="J27" i="1"/>
  <c r="K27" i="1" s="1"/>
  <c r="I27" i="1"/>
  <c r="G27" i="1"/>
  <c r="J26" i="1"/>
  <c r="K26" i="1" s="1"/>
  <c r="I26" i="1"/>
  <c r="G26" i="1"/>
  <c r="J25" i="1"/>
  <c r="K25" i="1" s="1"/>
  <c r="I25" i="1"/>
  <c r="G25" i="1"/>
  <c r="J22" i="1"/>
  <c r="K22" i="1" s="1"/>
  <c r="I22" i="1"/>
  <c r="J21" i="1"/>
  <c r="K21" i="1" s="1"/>
  <c r="I21" i="1"/>
  <c r="G21" i="1"/>
  <c r="J20" i="1"/>
  <c r="K20" i="1" s="1"/>
  <c r="I20" i="1"/>
  <c r="G20" i="1"/>
  <c r="J19" i="1"/>
  <c r="K19" i="1" s="1"/>
  <c r="I19" i="1"/>
  <c r="G19" i="1"/>
  <c r="J18" i="1"/>
  <c r="K18" i="1" s="1"/>
  <c r="I18" i="1"/>
  <c r="G18" i="1"/>
  <c r="J17" i="1"/>
  <c r="K17" i="1" s="1"/>
  <c r="I17" i="1"/>
  <c r="G17" i="1"/>
  <c r="J16" i="1"/>
  <c r="K16" i="1" s="1"/>
  <c r="I16" i="1"/>
  <c r="G16" i="1"/>
  <c r="J15" i="1"/>
  <c r="K15" i="1" s="1"/>
  <c r="I15" i="1"/>
  <c r="G15" i="1"/>
  <c r="J14" i="1"/>
  <c r="K14" i="1" s="1"/>
  <c r="I14" i="1"/>
  <c r="G14" i="1"/>
  <c r="J13" i="1"/>
  <c r="K13" i="1" s="1"/>
  <c r="I13" i="1"/>
  <c r="G13" i="1"/>
  <c r="J12" i="1"/>
  <c r="K12" i="1" s="1"/>
  <c r="I12" i="1"/>
  <c r="G12" i="1"/>
  <c r="J11" i="1"/>
  <c r="K11" i="1" s="1"/>
  <c r="I11" i="1"/>
  <c r="G11" i="1"/>
  <c r="J10" i="1"/>
  <c r="K10" i="1" s="1"/>
  <c r="I10" i="1"/>
  <c r="G10" i="1"/>
  <c r="J9" i="1"/>
  <c r="K9" i="1" s="1"/>
  <c r="J8" i="1"/>
  <c r="K8" i="1" s="1"/>
  <c r="I8" i="1"/>
  <c r="G8" i="1"/>
  <c r="J7" i="1"/>
  <c r="K7" i="1" s="1"/>
  <c r="I7" i="1"/>
  <c r="G7" i="1"/>
  <c r="J6" i="1"/>
  <c r="K6" i="1" s="1"/>
  <c r="I6" i="1"/>
  <c r="G6" i="1"/>
  <c r="J5" i="1"/>
  <c r="K5" i="1" s="1"/>
  <c r="I5" i="1"/>
  <c r="G5" i="1"/>
  <c r="J4" i="1"/>
  <c r="K4" i="1" s="1"/>
  <c r="I4" i="1"/>
  <c r="G4" i="1"/>
  <c r="J3" i="1"/>
  <c r="K3" i="1" s="1"/>
  <c r="I3" i="1"/>
  <c r="G3" i="1"/>
  <c r="J2" i="1"/>
  <c r="K2" i="1" s="1"/>
  <c r="I2" i="1"/>
  <c r="G2" i="1"/>
  <c r="J62" i="12" l="1"/>
  <c r="J65" i="12"/>
  <c r="R65" i="12"/>
  <c r="R64" i="12"/>
  <c r="J57" i="12"/>
  <c r="J58" i="12"/>
  <c r="R56" i="12"/>
  <c r="Y165" i="7"/>
  <c r="I58" i="12"/>
  <c r="R58" i="12"/>
  <c r="R57" i="12"/>
  <c r="R62" i="12"/>
  <c r="J60" i="12"/>
  <c r="I60" i="12"/>
  <c r="R60" i="12"/>
  <c r="J61" i="12"/>
  <c r="R61" i="12"/>
  <c r="H156" i="7"/>
  <c r="U157" i="7"/>
  <c r="S156" i="7"/>
  <c r="H155" i="7"/>
  <c r="S157" i="7"/>
  <c r="O176" i="7"/>
  <c r="K150" i="7"/>
  <c r="E22" i="10"/>
  <c r="F64" i="12"/>
  <c r="J11" i="7"/>
  <c r="N11" i="7" s="1"/>
  <c r="V162" i="7" s="1"/>
  <c r="F85" i="7"/>
  <c r="E155" i="7"/>
  <c r="Q163" i="7"/>
  <c r="T163" i="7" s="1"/>
  <c r="G3" i="10"/>
  <c r="G8" i="12"/>
  <c r="H8" i="12" s="1"/>
  <c r="H22" i="12" s="1"/>
  <c r="D22" i="12"/>
  <c r="I62" i="12"/>
  <c r="P161" i="7"/>
  <c r="P159" i="7"/>
  <c r="L161" i="7"/>
  <c r="F57" i="12"/>
  <c r="J64" i="12"/>
  <c r="F68" i="12"/>
  <c r="F22" i="12"/>
  <c r="J46" i="7"/>
  <c r="K71" i="7"/>
  <c r="L71" i="7" s="1"/>
  <c r="F37" i="12"/>
  <c r="I66" i="12"/>
  <c r="F59" i="12"/>
  <c r="I57" i="12"/>
  <c r="F72" i="7"/>
  <c r="D72" i="7" s="1"/>
  <c r="E72" i="7" s="1"/>
  <c r="K143" i="7"/>
  <c r="P167" i="7"/>
  <c r="F61" i="12"/>
  <c r="I59" i="12"/>
  <c r="F72" i="12"/>
  <c r="J59" i="12"/>
  <c r="F63" i="12"/>
  <c r="Q168" i="7"/>
  <c r="T168" i="7" s="1"/>
  <c r="N144" i="7"/>
  <c r="D160" i="7"/>
  <c r="D204" i="7" s="1"/>
  <c r="P162" i="7"/>
  <c r="I61" i="12"/>
  <c r="F69" i="12"/>
  <c r="F71" i="12"/>
  <c r="S155" i="7"/>
  <c r="O174" i="7"/>
  <c r="J68" i="7"/>
  <c r="N68" i="7" s="1"/>
  <c r="Q155" i="7"/>
  <c r="U159" i="7"/>
  <c r="J43" i="7"/>
  <c r="F48" i="7"/>
  <c r="B182" i="7" s="1"/>
  <c r="E156" i="7"/>
  <c r="E201" i="7" s="1"/>
  <c r="H158" i="7"/>
  <c r="Q167" i="7"/>
  <c r="T167" i="7" s="1"/>
  <c r="F54" i="10"/>
  <c r="F65" i="12"/>
  <c r="F66" i="12"/>
  <c r="B56" i="12"/>
  <c r="I63" i="12"/>
  <c r="Q156" i="7"/>
  <c r="T156" i="7" s="1"/>
  <c r="N146" i="7"/>
  <c r="J63" i="12"/>
  <c r="F67" i="12"/>
  <c r="F62" i="12"/>
  <c r="J28" i="7"/>
  <c r="N28" i="7" s="1"/>
  <c r="P160" i="7"/>
  <c r="Q162" i="7"/>
  <c r="I65" i="12"/>
  <c r="E56" i="12"/>
  <c r="F58" i="12"/>
  <c r="F73" i="12"/>
  <c r="F56" i="12"/>
  <c r="F70" i="12"/>
  <c r="U93" i="7"/>
  <c r="L160" i="7"/>
  <c r="J34" i="7"/>
  <c r="N34" i="7" s="1"/>
  <c r="O94" i="7"/>
  <c r="J142" i="7" s="1"/>
  <c r="K148" i="7"/>
  <c r="P156" i="7"/>
  <c r="Q165" i="7"/>
  <c r="T165" i="7" s="1"/>
  <c r="K55" i="7"/>
  <c r="L55" i="7" s="1"/>
  <c r="K63" i="7"/>
  <c r="L63" i="7" s="1"/>
  <c r="F201" i="7"/>
  <c r="F23" i="10"/>
  <c r="E27" i="10"/>
  <c r="G11" i="10"/>
  <c r="H11" i="10" s="1"/>
  <c r="G22" i="10" s="1"/>
  <c r="J82" i="7"/>
  <c r="N82" i="7" s="1"/>
  <c r="K82" i="7"/>
  <c r="L82" i="7" s="1"/>
  <c r="I52" i="7"/>
  <c r="N145" i="7"/>
  <c r="K145" i="7"/>
  <c r="J60" i="7"/>
  <c r="N60" i="7" s="1"/>
  <c r="L3" i="7"/>
  <c r="E64" i="7"/>
  <c r="U109" i="7" s="1"/>
  <c r="D94" i="7"/>
  <c r="K9" i="7"/>
  <c r="L9" i="7" s="1"/>
  <c r="D96" i="7"/>
  <c r="K85" i="7"/>
  <c r="L85" i="7" s="1"/>
  <c r="J85" i="7"/>
  <c r="K86" i="7"/>
  <c r="L86" i="7" s="1"/>
  <c r="J86" i="7"/>
  <c r="N86" i="7" s="1"/>
  <c r="B179" i="7"/>
  <c r="E93" i="7"/>
  <c r="T160" i="7"/>
  <c r="P170" i="7"/>
  <c r="T170" i="7"/>
  <c r="R157" i="7"/>
  <c r="T157" i="7"/>
  <c r="L158" i="7"/>
  <c r="M172" i="7"/>
  <c r="T169" i="7"/>
  <c r="K6" i="7"/>
  <c r="L6" i="7" s="1"/>
  <c r="J6" i="7"/>
  <c r="N6" i="7" s="1"/>
  <c r="J23" i="7"/>
  <c r="J72" i="7"/>
  <c r="K72" i="7"/>
  <c r="L72" i="7" s="1"/>
  <c r="T155" i="7"/>
  <c r="T161" i="7"/>
  <c r="Q166" i="7"/>
  <c r="O178" i="7"/>
  <c r="F203" i="7"/>
  <c r="H159" i="7"/>
  <c r="R159" i="7" s="1"/>
  <c r="P157" i="7"/>
  <c r="J48" i="7"/>
  <c r="N48" i="7" s="1"/>
  <c r="K48" i="7"/>
  <c r="L48" i="7" s="1"/>
  <c r="S159" i="7"/>
  <c r="T164" i="7"/>
  <c r="J27" i="7"/>
  <c r="K27" i="7"/>
  <c r="L27" i="7" s="1"/>
  <c r="E37" i="7"/>
  <c r="O37" i="7"/>
  <c r="P164" i="7"/>
  <c r="Q171" i="7"/>
  <c r="E202" i="7"/>
  <c r="I56" i="7"/>
  <c r="I89" i="7" s="1"/>
  <c r="H56" i="7"/>
  <c r="Q158" i="7"/>
  <c r="T162" i="7"/>
  <c r="J32" i="7"/>
  <c r="N32" i="7" s="1"/>
  <c r="J37" i="7"/>
  <c r="N37" i="7" s="1"/>
  <c r="K50" i="7"/>
  <c r="L50" i="7" s="1"/>
  <c r="J50" i="7"/>
  <c r="N50" i="7" s="1"/>
  <c r="K12" i="7"/>
  <c r="L12" i="7" s="1"/>
  <c r="J12" i="7"/>
  <c r="O91" i="7"/>
  <c r="J139" i="7" s="1"/>
  <c r="K41" i="7"/>
  <c r="L41" i="7" s="1"/>
  <c r="K7" i="7"/>
  <c r="L7" i="7" s="1"/>
  <c r="J21" i="7"/>
  <c r="N21" i="7" s="1"/>
  <c r="K65" i="7"/>
  <c r="L65" i="7" s="1"/>
  <c r="K77" i="7"/>
  <c r="L77" i="7" s="1"/>
  <c r="J5" i="7"/>
  <c r="N5" i="7" s="1"/>
  <c r="J33" i="7"/>
  <c r="N33" i="7" s="1"/>
  <c r="J53" i="7"/>
  <c r="G89" i="7"/>
  <c r="O175" i="7"/>
  <c r="K45" i="7"/>
  <c r="L45" i="7" s="1"/>
  <c r="J26" i="7"/>
  <c r="N26" i="7" s="1"/>
  <c r="K10" i="7"/>
  <c r="L10" i="7" s="1"/>
  <c r="K24" i="7"/>
  <c r="L24" i="7" s="1"/>
  <c r="K147" i="7"/>
  <c r="J36" i="7"/>
  <c r="H48" i="7"/>
  <c r="J51" i="7"/>
  <c r="N51" i="7" s="1"/>
  <c r="K70" i="7"/>
  <c r="L70" i="7" s="1"/>
  <c r="F6" i="7"/>
  <c r="B180" i="7" s="1"/>
  <c r="K8" i="7"/>
  <c r="L8" i="7" s="1"/>
  <c r="J22" i="7"/>
  <c r="J31" i="7"/>
  <c r="N31" i="7" s="1"/>
  <c r="O33" i="7"/>
  <c r="N149" i="7"/>
  <c r="J4" i="7"/>
  <c r="N4" i="7" s="1"/>
  <c r="J15" i="7"/>
  <c r="E33" i="7"/>
  <c r="K47" i="7"/>
  <c r="L47" i="7" s="1"/>
  <c r="J38" i="7"/>
  <c r="N38" i="7" s="1"/>
  <c r="J42" i="7"/>
  <c r="N42" i="7" s="1"/>
  <c r="J19" i="7"/>
  <c r="H50" i="7"/>
  <c r="K29" i="7"/>
  <c r="L29" i="7" s="1"/>
  <c r="K44" i="7"/>
  <c r="L44" i="7" s="1"/>
  <c r="E159" i="7"/>
  <c r="E203" i="7" s="1"/>
  <c r="J3" i="7"/>
  <c r="J14" i="7"/>
  <c r="N14" i="7" s="1"/>
  <c r="J25" i="7"/>
  <c r="N25" i="7" s="1"/>
  <c r="J39" i="7"/>
  <c r="E95" i="7"/>
  <c r="J69" i="7"/>
  <c r="N69" i="7" s="1"/>
  <c r="K18" i="7"/>
  <c r="L18" i="7" s="1"/>
  <c r="K35" i="7"/>
  <c r="L35" i="7" s="1"/>
  <c r="J13" i="7"/>
  <c r="H27" i="7"/>
  <c r="J62" i="7"/>
  <c r="H6" i="7"/>
  <c r="J16" i="7"/>
  <c r="R155" i="7" l="1"/>
  <c r="H89" i="7"/>
  <c r="D161" i="7"/>
  <c r="U160" i="7"/>
  <c r="R156" i="7"/>
  <c r="E57" i="12"/>
  <c r="F160" i="7"/>
  <c r="E160" i="7" s="1"/>
  <c r="E204" i="7" s="1"/>
  <c r="B184" i="7"/>
  <c r="B183" i="7" s="1"/>
  <c r="G22" i="12"/>
  <c r="F89" i="7"/>
  <c r="P56" i="12"/>
  <c r="G56" i="12"/>
  <c r="B57" i="12"/>
  <c r="O72" i="7"/>
  <c r="O92" i="7" s="1"/>
  <c r="D92" i="7"/>
  <c r="E92" i="7" s="1"/>
  <c r="F22" i="10"/>
  <c r="I25" i="10"/>
  <c r="J25" i="10" s="1"/>
  <c r="K25" i="10" s="1"/>
  <c r="G92" i="7"/>
  <c r="H92" i="7" s="1"/>
  <c r="G93" i="7"/>
  <c r="H93" i="7" s="1"/>
  <c r="I140" i="7"/>
  <c r="E94" i="7"/>
  <c r="I142" i="7"/>
  <c r="T158" i="7"/>
  <c r="R158" i="7"/>
  <c r="T171" i="7"/>
  <c r="S160" i="7"/>
  <c r="F90" i="7"/>
  <c r="G90" i="7"/>
  <c r="H90" i="7"/>
  <c r="I90" i="7"/>
  <c r="L172" i="7"/>
  <c r="O177" i="7"/>
  <c r="S158" i="7"/>
  <c r="K56" i="7"/>
  <c r="L56" i="7" s="1"/>
  <c r="J56" i="7"/>
  <c r="N56" i="7" s="1"/>
  <c r="O96" i="7"/>
  <c r="E96" i="7"/>
  <c r="N3" i="7"/>
  <c r="H160" i="7"/>
  <c r="R160" i="7" s="1"/>
  <c r="F204" i="7"/>
  <c r="A165" i="7"/>
  <c r="U94" i="7"/>
  <c r="F161" i="7"/>
  <c r="K52" i="7"/>
  <c r="L52" i="7" s="1"/>
  <c r="J52" i="7"/>
  <c r="N52" i="7" s="1"/>
  <c r="X162" i="7"/>
  <c r="X163" i="7" s="1"/>
  <c r="T166" i="7"/>
  <c r="E58" i="12" l="1"/>
  <c r="H57" i="12"/>
  <c r="D208" i="7"/>
  <c r="D205" i="7"/>
  <c r="U161" i="7"/>
  <c r="D162" i="7"/>
  <c r="B58" i="12"/>
  <c r="P57" i="12"/>
  <c r="G57" i="12"/>
  <c r="K89" i="7"/>
  <c r="K90" i="7" s="1"/>
  <c r="L89" i="7"/>
  <c r="L90" i="7" s="1"/>
  <c r="O179" i="7"/>
  <c r="J140" i="7"/>
  <c r="P92" i="7"/>
  <c r="J90" i="7"/>
  <c r="F91" i="7"/>
  <c r="F118" i="7"/>
  <c r="J118" i="7" s="1"/>
  <c r="J89" i="7"/>
  <c r="F208" i="7"/>
  <c r="F172" i="7"/>
  <c r="F205" i="7"/>
  <c r="A164" i="7"/>
  <c r="H161" i="7"/>
  <c r="R161" i="7" s="1"/>
  <c r="E161" i="7"/>
  <c r="S161" i="7"/>
  <c r="N89" i="7"/>
  <c r="N90" i="7" s="1"/>
  <c r="W162" i="7"/>
  <c r="F162" i="7"/>
  <c r="G58" i="12" l="1"/>
  <c r="B59" i="12"/>
  <c r="P58" i="12"/>
  <c r="D163" i="7"/>
  <c r="D206" i="7"/>
  <c r="U162" i="7"/>
  <c r="H58" i="12"/>
  <c r="E59" i="12"/>
  <c r="J91" i="7"/>
  <c r="F92" i="7"/>
  <c r="F206" i="7"/>
  <c r="H162" i="7"/>
  <c r="R162" i="7" s="1"/>
  <c r="S162" i="7"/>
  <c r="E162" i="7"/>
  <c r="E206" i="7" s="1"/>
  <c r="F163" i="7"/>
  <c r="N118" i="7"/>
  <c r="N91" i="7"/>
  <c r="N92" i="7" s="1"/>
  <c r="N93" i="7" s="1"/>
  <c r="N94" i="7" s="1"/>
  <c r="N95" i="7" s="1"/>
  <c r="N96" i="7" s="1"/>
  <c r="E208" i="7"/>
  <c r="E205" i="7"/>
  <c r="E172" i="7"/>
  <c r="V161" i="7"/>
  <c r="W163" i="7"/>
  <c r="B60" i="12" l="1"/>
  <c r="P59" i="12"/>
  <c r="G59" i="12"/>
  <c r="E60" i="12"/>
  <c r="H59" i="12"/>
  <c r="D207" i="7"/>
  <c r="U163" i="7"/>
  <c r="N179" i="7"/>
  <c r="F93" i="7"/>
  <c r="J92" i="7"/>
  <c r="F207" i="7"/>
  <c r="H163" i="7"/>
  <c r="R163" i="7" s="1"/>
  <c r="S163" i="7"/>
  <c r="E163" i="7"/>
  <c r="E207" i="7" s="1"/>
  <c r="E61" i="12" l="1"/>
  <c r="H60" i="12"/>
  <c r="G60" i="12"/>
  <c r="B61" i="12"/>
  <c r="P60" i="12"/>
  <c r="F94" i="7"/>
  <c r="J93" i="7"/>
  <c r="B62" i="12" l="1"/>
  <c r="P61" i="12"/>
  <c r="G61" i="12"/>
  <c r="E62" i="12"/>
  <c r="H61" i="12"/>
  <c r="J94" i="7"/>
  <c r="F95" i="7"/>
  <c r="F96" i="7" s="1"/>
  <c r="E63" i="12" l="1"/>
  <c r="H62" i="12"/>
  <c r="G62" i="12"/>
  <c r="B63" i="12"/>
  <c r="P62" i="12"/>
  <c r="B64" i="12" l="1"/>
  <c r="P63" i="12"/>
  <c r="G63" i="12"/>
  <c r="H63" i="12"/>
  <c r="E64" i="12"/>
  <c r="E65" i="12" l="1"/>
  <c r="H64" i="12"/>
  <c r="B65" i="12"/>
  <c r="P64" i="12"/>
  <c r="G64" i="12"/>
  <c r="P65" i="12" l="1"/>
  <c r="G65" i="12"/>
  <c r="B66" i="12"/>
  <c r="H65" i="12"/>
  <c r="E66" i="12"/>
  <c r="E67" i="12" l="1"/>
  <c r="H66" i="12"/>
  <c r="B67" i="12"/>
  <c r="P66" i="12"/>
  <c r="G66" i="12"/>
  <c r="P67" i="12" l="1"/>
  <c r="G67" i="12"/>
  <c r="B68" i="12"/>
  <c r="H67" i="12"/>
  <c r="E68" i="12"/>
  <c r="B69" i="12" l="1"/>
  <c r="G68" i="12"/>
  <c r="E69" i="12"/>
  <c r="H68" i="12"/>
  <c r="E70" i="12" l="1"/>
  <c r="H69" i="12"/>
  <c r="B70" i="12"/>
  <c r="G69" i="12"/>
  <c r="G70" i="12" l="1"/>
  <c r="B71" i="12"/>
  <c r="I70" i="12"/>
  <c r="H70" i="12"/>
  <c r="E71" i="12"/>
  <c r="E72" i="12" l="1"/>
  <c r="H71" i="12"/>
  <c r="B72" i="12"/>
  <c r="I71" i="12"/>
  <c r="G71" i="12"/>
  <c r="B73" i="12" l="1"/>
  <c r="I72" i="12"/>
  <c r="G72" i="12"/>
  <c r="E73" i="12"/>
  <c r="H73" i="12" s="1"/>
  <c r="H72" i="12"/>
  <c r="I73" i="12" l="1"/>
  <c r="G73" i="12"/>
  <c r="C133" i="7" l="1"/>
  <c r="K133" i="7"/>
  <c r="L133" i="7" s="1"/>
  <c r="C138" i="7" l="1"/>
  <c r="N138" i="7" s="1"/>
  <c r="M138" i="7" s="1"/>
  <c r="C136" i="7"/>
  <c r="C137" i="7"/>
  <c r="C135" i="7"/>
  <c r="K139" i="7"/>
  <c r="L139" i="7" s="1"/>
  <c r="C139" i="7"/>
  <c r="C134" i="7"/>
  <c r="N134" i="7" s="1"/>
  <c r="M134" i="7" s="1"/>
  <c r="K140" i="7"/>
  <c r="L140" i="7" s="1"/>
  <c r="C140" i="7"/>
  <c r="N140" i="7" s="1"/>
  <c r="M140" i="7" s="1"/>
  <c r="N133" i="7"/>
  <c r="M133" i="7" s="1"/>
  <c r="D143" i="7"/>
  <c r="N135" i="7" l="1"/>
  <c r="M135" i="7" s="1"/>
  <c r="N137" i="7"/>
  <c r="M137" i="7" s="1"/>
  <c r="M143" i="7"/>
  <c r="E143" i="7"/>
  <c r="H143" i="7" s="1"/>
  <c r="F143" i="7" s="1"/>
  <c r="G143" i="7" s="1"/>
  <c r="I143" i="7"/>
  <c r="J143" i="7" s="1"/>
  <c r="L143" i="7"/>
  <c r="D164" i="7"/>
  <c r="N136" i="7"/>
  <c r="M136" i="7" s="1"/>
  <c r="N139" i="7"/>
  <c r="M139" i="7" s="1"/>
  <c r="D144" i="7"/>
  <c r="I161" i="7"/>
  <c r="I158" i="7"/>
  <c r="I160" i="7"/>
  <c r="I157" i="7"/>
  <c r="I159" i="7"/>
  <c r="I156" i="7"/>
  <c r="I155" i="7"/>
  <c r="D145" i="7" l="1"/>
  <c r="M144" i="7"/>
  <c r="E144" i="7"/>
  <c r="H144" i="7" s="1"/>
  <c r="F144" i="7" s="1"/>
  <c r="G144" i="7" s="1"/>
  <c r="I144" i="7"/>
  <c r="J144" i="7" s="1"/>
  <c r="L144" i="7"/>
  <c r="D165" i="7"/>
  <c r="U164" i="7"/>
  <c r="F164" i="7"/>
  <c r="E164" i="7" s="1"/>
  <c r="D146" i="7"/>
  <c r="I163" i="7" l="1"/>
  <c r="M146" i="7"/>
  <c r="I146" i="7"/>
  <c r="L146" i="7"/>
  <c r="E146" i="7"/>
  <c r="U165" i="7"/>
  <c r="F165" i="7"/>
  <c r="E165" i="7" s="1"/>
  <c r="H164" i="7"/>
  <c r="R164" i="7" s="1"/>
  <c r="S164" i="7"/>
  <c r="M145" i="7"/>
  <c r="E145" i="7"/>
  <c r="H145" i="7" s="1"/>
  <c r="F145" i="7" s="1"/>
  <c r="G145" i="7" s="1"/>
  <c r="I145" i="7"/>
  <c r="J145" i="7" s="1"/>
  <c r="L145" i="7"/>
  <c r="D166" i="7"/>
  <c r="D167" i="7" s="1"/>
  <c r="D147" i="7"/>
  <c r="I165" i="7"/>
  <c r="I162" i="7"/>
  <c r="U167" i="7" l="1"/>
  <c r="H146" i="7"/>
  <c r="F146" i="7" s="1"/>
  <c r="G146" i="7" s="1"/>
  <c r="U166" i="7"/>
  <c r="F166" i="7"/>
  <c r="E166" i="7"/>
  <c r="H165" i="7"/>
  <c r="R165" i="7" s="1"/>
  <c r="S165" i="7"/>
  <c r="J146" i="7"/>
  <c r="E147" i="7"/>
  <c r="H147" i="7" s="1"/>
  <c r="F147" i="7" s="1"/>
  <c r="G147" i="7" s="1"/>
  <c r="L147" i="7"/>
  <c r="M147" i="7"/>
  <c r="I147" i="7"/>
  <c r="D168" i="7"/>
  <c r="D148" i="7"/>
  <c r="I166" i="7"/>
  <c r="I167" i="7"/>
  <c r="I164" i="7"/>
  <c r="J147" i="7" l="1"/>
  <c r="H166" i="7"/>
  <c r="R166" i="7" s="1"/>
  <c r="S166" i="7"/>
  <c r="D149" i="7"/>
  <c r="D150" i="7" s="1"/>
  <c r="L148" i="7"/>
  <c r="E148" i="7"/>
  <c r="H148" i="7" s="1"/>
  <c r="F148" i="7" s="1"/>
  <c r="G148" i="7" s="1"/>
  <c r="M148" i="7"/>
  <c r="I148" i="7"/>
  <c r="D169" i="7"/>
  <c r="U168" i="7"/>
  <c r="F167" i="7"/>
  <c r="F168" i="7" s="1"/>
  <c r="E168" i="7" s="1"/>
  <c r="J148" i="7" l="1"/>
  <c r="H167" i="7"/>
  <c r="R167" i="7" s="1"/>
  <c r="S167" i="7"/>
  <c r="E167" i="7"/>
  <c r="S168" i="7"/>
  <c r="H168" i="7"/>
  <c r="R168" i="7" s="1"/>
  <c r="L150" i="7"/>
  <c r="I150" i="7"/>
  <c r="M150" i="7"/>
  <c r="E150" i="7"/>
  <c r="F169" i="7"/>
  <c r="U169" i="7"/>
  <c r="E169" i="7"/>
  <c r="M149" i="7"/>
  <c r="L149" i="7"/>
  <c r="I149" i="7"/>
  <c r="J149" i="7" s="1"/>
  <c r="E149" i="7"/>
  <c r="H149" i="7" s="1"/>
  <c r="F149" i="7" s="1"/>
  <c r="G149" i="7" s="1"/>
  <c r="D170" i="7"/>
  <c r="D171" i="7" s="1"/>
  <c r="I170" i="7"/>
  <c r="I169" i="7"/>
  <c r="I168" i="7"/>
  <c r="I171" i="7"/>
  <c r="H150" i="7" l="1"/>
  <c r="F150" i="7" s="1"/>
  <c r="G150" i="7" s="1"/>
  <c r="S169" i="7"/>
  <c r="H169" i="7"/>
  <c r="R169" i="7" s="1"/>
  <c r="J150" i="7"/>
  <c r="G170" i="7"/>
  <c r="G171" i="7" s="1"/>
  <c r="U171" i="7" s="1"/>
  <c r="F170" i="7"/>
  <c r="E170" i="7" s="1"/>
  <c r="U170" i="7" l="1"/>
  <c r="H170" i="7"/>
  <c r="R170" i="7" s="1"/>
  <c r="S170" i="7"/>
  <c r="F171" i="7"/>
  <c r="S171" i="7" l="1"/>
  <c r="H171" i="7"/>
  <c r="R171" i="7" s="1"/>
  <c r="E17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<sst xmlns="http://schemas.openxmlformats.org/spreadsheetml/2006/main" count="2187" uniqueCount="882">
  <si>
    <t>Company</t>
  </si>
  <si>
    <t>Status</t>
  </si>
  <si>
    <t>Street</t>
  </si>
  <si>
    <t>City</t>
  </si>
  <si>
    <t>State</t>
  </si>
  <si>
    <t>Zip Code</t>
  </si>
  <si>
    <t>Daily Capacity (tons)</t>
  </si>
  <si>
    <t>Yearly Capacity (tons)</t>
  </si>
  <si>
    <t>Yearly Capacity (bushels)</t>
  </si>
  <si>
    <t>Yearly Oil Production Capacity (tons)</t>
  </si>
  <si>
    <t>Yearly Oil Production Capcaity (million pounds)</t>
  </si>
  <si>
    <t>Expansion</t>
  </si>
  <si>
    <t>ADM</t>
  </si>
  <si>
    <t>Open</t>
  </si>
  <si>
    <t>400 E Holt St</t>
  </si>
  <si>
    <t xml:space="preserve"> Mexico</t>
  </si>
  <si>
    <t>MO</t>
  </si>
  <si>
    <t>1935 E Euclid Ave</t>
  </si>
  <si>
    <t xml:space="preserve"> Des Moines</t>
  </si>
  <si>
    <t>IA</t>
  </si>
  <si>
    <t>4666 East Faries Parkway</t>
  </si>
  <si>
    <t xml:space="preserve"> Decatur</t>
  </si>
  <si>
    <t>IL</t>
  </si>
  <si>
    <t>2191 W Co Rd 0 Ns</t>
  </si>
  <si>
    <t xml:space="preserve"> Frankfort</t>
  </si>
  <si>
    <t>IN</t>
  </si>
  <si>
    <t>2019 3rd Ave</t>
  </si>
  <si>
    <t xml:space="preserve"> Mankato</t>
  </si>
  <si>
    <t>MN</t>
  </si>
  <si>
    <t>130 N Broad St</t>
  </si>
  <si>
    <t xml:space="preserve"> Fremont</t>
  </si>
  <si>
    <t>NE</t>
  </si>
  <si>
    <t>7800 Thayer St</t>
  </si>
  <si>
    <t xml:space="preserve"> Lincoln</t>
  </si>
  <si>
    <t>608 Findlay Road</t>
  </si>
  <si>
    <t xml:space="preserve"> Fostoria</t>
  </si>
  <si>
    <t>OH</t>
  </si>
  <si>
    <t>17700 South T Highway</t>
  </si>
  <si>
    <t xml:space="preserve"> Deerfield</t>
  </si>
  <si>
    <t>1841 Clay Rd</t>
  </si>
  <si>
    <t xml:space="preserve"> Valdosta</t>
  </si>
  <si>
    <t>GA</t>
  </si>
  <si>
    <t>5539 136th Ave SE</t>
  </si>
  <si>
    <t xml:space="preserve"> Enderlin</t>
  </si>
  <si>
    <t>ND</t>
  </si>
  <si>
    <t>Ag Processing</t>
  </si>
  <si>
    <t>500 N Commercial Ave</t>
  </si>
  <si>
    <t xml:space="preserve"> Eagle Grove</t>
  </si>
  <si>
    <t>4739 380th St</t>
  </si>
  <si>
    <t xml:space="preserve"> Emmetsburg</t>
  </si>
  <si>
    <t>1000 300th St</t>
  </si>
  <si>
    <t xml:space="preserve"> Manning</t>
  </si>
  <si>
    <t>1605 19th St SW</t>
  </si>
  <si>
    <t xml:space="preserve"> Mason City</t>
  </si>
  <si>
    <t>2753 Port Neal Rd</t>
  </si>
  <si>
    <t xml:space="preserve"> Sergeant Bluff</t>
  </si>
  <si>
    <t>804 2nd Ave</t>
  </si>
  <si>
    <t xml:space="preserve"> Sheldon</t>
  </si>
  <si>
    <t>800 Diagonal St</t>
  </si>
  <si>
    <t xml:space="preserve"> Dawson</t>
  </si>
  <si>
    <t>900 SW Lower Lake Rd</t>
  </si>
  <si>
    <t xml:space="preserve"> St Joseph</t>
  </si>
  <si>
    <t>2801 E 7th St</t>
  </si>
  <si>
    <t xml:space="preserve"> Hastings</t>
  </si>
  <si>
    <t>4815 8th ave NE</t>
  </si>
  <si>
    <t>Aberdeen</t>
  </si>
  <si>
    <t>SD</t>
  </si>
  <si>
    <t>American Natural Processors</t>
  </si>
  <si>
    <t>1510 South 2nd Street</t>
  </si>
  <si>
    <t xml:space="preserve"> Cherokee</t>
  </si>
  <si>
    <t>-</t>
  </si>
  <si>
    <t>Boyd Station LLC</t>
  </si>
  <si>
    <t>125 Elysburg Rd</t>
  </si>
  <si>
    <t xml:space="preserve"> Danville</t>
  </si>
  <si>
    <t>PA</t>
  </si>
  <si>
    <t>Bunge</t>
  </si>
  <si>
    <t>1500 Church St SE</t>
  </si>
  <si>
    <t>AL</t>
  </si>
  <si>
    <t>19560 Bunge Ave</t>
  </si>
  <si>
    <t xml:space="preserve"> Council Bluffs</t>
  </si>
  <si>
    <t>203 34th St</t>
  </si>
  <si>
    <t xml:space="preserve"> Cairo</t>
  </si>
  <si>
    <t>1200 N 2nd St</t>
  </si>
  <si>
    <t>700 N Range Line Rd</t>
  </si>
  <si>
    <t xml:space="preserve"> Morristown</t>
  </si>
  <si>
    <t>701 E 6th Ave</t>
  </si>
  <si>
    <t xml:space="preserve"> Emporia</t>
  </si>
  <si>
    <t>KS</t>
  </si>
  <si>
    <t>12442 River Rd</t>
  </si>
  <si>
    <t xml:space="preserve"> Destrehan</t>
  </si>
  <si>
    <t>LA</t>
  </si>
  <si>
    <t>605 Goodrich Rd</t>
  </si>
  <si>
    <t xml:space="preserve"> Bellevue</t>
  </si>
  <si>
    <t>234 S Jefferson St</t>
  </si>
  <si>
    <t xml:space="preserve"> Delphos</t>
  </si>
  <si>
    <t>Cargill</t>
  </si>
  <si>
    <t>1503 Wabash Ave</t>
  </si>
  <si>
    <t xml:space="preserve"> Lafayette</t>
  </si>
  <si>
    <t>X</t>
  </si>
  <si>
    <t>2930 Lake Guntersville Park Dr</t>
  </si>
  <si>
    <t xml:space="preserve"> Guntersville</t>
  </si>
  <si>
    <t>410 C Ave NE</t>
  </si>
  <si>
    <t xml:space="preserve"> Cedar Rapids</t>
  </si>
  <si>
    <t>1110 12th Ave</t>
  </si>
  <si>
    <t>692 Industrial Park Rd</t>
  </si>
  <si>
    <t xml:space="preserve"> Iowa Falls</t>
  </si>
  <si>
    <t>1501 11th St</t>
  </si>
  <si>
    <t xml:space="preserve"> Sioux City</t>
  </si>
  <si>
    <t>115 Euclid Ave</t>
  </si>
  <si>
    <t xml:space="preserve"> Bloomington</t>
  </si>
  <si>
    <t>1401 N Mosley St</t>
  </si>
  <si>
    <t xml:space="preserve"> Wichita</t>
  </si>
  <si>
    <t>2306 Rochester Ave</t>
  </si>
  <si>
    <t xml:space="preserve"> Kansas City</t>
  </si>
  <si>
    <t>1754 River Rd</t>
  </si>
  <si>
    <t xml:space="preserve"> Fayetteville</t>
  </si>
  <si>
    <t>NC</t>
  </si>
  <si>
    <t>2400 Industrial Dr</t>
  </si>
  <si>
    <t xml:space="preserve"> Sidney</t>
  </si>
  <si>
    <t>3030 E Granger Ave</t>
  </si>
  <si>
    <t>862 W Ridge Rd</t>
  </si>
  <si>
    <t xml:space="preserve"> Gainesville</t>
  </si>
  <si>
    <t>CHS</t>
  </si>
  <si>
    <t>1833 130th St</t>
  </si>
  <si>
    <t xml:space="preserve"> Fairmont</t>
  </si>
  <si>
    <t>72,000,000 Bushels Annually / 780,000,000 lbs soybean oil Annually</t>
  </si>
  <si>
    <t>2020 S Riverfront Dr</t>
  </si>
  <si>
    <t>Consolidated Grain &amp; Barge</t>
  </si>
  <si>
    <t>2701 Bluff Rd</t>
  </si>
  <si>
    <t xml:space="preserve"> Mt Vernon</t>
  </si>
  <si>
    <t>Grain States Soya / Soya Best</t>
  </si>
  <si>
    <t>400 Johnson Rd</t>
  </si>
  <si>
    <t xml:space="preserve"> West Point</t>
  </si>
  <si>
    <t>Express Grain</t>
  </si>
  <si>
    <t>2015 River Rd Exd</t>
  </si>
  <si>
    <t xml:space="preserve"> Greenwood</t>
  </si>
  <si>
    <t>MS</t>
  </si>
  <si>
    <t>INCOBRASA</t>
  </si>
  <si>
    <t>540 US-24</t>
  </si>
  <si>
    <t xml:space="preserve"> Gilman</t>
  </si>
  <si>
    <t>Landus</t>
  </si>
  <si>
    <t>406 1st St</t>
  </si>
  <si>
    <t xml:space="preserve"> Ralston</t>
  </si>
  <si>
    <t>Louis Dreyfus</t>
  </si>
  <si>
    <t>7344 IN-15</t>
  </si>
  <si>
    <t xml:space="preserve"> Claypool</t>
  </si>
  <si>
    <t>Minn. Soybean Processors</t>
  </si>
  <si>
    <t>121 Zeh Ave</t>
  </si>
  <si>
    <t xml:space="preserve"> Brewster</t>
  </si>
  <si>
    <t>Owensboro Grain</t>
  </si>
  <si>
    <t>822 E 2nd St</t>
  </si>
  <si>
    <t xml:space="preserve"> Owensboro</t>
  </si>
  <si>
    <t>KY</t>
  </si>
  <si>
    <t>Perdue Farms</t>
  </si>
  <si>
    <t>242 Perdue Rd</t>
  </si>
  <si>
    <t xml:space="preserve"> Cofield</t>
  </si>
  <si>
    <t>6906 Zion Church Rd</t>
  </si>
  <si>
    <t xml:space="preserve"> Salisbury</t>
  </si>
  <si>
    <t>MD</t>
  </si>
  <si>
    <t>505 Barnes Rd</t>
  </si>
  <si>
    <t xml:space="preserve"> Chesapeake</t>
  </si>
  <si>
    <t>VA</t>
  </si>
  <si>
    <t>1609 River Road</t>
  </si>
  <si>
    <t>Marietta</t>
  </si>
  <si>
    <t>Quality Roasting, Inc.</t>
  </si>
  <si>
    <t>2514 Marken Rd #9530</t>
  </si>
  <si>
    <t xml:space="preserve"> Valders</t>
  </si>
  <si>
    <t>WI</t>
  </si>
  <si>
    <t>W5055 Willow Rd</t>
  </si>
  <si>
    <t xml:space="preserve"> Owen</t>
  </si>
  <si>
    <t>235 S Bradleyville Rd</t>
  </si>
  <si>
    <t xml:space="preserve"> Reese</t>
  </si>
  <si>
    <t>MI</t>
  </si>
  <si>
    <t>Riceland Foods</t>
  </si>
  <si>
    <t>1304 AR-146 Spur</t>
  </si>
  <si>
    <t xml:space="preserve"> Stuttgart</t>
  </si>
  <si>
    <t>AR</t>
  </si>
  <si>
    <t>Rose Acres Farms</t>
  </si>
  <si>
    <t>6874 N Base Rd</t>
  </si>
  <si>
    <t xml:space="preserve"> Seymour</t>
  </si>
  <si>
    <t>S. Dakota Soybean Processors</t>
  </si>
  <si>
    <t>100 Caspian Ave</t>
  </si>
  <si>
    <t xml:space="preserve"> Volga</t>
  </si>
  <si>
    <t>Shell Rock Soy Processing LLC</t>
  </si>
  <si>
    <t>Under Contruction</t>
  </si>
  <si>
    <t>30340 220th Street</t>
  </si>
  <si>
    <t>Shell Rock</t>
  </si>
  <si>
    <t>New</t>
  </si>
  <si>
    <t>Sheppard Grain Company</t>
  </si>
  <si>
    <t>1615 Maryland Rd</t>
  </si>
  <si>
    <t xml:space="preserve"> Phelps</t>
  </si>
  <si>
    <t>NY</t>
  </si>
  <si>
    <t>Zeeland Farm Soya</t>
  </si>
  <si>
    <t>1266 E Washington Rd</t>
  </si>
  <si>
    <t xml:space="preserve"> Ithaca</t>
  </si>
  <si>
    <t>1310 E Howard St</t>
  </si>
  <si>
    <t xml:space="preserve"> Creston</t>
  </si>
  <si>
    <t>2525 84th Ave</t>
  </si>
  <si>
    <t xml:space="preserve"> Zeeland</t>
  </si>
  <si>
    <t>Expansion Capacity</t>
  </si>
  <si>
    <t>Crushing Capacity</t>
  </si>
  <si>
    <t>Oil Production</t>
  </si>
  <si>
    <t>Oil Refining</t>
  </si>
  <si>
    <t xml:space="preserve">Expansion </t>
  </si>
  <si>
    <t>Soybean</t>
  </si>
  <si>
    <t>Soybean Oil Refining</t>
  </si>
  <si>
    <t>AG DISTRICT</t>
  </si>
  <si>
    <t>COUNTY</t>
  </si>
  <si>
    <t>Producer</t>
  </si>
  <si>
    <t>Bushels/Year</t>
  </si>
  <si>
    <t>Bushels/Day</t>
  </si>
  <si>
    <t>MT/Day</t>
  </si>
  <si>
    <t>Pounds/Day</t>
  </si>
  <si>
    <t xml:space="preserve">  Pounds/Year </t>
  </si>
  <si>
    <t>MT/Year</t>
  </si>
  <si>
    <t>Has Refinery?</t>
  </si>
  <si>
    <t>Pounds/Year</t>
  </si>
  <si>
    <t>Oils Processed</t>
  </si>
  <si>
    <t xml:space="preserve">Has Biodiesel?  </t>
  </si>
  <si>
    <t>Swing Plant?</t>
  </si>
  <si>
    <t>Open/Closed</t>
  </si>
  <si>
    <t>Completed Expansion</t>
  </si>
  <si>
    <t>Notes</t>
  </si>
  <si>
    <t>Valdosta</t>
  </si>
  <si>
    <t>Soybean, Cottonseed, and Peanut</t>
  </si>
  <si>
    <t>GA 80</t>
  </si>
  <si>
    <t>Lowndes</t>
  </si>
  <si>
    <t>Des Moines</t>
  </si>
  <si>
    <t>IA 50</t>
  </si>
  <si>
    <t>Polk</t>
  </si>
  <si>
    <t>Decatur</t>
  </si>
  <si>
    <t>IL 40</t>
  </si>
  <si>
    <t>Macon</t>
  </si>
  <si>
    <t>Quincy</t>
  </si>
  <si>
    <t>Soybean and Cottonseed</t>
  </si>
  <si>
    <t>Estimated 10% expansion - Expected completion Q1 2022 - $25MM to expand refining and storage capacity - 8.225 mmbu expansion</t>
  </si>
  <si>
    <t>IL 30</t>
  </si>
  <si>
    <t>Adams</t>
  </si>
  <si>
    <t>Frankfort</t>
  </si>
  <si>
    <t>IN 50</t>
  </si>
  <si>
    <t>Clinton</t>
  </si>
  <si>
    <t>Mankato</t>
  </si>
  <si>
    <t>MN 80</t>
  </si>
  <si>
    <t>Blue Earth</t>
  </si>
  <si>
    <t>Deerfield</t>
  </si>
  <si>
    <t>MO 40</t>
  </si>
  <si>
    <t>Vernon</t>
  </si>
  <si>
    <t>Mexico</t>
  </si>
  <si>
    <t>MO 30</t>
  </si>
  <si>
    <t>Audrain</t>
  </si>
  <si>
    <t>Enderlin</t>
  </si>
  <si>
    <t>Soybean and Canola</t>
  </si>
  <si>
    <t>ND 90</t>
  </si>
  <si>
    <t>Ransom</t>
  </si>
  <si>
    <t>Spiritwood</t>
  </si>
  <si>
    <t>Opening Oct 2023 - Green Bison - Jointly owned by ADM and Marathon Petroleum Corporation (MPC) - opened October 2023</t>
  </si>
  <si>
    <t>ND 50</t>
  </si>
  <si>
    <t>Stutsman</t>
  </si>
  <si>
    <t>Fremont</t>
  </si>
  <si>
    <t>NE 60</t>
  </si>
  <si>
    <t>Dodge</t>
  </si>
  <si>
    <t>Lincoln</t>
  </si>
  <si>
    <t>Lancaster</t>
  </si>
  <si>
    <t>Fostoria</t>
  </si>
  <si>
    <t>OH 10</t>
  </si>
  <si>
    <t>Hancock</t>
  </si>
  <si>
    <t>Kershaw</t>
  </si>
  <si>
    <t>SC</t>
  </si>
  <si>
    <t>SC 20</t>
  </si>
  <si>
    <t>AGP</t>
  </si>
  <si>
    <t>Eagle Grove</t>
  </si>
  <si>
    <t>IA 20</t>
  </si>
  <si>
    <t>Wright</t>
  </si>
  <si>
    <t>Emmetsburg</t>
  </si>
  <si>
    <t>IA 10</t>
  </si>
  <si>
    <t>Palo Alto</t>
  </si>
  <si>
    <t>Manning</t>
  </si>
  <si>
    <t>IA 40</t>
  </si>
  <si>
    <t>Carroll</t>
  </si>
  <si>
    <t>Mason City</t>
  </si>
  <si>
    <t>Cerro Gordo</t>
  </si>
  <si>
    <t>Sgt. Bluff</t>
  </si>
  <si>
    <t xml:space="preserve">Soybean </t>
  </si>
  <si>
    <t>$71.5MM expansion including $59.3MM in new equipment - 8 mmbu/yr expansion - Expected completion Fall 2023. HOBO file daily capacity - 115k bu</t>
  </si>
  <si>
    <t>Woodbury</t>
  </si>
  <si>
    <t>Sheldon</t>
  </si>
  <si>
    <t>O'Brien</t>
  </si>
  <si>
    <t>Dawson</t>
  </si>
  <si>
    <t>MN 40</t>
  </si>
  <si>
    <t>Lac Qui Parle</t>
  </si>
  <si>
    <t>St. Joseph</t>
  </si>
  <si>
    <t>HOBO file 120k daily cap.</t>
  </si>
  <si>
    <t>MO 10</t>
  </si>
  <si>
    <t>Buchanan</t>
  </si>
  <si>
    <t>David City</t>
  </si>
  <si>
    <t>Late 2025 start date</t>
  </si>
  <si>
    <t>Butler</t>
  </si>
  <si>
    <t>Hastings</t>
  </si>
  <si>
    <t>NE 80</t>
  </si>
  <si>
    <t>We had 45.5 million bushels per year - 60 MM from HB</t>
  </si>
  <si>
    <t>SD 20</t>
  </si>
  <si>
    <t>Brown</t>
  </si>
  <si>
    <t>Cherokee</t>
  </si>
  <si>
    <t>Benson Hill - White River</t>
  </si>
  <si>
    <t>Creston</t>
  </si>
  <si>
    <t>Union</t>
  </si>
  <si>
    <t>Danville</t>
  </si>
  <si>
    <t>MD 50</t>
  </si>
  <si>
    <t>Northumberland</t>
  </si>
  <si>
    <t>AL 10</t>
  </si>
  <si>
    <t>Morgan</t>
  </si>
  <si>
    <t>Council Bluffs</t>
  </si>
  <si>
    <t>HOBO file 230k daily cap.</t>
  </si>
  <si>
    <t>Pottawattamie</t>
  </si>
  <si>
    <t>Cairo</t>
  </si>
  <si>
    <t>Co-investment from Chevron to double capacity - expected completion 2024. HOBO file 130k daily cap</t>
  </si>
  <si>
    <t>IL 80</t>
  </si>
  <si>
    <t>Alexander</t>
  </si>
  <si>
    <t>IN 30</t>
  </si>
  <si>
    <t>Morristown</t>
  </si>
  <si>
    <t>Shelby</t>
  </si>
  <si>
    <t>Emporia</t>
  </si>
  <si>
    <t>HOBO file 100k daily cap.</t>
  </si>
  <si>
    <t>KS 80</t>
  </si>
  <si>
    <t>Lyon</t>
  </si>
  <si>
    <t>Desterhan</t>
  </si>
  <si>
    <t>Co-investment from Chevron to double capacity - expected completion 2024</t>
  </si>
  <si>
    <t>LA 90</t>
  </si>
  <si>
    <t>St. Charles</t>
  </si>
  <si>
    <t>Bellevue</t>
  </si>
  <si>
    <t>OH 20</t>
  </si>
  <si>
    <t>Huron</t>
  </si>
  <si>
    <t>Delphos</t>
  </si>
  <si>
    <t>Van Wert</t>
  </si>
  <si>
    <t>Hamilton</t>
  </si>
  <si>
    <t>ON</t>
  </si>
  <si>
    <t>HOBO FILE</t>
  </si>
  <si>
    <t>Guntersville</t>
  </si>
  <si>
    <t>AL 20</t>
  </si>
  <si>
    <t>Marshall</t>
  </si>
  <si>
    <t>Gainesville</t>
  </si>
  <si>
    <t>GA 20</t>
  </si>
  <si>
    <t>Hall</t>
  </si>
  <si>
    <t>Cedar Rapids</t>
  </si>
  <si>
    <t>Raised capacity by 10% - Expected completion - fall of 2021</t>
  </si>
  <si>
    <t>IA 60</t>
  </si>
  <si>
    <t>Linn</t>
  </si>
  <si>
    <t>Iowa Falls</t>
  </si>
  <si>
    <t>Hardin</t>
  </si>
  <si>
    <t>Sioux City</t>
  </si>
  <si>
    <t>Dakota</t>
  </si>
  <si>
    <t>Bloomington</t>
  </si>
  <si>
    <t>HOBO file 95k daily cap.</t>
  </si>
  <si>
    <t>McLean</t>
  </si>
  <si>
    <t>Lafayette</t>
  </si>
  <si>
    <t>IN 40</t>
  </si>
  <si>
    <t>Tippecanoe</t>
  </si>
  <si>
    <t>Wichita</t>
  </si>
  <si>
    <t>Double unload capacity, raised crushing capacity from 165,000 to 200,000 - expected completion fall of 2022</t>
  </si>
  <si>
    <t>KS 60</t>
  </si>
  <si>
    <t>Sedgwick</t>
  </si>
  <si>
    <t>Hayti</t>
  </si>
  <si>
    <t>MO 90</t>
  </si>
  <si>
    <t>Pemiscot</t>
  </si>
  <si>
    <t>Kansas City</t>
  </si>
  <si>
    <t>Triple truck load out capacity - added 20% to crushing capacity - expected completion fall of 2021</t>
  </si>
  <si>
    <t>Jackson</t>
  </si>
  <si>
    <t>Fayetteville</t>
  </si>
  <si>
    <t>Estimated 10% expansion - Expected completion 2022 - $5MM in real estate improvements and $20MM in new equipment</t>
  </si>
  <si>
    <t>NC 90</t>
  </si>
  <si>
    <t>Cumberland</t>
  </si>
  <si>
    <t>Sidney</t>
  </si>
  <si>
    <t>Doubled Capacity - Expected completion - fall 2022</t>
  </si>
  <si>
    <t>OH 40</t>
  </si>
  <si>
    <t>CGB</t>
  </si>
  <si>
    <t>Mount Vernon</t>
  </si>
  <si>
    <t>IN 70</t>
  </si>
  <si>
    <t>Posey</t>
  </si>
  <si>
    <t>CGB/MN Soy</t>
  </si>
  <si>
    <t>Casselton</t>
  </si>
  <si>
    <t>ND 60</t>
  </si>
  <si>
    <t>Cass</t>
  </si>
  <si>
    <t>Expanding veg oil processing by 35% expected completion late summer 2023</t>
  </si>
  <si>
    <t xml:space="preserve">CHS </t>
  </si>
  <si>
    <t>Fairmont</t>
  </si>
  <si>
    <t>Increased capacity by 30% started in Oct 2019 expected completion Oct 2021</t>
  </si>
  <si>
    <t>Martin</t>
  </si>
  <si>
    <t>Continental Refining Co (CRC)</t>
  </si>
  <si>
    <t>Somerset</t>
  </si>
  <si>
    <t>Opening late Q1 2023 developed to feed 5 mmgy biodiesel plant - needs 38 million pounds of soybean oil for biodiesel plant leaving 8 mm pounds for the market</t>
  </si>
  <si>
    <t>KY 60</t>
  </si>
  <si>
    <t>Pulaski</t>
  </si>
  <si>
    <t>Epitme Energy</t>
  </si>
  <si>
    <t>Crookston</t>
  </si>
  <si>
    <t>Greenwood</t>
  </si>
  <si>
    <t>Closed? 10,062,500 mbuy</t>
  </si>
  <si>
    <t>MS 40</t>
  </si>
  <si>
    <t>LeFlore</t>
  </si>
  <si>
    <t>Incobrasa</t>
  </si>
  <si>
    <t>Gilman</t>
  </si>
  <si>
    <t>IL 50</t>
  </si>
  <si>
    <t>Iroquois</t>
  </si>
  <si>
    <t>JM Smucker</t>
  </si>
  <si>
    <t>Ivorydale</t>
  </si>
  <si>
    <t>Soybean, Canola, Corn, Cotton and Peanut</t>
  </si>
  <si>
    <t>OH 70</t>
  </si>
  <si>
    <t>Ralston</t>
  </si>
  <si>
    <t>LDC</t>
  </si>
  <si>
    <t>Claypool</t>
  </si>
  <si>
    <t>IN 20</t>
  </si>
  <si>
    <t>Kosciusko</t>
  </si>
  <si>
    <t>Upper Sandusky</t>
  </si>
  <si>
    <t>Wyandot</t>
  </si>
  <si>
    <t>MN Soy</t>
  </si>
  <si>
    <t>Brewster</t>
  </si>
  <si>
    <t>MN 70</t>
  </si>
  <si>
    <t>Nobles</t>
  </si>
  <si>
    <t>Planned to build a 43,750,000 mbuy plant but could not get financing, ADM now building a plant there</t>
  </si>
  <si>
    <t>N Bowdish Company</t>
  </si>
  <si>
    <t>Norfolk</t>
  </si>
  <si>
    <t>Ground breaking March 2022 - completion 2024? - early 2026 - HB</t>
  </si>
  <si>
    <t>NE 30</t>
  </si>
  <si>
    <t>Madison</t>
  </si>
  <si>
    <t>Owensboro</t>
  </si>
  <si>
    <t>Bought out by Cargill in November 2022</t>
  </si>
  <si>
    <t>KY 20</t>
  </si>
  <si>
    <t>Daviess</t>
  </si>
  <si>
    <t>Perdue</t>
  </si>
  <si>
    <t>Salisbury</t>
  </si>
  <si>
    <t>MD 90</t>
  </si>
  <si>
    <t>Widomico</t>
  </si>
  <si>
    <t>Cofield</t>
  </si>
  <si>
    <t>NC 70</t>
  </si>
  <si>
    <t>Hertford</t>
  </si>
  <si>
    <t>Chesapeake</t>
  </si>
  <si>
    <t>Double Capacity - Expected completion - March 2024</t>
  </si>
  <si>
    <t>VA 90</t>
  </si>
  <si>
    <t>Platinum Crush</t>
  </si>
  <si>
    <t>Alta</t>
  </si>
  <si>
    <t>Buena Vista</t>
  </si>
  <si>
    <t>Quality Roasting</t>
  </si>
  <si>
    <t>Reese</t>
  </si>
  <si>
    <t>MI 60</t>
  </si>
  <si>
    <t>Tuscola</t>
  </si>
  <si>
    <t>Owen</t>
  </si>
  <si>
    <t>WI 20</t>
  </si>
  <si>
    <t>Clark</t>
  </si>
  <si>
    <t>Valders</t>
  </si>
  <si>
    <t>WI 60</t>
  </si>
  <si>
    <t>Manitowoc</t>
  </si>
  <si>
    <t>Riceland</t>
  </si>
  <si>
    <t>Stuttgart</t>
  </si>
  <si>
    <t>AR 60</t>
  </si>
  <si>
    <t>Arkansas</t>
  </si>
  <si>
    <t>Richardson</t>
  </si>
  <si>
    <t>Memphis</t>
  </si>
  <si>
    <t>TN</t>
  </si>
  <si>
    <t>TN 10</t>
  </si>
  <si>
    <t>Rose Acre Farms - White River</t>
  </si>
  <si>
    <t>Seymour</t>
  </si>
  <si>
    <t>No facility? 8.4 mbuy</t>
  </si>
  <si>
    <t>IN 80</t>
  </si>
  <si>
    <t>Savage/Bartlett</t>
  </si>
  <si>
    <t>Coffeyville</t>
  </si>
  <si>
    <t>Construction starte in early 2022 expected completion 2024</t>
  </si>
  <si>
    <t>KS 90</t>
  </si>
  <si>
    <t>Montgomery</t>
  </si>
  <si>
    <t>SD Soybean Processing</t>
  </si>
  <si>
    <t>Mitchell</t>
  </si>
  <si>
    <t>Soybean, Sunflower</t>
  </si>
  <si>
    <t>SD 60</t>
  </si>
  <si>
    <t>Davison</t>
  </si>
  <si>
    <t>Volga</t>
  </si>
  <si>
    <t>Brookings</t>
  </si>
  <si>
    <t>Shell Rock Soy Processing</t>
  </si>
  <si>
    <t>Opening March 2023- Opened August 31, 2023</t>
  </si>
  <si>
    <t>Ventura</t>
  </si>
  <si>
    <t>Opelousas</t>
  </si>
  <si>
    <t>Partnership with CHS - Not sure this is a crushing plant but rather a food manufacturing facility 19,250,000 mbuy w reffining</t>
  </si>
  <si>
    <t>LA 50</t>
  </si>
  <si>
    <t>St. Landry</t>
  </si>
  <si>
    <t>Zeeland Farm Services</t>
  </si>
  <si>
    <t>Ithaca</t>
  </si>
  <si>
    <t>MI 50</t>
  </si>
  <si>
    <t>Gratiot</t>
  </si>
  <si>
    <t>Zeeland</t>
  </si>
  <si>
    <t>Soybean, Corn, and Cotton</t>
  </si>
  <si>
    <t>MI 70</t>
  </si>
  <si>
    <t>Ottawa</t>
  </si>
  <si>
    <t>Regina</t>
  </si>
  <si>
    <t>SK</t>
  </si>
  <si>
    <t>Canola </t>
  </si>
  <si>
    <t>U.S. Total Nameplate Capacities</t>
  </si>
  <si>
    <t>U.S. Total</t>
  </si>
  <si>
    <t>U.S. Capacity 2022</t>
  </si>
  <si>
    <t>Closed</t>
  </si>
  <si>
    <t>U.S. Capacity 2023</t>
  </si>
  <si>
    <t>U.S. Capacity 2024</t>
  </si>
  <si>
    <t>U.S. Capacity 2025</t>
  </si>
  <si>
    <t>U.S. Capacity 2026</t>
  </si>
  <si>
    <t>U.S. Capacity 2027</t>
  </si>
  <si>
    <t>U.S. Capacity 2028</t>
  </si>
  <si>
    <t>U.S. Capacity 2029</t>
  </si>
  <si>
    <t>U.S. Capacity 2030</t>
  </si>
  <si>
    <t>U.S. Capacity 2031</t>
  </si>
  <si>
    <t>U.S. Capacity 2032</t>
  </si>
  <si>
    <t>U.S. Capacity 2033</t>
  </si>
  <si>
    <t>CANADIAN CRUSHERS</t>
  </si>
  <si>
    <t>Windsor</t>
  </si>
  <si>
    <t>Canola</t>
  </si>
  <si>
    <t>FCL/AGT</t>
  </si>
  <si>
    <t>Viterra</t>
  </si>
  <si>
    <t>Becancour</t>
  </si>
  <si>
    <t>QC</t>
  </si>
  <si>
    <t>ADD CHS PLANT IN EVANSVILLE, WISCONSIN TO THE LIST - 70 MM BU/YR - EARLY IN THE PROCESS PULLING AIR PERMITS AS OF AUGUST 3, 2023</t>
  </si>
  <si>
    <t>Current Refining</t>
  </si>
  <si>
    <t>Marathon</t>
  </si>
  <si>
    <t>Dickinson</t>
  </si>
  <si>
    <t>CVR</t>
  </si>
  <si>
    <t xml:space="preserve">  Wynnewood</t>
  </si>
  <si>
    <t xml:space="preserve">  Coffeeville</t>
  </si>
  <si>
    <t>Holly Frotier</t>
  </si>
  <si>
    <t xml:space="preserve">  Cheyanne</t>
  </si>
  <si>
    <t>PBF</t>
  </si>
  <si>
    <t>BASED ON WLDCRUSH FILE</t>
  </si>
  <si>
    <t>Marketing Year</t>
  </si>
  <si>
    <t>Balance Sheet Crush (Sep/Aug, mmbu)</t>
  </si>
  <si>
    <t>U.S. Capacity</t>
  </si>
  <si>
    <t>U.S. Daily Average</t>
  </si>
  <si>
    <t>NOPA Capacity</t>
  </si>
  <si>
    <t>NOPA Daily Average</t>
  </si>
  <si>
    <t>Independent Capacity Percent</t>
  </si>
  <si>
    <t>Additional Crushing Capacity</t>
  </si>
  <si>
    <t>Additional Refining Capacity</t>
  </si>
  <si>
    <t>US Crush (Oct/Sep, bu)</t>
  </si>
  <si>
    <t>Capacity Utilization</t>
  </si>
  <si>
    <t>Unused Capacity</t>
  </si>
  <si>
    <t>Sep/Aug crush in bushels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</si>
  <si>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</si>
  <si>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</si>
  <si>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</si>
  <si>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</si>
  <si>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</si>
  <si>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</si>
  <si>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</si>
  <si>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</si>
  <si>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</si>
  <si>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</si>
  <si>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</si>
  <si>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</si>
  <si>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</si>
  <si>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</si>
  <si>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</si>
  <si>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</si>
  <si>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</si>
  <si>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</si>
  <si>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</si>
  <si>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Capacity</t>
  </si>
  <si>
    <t>Production</t>
  </si>
  <si>
    <t>Demand</t>
  </si>
  <si>
    <t>million pounds</t>
  </si>
  <si>
    <t>Total</t>
  </si>
  <si>
    <t>Crude</t>
  </si>
  <si>
    <t>Refined</t>
  </si>
  <si>
    <t>Pre-Treatment</t>
  </si>
  <si>
    <t>Refined Plus Pre-Treatment</t>
  </si>
  <si>
    <t>Soybean Oil</t>
  </si>
  <si>
    <t>Processed</t>
  </si>
  <si>
    <t>Total Refined Demand</t>
  </si>
  <si>
    <t>Inedible Crude Use</t>
  </si>
  <si>
    <t>Inedible Refined Use</t>
  </si>
  <si>
    <t>Edible Refined Use</t>
  </si>
  <si>
    <t>Portion of SBO Production Refined Past Degummed</t>
  </si>
  <si>
    <t>Refined Use</t>
  </si>
  <si>
    <t>Refined vs. Refined plus PT</t>
  </si>
  <si>
    <t>Total Demand vs. Total Refining plus PT</t>
  </si>
  <si>
    <t>Refined Demand</t>
  </si>
  <si>
    <t>Refining Capacity</t>
  </si>
  <si>
    <t>Soybean and Other</t>
  </si>
  <si>
    <t>Soybean Only</t>
  </si>
  <si>
    <t>Existing</t>
  </si>
  <si>
    <t>BASED ON VEGOILSPLITBAL FILE</t>
  </si>
  <si>
    <t>Crude Demand</t>
  </si>
  <si>
    <t>RBD Demand</t>
  </si>
  <si>
    <t>Other</t>
  </si>
  <si>
    <t>1. Nestle SA</t>
  </si>
  <si>
    <t>Nestle SA</t>
  </si>
  <si>
    <t>Anderson</t>
  </si>
  <si>
    <t>2. PepsiCo Inc.</t>
  </si>
  <si>
    <t>Bakersfield</t>
  </si>
  <si>
    <t>CA</t>
  </si>
  <si>
    <t>3. Coca-Cola Co.</t>
  </si>
  <si>
    <t>4. Anheuser-Busch InBev SA/NV</t>
  </si>
  <si>
    <t>Breinigsville</t>
  </si>
  <si>
    <t>PN</t>
  </si>
  <si>
    <t>5. McDonald's Corp.</t>
  </si>
  <si>
    <t>Burlington</t>
  </si>
  <si>
    <t>6. Unilever NV</t>
  </si>
  <si>
    <t>7. Procter &amp; Gamble Co.</t>
  </si>
  <si>
    <t>Freehold</t>
  </si>
  <si>
    <t>NJ</t>
  </si>
  <si>
    <t>8. Kraft Heinz Co.</t>
  </si>
  <si>
    <t>Fort Smith</t>
  </si>
  <si>
    <t>9. Kellogg Co.</t>
  </si>
  <si>
    <t>Jonesboro</t>
  </si>
  <si>
    <t>10. Mondelez International Inc.</t>
  </si>
  <si>
    <t>11. The J.M. Smucker Company</t>
  </si>
  <si>
    <t>Little Chute</t>
  </si>
  <si>
    <t>12. Hormel Foods Corporation</t>
  </si>
  <si>
    <t>Mount Sterling</t>
  </si>
  <si>
    <t>13. General Mills Inc.</t>
  </si>
  <si>
    <t>Springville</t>
  </si>
  <si>
    <t>UT</t>
  </si>
  <si>
    <t>14. Campbell Soup Company</t>
  </si>
  <si>
    <t>PepsiCo, Inc.</t>
  </si>
  <si>
    <t>15. The Hershey Company</t>
  </si>
  <si>
    <t>Albuquerque</t>
  </si>
  <si>
    <t>NM</t>
  </si>
  <si>
    <t>16. Conagra Brands Inc.</t>
  </si>
  <si>
    <t>Allentown</t>
  </si>
  <si>
    <t>Atlanta</t>
  </si>
  <si>
    <t>Bridgeview</t>
  </si>
  <si>
    <t>Brooklyn Park</t>
  </si>
  <si>
    <t>PepsiCo Inc</t>
  </si>
  <si>
    <t>Casa Grande</t>
  </si>
  <si>
    <t>AZ</t>
  </si>
  <si>
    <t>N</t>
  </si>
  <si>
    <t>Coca-Cola Co</t>
  </si>
  <si>
    <t>City of Industry</t>
  </si>
  <si>
    <t>Anheuser-Busch InBev SA/NV</t>
  </si>
  <si>
    <t>Collierville</t>
  </si>
  <si>
    <t>McDonald's Corp</t>
  </si>
  <si>
    <t>Denver</t>
  </si>
  <si>
    <t>CO</t>
  </si>
  <si>
    <t>Unilever NV</t>
  </si>
  <si>
    <t>Frito-Lay</t>
  </si>
  <si>
    <t>Binghamton</t>
  </si>
  <si>
    <t>Procter &amp; Gamble Co</t>
  </si>
  <si>
    <t>Modesto</t>
  </si>
  <si>
    <t>Kraft Heinz Co</t>
  </si>
  <si>
    <t>Perry</t>
  </si>
  <si>
    <t>Kellogg Co</t>
  </si>
  <si>
    <t>Rancho Cucamonga</t>
  </si>
  <si>
    <t>Mondelez International Inc</t>
  </si>
  <si>
    <t>Topeka</t>
  </si>
  <si>
    <t>The J.M. Smucker Company</t>
  </si>
  <si>
    <t>Gatorade</t>
  </si>
  <si>
    <t>Indianapolis</t>
  </si>
  <si>
    <t>Hormel Foods Corporation</t>
  </si>
  <si>
    <t>Wytheville</t>
  </si>
  <si>
    <t>General Mills Inc</t>
  </si>
  <si>
    <t>Campbell Soup Company</t>
  </si>
  <si>
    <t>Knoxville</t>
  </si>
  <si>
    <t>The Hershey Company</t>
  </si>
  <si>
    <t>Las Vegas</t>
  </si>
  <si>
    <t>NV</t>
  </si>
  <si>
    <t>Conagra Brands Inc</t>
  </si>
  <si>
    <t>Latham</t>
  </si>
  <si>
    <t>X - included in list</t>
  </si>
  <si>
    <t>Mattydale</t>
  </si>
  <si>
    <t>N - not listed</t>
  </si>
  <si>
    <t>Mesquite</t>
  </si>
  <si>
    <t>TX</t>
  </si>
  <si>
    <t>Orlando</t>
  </si>
  <si>
    <t>FL</t>
  </si>
  <si>
    <t>Philadelphia</t>
  </si>
  <si>
    <t>Plano</t>
  </si>
  <si>
    <t>Purchase</t>
  </si>
  <si>
    <t>Seattle</t>
  </si>
  <si>
    <t>WA</t>
  </si>
  <si>
    <t>Tolleson</t>
  </si>
  <si>
    <t>Fairfield</t>
  </si>
  <si>
    <t>Los Angeles</t>
  </si>
  <si>
    <t>Riverside</t>
  </si>
  <si>
    <t>Sylmar</t>
  </si>
  <si>
    <t>Fort Collins</t>
  </si>
  <si>
    <t>Loveland</t>
  </si>
  <si>
    <t>Cargersville</t>
  </si>
  <si>
    <t>Columbus</t>
  </si>
  <si>
    <t>St Louis</t>
  </si>
  <si>
    <t>Arnold</t>
  </si>
  <si>
    <t>Bridgeton</t>
  </si>
  <si>
    <t>Columbia</t>
  </si>
  <si>
    <t>Newark</t>
  </si>
  <si>
    <t>Baldwinsville</t>
  </si>
  <si>
    <t>Williamsburg</t>
  </si>
  <si>
    <t>Procter &amp; Gamble Co.</t>
  </si>
  <si>
    <t>Albany</t>
  </si>
  <si>
    <t>Auburn</t>
  </si>
  <si>
    <t>ME</t>
  </si>
  <si>
    <t>Boston</t>
  </si>
  <si>
    <t>MA</t>
  </si>
  <si>
    <t>Cincinnati</t>
  </si>
  <si>
    <t>Green Bay</t>
  </si>
  <si>
    <t>Iowa City</t>
  </si>
  <si>
    <t>Lima</t>
  </si>
  <si>
    <t>Mehoopany</t>
  </si>
  <si>
    <t>Pineville</t>
  </si>
  <si>
    <t>St. Louis</t>
  </si>
  <si>
    <t>West Virginia</t>
  </si>
  <si>
    <t>WV</t>
  </si>
  <si>
    <t>Kellogg Co.</t>
  </si>
  <si>
    <t>Battle Creek</t>
  </si>
  <si>
    <t>Headquarters</t>
  </si>
  <si>
    <t>Augusta</t>
  </si>
  <si>
    <t>Grand Rapids</t>
  </si>
  <si>
    <t>Louisville</t>
  </si>
  <si>
    <t>Omaha</t>
  </si>
  <si>
    <t>San Jose</t>
  </si>
  <si>
    <t>Minooka</t>
  </si>
  <si>
    <t>Cary</t>
  </si>
  <si>
    <t>Blue Anchor</t>
  </si>
  <si>
    <t>Florence</t>
  </si>
  <si>
    <t>Muncy</t>
  </si>
  <si>
    <t>Zanesville</t>
  </si>
  <si>
    <t>Baltimore</t>
  </si>
  <si>
    <t>Rome</t>
  </si>
  <si>
    <t>Akron</t>
  </si>
  <si>
    <t>Henderson</t>
  </si>
  <si>
    <t>Charlotte</t>
  </si>
  <si>
    <t>Rossville</t>
  </si>
  <si>
    <t>Chicago</t>
  </si>
  <si>
    <t>Williamsport</t>
  </si>
  <si>
    <t>Distribution</t>
  </si>
  <si>
    <t>Wilmington</t>
  </si>
  <si>
    <t>Medley</t>
  </si>
  <si>
    <t>Mondelez International Inc.</t>
  </si>
  <si>
    <t>Aurora</t>
  </si>
  <si>
    <t>Birmingham</t>
  </si>
  <si>
    <t>Dover</t>
  </si>
  <si>
    <t>DE</t>
  </si>
  <si>
    <t>East Hanover</t>
  </si>
  <si>
    <t>Fair Lawn</t>
  </si>
  <si>
    <t>Henrico</t>
  </si>
  <si>
    <t>Naperville</t>
  </si>
  <si>
    <t>Bakery</t>
  </si>
  <si>
    <t>Richmond</t>
  </si>
  <si>
    <t>Rockford</t>
  </si>
  <si>
    <t>Toledo</t>
  </si>
  <si>
    <t>Waco</t>
  </si>
  <si>
    <t/>
  </si>
  <si>
    <t>Raleigh</t>
  </si>
  <si>
    <t>Canada Canola Crush Plants</t>
  </si>
  <si>
    <t>COMPANY</t>
  </si>
  <si>
    <t>LOCATION</t>
  </si>
  <si>
    <t>Expansion (mt/yr)</t>
  </si>
  <si>
    <t xml:space="preserve">CRUSHING CAPACITY (mt/day)  </t>
  </si>
  <si>
    <t>CRUSHING CAPACITY (mt/yr)</t>
  </si>
  <si>
    <t>OIL PRODUCTION (mt/yr)</t>
  </si>
  <si>
    <t>REFINING CAPACITY (mt/yr)</t>
  </si>
  <si>
    <t>US</t>
  </si>
  <si>
    <t>Canada</t>
  </si>
  <si>
    <t>Opened</t>
  </si>
  <si>
    <t>Lloydminster, AB</t>
  </si>
  <si>
    <t>NONE</t>
  </si>
  <si>
    <t>no refining removed once bio installed</t>
  </si>
  <si>
    <t>Yes</t>
  </si>
  <si>
    <t>Windsor, ON</t>
  </si>
  <si>
    <t>3600 MT/day soy capacity; 2 lines; refining to match</t>
  </si>
  <si>
    <t>Fort Saskatchewan, AB</t>
  </si>
  <si>
    <t>No refining</t>
  </si>
  <si>
    <t>Nipawin, SK</t>
  </si>
  <si>
    <t>refining to match</t>
  </si>
  <si>
    <t>Harrowby, MB</t>
  </si>
  <si>
    <t>Altona, MB</t>
  </si>
  <si>
    <t>Hamilton, ON</t>
  </si>
  <si>
    <t>3000 MT/day soy capacity; 2 lines; refining to match</t>
  </si>
  <si>
    <t>Camrose, AB</t>
  </si>
  <si>
    <t>no refining</t>
  </si>
  <si>
    <t>Clavet, SK</t>
  </si>
  <si>
    <t>150% refining capacity</t>
  </si>
  <si>
    <t>Regina, SK</t>
  </si>
  <si>
    <t>FCL/AGT Foods</t>
  </si>
  <si>
    <t>Provide 50% of feedstocks for co-located RD plant</t>
  </si>
  <si>
    <t>Lethbridge, AB</t>
  </si>
  <si>
    <t>refining to match approx 65% of oil goes into packaged line</t>
  </si>
  <si>
    <t>Canary Biofuels</t>
  </si>
  <si>
    <t>Probably use oil to feed biodiesel plant</t>
  </si>
  <si>
    <t>2024</t>
  </si>
  <si>
    <t>Yorkton, SK</t>
  </si>
  <si>
    <t>refining capacity at 2400 mt/day, expansion to open in early 2024</t>
  </si>
  <si>
    <t>Opened at 2,400 tonnes crushing, 1,000 tonnes refining per day, expanded to 3,000 tonnes per day in March 2014</t>
  </si>
  <si>
    <t>refining capacity at 3,000 mt/day crush, expansion to be complete by the end of 2025</t>
  </si>
  <si>
    <t>Ste. Agathe, MB</t>
  </si>
  <si>
    <t>Refining to match</t>
  </si>
  <si>
    <t>Speculation they may start at 50 percent capacity</t>
  </si>
  <si>
    <t>Becancour, QC</t>
  </si>
  <si>
    <t>2900 MT/day soy capacity; 1 line; refining to match</t>
  </si>
  <si>
    <t>tonnes/yr</t>
  </si>
  <si>
    <t>lbs/yr</t>
  </si>
  <si>
    <t>mm lbs/yr</t>
  </si>
  <si>
    <t>U.S. Canola</t>
  </si>
  <si>
    <t>U.S. Soybean</t>
  </si>
  <si>
    <t>U.S. Other</t>
  </si>
  <si>
    <t>Canada Canola</t>
  </si>
  <si>
    <t>early 2024</t>
  </si>
  <si>
    <t>Canada Soybean</t>
  </si>
  <si>
    <t>mid 2023</t>
  </si>
  <si>
    <t>Canada Other</t>
  </si>
  <si>
    <t>Ceres</t>
  </si>
  <si>
    <t>Northgate, SK</t>
  </si>
  <si>
    <t>summer 2024</t>
  </si>
  <si>
    <t>late 2024</t>
  </si>
  <si>
    <t>Federated Co-Operative Limited (FCL</t>
  </si>
  <si>
    <t>supply half of FCL 15,000bbl/day RD plant</t>
  </si>
  <si>
    <t>US Canola Crush Plants</t>
  </si>
  <si>
    <t>Velva, ND</t>
  </si>
  <si>
    <t>No refinery</t>
  </si>
  <si>
    <t>Enderlin, ND</t>
  </si>
  <si>
    <t>Sunflower, canola and soybeans; Refining to match</t>
  </si>
  <si>
    <t>Red Wing, MN</t>
  </si>
  <si>
    <t>Canola and flax; RBW (no deodorization)</t>
  </si>
  <si>
    <t>Scoular</t>
  </si>
  <si>
    <t>Goodland, KS</t>
  </si>
  <si>
    <t xml:space="preserve">Scoular’s ownership, the facility is handling corn, wheat and milo.
</t>
  </si>
  <si>
    <t>Warden, WA</t>
  </si>
  <si>
    <t>West Fargo, ND</t>
  </si>
  <si>
    <t>Canola, sunflower and flax; Refining to match</t>
  </si>
  <si>
    <t>Hallock, MN</t>
  </si>
  <si>
    <t>Refining capacity greater than crush</t>
  </si>
  <si>
    <t>US Canola Refiners</t>
  </si>
  <si>
    <t>Producers Co-Op Oil Mill</t>
  </si>
  <si>
    <t>CANOLA/SOYBEAN CRUSHING STATISTICS (crop year)</t>
  </si>
  <si>
    <t>CANOLA/SOYBEAN CRUSHING STATISTICS (cal year)</t>
  </si>
  <si>
    <t>tonnes</t>
  </si>
  <si>
    <t>CANOLA</t>
  </si>
  <si>
    <t>SOYBEANS</t>
  </si>
  <si>
    <t>Year</t>
  </si>
  <si>
    <t>Crushings</t>
  </si>
  <si>
    <t>Oil Produced</t>
  </si>
  <si>
    <t>Meal Produced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</si>
  <si>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</si>
  <si>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</si>
  <si>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</si>
  <si>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</si>
  <si>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</si>
  <si>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</si>
  <si>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</si>
  <si>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</si>
  <si>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</si>
  <si>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</si>
  <si>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</si>
  <si>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</si>
  <si>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</si>
  <si>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</si>
  <si>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</si>
  <si>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</si>
  <si>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</si>
  <si>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</si>
  <si>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</si>
  <si>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</si>
  <si>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</si>
  <si>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</si>
  <si>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August</t>
  </si>
  <si>
    <t>January</t>
  </si>
  <si>
    <t>September</t>
  </si>
  <si>
    <t>February</t>
  </si>
  <si>
    <t>October</t>
  </si>
  <si>
    <t>March</t>
  </si>
  <si>
    <t>November</t>
  </si>
  <si>
    <t>April</t>
  </si>
  <si>
    <t>December</t>
  </si>
  <si>
    <t>May</t>
  </si>
  <si>
    <t>June</t>
  </si>
  <si>
    <t>July</t>
  </si>
  <si>
    <t>TOTAL 2021</t>
  </si>
  <si>
    <t>YTD 2022</t>
  </si>
  <si>
    <t>2021/22 YTD</t>
  </si>
  <si>
    <t xml:space="preserve">Start Date </t>
  </si>
  <si>
    <t>Refinery</t>
  </si>
  <si>
    <t>Providence</t>
  </si>
  <si>
    <t>Year Opened</t>
  </si>
  <si>
    <t>No</t>
  </si>
  <si>
    <t>No refining 297,500 increase in capacity in 2014?</t>
  </si>
  <si>
    <t>refining to match 490,000 expansion in 2012?</t>
  </si>
  <si>
    <t>refining capacity at 3,000 mt/day crush</t>
  </si>
  <si>
    <t>Ceres Global Ag. Corp.</t>
  </si>
  <si>
    <t>TOTAL</t>
  </si>
  <si>
    <t>Canada Canola  Crushing</t>
  </si>
  <si>
    <t>COPA Weekly Implied Max</t>
  </si>
  <si>
    <t>SK Capacity</t>
  </si>
  <si>
    <t>Canola Crush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</si>
</sst>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[Red]\(0\)"/>
    <numFmt numFmtId="165" formatCode="#,##0.000"/>
    <numFmt numFmtId="166" formatCode="0.0%"/>
    <numFmt numFmtId="167" formatCode="[$-409]mmmm\-yy;@"/>
  </numFmts>
  <fonts count="32" x14ac:knownFonts="1">
    <font>
      <sz val="12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name val="Avenir Next LT Pro Demi"/>
      <family val="2"/>
    </font>
    <font>
      <sz val="8"/>
      <color theme="7" tint="-0.249977111117893"/>
      <name val="Avenir Next LT Pro Demi"/>
      <family val="2"/>
    </font>
    <font>
      <sz val="8"/>
      <color theme="0"/>
      <name val="Avenir Next LT Pro Demi"/>
      <family val="2"/>
    </font>
    <font>
      <b/>
      <sz val="8"/>
      <color theme="1"/>
      <name val="Avenir Next LT Pro Demi"/>
      <family val="2"/>
    </font>
    <font>
      <sz val="8"/>
      <color rgb="FF6F0791"/>
      <name val="Avenir Next LT Pro Demi"/>
      <family val="2"/>
    </font>
    <font>
      <sz val="12"/>
      <color theme="1"/>
      <name val="Arial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color theme="1"/>
      <name val="Arial Narrow"/>
      <family val="2"/>
    </font>
    <font>
      <b/>
      <sz val="14"/>
      <name val="Arial"/>
      <family val="2"/>
    </font>
    <font>
      <b/>
      <sz val="10"/>
      <color theme="1"/>
      <name val="Arial Narrow"/>
      <family val="2"/>
    </font>
    <font>
      <b/>
      <sz val="12"/>
      <name val="Arial"/>
      <family val="2"/>
    </font>
    <font>
      <b/>
      <sz val="16"/>
      <color theme="1"/>
      <name val="Arial Narrow"/>
      <family val="2"/>
    </font>
    <font>
      <sz val="20"/>
      <name val="Arial Bold"/>
      <family val="2"/>
    </font>
    <font>
      <sz val="14"/>
      <name val="Arial Bold"/>
      <family val="2"/>
    </font>
    <font>
      <b/>
      <sz val="12"/>
      <color theme="1"/>
      <name val="Aptos Narrow"/>
      <family val="2"/>
      <scheme val="minor"/>
    </font>
    <font>
      <sz val="12"/>
      <name val="Arial Bold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2"/>
      <name val="Arial"/>
      <family val="2"/>
    </font>
    <font>
      <b/>
      <sz val="11"/>
      <name val="Arial Narrow"/>
      <family val="2"/>
    </font>
    <font>
      <b/>
      <sz val="12"/>
      <name val="Aptos Narrow"/>
      <family val="2"/>
      <scheme val="minor"/>
    </font>
    <font>
      <b/>
      <sz val="11"/>
      <color theme="1"/>
      <name val="Arial Narrow"/>
      <family val="2"/>
    </font>
    <font>
      <sz val="8"/>
      <color theme="3" tint="0.249977111117893"/>
      <name val="Avenir Next LT Pro Demi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B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F0791"/>
      </left>
      <right style="thin">
        <color rgb="FF6F0791"/>
      </right>
      <top/>
      <bottom/>
      <diagonal/>
    </border>
    <border>
      <left/>
      <right/>
      <top style="medium">
        <color rgb="FF8C8C8C"/>
      </top>
      <bottom/>
      <diagonal/>
    </border>
    <border>
      <left style="thin">
        <color rgb="FF6F0791"/>
      </left>
      <right style="thin">
        <color rgb="FF6F0791"/>
      </right>
      <top style="medium">
        <color rgb="FF8C8C8C"/>
      </top>
      <bottom/>
      <diagonal/>
    </border>
    <border>
      <left/>
      <right/>
      <top style="thick">
        <color rgb="FF8C8C8C"/>
      </top>
      <bottom/>
      <diagonal/>
    </border>
    <border>
      <left style="thin">
        <color rgb="FF6F0791"/>
      </left>
      <right style="thin">
        <color rgb="FF6F0791"/>
      </right>
      <top/>
      <bottom style="thick">
        <color rgb="FF8C8C8C"/>
      </bottom>
      <diagonal/>
    </border>
    <border>
      <left/>
      <right/>
      <top/>
      <bottom style="medium">
        <color rgb="FF6F0791"/>
      </bottom>
      <diagonal/>
    </border>
    <border>
      <left/>
      <right style="medium">
        <color rgb="FF6F0791"/>
      </right>
      <top/>
      <bottom/>
      <diagonal/>
    </border>
    <border>
      <left/>
      <right/>
      <top style="thick">
        <color rgb="FF8C8C8C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6F0791"/>
      </left>
      <right style="thin">
        <color rgb="FF6F0791"/>
      </right>
      <top/>
      <bottom style="medium">
        <color theme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75">
    <xf numFmtId="0" fontId="0" fillId="0" borderId="0" xfId="0"/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1" fillId="0" borderId="0" xfId="3"/>
    <xf numFmtId="0" fontId="3" fillId="0" borderId="4" xfId="3" applyFont="1" applyBorder="1"/>
    <xf numFmtId="0" fontId="3" fillId="0" borderId="4" xfId="3" applyFont="1" applyBorder="1" applyAlignment="1">
      <alignment horizontal="center"/>
    </xf>
    <xf numFmtId="3" fontId="3" fillId="0" borderId="4" xfId="3" applyNumberFormat="1" applyFont="1" applyBorder="1" applyAlignment="1">
      <alignment horizontal="center"/>
    </xf>
    <xf numFmtId="1" fontId="3" fillId="0" borderId="4" xfId="3" applyNumberFormat="1" applyFont="1" applyBorder="1" applyAlignment="1">
      <alignment horizontal="center"/>
    </xf>
    <xf numFmtId="0" fontId="1" fillId="0" borderId="4" xfId="3" applyBorder="1"/>
    <xf numFmtId="0" fontId="3" fillId="0" borderId="5" xfId="3" applyFont="1" applyBorder="1"/>
    <xf numFmtId="0" fontId="3" fillId="0" borderId="5" xfId="3" applyFont="1" applyBorder="1" applyAlignment="1">
      <alignment horizontal="center"/>
    </xf>
    <xf numFmtId="3" fontId="3" fillId="0" borderId="5" xfId="3" applyNumberFormat="1" applyFont="1" applyBorder="1" applyAlignment="1">
      <alignment horizontal="center"/>
    </xf>
    <xf numFmtId="1" fontId="3" fillId="0" borderId="5" xfId="3" applyNumberFormat="1" applyFont="1" applyBorder="1" applyAlignment="1">
      <alignment horizontal="center"/>
    </xf>
    <xf numFmtId="0" fontId="1" fillId="0" borderId="5" xfId="3" applyBorder="1"/>
    <xf numFmtId="0" fontId="3" fillId="0" borderId="0" xfId="3" applyFont="1"/>
    <xf numFmtId="0" fontId="0" fillId="0" borderId="0" xfId="0" applyAlignment="1">
      <alignment horizontal="center"/>
    </xf>
    <xf numFmtId="0" fontId="4" fillId="3" borderId="0" xfId="3" applyFont="1" applyFill="1"/>
    <xf numFmtId="0" fontId="4" fillId="3" borderId="0" xfId="3" applyFont="1" applyFill="1" applyAlignment="1">
      <alignment horizontal="center"/>
    </xf>
    <xf numFmtId="0" fontId="5" fillId="0" borderId="0" xfId="3" applyFont="1"/>
    <xf numFmtId="0" fontId="6" fillId="0" borderId="5" xfId="3" applyFont="1" applyBorder="1"/>
    <xf numFmtId="0" fontId="6" fillId="0" borderId="5" xfId="3" applyFont="1" applyBorder="1" applyAlignment="1">
      <alignment horizontal="center"/>
    </xf>
    <xf numFmtId="3" fontId="6" fillId="0" borderId="5" xfId="3" applyNumberFormat="1" applyFont="1" applyBorder="1" applyAlignment="1">
      <alignment horizontal="center"/>
    </xf>
    <xf numFmtId="1" fontId="6" fillId="0" borderId="5" xfId="3" applyNumberFormat="1" applyFont="1" applyBorder="1" applyAlignment="1">
      <alignment horizontal="center"/>
    </xf>
    <xf numFmtId="164" fontId="6" fillId="0" borderId="5" xfId="3" applyNumberFormat="1" applyFont="1" applyBorder="1" applyAlignment="1">
      <alignment horizontal="center"/>
    </xf>
    <xf numFmtId="3" fontId="7" fillId="0" borderId="5" xfId="3" applyNumberFormat="1" applyFont="1" applyBorder="1" applyAlignment="1">
      <alignment horizontal="center"/>
    </xf>
    <xf numFmtId="0" fontId="6" fillId="0" borderId="5" xfId="3" applyFont="1" applyBorder="1" applyAlignment="1">
      <alignment horizontal="left"/>
    </xf>
    <xf numFmtId="0" fontId="7" fillId="0" borderId="5" xfId="3" applyFont="1" applyBorder="1" applyAlignment="1">
      <alignment horizontal="center"/>
    </xf>
    <xf numFmtId="0" fontId="6" fillId="0" borderId="0" xfId="3" applyFont="1"/>
    <xf numFmtId="0" fontId="7" fillId="0" borderId="5" xfId="3" applyFont="1" applyBorder="1"/>
    <xf numFmtId="164" fontId="7" fillId="0" borderId="5" xfId="3" applyNumberFormat="1" applyFont="1" applyBorder="1" applyAlignment="1">
      <alignment horizontal="center"/>
    </xf>
    <xf numFmtId="0" fontId="8" fillId="0" borderId="5" xfId="3" applyFont="1" applyBorder="1" applyAlignment="1">
      <alignment horizontal="center"/>
    </xf>
    <xf numFmtId="0" fontId="7" fillId="0" borderId="5" xfId="3" applyFont="1" applyBorder="1" applyAlignment="1">
      <alignment horizontal="left"/>
    </xf>
    <xf numFmtId="3" fontId="5" fillId="0" borderId="5" xfId="3" applyNumberFormat="1" applyFont="1" applyBorder="1" applyAlignment="1">
      <alignment horizontal="center"/>
    </xf>
    <xf numFmtId="0" fontId="5" fillId="0" borderId="5" xfId="3" applyFont="1" applyBorder="1"/>
    <xf numFmtId="164" fontId="5" fillId="0" borderId="5" xfId="3" applyNumberFormat="1" applyFont="1" applyBorder="1"/>
    <xf numFmtId="0" fontId="9" fillId="0" borderId="5" xfId="3" applyFont="1" applyBorder="1"/>
    <xf numFmtId="0" fontId="9" fillId="0" borderId="5" xfId="3" applyFont="1" applyBorder="1" applyAlignment="1">
      <alignment horizontal="center"/>
    </xf>
    <xf numFmtId="0" fontId="6" fillId="4" borderId="5" xfId="3" applyFont="1" applyFill="1" applyBorder="1"/>
    <xf numFmtId="0" fontId="6" fillId="4" borderId="5" xfId="3" applyFont="1" applyFill="1" applyBorder="1" applyAlignment="1">
      <alignment horizontal="center"/>
    </xf>
    <xf numFmtId="38" fontId="6" fillId="4" borderId="5" xfId="3" applyNumberFormat="1" applyFont="1" applyFill="1" applyBorder="1" applyAlignment="1">
      <alignment horizontal="center"/>
    </xf>
    <xf numFmtId="38" fontId="6" fillId="4" borderId="5" xfId="1" applyNumberFormat="1" applyFont="1" applyFill="1" applyBorder="1" applyAlignment="1">
      <alignment horizontal="center"/>
    </xf>
    <xf numFmtId="0" fontId="6" fillId="4" borderId="5" xfId="3" applyFont="1" applyFill="1" applyBorder="1" applyAlignment="1">
      <alignment horizontal="left" wrapText="1"/>
    </xf>
    <xf numFmtId="0" fontId="5" fillId="4" borderId="0" xfId="0" applyFont="1" applyFill="1"/>
    <xf numFmtId="0" fontId="5" fillId="4" borderId="0" xfId="3" applyFont="1" applyFill="1"/>
    <xf numFmtId="0" fontId="5" fillId="0" borderId="5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0" applyFont="1"/>
    <xf numFmtId="0" fontId="6" fillId="0" borderId="5" xfId="3" applyFont="1" applyBorder="1" applyAlignment="1">
      <alignment horizontal="left" wrapText="1"/>
    </xf>
    <xf numFmtId="0" fontId="5" fillId="0" borderId="0" xfId="0" applyFont="1"/>
    <xf numFmtId="164" fontId="6" fillId="0" borderId="5" xfId="3" applyNumberFormat="1" applyFont="1" applyBorder="1" applyAlignment="1">
      <alignment horizontal="left"/>
    </xf>
    <xf numFmtId="0" fontId="10" fillId="0" borderId="5" xfId="3" applyFont="1" applyBorder="1" applyAlignment="1">
      <alignment horizontal="center"/>
    </xf>
    <xf numFmtId="3" fontId="6" fillId="0" borderId="0" xfId="3" applyNumberFormat="1" applyFont="1" applyAlignment="1">
      <alignment horizontal="center"/>
    </xf>
    <xf numFmtId="3" fontId="5" fillId="0" borderId="0" xfId="3" applyNumberFormat="1" applyFont="1"/>
    <xf numFmtId="164" fontId="5" fillId="0" borderId="0" xfId="3" applyNumberFormat="1" applyFont="1"/>
    <xf numFmtId="43" fontId="5" fillId="0" borderId="0" xfId="1" applyFont="1"/>
    <xf numFmtId="0" fontId="5" fillId="0" borderId="6" xfId="3" applyFont="1" applyBorder="1"/>
    <xf numFmtId="43" fontId="5" fillId="0" borderId="0" xfId="3" applyNumberFormat="1" applyFont="1"/>
    <xf numFmtId="0" fontId="5" fillId="0" borderId="5" xfId="0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5" xfId="0" applyFont="1" applyBorder="1"/>
    <xf numFmtId="3" fontId="6" fillId="0" borderId="7" xfId="3" applyNumberFormat="1" applyFont="1" applyBorder="1" applyAlignment="1">
      <alignment horizontal="center"/>
    </xf>
    <xf numFmtId="0" fontId="5" fillId="0" borderId="7" xfId="3" applyFont="1" applyBorder="1"/>
    <xf numFmtId="3" fontId="5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6" fillId="0" borderId="0" xfId="3" applyNumberFormat="1" applyFont="1" applyAlignment="1">
      <alignment horizontal="center"/>
    </xf>
    <xf numFmtId="3" fontId="5" fillId="0" borderId="5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0" fontId="7" fillId="0" borderId="0" xfId="3" applyFont="1"/>
    <xf numFmtId="0" fontId="6" fillId="0" borderId="5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right"/>
    </xf>
    <xf numFmtId="165" fontId="6" fillId="0" borderId="5" xfId="3" applyNumberFormat="1" applyFont="1" applyBorder="1" applyAlignment="1">
      <alignment horizontal="center"/>
    </xf>
    <xf numFmtId="166" fontId="6" fillId="0" borderId="5" xfId="2" applyNumberFormat="1" applyFont="1" applyBorder="1" applyAlignment="1">
      <alignment horizontal="center"/>
    </xf>
    <xf numFmtId="0" fontId="6" fillId="0" borderId="10" xfId="3" applyFont="1" applyBorder="1" applyAlignment="1">
      <alignment horizontal="right"/>
    </xf>
    <xf numFmtId="3" fontId="12" fillId="0" borderId="5" xfId="3" applyNumberFormat="1" applyFont="1" applyBorder="1" applyAlignment="1">
      <alignment horizontal="center"/>
    </xf>
    <xf numFmtId="0" fontId="6" fillId="0" borderId="0" xfId="3" applyFont="1" applyAlignment="1">
      <alignment horizontal="right"/>
    </xf>
    <xf numFmtId="0" fontId="5" fillId="0" borderId="0" xfId="3" applyFont="1" applyAlignment="1">
      <alignment horizontal="center" wrapText="1"/>
    </xf>
    <xf numFmtId="0" fontId="6" fillId="0" borderId="12" xfId="3" applyFont="1" applyBorder="1" applyAlignment="1">
      <alignment horizontal="center" vertical="center" wrapText="1"/>
    </xf>
    <xf numFmtId="9" fontId="6" fillId="0" borderId="5" xfId="2" applyFont="1" applyBorder="1" applyAlignment="1">
      <alignment horizontal="center"/>
    </xf>
    <xf numFmtId="9" fontId="12" fillId="0" borderId="5" xfId="2" applyFont="1" applyBorder="1" applyAlignment="1">
      <alignment horizontal="center"/>
    </xf>
    <xf numFmtId="9" fontId="5" fillId="0" borderId="0" xfId="3" applyNumberFormat="1" applyFont="1"/>
    <xf numFmtId="166" fontId="5" fillId="0" borderId="0" xfId="2" applyNumberFormat="1" applyFont="1"/>
    <xf numFmtId="9" fontId="5" fillId="0" borderId="0" xfId="2" applyFont="1"/>
    <xf numFmtId="0" fontId="6" fillId="0" borderId="10" xfId="3" applyFont="1" applyBorder="1" applyAlignment="1">
      <alignment horizontal="center"/>
    </xf>
    <xf numFmtId="40" fontId="5" fillId="0" borderId="0" xfId="3" applyNumberFormat="1" applyFont="1"/>
    <xf numFmtId="0" fontId="6" fillId="0" borderId="5" xfId="3" applyFont="1" applyBorder="1" applyAlignment="1">
      <alignment horizontal="right"/>
    </xf>
    <xf numFmtId="0" fontId="8" fillId="0" borderId="5" xfId="3" applyFont="1" applyBorder="1"/>
    <xf numFmtId="167" fontId="8" fillId="0" borderId="5" xfId="3" applyNumberFormat="1" applyFont="1" applyBorder="1" applyAlignment="1">
      <alignment horizontal="center"/>
    </xf>
    <xf numFmtId="0" fontId="13" fillId="0" borderId="0" xfId="0" applyFont="1"/>
    <xf numFmtId="0" fontId="2" fillId="3" borderId="0" xfId="3" applyFont="1" applyFill="1"/>
    <xf numFmtId="0" fontId="2" fillId="3" borderId="0" xfId="3" applyFont="1" applyFill="1" applyAlignment="1">
      <alignment horizontal="center"/>
    </xf>
    <xf numFmtId="0" fontId="14" fillId="0" borderId="5" xfId="3" applyFont="1" applyBorder="1" applyAlignment="1">
      <alignment horizontal="center"/>
    </xf>
    <xf numFmtId="3" fontId="15" fillId="0" borderId="5" xfId="3" applyNumberFormat="1" applyFont="1" applyBorder="1" applyAlignment="1">
      <alignment horizontal="center"/>
    </xf>
    <xf numFmtId="1" fontId="15" fillId="0" borderId="5" xfId="3" applyNumberFormat="1" applyFont="1" applyBorder="1" applyAlignment="1">
      <alignment horizontal="center"/>
    </xf>
    <xf numFmtId="0" fontId="15" fillId="0" borderId="5" xfId="3" applyFont="1" applyBorder="1" applyAlignment="1">
      <alignment horizontal="center"/>
    </xf>
    <xf numFmtId="0" fontId="15" fillId="0" borderId="5" xfId="3" applyFont="1" applyBorder="1" applyAlignment="1">
      <alignment horizontal="left"/>
    </xf>
    <xf numFmtId="0" fontId="1" fillId="5" borderId="0" xfId="3" applyFill="1"/>
    <xf numFmtId="0" fontId="16" fillId="5" borderId="0" xfId="3" applyFont="1" applyFill="1"/>
    <xf numFmtId="0" fontId="17" fillId="5" borderId="0" xfId="3" applyFont="1" applyFill="1" applyAlignment="1">
      <alignment horizontal="center"/>
    </xf>
    <xf numFmtId="0" fontId="17" fillId="5" borderId="13" xfId="3" applyFont="1" applyFill="1" applyBorder="1" applyAlignment="1">
      <alignment horizontal="center" wrapText="1"/>
    </xf>
    <xf numFmtId="0" fontId="17" fillId="5" borderId="0" xfId="3" applyFont="1" applyFill="1" applyAlignment="1">
      <alignment horizontal="center" wrapText="1"/>
    </xf>
    <xf numFmtId="0" fontId="15" fillId="5" borderId="0" xfId="3" applyFont="1" applyFill="1" applyAlignment="1">
      <alignment horizontal="center"/>
    </xf>
    <xf numFmtId="0" fontId="18" fillId="5" borderId="0" xfId="3" applyFont="1" applyFill="1"/>
    <xf numFmtId="0" fontId="19" fillId="5" borderId="14" xfId="3" applyFont="1" applyFill="1" applyBorder="1"/>
    <xf numFmtId="0" fontId="19" fillId="5" borderId="14" xfId="3" applyFont="1" applyFill="1" applyBorder="1" applyAlignment="1">
      <alignment horizontal="left"/>
    </xf>
    <xf numFmtId="38" fontId="19" fillId="5" borderId="15" xfId="3" applyNumberFormat="1" applyFont="1" applyFill="1" applyBorder="1" applyAlignment="1">
      <alignment horizontal="center"/>
    </xf>
    <xf numFmtId="38" fontId="19" fillId="5" borderId="14" xfId="3" applyNumberFormat="1" applyFont="1" applyFill="1" applyBorder="1" applyAlignment="1">
      <alignment horizontal="center"/>
    </xf>
    <xf numFmtId="0" fontId="19" fillId="5" borderId="10" xfId="3" applyFont="1" applyFill="1" applyBorder="1" applyAlignment="1">
      <alignment horizontal="center"/>
    </xf>
    <xf numFmtId="0" fontId="19" fillId="5" borderId="0" xfId="3" applyFont="1" applyFill="1"/>
    <xf numFmtId="0" fontId="19" fillId="5" borderId="0" xfId="3" applyFont="1" applyFill="1" applyAlignment="1">
      <alignment horizontal="left"/>
    </xf>
    <xf numFmtId="38" fontId="19" fillId="5" borderId="13" xfId="3" applyNumberFormat="1" applyFont="1" applyFill="1" applyBorder="1" applyAlignment="1">
      <alignment horizontal="center"/>
    </xf>
    <xf numFmtId="38" fontId="19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left"/>
    </xf>
    <xf numFmtId="0" fontId="18" fillId="5" borderId="0" xfId="3" quotePrefix="1" applyFont="1" applyFill="1"/>
    <xf numFmtId="0" fontId="1" fillId="5" borderId="16" xfId="3" applyFill="1" applyBorder="1"/>
    <xf numFmtId="3" fontId="1" fillId="5" borderId="0" xfId="3" applyNumberFormat="1" applyFill="1"/>
    <xf numFmtId="38" fontId="1" fillId="5" borderId="0" xfId="3" applyNumberFormat="1" applyFill="1"/>
    <xf numFmtId="3" fontId="1" fillId="5" borderId="0" xfId="3" applyNumberFormat="1" applyFill="1" applyAlignment="1">
      <alignment horizontal="right"/>
    </xf>
    <xf numFmtId="0" fontId="1" fillId="5" borderId="0" xfId="3" applyFill="1" applyAlignment="1">
      <alignment horizontal="right"/>
    </xf>
    <xf numFmtId="0" fontId="17" fillId="5" borderId="0" xfId="3" applyFont="1" applyFill="1" applyAlignment="1">
      <alignment horizontal="left"/>
    </xf>
    <xf numFmtId="3" fontId="19" fillId="5" borderId="15" xfId="3" applyNumberFormat="1" applyFont="1" applyFill="1" applyBorder="1" applyAlignment="1">
      <alignment horizontal="center"/>
    </xf>
    <xf numFmtId="3" fontId="19" fillId="5" borderId="14" xfId="3" applyNumberFormat="1" applyFont="1" applyFill="1" applyBorder="1" applyAlignment="1">
      <alignment horizontal="center"/>
    </xf>
    <xf numFmtId="3" fontId="19" fillId="5" borderId="13" xfId="3" applyNumberFormat="1" applyFont="1" applyFill="1" applyBorder="1" applyAlignment="1">
      <alignment horizontal="center"/>
    </xf>
    <xf numFmtId="3" fontId="19" fillId="5" borderId="0" xfId="3" applyNumberFormat="1" applyFont="1" applyFill="1" applyAlignment="1">
      <alignment horizontal="center"/>
    </xf>
    <xf numFmtId="0" fontId="20" fillId="5" borderId="0" xfId="3" applyFont="1" applyFill="1"/>
    <xf numFmtId="3" fontId="19" fillId="5" borderId="17" xfId="3" applyNumberFormat="1" applyFont="1" applyFill="1" applyBorder="1" applyAlignment="1">
      <alignment horizontal="center"/>
    </xf>
    <xf numFmtId="0" fontId="21" fillId="5" borderId="0" xfId="0" applyFont="1" applyFill="1"/>
    <xf numFmtId="0" fontId="0" fillId="5" borderId="0" xfId="0" applyFill="1"/>
    <xf numFmtId="0" fontId="19" fillId="5" borderId="0" xfId="0" applyFont="1" applyFill="1"/>
    <xf numFmtId="0" fontId="0" fillId="5" borderId="18" xfId="0" applyFill="1" applyBorder="1"/>
    <xf numFmtId="0" fontId="22" fillId="5" borderId="18" xfId="0" applyFont="1" applyFill="1" applyBorder="1"/>
    <xf numFmtId="0" fontId="23" fillId="5" borderId="19" xfId="0" applyFont="1" applyFill="1" applyBorder="1"/>
    <xf numFmtId="0" fontId="23" fillId="5" borderId="0" xfId="0" applyFont="1" applyFill="1"/>
    <xf numFmtId="0" fontId="19" fillId="5" borderId="19" xfId="0" applyFont="1" applyFill="1" applyBorder="1"/>
    <xf numFmtId="0" fontId="0" fillId="0" borderId="19" xfId="0" applyBorder="1"/>
    <xf numFmtId="0" fontId="24" fillId="5" borderId="0" xfId="0" applyFont="1" applyFill="1"/>
    <xf numFmtId="3" fontId="25" fillId="5" borderId="0" xfId="0" applyNumberFormat="1" applyFont="1" applyFill="1"/>
    <xf numFmtId="3" fontId="25" fillId="5" borderId="19" xfId="0" applyNumberFormat="1" applyFont="1" applyFill="1" applyBorder="1"/>
    <xf numFmtId="1" fontId="24" fillId="5" borderId="0" xfId="0" applyNumberFormat="1" applyFont="1" applyFill="1" applyAlignment="1">
      <alignment horizontal="left"/>
    </xf>
    <xf numFmtId="3" fontId="26" fillId="5" borderId="0" xfId="0" applyNumberFormat="1" applyFont="1" applyFill="1"/>
    <xf numFmtId="0" fontId="26" fillId="5" borderId="0" xfId="0" applyFont="1" applyFill="1"/>
    <xf numFmtId="0" fontId="26" fillId="5" borderId="19" xfId="0" applyFont="1" applyFill="1" applyBorder="1"/>
    <xf numFmtId="0" fontId="27" fillId="5" borderId="0" xfId="0" applyFont="1" applyFill="1"/>
    <xf numFmtId="0" fontId="27" fillId="5" borderId="0" xfId="0" applyFont="1" applyFill="1" applyAlignment="1">
      <alignment horizontal="left"/>
    </xf>
    <xf numFmtId="3" fontId="28" fillId="5" borderId="0" xfId="0" applyNumberFormat="1" applyFont="1" applyFill="1"/>
    <xf numFmtId="3" fontId="28" fillId="5" borderId="19" xfId="0" applyNumberFormat="1" applyFont="1" applyFill="1" applyBorder="1"/>
    <xf numFmtId="0" fontId="24" fillId="5" borderId="0" xfId="0" applyFont="1" applyFill="1" applyAlignment="1">
      <alignment horizontal="left"/>
    </xf>
    <xf numFmtId="0" fontId="29" fillId="5" borderId="0" xfId="3" applyFont="1" applyFill="1" applyAlignment="1">
      <alignment horizontal="center"/>
    </xf>
    <xf numFmtId="164" fontId="18" fillId="5" borderId="0" xfId="3" applyNumberFormat="1" applyFont="1" applyFill="1"/>
    <xf numFmtId="164" fontId="18" fillId="5" borderId="0" xfId="3" applyNumberFormat="1" applyFont="1" applyFill="1" applyAlignment="1">
      <alignment horizontal="right"/>
    </xf>
    <xf numFmtId="164" fontId="18" fillId="5" borderId="0" xfId="3" quotePrefix="1" applyNumberFormat="1" applyFont="1" applyFill="1"/>
    <xf numFmtId="0" fontId="1" fillId="5" borderId="20" xfId="3" applyFill="1" applyBorder="1"/>
    <xf numFmtId="0" fontId="1" fillId="5" borderId="21" xfId="3" applyFill="1" applyBorder="1"/>
    <xf numFmtId="0" fontId="30" fillId="5" borderId="22" xfId="3" applyFont="1" applyFill="1" applyBorder="1"/>
    <xf numFmtId="38" fontId="30" fillId="5" borderId="22" xfId="3" applyNumberFormat="1" applyFont="1" applyFill="1" applyBorder="1" applyAlignment="1">
      <alignment horizontal="center"/>
    </xf>
    <xf numFmtId="38" fontId="30" fillId="5" borderId="23" xfId="3" applyNumberFormat="1" applyFont="1" applyFill="1" applyBorder="1" applyAlignment="1">
      <alignment horizontal="center"/>
    </xf>
    <xf numFmtId="0" fontId="19" fillId="5" borderId="0" xfId="3" applyFont="1" applyFill="1" applyAlignment="1">
      <alignment horizontal="center"/>
    </xf>
    <xf numFmtId="0" fontId="17" fillId="5" borderId="24" xfId="3" applyFont="1" applyFill="1" applyBorder="1" applyAlignment="1">
      <alignment horizontal="left"/>
    </xf>
    <xf numFmtId="0" fontId="17" fillId="5" borderId="25" xfId="3" applyFont="1" applyFill="1" applyBorder="1" applyAlignment="1">
      <alignment horizontal="center" wrapText="1"/>
    </xf>
    <xf numFmtId="0" fontId="17" fillId="5" borderId="24" xfId="3" applyFont="1" applyFill="1" applyBorder="1" applyAlignment="1">
      <alignment horizontal="center" wrapText="1"/>
    </xf>
    <xf numFmtId="38" fontId="1" fillId="0" borderId="0" xfId="3" applyNumberFormat="1"/>
    <xf numFmtId="3" fontId="1" fillId="0" borderId="0" xfId="3" applyNumberFormat="1"/>
    <xf numFmtId="9" fontId="1" fillId="0" borderId="0" xfId="2" applyFont="1"/>
    <xf numFmtId="0" fontId="11" fillId="0" borderId="8" xfId="3" applyFont="1" applyBorder="1" applyAlignment="1">
      <alignment horizontal="center"/>
    </xf>
    <xf numFmtId="0" fontId="6" fillId="0" borderId="7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11" fillId="0" borderId="0" xfId="3" applyFont="1" applyAlignment="1">
      <alignment horizontal="center"/>
    </xf>
    <xf numFmtId="0" fontId="1" fillId="0" borderId="0" xfId="3" applyAlignment="1">
      <alignment horizontal="center" vertical="center" wrapText="1"/>
    </xf>
    <xf numFmtId="3" fontId="31" fillId="0" borderId="5" xfId="3" applyNumberFormat="1" applyFont="1" applyBorder="1" applyAlignment="1">
      <alignment horizontal="center"/>
    </xf>
    <xf numFmtId="165" fontId="31" fillId="0" borderId="5" xfId="3" applyNumberFormat="1" applyFont="1" applyBorder="1" applyAlignment="1">
      <alignment horizontal="center"/>
    </xf>
    <xf numFmtId="166" fontId="31" fillId="0" borderId="5" xfId="2" applyNumberFormat="1" applyFont="1" applyBorder="1" applyAlignment="1">
      <alignment horizontal="center"/>
    </xf>
    <xf numFmtId="165" fontId="5" fillId="0" borderId="5" xfId="3" applyNumberFormat="1" applyFont="1" applyBorder="1" applyAlignment="1">
      <alignment horizontal="center"/>
    </xf>
    <xf numFmtId="166" fontId="5" fillId="0" borderId="5" xfId="2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8BE81215-B164-4884-BFC6-0F662CC07E2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chartsheet" Target="chartsheets/sheet2.xml"/><Relationship Id="rId21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7.xml"/><Relationship Id="rId17" Type="http://schemas.openxmlformats.org/officeDocument/2006/relationships/externalLink" Target="externalLinks/externalLink5.xml"/><Relationship Id="rId2" Type="http://schemas.openxmlformats.org/officeDocument/2006/relationships/chartsheet" Target="chartsheets/sheet1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externalLink" Target="externalLinks/externalLink3.xml"/><Relationship Id="rId23" Type="http://schemas.openxmlformats.org/officeDocument/2006/relationships/sheetMetadata" Target="metadata.xml"/><Relationship Id="rId10" Type="http://schemas.openxmlformats.org/officeDocument/2006/relationships/worksheet" Target="worksheets/sheet5.xml"/><Relationship Id="rId19" Type="http://schemas.openxmlformats.org/officeDocument/2006/relationships/externalLink" Target="externalLinks/externalLink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 Crushing and Refining Capacity Expansions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78554298064796E-2"/>
          <c:y val="0.10029405616333356"/>
          <c:w val="0.83930816070258007"/>
          <c:h val="0.79791178315099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 Soy diff units'!$I$131</c:f>
              <c:strCache>
                <c:ptCount val="1"/>
                <c:pt idx="0">
                  <c:v>Additional Crushing Capacity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 Soy diff units'!$B$139:$B$142</c:f>
              <c:strCache>
                <c:ptCount val="4"/>
                <c:pt idx="0">
                  <c:v>2022/23</c:v>
                </c:pt>
                <c:pt idx="1">
                  <c:v>2023/24</c:v>
                </c:pt>
                <c:pt idx="2">
                  <c:v>2024/25</c:v>
                </c:pt>
                <c:pt idx="3">
                  <c:v>2025/26</c:v>
                </c:pt>
              </c:strCache>
            </c:strRef>
          </c:cat>
          <c:val>
            <c:numRef>
              <c:f>'US Soy diff units'!$I$139:$I$142</c:f>
              <c:numCache>
                <c:formatCode>#,##0</c:formatCode>
                <c:ptCount val="4"/>
                <c:pt idx="0">
                  <c:v>103000000</c:v>
                </c:pt>
                <c:pt idx="1">
                  <c:v>182150000</c:v>
                </c:pt>
                <c:pt idx="2">
                  <c:v>52500000</c:v>
                </c:pt>
                <c:pt idx="3">
                  <c:v>218615550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2-426A-A2CC-D5A05C92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348253415"/>
        <c:axId val="348258335"/>
      </c:barChart>
      <c:lineChart>
        <c:grouping val="stacked"/>
        <c:varyColors val="0"/>
        <c:ser>
          <c:idx val="1"/>
          <c:order val="1"/>
          <c:tx>
            <c:strRef>
              <c:f>'US Soy diff units'!$J$131</c:f>
              <c:strCache>
                <c:ptCount val="1"/>
                <c:pt idx="0">
                  <c:v>Additional Refining Capacity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'US Soy diff units'!$J$139:$J$142</c:f>
              <c:numCache>
                <c:formatCode>#,##0</c:formatCode>
                <c:ptCount val="4"/>
                <c:pt idx="0">
                  <c:v>1314595000</c:v>
                </c:pt>
                <c:pt idx="1">
                  <c:v>2028312500</c:v>
                </c:pt>
                <c:pt idx="2">
                  <c:v>603750000</c:v>
                </c:pt>
                <c:pt idx="3">
                  <c:v>1719554040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2-426A-A2CC-D5A05C92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436760"/>
        <c:axId val="1427444632"/>
      </c:lineChart>
      <c:catAx>
        <c:axId val="34825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8258335"/>
        <c:crosses val="autoZero"/>
        <c:auto val="1"/>
        <c:lblAlgn val="ctr"/>
        <c:lblOffset val="100"/>
        <c:noMultiLvlLbl val="0"/>
      </c:catAx>
      <c:valAx>
        <c:axId val="3482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Crushing Expansion</a:t>
                </a:r>
                <a:r>
                  <a:rPr lang="en-US" baseline="0"/>
                  <a:t> </a:t>
                </a:r>
                <a:r>
                  <a:rPr lang="en-US"/>
                  <a:t>(million bushels)</a:t>
                </a:r>
              </a:p>
            </c:rich>
          </c:tx>
          <c:layout>
            <c:manualLayout>
              <c:xMode val="edge"/>
              <c:yMode val="edge"/>
              <c:x val="5.9197013613017518E-3"/>
              <c:y val="0.28937969479478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8253415"/>
        <c:crosses val="autoZero"/>
        <c:crossBetween val="between"/>
        <c:dispUnits>
          <c:builtInUnit val="millions"/>
        </c:dispUnits>
      </c:valAx>
      <c:valAx>
        <c:axId val="14274446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Refining Expansion (million pounds)</a:t>
                </a:r>
              </a:p>
            </c:rich>
          </c:tx>
          <c:layout>
            <c:manualLayout>
              <c:xMode val="edge"/>
              <c:yMode val="edge"/>
              <c:x val="0.9784722145438941"/>
              <c:y val="0.29832959375653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7436760"/>
        <c:crosses val="max"/>
        <c:crossBetween val="between"/>
        <c:dispUnits>
          <c:builtInUnit val="millions"/>
        </c:dispUnits>
      </c:valAx>
      <c:catAx>
        <c:axId val="1427436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427444632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Soybean Crushing</a:t>
            </a:r>
            <a:r>
              <a:rPr lang="en-US" sz="2800" baseline="0"/>
              <a:t> Industry Capacity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25400">
              <a:solidFill>
                <a:srgbClr val="8C8C8C"/>
              </a:solidFill>
            </a:ln>
            <a:effectLst/>
            <a:scene3d>
              <a:camera prst="orthographicFront"/>
              <a:lightRig rig="twoPt" dir="t">
                <a:rot lat="0" lon="0" rev="15600000"/>
              </a:lightRig>
            </a:scene3d>
            <a:sp3d/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rgbClr val="8C8C8C"/>
                </a:solidFill>
              </a:ln>
              <a:effectLst/>
              <a:scene3d>
                <a:camera prst="orthographicFront"/>
                <a:lightRig rig="twoPt" dir="t">
                  <a:rot lat="0" lon="0" rev="156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1-5145-4F31-9CC3-0F97FDB2D4F1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rgbClr val="8C8C8C"/>
                </a:solidFill>
              </a:ln>
              <a:effectLst/>
              <a:scene3d>
                <a:camera prst="orthographicFront"/>
                <a:lightRig rig="twoPt" dir="t">
                  <a:rot lat="0" lon="0" rev="156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3-5145-4F31-9CC3-0F97FDB2D4F1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rgbClr val="8C8C8C"/>
                </a:solidFill>
              </a:ln>
              <a:effectLst/>
              <a:scene3d>
                <a:camera prst="orthographicFront"/>
                <a:lightRig rig="twoPt" dir="t">
                  <a:rot lat="0" lon="0" rev="156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5-5145-4F31-9CC3-0F97FDB2D4F1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25400">
                <a:solidFill>
                  <a:srgbClr val="8C8C8C"/>
                </a:solidFill>
              </a:ln>
              <a:effectLst/>
              <a:scene3d>
                <a:camera prst="orthographicFront"/>
                <a:lightRig rig="twoPt" dir="t">
                  <a:rot lat="0" lon="0" rev="156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7-5145-4F31-9CC3-0F97FDB2D4F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rgbClr val="8C8C8C"/>
                </a:solidFill>
              </a:ln>
              <a:effectLst/>
              <a:scene3d>
                <a:camera prst="orthographicFront"/>
                <a:lightRig rig="twoPt" dir="t">
                  <a:rot lat="0" lon="0" rev="156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9-5145-4F31-9CC3-0F97FDB2D4F1}"/>
              </c:ext>
            </c:extLst>
          </c:dPt>
          <c:dLbls>
            <c:dLbl>
              <c:idx val="0"/>
              <c:layout>
                <c:manualLayout>
                  <c:x val="-9.0540527167222079E-2"/>
                  <c:y val="0.20885500551990363"/>
                </c:manualLayout>
              </c:layout>
              <c:spPr>
                <a:solidFill>
                  <a:schemeClr val="accent5">
                    <a:lumMod val="60000"/>
                    <a:lumOff val="40000"/>
                  </a:schemeClr>
                </a:solidFill>
                <a:ln w="2222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overflow" horzOverflow="overflow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Roboto" panose="02000000000000000000" pitchFamily="2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145-4F31-9CC3-0F97FDB2D4F1}"/>
                </c:ext>
              </c:extLst>
            </c:dLbl>
            <c:dLbl>
              <c:idx val="1"/>
              <c:layout>
                <c:manualLayout>
                  <c:x val="-0.13320833871135179"/>
                  <c:y val="-4.3675251884459296E-2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 w="2222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overflow" horzOverflow="overflow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Roboto" panose="02000000000000000000" pitchFamily="2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145-4F31-9CC3-0F97FDB2D4F1}"/>
                </c:ext>
              </c:extLst>
            </c:dLbl>
            <c:dLbl>
              <c:idx val="2"/>
              <c:layout>
                <c:manualLayout>
                  <c:x val="-5.000883293457048E-2"/>
                  <c:y val="-0.11244495638171947"/>
                </c:manualLayout>
              </c:layout>
              <c:spPr>
                <a:solidFill>
                  <a:schemeClr val="accent2">
                    <a:lumMod val="60000"/>
                    <a:lumOff val="40000"/>
                  </a:schemeClr>
                </a:solidFill>
                <a:ln w="2222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overflow" horzOverflow="overflow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Roboto" panose="02000000000000000000" pitchFamily="2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5145-4F31-9CC3-0F97FDB2D4F1}"/>
                </c:ext>
              </c:extLst>
            </c:dLbl>
            <c:dLbl>
              <c:idx val="3"/>
              <c:layout>
                <c:manualLayout>
                  <c:x val="0.13984377812931706"/>
                  <c:y val="-0.14791987130060222"/>
                </c:manualLayout>
              </c:layout>
              <c:spPr>
                <a:solidFill>
                  <a:schemeClr val="tx2">
                    <a:lumMod val="60000"/>
                    <a:lumOff val="40000"/>
                  </a:schemeClr>
                </a:solidFill>
                <a:ln w="2222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overflow" horzOverflow="overflow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Roboto" panose="02000000000000000000" pitchFamily="2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5145-4F31-9CC3-0F97FDB2D4F1}"/>
                </c:ext>
              </c:extLst>
            </c:dLbl>
            <c:dLbl>
              <c:idx val="4"/>
              <c:layout>
                <c:manualLayout>
                  <c:x val="0.12236699063919489"/>
                  <c:y val="0.19113786843199662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 w="22225">
                  <a:solidFill>
                    <a:srgbClr val="323232"/>
                  </a:solidFill>
                </a:ln>
                <a:effectLst/>
                <a:scene3d>
                  <a:camera prst="orthographicFront"/>
                  <a:lightRig rig="freezing" dir="t"/>
                </a:scene3d>
              </c:spPr>
              <c:txPr>
                <a:bodyPr rot="0" spcFirstLastPara="1" vertOverflow="overflow" horzOverflow="overflow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Roboto" panose="02000000000000000000" pitchFamily="2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5145-4F31-9CC3-0F97FDB2D4F1}"/>
                </c:ext>
              </c:extLst>
            </c:dLbl>
            <c:spPr>
              <a:solidFill>
                <a:schemeClr val="accent2">
                  <a:lumMod val="60000"/>
                  <a:lumOff val="40000"/>
                </a:schemeClr>
              </a:solidFill>
              <a:ln w="22225">
                <a:solidFill>
                  <a:srgbClr val="323232"/>
                </a:solidFill>
              </a:ln>
              <a:effectLst/>
            </c:spPr>
            <c:txPr>
              <a:bodyPr rot="0" spcFirstLastPara="1" vertOverflow="overflow" horzOverflow="overflow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Roboto" panose="02000000000000000000" pitchFamily="2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'US Soy diff units'!$A$179:$A$183</c:f>
              <c:strCache>
                <c:ptCount val="5"/>
                <c:pt idx="0">
                  <c:v>AGP</c:v>
                </c:pt>
                <c:pt idx="1">
                  <c:v>ADM</c:v>
                </c:pt>
                <c:pt idx="2">
                  <c:v>Bunge</c:v>
                </c:pt>
                <c:pt idx="3">
                  <c:v>Cargill</c:v>
                </c:pt>
                <c:pt idx="4">
                  <c:v>Other</c:v>
                </c:pt>
              </c:strCache>
            </c:strRef>
          </c:cat>
          <c:val>
            <c:numRef>
              <c:f>'US Soy diff units'!$B$179:$B$183</c:f>
              <c:numCache>
                <c:formatCode>#,##0</c:formatCode>
                <c:ptCount val="5"/>
                <c:pt idx="0">
                  <c:v>350750000</c:v>
                </c:pt>
                <c:pt idx="1">
                  <c:v>571725000</c:v>
                </c:pt>
                <c:pt idx="2">
                  <c:v>374500000</c:v>
                </c:pt>
                <c:pt idx="3">
                  <c:v>483300000</c:v>
                </c:pt>
                <c:pt idx="4">
                  <c:v>557417700.58949995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45-4F31-9CC3-0F97FDB2D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/>
              <a:t>Rapid expansion in U.S.</a:t>
            </a:r>
            <a:r>
              <a:rPr lang="en-US" sz="2000" baseline="0"/>
              <a:t> soybean oil refining capacity reduced strain on the supply chain but drove margins lower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22267371972015E-2"/>
          <c:y val="0.16863132190959096"/>
          <c:w val="0.83133544812560656"/>
          <c:h val="0.60409662804975361"/>
        </c:manualLayout>
      </c:layout>
      <c:barChart>
        <c:barDir val="col"/>
        <c:grouping val="clustered"/>
        <c:varyColors val="0"/>
        <c:ser>
          <c:idx val="1"/>
          <c:order val="1"/>
          <c:tx>
            <c:v>Refining Margin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7-45A8-83AD-7583292593E6}"/>
              </c:ext>
            </c:extLst>
          </c:dPt>
          <c:dPt>
            <c:idx val="7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7-45A8-83AD-7583292593E6}"/>
              </c:ext>
            </c:extLst>
          </c:dPt>
          <c:cat>
            <c:strRef>
              <c:f>'US Soy diff units'!$C$155:$C$171</c:f>
              <c:strCache>
                <c:ptCount val="17"/>
                <c:pt idx="0">
                  <c:v>2017/18</c:v>
                </c:pt>
                <c:pt idx="1">
                  <c:v>2018/19</c:v>
                </c:pt>
                <c:pt idx="2">
                  <c:v>2019/20</c:v>
                </c:pt>
                <c:pt idx="3">
                  <c:v>2020/21</c:v>
                </c:pt>
                <c:pt idx="4">
                  <c:v>2021/22</c:v>
                </c:pt>
                <c:pt idx="5">
                  <c:v>2022/23</c:v>
                </c:pt>
                <c:pt idx="6">
                  <c:v>2023/24</c:v>
                </c:pt>
                <c:pt idx="7">
                  <c:v>2024/25</c:v>
                </c:pt>
                <c:pt idx="8">
                  <c:v>2025/26</c:v>
                </c:pt>
                <c:pt idx="9">
                  <c:v>2026/27</c:v>
                </c:pt>
                <c:pt idx="10">
                  <c:v>2027/28</c:v>
                </c:pt>
                <c:pt idx="11">
                  <c:v>2028/29</c:v>
                </c:pt>
                <c:pt idx="12">
                  <c:v>2029/30</c:v>
                </c:pt>
                <c:pt idx="13">
                  <c:v>2030/31</c:v>
                </c:pt>
                <c:pt idx="14">
                  <c:v>2031/32</c:v>
                </c:pt>
                <c:pt idx="15">
                  <c:v>2032/33</c:v>
                </c:pt>
                <c:pt idx="16">
                  <c:v>2033/34</c:v>
                </c:pt>
              </c:strCache>
            </c:strRef>
          </c:cat>
          <c:val>
            <c:numRef>
              <c:f>'[3]Soy Complex'!$BG$622:$BW$622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2CB7-45A8-83AD-758329259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70497568"/>
        <c:axId val="670498528"/>
      </c:barChart>
      <c:lineChart>
        <c:grouping val="standard"/>
        <c:varyColors val="0"/>
        <c:ser>
          <c:idx val="0"/>
          <c:order val="0"/>
          <c:tx>
            <c:v>Percent of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>
                  <a:alpha val="98000"/>
                </a:schemeClr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'US Soy diff units'!$C$155:$C$163</c:f>
              <c:strCache>
                <c:ptCount val="9"/>
                <c:pt idx="0">
                  <c:v>2017/18</c:v>
                </c:pt>
                <c:pt idx="1">
                  <c:v>2018/19</c:v>
                </c:pt>
                <c:pt idx="2">
                  <c:v>2019/20</c:v>
                </c:pt>
                <c:pt idx="3">
                  <c:v>2020/21</c:v>
                </c:pt>
                <c:pt idx="4">
                  <c:v>2021/22</c:v>
                </c:pt>
                <c:pt idx="5">
                  <c:v>2022/23</c:v>
                </c:pt>
                <c:pt idx="6">
                  <c:v>2023/24</c:v>
                </c:pt>
                <c:pt idx="7">
                  <c:v>2024/25</c:v>
                </c:pt>
                <c:pt idx="8">
                  <c:v>2025/26</c:v>
                </c:pt>
              </c:strCache>
            </c:strRef>
          </c:cat>
          <c:val>
            <c:numRef>
              <c:f>'US Soy diff units'!$S$155:$S$171</c:f>
              <c:numCache>
                <c:formatCode>0%</c:formatCode>
                <c:ptCount val="17"/>
                <c:pt idx="0">
                  <c:v>0.93874378544475079</c:v>
                </c:pt>
                <c:pt idx="1">
                  <c:v>0.95358510476643765</c:v>
                </c:pt>
                <c:pt idx="2">
                  <c:v>0.96111554934180699</c:v>
                </c:pt>
                <c:pt idx="3">
                  <c:v>0.99691582529566802</c:v>
                </c:pt>
                <c:pt idx="4">
                  <c:v>1.0161858965834338</c:v>
                </c:pt>
                <c:pt idx="5">
                  <c:v>0.90910192641317267</c:v>
                </c:pt>
                <c:pt idx="6">
                  <c:v>0.86000935964732084</c:v>
                </c:pt>
                <c:pt idx="7">
                  <c:v>0.90845121015269281</c:v>
                </c:pt>
                <c:pt idx="8">
                  <c:v>0.91873045569008349</c:v>
                </c:pt>
                <c:pt idx="9">
                  <c:v>0.97465287506612897</c:v>
                </c:pt>
                <c:pt idx="10">
                  <c:v>0.97712791044468561</c:v>
                </c:pt>
                <c:pt idx="11">
                  <c:v>0.96711311769978991</c:v>
                </c:pt>
                <c:pt idx="12">
                  <c:v>1.0151118787723932</c:v>
                </c:pt>
                <c:pt idx="13">
                  <c:v>1.0447284321431995</c:v>
                </c:pt>
                <c:pt idx="14">
                  <c:v>1.0147631367095851</c:v>
                </c:pt>
                <c:pt idx="15">
                  <c:v>1.0044145476655828</c:v>
                </c:pt>
                <c:pt idx="16">
                  <c:v>1.0266166897851594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B7-45A8-83AD-758329259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133328"/>
        <c:axId val="818722352"/>
      </c:lineChart>
      <c:catAx>
        <c:axId val="6704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70498528"/>
        <c:crosses val="autoZero"/>
        <c:auto val="1"/>
        <c:lblAlgn val="ctr"/>
        <c:lblOffset val="100"/>
        <c:noMultiLvlLbl val="0"/>
      </c:catAx>
      <c:valAx>
        <c:axId val="6704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Soybean</a:t>
                </a:r>
                <a:r>
                  <a:rPr lang="en-US" sz="1000" baseline="0"/>
                  <a:t> Oil Refining Margin (₵/lb)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70497568"/>
        <c:crosses val="autoZero"/>
        <c:crossBetween val="between"/>
      </c:valAx>
      <c:valAx>
        <c:axId val="818722352"/>
        <c:scaling>
          <c:orientation val="minMax"/>
          <c:min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Portion</a:t>
                </a:r>
                <a:r>
                  <a:rPr lang="en-US" sz="1000" baseline="0"/>
                  <a:t> of Estimated Capacity Used in Refining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2133328"/>
        <c:crosses val="max"/>
        <c:crossBetween val="between"/>
      </c:valAx>
      <c:catAx>
        <c:axId val="94213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722352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/>
              <a:t>Rapid expansion in U.S.</a:t>
            </a:r>
            <a:r>
              <a:rPr lang="en-US" sz="2000" baseline="0"/>
              <a:t> soybean oil refining capacity reduced strain on the supply chain but drove margins lower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22267371972015E-2"/>
          <c:y val="0.16863132190959096"/>
          <c:w val="0.83133544812560656"/>
          <c:h val="0.60409662804975361"/>
        </c:manualLayout>
      </c:layout>
      <c:barChart>
        <c:barDir val="col"/>
        <c:grouping val="clustered"/>
        <c:varyColors val="0"/>
        <c:ser>
          <c:idx val="1"/>
          <c:order val="1"/>
          <c:tx>
            <c:v>Refining Margin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3-48C2-A7B1-0C254EA24E31}"/>
              </c:ext>
            </c:extLst>
          </c:dPt>
          <c:dPt>
            <c:idx val="7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3-48C2-A7B1-0C254EA24E31}"/>
              </c:ext>
            </c:extLst>
          </c:dPt>
          <c:cat>
            <c:strRef>
              <c:f>'US Soy diff units'!$C$155:$C$171</c:f>
              <c:strCache>
                <c:ptCount val="17"/>
                <c:pt idx="0">
                  <c:v>2017/18</c:v>
                </c:pt>
                <c:pt idx="1">
                  <c:v>2018/19</c:v>
                </c:pt>
                <c:pt idx="2">
                  <c:v>2019/20</c:v>
                </c:pt>
                <c:pt idx="3">
                  <c:v>2020/21</c:v>
                </c:pt>
                <c:pt idx="4">
                  <c:v>2021/22</c:v>
                </c:pt>
                <c:pt idx="5">
                  <c:v>2022/23</c:v>
                </c:pt>
                <c:pt idx="6">
                  <c:v>2023/24</c:v>
                </c:pt>
                <c:pt idx="7">
                  <c:v>2024/25</c:v>
                </c:pt>
                <c:pt idx="8">
                  <c:v>2025/26</c:v>
                </c:pt>
                <c:pt idx="9">
                  <c:v>2026/27</c:v>
                </c:pt>
                <c:pt idx="10">
                  <c:v>2027/28</c:v>
                </c:pt>
                <c:pt idx="11">
                  <c:v>2028/29</c:v>
                </c:pt>
                <c:pt idx="12">
                  <c:v>2029/30</c:v>
                </c:pt>
                <c:pt idx="13">
                  <c:v>2030/31</c:v>
                </c:pt>
                <c:pt idx="14">
                  <c:v>2031/32</c:v>
                </c:pt>
                <c:pt idx="15">
                  <c:v>2032/33</c:v>
                </c:pt>
                <c:pt idx="16">
                  <c:v>2033/34</c:v>
                </c:pt>
              </c:strCache>
            </c:strRef>
          </c:cat>
          <c:val>
            <c:numRef>
              <c:f>'[3]Soy Complex'!$BG$622:$BW$622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B3C3-48C2-A7B1-0C254EA2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70497568"/>
        <c:axId val="670498528"/>
      </c:barChart>
      <c:lineChart>
        <c:grouping val="standard"/>
        <c:varyColors val="0"/>
        <c:ser>
          <c:idx val="0"/>
          <c:order val="0"/>
          <c:tx>
            <c:v>Percent of Capacity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>
                  <a:alpha val="98000"/>
                </a:schemeClr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'US Soy diff units'!$C$155:$C$163</c:f>
              <c:strCache>
                <c:ptCount val="9"/>
                <c:pt idx="0">
                  <c:v>2017/18</c:v>
                </c:pt>
                <c:pt idx="1">
                  <c:v>2018/19</c:v>
                </c:pt>
                <c:pt idx="2">
                  <c:v>2019/20</c:v>
                </c:pt>
                <c:pt idx="3">
                  <c:v>2020/21</c:v>
                </c:pt>
                <c:pt idx="4">
                  <c:v>2021/22</c:v>
                </c:pt>
                <c:pt idx="5">
                  <c:v>2022/23</c:v>
                </c:pt>
                <c:pt idx="6">
                  <c:v>2023/24</c:v>
                </c:pt>
                <c:pt idx="7">
                  <c:v>2024/25</c:v>
                </c:pt>
                <c:pt idx="8">
                  <c:v>2025/26</c:v>
                </c:pt>
              </c:strCache>
            </c:strRef>
          </c:cat>
          <c:val>
            <c:numRef>
              <c:f>'US Soy diff units'!$R$155:$R$171</c:f>
              <c:numCache>
                <c:formatCode>0%</c:formatCode>
                <c:ptCount val="17"/>
                <c:pt idx="0">
                  <c:v>0.86996177235994532</c:v>
                </c:pt>
                <c:pt idx="1">
                  <c:v>0.89428840000584198</c:v>
                </c:pt>
                <c:pt idx="2">
                  <c:v>0.8923260855383971</c:v>
                </c:pt>
                <c:pt idx="3">
                  <c:v>0.92652349580145366</c:v>
                </c:pt>
                <c:pt idx="4">
                  <c:v>0.92906981219381957</c:v>
                </c:pt>
                <c:pt idx="5">
                  <c:v>0.90910192641317267</c:v>
                </c:pt>
                <c:pt idx="6">
                  <c:v>0.86000935964732084</c:v>
                </c:pt>
                <c:pt idx="7">
                  <c:v>0.90845121015269281</c:v>
                </c:pt>
                <c:pt idx="8">
                  <c:v>0.91873045569008349</c:v>
                </c:pt>
                <c:pt idx="9">
                  <c:v>0.97465287506612897</c:v>
                </c:pt>
                <c:pt idx="10">
                  <c:v>0.97712791044468561</c:v>
                </c:pt>
                <c:pt idx="11">
                  <c:v>0.96711311769978991</c:v>
                </c:pt>
                <c:pt idx="12">
                  <c:v>1.0151118787723932</c:v>
                </c:pt>
                <c:pt idx="13">
                  <c:v>1.0447284321431995</c:v>
                </c:pt>
                <c:pt idx="14">
                  <c:v>1.0147631367095851</c:v>
                </c:pt>
                <c:pt idx="15">
                  <c:v>1.0044145476655828</c:v>
                </c:pt>
                <c:pt idx="16">
                  <c:v>1.0266166897851594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C3-48C2-A7B1-0C254EA2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133328"/>
        <c:axId val="818722352"/>
      </c:lineChart>
      <c:catAx>
        <c:axId val="6704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70498528"/>
        <c:crosses val="autoZero"/>
        <c:auto val="1"/>
        <c:lblAlgn val="ctr"/>
        <c:lblOffset val="100"/>
        <c:noMultiLvlLbl val="0"/>
      </c:catAx>
      <c:valAx>
        <c:axId val="6704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Soybean</a:t>
                </a:r>
                <a:r>
                  <a:rPr lang="en-US" sz="1000" baseline="0"/>
                  <a:t> Oil Refining Margin (₵/lb)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70497568"/>
        <c:crosses val="autoZero"/>
        <c:crossBetween val="between"/>
      </c:valAx>
      <c:valAx>
        <c:axId val="818722352"/>
        <c:scaling>
          <c:orientation val="minMax"/>
          <c:min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Portion</a:t>
                </a:r>
                <a:r>
                  <a:rPr lang="en-US" sz="1000" baseline="0"/>
                  <a:t> of Estimated Capacity Used in Refining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2133328"/>
        <c:crosses val="max"/>
        <c:crossBetween val="between"/>
      </c:valAx>
      <c:catAx>
        <c:axId val="94213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722352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600"/>
              <a:t>After a</a:t>
            </a:r>
            <a:r>
              <a:rPr lang="en-US" sz="1600" baseline="0"/>
              <a:t> sharp jump in demand in 2018</a:t>
            </a:r>
            <a:r>
              <a:rPr lang="en-US" sz="1600"/>
              <a:t>, </a:t>
            </a:r>
            <a:br>
              <a:rPr lang="en-US" sz="1600"/>
            </a:br>
            <a:r>
              <a:rPr lang="en-US" sz="1600"/>
              <a:t>U.S. </a:t>
            </a:r>
            <a:r>
              <a:rPr lang="en-US" sz="1600" baseline="0"/>
              <a:t> </a:t>
            </a:r>
            <a:r>
              <a:rPr lang="en-US" sz="1600"/>
              <a:t>soybean crushers expanded capacity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20811549567749E-2"/>
          <c:y val="0.13757723973794356"/>
          <c:w val="0.89946132848427129"/>
          <c:h val="0.63116123524510082"/>
        </c:manualLayout>
      </c:layout>
      <c:barChart>
        <c:barDir val="col"/>
        <c:grouping val="clustered"/>
        <c:varyColors val="0"/>
        <c:ser>
          <c:idx val="1"/>
          <c:order val="0"/>
          <c:tx>
            <c:v>Crush Capacity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4B3E959-8505-41AE-8379-F7747A5426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F0-4E0B-931D-2E12894B95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4E1C591-F6E6-4926-9A1B-53E4F541A0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F0-4E0B-931D-2E12894B95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4DD8CE-DFD5-4E14-A49D-AE3DE997F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F0-4E0B-931D-2E12894B95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A97D1F-A0C8-4274-BCFF-6D430D947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F0-4E0B-931D-2E12894B95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7BA9D1A-D29E-4517-9BC7-A0E8E1FA2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F0-4E0B-931D-2E12894B95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7C61DB-57BC-4F3C-A3F5-7D02B8242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EF0-4E0B-931D-2E12894B95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202138-ACEA-44E6-AA5E-195947C36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EF0-4E0B-931D-2E12894B95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498AF4-0029-4361-A8FF-00570DC36C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EF0-4E0B-931D-2E12894B95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986B655-2427-4028-B38E-3C276CACA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EF0-4E0B-931D-2E12894B95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F12767E-087B-4F98-8C51-D3306643E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EF0-4E0B-931D-2E12894B95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C4E7F09-4F63-4824-94D0-F7145122E6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EF0-4E0B-931D-2E12894B95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4AB622-BB67-4266-84FC-BDAF278FEC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EF0-4E0B-931D-2E12894B95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8AB742A-62AF-41C4-A373-140346AE81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EF0-4E0B-931D-2E12894B95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58F1838-2611-41F1-9394-CB0F30894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EF0-4E0B-931D-2E12894B95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FEC0A97-5B1F-4F37-AED1-B3C34C1E3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EF0-4E0B-931D-2E12894B95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DEE167-9FC4-490C-80AA-B09E25BA6A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EF0-4E0B-931D-2E12894B95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0F07B79-3B69-4260-A653-C3A30869AB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EF0-4E0B-931D-2E12894B95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C9964B1-A7C0-48CC-9437-F3B9993F6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EF0-4E0B-931D-2E12894B95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77507EA-2A62-4713-A092-AC8BC12E2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EF0-4E0B-931D-2E12894B95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CF657E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'US Soy diff units'!$B$132:$B$150</c:f>
              <c:strCache>
                <c:ptCount val="19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2020/21</c:v>
                </c:pt>
                <c:pt idx="6">
                  <c:v>2021/22</c:v>
                </c:pt>
                <c:pt idx="7">
                  <c:v>2022/23</c:v>
                </c:pt>
                <c:pt idx="8">
                  <c:v>2023/24</c:v>
                </c:pt>
                <c:pt idx="9">
                  <c:v>2024/25</c:v>
                </c:pt>
                <c:pt idx="10">
                  <c:v>2025/26</c:v>
                </c:pt>
                <c:pt idx="11">
                  <c:v>2026/27</c:v>
                </c:pt>
                <c:pt idx="12">
                  <c:v>2027/28</c:v>
                </c:pt>
                <c:pt idx="13">
                  <c:v>2028/29</c:v>
                </c:pt>
                <c:pt idx="14">
                  <c:v>2029/30</c:v>
                </c:pt>
                <c:pt idx="15">
                  <c:v>2030/31</c:v>
                </c:pt>
                <c:pt idx="16">
                  <c:v>2031/32</c:v>
                </c:pt>
                <c:pt idx="17">
                  <c:v>2032/33</c:v>
                </c:pt>
                <c:pt idx="18">
                  <c:v>2033/34</c:v>
                </c:pt>
              </c:strCache>
            </c:strRef>
          </c:cat>
          <c:val>
            <c:numRef>
              <c:f>'US Soy diff units'!$D$132:$D$150</c:f>
              <c:numCache>
                <c:formatCode>#,##0</c:formatCode>
                <c:ptCount val="19"/>
                <c:pt idx="0">
                  <c:v>2038909412.1697798</c:v>
                </c:pt>
                <c:pt idx="1">
                  <c:v>2056786616.2843635</c:v>
                </c:pt>
                <c:pt idx="2">
                  <c:v>2066079251.627104</c:v>
                </c:pt>
                <c:pt idx="3">
                  <c:v>2130973789.9388757</c:v>
                </c:pt>
                <c:pt idx="4">
                  <c:v>2244398945.1918101</c:v>
                </c:pt>
                <c:pt idx="5">
                  <c:v>2307673847.13308</c:v>
                </c:pt>
                <c:pt idx="6">
                  <c:v>2361717886.2848454</c:v>
                </c:pt>
                <c:pt idx="7">
                  <c:v>2426648033.6323881</c:v>
                </c:pt>
                <c:pt idx="8">
                  <c:v>2509359509.5595751</c:v>
                </c:pt>
                <c:pt idx="9">
                  <c:v>2667949532.3144536</c:v>
                </c:pt>
                <c:pt idx="10">
                  <c:v>2757667842.1259766</c:v>
                </c:pt>
                <c:pt idx="11">
                  <c:v>2853210138.4491487</c:v>
                </c:pt>
                <c:pt idx="12">
                  <c:v>2898904643.8875785</c:v>
                </c:pt>
                <c:pt idx="13">
                  <c:v>3021130475.2642484</c:v>
                </c:pt>
                <c:pt idx="14">
                  <c:v>3045732147.5437603</c:v>
                </c:pt>
                <c:pt idx="15">
                  <c:v>3069918948.6385632</c:v>
                </c:pt>
                <c:pt idx="16">
                  <c:v>3219016109.4380341</c:v>
                </c:pt>
                <c:pt idx="17">
                  <c:v>3312009723.3680429</c:v>
                </c:pt>
                <c:pt idx="18">
                  <c:v>3367309868.744616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'US Soy diff units'!$M$132:$M$150</c15:f>
                <c15:dlblRangeCache>
                  <c:ptCount val="19"/>
                  <c:pt idx="0">
                    <c:v>153</c:v>
                  </c:pt>
                  <c:pt idx="1">
                    <c:v>156</c:v>
                  </c:pt>
                  <c:pt idx="2">
                    <c:v>11</c:v>
                  </c:pt>
                  <c:pt idx="3">
                    <c:v>39</c:v>
                  </c:pt>
                  <c:pt idx="4">
                    <c:v>80</c:v>
                  </c:pt>
                  <c:pt idx="5">
                    <c:v>167</c:v>
                  </c:pt>
                  <c:pt idx="6">
                    <c:v>158</c:v>
                  </c:pt>
                  <c:pt idx="7">
                    <c:v>215</c:v>
                  </c:pt>
                  <c:pt idx="8">
                    <c:v>224</c:v>
                  </c:pt>
                  <c:pt idx="9">
                    <c:v>243</c:v>
                  </c:pt>
                  <c:pt idx="10">
                    <c:v>238</c:v>
                  </c:pt>
                  <c:pt idx="11">
                    <c:v>253</c:v>
                  </c:pt>
                  <c:pt idx="12">
                    <c:v>274</c:v>
                  </c:pt>
                  <c:pt idx="13">
                    <c:v>321</c:v>
                  </c:pt>
                  <c:pt idx="14">
                    <c:v>321</c:v>
                  </c:pt>
                  <c:pt idx="15">
                    <c:v>320</c:v>
                  </c:pt>
                  <c:pt idx="16">
                    <c:v>344</c:v>
                  </c:pt>
                  <c:pt idx="17">
                    <c:v>362</c:v>
                  </c:pt>
                  <c:pt idx="18">
                    <c:v>367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EF0-4E0B-931D-2E12894B9543}"/>
            </c:ext>
          </c:extLst>
        </c:ser>
        <c:ser>
          <c:idx val="0"/>
          <c:order val="1"/>
          <c:tx>
            <c:v>Crush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Soy diff units'!$B$132:$B$150</c:f>
              <c:strCache>
                <c:ptCount val="19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2020/21</c:v>
                </c:pt>
                <c:pt idx="6">
                  <c:v>2021/22</c:v>
                </c:pt>
                <c:pt idx="7">
                  <c:v>2022/23</c:v>
                </c:pt>
                <c:pt idx="8">
                  <c:v>2023/24</c:v>
                </c:pt>
                <c:pt idx="9">
                  <c:v>2024/25</c:v>
                </c:pt>
                <c:pt idx="10">
                  <c:v>2025/26</c:v>
                </c:pt>
                <c:pt idx="11">
                  <c:v>2026/27</c:v>
                </c:pt>
                <c:pt idx="12">
                  <c:v>2027/28</c:v>
                </c:pt>
                <c:pt idx="13">
                  <c:v>2028/29</c:v>
                </c:pt>
                <c:pt idx="14">
                  <c:v>2029/30</c:v>
                </c:pt>
                <c:pt idx="15">
                  <c:v>2030/31</c:v>
                </c:pt>
                <c:pt idx="16">
                  <c:v>2031/32</c:v>
                </c:pt>
                <c:pt idx="17">
                  <c:v>2032/33</c:v>
                </c:pt>
                <c:pt idx="18">
                  <c:v>2033/34</c:v>
                </c:pt>
              </c:strCache>
            </c:strRef>
          </c:cat>
          <c:val>
            <c:numRef>
              <c:f>'US Soy diff units'!$N$132:$N$150</c:f>
              <c:numCache>
                <c:formatCode>#,##0</c:formatCode>
                <c:ptCount val="19"/>
                <c:pt idx="0">
                  <c:v>1886237840</c:v>
                </c:pt>
                <c:pt idx="1">
                  <c:v>1901198066.6666663</c:v>
                </c:pt>
                <c:pt idx="2">
                  <c:v>2054932000.0000002</c:v>
                </c:pt>
                <c:pt idx="3">
                  <c:v>2091990266.6666667</c:v>
                </c:pt>
                <c:pt idx="4">
                  <c:v>2164554233.333334</c:v>
                </c:pt>
                <c:pt idx="5">
                  <c:v>2140584666.6666667</c:v>
                </c:pt>
                <c:pt idx="6">
                  <c:v>2203872166.6666665</c:v>
                </c:pt>
                <c:pt idx="7">
                  <c:v>2211937833.3333335</c:v>
                </c:pt>
                <c:pt idx="8">
                  <c:v>2285303166.6666665</c:v>
                </c:pt>
                <c:pt idx="9">
                  <c:v>2425000000</c:v>
                </c:pt>
                <c:pt idx="10">
                  <c:v>2520000000</c:v>
                </c:pt>
                <c:pt idx="11">
                  <c:v>2600000000</c:v>
                </c:pt>
                <c:pt idx="12">
                  <c:v>2625000000</c:v>
                </c:pt>
                <c:pt idx="13">
                  <c:v>2700000000</c:v>
                </c:pt>
                <c:pt idx="14">
                  <c:v>2725000000</c:v>
                </c:pt>
                <c:pt idx="15">
                  <c:v>2750000000</c:v>
                </c:pt>
                <c:pt idx="16">
                  <c:v>2875000000</c:v>
                </c:pt>
                <c:pt idx="17">
                  <c:v>2950000000</c:v>
                </c:pt>
                <c:pt idx="18">
                  <c:v>3000000000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F0-4E0B-931D-2E12894B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100"/>
        <c:axId val="228871167"/>
        <c:axId val="1142757824"/>
      </c:barChart>
      <c:catAx>
        <c:axId val="2288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42757824"/>
        <c:crosses val="autoZero"/>
        <c:auto val="1"/>
        <c:lblAlgn val="ctr"/>
        <c:lblOffset val="100"/>
        <c:noMultiLvlLbl val="0"/>
      </c:catAx>
      <c:valAx>
        <c:axId val="1142757824"/>
        <c:scaling>
          <c:orientation val="minMax"/>
          <c:min val="150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2887116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379871405739859E-3"/>
                <c:y val="0.37578489317937053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r>
                    <a:rPr lang="en-US" sz="1050"/>
                    <a:t>million</a:t>
                  </a:r>
                  <a:r>
                    <a:rPr lang="en-US" sz="1050" baseline="0"/>
                    <a:t> bushels</a:t>
                  </a:r>
                  <a:endParaRPr lang="en-US" sz="105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C0D109-0C25-4B95-B98C-7AA3C5337E4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8FA4A3-A353-4650-8798-F5D8AA24EC7F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53C3A0-FC22-42BE-86BD-6F6918F54C20}">
  <sheetPr/>
  <sheetViews>
    <sheetView zoomScale="108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177215-EEDF-4522-853B-92F3CA6405DB}">
  <sheetPr/>
  <sheetViews>
    <sheetView zoomScale="108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90A25A-8454-4677-83EF-96349CB6F721}">
  <sheetPr/>
  <sheetViews>
    <sheetView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E4D7D-D20A-2A0E-11F7-3F827BD841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0.95752</cdr:y>
    </cdr:from>
    <cdr:to>
      <cdr:x>0.29188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086E97-4016-FB8F-2C0D-568B038778D8}"/>
            </a:ext>
          </a:extLst>
        </cdr:cNvPr>
        <cdr:cNvSpPr txBox="1"/>
      </cdr:nvSpPr>
      <cdr:spPr>
        <a:xfrm xmlns:a="http://schemas.openxmlformats.org/drawingml/2006/main">
          <a:off x="0" y="5153025"/>
          <a:ext cx="27717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810FA-591A-A54D-0C7E-BFCFD317AE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0.94865</cdr:y>
    </cdr:from>
    <cdr:to>
      <cdr:x>0.24048</cdr:x>
      <cdr:y>0.9923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8757F7-DF8D-9818-4E8A-2E71BC334F44}"/>
            </a:ext>
          </a:extLst>
        </cdr:cNvPr>
        <cdr:cNvSpPr txBox="1"/>
      </cdr:nvSpPr>
      <cdr:spPr>
        <a:xfrm xmlns:a="http://schemas.openxmlformats.org/drawingml/2006/main">
          <a:off x="0" y="5111972"/>
          <a:ext cx="2284236" cy="2352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86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5C4C3-0D0E-E73E-BF7A-CC7F679EC1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0.94659</cdr:y>
    </cdr:from>
    <cdr:to>
      <cdr:x>0.27027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7B4048-E550-390E-991E-7A0671C70244}"/>
            </a:ext>
          </a:extLst>
        </cdr:cNvPr>
        <cdr:cNvSpPr txBox="1"/>
      </cdr:nvSpPr>
      <cdr:spPr>
        <a:xfrm xmlns:a="http://schemas.openxmlformats.org/drawingml/2006/main">
          <a:off x="0" y="4359519"/>
          <a:ext cx="2198077" cy="245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badi" panose="020B0604020104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0.48753</cdr:x>
      <cdr:y>0.17421</cdr:y>
    </cdr:from>
    <cdr:to>
      <cdr:x>0.86617</cdr:x>
      <cdr:y>0.25447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F741729-8563-49FA-73BD-6D7752369288}"/>
            </a:ext>
          </a:extLst>
        </cdr:cNvPr>
        <cdr:cNvSpPr txBox="1"/>
      </cdr:nvSpPr>
      <cdr:spPr>
        <a:xfrm xmlns:a="http://schemas.openxmlformats.org/drawingml/2006/main">
          <a:off x="4627549" y="936433"/>
          <a:ext cx="3594029" cy="431443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0">
              <a:solidFill>
                <a:srgbClr val="6F0791"/>
              </a:solidFill>
              <a:latin typeface="Abadi" panose="020B0604020104020204" pitchFamily="34" charset="0"/>
            </a:rPr>
            <a:t>Estimated U.S.</a:t>
          </a:r>
          <a:r>
            <a:rPr lang="en-US" sz="1100" b="0" baseline="0">
              <a:solidFill>
                <a:srgbClr val="6F0791"/>
              </a:solidFill>
              <a:latin typeface="Abadi" panose="020B0604020104020204" pitchFamily="34" charset="0"/>
            </a:rPr>
            <a:t> soybean oil refining capacity divided by U.S. domestic refined soybean oil demand.</a:t>
          </a:r>
          <a:endParaRPr lang="en-US" sz="1100" b="0">
            <a:solidFill>
              <a:srgbClr val="6F0791"/>
            </a:solidFill>
            <a:latin typeface="Abadi" panose="020B0604020104020204" pitchFamily="34" charset="0"/>
          </a:endParaRPr>
        </a:p>
      </cdr:txBody>
    </cdr:sp>
  </cdr:relSizeAnchor>
  <cdr:relSizeAnchor xmlns:cdr="http://schemas.openxmlformats.org/drawingml/2006/chartDrawing">
    <cdr:from>
      <cdr:x>0.33944</cdr:x>
      <cdr:y>0.20784</cdr:y>
    </cdr:from>
    <cdr:to>
      <cdr:x>0.49043</cdr:x>
      <cdr:y>0.2188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2FF8C2F8-A2AA-74C3-5E38-E0E55B131796}"/>
            </a:ext>
          </a:extLst>
        </cdr:cNvPr>
        <cdr:cNvCxnSpPr/>
      </cdr:nvCxnSpPr>
      <cdr:spPr>
        <a:xfrm xmlns:a="http://schemas.openxmlformats.org/drawingml/2006/main" flipH="1">
          <a:off x="3221935" y="1117218"/>
          <a:ext cx="1433140" cy="58912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0.4244</cdr:x>
      <cdr:y>0.39226</cdr:y>
    </cdr:from>
    <cdr:to>
      <cdr:x>0.84681</cdr:x>
      <cdr:y>0.48382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63DEA27-AE73-B3FF-620B-2DA2E21F56BC}"/>
            </a:ext>
          </a:extLst>
        </cdr:cNvPr>
        <cdr:cNvSpPr txBox="1"/>
      </cdr:nvSpPr>
      <cdr:spPr>
        <a:xfrm xmlns:a="http://schemas.openxmlformats.org/drawingml/2006/main">
          <a:off x="4028304" y="2108546"/>
          <a:ext cx="4009461" cy="492193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  <a:latin typeface="Abadi" panose="020B0604020104020204" pitchFamily="34" charset="0"/>
            </a:rPr>
            <a:t>Fastmarkets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  <a:latin typeface="Abadi" panose="020B0604020104020204" pitchFamily="34" charset="0"/>
            </a:rPr>
            <a:t>' estimate of the soybean oil refining margin in central Illinois.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Abadi" panose="020B0604020104020204" pitchFamily="34" charset="0"/>
          </a:endParaRPr>
        </a:p>
      </cdr:txBody>
    </cdr:sp>
  </cdr:relSizeAnchor>
  <cdr:relSizeAnchor xmlns:cdr="http://schemas.openxmlformats.org/drawingml/2006/chartDrawing">
    <cdr:from>
      <cdr:x>0.45462</cdr:x>
      <cdr:y>0.48382</cdr:y>
    </cdr:from>
    <cdr:to>
      <cdr:x>0.48429</cdr:x>
      <cdr:y>0.62096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6249871-5FF3-0696-96E5-705ED7676A9D}"/>
            </a:ext>
          </a:extLst>
        </cdr:cNvPr>
        <cdr:cNvCxnSpPr/>
      </cdr:nvCxnSpPr>
      <cdr:spPr>
        <a:xfrm xmlns:a="http://schemas.openxmlformats.org/drawingml/2006/main" flipH="1">
          <a:off x="4315239" y="2600732"/>
          <a:ext cx="281579" cy="737159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8784" cy="53829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052DD-0DBC-ECC7-4CD3-84B5B325D8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0.94659</cdr:y>
    </cdr:from>
    <cdr:to>
      <cdr:x>0.27027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7B4048-E550-390E-991E-7A0671C70244}"/>
            </a:ext>
          </a:extLst>
        </cdr:cNvPr>
        <cdr:cNvSpPr txBox="1"/>
      </cdr:nvSpPr>
      <cdr:spPr>
        <a:xfrm xmlns:a="http://schemas.openxmlformats.org/drawingml/2006/main">
          <a:off x="0" y="4359519"/>
          <a:ext cx="2198077" cy="245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badi" panose="020B0604020104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0.09791</cdr:x>
      <cdr:y>0.34932</cdr:y>
    </cdr:from>
    <cdr:to>
      <cdr:x>0.21912</cdr:x>
      <cdr:y>0.62096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F741729-8563-49FA-73BD-6D7752369288}"/>
            </a:ext>
          </a:extLst>
        </cdr:cNvPr>
        <cdr:cNvSpPr txBox="1"/>
      </cdr:nvSpPr>
      <cdr:spPr>
        <a:xfrm xmlns:a="http://schemas.openxmlformats.org/drawingml/2006/main">
          <a:off x="930000" y="1880383"/>
          <a:ext cx="1151389" cy="14621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effectLst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0">
              <a:solidFill>
                <a:srgbClr val="6F0791"/>
              </a:solidFill>
              <a:latin typeface="Abadi" panose="020B0604020104020204" pitchFamily="34" charset="0"/>
            </a:rPr>
            <a:t>Estimated U.S.</a:t>
          </a:r>
          <a:r>
            <a:rPr lang="en-US" sz="1100" b="0" baseline="0">
              <a:solidFill>
                <a:srgbClr val="6F0791"/>
              </a:solidFill>
              <a:latin typeface="Abadi" panose="020B0604020104020204" pitchFamily="34" charset="0"/>
            </a:rPr>
            <a:t> soybean oil refining capacity divided by U.S. domestic refined soybean oil demand.</a:t>
          </a:r>
          <a:endParaRPr lang="en-US" sz="1100" b="0">
            <a:solidFill>
              <a:srgbClr val="6F0791"/>
            </a:solidFill>
            <a:latin typeface="Abadi" panose="020B0604020104020204" pitchFamily="34" charset="0"/>
          </a:endParaRPr>
        </a:p>
      </cdr:txBody>
    </cdr:sp>
  </cdr:relSizeAnchor>
  <cdr:relSizeAnchor xmlns:cdr="http://schemas.openxmlformats.org/drawingml/2006/chartDrawing">
    <cdr:from>
      <cdr:x>0.20519</cdr:x>
      <cdr:y>0.29655</cdr:y>
    </cdr:from>
    <cdr:to>
      <cdr:x>0.21634</cdr:x>
      <cdr:y>0.35717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2FF8C2F8-A2AA-74C3-5E38-E0E55B131796}"/>
            </a:ext>
          </a:extLst>
        </cdr:cNvPr>
        <cdr:cNvCxnSpPr/>
      </cdr:nvCxnSpPr>
      <cdr:spPr>
        <a:xfrm xmlns:a="http://schemas.openxmlformats.org/drawingml/2006/main" flipV="1">
          <a:off x="1949097" y="1596319"/>
          <a:ext cx="105834" cy="32632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0.4244</cdr:x>
      <cdr:y>0.33766</cdr:y>
    </cdr:from>
    <cdr:to>
      <cdr:x>0.57406</cdr:x>
      <cdr:y>0.48382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63DEA27-AE73-B3FF-620B-2DA2E21F56BC}"/>
            </a:ext>
          </a:extLst>
        </cdr:cNvPr>
        <cdr:cNvSpPr txBox="1"/>
      </cdr:nvSpPr>
      <cdr:spPr>
        <a:xfrm xmlns:a="http://schemas.openxmlformats.org/drawingml/2006/main">
          <a:off x="4031285" y="1817615"/>
          <a:ext cx="1421560" cy="78675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effectLst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  <a:latin typeface="Abadi" panose="020B0604020104020204" pitchFamily="34" charset="0"/>
            </a:rPr>
            <a:t>Fastmarkets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  <a:latin typeface="Abadi" panose="020B0604020104020204" pitchFamily="34" charset="0"/>
            </a:rPr>
            <a:t>' estimate of the soybean oil refining margin in central Illinois.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Abadi" panose="020B0604020104020204" pitchFamily="34" charset="0"/>
          </a:endParaRPr>
        </a:p>
      </cdr:txBody>
    </cdr:sp>
  </cdr:relSizeAnchor>
  <cdr:relSizeAnchor xmlns:cdr="http://schemas.openxmlformats.org/drawingml/2006/chartDrawing">
    <cdr:from>
      <cdr:x>0.45774</cdr:x>
      <cdr:y>0.48382</cdr:y>
    </cdr:from>
    <cdr:to>
      <cdr:x>0.48429</cdr:x>
      <cdr:y>0.59474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6249871-5FF3-0696-96E5-705ED7676A9D}"/>
            </a:ext>
          </a:extLst>
        </cdr:cNvPr>
        <cdr:cNvCxnSpPr/>
      </cdr:nvCxnSpPr>
      <cdr:spPr>
        <a:xfrm xmlns:a="http://schemas.openxmlformats.org/drawingml/2006/main" flipH="1">
          <a:off x="4347986" y="2604372"/>
          <a:ext cx="252180" cy="597086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8D107-3868-479A-B2EE-DCD3E63BDF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0.95223</cdr:y>
    </cdr:from>
    <cdr:to>
      <cdr:x>0.28849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304104-7F46-9328-4439-D51481EE7A8B}"/>
            </a:ext>
          </a:extLst>
        </cdr:cNvPr>
        <cdr:cNvSpPr txBox="1"/>
      </cdr:nvSpPr>
      <cdr:spPr>
        <a:xfrm xmlns:a="http://schemas.openxmlformats.org/drawingml/2006/main">
          <a:off x="0" y="4384692"/>
          <a:ext cx="2345871" cy="219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badi" panose="020B0604020104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0.39431</cdr:x>
      <cdr:y>0.20581</cdr:y>
    </cdr:from>
    <cdr:to>
      <cdr:x>0.80059</cdr:x>
      <cdr:y>0.26128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74E735A-45F4-6E51-CCAF-F72D2E0EE1D6}"/>
            </a:ext>
          </a:extLst>
        </cdr:cNvPr>
        <cdr:cNvSpPr txBox="1"/>
      </cdr:nvSpPr>
      <cdr:spPr>
        <a:xfrm xmlns:a="http://schemas.openxmlformats.org/drawingml/2006/main">
          <a:off x="3744556" y="1107603"/>
          <a:ext cx="3858207" cy="298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>
                  <a:lumMod val="50000"/>
                  <a:lumOff val="50000"/>
                </a:schemeClr>
              </a:solidFill>
              <a:latin typeface="Aptos Display" panose="020B0004020202020204" pitchFamily="34" charset="0"/>
            </a:rPr>
            <a:t>Sep/Aug Marketing-year</a:t>
          </a:r>
          <a:r>
            <a:rPr lang="en-US" sz="1100" b="1" baseline="0">
              <a:solidFill>
                <a:schemeClr val="tx1">
                  <a:lumMod val="50000"/>
                  <a:lumOff val="50000"/>
                </a:schemeClr>
              </a:solidFill>
              <a:latin typeface="Aptos Display" panose="020B0004020202020204" pitchFamily="34" charset="0"/>
            </a:rPr>
            <a:t> U.S. crushing volume</a:t>
          </a:r>
          <a:endParaRPr lang="en-US" sz="1100" b="1">
            <a:solidFill>
              <a:schemeClr val="tx1">
                <a:lumMod val="50000"/>
                <a:lumOff val="50000"/>
              </a:schemeClr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0.63591</cdr:x>
      <cdr:y>0.26018</cdr:y>
    </cdr:from>
    <cdr:to>
      <cdr:x>0.67703</cdr:x>
      <cdr:y>0.66549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4F4C7F76-F969-9498-74C5-76D960FB08BB}"/>
            </a:ext>
          </a:extLst>
        </cdr:cNvPr>
        <cdr:cNvCxnSpPr/>
      </cdr:nvCxnSpPr>
      <cdr:spPr>
        <a:xfrm xmlns:a="http://schemas.openxmlformats.org/drawingml/2006/main">
          <a:off x="6038850" y="1400175"/>
          <a:ext cx="390515" cy="218124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0.54342</cdr:x>
      <cdr:y>0.14228</cdr:y>
    </cdr:from>
    <cdr:to>
      <cdr:x>0.90992</cdr:x>
      <cdr:y>0.20853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6604C1-3A87-6292-1EB7-150CDCB0C9D7}"/>
            </a:ext>
          </a:extLst>
        </cdr:cNvPr>
        <cdr:cNvSpPr txBox="1"/>
      </cdr:nvSpPr>
      <cdr:spPr>
        <a:xfrm xmlns:a="http://schemas.openxmlformats.org/drawingml/2006/main">
          <a:off x="5160592" y="765693"/>
          <a:ext cx="3480440" cy="356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CF3C3C"/>
              </a:solidFill>
              <a:latin typeface="Aptos Display" panose="020B0004020202020204" pitchFamily="34" charset="0"/>
            </a:rPr>
            <a:t>Fastmarkets</a:t>
          </a:r>
          <a:r>
            <a:rPr lang="en-US" sz="1100" b="1" baseline="0">
              <a:solidFill>
                <a:srgbClr val="CF3C3C"/>
              </a:solidFill>
              <a:latin typeface="Aptos Display" panose="020B0004020202020204" pitchFamily="34" charset="0"/>
            </a:rPr>
            <a:t> estimate of U.S. domestic crushing capacity</a:t>
          </a:r>
          <a:endParaRPr lang="en-US" sz="1100" b="1">
            <a:solidFill>
              <a:srgbClr val="CF3C3C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0.69076</cdr:x>
      <cdr:y>0.1844</cdr:y>
    </cdr:from>
    <cdr:to>
      <cdr:x>0.74696</cdr:x>
      <cdr:y>0.29311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1BE9DB7-ACD2-372E-E589-571B7763241B}"/>
            </a:ext>
          </a:extLst>
        </cdr:cNvPr>
        <cdr:cNvCxnSpPr/>
      </cdr:nvCxnSpPr>
      <cdr:spPr>
        <a:xfrm xmlns:a="http://schemas.openxmlformats.org/drawingml/2006/main">
          <a:off x="5617029" y="849086"/>
          <a:ext cx="456973" cy="500585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0.60646</cdr:x>
      <cdr:y>0.38213</cdr:y>
    </cdr:from>
    <cdr:to>
      <cdr:x>0.61257</cdr:x>
      <cdr:y>0.44376</cdr:y>
    </cdr:to>
    <cdr:sp macro="" textlink="">
      <cdr:nvSpPr>
        <cdr:cNvPr id="8" name="Left Brace 7">
          <a:extLst xmlns:a="http://schemas.openxmlformats.org/drawingml/2006/main">
            <a:ext uri="{FF2B5EF4-FFF2-40B4-BE49-F238E27FC236}">
              <a16:creationId xmlns:a16="http://schemas.microsoft.com/office/drawing/2014/main" id="{C73ADA12-B2FF-5441-826A-F1597D16FE12}"/>
            </a:ext>
          </a:extLst>
        </cdr:cNvPr>
        <cdr:cNvSpPr/>
      </cdr:nvSpPr>
      <cdr:spPr>
        <a:xfrm xmlns:a="http://schemas.openxmlformats.org/drawingml/2006/main">
          <a:off x="5756413" y="2054087"/>
          <a:ext cx="57978" cy="331304"/>
        </a:xfrm>
        <a:prstGeom xmlns:a="http://schemas.openxmlformats.org/drawingml/2006/main" prst="leftBrace">
          <a:avLst/>
        </a:prstGeom>
        <a:ln xmlns:a="http://schemas.openxmlformats.org/drawingml/2006/main" w="15875">
          <a:solidFill>
            <a:srgbClr val="CF657E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0.38918</cdr:x>
      <cdr:y>0.34515</cdr:y>
    </cdr:from>
    <cdr:to>
      <cdr:x>0.54712</cdr:x>
      <cdr:y>0.46533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92491F4-E0FC-2994-6FFE-BFC587DD011D}"/>
            </a:ext>
          </a:extLst>
        </cdr:cNvPr>
        <cdr:cNvSpPr txBox="1"/>
      </cdr:nvSpPr>
      <cdr:spPr>
        <a:xfrm xmlns:a="http://schemas.openxmlformats.org/drawingml/2006/main">
          <a:off x="3694043" y="1855304"/>
          <a:ext cx="1499153" cy="646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CF3C3C"/>
              </a:solidFill>
              <a:latin typeface="Aptos Display" panose="020B0004020202020204" pitchFamily="34" charset="0"/>
            </a:rPr>
            <a:t>Fastmarkets' estimate of unused crushing capacity</a:t>
          </a:r>
        </a:p>
      </cdr:txBody>
    </cdr:sp>
  </cdr:relSizeAnchor>
  <cdr:relSizeAnchor xmlns:cdr="http://schemas.openxmlformats.org/drawingml/2006/chartDrawing">
    <cdr:from>
      <cdr:x>0.52792</cdr:x>
      <cdr:y>0.39445</cdr:y>
    </cdr:from>
    <cdr:to>
      <cdr:x>0.60384</cdr:x>
      <cdr:y>0.41448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E1BE9DB7-ACD2-372E-E589-571B7763241B}"/>
            </a:ext>
          </a:extLst>
        </cdr:cNvPr>
        <cdr:cNvCxnSpPr/>
      </cdr:nvCxnSpPr>
      <cdr:spPr>
        <a:xfrm xmlns:a="http://schemas.openxmlformats.org/drawingml/2006/main">
          <a:off x="5010978" y="2120348"/>
          <a:ext cx="720587" cy="107674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0.52815</cdr:x>
      <cdr:y>0.36105</cdr:y>
    </cdr:from>
    <cdr:to>
      <cdr:x>0.61718</cdr:x>
      <cdr:y>0.39303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04153DE1-D121-B6E8-6780-EF63B85D211D}"/>
            </a:ext>
          </a:extLst>
        </cdr:cNvPr>
        <cdr:cNvCxnSpPr/>
      </cdr:nvCxnSpPr>
      <cdr:spPr>
        <a:xfrm xmlns:a="http://schemas.openxmlformats.org/drawingml/2006/main" flipV="1">
          <a:off x="5013158" y="1940808"/>
          <a:ext cx="845075" cy="17188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0.74431</cdr:x>
      <cdr:y>0.29577</cdr:y>
    </cdr:from>
    <cdr:to>
      <cdr:x>0.7545</cdr:x>
      <cdr:y>0.76596</cdr:y>
    </cdr:to>
    <cdr:sp macro="" textlink="">
      <cdr:nvSpPr>
        <cdr:cNvPr id="19" name="Left Brace 18">
          <a:extLst xmlns:a="http://schemas.openxmlformats.org/drawingml/2006/main">
            <a:ext uri="{FF2B5EF4-FFF2-40B4-BE49-F238E27FC236}">
              <a16:creationId xmlns:a16="http://schemas.microsoft.com/office/drawing/2014/main" id="{13E65FCB-05EF-E2D9-194E-F4892CE8DAE1}"/>
            </a:ext>
          </a:extLst>
        </cdr:cNvPr>
        <cdr:cNvSpPr/>
      </cdr:nvSpPr>
      <cdr:spPr>
        <a:xfrm xmlns:a="http://schemas.openxmlformats.org/drawingml/2006/main">
          <a:off x="6052457" y="1361919"/>
          <a:ext cx="82857" cy="2165052"/>
        </a:xfrm>
        <a:prstGeom xmlns:a="http://schemas.openxmlformats.org/drawingml/2006/main" prst="leftBrace">
          <a:avLst/>
        </a:prstGeom>
        <a:ln xmlns:a="http://schemas.openxmlformats.org/drawingml/2006/main" w="15875">
          <a:solidFill>
            <a:srgbClr val="CF3C3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enewable%20Diesel%20Feedstock%20Usage.xlsx" TargetMode="External"/><Relationship Id="rId1" Type="http://schemas.openxmlformats.org/officeDocument/2006/relationships/externalLinkPath" Target="Renewable%20Diesel%20Feedstock%20Usag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euters%20Cash%20Price%20File.xlsx" TargetMode="External"/><Relationship Id="rId1" Type="http://schemas.openxmlformats.org/officeDocument/2006/relationships/externalLinkPath" Target="Reuters%20Cash%20Price%20Fi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Vegetable%20Oil%20Crude%20and%20Refined%20Balance%20Shee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Old%20Veg%20Oil%20Spreads%20File%20-%20add%20historical%20prices%20to%20relevant%20files%20and%20delete%20this%20when%20everything%20is%20disbursed.xlsx" TargetMode="External"/><Relationship Id="rId1" Type="http://schemas.openxmlformats.org/officeDocument/2006/relationships/externalLinkPath" Target="Old%20Veg%20Oil%20Spreads%20File%20-%20add%20historical%20prices%20to%20relevant%20files%20and%20delete%20this%20when%20everything%20is%20disburse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Crush%20and%20Other%20Stuff%20-%20move%20the%20other%20stuff%20and%20delete%20from%20this%20file%20or%20convert%20to%20just%20world%20crushing%20volumes.xlsx" TargetMode="External"/><Relationship Id="rId1" Type="http://schemas.openxmlformats.org/officeDocument/2006/relationships/externalLinkPath" Target="World%20Crush%20and%20Other%20Stuff%20-%20move%20the%20other%20stuff%20and%20delete%20from%20this%20file%20or%20convert%20to%20just%20world%20crushing%20volum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Rapeseed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  <sheetName val="Renewable Diesel Feedstock Usag"/>
    </sheetNames>
    <sheetDataSet>
      <sheetData sheetId="0"/>
      <sheetData sheetId="1"/>
      <sheetData sheetId="2"/>
      <sheetData sheetId="3"/>
      <sheetData sheetId="4">
        <row r="13">
          <cell r="AX13"/>
        </row>
        <row r="94">
          <cell r="BI94">
            <v>101.25</v>
          </cell>
        </row>
        <row r="95">
          <cell r="BI95">
            <v>101.25</v>
          </cell>
        </row>
        <row r="96">
          <cell r="BI96">
            <v>101.25</v>
          </cell>
        </row>
        <row r="97">
          <cell r="BI97">
            <v>101.25</v>
          </cell>
        </row>
        <row r="98">
          <cell r="BI98">
            <v>101.25</v>
          </cell>
        </row>
        <row r="99">
          <cell r="BI99">
            <v>101.25</v>
          </cell>
        </row>
        <row r="100">
          <cell r="BI100">
            <v>101.25</v>
          </cell>
        </row>
        <row r="101">
          <cell r="BI101">
            <v>101.25</v>
          </cell>
        </row>
        <row r="102">
          <cell r="BI102">
            <v>101.25</v>
          </cell>
        </row>
        <row r="103">
          <cell r="BI103">
            <v>61.25</v>
          </cell>
        </row>
        <row r="104">
          <cell r="BI104">
            <v>108.4375</v>
          </cell>
        </row>
        <row r="105">
          <cell r="BI105">
            <v>115.625</v>
          </cell>
        </row>
        <row r="106">
          <cell r="BI106">
            <v>122.825</v>
          </cell>
        </row>
        <row r="107">
          <cell r="BI107">
            <v>133.75</v>
          </cell>
        </row>
        <row r="108">
          <cell r="BI108">
            <v>133.75</v>
          </cell>
        </row>
        <row r="109">
          <cell r="BI109">
            <v>133.75</v>
          </cell>
        </row>
        <row r="110">
          <cell r="BI110">
            <v>133.75</v>
          </cell>
        </row>
        <row r="111">
          <cell r="BI111">
            <v>133.75</v>
          </cell>
        </row>
        <row r="112">
          <cell r="BI112">
            <v>133.75</v>
          </cell>
        </row>
        <row r="113">
          <cell r="BI113">
            <v>133.75</v>
          </cell>
        </row>
        <row r="114">
          <cell r="BI114">
            <v>133.75</v>
          </cell>
        </row>
        <row r="115">
          <cell r="BI115">
            <v>133.75</v>
          </cell>
        </row>
        <row r="116">
          <cell r="BI116">
            <v>133.75</v>
          </cell>
        </row>
        <row r="117">
          <cell r="BI117">
            <v>133.75</v>
          </cell>
        </row>
        <row r="118">
          <cell r="BI118">
            <v>133.75</v>
          </cell>
        </row>
        <row r="119">
          <cell r="BI119">
            <v>133.75</v>
          </cell>
        </row>
        <row r="120">
          <cell r="BI120">
            <v>133.75</v>
          </cell>
        </row>
        <row r="121">
          <cell r="BI121">
            <v>133.75</v>
          </cell>
        </row>
        <row r="122">
          <cell r="BI122">
            <v>133.75</v>
          </cell>
        </row>
        <row r="123">
          <cell r="BI123">
            <v>133.75</v>
          </cell>
        </row>
        <row r="124">
          <cell r="BI124">
            <v>133.75</v>
          </cell>
        </row>
        <row r="125">
          <cell r="BI125">
            <v>133.75</v>
          </cell>
        </row>
        <row r="126">
          <cell r="BI126">
            <v>133.75</v>
          </cell>
        </row>
        <row r="127">
          <cell r="BI127">
            <v>148.75</v>
          </cell>
        </row>
        <row r="128">
          <cell r="BI128">
            <v>163.75</v>
          </cell>
        </row>
        <row r="129">
          <cell r="BI129">
            <v>178.75</v>
          </cell>
        </row>
        <row r="130">
          <cell r="BI130">
            <v>178.75</v>
          </cell>
        </row>
        <row r="131">
          <cell r="BI131">
            <v>178.75</v>
          </cell>
        </row>
        <row r="132">
          <cell r="BI132">
            <v>178.75</v>
          </cell>
        </row>
        <row r="133">
          <cell r="BI133">
            <v>178.75</v>
          </cell>
        </row>
        <row r="134">
          <cell r="BI134">
            <v>178.75</v>
          </cell>
        </row>
        <row r="135">
          <cell r="BI135">
            <v>178.75</v>
          </cell>
        </row>
        <row r="136">
          <cell r="BI136">
            <v>146.26949999999999</v>
          </cell>
        </row>
        <row r="137">
          <cell r="BI137">
            <v>191.26949999999999</v>
          </cell>
        </row>
        <row r="138">
          <cell r="BI138">
            <v>197.51949999999999</v>
          </cell>
        </row>
        <row r="139">
          <cell r="BI139">
            <v>215</v>
          </cell>
        </row>
        <row r="140">
          <cell r="BI140">
            <v>215</v>
          </cell>
        </row>
        <row r="141">
          <cell r="BI141">
            <v>215</v>
          </cell>
        </row>
        <row r="142">
          <cell r="BI142">
            <v>265</v>
          </cell>
        </row>
        <row r="143">
          <cell r="BI143">
            <v>315</v>
          </cell>
        </row>
        <row r="144">
          <cell r="BI144">
            <v>315</v>
          </cell>
        </row>
        <row r="145">
          <cell r="BI145">
            <v>328.32499999999999</v>
          </cell>
        </row>
        <row r="146">
          <cell r="BI146">
            <v>328.32499999999999</v>
          </cell>
        </row>
        <row r="147">
          <cell r="BI147">
            <v>328.32499999999999</v>
          </cell>
        </row>
        <row r="148">
          <cell r="BI148">
            <v>342.7</v>
          </cell>
        </row>
        <row r="149">
          <cell r="BI149">
            <v>352.2</v>
          </cell>
        </row>
        <row r="150">
          <cell r="BI150">
            <v>369.71249999999998</v>
          </cell>
        </row>
        <row r="151">
          <cell r="BI151">
            <v>385.96249999999998</v>
          </cell>
        </row>
        <row r="152">
          <cell r="BI152">
            <v>388.46249999999998</v>
          </cell>
        </row>
        <row r="153">
          <cell r="BI153">
            <v>394.71249999999998</v>
          </cell>
        </row>
        <row r="154">
          <cell r="BI154">
            <v>879.42499999999995</v>
          </cell>
        </row>
        <row r="155">
          <cell r="BI155">
            <v>1093.3175000000001</v>
          </cell>
        </row>
        <row r="156">
          <cell r="BI156">
            <v>1301.3100000000002</v>
          </cell>
        </row>
        <row r="157">
          <cell r="BI157">
            <v>1417.5525000000002</v>
          </cell>
        </row>
        <row r="158">
          <cell r="BI158">
            <v>1651.1950000000002</v>
          </cell>
        </row>
        <row r="159">
          <cell r="BI159">
            <v>1821.6375000000003</v>
          </cell>
        </row>
        <row r="160">
          <cell r="BI160">
            <v>2118.2800000000002</v>
          </cell>
        </row>
        <row r="161">
          <cell r="BI161">
            <v>2558.5650000000005</v>
          </cell>
        </row>
        <row r="162">
          <cell r="BI162">
            <v>2846.0575000000003</v>
          </cell>
        </row>
        <row r="163">
          <cell r="BI163">
            <v>2995.8500000000004</v>
          </cell>
        </row>
        <row r="164">
          <cell r="BI164">
            <v>3005.8500000000004</v>
          </cell>
        </row>
        <row r="165">
          <cell r="BI165">
            <v>3069.8500000000004</v>
          </cell>
        </row>
        <row r="166">
          <cell r="BI166">
            <v>3390.8500000000004</v>
          </cell>
        </row>
        <row r="167">
          <cell r="BI167">
            <v>3502.8500000000004</v>
          </cell>
        </row>
        <row r="168">
          <cell r="BI168">
            <v>3722.8500000000004</v>
          </cell>
        </row>
        <row r="169">
          <cell r="BI169">
            <v>3757.8500000000004</v>
          </cell>
        </row>
        <row r="170">
          <cell r="BI170">
            <v>3757.8500000000004</v>
          </cell>
        </row>
        <row r="171">
          <cell r="BI171">
            <v>3792.8500000000004</v>
          </cell>
        </row>
        <row r="172">
          <cell r="BI172">
            <v>3712.8500000000004</v>
          </cell>
        </row>
        <row r="173">
          <cell r="BI173">
            <v>3912.8500000000004</v>
          </cell>
        </row>
        <row r="174">
          <cell r="BI174">
            <v>4123.7749999999996</v>
          </cell>
        </row>
        <row r="175">
          <cell r="BI175">
            <v>4223.1499999999996</v>
          </cell>
        </row>
        <row r="176">
          <cell r="BI176">
            <v>4264.4000000000005</v>
          </cell>
        </row>
        <row r="177">
          <cell r="BI177">
            <v>4344.4000000000005</v>
          </cell>
        </row>
        <row r="178">
          <cell r="BI178">
            <v>4000.4</v>
          </cell>
        </row>
        <row r="179">
          <cell r="BI179">
            <v>4000.4</v>
          </cell>
        </row>
        <row r="180">
          <cell r="BI180">
            <v>4000.4</v>
          </cell>
        </row>
        <row r="181">
          <cell r="BI181">
            <v>4307.8999999999996</v>
          </cell>
        </row>
        <row r="182">
          <cell r="BI182">
            <v>4339.1499999999996</v>
          </cell>
        </row>
        <row r="183">
          <cell r="BI183">
            <v>4370.3999999999996</v>
          </cell>
        </row>
        <row r="184">
          <cell r="BI184">
            <v>4370.3999999999996</v>
          </cell>
        </row>
        <row r="185">
          <cell r="BI185">
            <v>4370.3999999999996</v>
          </cell>
        </row>
        <row r="186">
          <cell r="BI186">
            <v>4370.3999999999996</v>
          </cell>
        </row>
        <row r="187">
          <cell r="BI187">
            <v>4370.3999999999996</v>
          </cell>
        </row>
        <row r="188">
          <cell r="BI188">
            <v>4370.3999999999996</v>
          </cell>
        </row>
        <row r="189">
          <cell r="BI189">
            <v>4370.3999999999996</v>
          </cell>
        </row>
        <row r="190">
          <cell r="BI190">
            <v>4370.3999999999996</v>
          </cell>
        </row>
        <row r="191">
          <cell r="BI191">
            <v>4370.3999999999996</v>
          </cell>
        </row>
        <row r="192">
          <cell r="BI192">
            <v>4370.3999999999996</v>
          </cell>
        </row>
        <row r="193">
          <cell r="BI193">
            <v>4370.3999999999996</v>
          </cell>
        </row>
        <row r="194">
          <cell r="BI194">
            <v>4389.1499999999996</v>
          </cell>
        </row>
        <row r="195">
          <cell r="BI195">
            <v>4427.8999999999996</v>
          </cell>
        </row>
        <row r="196">
          <cell r="BI196">
            <v>4427.8999999999996</v>
          </cell>
        </row>
        <row r="197">
          <cell r="BI197">
            <v>4427.8999999999996</v>
          </cell>
        </row>
        <row r="198">
          <cell r="BI198">
            <v>4432.8999999999996</v>
          </cell>
        </row>
        <row r="199">
          <cell r="BI199">
            <v>4442.8999999999996</v>
          </cell>
        </row>
        <row r="200">
          <cell r="BI200">
            <v>4450.3999999999996</v>
          </cell>
        </row>
        <row r="201">
          <cell r="BI201">
            <v>4462.8999999999996</v>
          </cell>
        </row>
        <row r="202">
          <cell r="BI202">
            <v>4462.8999999999996</v>
          </cell>
        </row>
        <row r="203">
          <cell r="BI203">
            <v>4462.8999999999996</v>
          </cell>
        </row>
        <row r="204">
          <cell r="BI204">
            <v>4462.8999999999996</v>
          </cell>
        </row>
        <row r="205">
          <cell r="BI205">
            <v>4462.8999999999996</v>
          </cell>
        </row>
        <row r="206">
          <cell r="BI206">
            <v>4462.8999999999996</v>
          </cell>
        </row>
        <row r="207">
          <cell r="BI207">
            <v>4462.8999999999996</v>
          </cell>
        </row>
        <row r="208">
          <cell r="BI208">
            <v>4462.8999999999996</v>
          </cell>
        </row>
        <row r="209">
          <cell r="BI209">
            <v>4462.8999999999996</v>
          </cell>
        </row>
        <row r="210">
          <cell r="BI210">
            <v>4462.8999999999996</v>
          </cell>
        </row>
        <row r="211">
          <cell r="BI211">
            <v>4462.8999999999996</v>
          </cell>
        </row>
        <row r="212">
          <cell r="BI212">
            <v>4462.8999999999996</v>
          </cell>
        </row>
        <row r="213">
          <cell r="BI213">
            <v>4462.8999999999996</v>
          </cell>
        </row>
        <row r="214">
          <cell r="BI214">
            <v>4462.8999999999996</v>
          </cell>
        </row>
        <row r="215">
          <cell r="BI215">
            <v>4462.8999999999996</v>
          </cell>
        </row>
        <row r="216">
          <cell r="BI216">
            <v>4462.8999999999996</v>
          </cell>
        </row>
        <row r="217">
          <cell r="BI217">
            <v>4587.9000000000005</v>
          </cell>
        </row>
        <row r="218">
          <cell r="BI218">
            <v>4606.6500000000005</v>
          </cell>
        </row>
        <row r="219">
          <cell r="BI219">
            <v>4645.4000000000005</v>
          </cell>
        </row>
        <row r="220">
          <cell r="BI220">
            <v>4645.4000000000005</v>
          </cell>
        </row>
        <row r="221">
          <cell r="BI221">
            <v>4645.4000000000005</v>
          </cell>
        </row>
        <row r="222">
          <cell r="BI222">
            <v>4645.4000000000005</v>
          </cell>
        </row>
        <row r="223">
          <cell r="BI223">
            <v>4645.4000000000005</v>
          </cell>
        </row>
        <row r="224">
          <cell r="BI224">
            <v>4645.4000000000005</v>
          </cell>
        </row>
        <row r="225">
          <cell r="BI225">
            <v>4645.4000000000005</v>
          </cell>
        </row>
        <row r="226">
          <cell r="BI226">
            <v>4645.4000000000005</v>
          </cell>
        </row>
        <row r="227">
          <cell r="BI227">
            <v>4645.4000000000005</v>
          </cell>
        </row>
        <row r="228">
          <cell r="BI228">
            <v>4645.4000000000005</v>
          </cell>
        </row>
        <row r="229">
          <cell r="BI229">
            <v>4645.4000000000005</v>
          </cell>
        </row>
        <row r="230">
          <cell r="BI230">
            <v>4645.4000000000005</v>
          </cell>
        </row>
        <row r="231">
          <cell r="BI231">
            <v>4645.4000000000005</v>
          </cell>
        </row>
        <row r="232">
          <cell r="BI232">
            <v>4645.4000000000005</v>
          </cell>
        </row>
        <row r="233">
          <cell r="BI233">
            <v>4645.4000000000005</v>
          </cell>
        </row>
        <row r="234">
          <cell r="BI234">
            <v>4645.4000000000005</v>
          </cell>
        </row>
        <row r="235">
          <cell r="BI235">
            <v>4645.4000000000005</v>
          </cell>
        </row>
        <row r="236">
          <cell r="BI236">
            <v>4645.4000000000005</v>
          </cell>
        </row>
        <row r="237">
          <cell r="BI237">
            <v>4645.4000000000005</v>
          </cell>
        </row>
        <row r="238">
          <cell r="BI238">
            <v>4645.4000000000005</v>
          </cell>
        </row>
        <row r="239">
          <cell r="BI239">
            <v>4645.4000000000005</v>
          </cell>
        </row>
        <row r="240">
          <cell r="BI240">
            <v>4645.4000000000005</v>
          </cell>
        </row>
        <row r="241">
          <cell r="BI241">
            <v>4645.4000000000005</v>
          </cell>
        </row>
        <row r="242">
          <cell r="BI242">
            <v>4645.4000000000005</v>
          </cell>
        </row>
        <row r="243">
          <cell r="BI243">
            <v>4645.4000000000005</v>
          </cell>
        </row>
        <row r="244">
          <cell r="BI244">
            <v>4645.4000000000005</v>
          </cell>
        </row>
        <row r="245">
          <cell r="BI245">
            <v>4645.4000000000005</v>
          </cell>
        </row>
        <row r="246">
          <cell r="BI246">
            <v>4645.4000000000005</v>
          </cell>
        </row>
        <row r="247">
          <cell r="BI247">
            <v>4645.4000000000005</v>
          </cell>
        </row>
        <row r="248">
          <cell r="BI248">
            <v>4645.4000000000005</v>
          </cell>
        </row>
        <row r="249">
          <cell r="BI249">
            <v>4645.4000000000005</v>
          </cell>
        </row>
        <row r="250">
          <cell r="BI250">
            <v>4645.4000000000005</v>
          </cell>
        </row>
        <row r="251">
          <cell r="BI251">
            <v>4645.4000000000005</v>
          </cell>
        </row>
        <row r="252">
          <cell r="BI252">
            <v>4645.4000000000005</v>
          </cell>
        </row>
        <row r="253">
          <cell r="BI253">
            <v>4645.4000000000005</v>
          </cell>
        </row>
        <row r="254">
          <cell r="BI254">
            <v>4664.1500000000005</v>
          </cell>
        </row>
        <row r="255">
          <cell r="BI255">
            <v>4702.9000000000005</v>
          </cell>
        </row>
        <row r="256">
          <cell r="BI256">
            <v>4702.9000000000005</v>
          </cell>
        </row>
        <row r="257">
          <cell r="BI257">
            <v>4702.9000000000005</v>
          </cell>
        </row>
        <row r="258">
          <cell r="BI258">
            <v>4702.9000000000005</v>
          </cell>
        </row>
        <row r="259">
          <cell r="BI259">
            <v>4702.9000000000005</v>
          </cell>
        </row>
        <row r="260">
          <cell r="BI260">
            <v>4702.9000000000005</v>
          </cell>
        </row>
        <row r="261">
          <cell r="BI261">
            <v>4702.9000000000005</v>
          </cell>
        </row>
        <row r="262">
          <cell r="BI262">
            <v>4702.9000000000005</v>
          </cell>
        </row>
        <row r="263">
          <cell r="BI263">
            <v>4702.9000000000005</v>
          </cell>
        </row>
        <row r="264">
          <cell r="BI264">
            <v>4702.9000000000005</v>
          </cell>
        </row>
        <row r="265">
          <cell r="BI265">
            <v>4702.9000000000005</v>
          </cell>
        </row>
        <row r="266">
          <cell r="BI266">
            <v>4702.9000000000005</v>
          </cell>
        </row>
        <row r="267">
          <cell r="BI267">
            <v>4702.9000000000005</v>
          </cell>
        </row>
        <row r="268">
          <cell r="BI268">
            <v>4702.9000000000005</v>
          </cell>
        </row>
        <row r="269">
          <cell r="BI269">
            <v>4702.9000000000005</v>
          </cell>
        </row>
        <row r="270">
          <cell r="BI270">
            <v>4702.9000000000005</v>
          </cell>
        </row>
        <row r="271">
          <cell r="BI271">
            <v>4702.9000000000005</v>
          </cell>
        </row>
        <row r="272">
          <cell r="BI272">
            <v>4702.9000000000005</v>
          </cell>
        </row>
        <row r="273">
          <cell r="BI273">
            <v>4702.9000000000005</v>
          </cell>
        </row>
        <row r="274">
          <cell r="BI274">
            <v>4702.9000000000005</v>
          </cell>
        </row>
        <row r="275">
          <cell r="BI275">
            <v>4702.9000000000005</v>
          </cell>
        </row>
        <row r="276">
          <cell r="BI276">
            <v>4702.9000000000005</v>
          </cell>
        </row>
        <row r="277">
          <cell r="BI277">
            <v>4702.9000000000005</v>
          </cell>
        </row>
        <row r="278">
          <cell r="BI278">
            <v>4702.9000000000005</v>
          </cell>
        </row>
        <row r="279">
          <cell r="BI279">
            <v>4702.9000000000005</v>
          </cell>
        </row>
        <row r="280">
          <cell r="BI280">
            <v>4702.9000000000005</v>
          </cell>
        </row>
        <row r="281">
          <cell r="BI281">
            <v>4702.9000000000005</v>
          </cell>
        </row>
        <row r="282">
          <cell r="BI282">
            <v>4702.9000000000005</v>
          </cell>
        </row>
        <row r="283">
          <cell r="BI283">
            <v>4702.9000000000005</v>
          </cell>
        </row>
        <row r="284">
          <cell r="BI284">
            <v>4702.9000000000005</v>
          </cell>
        </row>
        <row r="285">
          <cell r="BI285">
            <v>4702.9000000000005</v>
          </cell>
        </row>
      </sheetData>
      <sheetData sheetId="5">
        <row r="13">
          <cell r="EK13">
            <v>8.8824043025948303</v>
          </cell>
        </row>
        <row r="85">
          <cell r="EC85">
            <v>0.21354569912128504</v>
          </cell>
        </row>
        <row r="86">
          <cell r="EC86">
            <v>0.21354569912128504</v>
          </cell>
        </row>
        <row r="87">
          <cell r="EC87">
            <v>0.21354569912128504</v>
          </cell>
        </row>
        <row r="88">
          <cell r="EC88">
            <v>0.28188032284009629</v>
          </cell>
        </row>
        <row r="89">
          <cell r="EC89">
            <v>0.28188032284009629</v>
          </cell>
        </row>
        <row r="90">
          <cell r="EC90">
            <v>0.28188032284009629</v>
          </cell>
        </row>
        <row r="91">
          <cell r="EC91">
            <v>0.28188032284009629</v>
          </cell>
        </row>
        <row r="92">
          <cell r="EC92">
            <v>0.28805219605984672</v>
          </cell>
        </row>
        <row r="93">
          <cell r="EC93">
            <v>0.29395203486663068</v>
          </cell>
        </row>
        <row r="94">
          <cell r="EC94">
            <v>0.36636427076064199</v>
          </cell>
        </row>
        <row r="95">
          <cell r="EC95">
            <v>0.3059456297711205</v>
          </cell>
        </row>
        <row r="96">
          <cell r="EC96">
            <v>0.28773788632340519</v>
          </cell>
        </row>
        <row r="97">
          <cell r="EC97">
            <v>0.28512653331378507</v>
          </cell>
        </row>
        <row r="98">
          <cell r="EC98">
            <v>0.26269977770803499</v>
          </cell>
        </row>
        <row r="99">
          <cell r="EC99">
            <v>0.26269977770803499</v>
          </cell>
        </row>
        <row r="100">
          <cell r="EC100">
            <v>0.32649829515141487</v>
          </cell>
        </row>
        <row r="101">
          <cell r="EC101">
            <v>0.32649829515141487</v>
          </cell>
        </row>
        <row r="102">
          <cell r="EC102">
            <v>0.32649829515141487</v>
          </cell>
        </row>
        <row r="103">
          <cell r="EC103">
            <v>0.32649829515141487</v>
          </cell>
        </row>
        <row r="104">
          <cell r="EC104">
            <v>0.32649829515141487</v>
          </cell>
        </row>
        <row r="105">
          <cell r="EC105">
            <v>0.32649829515141487</v>
          </cell>
        </row>
        <row r="106">
          <cell r="EC106">
            <v>0.32649829515141487</v>
          </cell>
        </row>
        <row r="107">
          <cell r="EC107">
            <v>0.32649829515141487</v>
          </cell>
        </row>
        <row r="108">
          <cell r="EC108">
            <v>0.32649829515141487</v>
          </cell>
        </row>
        <row r="109">
          <cell r="EC109">
            <v>0.37653634804818342</v>
          </cell>
        </row>
        <row r="110">
          <cell r="EC110">
            <v>0.37653634804818342</v>
          </cell>
        </row>
        <row r="111">
          <cell r="EC111">
            <v>0.37653634804818342</v>
          </cell>
        </row>
        <row r="112">
          <cell r="EC112">
            <v>0.32774924647383408</v>
          </cell>
        </row>
        <row r="113">
          <cell r="EC113">
            <v>0.33275305176351094</v>
          </cell>
        </row>
        <row r="114">
          <cell r="EC114">
            <v>0.33275305176351094</v>
          </cell>
        </row>
        <row r="115">
          <cell r="EC115">
            <v>0.33275305176351094</v>
          </cell>
        </row>
        <row r="116">
          <cell r="EC116">
            <v>0.33275305176351094</v>
          </cell>
        </row>
        <row r="117">
          <cell r="EC117">
            <v>0.33275305176351094</v>
          </cell>
        </row>
        <row r="118">
          <cell r="EC118">
            <v>0.36214103007273318</v>
          </cell>
        </row>
        <row r="119">
          <cell r="EC119">
            <v>0.38662280240498836</v>
          </cell>
        </row>
        <row r="120">
          <cell r="EC120">
            <v>0.40733232163376915</v>
          </cell>
        </row>
        <row r="121">
          <cell r="EC121">
            <v>0.33519554684620673</v>
          </cell>
        </row>
        <row r="122">
          <cell r="EC122">
            <v>0.33519554684620673</v>
          </cell>
        </row>
        <row r="123">
          <cell r="EC123">
            <v>0.34481378348454839</v>
          </cell>
        </row>
        <row r="124">
          <cell r="EC124">
            <v>0.40156137965076416</v>
          </cell>
        </row>
        <row r="125">
          <cell r="EC125">
            <v>0.51698021931086402</v>
          </cell>
        </row>
        <row r="126">
          <cell r="EC126">
            <v>0.50928563000019067</v>
          </cell>
        </row>
        <row r="127">
          <cell r="EC127">
            <v>0.34390383489790682</v>
          </cell>
        </row>
        <row r="128">
          <cell r="EC128">
            <v>0.43876962467688746</v>
          </cell>
        </row>
        <row r="129">
          <cell r="EC129">
            <v>0.4581263045054621</v>
          </cell>
        </row>
        <row r="130">
          <cell r="EC130">
            <v>0.42751029348429187</v>
          </cell>
        </row>
        <row r="131">
          <cell r="EC131">
            <v>0.45515717884514001</v>
          </cell>
        </row>
        <row r="132">
          <cell r="EC132">
            <v>0.44539945460013475</v>
          </cell>
        </row>
        <row r="133">
          <cell r="EC133">
            <v>0.33436297520466685</v>
          </cell>
        </row>
        <row r="134">
          <cell r="EC134">
            <v>0.43357877378531312</v>
          </cell>
        </row>
        <row r="135">
          <cell r="EC135">
            <v>0.40131309052374242</v>
          </cell>
        </row>
        <row r="136">
          <cell r="EC136">
            <v>0.33421056242133146</v>
          </cell>
        </row>
        <row r="137">
          <cell r="EC137">
            <v>0.57299916805942963</v>
          </cell>
        </row>
        <row r="138">
          <cell r="EC138">
            <v>0.57299916805942963</v>
          </cell>
        </row>
        <row r="139">
          <cell r="EC139">
            <v>0.46204696033183845</v>
          </cell>
        </row>
        <row r="140">
          <cell r="EC140">
            <v>0.48326949620498572</v>
          </cell>
        </row>
        <row r="141">
          <cell r="EC141">
            <v>0.42543267134367807</v>
          </cell>
        </row>
        <row r="142">
          <cell r="EC142">
            <v>0.38840976132037264</v>
          </cell>
        </row>
        <row r="143">
          <cell r="EC143">
            <v>0.46707647432943161</v>
          </cell>
        </row>
        <row r="144">
          <cell r="EC144">
            <v>0.48056458417493952</v>
          </cell>
        </row>
        <row r="145">
          <cell r="EC145">
            <v>0.25297772205314484</v>
          </cell>
        </row>
        <row r="146">
          <cell r="EC146">
            <v>0.37815605110433909</v>
          </cell>
        </row>
        <row r="147">
          <cell r="EC147">
            <v>0.35276118287426145</v>
          </cell>
        </row>
        <row r="148">
          <cell r="EC148">
            <v>0.27253834218098744</v>
          </cell>
        </row>
        <row r="149">
          <cell r="EC149">
            <v>0.25182321044266281</v>
          </cell>
        </row>
        <row r="150">
          <cell r="EC150">
            <v>0.28257671889096486</v>
          </cell>
        </row>
        <row r="151">
          <cell r="EC151">
            <v>0.33056872104882007</v>
          </cell>
        </row>
        <row r="152">
          <cell r="EC152">
            <v>0.34693207564162387</v>
          </cell>
        </row>
        <row r="153">
          <cell r="EC153">
            <v>0.28337434785405152</v>
          </cell>
        </row>
        <row r="154">
          <cell r="EC154">
            <v>0.29108083443927502</v>
          </cell>
        </row>
        <row r="155">
          <cell r="EC155">
            <v>0.37887084742973626</v>
          </cell>
        </row>
        <row r="156">
          <cell r="EC156">
            <v>0.39003122202453538</v>
          </cell>
        </row>
        <row r="157">
          <cell r="EC157">
            <v>0.36701882708902767</v>
          </cell>
        </row>
        <row r="158">
          <cell r="EC158">
            <v>0.36548194080561403</v>
          </cell>
        </row>
        <row r="159">
          <cell r="EC159">
            <v>0.39935327486560018</v>
          </cell>
        </row>
        <row r="160">
          <cell r="EC160">
            <v>0.42523641147198155</v>
          </cell>
        </row>
        <row r="161">
          <cell r="EC161">
            <v>0.39519295978187113</v>
          </cell>
        </row>
        <row r="162">
          <cell r="EC162">
            <v>0.40270252153332298</v>
          </cell>
        </row>
        <row r="163">
          <cell r="EC163">
            <v>0.40886155976266242</v>
          </cell>
        </row>
        <row r="164">
          <cell r="EC164">
            <v>0.39101169782901329</v>
          </cell>
        </row>
        <row r="165">
          <cell r="EC165">
            <v>0.38406062623589537</v>
          </cell>
        </row>
        <row r="166">
          <cell r="EC166">
            <v>0.38290159909680427</v>
          </cell>
        </row>
        <row r="167">
          <cell r="EC167">
            <v>0.36464192161136916</v>
          </cell>
        </row>
        <row r="168">
          <cell r="EC168">
            <v>0.35992723014029104</v>
          </cell>
        </row>
        <row r="169">
          <cell r="EC169">
            <v>0.36147392341363949</v>
          </cell>
        </row>
        <row r="170">
          <cell r="EC170">
            <v>0.39426290989374579</v>
          </cell>
        </row>
        <row r="171">
          <cell r="EC171">
            <v>0.39426290989374579</v>
          </cell>
        </row>
        <row r="172">
          <cell r="EC172">
            <v>0.38569499058789064</v>
          </cell>
        </row>
        <row r="173">
          <cell r="EC173">
            <v>0.40288234568998293</v>
          </cell>
        </row>
        <row r="174">
          <cell r="EC174">
            <v>0.35991395793475212</v>
          </cell>
        </row>
        <row r="175">
          <cell r="EC175">
            <v>0.39085119711851835</v>
          </cell>
        </row>
        <row r="176">
          <cell r="EC176">
            <v>0.37457365414222132</v>
          </cell>
        </row>
        <row r="177">
          <cell r="EC177">
            <v>0.37982721244438056</v>
          </cell>
        </row>
        <row r="178">
          <cell r="EC178">
            <v>0.38227949268226924</v>
          </cell>
        </row>
        <row r="179">
          <cell r="EC179">
            <v>0.38526010361241692</v>
          </cell>
        </row>
        <row r="180">
          <cell r="EC180">
            <v>0.38526010361241692</v>
          </cell>
        </row>
        <row r="181">
          <cell r="EC181">
            <v>0.40083789338748804</v>
          </cell>
        </row>
        <row r="182">
          <cell r="EC182">
            <v>0.38980967954573564</v>
          </cell>
        </row>
        <row r="183">
          <cell r="EC183">
            <v>0.37651035076866329</v>
          </cell>
        </row>
        <row r="184">
          <cell r="EC184">
            <v>0.43859953606307572</v>
          </cell>
        </row>
        <row r="185">
          <cell r="EC185">
            <v>0.44201233020675401</v>
          </cell>
        </row>
        <row r="186">
          <cell r="EC186">
            <v>0.44706963056796373</v>
          </cell>
        </row>
        <row r="187">
          <cell r="EC187">
            <v>0.44542072321595044</v>
          </cell>
        </row>
        <row r="188">
          <cell r="EC188">
            <v>0.43858917338670389</v>
          </cell>
        </row>
        <row r="189">
          <cell r="EC189">
            <v>0.42962529571929214</v>
          </cell>
        </row>
        <row r="190">
          <cell r="EC190">
            <v>0.42962529571929214</v>
          </cell>
        </row>
        <row r="191">
          <cell r="EC191">
            <v>0.42962529571929214</v>
          </cell>
        </row>
        <row r="192">
          <cell r="EC192">
            <v>0.4303616917785657</v>
          </cell>
        </row>
        <row r="193">
          <cell r="EC193">
            <v>0.48670812455423684</v>
          </cell>
        </row>
        <row r="194">
          <cell r="EC194">
            <v>0.484190888679779</v>
          </cell>
        </row>
        <row r="195">
          <cell r="EC195">
            <v>0.484190888679779</v>
          </cell>
        </row>
        <row r="196">
          <cell r="EC196">
            <v>0.4883470005401544</v>
          </cell>
        </row>
        <row r="197">
          <cell r="EC197">
            <v>0.49591861225432587</v>
          </cell>
        </row>
        <row r="198">
          <cell r="EC198">
            <v>0.49584163802798364</v>
          </cell>
        </row>
        <row r="199">
          <cell r="EC199">
            <v>0.48827235865578211</v>
          </cell>
        </row>
        <row r="200">
          <cell r="EC200">
            <v>0.46920148889185803</v>
          </cell>
        </row>
        <row r="201">
          <cell r="EC201">
            <v>0.46844298037725718</v>
          </cell>
        </row>
        <row r="202">
          <cell r="EC202">
            <v>0.46795127116965646</v>
          </cell>
        </row>
        <row r="203">
          <cell r="EC203">
            <v>0.4677397665823137</v>
          </cell>
        </row>
        <row r="204">
          <cell r="EC204">
            <v>0.46218578150153811</v>
          </cell>
        </row>
        <row r="205">
          <cell r="EC205">
            <v>0.54094443646670098</v>
          </cell>
        </row>
        <row r="206">
          <cell r="EC206">
            <v>0.56904113839775594</v>
          </cell>
        </row>
        <row r="207">
          <cell r="EC207">
            <v>0.50271441429767161</v>
          </cell>
        </row>
        <row r="208">
          <cell r="EC208">
            <v>0.50504309511035306</v>
          </cell>
        </row>
        <row r="209">
          <cell r="EC209">
            <v>0.51845658809385919</v>
          </cell>
        </row>
        <row r="210">
          <cell r="EC210">
            <v>0.51497477334132125</v>
          </cell>
        </row>
        <row r="211">
          <cell r="EC211">
            <v>0.50450316283710583</v>
          </cell>
        </row>
        <row r="212">
          <cell r="EC212">
            <v>0.50758742376936816</v>
          </cell>
        </row>
        <row r="213">
          <cell r="EC213">
            <v>0.51529807610002409</v>
          </cell>
        </row>
        <row r="214">
          <cell r="EC214">
            <v>0.51529807610002409</v>
          </cell>
        </row>
        <row r="215">
          <cell r="EC215">
            <v>0.50758742376936816</v>
          </cell>
        </row>
        <row r="216">
          <cell r="EC216">
            <v>0.51638282016634607</v>
          </cell>
        </row>
        <row r="217">
          <cell r="EC217">
            <v>0.5592789812252229</v>
          </cell>
        </row>
        <row r="218">
          <cell r="EC218">
            <v>0.54385684416075153</v>
          </cell>
        </row>
        <row r="219">
          <cell r="EC219">
            <v>0.56597261110647357</v>
          </cell>
        </row>
        <row r="220">
          <cell r="EC220">
            <v>0.53224051959118146</v>
          </cell>
        </row>
        <row r="221">
          <cell r="EC221">
            <v>0.52787857383649073</v>
          </cell>
        </row>
        <row r="222">
          <cell r="EC222">
            <v>0.52787857383649073</v>
          </cell>
        </row>
        <row r="223">
          <cell r="EC223">
            <v>0.52943277207204498</v>
          </cell>
        </row>
        <row r="224">
          <cell r="EC224">
            <v>0.53378035853690087</v>
          </cell>
        </row>
        <row r="225">
          <cell r="EC225">
            <v>0.52943277207204498</v>
          </cell>
        </row>
        <row r="226">
          <cell r="EC226">
            <v>0.5753988047101366</v>
          </cell>
        </row>
        <row r="227">
          <cell r="EC227">
            <v>0.59160070149421207</v>
          </cell>
        </row>
        <row r="228">
          <cell r="EC228">
            <v>0.56051673678312852</v>
          </cell>
        </row>
        <row r="229">
          <cell r="EC229">
            <v>0.51967178272249936</v>
          </cell>
        </row>
        <row r="230">
          <cell r="EC230">
            <v>0.48890093130307993</v>
          </cell>
        </row>
        <row r="231">
          <cell r="EC231">
            <v>0.50126263469493315</v>
          </cell>
        </row>
        <row r="232">
          <cell r="EC232">
            <v>0.4888319467734849</v>
          </cell>
        </row>
        <row r="233">
          <cell r="EC233">
            <v>0.4873175237593585</v>
          </cell>
        </row>
        <row r="234">
          <cell r="EC234">
            <v>0.4981549627145711</v>
          </cell>
        </row>
        <row r="235">
          <cell r="EC235">
            <v>0.4981549627145711</v>
          </cell>
        </row>
        <row r="236">
          <cell r="EC236">
            <v>0.49970970085925775</v>
          </cell>
        </row>
        <row r="237">
          <cell r="EC237">
            <v>0.49970970085925775</v>
          </cell>
        </row>
        <row r="238">
          <cell r="EC238">
            <v>0.49970970085925775</v>
          </cell>
        </row>
        <row r="239">
          <cell r="EC239">
            <v>0.49970970085925775</v>
          </cell>
        </row>
        <row r="240">
          <cell r="EC240">
            <v>0.54618036498388001</v>
          </cell>
        </row>
        <row r="241">
          <cell r="EC241">
            <v>0.5066400320910085</v>
          </cell>
        </row>
        <row r="242">
          <cell r="EC242">
            <v>0.4911807252410918</v>
          </cell>
        </row>
        <row r="243">
          <cell r="EC243">
            <v>0.48801897536073241</v>
          </cell>
        </row>
        <row r="244">
          <cell r="EC244">
            <v>0.50510718841065705</v>
          </cell>
        </row>
        <row r="245">
          <cell r="EC245">
            <v>0.50493027475078356</v>
          </cell>
        </row>
        <row r="246">
          <cell r="EC246">
            <v>0.50563133297696616</v>
          </cell>
        </row>
        <row r="247">
          <cell r="EC247">
            <v>0.50563133297696616</v>
          </cell>
        </row>
        <row r="248">
          <cell r="EC248">
            <v>0.50563133297696616</v>
          </cell>
        </row>
        <row r="249">
          <cell r="EC249">
            <v>0.50563133297696616</v>
          </cell>
        </row>
        <row r="250">
          <cell r="EC250">
            <v>0.50563133297696616</v>
          </cell>
        </row>
        <row r="251">
          <cell r="EC251">
            <v>0.50563133297696616</v>
          </cell>
        </row>
        <row r="252">
          <cell r="EC252">
            <v>0.62815641342762962</v>
          </cell>
        </row>
      </sheetData>
      <sheetData sheetId="6">
        <row r="47">
          <cell r="V47"/>
        </row>
      </sheetData>
      <sheetData sheetId="7">
        <row r="57">
          <cell r="Z57">
            <v>5.7260476065573771</v>
          </cell>
        </row>
      </sheetData>
      <sheetData sheetId="8"/>
      <sheetData sheetId="9"/>
      <sheetData sheetId="10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465">
          <cell r="AM4465">
            <v>1.379999999999999</v>
          </cell>
        </row>
        <row r="4466">
          <cell r="AM4466">
            <v>1.3800000000000026</v>
          </cell>
        </row>
        <row r="4467">
          <cell r="AM4467">
            <v>1.3800000000000026</v>
          </cell>
        </row>
        <row r="4468">
          <cell r="AM4468">
            <v>1.3200000000000003</v>
          </cell>
        </row>
        <row r="4469">
          <cell r="AM4469" t="str">
            <v/>
          </cell>
        </row>
        <row r="4470">
          <cell r="AM4470">
            <v>1.3800000000000026</v>
          </cell>
        </row>
        <row r="4471">
          <cell r="AM4471">
            <v>1.6300000000000026</v>
          </cell>
        </row>
        <row r="4472">
          <cell r="AM4472">
            <v>1.6200000000000045</v>
          </cell>
        </row>
        <row r="4473">
          <cell r="AM4473">
            <v>1.5900000000000034</v>
          </cell>
        </row>
        <row r="4474">
          <cell r="AM4474">
            <v>1.5799999999999983</v>
          </cell>
        </row>
        <row r="4475">
          <cell r="AM4475">
            <v>1.3800000000000026</v>
          </cell>
        </row>
        <row r="4476">
          <cell r="AM4476">
            <v>1.6300000000000026</v>
          </cell>
        </row>
        <row r="4477">
          <cell r="AM4477">
            <v>1.6300000000000026</v>
          </cell>
        </row>
        <row r="4478">
          <cell r="AM4478">
            <v>1.6300000000000026</v>
          </cell>
        </row>
        <row r="4479">
          <cell r="AM4479">
            <v>1.6300000000000026</v>
          </cell>
        </row>
        <row r="4480">
          <cell r="AM4480">
            <v>1.25</v>
          </cell>
        </row>
        <row r="4481">
          <cell r="AM4481">
            <v>1.5</v>
          </cell>
        </row>
        <row r="4482">
          <cell r="AM4482">
            <v>1.5</v>
          </cell>
        </row>
        <row r="4483">
          <cell r="AM4483">
            <v>1.5</v>
          </cell>
        </row>
        <row r="4484">
          <cell r="AM4484">
            <v>1.5</v>
          </cell>
        </row>
        <row r="4485">
          <cell r="AM4485">
            <v>1.5</v>
          </cell>
        </row>
        <row r="4486">
          <cell r="AM4486">
            <v>1.5</v>
          </cell>
        </row>
        <row r="4487">
          <cell r="AM4487">
            <v>1.5</v>
          </cell>
        </row>
        <row r="4488">
          <cell r="AM4488">
            <v>1.5</v>
          </cell>
        </row>
        <row r="4489">
          <cell r="AM4489">
            <v>1.5</v>
          </cell>
        </row>
        <row r="4490">
          <cell r="AM4490">
            <v>1.5</v>
          </cell>
        </row>
        <row r="4491">
          <cell r="AM4491">
            <v>2</v>
          </cell>
        </row>
        <row r="4492">
          <cell r="AM4492">
            <v>2</v>
          </cell>
        </row>
        <row r="4493">
          <cell r="AM4493" t="str">
            <v/>
          </cell>
        </row>
        <row r="4494">
          <cell r="AM4494">
            <v>2</v>
          </cell>
        </row>
        <row r="4495">
          <cell r="AM4495">
            <v>2</v>
          </cell>
        </row>
        <row r="4496">
          <cell r="AM4496">
            <v>2</v>
          </cell>
        </row>
        <row r="4497">
          <cell r="AM4497">
            <v>2</v>
          </cell>
        </row>
        <row r="4498">
          <cell r="AM4498">
            <v>2</v>
          </cell>
        </row>
        <row r="4499">
          <cell r="AM4499">
            <v>2</v>
          </cell>
        </row>
        <row r="4500">
          <cell r="AM4500">
            <v>2</v>
          </cell>
        </row>
        <row r="4501">
          <cell r="AM4501">
            <v>2</v>
          </cell>
        </row>
        <row r="4502">
          <cell r="AM4502">
            <v>2</v>
          </cell>
        </row>
        <row r="4503">
          <cell r="AM4503">
            <v>2</v>
          </cell>
        </row>
        <row r="4504">
          <cell r="AM4504">
            <v>2</v>
          </cell>
        </row>
        <row r="4505">
          <cell r="AM4505">
            <v>2</v>
          </cell>
        </row>
        <row r="4506">
          <cell r="AM4506">
            <v>2</v>
          </cell>
        </row>
        <row r="4507">
          <cell r="AM4507">
            <v>2</v>
          </cell>
        </row>
        <row r="4508">
          <cell r="AM4508">
            <v>2.0899999999999963</v>
          </cell>
        </row>
        <row r="4509">
          <cell r="AM4509" t="str">
            <v/>
          </cell>
        </row>
        <row r="4510">
          <cell r="AM4510">
            <v>2.0900000000000034</v>
          </cell>
        </row>
        <row r="4511">
          <cell r="AM4511">
            <v>2.0799999999999983</v>
          </cell>
        </row>
        <row r="4512">
          <cell r="AM4512">
            <v>2.0799999999999983</v>
          </cell>
        </row>
        <row r="4513">
          <cell r="AM4513">
            <v>2.0799999999999983</v>
          </cell>
        </row>
        <row r="4514">
          <cell r="AM4514">
            <v>2.0600000000000023</v>
          </cell>
        </row>
        <row r="4515">
          <cell r="AM4515">
            <v>1.8400000000000034</v>
          </cell>
        </row>
        <row r="4516">
          <cell r="AM4516">
            <v>1.8500000000000014</v>
          </cell>
        </row>
        <row r="4517">
          <cell r="AM4517">
            <v>1.9099999999999966</v>
          </cell>
        </row>
        <row r="4518">
          <cell r="AM4518">
            <v>1.8800000000000026</v>
          </cell>
        </row>
        <row r="4519">
          <cell r="AM4519">
            <v>1.8800000000000026</v>
          </cell>
        </row>
        <row r="4520">
          <cell r="AM4520">
            <v>1.75</v>
          </cell>
        </row>
        <row r="4521">
          <cell r="AM4521">
            <v>1.75</v>
          </cell>
        </row>
        <row r="4522">
          <cell r="AM4522">
            <v>1.75</v>
          </cell>
        </row>
        <row r="4523">
          <cell r="AM4523">
            <v>1.75</v>
          </cell>
        </row>
        <row r="4524">
          <cell r="AM4524">
            <v>1.75</v>
          </cell>
        </row>
        <row r="4525">
          <cell r="AM4525">
            <v>1.75</v>
          </cell>
        </row>
        <row r="4526">
          <cell r="AM4526">
            <v>1.75</v>
          </cell>
        </row>
        <row r="4527">
          <cell r="AM4527">
            <v>1.75</v>
          </cell>
        </row>
        <row r="4528">
          <cell r="AM4528">
            <v>1.75</v>
          </cell>
        </row>
        <row r="4529">
          <cell r="AM4529">
            <v>1.8900000000000006</v>
          </cell>
        </row>
        <row r="4530">
          <cell r="AM4530">
            <v>1.8799999999999955</v>
          </cell>
        </row>
        <row r="4531">
          <cell r="AM4531">
            <v>1.8599999999999994</v>
          </cell>
        </row>
        <row r="4532">
          <cell r="AM4532">
            <v>1.8599999999999994</v>
          </cell>
        </row>
        <row r="4533">
          <cell r="AM4533">
            <v>1.6500000000000057</v>
          </cell>
        </row>
        <row r="4534">
          <cell r="AM4534">
            <v>1.6600000000000037</v>
          </cell>
        </row>
        <row r="4535">
          <cell r="AM4535">
            <v>1.6799999999999997</v>
          </cell>
        </row>
        <row r="4536">
          <cell r="AM4536" t="str">
            <v/>
          </cell>
        </row>
        <row r="4537">
          <cell r="AM4537">
            <v>1.5</v>
          </cell>
        </row>
        <row r="4538">
          <cell r="AM4538">
            <v>1.5</v>
          </cell>
        </row>
        <row r="4539">
          <cell r="AM4539">
            <v>1.5</v>
          </cell>
        </row>
        <row r="4540">
          <cell r="AM4540">
            <v>1.5</v>
          </cell>
        </row>
        <row r="4541">
          <cell r="AM4541">
            <v>1.5</v>
          </cell>
        </row>
        <row r="4542">
          <cell r="AM4542">
            <v>1.5</v>
          </cell>
        </row>
        <row r="4543">
          <cell r="AM4543">
            <v>1.5</v>
          </cell>
        </row>
        <row r="4544">
          <cell r="AM4544">
            <v>1.5</v>
          </cell>
        </row>
        <row r="4545">
          <cell r="AM4545">
            <v>1.5</v>
          </cell>
        </row>
        <row r="4546">
          <cell r="AM4546">
            <v>1.5</v>
          </cell>
        </row>
        <row r="4547">
          <cell r="AM4547">
            <v>1.75</v>
          </cell>
        </row>
        <row r="4548">
          <cell r="AM4548">
            <v>1.75</v>
          </cell>
        </row>
        <row r="4549">
          <cell r="AM4549">
            <v>1.75</v>
          </cell>
        </row>
        <row r="4550">
          <cell r="AM4550">
            <v>1.75</v>
          </cell>
        </row>
        <row r="4551">
          <cell r="AM4551">
            <v>1.75</v>
          </cell>
        </row>
        <row r="4552">
          <cell r="AM4552">
            <v>1.75</v>
          </cell>
        </row>
        <row r="4553">
          <cell r="AM4553">
            <v>1.75</v>
          </cell>
        </row>
        <row r="4554">
          <cell r="AM4554">
            <v>1.75</v>
          </cell>
        </row>
        <row r="4555">
          <cell r="AM4555">
            <v>1.75</v>
          </cell>
        </row>
        <row r="4556">
          <cell r="AM4556">
            <v>1.75</v>
          </cell>
        </row>
        <row r="4557">
          <cell r="AM4557">
            <v>2</v>
          </cell>
        </row>
        <row r="4558">
          <cell r="AM4558">
            <v>1.9999999999999964</v>
          </cell>
        </row>
        <row r="4559">
          <cell r="AM4559">
            <v>2.0000000000000036</v>
          </cell>
        </row>
        <row r="4560">
          <cell r="AM4560">
            <v>2</v>
          </cell>
        </row>
        <row r="4561">
          <cell r="AM4561">
            <v>2</v>
          </cell>
        </row>
        <row r="4562">
          <cell r="AM4562">
            <v>1.8500000000000014</v>
          </cell>
        </row>
        <row r="4563">
          <cell r="AM4563">
            <v>1.8500000000000014</v>
          </cell>
        </row>
        <row r="4564">
          <cell r="AM4564">
            <v>1.8500000000000014</v>
          </cell>
        </row>
        <row r="4565">
          <cell r="AM4565">
            <v>1.8500000000000014</v>
          </cell>
        </row>
        <row r="4566">
          <cell r="AM4566">
            <v>1.8500000000000014</v>
          </cell>
        </row>
        <row r="4567">
          <cell r="AM4567">
            <v>1.8500000000000014</v>
          </cell>
        </row>
        <row r="4568">
          <cell r="AM4568">
            <v>2.1200000000000045</v>
          </cell>
        </row>
        <row r="4569">
          <cell r="AM4569">
            <v>2.0899999999999963</v>
          </cell>
        </row>
        <row r="4570">
          <cell r="AM4570">
            <v>2.0500000000000043</v>
          </cell>
        </row>
        <row r="4571">
          <cell r="AM4571">
            <v>2.0300000000000011</v>
          </cell>
        </row>
        <row r="4572">
          <cell r="AM4572">
            <v>2.0200000000000031</v>
          </cell>
        </row>
        <row r="4573">
          <cell r="AM4573">
            <v>2.019999999999996</v>
          </cell>
        </row>
        <row r="4574">
          <cell r="AM4574">
            <v>2.019999999999996</v>
          </cell>
        </row>
        <row r="4575">
          <cell r="AM4575">
            <v>2.0400000000000027</v>
          </cell>
        </row>
        <row r="4576">
          <cell r="AM4576">
            <v>2.2999999999999972</v>
          </cell>
        </row>
        <row r="4577">
          <cell r="AM4577">
            <v>2.0300000000000011</v>
          </cell>
        </row>
        <row r="4578">
          <cell r="AM4578">
            <v>2.0999999999999943</v>
          </cell>
        </row>
        <row r="4579">
          <cell r="AM4579">
            <v>2.0999999999999979</v>
          </cell>
        </row>
        <row r="4580">
          <cell r="AM4580">
            <v>2.0999999999999943</v>
          </cell>
        </row>
        <row r="4581">
          <cell r="AM4581">
            <v>2.100000000000005</v>
          </cell>
        </row>
        <row r="4582">
          <cell r="AM4582">
            <v>2.1000000000000014</v>
          </cell>
        </row>
        <row r="4583">
          <cell r="AM4583">
            <v>2.0999999999999979</v>
          </cell>
        </row>
        <row r="4584">
          <cell r="AM4584">
            <v>2.1000000000000014</v>
          </cell>
        </row>
        <row r="4585">
          <cell r="AM4585">
            <v>2.1000000000000014</v>
          </cell>
        </row>
        <row r="4586">
          <cell r="AM4586">
            <v>2.1000000000000014</v>
          </cell>
        </row>
        <row r="4587">
          <cell r="AM4587">
            <v>2.0999999999999979</v>
          </cell>
        </row>
        <row r="4588">
          <cell r="AM4588">
            <v>2.0999999999999979</v>
          </cell>
        </row>
        <row r="4589">
          <cell r="AM4589">
            <v>2.1000000000000014</v>
          </cell>
        </row>
        <row r="4590">
          <cell r="AM4590">
            <v>2.0999999999999943</v>
          </cell>
        </row>
        <row r="4591">
          <cell r="AM4591">
            <v>2.1000000000000014</v>
          </cell>
        </row>
        <row r="4592">
          <cell r="AM4592">
            <v>2.1000000000000014</v>
          </cell>
        </row>
        <row r="4593">
          <cell r="AM4593">
            <v>2.1000000000000014</v>
          </cell>
        </row>
        <row r="4594">
          <cell r="AM4594">
            <v>2.0999999999999979</v>
          </cell>
        </row>
        <row r="4595">
          <cell r="AM4595">
            <v>2.1000000000000014</v>
          </cell>
        </row>
        <row r="4596">
          <cell r="AM4596">
            <v>2.1000000000000014</v>
          </cell>
        </row>
        <row r="4597">
          <cell r="AM4597">
            <v>2.0999999999999979</v>
          </cell>
        </row>
        <row r="4598">
          <cell r="AM4598">
            <v>2.0999999999999979</v>
          </cell>
        </row>
        <row r="4599">
          <cell r="AM4599">
            <v>2.1000000000000014</v>
          </cell>
        </row>
        <row r="4600">
          <cell r="AM4600">
            <v>2.0999999999999979</v>
          </cell>
        </row>
        <row r="4601">
          <cell r="AM4601">
            <v>2.1000000000000014</v>
          </cell>
        </row>
        <row r="4602">
          <cell r="AM4602">
            <v>2.0999999999999979</v>
          </cell>
        </row>
        <row r="4603">
          <cell r="AM4603">
            <v>2.0999999999999979</v>
          </cell>
        </row>
        <row r="4604">
          <cell r="AM4604">
            <v>2.1000000000000014</v>
          </cell>
        </row>
        <row r="4605">
          <cell r="AM4605">
            <v>2.0999999999999979</v>
          </cell>
        </row>
        <row r="4606">
          <cell r="AM4606">
            <v>2.1000000000000014</v>
          </cell>
        </row>
        <row r="4607">
          <cell r="AM4607">
            <v>2.1000000000000014</v>
          </cell>
        </row>
        <row r="4608">
          <cell r="AM4608">
            <v>2.1000000000000014</v>
          </cell>
        </row>
        <row r="4609">
          <cell r="AM4609">
            <v>2.0999999999999979</v>
          </cell>
        </row>
        <row r="4610">
          <cell r="AM4610">
            <v>2.3500000000000014</v>
          </cell>
        </row>
        <row r="4611">
          <cell r="AM4611">
            <v>2.3299999999999983</v>
          </cell>
        </row>
        <row r="4612">
          <cell r="AM4612">
            <v>2.3300000000000018</v>
          </cell>
        </row>
        <row r="4613">
          <cell r="AM4613">
            <v>2.3100000000000023</v>
          </cell>
        </row>
        <row r="4614">
          <cell r="AM4614">
            <v>2.2999999999999972</v>
          </cell>
        </row>
        <row r="4615">
          <cell r="AM4615">
            <v>2.3000000000000007</v>
          </cell>
        </row>
        <row r="4616">
          <cell r="AM4616">
            <v>2.259999999999998</v>
          </cell>
        </row>
        <row r="4617">
          <cell r="AM4617">
            <v>2.25</v>
          </cell>
        </row>
        <row r="4618">
          <cell r="AM4618">
            <v>2.2399999999999949</v>
          </cell>
        </row>
        <row r="4619">
          <cell r="AM4619">
            <v>2.2300000000000004</v>
          </cell>
        </row>
        <row r="4620">
          <cell r="AM4620">
            <v>2.0999999999999979</v>
          </cell>
        </row>
        <row r="4621">
          <cell r="AM4621">
            <v>2.1000000000000014</v>
          </cell>
        </row>
        <row r="4622">
          <cell r="AM4622">
            <v>2.0999999999999979</v>
          </cell>
        </row>
        <row r="4623">
          <cell r="AM4623">
            <v>2.0999999999999979</v>
          </cell>
        </row>
        <row r="4624">
          <cell r="AM4624">
            <v>2.1000000000000014</v>
          </cell>
        </row>
        <row r="4625">
          <cell r="AM4625">
            <v>2.0999999999999979</v>
          </cell>
        </row>
        <row r="4626">
          <cell r="AM4626">
            <v>2.0999999999999979</v>
          </cell>
        </row>
        <row r="4627">
          <cell r="AM4627">
            <v>2.1000000000000014</v>
          </cell>
        </row>
        <row r="4628">
          <cell r="AM4628">
            <v>2.0999999999999979</v>
          </cell>
        </row>
        <row r="4629">
          <cell r="AM4629">
            <v>2.1000000000000014</v>
          </cell>
        </row>
        <row r="4630">
          <cell r="AM4630">
            <v>2.0999999999999979</v>
          </cell>
        </row>
        <row r="4631">
          <cell r="AM4631">
            <v>2.0999999999999979</v>
          </cell>
        </row>
        <row r="4632">
          <cell r="AM4632">
            <v>2.0999999999999979</v>
          </cell>
        </row>
        <row r="4633">
          <cell r="AM4633">
            <v>2.1000000000000014</v>
          </cell>
        </row>
        <row r="4634">
          <cell r="AM4634">
            <v>2.1000000000000014</v>
          </cell>
        </row>
        <row r="4635">
          <cell r="AM4635">
            <v>2.1000000000000014</v>
          </cell>
        </row>
        <row r="4636">
          <cell r="AM4636">
            <v>2.0999999999999979</v>
          </cell>
        </row>
        <row r="4637">
          <cell r="AM4637">
            <v>2.1000000000000014</v>
          </cell>
        </row>
        <row r="4638">
          <cell r="AM4638">
            <v>2.1000000000000014</v>
          </cell>
        </row>
        <row r="4639">
          <cell r="AM4639">
            <v>2.0999999999999979</v>
          </cell>
        </row>
        <row r="4640">
          <cell r="AM4640">
            <v>2.1000000000000014</v>
          </cell>
        </row>
        <row r="4641">
          <cell r="AM4641">
            <v>2.0999999999999979</v>
          </cell>
        </row>
        <row r="4642">
          <cell r="AM4642">
            <v>2.1000000000000014</v>
          </cell>
        </row>
        <row r="4643">
          <cell r="AM4643">
            <v>2.1000000000000014</v>
          </cell>
        </row>
        <row r="4644">
          <cell r="AM4644">
            <v>1.7299999999999969</v>
          </cell>
        </row>
        <row r="4645">
          <cell r="AM4645">
            <v>1.7299999999999969</v>
          </cell>
        </row>
        <row r="4646">
          <cell r="AM4646">
            <v>1.879999999999999</v>
          </cell>
        </row>
        <row r="4647">
          <cell r="AM4647">
            <v>1.879999999999999</v>
          </cell>
        </row>
        <row r="4648">
          <cell r="AM4648">
            <v>1.879999999999999</v>
          </cell>
        </row>
        <row r="4649">
          <cell r="AM4649">
            <v>1.879999999999999</v>
          </cell>
        </row>
        <row r="4650">
          <cell r="AM4650">
            <v>1.879999999999999</v>
          </cell>
        </row>
        <row r="4651">
          <cell r="AM4651">
            <v>1.879999999999999</v>
          </cell>
        </row>
        <row r="4652">
          <cell r="AM4652">
            <v>1.879999999999999</v>
          </cell>
        </row>
        <row r="4653">
          <cell r="AM4653">
            <v>1.5</v>
          </cell>
        </row>
        <row r="4654">
          <cell r="AM4654">
            <v>1.8699999999999974</v>
          </cell>
        </row>
        <row r="4655">
          <cell r="AM4655">
            <v>1.8500000000000014</v>
          </cell>
        </row>
        <row r="4656">
          <cell r="AM4656">
            <v>1.870000000000001</v>
          </cell>
        </row>
        <row r="4657">
          <cell r="AM4657">
            <v>1.870000000000001</v>
          </cell>
        </row>
        <row r="4658">
          <cell r="AM4658">
            <v>1.9800000000000004</v>
          </cell>
        </row>
        <row r="4659">
          <cell r="AM4659">
            <v>1.9700000000000024</v>
          </cell>
        </row>
        <row r="4660">
          <cell r="AM4660">
            <v>1.9699999999999989</v>
          </cell>
        </row>
        <row r="4661">
          <cell r="AM4661">
            <v>2.0399999999999991</v>
          </cell>
        </row>
        <row r="4662">
          <cell r="AM4662">
            <v>1.870000000000001</v>
          </cell>
        </row>
        <row r="4663">
          <cell r="AM4663">
            <v>1.870000000000001</v>
          </cell>
        </row>
        <row r="4664">
          <cell r="AM4664">
            <v>1.870000000000001</v>
          </cell>
        </row>
        <row r="4665">
          <cell r="AM4665">
            <v>1.870000000000001</v>
          </cell>
        </row>
        <row r="4666">
          <cell r="AM4666">
            <v>1.870000000000001</v>
          </cell>
        </row>
        <row r="4667">
          <cell r="AM4667">
            <v>1.870000000000001</v>
          </cell>
        </row>
        <row r="4668">
          <cell r="AM4668">
            <v>1.870000000000001</v>
          </cell>
        </row>
        <row r="4669">
          <cell r="AM4669">
            <v>1.5</v>
          </cell>
        </row>
        <row r="4670">
          <cell r="AM4670">
            <v>1.5</v>
          </cell>
        </row>
        <row r="4671">
          <cell r="AM4671">
            <v>1.5</v>
          </cell>
        </row>
        <row r="4672">
          <cell r="AM4672">
            <v>1.5</v>
          </cell>
        </row>
        <row r="4673">
          <cell r="AM4673">
            <v>1.5</v>
          </cell>
        </row>
        <row r="4674">
          <cell r="AM4674">
            <v>1.6699999999999982</v>
          </cell>
        </row>
        <row r="4675">
          <cell r="AM4675">
            <v>1.7799999999999976</v>
          </cell>
        </row>
        <row r="4676">
          <cell r="AM4676">
            <v>1.7899999999999991</v>
          </cell>
        </row>
        <row r="4677">
          <cell r="AM4677">
            <v>1.7800000000000011</v>
          </cell>
        </row>
        <row r="4678">
          <cell r="AM4678">
            <v>1.7799999999999976</v>
          </cell>
        </row>
        <row r="4679">
          <cell r="AM4679">
            <v>1.75</v>
          </cell>
        </row>
        <row r="4680">
          <cell r="AM4680">
            <v>1.7799999999999976</v>
          </cell>
        </row>
        <row r="4681">
          <cell r="AM4681">
            <v>1.7100000000000009</v>
          </cell>
        </row>
        <row r="4682">
          <cell r="AM4682">
            <v>1.8099999999999987</v>
          </cell>
        </row>
        <row r="4683">
          <cell r="AM4683">
            <v>1.7099999999999973</v>
          </cell>
        </row>
        <row r="4684">
          <cell r="AM4684">
            <v>2.0799999999999983</v>
          </cell>
        </row>
        <row r="4685">
          <cell r="AM4685">
            <v>2.1799999999999962</v>
          </cell>
        </row>
        <row r="4686">
          <cell r="AM4686">
            <v>2.0500000000000007</v>
          </cell>
        </row>
        <row r="4687">
          <cell r="AM4687">
            <v>2.0999999999999979</v>
          </cell>
        </row>
        <row r="4688">
          <cell r="AM4688">
            <v>2.1400000000000006</v>
          </cell>
        </row>
        <row r="4689">
          <cell r="AM4689">
            <v>2.0999999999999979</v>
          </cell>
        </row>
        <row r="4690">
          <cell r="AM4690">
            <v>2.3300000000000018</v>
          </cell>
        </row>
        <row r="4691">
          <cell r="AM4691">
            <v>2.3499999999999979</v>
          </cell>
        </row>
        <row r="4692">
          <cell r="AM4692">
            <v>1.7100000000000009</v>
          </cell>
        </row>
        <row r="4693">
          <cell r="AM4693">
            <v>1.7399999999999984</v>
          </cell>
        </row>
        <row r="4694">
          <cell r="AM4694">
            <v>1.7800000000000011</v>
          </cell>
        </row>
        <row r="4695">
          <cell r="AM4695">
            <v>1.740000000000002</v>
          </cell>
        </row>
        <row r="4696">
          <cell r="AM4696">
            <v>1.740000000000002</v>
          </cell>
        </row>
        <row r="4697">
          <cell r="AM4697">
            <v>2.16</v>
          </cell>
        </row>
        <row r="4698">
          <cell r="AM4698">
            <v>2.4299999999999997</v>
          </cell>
        </row>
        <row r="4699">
          <cell r="AM4699">
            <v>2.3500000000000014</v>
          </cell>
        </row>
        <row r="4700">
          <cell r="AM4700">
            <v>2.3299999999999983</v>
          </cell>
        </row>
        <row r="4701">
          <cell r="AM4701">
            <v>2.3200000000000003</v>
          </cell>
        </row>
        <row r="4702">
          <cell r="AM4702">
            <v>2.3099999999999987</v>
          </cell>
        </row>
        <row r="4703">
          <cell r="AM4703" t="str">
            <v/>
          </cell>
        </row>
        <row r="4704">
          <cell r="AM4704">
            <v>1.7900000000000027</v>
          </cell>
        </row>
        <row r="4705">
          <cell r="AM4705" t="str">
            <v/>
          </cell>
        </row>
        <row r="4706">
          <cell r="AM4706">
            <v>1.5899999999999999</v>
          </cell>
        </row>
        <row r="4707">
          <cell r="AM4707">
            <v>1.6600000000000001</v>
          </cell>
        </row>
        <row r="4708">
          <cell r="AM4708">
            <v>1.6199999999999974</v>
          </cell>
        </row>
        <row r="4709">
          <cell r="AM4709">
            <v>1.6900000000000013</v>
          </cell>
        </row>
        <row r="4710">
          <cell r="AM4710">
            <v>1.5199999999999996</v>
          </cell>
        </row>
        <row r="4711">
          <cell r="AM4711">
            <v>1.6900000000000013</v>
          </cell>
        </row>
        <row r="4712">
          <cell r="AM4712">
            <v>1.6600000000000001</v>
          </cell>
        </row>
        <row r="4713">
          <cell r="AM4713">
            <v>1.6699999999999982</v>
          </cell>
        </row>
        <row r="4714">
          <cell r="AM4714">
            <v>1.6900000000000013</v>
          </cell>
        </row>
        <row r="4715">
          <cell r="AM4715">
            <v>1.639999999999997</v>
          </cell>
        </row>
        <row r="4716">
          <cell r="AM4716" t="str">
            <v/>
          </cell>
        </row>
        <row r="4717">
          <cell r="AM4717">
            <v>2.2600000000000016</v>
          </cell>
        </row>
        <row r="4718">
          <cell r="AM4718">
            <v>2.240000000000002</v>
          </cell>
        </row>
        <row r="4719">
          <cell r="AM4719">
            <v>2.2299999999999969</v>
          </cell>
        </row>
        <row r="4720">
          <cell r="AM4720">
            <v>2.2199999999999989</v>
          </cell>
        </row>
        <row r="4721">
          <cell r="AM4721">
            <v>2.1999999999999993</v>
          </cell>
        </row>
        <row r="4722">
          <cell r="AM4722">
            <v>2.1700000000000017</v>
          </cell>
        </row>
        <row r="4723">
          <cell r="AM4723" t="str">
            <v/>
          </cell>
        </row>
        <row r="4724">
          <cell r="AM4724">
            <v>2.2000000000000028</v>
          </cell>
        </row>
        <row r="4725">
          <cell r="AM4725" t="str">
            <v/>
          </cell>
        </row>
        <row r="4726">
          <cell r="AM4726">
            <v>1.6299999999999955</v>
          </cell>
        </row>
        <row r="4727">
          <cell r="AM4727">
            <v>1.6300000000000026</v>
          </cell>
        </row>
        <row r="4728">
          <cell r="AM4728">
            <v>1.6500000000000021</v>
          </cell>
        </row>
        <row r="4729">
          <cell r="AM4729">
            <v>1.6400000000000006</v>
          </cell>
        </row>
        <row r="4730">
          <cell r="AM4730">
            <v>1.6600000000000001</v>
          </cell>
        </row>
        <row r="4731">
          <cell r="AM4731">
            <v>1.629999999999999</v>
          </cell>
        </row>
        <row r="4732">
          <cell r="AM4732">
            <v>1.6499999999999986</v>
          </cell>
        </row>
        <row r="4733">
          <cell r="AM4733">
            <v>1.6500000000000021</v>
          </cell>
        </row>
        <row r="4734">
          <cell r="AM4734">
            <v>1.6099999999999994</v>
          </cell>
        </row>
        <row r="4735">
          <cell r="AM4735">
            <v>1.6799999999999997</v>
          </cell>
        </row>
        <row r="4736">
          <cell r="AM4736">
            <v>1.5100000000000016</v>
          </cell>
        </row>
        <row r="4737">
          <cell r="AM4737">
            <v>1.5600000000000023</v>
          </cell>
        </row>
        <row r="4738">
          <cell r="AM4738">
            <v>1.5599999999999987</v>
          </cell>
        </row>
        <row r="4739">
          <cell r="AM4739">
            <v>1.5600000000000023</v>
          </cell>
        </row>
        <row r="4740">
          <cell r="AM4740">
            <v>1.5300000000000011</v>
          </cell>
        </row>
        <row r="4741">
          <cell r="AM4741">
            <v>1.5700000000000003</v>
          </cell>
        </row>
        <row r="4742">
          <cell r="AM4742">
            <v>1.6400000000000006</v>
          </cell>
        </row>
        <row r="4743">
          <cell r="AM4743">
            <v>1.6400000000000006</v>
          </cell>
        </row>
        <row r="4744">
          <cell r="AM4744">
            <v>2.8800000000000026</v>
          </cell>
        </row>
        <row r="4745">
          <cell r="AM4745">
            <v>2.8900000000000041</v>
          </cell>
        </row>
        <row r="4746">
          <cell r="AM4746">
            <v>2.9200000000000017</v>
          </cell>
        </row>
        <row r="4747">
          <cell r="AM4747">
            <v>2.8800000000000026</v>
          </cell>
        </row>
        <row r="4748">
          <cell r="AM4748">
            <v>2.9200000000000017</v>
          </cell>
        </row>
        <row r="4749">
          <cell r="AM4749">
            <v>2.9299999999999997</v>
          </cell>
        </row>
        <row r="4750">
          <cell r="AM4750">
            <v>2.8400000000000034</v>
          </cell>
        </row>
        <row r="4751">
          <cell r="AM4751">
            <v>2.9100000000000037</v>
          </cell>
        </row>
        <row r="4752">
          <cell r="AM4752">
            <v>2.9400000000000013</v>
          </cell>
        </row>
        <row r="4753">
          <cell r="AM4753">
            <v>2.870000000000001</v>
          </cell>
        </row>
        <row r="4754">
          <cell r="AM4754">
            <v>2.9699999999999989</v>
          </cell>
        </row>
        <row r="4755">
          <cell r="AM4755">
            <v>3.5400000000000027</v>
          </cell>
        </row>
        <row r="4756">
          <cell r="AM4756">
            <v>3.5500000000000007</v>
          </cell>
        </row>
        <row r="4757">
          <cell r="AM4757">
            <v>2.9300000000000033</v>
          </cell>
        </row>
        <row r="4758">
          <cell r="AM4758">
            <v>2.9200000000000017</v>
          </cell>
        </row>
        <row r="4759">
          <cell r="AM4759">
            <v>2.9000000000000021</v>
          </cell>
        </row>
        <row r="4760">
          <cell r="AM4760">
            <v>3.9699999999999953</v>
          </cell>
        </row>
        <row r="4761">
          <cell r="AM4761">
            <v>4.0000000000000036</v>
          </cell>
        </row>
        <row r="4762">
          <cell r="AM4762">
            <v>3.870000000000001</v>
          </cell>
        </row>
        <row r="4763">
          <cell r="AM4763">
            <v>3.8699999999999974</v>
          </cell>
        </row>
        <row r="4764">
          <cell r="AM4764">
            <v>4.009999999999998</v>
          </cell>
        </row>
        <row r="4765">
          <cell r="AM4765">
            <v>3.9200000000000017</v>
          </cell>
        </row>
        <row r="4766">
          <cell r="AM4766">
            <v>3.9199999999999982</v>
          </cell>
        </row>
        <row r="4767">
          <cell r="AM4767" t="str">
            <v/>
          </cell>
        </row>
        <row r="4768">
          <cell r="AM4768" t="str">
            <v/>
          </cell>
        </row>
        <row r="4769">
          <cell r="AM4769" t="str">
            <v/>
          </cell>
        </row>
        <row r="4770">
          <cell r="AM4770">
            <v>3.6699999999999982</v>
          </cell>
        </row>
        <row r="4771">
          <cell r="AM4771">
            <v>3.6900000000000013</v>
          </cell>
        </row>
        <row r="4772">
          <cell r="AM4772">
            <v>3.6599999999999966</v>
          </cell>
        </row>
        <row r="4773">
          <cell r="AM4773">
            <v>3.629999999999999</v>
          </cell>
        </row>
        <row r="4774">
          <cell r="AM4774">
            <v>3.6999999999999993</v>
          </cell>
        </row>
        <row r="4775">
          <cell r="AM4775">
            <v>3.6899999999999977</v>
          </cell>
        </row>
        <row r="4776">
          <cell r="AM4776">
            <v>3.66</v>
          </cell>
        </row>
        <row r="4777">
          <cell r="AM4777">
            <v>3.6799999999999997</v>
          </cell>
        </row>
        <row r="4778">
          <cell r="AM4778">
            <v>3.7199999999999989</v>
          </cell>
        </row>
        <row r="4779">
          <cell r="AM4779">
            <v>3.6900000000000013</v>
          </cell>
        </row>
        <row r="4780">
          <cell r="AM4780">
            <v>3.9699999999999989</v>
          </cell>
        </row>
        <row r="4781">
          <cell r="AM4781">
            <v>3.9899999999999984</v>
          </cell>
        </row>
        <row r="4782">
          <cell r="AM4782">
            <v>3.9699999999999953</v>
          </cell>
        </row>
        <row r="4783">
          <cell r="AM4783">
            <v>3.9299999999999997</v>
          </cell>
        </row>
        <row r="4784">
          <cell r="AM4784">
            <v>3.9299999999999997</v>
          </cell>
        </row>
        <row r="4785">
          <cell r="AM4785">
            <v>4.1699999999999982</v>
          </cell>
        </row>
        <row r="4786">
          <cell r="AM4786">
            <v>4.2399999999999984</v>
          </cell>
        </row>
        <row r="4787">
          <cell r="AM4787">
            <v>4.18</v>
          </cell>
        </row>
        <row r="4788">
          <cell r="AM4788" t="str">
            <v/>
          </cell>
        </row>
        <row r="4789">
          <cell r="AM4789">
            <v>3.6999999999999993</v>
          </cell>
        </row>
        <row r="4790">
          <cell r="AM4790">
            <v>3.7499999999999964</v>
          </cell>
        </row>
        <row r="4791">
          <cell r="AM4791">
            <v>3.4899999999999984</v>
          </cell>
        </row>
        <row r="4792">
          <cell r="AM4792" t="str">
            <v/>
          </cell>
        </row>
        <row r="4793">
          <cell r="AM4793">
            <v>3.9799999999999969</v>
          </cell>
        </row>
        <row r="4794">
          <cell r="AM4794">
            <v>3.9999999999999964</v>
          </cell>
        </row>
        <row r="4795">
          <cell r="AM4795">
            <v>3.9599999999999973</v>
          </cell>
        </row>
        <row r="4796">
          <cell r="AM4796">
            <v>4.0200000000000031</v>
          </cell>
        </row>
        <row r="4797">
          <cell r="AM4797">
            <v>4.019999999999996</v>
          </cell>
        </row>
        <row r="4798">
          <cell r="AM4798">
            <v>3.9800000000000004</v>
          </cell>
        </row>
        <row r="4799">
          <cell r="AM4799">
            <v>4.0800000000000018</v>
          </cell>
        </row>
        <row r="4800">
          <cell r="AM4800">
            <v>4.0600000000000023</v>
          </cell>
        </row>
        <row r="4801">
          <cell r="AM4801">
            <v>4.1300000000000026</v>
          </cell>
        </row>
        <row r="4802">
          <cell r="AM4802">
            <v>3.4799999999999969</v>
          </cell>
        </row>
        <row r="4803">
          <cell r="AM4803">
            <v>3.4699999999999953</v>
          </cell>
        </row>
        <row r="4804">
          <cell r="AM4804">
            <v>3.5399999999999991</v>
          </cell>
        </row>
        <row r="4805">
          <cell r="AM4805">
            <v>2.91</v>
          </cell>
        </row>
        <row r="4806">
          <cell r="AM4806">
            <v>2.889999999999997</v>
          </cell>
        </row>
        <row r="4807">
          <cell r="AM4807">
            <v>2.870000000000001</v>
          </cell>
        </row>
        <row r="4808">
          <cell r="AM4808">
            <v>3.509999999999998</v>
          </cell>
        </row>
        <row r="4809">
          <cell r="AM4809">
            <v>3.4800000000000004</v>
          </cell>
        </row>
        <row r="4810">
          <cell r="AM4810">
            <v>4.4699999999999989</v>
          </cell>
        </row>
        <row r="4811">
          <cell r="AM4811">
            <v>3.480000000000004</v>
          </cell>
        </row>
        <row r="4812">
          <cell r="AM4812">
            <v>3.5000000000000036</v>
          </cell>
        </row>
        <row r="4813">
          <cell r="AM4813">
            <v>3.4800000000000004</v>
          </cell>
        </row>
        <row r="4814">
          <cell r="AM4814" t="str">
            <v/>
          </cell>
        </row>
        <row r="4815">
          <cell r="AM4815" t="str">
            <v/>
          </cell>
        </row>
        <row r="4816">
          <cell r="AM4816" t="str">
            <v/>
          </cell>
        </row>
        <row r="4817">
          <cell r="AM4817" t="str">
            <v/>
          </cell>
        </row>
        <row r="4818">
          <cell r="AM4818" t="str">
            <v/>
          </cell>
        </row>
        <row r="4819">
          <cell r="AM4819" t="str">
            <v/>
          </cell>
        </row>
        <row r="4820">
          <cell r="AM4820">
            <v>4.0299999999999976</v>
          </cell>
        </row>
        <row r="4821">
          <cell r="AM4821">
            <v>3.9300000000000033</v>
          </cell>
        </row>
        <row r="4822">
          <cell r="AM4822">
            <v>3.8999999999999986</v>
          </cell>
        </row>
        <row r="4823">
          <cell r="AM4823">
            <v>2.7199999999999989</v>
          </cell>
        </row>
        <row r="4824">
          <cell r="AM4824">
            <v>2.7799999999999976</v>
          </cell>
        </row>
        <row r="4825">
          <cell r="AM4825">
            <v>2.5799999999999983</v>
          </cell>
        </row>
        <row r="4826">
          <cell r="AM4826">
            <v>2.740000000000002</v>
          </cell>
        </row>
        <row r="4827">
          <cell r="AM4827" t="str">
            <v/>
          </cell>
        </row>
        <row r="4828">
          <cell r="AM4828" t="str">
            <v/>
          </cell>
        </row>
        <row r="4829">
          <cell r="AM4829">
            <v>2.3599999999999994</v>
          </cell>
        </row>
        <row r="4830">
          <cell r="AM4830">
            <v>2.379999999999999</v>
          </cell>
        </row>
        <row r="4831">
          <cell r="AM4831">
            <v>2.3500000000000014</v>
          </cell>
        </row>
        <row r="4832">
          <cell r="AM4832">
            <v>3.1300000000000026</v>
          </cell>
        </row>
        <row r="4833">
          <cell r="AM4833">
            <v>3.1400000000000006</v>
          </cell>
        </row>
        <row r="4834">
          <cell r="AM4834">
            <v>3.1999999999999993</v>
          </cell>
        </row>
        <row r="4835">
          <cell r="AM4835">
            <v>3.1799999999999997</v>
          </cell>
        </row>
        <row r="4836">
          <cell r="AM4836">
            <v>3.16</v>
          </cell>
        </row>
        <row r="4837">
          <cell r="AM4837">
            <v>3.1499999999999986</v>
          </cell>
        </row>
        <row r="4838">
          <cell r="AM4838">
            <v>3.1300000000000026</v>
          </cell>
        </row>
        <row r="4839">
          <cell r="AM4839">
            <v>3.1300000000000026</v>
          </cell>
        </row>
        <row r="4840">
          <cell r="AM4840">
            <v>3.1400000000000006</v>
          </cell>
        </row>
        <row r="4841">
          <cell r="AM4841">
            <v>3.1400000000000006</v>
          </cell>
        </row>
        <row r="4842">
          <cell r="AM4842">
            <v>3.3000000000000007</v>
          </cell>
        </row>
        <row r="4843">
          <cell r="AM4843">
            <v>3.2699999999999996</v>
          </cell>
        </row>
        <row r="4844">
          <cell r="AM4844">
            <v>3.3099999999999987</v>
          </cell>
        </row>
        <row r="4845">
          <cell r="AM4845">
            <v>3.3099999999999987</v>
          </cell>
        </row>
        <row r="4846">
          <cell r="AM4846">
            <v>3.3599999999999994</v>
          </cell>
        </row>
        <row r="4847">
          <cell r="AM4847">
            <v>3.3100000000000023</v>
          </cell>
        </row>
        <row r="4848">
          <cell r="AM4848">
            <v>3.3000000000000007</v>
          </cell>
        </row>
        <row r="4849">
          <cell r="AM4849">
            <v>3.3200000000000003</v>
          </cell>
        </row>
        <row r="4850">
          <cell r="AM4850">
            <v>3.3200000000000003</v>
          </cell>
        </row>
        <row r="4851">
          <cell r="AM4851">
            <v>3.2800000000000011</v>
          </cell>
        </row>
        <row r="4852">
          <cell r="AM4852">
            <v>3.2800000000000011</v>
          </cell>
        </row>
        <row r="4853">
          <cell r="AM4853">
            <v>3.2900000000000027</v>
          </cell>
        </row>
        <row r="4854">
          <cell r="AM4854">
            <v>3.2800000000000011</v>
          </cell>
        </row>
        <row r="4855">
          <cell r="AM4855">
            <v>3.34</v>
          </cell>
        </row>
        <row r="4856">
          <cell r="AM4856">
            <v>3.0599999999999987</v>
          </cell>
        </row>
        <row r="4857">
          <cell r="AM4857">
            <v>3.0800000000000018</v>
          </cell>
        </row>
        <row r="4858">
          <cell r="AM4858">
            <v>3</v>
          </cell>
        </row>
        <row r="4859">
          <cell r="AM4859">
            <v>3.0199999999999996</v>
          </cell>
        </row>
        <row r="4860">
          <cell r="AM4860">
            <v>3.009999999999998</v>
          </cell>
        </row>
        <row r="4861">
          <cell r="AM4861">
            <v>3.2800000000000011</v>
          </cell>
        </row>
        <row r="4862">
          <cell r="AM4862">
            <v>3.3100000000000023</v>
          </cell>
        </row>
        <row r="4863">
          <cell r="AM4863">
            <v>3.3000000000000007</v>
          </cell>
        </row>
        <row r="4864">
          <cell r="AM4864">
            <v>3.2899999999999991</v>
          </cell>
        </row>
        <row r="4865">
          <cell r="AM4865">
            <v>3.6400000000000006</v>
          </cell>
        </row>
        <row r="4866">
          <cell r="AM4866">
            <v>3.4499999999999993</v>
          </cell>
        </row>
        <row r="4867">
          <cell r="AM4867">
            <v>3.4299999999999997</v>
          </cell>
        </row>
        <row r="4868">
          <cell r="AM4868">
            <v>3.5700000000000003</v>
          </cell>
        </row>
        <row r="4869">
          <cell r="AM4869">
            <v>3.610000000000003</v>
          </cell>
        </row>
        <row r="4870">
          <cell r="AM4870" t="str">
            <v/>
          </cell>
        </row>
        <row r="4871">
          <cell r="AM4871">
            <v>3.120000000000001</v>
          </cell>
        </row>
        <row r="4872">
          <cell r="AM4872" t="str">
            <v/>
          </cell>
        </row>
        <row r="4873">
          <cell r="AM4873">
            <v>3.1900000000000013</v>
          </cell>
        </row>
        <row r="4874">
          <cell r="AM4874">
            <v>3.139999999999997</v>
          </cell>
        </row>
        <row r="4875">
          <cell r="AM4875">
            <v>3.16</v>
          </cell>
        </row>
        <row r="4876">
          <cell r="AM4876">
            <v>4.1900000000000013</v>
          </cell>
        </row>
        <row r="4877">
          <cell r="AM4877">
            <v>4.18</v>
          </cell>
        </row>
        <row r="4878">
          <cell r="AM4878">
            <v>4.1499999999999986</v>
          </cell>
        </row>
        <row r="4879">
          <cell r="AM4879" t="str">
            <v/>
          </cell>
        </row>
        <row r="4880">
          <cell r="AM4880">
            <v>4.1699999999999982</v>
          </cell>
        </row>
        <row r="4881">
          <cell r="AM4881">
            <v>3.6900000000000013</v>
          </cell>
        </row>
        <row r="4882">
          <cell r="AM4882">
            <v>3.66</v>
          </cell>
        </row>
        <row r="4883">
          <cell r="AM4883">
            <v>3.6499999999999986</v>
          </cell>
        </row>
        <row r="4884">
          <cell r="AM4884">
            <v>3.6900000000000013</v>
          </cell>
        </row>
        <row r="4885">
          <cell r="AM4885">
            <v>3.5399999999999991</v>
          </cell>
        </row>
        <row r="4886">
          <cell r="AM4886">
            <v>3.5</v>
          </cell>
        </row>
        <row r="4887">
          <cell r="AM4887">
            <v>3.5599999999999987</v>
          </cell>
        </row>
        <row r="4888">
          <cell r="AM4888">
            <v>3.4499999999999993</v>
          </cell>
        </row>
        <row r="4889">
          <cell r="AM4889">
            <v>3.4499999999999993</v>
          </cell>
        </row>
        <row r="4890">
          <cell r="AM4890">
            <v>3.5399999999999991</v>
          </cell>
        </row>
        <row r="4891">
          <cell r="AM4891">
            <v>3.5</v>
          </cell>
        </row>
        <row r="4892">
          <cell r="AM4892">
            <v>3.4199999999999982</v>
          </cell>
        </row>
        <row r="4893">
          <cell r="AM4893">
            <v>3.490000000000002</v>
          </cell>
        </row>
        <row r="4894">
          <cell r="AM4894">
            <v>3.5399999999999991</v>
          </cell>
        </row>
        <row r="4895">
          <cell r="AM4895">
            <v>3.610000000000003</v>
          </cell>
        </row>
        <row r="4896">
          <cell r="AM4896">
            <v>3.5600000000000023</v>
          </cell>
        </row>
        <row r="4897">
          <cell r="AM4897">
            <v>3.5699999999999967</v>
          </cell>
        </row>
        <row r="4898">
          <cell r="AM4898">
            <v>3.5199999999999996</v>
          </cell>
        </row>
        <row r="4899">
          <cell r="AM4899">
            <v>3.5800000000000018</v>
          </cell>
        </row>
        <row r="4900">
          <cell r="AM4900">
            <v>3.5300000000000011</v>
          </cell>
        </row>
        <row r="4901">
          <cell r="AM4901">
            <v>3.5700000000000003</v>
          </cell>
        </row>
        <row r="4902">
          <cell r="AM4902">
            <v>3.5199999999999996</v>
          </cell>
        </row>
        <row r="4903">
          <cell r="AM4903">
            <v>3.6799999999999997</v>
          </cell>
        </row>
        <row r="4904">
          <cell r="AM4904">
            <v>3.7100000000000009</v>
          </cell>
        </row>
        <row r="4905">
          <cell r="AM4905">
            <v>3.7399999999999984</v>
          </cell>
        </row>
        <row r="4906">
          <cell r="AM4906">
            <v>3.6799999999999997</v>
          </cell>
        </row>
        <row r="4907">
          <cell r="AM4907">
            <v>3.8200000000000003</v>
          </cell>
        </row>
        <row r="4908">
          <cell r="AM4908">
            <v>3.7399999999999984</v>
          </cell>
        </row>
        <row r="4909">
          <cell r="AM4909">
            <v>3.8900000000000006</v>
          </cell>
        </row>
        <row r="4910">
          <cell r="AM4910" t="str">
            <v/>
          </cell>
        </row>
        <row r="4911">
          <cell r="AM4911" t="str">
            <v/>
          </cell>
        </row>
        <row r="4912">
          <cell r="AM4912">
            <v>3.5399999999999991</v>
          </cell>
        </row>
        <row r="4913">
          <cell r="AM4913">
            <v>3.5399999999999991</v>
          </cell>
        </row>
        <row r="4914">
          <cell r="AM4914">
            <v>3.5199999999999996</v>
          </cell>
        </row>
        <row r="4915">
          <cell r="AM4915">
            <v>3.5100000000000016</v>
          </cell>
        </row>
        <row r="4916">
          <cell r="AM4916">
            <v>3.4599999999999973</v>
          </cell>
        </row>
        <row r="4917">
          <cell r="AM4917">
            <v>3.490000000000002</v>
          </cell>
        </row>
        <row r="4918">
          <cell r="AM4918">
            <v>3.5599999999999987</v>
          </cell>
        </row>
        <row r="4919">
          <cell r="AM4919">
            <v>3.59</v>
          </cell>
        </row>
        <row r="4920">
          <cell r="AM4920">
            <v>2.6900000000000013</v>
          </cell>
        </row>
        <row r="4921">
          <cell r="AM4921">
            <v>2.75</v>
          </cell>
        </row>
        <row r="4922">
          <cell r="AM4922">
            <v>2.75</v>
          </cell>
        </row>
        <row r="4923">
          <cell r="AM4923">
            <v>2.7899999999999991</v>
          </cell>
        </row>
        <row r="4924">
          <cell r="AM4924">
            <v>2.9499999999999993</v>
          </cell>
        </row>
        <row r="4925">
          <cell r="AM4925">
            <v>3.09</v>
          </cell>
        </row>
        <row r="4926">
          <cell r="AM4926">
            <v>3.1700000000000017</v>
          </cell>
        </row>
        <row r="4927">
          <cell r="AM4927">
            <v>3.0500000000000007</v>
          </cell>
        </row>
        <row r="4928">
          <cell r="AM4928">
            <v>3.0599999999999987</v>
          </cell>
        </row>
        <row r="4929">
          <cell r="AM4929">
            <v>2.8000000000000007</v>
          </cell>
        </row>
        <row r="4930">
          <cell r="AM4930">
            <v>3.110000000000003</v>
          </cell>
        </row>
        <row r="4931">
          <cell r="AM4931">
            <v>2.7299999999999969</v>
          </cell>
        </row>
        <row r="4932">
          <cell r="AM4932">
            <v>3.0499999999999972</v>
          </cell>
        </row>
        <row r="4933">
          <cell r="AM4933" t="str">
            <v/>
          </cell>
        </row>
        <row r="4934">
          <cell r="AM4934" t="str">
            <v/>
          </cell>
        </row>
        <row r="4935">
          <cell r="AM4935">
            <v>2.84</v>
          </cell>
        </row>
        <row r="4936">
          <cell r="AM4936">
            <v>3.1099999999999994</v>
          </cell>
        </row>
        <row r="4937">
          <cell r="AM4937">
            <v>3.2799999999999976</v>
          </cell>
        </row>
        <row r="4938">
          <cell r="AM4938">
            <v>3.2300000000000004</v>
          </cell>
        </row>
        <row r="4939">
          <cell r="AM4939">
            <v>3.3299999999999983</v>
          </cell>
        </row>
        <row r="4940">
          <cell r="AM4940">
            <v>3.3200000000000003</v>
          </cell>
        </row>
        <row r="4941">
          <cell r="AM4941">
            <v>3.3299999999999983</v>
          </cell>
        </row>
        <row r="4942">
          <cell r="AM4942">
            <v>3.3000000000000007</v>
          </cell>
        </row>
        <row r="4943">
          <cell r="AM4943">
            <v>2.8900000000000006</v>
          </cell>
        </row>
        <row r="4944">
          <cell r="AM4944">
            <v>2.9000000000000021</v>
          </cell>
        </row>
        <row r="4945">
          <cell r="AM4945">
            <v>2.8299999999999983</v>
          </cell>
        </row>
        <row r="4946">
          <cell r="AM4946">
            <v>2.8900000000000006</v>
          </cell>
        </row>
        <row r="4947">
          <cell r="AM4947">
            <v>2.9400000000000013</v>
          </cell>
        </row>
        <row r="4948">
          <cell r="AM4948">
            <v>2.879999999999999</v>
          </cell>
        </row>
        <row r="4949">
          <cell r="AM4949">
            <v>2.8599999999999994</v>
          </cell>
        </row>
        <row r="4950">
          <cell r="AM4950">
            <v>2.8599999999999994</v>
          </cell>
        </row>
        <row r="4951">
          <cell r="AM4951">
            <v>3.0599999999999987</v>
          </cell>
        </row>
        <row r="4952">
          <cell r="AM4952">
            <v>2.8099999999999987</v>
          </cell>
        </row>
        <row r="4953">
          <cell r="AM4953">
            <v>2.870000000000001</v>
          </cell>
        </row>
        <row r="4954">
          <cell r="AM4954">
            <v>2.9800000000000004</v>
          </cell>
        </row>
        <row r="4955">
          <cell r="AM4955">
            <v>3.1999999999999993</v>
          </cell>
        </row>
        <row r="4956">
          <cell r="AM4956">
            <v>2.9399999999999977</v>
          </cell>
        </row>
        <row r="4957">
          <cell r="AM4957">
            <v>2.8599999999999994</v>
          </cell>
        </row>
        <row r="4958">
          <cell r="AM4958">
            <v>2.9200000000000017</v>
          </cell>
        </row>
        <row r="4959">
          <cell r="AM4959">
            <v>2.9200000000000017</v>
          </cell>
        </row>
        <row r="4960">
          <cell r="AM4960">
            <v>2.91</v>
          </cell>
        </row>
        <row r="4961">
          <cell r="AM4961">
            <v>2.9500000000000028</v>
          </cell>
        </row>
        <row r="4962">
          <cell r="AM4962">
            <v>2.9299999999999997</v>
          </cell>
        </row>
        <row r="4963">
          <cell r="AM4963">
            <v>2.9700000000000024</v>
          </cell>
        </row>
        <row r="4964">
          <cell r="AM4964">
            <v>2.9499999999999993</v>
          </cell>
        </row>
        <row r="4965">
          <cell r="AM4965">
            <v>2.9600000000000009</v>
          </cell>
        </row>
        <row r="4966">
          <cell r="AM4966">
            <v>2.9000000000000021</v>
          </cell>
        </row>
      </sheetData>
      <sheetData sheetId="9">
        <row r="4">
          <cell r="K4">
            <v>0.5351434782608695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12">
          <cell r="BE12">
            <v>1886.23784</v>
          </cell>
          <cell r="BF12">
            <v>1901.1980666666664</v>
          </cell>
          <cell r="BG12">
            <v>2054.9320000000002</v>
          </cell>
          <cell r="BH12">
            <v>2091.9902666666667</v>
          </cell>
          <cell r="BI12">
            <v>2164.5542333333337</v>
          </cell>
          <cell r="BJ12">
            <v>2140.5846666666666</v>
          </cell>
          <cell r="BK12">
            <v>2203.8721666666665</v>
          </cell>
          <cell r="BL12">
            <v>2211.9378333333334</v>
          </cell>
          <cell r="BM12">
            <v>2285.3031666666666</v>
          </cell>
          <cell r="BN12">
            <v>2425</v>
          </cell>
          <cell r="BO12">
            <v>2520</v>
          </cell>
          <cell r="BP12">
            <v>2600</v>
          </cell>
          <cell r="BQ12">
            <v>2625</v>
          </cell>
          <cell r="BR12">
            <v>2700</v>
          </cell>
          <cell r="BS12">
            <v>2725</v>
          </cell>
          <cell r="BT12">
            <v>2750</v>
          </cell>
          <cell r="BU12">
            <v>2875</v>
          </cell>
          <cell r="BV12">
            <v>2950</v>
          </cell>
          <cell r="BW12">
            <v>3000</v>
          </cell>
        </row>
        <row r="288"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y Oil Production vs. Demand"/>
      <sheetName val="Soy Oil Refining vs. Demand"/>
      <sheetName val="Refined Prod vs. Demand"/>
      <sheetName val="RBD Production vs. Demand"/>
      <sheetName val="Combined Demand v Refining Cap"/>
      <sheetName val="RBD Refining Capacity v Demand"/>
      <sheetName val="Refining Capacity and Demand"/>
      <sheetName val="Sheet1"/>
      <sheetName val="Soy Crude"/>
      <sheetName val="Soy Refined"/>
      <sheetName val="Canola Crude"/>
      <sheetName val="Ref Canola Oil Edible % Chart"/>
      <sheetName val="Canola Refined"/>
      <sheetName val="Canola Crude Match"/>
      <sheetName val="Canola Refined Match"/>
      <sheetName val="Soy Combined"/>
      <sheetName val="Soy Crude Match"/>
      <sheetName val="Soy Refined Mat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Z6">
            <v>56.484748999999994</v>
          </cell>
          <cell r="AA6">
            <v>25.902655000000003</v>
          </cell>
          <cell r="AB6">
            <v>54.327069000000002</v>
          </cell>
          <cell r="AC6">
            <v>49.933507999999996</v>
          </cell>
          <cell r="AD6">
            <v>70.693919999999991</v>
          </cell>
          <cell r="AE6">
            <v>94.232713000000004</v>
          </cell>
          <cell r="AF6">
            <v>253.56933317449884</v>
          </cell>
          <cell r="AG6">
            <v>81.899808934438269</v>
          </cell>
          <cell r="AH6">
            <v>91.050207851818556</v>
          </cell>
        </row>
        <row r="12">
          <cell r="Z12">
            <v>1960.4947930000001</v>
          </cell>
          <cell r="AA12">
            <v>1633.197465</v>
          </cell>
          <cell r="AB12">
            <v>2443.3817520000007</v>
          </cell>
          <cell r="AC12">
            <v>1448.8472089999998</v>
          </cell>
          <cell r="AD12">
            <v>1469.7986819999999</v>
          </cell>
          <cell r="AE12">
            <v>194.99652999999998</v>
          </cell>
          <cell r="AF12">
            <v>6.7143553933292708</v>
          </cell>
          <cell r="AG12">
            <v>10.13049445558663</v>
          </cell>
          <cell r="AH12">
            <v>9.6792611490393252</v>
          </cell>
        </row>
        <row r="81">
          <cell r="Z81">
            <v>17541.105000000003</v>
          </cell>
          <cell r="AA81">
            <v>17787.413</v>
          </cell>
          <cell r="AB81">
            <v>18377.331000000002</v>
          </cell>
          <cell r="AC81">
            <v>19825.104000000003</v>
          </cell>
          <cell r="AD81">
            <v>20601.161</v>
          </cell>
          <cell r="AE81">
            <v>21086.462999999996</v>
          </cell>
          <cell r="AF81">
            <v>21248.760000000002</v>
          </cell>
          <cell r="AG81">
            <v>24027.819772509873</v>
          </cell>
          <cell r="AH81">
            <v>25173.100900050642</v>
          </cell>
          <cell r="AI81">
            <v>25828.195895030844</v>
          </cell>
          <cell r="AJ81">
            <v>27598.412812128128</v>
          </cell>
          <cell r="AK81">
            <v>29303.654964457441</v>
          </cell>
          <cell r="AL81">
            <v>31993.105852546076</v>
          </cell>
          <cell r="AM81">
            <v>32627.268004274905</v>
          </cell>
          <cell r="AN81">
            <v>33146.046304165618</v>
          </cell>
          <cell r="AO81">
            <v>34845.755090734972</v>
          </cell>
          <cell r="AP81">
            <v>36366.057278951506</v>
          </cell>
        </row>
        <row r="97">
          <cell r="Z97">
            <v>1376.9624012223758</v>
          </cell>
          <cell r="AA97">
            <v>1196.8617914835941</v>
          </cell>
          <cell r="AB97">
            <v>1396.0376941768725</v>
          </cell>
          <cell r="AC97">
            <v>1468.8880000000001</v>
          </cell>
          <cell r="AD97">
            <v>1886.242</v>
          </cell>
          <cell r="AE97">
            <v>2132.1205938314647</v>
          </cell>
          <cell r="AF97">
            <v>2094.9554169294415</v>
          </cell>
          <cell r="AG97">
            <v>2029</v>
          </cell>
          <cell r="AH97">
            <v>2035</v>
          </cell>
          <cell r="AI97">
            <v>2058</v>
          </cell>
          <cell r="AJ97">
            <v>2069</v>
          </cell>
          <cell r="AK97">
            <v>2066</v>
          </cell>
          <cell r="AL97">
            <v>2040</v>
          </cell>
          <cell r="AM97">
            <v>2047</v>
          </cell>
          <cell r="AN97">
            <v>2060</v>
          </cell>
          <cell r="AO97">
            <v>2056</v>
          </cell>
          <cell r="AP97">
            <v>2051</v>
          </cell>
        </row>
      </sheetData>
      <sheetData sheetId="9">
        <row r="6">
          <cell r="Z6">
            <v>279.36387100000002</v>
          </cell>
          <cell r="AA6">
            <v>371.697676</v>
          </cell>
          <cell r="AB6">
            <v>265.88992500000001</v>
          </cell>
          <cell r="AC6">
            <v>251.83670900000001</v>
          </cell>
          <cell r="AD6">
            <v>232.83222599999999</v>
          </cell>
          <cell r="AE6">
            <v>281.55958700000002</v>
          </cell>
          <cell r="AF6">
            <v>241.43066782550113</v>
          </cell>
          <cell r="AG6">
            <v>418.10019106556172</v>
          </cell>
          <cell r="AH6">
            <v>408.94979214818142</v>
          </cell>
        </row>
        <row r="10">
          <cell r="Z10">
            <v>13405.497999999998</v>
          </cell>
          <cell r="AA10">
            <v>13009.89</v>
          </cell>
          <cell r="AB10">
            <v>13127.203</v>
          </cell>
          <cell r="AC10">
            <v>14169.159000000001</v>
          </cell>
          <cell r="AD10">
            <v>14655.959000000001</v>
          </cell>
          <cell r="AE10">
            <v>14378.865000000002</v>
          </cell>
          <cell r="AF10">
            <v>14640.663</v>
          </cell>
          <cell r="AG10">
            <v>17644.693767169301</v>
          </cell>
          <cell r="AH10">
            <v>18717.276665928588</v>
          </cell>
        </row>
        <row r="11">
          <cell r="Z11">
            <v>4010.46</v>
          </cell>
          <cell r="AA11">
            <v>5040.6850000000004</v>
          </cell>
          <cell r="AB11">
            <v>4981.9779999999992</v>
          </cell>
          <cell r="AC11">
            <v>5164.7549999999992</v>
          </cell>
          <cell r="AD11">
            <v>5460.3090000000002</v>
          </cell>
          <cell r="AE11">
            <v>6242.451</v>
          </cell>
          <cell r="AF11">
            <v>6173.2669999999998</v>
          </cell>
          <cell r="AG11">
            <v>5637.5534480316737</v>
          </cell>
          <cell r="AH11">
            <v>5719.0068858126115</v>
          </cell>
        </row>
        <row r="13">
          <cell r="Z13">
            <v>476.09500700000001</v>
          </cell>
          <cell r="AA13">
            <v>298.88735500000001</v>
          </cell>
          <cell r="AB13">
            <v>386.21260300000006</v>
          </cell>
          <cell r="AC13">
            <v>279.10168599999997</v>
          </cell>
          <cell r="AD13">
            <v>296.586885</v>
          </cell>
          <cell r="AE13">
            <v>178.24899400000001</v>
          </cell>
          <cell r="AF13">
            <v>242.84719794433067</v>
          </cell>
          <cell r="AG13">
            <v>239.86950554441336</v>
          </cell>
          <cell r="AH13">
            <v>240.32073885096062</v>
          </cell>
        </row>
        <row r="82">
          <cell r="Z82">
            <v>17415.958000000002</v>
          </cell>
          <cell r="AA82">
            <v>18050.574999999997</v>
          </cell>
          <cell r="AB82">
            <v>18109.180999999997</v>
          </cell>
          <cell r="AC82">
            <v>19333.913999999997</v>
          </cell>
          <cell r="AD82">
            <v>20116.268</v>
          </cell>
          <cell r="AE82">
            <v>20621.316000000003</v>
          </cell>
          <cell r="AF82">
            <v>20813.93</v>
          </cell>
          <cell r="AG82">
            <v>23282.247215200976</v>
          </cell>
          <cell r="AH82">
            <v>24436.283551741195</v>
          </cell>
          <cell r="AI82">
            <v>25968.043825366374</v>
          </cell>
          <cell r="AJ82">
            <v>26141.013118688337</v>
          </cell>
          <cell r="AK82">
            <v>26513.608011875498</v>
          </cell>
          <cell r="AL82">
            <v>27486.853090691984</v>
          </cell>
          <cell r="AM82">
            <v>28487.824384553667</v>
          </cell>
          <cell r="AN82">
            <v>28914.502978624259</v>
          </cell>
          <cell r="AO82">
            <v>29539.570063221225</v>
          </cell>
          <cell r="AP82">
            <v>30668.266236303716</v>
          </cell>
        </row>
        <row r="98">
          <cell r="Z98">
            <v>13405.497999999998</v>
          </cell>
          <cell r="AA98">
            <v>13009.89</v>
          </cell>
          <cell r="AB98">
            <v>13127.203</v>
          </cell>
          <cell r="AC98">
            <v>14169.159000000001</v>
          </cell>
          <cell r="AD98">
            <v>14655.959000000001</v>
          </cell>
          <cell r="AE98">
            <v>14378.865000000002</v>
          </cell>
          <cell r="AF98">
            <v>14640.663</v>
          </cell>
          <cell r="AG98">
            <v>17644.693767169301</v>
          </cell>
          <cell r="AH98">
            <v>18717.276665928588</v>
          </cell>
          <cell r="AI98">
            <v>20120.809940436284</v>
          </cell>
          <cell r="AJ98">
            <v>20230.102396945531</v>
          </cell>
          <cell r="AK98">
            <v>20694.693767169301</v>
          </cell>
          <cell r="AL98">
            <v>21742.276665928588</v>
          </cell>
          <cell r="AM98">
            <v>22745.80994043628</v>
          </cell>
          <cell r="AN98">
            <v>23174.973881558966</v>
          </cell>
          <cell r="AO98">
            <v>23817.527867430112</v>
          </cell>
          <cell r="AP98">
            <v>24955.760777612992</v>
          </cell>
        </row>
        <row r="114">
          <cell r="Z114">
            <v>4010.46</v>
          </cell>
          <cell r="AA114">
            <v>5040.6850000000004</v>
          </cell>
          <cell r="AB114">
            <v>4981.9779999999992</v>
          </cell>
          <cell r="AC114">
            <v>5164.7549999999992</v>
          </cell>
          <cell r="AD114">
            <v>5460.3090000000002</v>
          </cell>
          <cell r="AE114">
            <v>6242.451</v>
          </cell>
          <cell r="AF114">
            <v>6173.2669999999998</v>
          </cell>
          <cell r="AG114">
            <v>5637.5534480316737</v>
          </cell>
          <cell r="AH114">
            <v>5719.0068858126115</v>
          </cell>
          <cell r="AI114">
            <v>5847.2338849300932</v>
          </cell>
          <cell r="AJ114">
            <v>5910.9107217428054</v>
          </cell>
          <cell r="AK114">
            <v>5818.9142447061922</v>
          </cell>
          <cell r="AL114">
            <v>5744.5764247633988</v>
          </cell>
          <cell r="AM114">
            <v>5742.0144441173888</v>
          </cell>
          <cell r="AN114">
            <v>5739.5290970652923</v>
          </cell>
          <cell r="AO114">
            <v>5722.0421957911112</v>
          </cell>
          <cell r="AP114">
            <v>5712.5054586907263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  <sheetName val="Old Veg Oil Spreads File - add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12">
          <cell r="A1512">
            <v>45629</v>
          </cell>
        </row>
      </sheetData>
      <sheetData sheetId="5" refreshError="1"/>
      <sheetData sheetId="6">
        <row r="13">
          <cell r="BA13">
            <v>3.1500000000000021</v>
          </cell>
        </row>
        <row r="14">
          <cell r="BA14">
            <v>3.15</v>
          </cell>
        </row>
        <row r="15">
          <cell r="BA15">
            <v>3.1499999999999995</v>
          </cell>
        </row>
        <row r="16">
          <cell r="BA16">
            <v>3.1500000000000004</v>
          </cell>
        </row>
        <row r="17">
          <cell r="BA17">
            <v>3.15</v>
          </cell>
        </row>
        <row r="18">
          <cell r="BA18">
            <v>3.1500000000000004</v>
          </cell>
        </row>
        <row r="19">
          <cell r="BA19">
            <v>3.1500000000000008</v>
          </cell>
        </row>
        <row r="20">
          <cell r="BA20">
            <v>3.15</v>
          </cell>
        </row>
        <row r="21">
          <cell r="BA21">
            <v>3.15</v>
          </cell>
        </row>
        <row r="22">
          <cell r="BA22">
            <v>3.1108695652173912</v>
          </cell>
        </row>
        <row r="23">
          <cell r="BA23">
            <v>3.1500000000000004</v>
          </cell>
        </row>
        <row r="24">
          <cell r="BA24">
            <v>3.1500000000000004</v>
          </cell>
        </row>
        <row r="25">
          <cell r="BA25">
            <v>3.1500000000000004</v>
          </cell>
        </row>
        <row r="26">
          <cell r="BA26">
            <v>3.1500000000000012</v>
          </cell>
        </row>
        <row r="27">
          <cell r="BA27">
            <v>3.625</v>
          </cell>
        </row>
        <row r="28">
          <cell r="BA28">
            <v>3</v>
          </cell>
        </row>
        <row r="29">
          <cell r="BA29">
            <v>2.1315789473684212</v>
          </cell>
        </row>
        <row r="30">
          <cell r="BA30">
            <v>2.6086956521739135</v>
          </cell>
        </row>
        <row r="31">
          <cell r="BA31">
            <v>6.4285714285714288</v>
          </cell>
        </row>
        <row r="32">
          <cell r="BA32">
            <v>15.625</v>
          </cell>
        </row>
        <row r="33">
          <cell r="BA33">
            <v>20.522727272727273</v>
          </cell>
        </row>
        <row r="34">
          <cell r="BA34">
            <v>20.071428571428573</v>
          </cell>
        </row>
        <row r="35">
          <cell r="BA35">
            <v>14.113636363636363</v>
          </cell>
        </row>
        <row r="36">
          <cell r="BA36">
            <v>11</v>
          </cell>
        </row>
        <row r="37">
          <cell r="BA37">
            <v>13.428571428571429</v>
          </cell>
        </row>
        <row r="38">
          <cell r="BA38">
            <v>13.5</v>
          </cell>
        </row>
        <row r="39">
          <cell r="BA39">
            <v>12.69047619047619</v>
          </cell>
        </row>
        <row r="40">
          <cell r="BA40">
            <v>11.15</v>
          </cell>
        </row>
        <row r="41">
          <cell r="BA41">
            <v>10.236842105263158</v>
          </cell>
        </row>
        <row r="42">
          <cell r="BA42">
            <v>12.565217391304348</v>
          </cell>
        </row>
        <row r="43">
          <cell r="BA43">
            <v>12.175000000000001</v>
          </cell>
        </row>
        <row r="44">
          <cell r="BA44">
            <v>18.238095238095237</v>
          </cell>
        </row>
        <row r="45">
          <cell r="BA45">
            <v>18.333333333333332</v>
          </cell>
        </row>
        <row r="46">
          <cell r="BA46">
            <v>15.65</v>
          </cell>
        </row>
        <row r="47">
          <cell r="BA47">
            <v>12.847826086956522</v>
          </cell>
        </row>
        <row r="48">
          <cell r="BA48">
            <v>10.047619047619047</v>
          </cell>
        </row>
        <row r="49">
          <cell r="BA49">
            <v>9.1309523809523814</v>
          </cell>
        </row>
        <row r="50">
          <cell r="BA50">
            <v>9.6190476190476186</v>
          </cell>
        </row>
        <row r="51">
          <cell r="BA51">
            <v>8.5238095238095237</v>
          </cell>
        </row>
        <row r="52">
          <cell r="BA52">
            <v>9.7624999999999993</v>
          </cell>
        </row>
        <row r="53">
          <cell r="BA53">
            <v>8.6184210526315805</v>
          </cell>
        </row>
        <row r="54">
          <cell r="BA54">
            <v>9.2717391304347831</v>
          </cell>
        </row>
        <row r="55">
          <cell r="BA55">
            <v>10</v>
          </cell>
        </row>
        <row r="56">
          <cell r="BA56">
            <v>10.647727272727273</v>
          </cell>
        </row>
        <row r="57">
          <cell r="BA57">
            <v>12.321428571428571</v>
          </cell>
        </row>
        <row r="58">
          <cell r="BA58">
            <v>12.45</v>
          </cell>
        </row>
        <row r="59">
          <cell r="BA59">
            <v>9.7826086956521738</v>
          </cell>
        </row>
        <row r="60">
          <cell r="BA60">
            <v>8.4437499999999996</v>
          </cell>
        </row>
        <row r="61">
          <cell r="BA61">
            <v>7.5454545454545459</v>
          </cell>
        </row>
        <row r="62">
          <cell r="BA62">
            <v>7.8511904761904763</v>
          </cell>
        </row>
        <row r="63">
          <cell r="BA63">
            <v>7.7249999999999996</v>
          </cell>
        </row>
        <row r="64">
          <cell r="BA64">
            <v>6.8630952380952381</v>
          </cell>
        </row>
        <row r="65">
          <cell r="BA65">
            <v>6.2750000000000004</v>
          </cell>
        </row>
        <row r="66">
          <cell r="BA66">
            <v>5.5125000000000002</v>
          </cell>
        </row>
        <row r="67">
          <cell r="BA67">
            <v>5.4318181818181817</v>
          </cell>
        </row>
        <row r="68">
          <cell r="BA68">
            <v>6.6363636363636367</v>
          </cell>
        </row>
        <row r="69">
          <cell r="BA69">
            <v>4.9078947368421053</v>
          </cell>
        </row>
        <row r="70">
          <cell r="BA70">
            <v>4.4375</v>
          </cell>
        </row>
        <row r="71">
          <cell r="BA71">
            <v>2.4642857142857144</v>
          </cell>
        </row>
        <row r="72">
          <cell r="BA72">
            <v>1.2510000000000001</v>
          </cell>
        </row>
        <row r="73">
          <cell r="BA73">
            <v>-7.5434782608695627E-2</v>
          </cell>
        </row>
        <row r="74">
          <cell r="BA74">
            <v>-0.16850000000000023</v>
          </cell>
        </row>
        <row r="75">
          <cell r="BA75">
            <v>-2.3214285714285716</v>
          </cell>
        </row>
        <row r="76">
          <cell r="BA76">
            <v>-1.2840909090909092</v>
          </cell>
        </row>
        <row r="77">
          <cell r="BA77">
            <v>4.5</v>
          </cell>
        </row>
        <row r="78">
          <cell r="BA78">
            <v>4.5</v>
          </cell>
        </row>
        <row r="79">
          <cell r="BA79">
            <v>4.5</v>
          </cell>
        </row>
        <row r="80">
          <cell r="BA80">
            <v>5.5</v>
          </cell>
        </row>
        <row r="81">
          <cell r="BA81">
            <v>5.5</v>
          </cell>
        </row>
        <row r="82">
          <cell r="BA82">
            <v>6</v>
          </cell>
        </row>
        <row r="83">
          <cell r="BA83">
            <v>6</v>
          </cell>
        </row>
        <row r="84">
          <cell r="BA84">
            <v>6</v>
          </cell>
        </row>
        <row r="85">
          <cell r="BA85">
            <v>5.75</v>
          </cell>
        </row>
        <row r="86">
          <cell r="BA86">
            <v>5.5</v>
          </cell>
        </row>
        <row r="87">
          <cell r="BA87">
            <v>5.5</v>
          </cell>
        </row>
        <row r="88">
          <cell r="BA88">
            <v>5.2205386873453961</v>
          </cell>
        </row>
        <row r="89">
          <cell r="BA89">
            <v>5.3314543687085205</v>
          </cell>
        </row>
        <row r="90">
          <cell r="BA90">
            <v>5.3057869889073288</v>
          </cell>
        </row>
        <row r="91">
          <cell r="BA91">
            <v>5.1299168474514403</v>
          </cell>
        </row>
        <row r="92">
          <cell r="BA92">
            <v>5.0253348343092057</v>
          </cell>
        </row>
        <row r="93">
          <cell r="BA93">
            <v>5.1734831513876003</v>
          </cell>
        </row>
        <row r="94">
          <cell r="BA94">
            <v>5.3987981804080789</v>
          </cell>
        </row>
        <row r="95">
          <cell r="BA95">
            <v>5.2482319529660941</v>
          </cell>
        </row>
        <row r="96">
          <cell r="BA96">
            <v>5.3267549372036456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PA Crush chart"/>
      <sheetName val="Chart1"/>
      <sheetName val="Chart3"/>
      <sheetName val="Chart4"/>
      <sheetName val="Chart5"/>
      <sheetName val="Chart9"/>
      <sheetName val="NOPA Crush"/>
      <sheetName val="NASS Crush"/>
      <sheetName val="Census Crush"/>
      <sheetName val="COPA Weekly Crush"/>
      <sheetName val="NASS Low CI"/>
      <sheetName val="NASS Other Veg Oils"/>
      <sheetName val="China Weekly"/>
      <sheetName val="China Monthly"/>
      <sheetName val="Weekly Crush Vol - Port Stks"/>
      <sheetName val="Crush Margin - Dalian - Import"/>
      <sheetName val="SBO Production"/>
      <sheetName val="Japan"/>
      <sheetName val="World Crush and Other Stuff - 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85">
          <cell r="G385">
            <v>118.767</v>
          </cell>
        </row>
        <row r="435">
          <cell r="E435">
            <v>5.4541612903225811</v>
          </cell>
        </row>
        <row r="436">
          <cell r="E436">
            <v>5.4541612903225811</v>
          </cell>
        </row>
        <row r="437">
          <cell r="E437">
            <v>5.4541612903225811</v>
          </cell>
        </row>
        <row r="438">
          <cell r="E438">
            <v>5.4541612903225811</v>
          </cell>
        </row>
        <row r="439">
          <cell r="E439">
            <v>5.4541612903225811</v>
          </cell>
        </row>
        <row r="440">
          <cell r="E440">
            <v>5.4541612903225811</v>
          </cell>
        </row>
        <row r="441">
          <cell r="E441">
            <v>5.4541612903225811</v>
          </cell>
        </row>
        <row r="442">
          <cell r="E442">
            <v>5.4541612903225811</v>
          </cell>
        </row>
        <row r="443">
          <cell r="E443">
            <v>5.4541612903225811</v>
          </cell>
        </row>
        <row r="444">
          <cell r="E444">
            <v>5.4541612903225811</v>
          </cell>
        </row>
        <row r="445">
          <cell r="E445">
            <v>5.4541612903225811</v>
          </cell>
        </row>
        <row r="446">
          <cell r="E446">
            <v>5.4541612903225811</v>
          </cell>
        </row>
        <row r="447">
          <cell r="E447">
            <v>5.4714612903225808</v>
          </cell>
        </row>
        <row r="448">
          <cell r="E448">
            <v>5.4714612903225808</v>
          </cell>
        </row>
        <row r="449">
          <cell r="E449">
            <v>5.4714612903225808</v>
          </cell>
        </row>
        <row r="450">
          <cell r="E450">
            <v>5.4714612903225808</v>
          </cell>
        </row>
        <row r="451">
          <cell r="E451">
            <v>5.4714612903225808</v>
          </cell>
        </row>
        <row r="452">
          <cell r="E452">
            <v>5.4714612903225808</v>
          </cell>
        </row>
        <row r="453">
          <cell r="E453">
            <v>5.4714612903225808</v>
          </cell>
        </row>
        <row r="454">
          <cell r="E454">
            <v>5.5244612903225807</v>
          </cell>
        </row>
        <row r="455">
          <cell r="E455">
            <v>5.5244612903225807</v>
          </cell>
        </row>
        <row r="456">
          <cell r="E456">
            <v>5.5244612903225807</v>
          </cell>
        </row>
        <row r="457">
          <cell r="E457">
            <v>5.5244612903225807</v>
          </cell>
        </row>
        <row r="458">
          <cell r="E458">
            <v>5.5244612903225807</v>
          </cell>
        </row>
        <row r="459">
          <cell r="E459">
            <v>5.5244612903225807</v>
          </cell>
        </row>
        <row r="460">
          <cell r="E460">
            <v>5.5244612903225807</v>
          </cell>
        </row>
        <row r="461">
          <cell r="E461">
            <v>5.5244612903225807</v>
          </cell>
        </row>
        <row r="462">
          <cell r="E462">
            <v>5.5244612903225807</v>
          </cell>
        </row>
        <row r="463">
          <cell r="E463">
            <v>5.5244612903225807</v>
          </cell>
        </row>
        <row r="464">
          <cell r="E464">
            <v>5.5244612903225807</v>
          </cell>
        </row>
        <row r="465">
          <cell r="E465">
            <v>5.5244612903225807</v>
          </cell>
        </row>
        <row r="466">
          <cell r="E466">
            <v>5.5244612903225807</v>
          </cell>
        </row>
        <row r="467">
          <cell r="E467">
            <v>5.5244612903225807</v>
          </cell>
        </row>
        <row r="468">
          <cell r="E468">
            <v>5.5244612903225807</v>
          </cell>
        </row>
        <row r="469">
          <cell r="E469">
            <v>5.5244612903225807</v>
          </cell>
        </row>
        <row r="470">
          <cell r="E470">
            <v>5.5244612903225807</v>
          </cell>
        </row>
        <row r="471">
          <cell r="E471">
            <v>5.5244612903225807</v>
          </cell>
        </row>
        <row r="472">
          <cell r="E472">
            <v>5.5244612903225807</v>
          </cell>
        </row>
        <row r="473">
          <cell r="E473">
            <v>5.5244612903225807</v>
          </cell>
        </row>
        <row r="474">
          <cell r="E474">
            <v>5.5244612903225807</v>
          </cell>
        </row>
        <row r="475">
          <cell r="E475">
            <v>5.5244612903225807</v>
          </cell>
        </row>
        <row r="476">
          <cell r="E476">
            <v>5.7064612903225811</v>
          </cell>
        </row>
        <row r="477">
          <cell r="E477">
            <v>5.7064612903225811</v>
          </cell>
        </row>
        <row r="478">
          <cell r="E478">
            <v>5.8274612903225815</v>
          </cell>
        </row>
        <row r="479">
          <cell r="E479">
            <v>5.8844612903225819</v>
          </cell>
        </row>
        <row r="480">
          <cell r="E480">
            <v>5.8844612903225819</v>
          </cell>
        </row>
        <row r="481">
          <cell r="E481">
            <v>5.8844612903225819</v>
          </cell>
        </row>
        <row r="482">
          <cell r="E482">
            <v>5.8844612903225819</v>
          </cell>
        </row>
        <row r="483">
          <cell r="E483">
            <v>5.8844612903225819</v>
          </cell>
        </row>
        <row r="484">
          <cell r="E484">
            <v>5.8844612903225819</v>
          </cell>
        </row>
        <row r="485">
          <cell r="E485">
            <v>5.8844612903225819</v>
          </cell>
        </row>
        <row r="486">
          <cell r="E486">
            <v>5.8844612903225819</v>
          </cell>
        </row>
        <row r="487">
          <cell r="E487">
            <v>6.0114612903225817</v>
          </cell>
        </row>
        <row r="488">
          <cell r="E488">
            <v>6.0114612903225817</v>
          </cell>
        </row>
        <row r="489">
          <cell r="E489">
            <v>6.0114612903225817</v>
          </cell>
        </row>
        <row r="490">
          <cell r="E490">
            <v>6.1324612903225812</v>
          </cell>
        </row>
        <row r="491">
          <cell r="E491">
            <v>6.1324612903225812</v>
          </cell>
        </row>
        <row r="492">
          <cell r="E492">
            <v>6.1324612903225812</v>
          </cell>
        </row>
        <row r="493">
          <cell r="E493">
            <v>6.1324612903225812</v>
          </cell>
        </row>
        <row r="494">
          <cell r="E494">
            <v>6.1324612903225812</v>
          </cell>
        </row>
        <row r="495">
          <cell r="E495">
            <v>6.1324612903225812</v>
          </cell>
        </row>
        <row r="496">
          <cell r="E496">
            <v>6.1324612903225812</v>
          </cell>
        </row>
        <row r="497">
          <cell r="E497">
            <v>6.1324612903225812</v>
          </cell>
        </row>
        <row r="498">
          <cell r="E498">
            <v>6.1324612903225812</v>
          </cell>
        </row>
        <row r="499">
          <cell r="E499">
            <v>6.1324612903225812</v>
          </cell>
        </row>
        <row r="500">
          <cell r="E500">
            <v>6.2294612903225817</v>
          </cell>
        </row>
        <row r="501">
          <cell r="E501">
            <v>6.2294612903225817</v>
          </cell>
        </row>
        <row r="502">
          <cell r="E502">
            <v>6.2294612903225817</v>
          </cell>
        </row>
        <row r="503">
          <cell r="E503">
            <v>6.2294612903225817</v>
          </cell>
        </row>
        <row r="504">
          <cell r="E504">
            <v>6.2294612903225817</v>
          </cell>
        </row>
        <row r="505">
          <cell r="E505">
            <v>6.2294612903225817</v>
          </cell>
        </row>
        <row r="506">
          <cell r="E506">
            <v>6.246461290322582</v>
          </cell>
        </row>
        <row r="507">
          <cell r="E507">
            <v>6.3114612903225815</v>
          </cell>
        </row>
        <row r="508">
          <cell r="E508">
            <v>6.3114612903225815</v>
          </cell>
        </row>
        <row r="509">
          <cell r="E509">
            <v>6.3114612903225815</v>
          </cell>
        </row>
        <row r="510">
          <cell r="E510">
            <v>6.3114612903225815</v>
          </cell>
        </row>
        <row r="511">
          <cell r="E511">
            <v>6.3114612903225815</v>
          </cell>
        </row>
        <row r="512">
          <cell r="E512">
            <v>6.3349612903225818</v>
          </cell>
        </row>
        <row r="513">
          <cell r="E513">
            <v>6.3349612903225818</v>
          </cell>
        </row>
        <row r="514">
          <cell r="E514">
            <v>6.3349612903225818</v>
          </cell>
        </row>
        <row r="515">
          <cell r="E515">
            <v>6.3349612903225818</v>
          </cell>
        </row>
        <row r="516">
          <cell r="E516">
            <v>6.3349612903225818</v>
          </cell>
        </row>
        <row r="517">
          <cell r="E517">
            <v>6.3349612903225818</v>
          </cell>
        </row>
        <row r="518">
          <cell r="E518">
            <v>6.4174612903225814</v>
          </cell>
        </row>
        <row r="519">
          <cell r="E519">
            <v>6.4624612903225813</v>
          </cell>
        </row>
        <row r="520">
          <cell r="E520">
            <v>6.5724612903225816</v>
          </cell>
        </row>
        <row r="521">
          <cell r="E521">
            <v>6.5724612903225816</v>
          </cell>
        </row>
        <row r="522">
          <cell r="E522">
            <v>6.5724612903225816</v>
          </cell>
        </row>
        <row r="523">
          <cell r="E523">
            <v>6.5724612903225816</v>
          </cell>
        </row>
        <row r="524">
          <cell r="E524">
            <v>6.5724612903225816</v>
          </cell>
        </row>
        <row r="525">
          <cell r="E525">
            <v>6.5724612903225816</v>
          </cell>
        </row>
        <row r="526">
          <cell r="E526">
            <v>6.5724612903225816</v>
          </cell>
        </row>
        <row r="527">
          <cell r="E527">
            <v>6.5724612903225816</v>
          </cell>
        </row>
        <row r="528">
          <cell r="E528">
            <v>6.5724612903225816</v>
          </cell>
        </row>
        <row r="529">
          <cell r="E529">
            <v>6.5724612903225816</v>
          </cell>
        </row>
        <row r="530">
          <cell r="E530">
            <v>6.722461290322582</v>
          </cell>
        </row>
        <row r="531">
          <cell r="E531">
            <v>6.7454612903225817</v>
          </cell>
        </row>
        <row r="532">
          <cell r="E532">
            <v>6.7454612903225817</v>
          </cell>
        </row>
        <row r="533">
          <cell r="E533">
            <v>6.7454612903225817</v>
          </cell>
        </row>
        <row r="534">
          <cell r="E534">
            <v>6.7454612903225817</v>
          </cell>
        </row>
        <row r="535">
          <cell r="E535">
            <v>6.7454612903225817</v>
          </cell>
        </row>
        <row r="536">
          <cell r="E536">
            <v>6.7614612903225817</v>
          </cell>
        </row>
        <row r="537">
          <cell r="E537">
            <v>6.7614612903225817</v>
          </cell>
        </row>
        <row r="538">
          <cell r="E538">
            <v>6.8164612903225814</v>
          </cell>
        </row>
        <row r="539">
          <cell r="E539">
            <v>6.9264612903225817</v>
          </cell>
        </row>
        <row r="540">
          <cell r="E540">
            <v>6.9264612903225817</v>
          </cell>
        </row>
        <row r="541">
          <cell r="E541">
            <v>7.0339612903225817</v>
          </cell>
        </row>
        <row r="542">
          <cell r="E542">
            <v>7.1554612903225818</v>
          </cell>
        </row>
        <row r="543">
          <cell r="E543">
            <v>7.2654612903225821</v>
          </cell>
        </row>
        <row r="544">
          <cell r="E544">
            <v>7.2654612903225821</v>
          </cell>
        </row>
        <row r="545">
          <cell r="E545">
            <v>7.2654612903225821</v>
          </cell>
        </row>
        <row r="546">
          <cell r="E546">
            <v>7.2654612903225821</v>
          </cell>
        </row>
        <row r="547">
          <cell r="E547">
            <v>7.2654612903225821</v>
          </cell>
        </row>
        <row r="548">
          <cell r="E548">
            <v>7.2654612903225821</v>
          </cell>
        </row>
        <row r="549">
          <cell r="E549">
            <v>7.2654612903225821</v>
          </cell>
        </row>
        <row r="550">
          <cell r="E550">
            <v>7.2654612903225821</v>
          </cell>
        </row>
        <row r="551">
          <cell r="E551">
            <v>7.2654612903225821</v>
          </cell>
        </row>
        <row r="552">
          <cell r="E552">
            <v>7.2654612903225821</v>
          </cell>
        </row>
        <row r="553">
          <cell r="E553">
            <v>7.2654612903225821</v>
          </cell>
        </row>
        <row r="554">
          <cell r="E554">
            <v>7.2654612903225821</v>
          </cell>
        </row>
        <row r="555">
          <cell r="E555">
            <v>7.2654612903225821</v>
          </cell>
        </row>
        <row r="556">
          <cell r="E556">
            <v>7.4154612903225825</v>
          </cell>
        </row>
        <row r="557">
          <cell r="E557">
            <v>7.4154612903225825</v>
          </cell>
        </row>
        <row r="558">
          <cell r="E558">
            <v>7.4154612903225825</v>
          </cell>
        </row>
        <row r="559">
          <cell r="E559">
            <v>7.4154612903225825</v>
          </cell>
        </row>
        <row r="560">
          <cell r="E560">
            <v>7.5254612903225828</v>
          </cell>
        </row>
        <row r="561">
          <cell r="E561">
            <v>7.5254612903225828</v>
          </cell>
        </row>
        <row r="562">
          <cell r="E562">
            <v>7.5254612903225828</v>
          </cell>
        </row>
        <row r="563">
          <cell r="E563">
            <v>7.5254612903225828</v>
          </cell>
        </row>
        <row r="564">
          <cell r="E564">
            <v>7.6254612903225825</v>
          </cell>
        </row>
        <row r="565">
          <cell r="E565">
            <v>7.6254612903225825</v>
          </cell>
        </row>
        <row r="566">
          <cell r="E566">
            <v>7.8024612903225821</v>
          </cell>
        </row>
      </sheetData>
      <sheetData sheetId="7">
        <row r="5">
          <cell r="C5">
            <v>156.07740000000001</v>
          </cell>
        </row>
        <row r="34">
          <cell r="C34">
            <v>175.91323333333332</v>
          </cell>
        </row>
        <row r="35">
          <cell r="C35">
            <v>173.34873333333334</v>
          </cell>
        </row>
        <row r="36">
          <cell r="C36">
            <v>176.34049999999999</v>
          </cell>
        </row>
        <row r="37">
          <cell r="C37">
            <v>174.6609</v>
          </cell>
        </row>
        <row r="38">
          <cell r="C38">
            <v>164.95906666666667</v>
          </cell>
        </row>
        <row r="39">
          <cell r="C39">
            <v>182.17466666666667</v>
          </cell>
        </row>
        <row r="40">
          <cell r="C40">
            <v>171.63823333333332</v>
          </cell>
        </row>
        <row r="41">
          <cell r="C41">
            <v>172.46799999999999</v>
          </cell>
        </row>
        <row r="42">
          <cell r="C42">
            <v>169.56469999999999</v>
          </cell>
        </row>
        <row r="43">
          <cell r="C43">
            <v>178.86093333333335</v>
          </cell>
        </row>
        <row r="44">
          <cell r="C44">
            <v>169.62946666666667</v>
          </cell>
        </row>
        <row r="45">
          <cell r="C45">
            <v>169.64933333333332</v>
          </cell>
        </row>
        <row r="46">
          <cell r="C46">
            <v>183.55843333333331</v>
          </cell>
        </row>
        <row r="47">
          <cell r="C47">
            <v>178.10176666666666</v>
          </cell>
        </row>
        <row r="48">
          <cell r="C48">
            <v>183.77553333333333</v>
          </cell>
        </row>
        <row r="49">
          <cell r="C49">
            <v>183.07090000000002</v>
          </cell>
        </row>
        <row r="50">
          <cell r="C50">
            <v>162.78113333333334</v>
          </cell>
        </row>
        <row r="51">
          <cell r="C51">
            <v>179.43359999999998</v>
          </cell>
        </row>
        <row r="52">
          <cell r="C52">
            <v>171.54676666666668</v>
          </cell>
        </row>
        <row r="53">
          <cell r="C53">
            <v>165.44236666666666</v>
          </cell>
        </row>
        <row r="54">
          <cell r="C54">
            <v>157.6379</v>
          </cell>
        </row>
        <row r="55">
          <cell r="C55">
            <v>179.4632</v>
          </cell>
        </row>
        <row r="56">
          <cell r="C56">
            <v>177.52933333333334</v>
          </cell>
        </row>
        <row r="57">
          <cell r="C57">
            <v>162.33446666666666</v>
          </cell>
        </row>
        <row r="58">
          <cell r="C58">
            <v>187.18719999999999</v>
          </cell>
        </row>
        <row r="59">
          <cell r="C59">
            <v>174.64840000000001</v>
          </cell>
        </row>
        <row r="60">
          <cell r="C60">
            <v>184.74246666666667</v>
          </cell>
        </row>
        <row r="61">
          <cell r="C61">
            <v>188.7801</v>
          </cell>
        </row>
        <row r="62">
          <cell r="C62">
            <v>175.29256666666666</v>
          </cell>
        </row>
        <row r="63">
          <cell r="C63">
            <v>192.16223333333335</v>
          </cell>
        </row>
        <row r="64">
          <cell r="C64">
            <v>183.39416666666665</v>
          </cell>
        </row>
        <row r="65">
          <cell r="C65">
            <v>179.55113333333333</v>
          </cell>
        </row>
        <row r="66">
          <cell r="C66">
            <v>177.28063333333333</v>
          </cell>
        </row>
        <row r="67">
          <cell r="C67">
            <v>184.50653333333332</v>
          </cell>
        </row>
        <row r="68">
          <cell r="C68">
            <v>174.67433333333332</v>
          </cell>
        </row>
        <row r="69">
          <cell r="C69">
            <v>171.05549999999999</v>
          </cell>
        </row>
        <row r="70">
          <cell r="C70">
            <v>196.5693</v>
          </cell>
        </row>
        <row r="71">
          <cell r="C71">
            <v>191.04023333333333</v>
          </cell>
        </row>
        <row r="72">
          <cell r="C72">
            <v>193.14109999999999</v>
          </cell>
        </row>
        <row r="73">
          <cell r="C73">
            <v>196.512</v>
          </cell>
        </row>
        <row r="74">
          <cell r="C74">
            <v>164.34996666666666</v>
          </cell>
        </row>
        <row r="75">
          <cell r="C75">
            <v>188.22426666666667</v>
          </cell>
        </row>
        <row r="76">
          <cell r="C76">
            <v>169.85436666666666</v>
          </cell>
        </row>
        <row r="77">
          <cell r="C77">
            <v>173.50106666666667</v>
          </cell>
        </row>
        <row r="78">
          <cell r="C78">
            <v>161.74446666666665</v>
          </cell>
        </row>
        <row r="79">
          <cell r="C79">
            <v>166.33320000000001</v>
          </cell>
        </row>
        <row r="80">
          <cell r="C80">
            <v>168.25919999999999</v>
          </cell>
        </row>
        <row r="81">
          <cell r="C81">
            <v>164.15246666666664</v>
          </cell>
        </row>
        <row r="82">
          <cell r="C82">
            <v>196.93856666666667</v>
          </cell>
        </row>
        <row r="83">
          <cell r="C83">
            <v>190.59810000000002</v>
          </cell>
        </row>
        <row r="84">
          <cell r="C84">
            <v>198.24073333333334</v>
          </cell>
        </row>
        <row r="85">
          <cell r="C85">
            <v>194.29913333333334</v>
          </cell>
        </row>
        <row r="86">
          <cell r="C86">
            <v>174.41510000000002</v>
          </cell>
        </row>
        <row r="87">
          <cell r="C87">
            <v>192.87196666666665</v>
          </cell>
        </row>
        <row r="88">
          <cell r="C88">
            <v>180.89040000000003</v>
          </cell>
        </row>
        <row r="89">
          <cell r="C89">
            <v>180.90533333333332</v>
          </cell>
        </row>
        <row r="90">
          <cell r="C90">
            <v>174.0804</v>
          </cell>
        </row>
        <row r="91">
          <cell r="C91">
            <v>181.39266666666666</v>
          </cell>
        </row>
        <row r="92">
          <cell r="C92">
            <v>175.0873</v>
          </cell>
        </row>
        <row r="93">
          <cell r="C93">
            <v>167.60956666666667</v>
          </cell>
        </row>
      </sheetData>
      <sheetData sheetId="8">
        <row r="2">
          <cell r="B2">
            <v>2276.3000000000002</v>
          </cell>
        </row>
      </sheetData>
      <sheetData sheetId="9">
        <row r="24">
          <cell r="D24">
            <v>4900</v>
          </cell>
        </row>
        <row r="25">
          <cell r="D25">
            <v>4900</v>
          </cell>
        </row>
        <row r="26">
          <cell r="D26">
            <v>4900</v>
          </cell>
        </row>
        <row r="27">
          <cell r="D27">
            <v>5225</v>
          </cell>
        </row>
        <row r="28">
          <cell r="D28">
            <v>5225</v>
          </cell>
        </row>
        <row r="29">
          <cell r="D29">
            <v>5225</v>
          </cell>
        </row>
        <row r="30">
          <cell r="D30">
            <v>6050</v>
          </cell>
        </row>
        <row r="31">
          <cell r="D31">
            <v>6050</v>
          </cell>
        </row>
        <row r="32">
          <cell r="D32">
            <v>6050</v>
          </cell>
        </row>
        <row r="33">
          <cell r="D33">
            <v>6050</v>
          </cell>
        </row>
        <row r="34">
          <cell r="D34">
            <v>6050</v>
          </cell>
        </row>
        <row r="35">
          <cell r="D35">
            <v>6050</v>
          </cell>
        </row>
        <row r="36">
          <cell r="D36">
            <v>6050</v>
          </cell>
        </row>
        <row r="37">
          <cell r="D37">
            <v>6050</v>
          </cell>
        </row>
        <row r="38">
          <cell r="D38">
            <v>6050</v>
          </cell>
        </row>
        <row r="39">
          <cell r="D39">
            <v>6050</v>
          </cell>
        </row>
        <row r="40">
          <cell r="D40">
            <v>6050</v>
          </cell>
        </row>
        <row r="41">
          <cell r="D41">
            <v>6050</v>
          </cell>
        </row>
        <row r="42">
          <cell r="D42">
            <v>6050</v>
          </cell>
        </row>
        <row r="43">
          <cell r="D43">
            <v>6050</v>
          </cell>
        </row>
        <row r="44">
          <cell r="D44">
            <v>6050</v>
          </cell>
        </row>
        <row r="45">
          <cell r="D45">
            <v>6050</v>
          </cell>
        </row>
        <row r="46">
          <cell r="D46">
            <v>6050</v>
          </cell>
        </row>
        <row r="47">
          <cell r="D47">
            <v>6050</v>
          </cell>
        </row>
        <row r="48">
          <cell r="D48">
            <v>6050</v>
          </cell>
        </row>
        <row r="49">
          <cell r="D49">
            <v>6050</v>
          </cell>
        </row>
        <row r="50">
          <cell r="D50">
            <v>6050</v>
          </cell>
        </row>
        <row r="51">
          <cell r="D51">
            <v>6050</v>
          </cell>
        </row>
        <row r="52">
          <cell r="D52">
            <v>6850</v>
          </cell>
        </row>
        <row r="53">
          <cell r="D53">
            <v>6850</v>
          </cell>
        </row>
        <row r="54">
          <cell r="D54" t="str">
            <v/>
          </cell>
        </row>
        <row r="55">
          <cell r="D55">
            <v>6850</v>
          </cell>
        </row>
        <row r="56">
          <cell r="D56">
            <v>6850</v>
          </cell>
        </row>
        <row r="57">
          <cell r="D57">
            <v>6850</v>
          </cell>
        </row>
        <row r="58">
          <cell r="D58">
            <v>6850</v>
          </cell>
        </row>
        <row r="59">
          <cell r="D59">
            <v>6850</v>
          </cell>
        </row>
        <row r="60">
          <cell r="D60">
            <v>6850</v>
          </cell>
        </row>
        <row r="61">
          <cell r="D61">
            <v>6850</v>
          </cell>
        </row>
        <row r="62">
          <cell r="D62">
            <v>6850</v>
          </cell>
        </row>
        <row r="63">
          <cell r="D63">
            <v>6850</v>
          </cell>
        </row>
        <row r="64">
          <cell r="D64">
            <v>6850</v>
          </cell>
        </row>
        <row r="65">
          <cell r="D65">
            <v>6850</v>
          </cell>
        </row>
        <row r="66">
          <cell r="D66">
            <v>6850</v>
          </cell>
        </row>
        <row r="67">
          <cell r="D67">
            <v>6850</v>
          </cell>
        </row>
        <row r="68">
          <cell r="D68">
            <v>6850</v>
          </cell>
        </row>
        <row r="69">
          <cell r="D69">
            <v>6850</v>
          </cell>
        </row>
        <row r="70">
          <cell r="D70">
            <v>6850</v>
          </cell>
        </row>
        <row r="71">
          <cell r="D71">
            <v>6850</v>
          </cell>
        </row>
        <row r="72">
          <cell r="D72">
            <v>6850</v>
          </cell>
        </row>
        <row r="73">
          <cell r="D73">
            <v>6850</v>
          </cell>
        </row>
        <row r="74">
          <cell r="D74">
            <v>6850</v>
          </cell>
        </row>
        <row r="75">
          <cell r="D75">
            <v>6850</v>
          </cell>
        </row>
        <row r="76">
          <cell r="D76">
            <v>6850</v>
          </cell>
        </row>
        <row r="77">
          <cell r="D77">
            <v>6850</v>
          </cell>
        </row>
        <row r="78">
          <cell r="D78">
            <v>6850</v>
          </cell>
        </row>
        <row r="79">
          <cell r="D79">
            <v>6850</v>
          </cell>
        </row>
        <row r="80">
          <cell r="D80">
            <v>6850</v>
          </cell>
        </row>
        <row r="81">
          <cell r="D81">
            <v>6850</v>
          </cell>
        </row>
        <row r="82">
          <cell r="D82">
            <v>6850</v>
          </cell>
        </row>
        <row r="83">
          <cell r="D83">
            <v>6850</v>
          </cell>
        </row>
        <row r="84">
          <cell r="D84">
            <v>6850</v>
          </cell>
        </row>
        <row r="85">
          <cell r="D85">
            <v>6850</v>
          </cell>
        </row>
        <row r="86">
          <cell r="D86">
            <v>6850</v>
          </cell>
        </row>
        <row r="87">
          <cell r="D87">
            <v>6850</v>
          </cell>
        </row>
        <row r="88">
          <cell r="D88">
            <v>6850</v>
          </cell>
        </row>
        <row r="89">
          <cell r="D89">
            <v>6850</v>
          </cell>
        </row>
        <row r="90">
          <cell r="D90">
            <v>6850</v>
          </cell>
        </row>
        <row r="91">
          <cell r="D91">
            <v>6850</v>
          </cell>
        </row>
        <row r="92">
          <cell r="D92">
            <v>6850</v>
          </cell>
        </row>
        <row r="93">
          <cell r="D93">
            <v>6850</v>
          </cell>
        </row>
        <row r="94">
          <cell r="D94">
            <v>6850</v>
          </cell>
        </row>
        <row r="95">
          <cell r="D95">
            <v>6850</v>
          </cell>
        </row>
        <row r="96">
          <cell r="D96">
            <v>6850</v>
          </cell>
        </row>
        <row r="97">
          <cell r="D97">
            <v>6850</v>
          </cell>
        </row>
        <row r="98">
          <cell r="D98">
            <v>6850</v>
          </cell>
        </row>
        <row r="99">
          <cell r="D99">
            <v>6850</v>
          </cell>
        </row>
        <row r="100">
          <cell r="D100">
            <v>6850</v>
          </cell>
        </row>
        <row r="101">
          <cell r="D101">
            <v>6850</v>
          </cell>
        </row>
        <row r="102">
          <cell r="D102">
            <v>6850</v>
          </cell>
        </row>
        <row r="103">
          <cell r="D103">
            <v>6850</v>
          </cell>
        </row>
        <row r="104">
          <cell r="D104">
            <v>6850</v>
          </cell>
        </row>
        <row r="105">
          <cell r="D105">
            <v>6850</v>
          </cell>
        </row>
        <row r="106">
          <cell r="D106" t="str">
            <v/>
          </cell>
        </row>
        <row r="107">
          <cell r="D107">
            <v>6875</v>
          </cell>
        </row>
        <row r="108">
          <cell r="D108">
            <v>6850</v>
          </cell>
        </row>
        <row r="109">
          <cell r="D109">
            <v>6850</v>
          </cell>
        </row>
        <row r="110">
          <cell r="D110">
            <v>6850</v>
          </cell>
        </row>
        <row r="111">
          <cell r="D111">
            <v>6850</v>
          </cell>
        </row>
        <row r="112">
          <cell r="D112">
            <v>6850</v>
          </cell>
        </row>
        <row r="113">
          <cell r="D113">
            <v>6925</v>
          </cell>
        </row>
        <row r="114">
          <cell r="D114">
            <v>6925</v>
          </cell>
        </row>
        <row r="115">
          <cell r="D115">
            <v>6925</v>
          </cell>
        </row>
        <row r="116">
          <cell r="D116">
            <v>6900</v>
          </cell>
        </row>
        <row r="117">
          <cell r="D117">
            <v>6925</v>
          </cell>
        </row>
        <row r="118">
          <cell r="D118">
            <v>6900</v>
          </cell>
        </row>
        <row r="119">
          <cell r="D119">
            <v>6925</v>
          </cell>
        </row>
        <row r="120">
          <cell r="D120">
            <v>6925</v>
          </cell>
        </row>
        <row r="121">
          <cell r="D121">
            <v>6925</v>
          </cell>
        </row>
        <row r="122">
          <cell r="D122">
            <v>6900</v>
          </cell>
        </row>
        <row r="123">
          <cell r="D123">
            <v>6925</v>
          </cell>
        </row>
        <row r="124">
          <cell r="D124">
            <v>6925</v>
          </cell>
        </row>
        <row r="125">
          <cell r="D125">
            <v>6925</v>
          </cell>
        </row>
        <row r="126">
          <cell r="D126">
            <v>6925</v>
          </cell>
        </row>
        <row r="127">
          <cell r="D127">
            <v>6900</v>
          </cell>
        </row>
        <row r="128">
          <cell r="D128">
            <v>6925</v>
          </cell>
        </row>
        <row r="129">
          <cell r="D129">
            <v>6925</v>
          </cell>
        </row>
        <row r="130">
          <cell r="D130">
            <v>6925</v>
          </cell>
        </row>
        <row r="131">
          <cell r="D131">
            <v>6925</v>
          </cell>
        </row>
        <row r="132">
          <cell r="D132">
            <v>6900</v>
          </cell>
        </row>
        <row r="133">
          <cell r="D133">
            <v>7850</v>
          </cell>
        </row>
        <row r="134">
          <cell r="D134">
            <v>7850</v>
          </cell>
        </row>
        <row r="135">
          <cell r="D135">
            <v>7850</v>
          </cell>
        </row>
        <row r="136">
          <cell r="D136">
            <v>7825</v>
          </cell>
        </row>
        <row r="137">
          <cell r="D137">
            <v>7850</v>
          </cell>
        </row>
        <row r="138">
          <cell r="D138">
            <v>7850</v>
          </cell>
        </row>
        <row r="139">
          <cell r="D139">
            <v>7825</v>
          </cell>
        </row>
        <row r="140">
          <cell r="D140">
            <v>7850</v>
          </cell>
        </row>
        <row r="141">
          <cell r="D141">
            <v>7850</v>
          </cell>
        </row>
        <row r="142">
          <cell r="D142">
            <v>7850</v>
          </cell>
        </row>
        <row r="143">
          <cell r="D143">
            <v>7825</v>
          </cell>
        </row>
        <row r="144">
          <cell r="D144">
            <v>7825</v>
          </cell>
        </row>
        <row r="145">
          <cell r="D145">
            <v>7850</v>
          </cell>
        </row>
        <row r="146">
          <cell r="D146">
            <v>7825</v>
          </cell>
        </row>
        <row r="147">
          <cell r="D147">
            <v>7825</v>
          </cell>
        </row>
        <row r="148">
          <cell r="D148">
            <v>7850</v>
          </cell>
        </row>
        <row r="149">
          <cell r="D149">
            <v>7850</v>
          </cell>
        </row>
        <row r="150">
          <cell r="D150">
            <v>7850</v>
          </cell>
        </row>
        <row r="151">
          <cell r="D151">
            <v>7850</v>
          </cell>
        </row>
        <row r="152">
          <cell r="D152">
            <v>7825</v>
          </cell>
        </row>
        <row r="153">
          <cell r="D153">
            <v>7825</v>
          </cell>
        </row>
        <row r="154">
          <cell r="D154">
            <v>7850</v>
          </cell>
        </row>
        <row r="155">
          <cell r="D155">
            <v>7825</v>
          </cell>
        </row>
        <row r="156">
          <cell r="D156">
            <v>7825</v>
          </cell>
        </row>
        <row r="157">
          <cell r="D157">
            <v>7850</v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>
            <v>7775</v>
          </cell>
        </row>
        <row r="161">
          <cell r="D161">
            <v>7850</v>
          </cell>
        </row>
        <row r="162">
          <cell r="D162">
            <v>7850</v>
          </cell>
        </row>
        <row r="163">
          <cell r="D163">
            <v>7850</v>
          </cell>
        </row>
        <row r="164">
          <cell r="D164">
            <v>7850</v>
          </cell>
        </row>
        <row r="165">
          <cell r="D165">
            <v>7850</v>
          </cell>
        </row>
        <row r="166">
          <cell r="D166">
            <v>7850</v>
          </cell>
        </row>
        <row r="167">
          <cell r="D167">
            <v>7825</v>
          </cell>
        </row>
        <row r="168">
          <cell r="D168">
            <v>7825</v>
          </cell>
        </row>
        <row r="169">
          <cell r="D169">
            <v>7825</v>
          </cell>
        </row>
        <row r="170">
          <cell r="D170">
            <v>7825</v>
          </cell>
        </row>
        <row r="171">
          <cell r="D171">
            <v>7850</v>
          </cell>
        </row>
        <row r="172">
          <cell r="D172">
            <v>7850</v>
          </cell>
        </row>
        <row r="173">
          <cell r="D173">
            <v>7825</v>
          </cell>
        </row>
        <row r="174">
          <cell r="D174">
            <v>7850</v>
          </cell>
        </row>
        <row r="175">
          <cell r="D175">
            <v>7825</v>
          </cell>
        </row>
        <row r="176">
          <cell r="D176">
            <v>7850</v>
          </cell>
        </row>
        <row r="177">
          <cell r="D177">
            <v>7825</v>
          </cell>
        </row>
        <row r="178">
          <cell r="D178">
            <v>7850</v>
          </cell>
        </row>
        <row r="179">
          <cell r="D179">
            <v>7825</v>
          </cell>
        </row>
        <row r="180">
          <cell r="D180">
            <v>7850</v>
          </cell>
        </row>
        <row r="181">
          <cell r="D181">
            <v>7850</v>
          </cell>
        </row>
        <row r="182">
          <cell r="D182">
            <v>7825</v>
          </cell>
        </row>
        <row r="183">
          <cell r="D183">
            <v>7850</v>
          </cell>
        </row>
        <row r="184">
          <cell r="D184">
            <v>7850</v>
          </cell>
        </row>
        <row r="185">
          <cell r="D185">
            <v>7825</v>
          </cell>
        </row>
        <row r="186">
          <cell r="D186">
            <v>7850</v>
          </cell>
        </row>
        <row r="187">
          <cell r="D187">
            <v>7825</v>
          </cell>
        </row>
        <row r="188">
          <cell r="D188">
            <v>7850</v>
          </cell>
        </row>
        <row r="189">
          <cell r="D189">
            <v>7850</v>
          </cell>
        </row>
        <row r="190">
          <cell r="D190">
            <v>7850</v>
          </cell>
        </row>
        <row r="191">
          <cell r="D191">
            <v>7825</v>
          </cell>
        </row>
        <row r="192">
          <cell r="D192">
            <v>7825</v>
          </cell>
        </row>
        <row r="193">
          <cell r="D193">
            <v>7825</v>
          </cell>
        </row>
        <row r="194">
          <cell r="D194">
            <v>7825</v>
          </cell>
        </row>
        <row r="195">
          <cell r="D195">
            <v>7850</v>
          </cell>
        </row>
        <row r="196">
          <cell r="D196">
            <v>7825</v>
          </cell>
        </row>
        <row r="197">
          <cell r="D197">
            <v>7850</v>
          </cell>
        </row>
        <row r="198">
          <cell r="D198">
            <v>7850</v>
          </cell>
        </row>
        <row r="199">
          <cell r="D199">
            <v>7850</v>
          </cell>
        </row>
        <row r="200">
          <cell r="D200">
            <v>7850</v>
          </cell>
        </row>
        <row r="201">
          <cell r="D201">
            <v>7850</v>
          </cell>
        </row>
        <row r="202">
          <cell r="D202">
            <v>7850</v>
          </cell>
        </row>
        <row r="203">
          <cell r="D203">
            <v>7850</v>
          </cell>
        </row>
        <row r="204">
          <cell r="D204">
            <v>7825</v>
          </cell>
        </row>
        <row r="205">
          <cell r="D205">
            <v>7850</v>
          </cell>
        </row>
        <row r="206">
          <cell r="D206">
            <v>7850</v>
          </cell>
        </row>
        <row r="207">
          <cell r="D207">
            <v>7825</v>
          </cell>
        </row>
        <row r="208">
          <cell r="D208">
            <v>7825</v>
          </cell>
        </row>
        <row r="209">
          <cell r="D209">
            <v>7850</v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>
            <v>8075</v>
          </cell>
        </row>
        <row r="213">
          <cell r="D213">
            <v>8075</v>
          </cell>
        </row>
        <row r="214">
          <cell r="D214">
            <v>8075</v>
          </cell>
        </row>
        <row r="215">
          <cell r="D215">
            <v>8075</v>
          </cell>
        </row>
        <row r="216">
          <cell r="D216">
            <v>8075</v>
          </cell>
        </row>
        <row r="217">
          <cell r="D217">
            <v>8075</v>
          </cell>
        </row>
        <row r="218">
          <cell r="D218">
            <v>8075</v>
          </cell>
        </row>
        <row r="219">
          <cell r="D219">
            <v>8075</v>
          </cell>
        </row>
        <row r="220">
          <cell r="D220">
            <v>8075</v>
          </cell>
        </row>
        <row r="221">
          <cell r="D221">
            <v>8250</v>
          </cell>
        </row>
        <row r="222">
          <cell r="D222">
            <v>8250</v>
          </cell>
        </row>
        <row r="223">
          <cell r="D223">
            <v>8250</v>
          </cell>
        </row>
        <row r="224">
          <cell r="D224">
            <v>8250</v>
          </cell>
        </row>
        <row r="225">
          <cell r="D225">
            <v>8250</v>
          </cell>
        </row>
        <row r="226">
          <cell r="D226">
            <v>8250</v>
          </cell>
        </row>
        <row r="227">
          <cell r="D227">
            <v>8250</v>
          </cell>
        </row>
        <row r="228">
          <cell r="D228">
            <v>8250</v>
          </cell>
        </row>
        <row r="229">
          <cell r="D229">
            <v>8250</v>
          </cell>
        </row>
        <row r="230">
          <cell r="D230">
            <v>8250</v>
          </cell>
        </row>
        <row r="231">
          <cell r="D231">
            <v>8250</v>
          </cell>
        </row>
        <row r="232">
          <cell r="D232">
            <v>8250</v>
          </cell>
        </row>
        <row r="233">
          <cell r="D233">
            <v>8250</v>
          </cell>
        </row>
        <row r="234">
          <cell r="D234">
            <v>8250</v>
          </cell>
        </row>
        <row r="235">
          <cell r="D235">
            <v>8250</v>
          </cell>
        </row>
        <row r="236">
          <cell r="D236">
            <v>8250</v>
          </cell>
        </row>
        <row r="237">
          <cell r="D237">
            <v>8250</v>
          </cell>
        </row>
        <row r="238">
          <cell r="D238">
            <v>8250</v>
          </cell>
        </row>
        <row r="239">
          <cell r="D239">
            <v>8250</v>
          </cell>
        </row>
        <row r="240">
          <cell r="D240">
            <v>8250</v>
          </cell>
        </row>
        <row r="241">
          <cell r="D241">
            <v>8275</v>
          </cell>
        </row>
        <row r="242">
          <cell r="D242">
            <v>8300</v>
          </cell>
        </row>
        <row r="243">
          <cell r="D243">
            <v>8300</v>
          </cell>
        </row>
        <row r="244">
          <cell r="D244">
            <v>8300</v>
          </cell>
        </row>
        <row r="245">
          <cell r="D245">
            <v>8400</v>
          </cell>
        </row>
        <row r="246">
          <cell r="D246">
            <v>8400</v>
          </cell>
        </row>
        <row r="247">
          <cell r="D247">
            <v>8400</v>
          </cell>
        </row>
        <row r="248">
          <cell r="D248">
            <v>8400</v>
          </cell>
        </row>
        <row r="249">
          <cell r="D249">
            <v>8400</v>
          </cell>
        </row>
        <row r="250">
          <cell r="D250">
            <v>8400</v>
          </cell>
        </row>
        <row r="251">
          <cell r="D251">
            <v>8400</v>
          </cell>
        </row>
        <row r="252">
          <cell r="D252">
            <v>8400</v>
          </cell>
        </row>
        <row r="253">
          <cell r="D253">
            <v>8425</v>
          </cell>
        </row>
        <row r="254">
          <cell r="D254">
            <v>8400</v>
          </cell>
        </row>
        <row r="255">
          <cell r="D255">
            <v>8425</v>
          </cell>
        </row>
        <row r="256">
          <cell r="D256">
            <v>8400</v>
          </cell>
        </row>
        <row r="257">
          <cell r="D257">
            <v>8400</v>
          </cell>
        </row>
        <row r="258">
          <cell r="D258">
            <v>8400</v>
          </cell>
        </row>
        <row r="259">
          <cell r="D259">
            <v>8400</v>
          </cell>
        </row>
        <row r="260">
          <cell r="D260">
            <v>8400</v>
          </cell>
        </row>
        <row r="261">
          <cell r="D261">
            <v>8400</v>
          </cell>
        </row>
        <row r="262">
          <cell r="D262" t="str">
            <v/>
          </cell>
        </row>
        <row r="263">
          <cell r="D263" t="str">
            <v/>
          </cell>
        </row>
        <row r="264">
          <cell r="D264">
            <v>8175</v>
          </cell>
        </row>
        <row r="265">
          <cell r="D265">
            <v>8175</v>
          </cell>
        </row>
        <row r="266">
          <cell r="D266">
            <v>8175</v>
          </cell>
        </row>
        <row r="267">
          <cell r="D267">
            <v>8300</v>
          </cell>
        </row>
        <row r="268">
          <cell r="D268">
            <v>8300</v>
          </cell>
        </row>
        <row r="269">
          <cell r="D269">
            <v>8300</v>
          </cell>
        </row>
        <row r="270">
          <cell r="D270">
            <v>8300</v>
          </cell>
        </row>
        <row r="271">
          <cell r="D271">
            <v>8400</v>
          </cell>
        </row>
        <row r="272">
          <cell r="D272">
            <v>8400</v>
          </cell>
        </row>
        <row r="273">
          <cell r="D273">
            <v>8400</v>
          </cell>
        </row>
        <row r="274">
          <cell r="D274">
            <v>8400</v>
          </cell>
        </row>
        <row r="275">
          <cell r="D275">
            <v>8400</v>
          </cell>
        </row>
        <row r="276">
          <cell r="D276">
            <v>8500</v>
          </cell>
        </row>
        <row r="277">
          <cell r="D277">
            <v>8475</v>
          </cell>
        </row>
        <row r="278">
          <cell r="D278">
            <v>8500</v>
          </cell>
        </row>
        <row r="279">
          <cell r="D279">
            <v>8500</v>
          </cell>
        </row>
        <row r="280">
          <cell r="D280">
            <v>8600</v>
          </cell>
        </row>
        <row r="281">
          <cell r="D281">
            <v>8600</v>
          </cell>
        </row>
        <row r="282">
          <cell r="D282">
            <v>8575</v>
          </cell>
        </row>
        <row r="283">
          <cell r="D283">
            <v>8575</v>
          </cell>
        </row>
        <row r="284">
          <cell r="D284">
            <v>8575</v>
          </cell>
        </row>
        <row r="285">
          <cell r="D285">
            <v>8625</v>
          </cell>
        </row>
        <row r="286">
          <cell r="D286">
            <v>8625</v>
          </cell>
        </row>
        <row r="287">
          <cell r="D287">
            <v>8625</v>
          </cell>
        </row>
        <row r="288">
          <cell r="D288">
            <v>8625</v>
          </cell>
        </row>
        <row r="289">
          <cell r="D289">
            <v>8625</v>
          </cell>
        </row>
        <row r="290">
          <cell r="D290">
            <v>8625</v>
          </cell>
        </row>
        <row r="291">
          <cell r="D291">
            <v>8625</v>
          </cell>
        </row>
        <row r="292">
          <cell r="D292">
            <v>8625</v>
          </cell>
        </row>
        <row r="293">
          <cell r="D293">
            <v>8625</v>
          </cell>
        </row>
        <row r="294">
          <cell r="D294">
            <v>8625</v>
          </cell>
        </row>
        <row r="295">
          <cell r="D295">
            <v>8625</v>
          </cell>
        </row>
        <row r="296">
          <cell r="D296">
            <v>8625</v>
          </cell>
        </row>
        <row r="297">
          <cell r="D297">
            <v>8625</v>
          </cell>
        </row>
        <row r="298">
          <cell r="D298">
            <v>8625</v>
          </cell>
        </row>
        <row r="299">
          <cell r="D299">
            <v>8625</v>
          </cell>
        </row>
        <row r="300">
          <cell r="D300">
            <v>8625</v>
          </cell>
        </row>
        <row r="301">
          <cell r="D301">
            <v>8625</v>
          </cell>
        </row>
        <row r="302">
          <cell r="D302">
            <v>8625</v>
          </cell>
        </row>
        <row r="303">
          <cell r="D303">
            <v>8600</v>
          </cell>
        </row>
        <row r="304">
          <cell r="D304">
            <v>8625</v>
          </cell>
        </row>
        <row r="305">
          <cell r="D305">
            <v>8625</v>
          </cell>
        </row>
        <row r="306">
          <cell r="D306">
            <v>8775</v>
          </cell>
        </row>
        <row r="307">
          <cell r="D307">
            <v>9100</v>
          </cell>
        </row>
        <row r="308">
          <cell r="D308">
            <v>9425</v>
          </cell>
        </row>
        <row r="309">
          <cell r="D309">
            <v>9425</v>
          </cell>
        </row>
        <row r="310">
          <cell r="D310">
            <v>9400</v>
          </cell>
        </row>
        <row r="311">
          <cell r="D311">
            <v>9425</v>
          </cell>
        </row>
        <row r="312">
          <cell r="D312">
            <v>9425</v>
          </cell>
        </row>
        <row r="313">
          <cell r="D313">
            <v>9425</v>
          </cell>
        </row>
        <row r="314">
          <cell r="D314">
            <v>3600</v>
          </cell>
        </row>
        <row r="315">
          <cell r="D315" t="str">
            <v/>
          </cell>
        </row>
        <row r="316">
          <cell r="D316">
            <v>9425</v>
          </cell>
        </row>
        <row r="317">
          <cell r="D317">
            <v>9400</v>
          </cell>
        </row>
        <row r="318">
          <cell r="D318">
            <v>9425</v>
          </cell>
        </row>
        <row r="319">
          <cell r="D319">
            <v>9425</v>
          </cell>
        </row>
        <row r="320">
          <cell r="D320">
            <v>9425</v>
          </cell>
        </row>
        <row r="321">
          <cell r="D321">
            <v>9425</v>
          </cell>
        </row>
        <row r="322">
          <cell r="D322">
            <v>9425</v>
          </cell>
        </row>
        <row r="323">
          <cell r="D323">
            <v>9425</v>
          </cell>
        </row>
        <row r="324">
          <cell r="D324">
            <v>9425</v>
          </cell>
        </row>
        <row r="325">
          <cell r="D325">
            <v>9425</v>
          </cell>
        </row>
        <row r="326">
          <cell r="D326">
            <v>9400</v>
          </cell>
        </row>
        <row r="327">
          <cell r="D327">
            <v>9425</v>
          </cell>
        </row>
        <row r="328">
          <cell r="D328">
            <v>9425</v>
          </cell>
        </row>
        <row r="329">
          <cell r="D329">
            <v>9425</v>
          </cell>
        </row>
        <row r="330">
          <cell r="D330">
            <v>9425</v>
          </cell>
        </row>
        <row r="331">
          <cell r="D331">
            <v>9425</v>
          </cell>
        </row>
        <row r="332">
          <cell r="D332">
            <v>9425</v>
          </cell>
        </row>
        <row r="333">
          <cell r="D333">
            <v>9425</v>
          </cell>
        </row>
        <row r="334">
          <cell r="D334">
            <v>9425</v>
          </cell>
        </row>
        <row r="335">
          <cell r="D335">
            <v>9425</v>
          </cell>
        </row>
        <row r="336">
          <cell r="D336">
            <v>9425</v>
          </cell>
        </row>
        <row r="337">
          <cell r="D337">
            <v>9725</v>
          </cell>
        </row>
        <row r="338">
          <cell r="D338">
            <v>9750</v>
          </cell>
        </row>
        <row r="339">
          <cell r="D339">
            <v>9750</v>
          </cell>
        </row>
        <row r="340">
          <cell r="D340">
            <v>9725</v>
          </cell>
        </row>
        <row r="341">
          <cell r="D341">
            <v>9725</v>
          </cell>
        </row>
        <row r="342">
          <cell r="D342">
            <v>9725</v>
          </cell>
        </row>
        <row r="343">
          <cell r="D343">
            <v>9750</v>
          </cell>
        </row>
        <row r="344">
          <cell r="D344">
            <v>9725</v>
          </cell>
        </row>
        <row r="345">
          <cell r="D345">
            <v>9750</v>
          </cell>
        </row>
        <row r="346">
          <cell r="D346">
            <v>9725</v>
          </cell>
        </row>
        <row r="347">
          <cell r="D347">
            <v>9725</v>
          </cell>
        </row>
        <row r="348">
          <cell r="D348">
            <v>9725</v>
          </cell>
        </row>
        <row r="349">
          <cell r="D349">
            <v>9725</v>
          </cell>
        </row>
        <row r="350">
          <cell r="D350">
            <v>9725</v>
          </cell>
        </row>
        <row r="351">
          <cell r="D351">
            <v>9725</v>
          </cell>
        </row>
        <row r="352">
          <cell r="D352">
            <v>9725</v>
          </cell>
        </row>
        <row r="353">
          <cell r="D353">
            <v>9725</v>
          </cell>
        </row>
        <row r="354">
          <cell r="D354">
            <v>9750</v>
          </cell>
        </row>
        <row r="355">
          <cell r="D355">
            <v>9750</v>
          </cell>
        </row>
        <row r="356">
          <cell r="D356">
            <v>9725</v>
          </cell>
        </row>
        <row r="357">
          <cell r="D357">
            <v>9725</v>
          </cell>
        </row>
        <row r="358">
          <cell r="D358">
            <v>9725</v>
          </cell>
        </row>
        <row r="359">
          <cell r="D359">
            <v>9725</v>
          </cell>
        </row>
        <row r="360">
          <cell r="D360">
            <v>9750</v>
          </cell>
        </row>
        <row r="361">
          <cell r="D361">
            <v>9750</v>
          </cell>
        </row>
        <row r="362">
          <cell r="D362">
            <v>9750</v>
          </cell>
        </row>
        <row r="363">
          <cell r="D363">
            <v>9725</v>
          </cell>
        </row>
        <row r="364">
          <cell r="D364">
            <v>9725</v>
          </cell>
        </row>
        <row r="365">
          <cell r="D365">
            <v>9750</v>
          </cell>
        </row>
        <row r="366">
          <cell r="D366">
            <v>9750</v>
          </cell>
        </row>
        <row r="367">
          <cell r="D367" t="str">
            <v/>
          </cell>
        </row>
        <row r="368">
          <cell r="D368">
            <v>10075</v>
          </cell>
        </row>
        <row r="369">
          <cell r="D369">
            <v>10075</v>
          </cell>
        </row>
        <row r="370">
          <cell r="D370">
            <v>10075</v>
          </cell>
        </row>
        <row r="371">
          <cell r="D371">
            <v>10075</v>
          </cell>
        </row>
        <row r="372">
          <cell r="D372">
            <v>10075</v>
          </cell>
        </row>
        <row r="373">
          <cell r="D373">
            <v>10075</v>
          </cell>
        </row>
        <row r="374">
          <cell r="D374">
            <v>10075</v>
          </cell>
        </row>
        <row r="375">
          <cell r="D375">
            <v>10075</v>
          </cell>
        </row>
        <row r="376">
          <cell r="D376">
            <v>10075</v>
          </cell>
        </row>
        <row r="377">
          <cell r="D377">
            <v>10075</v>
          </cell>
        </row>
        <row r="378">
          <cell r="D378">
            <v>10075</v>
          </cell>
        </row>
        <row r="379">
          <cell r="D379">
            <v>10075</v>
          </cell>
        </row>
        <row r="380">
          <cell r="D380">
            <v>10075</v>
          </cell>
        </row>
        <row r="381">
          <cell r="D381">
            <v>10075</v>
          </cell>
        </row>
        <row r="382">
          <cell r="D382">
            <v>10075</v>
          </cell>
        </row>
        <row r="383">
          <cell r="D383">
            <v>10075</v>
          </cell>
        </row>
        <row r="384">
          <cell r="D384">
            <v>10075</v>
          </cell>
        </row>
        <row r="385">
          <cell r="D385">
            <v>10075</v>
          </cell>
        </row>
        <row r="386">
          <cell r="D386">
            <v>10075</v>
          </cell>
        </row>
        <row r="387">
          <cell r="D387">
            <v>10075</v>
          </cell>
        </row>
        <row r="388">
          <cell r="D388">
            <v>10075</v>
          </cell>
        </row>
        <row r="389">
          <cell r="D389">
            <v>10075</v>
          </cell>
        </row>
        <row r="390">
          <cell r="D390">
            <v>10075</v>
          </cell>
        </row>
        <row r="391">
          <cell r="D391">
            <v>10075</v>
          </cell>
        </row>
        <row r="392">
          <cell r="D392">
            <v>10075</v>
          </cell>
        </row>
        <row r="393">
          <cell r="D393">
            <v>10075</v>
          </cell>
        </row>
        <row r="394">
          <cell r="D394">
            <v>10075</v>
          </cell>
        </row>
        <row r="395">
          <cell r="D395">
            <v>10075</v>
          </cell>
        </row>
        <row r="396">
          <cell r="D396">
            <v>10075</v>
          </cell>
        </row>
        <row r="397">
          <cell r="D397">
            <v>10075</v>
          </cell>
        </row>
        <row r="398">
          <cell r="D398">
            <v>10075</v>
          </cell>
        </row>
        <row r="399">
          <cell r="D399">
            <v>10075</v>
          </cell>
        </row>
        <row r="400">
          <cell r="D400">
            <v>10075</v>
          </cell>
        </row>
        <row r="401">
          <cell r="D401">
            <v>10075</v>
          </cell>
        </row>
        <row r="402">
          <cell r="D402">
            <v>10075</v>
          </cell>
        </row>
        <row r="403">
          <cell r="D403">
            <v>10075</v>
          </cell>
        </row>
        <row r="404">
          <cell r="D404">
            <v>10075</v>
          </cell>
        </row>
        <row r="405">
          <cell r="D405">
            <v>10075</v>
          </cell>
        </row>
        <row r="406">
          <cell r="D406">
            <v>10075</v>
          </cell>
        </row>
        <row r="407">
          <cell r="D407">
            <v>10075</v>
          </cell>
        </row>
        <row r="408">
          <cell r="D408">
            <v>10075</v>
          </cell>
        </row>
        <row r="409">
          <cell r="D409">
            <v>10075</v>
          </cell>
        </row>
        <row r="410">
          <cell r="D410">
            <v>10075</v>
          </cell>
        </row>
        <row r="411">
          <cell r="D411">
            <v>10075</v>
          </cell>
        </row>
        <row r="412">
          <cell r="D412">
            <v>10075</v>
          </cell>
        </row>
        <row r="413">
          <cell r="D413">
            <v>10075</v>
          </cell>
        </row>
        <row r="414">
          <cell r="D414">
            <v>10075</v>
          </cell>
        </row>
        <row r="415">
          <cell r="D415">
            <v>10075</v>
          </cell>
        </row>
        <row r="416">
          <cell r="D416">
            <v>10075</v>
          </cell>
        </row>
        <row r="417">
          <cell r="D417">
            <v>10075</v>
          </cell>
        </row>
        <row r="418">
          <cell r="D418">
            <v>10075</v>
          </cell>
        </row>
        <row r="419">
          <cell r="D419">
            <v>10075</v>
          </cell>
        </row>
        <row r="420">
          <cell r="D420">
            <v>10075</v>
          </cell>
        </row>
        <row r="421">
          <cell r="D421">
            <v>10075</v>
          </cell>
        </row>
        <row r="422">
          <cell r="D422">
            <v>10075</v>
          </cell>
        </row>
        <row r="423">
          <cell r="D423">
            <v>10075</v>
          </cell>
        </row>
        <row r="424">
          <cell r="D424">
            <v>10075</v>
          </cell>
        </row>
        <row r="425">
          <cell r="D425">
            <v>10075</v>
          </cell>
        </row>
        <row r="426">
          <cell r="D426">
            <v>10075</v>
          </cell>
        </row>
        <row r="427">
          <cell r="D427">
            <v>10075</v>
          </cell>
        </row>
        <row r="428">
          <cell r="D428">
            <v>10075</v>
          </cell>
        </row>
        <row r="429">
          <cell r="D429">
            <v>10075</v>
          </cell>
        </row>
        <row r="430">
          <cell r="D430">
            <v>10075</v>
          </cell>
        </row>
        <row r="431">
          <cell r="D431">
            <v>10075</v>
          </cell>
        </row>
        <row r="432">
          <cell r="D432">
            <v>10075</v>
          </cell>
        </row>
        <row r="433">
          <cell r="D433">
            <v>10075</v>
          </cell>
        </row>
        <row r="434">
          <cell r="D434">
            <v>10075</v>
          </cell>
        </row>
        <row r="435">
          <cell r="D435">
            <v>10075</v>
          </cell>
        </row>
        <row r="436">
          <cell r="D436">
            <v>10075</v>
          </cell>
        </row>
        <row r="437">
          <cell r="D437">
            <v>10075</v>
          </cell>
        </row>
        <row r="438">
          <cell r="D438">
            <v>10075</v>
          </cell>
        </row>
        <row r="439">
          <cell r="D439">
            <v>10450</v>
          </cell>
        </row>
        <row r="440">
          <cell r="D440">
            <v>10450</v>
          </cell>
        </row>
        <row r="441">
          <cell r="D441">
            <v>10150</v>
          </cell>
        </row>
        <row r="442">
          <cell r="D442">
            <v>10450</v>
          </cell>
        </row>
        <row r="443">
          <cell r="D443">
            <v>10450</v>
          </cell>
        </row>
        <row r="444">
          <cell r="D444">
            <v>10450</v>
          </cell>
        </row>
        <row r="445">
          <cell r="D445">
            <v>10450</v>
          </cell>
        </row>
        <row r="446">
          <cell r="D446">
            <v>10450</v>
          </cell>
        </row>
        <row r="447">
          <cell r="D447">
            <v>10450</v>
          </cell>
        </row>
        <row r="448">
          <cell r="D448">
            <v>10450</v>
          </cell>
        </row>
        <row r="449">
          <cell r="D449">
            <v>10450</v>
          </cell>
        </row>
        <row r="450">
          <cell r="D450">
            <v>10450</v>
          </cell>
        </row>
        <row r="451">
          <cell r="D451">
            <v>10450</v>
          </cell>
        </row>
        <row r="452">
          <cell r="D452">
            <v>10450</v>
          </cell>
        </row>
        <row r="453">
          <cell r="D453">
            <v>10450</v>
          </cell>
        </row>
        <row r="454">
          <cell r="D454">
            <v>10450</v>
          </cell>
        </row>
        <row r="455">
          <cell r="D455">
            <v>10450</v>
          </cell>
        </row>
        <row r="456">
          <cell r="D456">
            <v>10450</v>
          </cell>
        </row>
        <row r="457">
          <cell r="D457">
            <v>10450</v>
          </cell>
        </row>
        <row r="458">
          <cell r="D458">
            <v>10450</v>
          </cell>
        </row>
        <row r="459">
          <cell r="D459">
            <v>10450</v>
          </cell>
        </row>
        <row r="460">
          <cell r="D460">
            <v>10450</v>
          </cell>
        </row>
        <row r="461">
          <cell r="D461">
            <v>10450</v>
          </cell>
        </row>
        <row r="462">
          <cell r="D462">
            <v>10450</v>
          </cell>
        </row>
        <row r="463">
          <cell r="D463">
            <v>10450</v>
          </cell>
        </row>
        <row r="464">
          <cell r="D464">
            <v>10450</v>
          </cell>
        </row>
        <row r="465">
          <cell r="D465">
            <v>10450</v>
          </cell>
        </row>
        <row r="466">
          <cell r="D466">
            <v>10450</v>
          </cell>
        </row>
        <row r="467">
          <cell r="D467">
            <v>10450</v>
          </cell>
        </row>
        <row r="468">
          <cell r="D468">
            <v>10450</v>
          </cell>
        </row>
        <row r="469">
          <cell r="D469">
            <v>10450</v>
          </cell>
        </row>
        <row r="470">
          <cell r="D470">
            <v>10450</v>
          </cell>
        </row>
        <row r="471">
          <cell r="D471">
            <v>10450</v>
          </cell>
        </row>
        <row r="472">
          <cell r="D472">
            <v>10450</v>
          </cell>
        </row>
        <row r="473">
          <cell r="D473">
            <v>10450</v>
          </cell>
        </row>
        <row r="474">
          <cell r="D474">
            <v>10450</v>
          </cell>
        </row>
        <row r="475">
          <cell r="D475">
            <v>10450</v>
          </cell>
        </row>
        <row r="476">
          <cell r="D476">
            <v>10450</v>
          </cell>
        </row>
        <row r="477">
          <cell r="D477">
            <v>10450</v>
          </cell>
        </row>
        <row r="478">
          <cell r="D478">
            <v>10450</v>
          </cell>
        </row>
        <row r="479">
          <cell r="D479">
            <v>10450</v>
          </cell>
        </row>
        <row r="480">
          <cell r="D480">
            <v>10450</v>
          </cell>
        </row>
        <row r="481">
          <cell r="D481">
            <v>10450</v>
          </cell>
        </row>
        <row r="482">
          <cell r="D482">
            <v>10450</v>
          </cell>
        </row>
        <row r="483">
          <cell r="D483">
            <v>10450</v>
          </cell>
        </row>
        <row r="484">
          <cell r="D484">
            <v>10450</v>
          </cell>
        </row>
        <row r="485">
          <cell r="D485">
            <v>10450</v>
          </cell>
        </row>
        <row r="486">
          <cell r="D486">
            <v>10450</v>
          </cell>
        </row>
        <row r="487">
          <cell r="D487">
            <v>10450</v>
          </cell>
        </row>
        <row r="488">
          <cell r="D488">
            <v>10450</v>
          </cell>
        </row>
        <row r="489">
          <cell r="D489">
            <v>10450</v>
          </cell>
        </row>
        <row r="490">
          <cell r="D490">
            <v>10450</v>
          </cell>
        </row>
        <row r="491">
          <cell r="D491">
            <v>10500</v>
          </cell>
        </row>
        <row r="492">
          <cell r="D492">
            <v>10450</v>
          </cell>
        </row>
        <row r="493">
          <cell r="D493">
            <v>10450</v>
          </cell>
        </row>
        <row r="494">
          <cell r="D494">
            <v>10450</v>
          </cell>
        </row>
        <row r="495">
          <cell r="D495">
            <v>10450</v>
          </cell>
        </row>
        <row r="496">
          <cell r="D496">
            <v>10450</v>
          </cell>
        </row>
        <row r="497">
          <cell r="D497">
            <v>10450</v>
          </cell>
        </row>
        <row r="498">
          <cell r="D498">
            <v>10450</v>
          </cell>
        </row>
        <row r="499">
          <cell r="D499">
            <v>10450</v>
          </cell>
        </row>
        <row r="500">
          <cell r="D500">
            <v>10450</v>
          </cell>
        </row>
        <row r="501">
          <cell r="D501">
            <v>10450</v>
          </cell>
        </row>
        <row r="502">
          <cell r="D502">
            <v>10450</v>
          </cell>
        </row>
        <row r="503">
          <cell r="D503">
            <v>10450</v>
          </cell>
        </row>
        <row r="504">
          <cell r="D504">
            <v>10450</v>
          </cell>
        </row>
        <row r="505">
          <cell r="D505">
            <v>10450</v>
          </cell>
        </row>
        <row r="506">
          <cell r="D506">
            <v>10450</v>
          </cell>
        </row>
        <row r="507">
          <cell r="D507">
            <v>10450</v>
          </cell>
        </row>
        <row r="508">
          <cell r="D508">
            <v>10450</v>
          </cell>
        </row>
        <row r="509">
          <cell r="D509">
            <v>10450</v>
          </cell>
        </row>
        <row r="510">
          <cell r="D510">
            <v>10450</v>
          </cell>
        </row>
        <row r="511">
          <cell r="D511">
            <v>10500</v>
          </cell>
        </row>
        <row r="512">
          <cell r="D512">
            <v>10500</v>
          </cell>
        </row>
        <row r="513">
          <cell r="D513">
            <v>10500</v>
          </cell>
        </row>
        <row r="514">
          <cell r="D514">
            <v>10500</v>
          </cell>
        </row>
        <row r="515">
          <cell r="D515">
            <v>10500</v>
          </cell>
        </row>
        <row r="516">
          <cell r="D516">
            <v>10525</v>
          </cell>
        </row>
        <row r="517">
          <cell r="D517">
            <v>10525</v>
          </cell>
        </row>
        <row r="518">
          <cell r="D518">
            <v>8925</v>
          </cell>
        </row>
        <row r="519">
          <cell r="D519">
            <v>10500</v>
          </cell>
        </row>
        <row r="520">
          <cell r="D520">
            <v>10500</v>
          </cell>
        </row>
        <row r="521">
          <cell r="D521">
            <v>10500</v>
          </cell>
        </row>
        <row r="522">
          <cell r="D522">
            <v>10525</v>
          </cell>
        </row>
        <row r="523">
          <cell r="D523">
            <v>10525</v>
          </cell>
        </row>
        <row r="524">
          <cell r="D524">
            <v>10500</v>
          </cell>
        </row>
        <row r="525">
          <cell r="D525">
            <v>10500</v>
          </cell>
        </row>
        <row r="526">
          <cell r="D526">
            <v>10500</v>
          </cell>
        </row>
        <row r="527">
          <cell r="D527">
            <v>10525</v>
          </cell>
        </row>
        <row r="528">
          <cell r="D528">
            <v>10525</v>
          </cell>
        </row>
        <row r="529">
          <cell r="D529">
            <v>10525</v>
          </cell>
        </row>
        <row r="530">
          <cell r="D530">
            <v>10525</v>
          </cell>
        </row>
        <row r="531">
          <cell r="D531">
            <v>10525</v>
          </cell>
        </row>
        <row r="532">
          <cell r="D532">
            <v>10525</v>
          </cell>
        </row>
        <row r="533">
          <cell r="D533">
            <v>10500</v>
          </cell>
        </row>
        <row r="534">
          <cell r="D534">
            <v>10500</v>
          </cell>
        </row>
        <row r="535">
          <cell r="D535">
            <v>10525</v>
          </cell>
        </row>
        <row r="536">
          <cell r="D536">
            <v>10525</v>
          </cell>
        </row>
        <row r="537">
          <cell r="D537">
            <v>10500</v>
          </cell>
        </row>
        <row r="538">
          <cell r="D538">
            <v>10525</v>
          </cell>
        </row>
        <row r="539">
          <cell r="D539">
            <v>10525</v>
          </cell>
        </row>
        <row r="540">
          <cell r="D540">
            <v>10500</v>
          </cell>
        </row>
        <row r="541">
          <cell r="D541">
            <v>10525</v>
          </cell>
        </row>
        <row r="542">
          <cell r="D542">
            <v>10525</v>
          </cell>
        </row>
        <row r="543">
          <cell r="D543">
            <v>10500</v>
          </cell>
        </row>
        <row r="544">
          <cell r="D544">
            <v>10500</v>
          </cell>
        </row>
        <row r="545">
          <cell r="D545">
            <v>10525</v>
          </cell>
        </row>
        <row r="546">
          <cell r="D546">
            <v>10525</v>
          </cell>
        </row>
        <row r="547">
          <cell r="D547">
            <v>10525</v>
          </cell>
        </row>
        <row r="548">
          <cell r="D548">
            <v>10500</v>
          </cell>
        </row>
        <row r="549">
          <cell r="D549">
            <v>10525</v>
          </cell>
        </row>
        <row r="550">
          <cell r="D550">
            <v>10525</v>
          </cell>
        </row>
        <row r="551">
          <cell r="D551">
            <v>10500</v>
          </cell>
        </row>
        <row r="552">
          <cell r="D552">
            <v>10500</v>
          </cell>
        </row>
        <row r="553">
          <cell r="D553">
            <v>10500</v>
          </cell>
        </row>
        <row r="554">
          <cell r="D554">
            <v>10525</v>
          </cell>
        </row>
        <row r="555">
          <cell r="D555">
            <v>10525</v>
          </cell>
        </row>
        <row r="556">
          <cell r="D556">
            <v>10550</v>
          </cell>
        </row>
        <row r="557">
          <cell r="D557">
            <v>10550</v>
          </cell>
        </row>
        <row r="558">
          <cell r="D558">
            <v>10550</v>
          </cell>
        </row>
        <row r="559">
          <cell r="D559">
            <v>10550</v>
          </cell>
        </row>
        <row r="560">
          <cell r="D560">
            <v>10550</v>
          </cell>
        </row>
        <row r="561">
          <cell r="D561">
            <v>10550</v>
          </cell>
        </row>
        <row r="562">
          <cell r="D562">
            <v>10650</v>
          </cell>
        </row>
        <row r="563">
          <cell r="D563">
            <v>10650</v>
          </cell>
        </row>
        <row r="564">
          <cell r="D564">
            <v>10650</v>
          </cell>
        </row>
        <row r="565">
          <cell r="D565">
            <v>10650</v>
          </cell>
        </row>
        <row r="566">
          <cell r="D566">
            <v>9225</v>
          </cell>
        </row>
        <row r="567">
          <cell r="D567">
            <v>10650</v>
          </cell>
        </row>
        <row r="568">
          <cell r="D568">
            <v>10650</v>
          </cell>
        </row>
        <row r="569">
          <cell r="D569">
            <v>10650</v>
          </cell>
        </row>
        <row r="570">
          <cell r="D570">
            <v>10650</v>
          </cell>
        </row>
        <row r="571">
          <cell r="D571">
            <v>10675</v>
          </cell>
        </row>
        <row r="572">
          <cell r="D572">
            <v>10650</v>
          </cell>
        </row>
        <row r="573">
          <cell r="D573">
            <v>10675</v>
          </cell>
        </row>
        <row r="574">
          <cell r="D574">
            <v>10650</v>
          </cell>
        </row>
        <row r="575">
          <cell r="D575">
            <v>10675</v>
          </cell>
        </row>
        <row r="576">
          <cell r="D576">
            <v>10675</v>
          </cell>
        </row>
        <row r="577">
          <cell r="D577">
            <v>10650</v>
          </cell>
        </row>
        <row r="578">
          <cell r="D578">
            <v>10650</v>
          </cell>
        </row>
        <row r="579">
          <cell r="D579">
            <v>10650</v>
          </cell>
        </row>
        <row r="580">
          <cell r="D580">
            <v>10675</v>
          </cell>
        </row>
        <row r="581">
          <cell r="D581">
            <v>10650</v>
          </cell>
        </row>
        <row r="582">
          <cell r="D582">
            <v>10675</v>
          </cell>
        </row>
        <row r="583">
          <cell r="D583">
            <v>10650</v>
          </cell>
        </row>
        <row r="584">
          <cell r="D584">
            <v>10650</v>
          </cell>
        </row>
        <row r="585">
          <cell r="D585">
            <v>10650</v>
          </cell>
        </row>
        <row r="586">
          <cell r="D586">
            <v>10650</v>
          </cell>
        </row>
        <row r="587">
          <cell r="D587">
            <v>10700</v>
          </cell>
        </row>
        <row r="588">
          <cell r="D588">
            <v>10700</v>
          </cell>
        </row>
        <row r="589">
          <cell r="D589">
            <v>10700</v>
          </cell>
        </row>
        <row r="590">
          <cell r="D590">
            <v>10700</v>
          </cell>
        </row>
        <row r="591">
          <cell r="D591">
            <v>10700</v>
          </cell>
        </row>
        <row r="592">
          <cell r="D592">
            <v>10700</v>
          </cell>
        </row>
        <row r="593">
          <cell r="D593">
            <v>10600</v>
          </cell>
        </row>
        <row r="594">
          <cell r="D594">
            <v>10600</v>
          </cell>
        </row>
        <row r="595">
          <cell r="D595">
            <v>10700</v>
          </cell>
        </row>
        <row r="596">
          <cell r="D596">
            <v>7625</v>
          </cell>
        </row>
        <row r="597">
          <cell r="D597">
            <v>10675</v>
          </cell>
        </row>
        <row r="598">
          <cell r="D598">
            <v>10675</v>
          </cell>
        </row>
        <row r="599">
          <cell r="D599">
            <v>10650</v>
          </cell>
        </row>
        <row r="600">
          <cell r="D600">
            <v>10675</v>
          </cell>
        </row>
        <row r="601">
          <cell r="D601">
            <v>10650</v>
          </cell>
        </row>
        <row r="602">
          <cell r="D602">
            <v>10650</v>
          </cell>
        </row>
        <row r="603">
          <cell r="D603">
            <v>10650</v>
          </cell>
        </row>
        <row r="604">
          <cell r="D604">
            <v>10650</v>
          </cell>
        </row>
        <row r="605">
          <cell r="D605">
            <v>10825</v>
          </cell>
        </row>
        <row r="606">
          <cell r="D606">
            <v>10850</v>
          </cell>
        </row>
        <row r="607">
          <cell r="D607">
            <v>10825</v>
          </cell>
        </row>
        <row r="608">
          <cell r="D608">
            <v>10825</v>
          </cell>
        </row>
        <row r="609">
          <cell r="D609">
            <v>10825</v>
          </cell>
        </row>
        <row r="610">
          <cell r="D610">
            <v>10850</v>
          </cell>
        </row>
        <row r="611">
          <cell r="D611">
            <v>10850</v>
          </cell>
        </row>
        <row r="612">
          <cell r="D612">
            <v>10825</v>
          </cell>
        </row>
        <row r="613">
          <cell r="D613">
            <v>10825</v>
          </cell>
        </row>
        <row r="614">
          <cell r="D614">
            <v>10825</v>
          </cell>
        </row>
        <row r="615">
          <cell r="D615">
            <v>10825</v>
          </cell>
        </row>
        <row r="616">
          <cell r="D616">
            <v>10825</v>
          </cell>
        </row>
        <row r="617">
          <cell r="D617">
            <v>10850</v>
          </cell>
        </row>
        <row r="618">
          <cell r="D618">
            <v>10825</v>
          </cell>
        </row>
        <row r="619">
          <cell r="D619">
            <v>10825</v>
          </cell>
        </row>
        <row r="620">
          <cell r="D620">
            <v>10825</v>
          </cell>
        </row>
        <row r="621">
          <cell r="D621">
            <v>10825</v>
          </cell>
        </row>
        <row r="622">
          <cell r="D622">
            <v>10850</v>
          </cell>
        </row>
        <row r="623">
          <cell r="D623">
            <v>10850</v>
          </cell>
        </row>
        <row r="624">
          <cell r="D624">
            <v>10825</v>
          </cell>
        </row>
        <row r="625">
          <cell r="D625">
            <v>10825</v>
          </cell>
        </row>
        <row r="626">
          <cell r="D626">
            <v>10825</v>
          </cell>
        </row>
        <row r="627">
          <cell r="D627">
            <v>10850</v>
          </cell>
        </row>
        <row r="628">
          <cell r="D628">
            <v>10925</v>
          </cell>
        </row>
        <row r="629">
          <cell r="D629">
            <v>10850</v>
          </cell>
        </row>
        <row r="630">
          <cell r="D630">
            <v>10850</v>
          </cell>
        </row>
        <row r="631">
          <cell r="D631">
            <v>10850</v>
          </cell>
        </row>
        <row r="632">
          <cell r="D632">
            <v>10825</v>
          </cell>
        </row>
        <row r="633">
          <cell r="D633">
            <v>10825</v>
          </cell>
        </row>
        <row r="634">
          <cell r="D634">
            <v>10825</v>
          </cell>
        </row>
        <row r="635">
          <cell r="D635">
            <v>10850</v>
          </cell>
        </row>
        <row r="636">
          <cell r="D636">
            <v>10850</v>
          </cell>
        </row>
        <row r="637">
          <cell r="D637">
            <v>10825</v>
          </cell>
        </row>
        <row r="638">
          <cell r="D638">
            <v>10850</v>
          </cell>
        </row>
        <row r="639">
          <cell r="D639">
            <v>10825</v>
          </cell>
        </row>
        <row r="640">
          <cell r="D640">
            <v>10850</v>
          </cell>
        </row>
        <row r="641">
          <cell r="D641">
            <v>10825</v>
          </cell>
        </row>
        <row r="642">
          <cell r="D642">
            <v>10825</v>
          </cell>
        </row>
        <row r="643">
          <cell r="D643">
            <v>10825</v>
          </cell>
        </row>
        <row r="644">
          <cell r="D644">
            <v>10850</v>
          </cell>
        </row>
        <row r="645">
          <cell r="D645">
            <v>10825</v>
          </cell>
        </row>
        <row r="646">
          <cell r="D646">
            <v>10825</v>
          </cell>
        </row>
        <row r="647">
          <cell r="D647">
            <v>10825</v>
          </cell>
        </row>
        <row r="648">
          <cell r="D648">
            <v>10850</v>
          </cell>
        </row>
        <row r="649">
          <cell r="D649">
            <v>10825</v>
          </cell>
        </row>
        <row r="650">
          <cell r="D650">
            <v>10850</v>
          </cell>
        </row>
        <row r="651">
          <cell r="D651">
            <v>10850</v>
          </cell>
        </row>
        <row r="652">
          <cell r="D652">
            <v>10850</v>
          </cell>
        </row>
        <row r="653">
          <cell r="D653">
            <v>10875</v>
          </cell>
        </row>
        <row r="654">
          <cell r="D654">
            <v>10875</v>
          </cell>
        </row>
        <row r="655">
          <cell r="D655">
            <v>10875</v>
          </cell>
        </row>
        <row r="656">
          <cell r="D656">
            <v>10875</v>
          </cell>
        </row>
        <row r="657">
          <cell r="D657">
            <v>10875</v>
          </cell>
        </row>
        <row r="658">
          <cell r="D658">
            <v>10875</v>
          </cell>
        </row>
        <row r="659">
          <cell r="D659">
            <v>10875</v>
          </cell>
        </row>
        <row r="660">
          <cell r="D660">
            <v>10875</v>
          </cell>
        </row>
        <row r="661">
          <cell r="D661">
            <v>10875</v>
          </cell>
        </row>
        <row r="662">
          <cell r="D662">
            <v>10875</v>
          </cell>
        </row>
        <row r="663">
          <cell r="D663">
            <v>10875</v>
          </cell>
        </row>
        <row r="664">
          <cell r="D664">
            <v>10875</v>
          </cell>
        </row>
        <row r="665">
          <cell r="D665">
            <v>10875</v>
          </cell>
        </row>
        <row r="666">
          <cell r="D666">
            <v>10875</v>
          </cell>
        </row>
        <row r="667">
          <cell r="D667">
            <v>10875</v>
          </cell>
        </row>
        <row r="668">
          <cell r="D668">
            <v>10875</v>
          </cell>
        </row>
        <row r="669">
          <cell r="D669">
            <v>10875</v>
          </cell>
        </row>
        <row r="670">
          <cell r="D670">
            <v>10875</v>
          </cell>
        </row>
        <row r="671">
          <cell r="D671">
            <v>10875</v>
          </cell>
        </row>
        <row r="672">
          <cell r="D672">
            <v>10875</v>
          </cell>
        </row>
        <row r="673">
          <cell r="D673">
            <v>10875</v>
          </cell>
        </row>
        <row r="674">
          <cell r="D674">
            <v>10875</v>
          </cell>
        </row>
        <row r="675">
          <cell r="D675">
            <v>10875</v>
          </cell>
        </row>
        <row r="676">
          <cell r="D676">
            <v>10875</v>
          </cell>
        </row>
        <row r="677">
          <cell r="D677">
            <v>10875</v>
          </cell>
        </row>
        <row r="678">
          <cell r="D678">
            <v>10875</v>
          </cell>
        </row>
        <row r="679">
          <cell r="D679">
            <v>10875</v>
          </cell>
        </row>
        <row r="680">
          <cell r="D680">
            <v>10875</v>
          </cell>
        </row>
        <row r="681">
          <cell r="D681">
            <v>10875</v>
          </cell>
        </row>
        <row r="682">
          <cell r="D682">
            <v>10875</v>
          </cell>
        </row>
        <row r="683">
          <cell r="D683">
            <v>10875</v>
          </cell>
        </row>
        <row r="684">
          <cell r="D684">
            <v>10875</v>
          </cell>
        </row>
        <row r="685">
          <cell r="D685">
            <v>10875</v>
          </cell>
        </row>
        <row r="686">
          <cell r="D686">
            <v>10875</v>
          </cell>
        </row>
        <row r="687">
          <cell r="D687">
            <v>10875</v>
          </cell>
        </row>
        <row r="688">
          <cell r="D688">
            <v>10875</v>
          </cell>
        </row>
        <row r="689">
          <cell r="D689">
            <v>10875</v>
          </cell>
        </row>
        <row r="690">
          <cell r="D690">
            <v>10875</v>
          </cell>
        </row>
        <row r="691">
          <cell r="D691">
            <v>10875</v>
          </cell>
        </row>
        <row r="692">
          <cell r="D692">
            <v>10875</v>
          </cell>
        </row>
        <row r="693">
          <cell r="D693">
            <v>10875</v>
          </cell>
        </row>
        <row r="694">
          <cell r="D694">
            <v>10875</v>
          </cell>
        </row>
        <row r="695">
          <cell r="D695">
            <v>10875</v>
          </cell>
        </row>
        <row r="696">
          <cell r="D696">
            <v>10875</v>
          </cell>
        </row>
        <row r="697">
          <cell r="D697">
            <v>10875</v>
          </cell>
        </row>
        <row r="698">
          <cell r="D698">
            <v>10875</v>
          </cell>
        </row>
        <row r="699">
          <cell r="D699">
            <v>10875</v>
          </cell>
        </row>
        <row r="700">
          <cell r="D700">
            <v>10875</v>
          </cell>
        </row>
        <row r="701">
          <cell r="D701">
            <v>10875</v>
          </cell>
        </row>
      </sheetData>
      <sheetData sheetId="10"/>
      <sheetData sheetId="11">
        <row r="3">
          <cell r="S3">
            <v>31.163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  <sheetName val="World Rapeseed Balance Sheets"/>
    </sheetNames>
    <sheetDataSet>
      <sheetData sheetId="0"/>
      <sheetData sheetId="1"/>
      <sheetData sheetId="2">
        <row r="9">
          <cell r="S9">
            <v>12788.6</v>
          </cell>
        </row>
        <row r="76">
          <cell r="AE76">
            <v>295.48099999999999</v>
          </cell>
        </row>
        <row r="77">
          <cell r="AE77">
            <v>609.14099999999996</v>
          </cell>
        </row>
        <row r="78">
          <cell r="AE78">
            <v>7950.6179999999995</v>
          </cell>
        </row>
        <row r="79">
          <cell r="AE79">
            <v>2704.8811040000001</v>
          </cell>
        </row>
        <row r="80">
          <cell r="AE80">
            <v>10522.947</v>
          </cell>
        </row>
        <row r="81">
          <cell r="AD81" t="str">
            <v xml:space="preserve">21/22 </v>
          </cell>
        </row>
        <row r="82">
          <cell r="AD82">
            <v>661.96799999999996</v>
          </cell>
        </row>
        <row r="83">
          <cell r="AD83">
            <v>778.40200000000004</v>
          </cell>
        </row>
        <row r="84">
          <cell r="AD84">
            <v>876.12699999999995</v>
          </cell>
        </row>
        <row r="85">
          <cell r="AD85">
            <v>781.10500000000002</v>
          </cell>
        </row>
        <row r="86">
          <cell r="AD86">
            <v>704.69600000000003</v>
          </cell>
        </row>
        <row r="87">
          <cell r="AD87">
            <v>651.28200000000004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9B2D-9E3B-44C2-850C-76EFDEE460BE}">
  <dimension ref="A1:O71"/>
  <sheetViews>
    <sheetView zoomScale="70" zoomScaleNormal="70" workbookViewId="0">
      <selection activeCell="I67" sqref="I67"/>
    </sheetView>
  </sheetViews>
  <sheetFormatPr defaultColWidth="7.5" defaultRowHeight="12.75" x14ac:dyDescent="0.2"/>
  <cols>
    <col min="1" max="1" width="26" style="5" bestFit="1" customWidth="1"/>
    <col min="2" max="2" width="16.125" style="5" bestFit="1" customWidth="1"/>
    <col min="3" max="3" width="26.5" style="5" bestFit="1" customWidth="1"/>
    <col min="4" max="4" width="13.5" style="5" bestFit="1" customWidth="1"/>
    <col min="5" max="5" width="8.5" style="5" customWidth="1"/>
    <col min="6" max="6" width="8.125" style="5" bestFit="1" customWidth="1"/>
    <col min="7" max="7" width="13" style="5" bestFit="1" customWidth="1"/>
    <col min="8" max="8" width="13.5" style="5" customWidth="1"/>
    <col min="9" max="9" width="14" style="5" bestFit="1" customWidth="1"/>
    <col min="10" max="11" width="26.375" style="5" bestFit="1" customWidth="1"/>
    <col min="12" max="12" width="57.875" style="5" bestFit="1" customWidth="1"/>
    <col min="13" max="16384" width="7.5" style="5"/>
  </cols>
  <sheetData>
    <row r="1" spans="1:12" ht="32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ht="15.75" x14ac:dyDescent="0.25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>
        <v>65265</v>
      </c>
      <c r="G2" s="8">
        <f t="shared" ref="G2:G8" si="0">H2/350</f>
        <v>1768.9962987154365</v>
      </c>
      <c r="H2" s="8">
        <v>619148.70455040282</v>
      </c>
      <c r="I2" s="8">
        <f t="shared" ref="I2:I8" si="1">H2/0.027273</f>
        <v>22701892.147926625</v>
      </c>
      <c r="J2" s="8">
        <f t="shared" ref="J2:J22" si="2">H2*0.1875</f>
        <v>116090.38210320054</v>
      </c>
      <c r="K2" s="9">
        <f t="shared" ref="K2:K22" si="3">J2*2200/1000000</f>
        <v>255.39884062704118</v>
      </c>
      <c r="L2" s="10"/>
    </row>
    <row r="3" spans="1:12" ht="15.75" x14ac:dyDescent="0.25">
      <c r="A3" s="11" t="s">
        <v>12</v>
      </c>
      <c r="B3" s="12" t="s">
        <v>13</v>
      </c>
      <c r="C3" s="12" t="s">
        <v>17</v>
      </c>
      <c r="D3" s="12" t="s">
        <v>18</v>
      </c>
      <c r="E3" s="12" t="s">
        <v>19</v>
      </c>
      <c r="F3" s="12">
        <v>50313</v>
      </c>
      <c r="G3" s="13">
        <f t="shared" si="0"/>
        <v>3674.0692357935991</v>
      </c>
      <c r="H3" s="13">
        <v>1285924.2325277596</v>
      </c>
      <c r="I3" s="13">
        <f t="shared" si="1"/>
        <v>47150083.6918476</v>
      </c>
      <c r="J3" s="13">
        <f t="shared" si="2"/>
        <v>241110.79359895492</v>
      </c>
      <c r="K3" s="14">
        <f t="shared" si="3"/>
        <v>530.44374591770088</v>
      </c>
      <c r="L3" s="15"/>
    </row>
    <row r="4" spans="1:12" ht="15.75" x14ac:dyDescent="0.25">
      <c r="A4" s="11" t="s">
        <v>12</v>
      </c>
      <c r="B4" s="12" t="s">
        <v>13</v>
      </c>
      <c r="C4" s="12" t="s">
        <v>20</v>
      </c>
      <c r="D4" s="12" t="s">
        <v>21</v>
      </c>
      <c r="E4" s="12" t="s">
        <v>22</v>
      </c>
      <c r="F4" s="12">
        <v>62526</v>
      </c>
      <c r="G4" s="13">
        <f t="shared" si="0"/>
        <v>4500</v>
      </c>
      <c r="H4" s="13">
        <v>1575000</v>
      </c>
      <c r="I4" s="13">
        <f t="shared" si="1"/>
        <v>57749422.505774945</v>
      </c>
      <c r="J4" s="13">
        <f t="shared" si="2"/>
        <v>295312.5</v>
      </c>
      <c r="K4" s="14">
        <f t="shared" si="3"/>
        <v>649.6875</v>
      </c>
      <c r="L4" s="15"/>
    </row>
    <row r="5" spans="1:12" ht="15.75" x14ac:dyDescent="0.25">
      <c r="A5" s="11" t="s">
        <v>12</v>
      </c>
      <c r="B5" s="12" t="s">
        <v>13</v>
      </c>
      <c r="C5" s="12" t="s">
        <v>23</v>
      </c>
      <c r="D5" s="12" t="s">
        <v>24</v>
      </c>
      <c r="E5" s="12" t="s">
        <v>25</v>
      </c>
      <c r="F5" s="12">
        <v>46041</v>
      </c>
      <c r="G5" s="13">
        <f t="shared" si="0"/>
        <v>2313.30285216634</v>
      </c>
      <c r="H5" s="13">
        <v>809655.99825821898</v>
      </c>
      <c r="I5" s="13">
        <f t="shared" si="1"/>
        <v>29687089.731904045</v>
      </c>
      <c r="J5" s="13">
        <f t="shared" si="2"/>
        <v>151810.49967341605</v>
      </c>
      <c r="K5" s="14">
        <f t="shared" si="3"/>
        <v>333.98309928151531</v>
      </c>
      <c r="L5" s="15"/>
    </row>
    <row r="6" spans="1:12" ht="15.75" x14ac:dyDescent="0.25">
      <c r="A6" s="11" t="s">
        <v>12</v>
      </c>
      <c r="B6" s="12" t="s">
        <v>13</v>
      </c>
      <c r="C6" s="12" t="s">
        <v>26</v>
      </c>
      <c r="D6" s="12" t="s">
        <v>27</v>
      </c>
      <c r="E6" s="12" t="s">
        <v>28</v>
      </c>
      <c r="F6" s="12">
        <v>56001</v>
      </c>
      <c r="G6" s="13">
        <f t="shared" si="0"/>
        <v>3810.1458741563247</v>
      </c>
      <c r="H6" s="13">
        <v>1333551.0559547136</v>
      </c>
      <c r="I6" s="13">
        <f t="shared" si="1"/>
        <v>48896383.087841958</v>
      </c>
      <c r="J6" s="13">
        <f t="shared" si="2"/>
        <v>250040.82299150882</v>
      </c>
      <c r="K6" s="14">
        <f t="shared" si="3"/>
        <v>550.0898105813194</v>
      </c>
      <c r="L6" s="15"/>
    </row>
    <row r="7" spans="1:12" ht="15.75" x14ac:dyDescent="0.25">
      <c r="A7" s="11" t="s">
        <v>12</v>
      </c>
      <c r="B7" s="12" t="s">
        <v>13</v>
      </c>
      <c r="C7" s="12" t="s">
        <v>29</v>
      </c>
      <c r="D7" s="12" t="s">
        <v>30</v>
      </c>
      <c r="E7" s="12" t="s">
        <v>31</v>
      </c>
      <c r="F7" s="12">
        <v>68025</v>
      </c>
      <c r="G7" s="13">
        <f t="shared" si="0"/>
        <v>1360.7663836272588</v>
      </c>
      <c r="H7" s="13">
        <v>476268.23426954058</v>
      </c>
      <c r="I7" s="13">
        <f t="shared" si="1"/>
        <v>17462993.959943555</v>
      </c>
      <c r="J7" s="13">
        <f t="shared" si="2"/>
        <v>89300.293925538863</v>
      </c>
      <c r="K7" s="14">
        <f t="shared" si="3"/>
        <v>196.46064663618549</v>
      </c>
      <c r="L7" s="15"/>
    </row>
    <row r="8" spans="1:12" ht="15.75" x14ac:dyDescent="0.25">
      <c r="A8" s="11" t="s">
        <v>12</v>
      </c>
      <c r="B8" s="12" t="s">
        <v>13</v>
      </c>
      <c r="C8" s="12" t="s">
        <v>32</v>
      </c>
      <c r="D8" s="12" t="s">
        <v>33</v>
      </c>
      <c r="E8" s="12" t="s">
        <v>31</v>
      </c>
      <c r="F8" s="12">
        <v>68507</v>
      </c>
      <c r="G8" s="13">
        <f t="shared" si="0"/>
        <v>4898.7988999999998</v>
      </c>
      <c r="H8" s="13">
        <v>1714579.615</v>
      </c>
      <c r="I8" s="13">
        <f t="shared" si="1"/>
        <v>62867290.543761231</v>
      </c>
      <c r="J8" s="13">
        <f t="shared" si="2"/>
        <v>321483.67781249998</v>
      </c>
      <c r="K8" s="14">
        <f t="shared" si="3"/>
        <v>707.26409118749996</v>
      </c>
      <c r="L8" s="15"/>
    </row>
    <row r="9" spans="1:12" ht="15.75" x14ac:dyDescent="0.25">
      <c r="A9" s="11" t="s">
        <v>12</v>
      </c>
      <c r="B9" s="12" t="s">
        <v>13</v>
      </c>
      <c r="C9" s="12" t="s">
        <v>34</v>
      </c>
      <c r="D9" s="12" t="s">
        <v>35</v>
      </c>
      <c r="E9" s="12" t="s">
        <v>36</v>
      </c>
      <c r="F9" s="12">
        <v>44830</v>
      </c>
      <c r="G9" s="13">
        <v>1632.9196603527107</v>
      </c>
      <c r="H9" s="13">
        <v>571521.88112344872</v>
      </c>
      <c r="I9" s="13">
        <v>20955592.751932267</v>
      </c>
      <c r="J9" s="13">
        <f t="shared" si="2"/>
        <v>107160.35271064664</v>
      </c>
      <c r="K9" s="14">
        <f t="shared" si="3"/>
        <v>235.75277596342261</v>
      </c>
      <c r="L9" s="15"/>
    </row>
    <row r="10" spans="1:12" ht="15.75" x14ac:dyDescent="0.25">
      <c r="A10" s="11" t="s">
        <v>12</v>
      </c>
      <c r="B10" s="12" t="s">
        <v>13</v>
      </c>
      <c r="C10" s="12" t="s">
        <v>37</v>
      </c>
      <c r="D10" s="12" t="s">
        <v>38</v>
      </c>
      <c r="E10" s="12" t="s">
        <v>16</v>
      </c>
      <c r="F10" s="12">
        <v>64741</v>
      </c>
      <c r="G10" s="13">
        <f t="shared" ref="G10:G21" si="4">H10/350</f>
        <v>1360.7663836272588</v>
      </c>
      <c r="H10" s="13">
        <v>476268.23426954058</v>
      </c>
      <c r="I10" s="13">
        <f t="shared" ref="I10:I22" si="5">H10/0.027273</f>
        <v>17462993.959943555</v>
      </c>
      <c r="J10" s="13">
        <f t="shared" si="2"/>
        <v>89300.293925538863</v>
      </c>
      <c r="K10" s="14">
        <f t="shared" si="3"/>
        <v>196.46064663618549</v>
      </c>
      <c r="L10" s="15"/>
    </row>
    <row r="11" spans="1:12" ht="15.75" x14ac:dyDescent="0.25">
      <c r="A11" s="11" t="s">
        <v>12</v>
      </c>
      <c r="B11" s="12" t="s">
        <v>13</v>
      </c>
      <c r="C11" s="12" t="s">
        <v>39</v>
      </c>
      <c r="D11" s="12" t="s">
        <v>40</v>
      </c>
      <c r="E11" s="12" t="s">
        <v>41</v>
      </c>
      <c r="F11" s="12">
        <v>31601</v>
      </c>
      <c r="G11" s="13">
        <f t="shared" si="4"/>
        <v>2721.5327672545177</v>
      </c>
      <c r="H11" s="13">
        <v>952536.46853908116</v>
      </c>
      <c r="I11" s="13">
        <f t="shared" si="5"/>
        <v>34925987.919887111</v>
      </c>
      <c r="J11" s="13">
        <f t="shared" si="2"/>
        <v>178600.58785107773</v>
      </c>
      <c r="K11" s="14">
        <f t="shared" si="3"/>
        <v>392.92129327237097</v>
      </c>
      <c r="L11" s="15"/>
    </row>
    <row r="12" spans="1:12" ht="15.75" x14ac:dyDescent="0.25">
      <c r="A12" s="11" t="s">
        <v>12</v>
      </c>
      <c r="B12" s="12" t="s">
        <v>13</v>
      </c>
      <c r="C12" s="12" t="s">
        <v>42</v>
      </c>
      <c r="D12" s="12" t="s">
        <v>43</v>
      </c>
      <c r="E12" s="12" t="s">
        <v>44</v>
      </c>
      <c r="F12" s="12">
        <v>58027</v>
      </c>
      <c r="G12" s="13">
        <f t="shared" si="4"/>
        <v>1360.7663836272588</v>
      </c>
      <c r="H12" s="13">
        <v>476268.23426954058</v>
      </c>
      <c r="I12" s="13">
        <f t="shared" si="5"/>
        <v>17462993.959943555</v>
      </c>
      <c r="J12" s="13">
        <f t="shared" si="2"/>
        <v>89300.293925538863</v>
      </c>
      <c r="K12" s="14">
        <f t="shared" si="3"/>
        <v>196.46064663618549</v>
      </c>
      <c r="L12" s="15"/>
    </row>
    <row r="13" spans="1:12" ht="15.75" x14ac:dyDescent="0.25">
      <c r="A13" s="11" t="s">
        <v>45</v>
      </c>
      <c r="B13" s="12" t="s">
        <v>13</v>
      </c>
      <c r="C13" s="12" t="s">
        <v>46</v>
      </c>
      <c r="D13" s="12" t="s">
        <v>47</v>
      </c>
      <c r="E13" s="12" t="s">
        <v>19</v>
      </c>
      <c r="F13" s="12">
        <v>50533</v>
      </c>
      <c r="G13" s="13">
        <f t="shared" si="4"/>
        <v>2993.6860439799693</v>
      </c>
      <c r="H13" s="13">
        <v>1047790.1153929892</v>
      </c>
      <c r="I13" s="13">
        <f t="shared" si="5"/>
        <v>38418586.711875819</v>
      </c>
      <c r="J13" s="13">
        <f t="shared" si="2"/>
        <v>196460.64663618547</v>
      </c>
      <c r="K13" s="14">
        <f t="shared" si="3"/>
        <v>432.21342259960801</v>
      </c>
      <c r="L13" s="15"/>
    </row>
    <row r="14" spans="1:12" ht="15.75" x14ac:dyDescent="0.25">
      <c r="A14" s="11" t="s">
        <v>45</v>
      </c>
      <c r="B14" s="12" t="s">
        <v>13</v>
      </c>
      <c r="C14" s="12" t="s">
        <v>48</v>
      </c>
      <c r="D14" s="12" t="s">
        <v>49</v>
      </c>
      <c r="E14" s="12" t="s">
        <v>19</v>
      </c>
      <c r="F14" s="12">
        <v>50536</v>
      </c>
      <c r="G14" s="13">
        <f t="shared" si="4"/>
        <v>1632.9196603527107</v>
      </c>
      <c r="H14" s="13">
        <v>571521.88112344872</v>
      </c>
      <c r="I14" s="13">
        <f t="shared" si="5"/>
        <v>20955592.751932267</v>
      </c>
      <c r="J14" s="13">
        <f t="shared" si="2"/>
        <v>107160.35271064664</v>
      </c>
      <c r="K14" s="14">
        <f t="shared" si="3"/>
        <v>235.75277596342261</v>
      </c>
      <c r="L14" s="15"/>
    </row>
    <row r="15" spans="1:12" ht="15.75" x14ac:dyDescent="0.25">
      <c r="A15" s="11" t="s">
        <v>45</v>
      </c>
      <c r="B15" s="12" t="s">
        <v>13</v>
      </c>
      <c r="C15" s="12" t="s">
        <v>50</v>
      </c>
      <c r="D15" s="12" t="s">
        <v>51</v>
      </c>
      <c r="E15" s="12" t="s">
        <v>19</v>
      </c>
      <c r="F15" s="12">
        <v>51455</v>
      </c>
      <c r="G15" s="13">
        <f t="shared" si="4"/>
        <v>1496.8430219899847</v>
      </c>
      <c r="H15" s="13">
        <v>523895.05769649462</v>
      </c>
      <c r="I15" s="13">
        <f t="shared" si="5"/>
        <v>19209293.355937909</v>
      </c>
      <c r="J15" s="13">
        <f t="shared" si="2"/>
        <v>98230.323318092735</v>
      </c>
      <c r="K15" s="14">
        <f t="shared" si="3"/>
        <v>216.106711299804</v>
      </c>
      <c r="L15" s="15"/>
    </row>
    <row r="16" spans="1:12" ht="15.75" x14ac:dyDescent="0.25">
      <c r="A16" s="11" t="s">
        <v>45</v>
      </c>
      <c r="B16" s="12" t="s">
        <v>13</v>
      </c>
      <c r="C16" s="12" t="s">
        <v>52</v>
      </c>
      <c r="D16" s="12" t="s">
        <v>53</v>
      </c>
      <c r="E16" s="12" t="s">
        <v>19</v>
      </c>
      <c r="F16" s="12">
        <v>50401</v>
      </c>
      <c r="G16" s="13">
        <f t="shared" si="4"/>
        <v>1496.8430219899847</v>
      </c>
      <c r="H16" s="13">
        <v>523895.05769649462</v>
      </c>
      <c r="I16" s="13">
        <f t="shared" si="5"/>
        <v>19209293.355937909</v>
      </c>
      <c r="J16" s="13">
        <f t="shared" si="2"/>
        <v>98230.323318092735</v>
      </c>
      <c r="K16" s="14">
        <f t="shared" si="3"/>
        <v>216.106711299804</v>
      </c>
      <c r="L16" s="15"/>
    </row>
    <row r="17" spans="1:15" ht="15.75" x14ac:dyDescent="0.25">
      <c r="A17" s="11" t="s">
        <v>45</v>
      </c>
      <c r="B17" s="12" t="s">
        <v>13</v>
      </c>
      <c r="C17" s="12" t="s">
        <v>54</v>
      </c>
      <c r="D17" s="12" t="s">
        <v>55</v>
      </c>
      <c r="E17" s="12" t="s">
        <v>19</v>
      </c>
      <c r="F17" s="12">
        <v>51054</v>
      </c>
      <c r="G17" s="13">
        <f t="shared" si="4"/>
        <v>2721.5327672545177</v>
      </c>
      <c r="H17" s="13">
        <v>952536.46853908116</v>
      </c>
      <c r="I17" s="13">
        <f t="shared" si="5"/>
        <v>34925987.919887111</v>
      </c>
      <c r="J17" s="13">
        <f t="shared" si="2"/>
        <v>178600.58785107773</v>
      </c>
      <c r="K17" s="14">
        <f t="shared" si="3"/>
        <v>392.92129327237097</v>
      </c>
      <c r="L17" s="15"/>
    </row>
    <row r="18" spans="1:15" ht="15.75" x14ac:dyDescent="0.25">
      <c r="A18" s="11" t="s">
        <v>45</v>
      </c>
      <c r="B18" s="12" t="s">
        <v>13</v>
      </c>
      <c r="C18" s="12" t="s">
        <v>56</v>
      </c>
      <c r="D18" s="12" t="s">
        <v>57</v>
      </c>
      <c r="E18" s="12" t="s">
        <v>19</v>
      </c>
      <c r="F18" s="12">
        <v>51201</v>
      </c>
      <c r="G18" s="13">
        <f t="shared" si="4"/>
        <v>1768.9962987154365</v>
      </c>
      <c r="H18" s="13">
        <v>619148.70455040282</v>
      </c>
      <c r="I18" s="13">
        <f t="shared" si="5"/>
        <v>22701892.147926625</v>
      </c>
      <c r="J18" s="13">
        <f t="shared" si="2"/>
        <v>116090.38210320054</v>
      </c>
      <c r="K18" s="14">
        <f t="shared" si="3"/>
        <v>255.39884062704118</v>
      </c>
      <c r="L18" s="15"/>
      <c r="O18" s="16"/>
    </row>
    <row r="19" spans="1:15" ht="15.75" x14ac:dyDescent="0.25">
      <c r="A19" s="11" t="s">
        <v>45</v>
      </c>
      <c r="B19" s="12" t="s">
        <v>13</v>
      </c>
      <c r="C19" s="12" t="s">
        <v>58</v>
      </c>
      <c r="D19" s="12" t="s">
        <v>59</v>
      </c>
      <c r="E19" s="12" t="s">
        <v>28</v>
      </c>
      <c r="F19" s="12">
        <v>56232</v>
      </c>
      <c r="G19" s="13">
        <f t="shared" si="4"/>
        <v>1905.0729370781623</v>
      </c>
      <c r="H19" s="13">
        <v>666775.5279773568</v>
      </c>
      <c r="I19" s="13">
        <f t="shared" si="5"/>
        <v>24448191.543920979</v>
      </c>
      <c r="J19" s="13">
        <f t="shared" si="2"/>
        <v>125020.41149575441</v>
      </c>
      <c r="K19" s="14">
        <f t="shared" si="3"/>
        <v>275.0449052906597</v>
      </c>
      <c r="L19" s="15"/>
    </row>
    <row r="20" spans="1:15" ht="15.75" x14ac:dyDescent="0.25">
      <c r="A20" s="11" t="s">
        <v>45</v>
      </c>
      <c r="B20" s="12" t="s">
        <v>13</v>
      </c>
      <c r="C20" s="12" t="s">
        <v>60</v>
      </c>
      <c r="D20" s="12" t="s">
        <v>61</v>
      </c>
      <c r="E20" s="12" t="s">
        <v>16</v>
      </c>
      <c r="F20" s="12">
        <v>64504</v>
      </c>
      <c r="G20" s="13">
        <f t="shared" si="4"/>
        <v>1905.0729370781623</v>
      </c>
      <c r="H20" s="13">
        <v>666775.5279773568</v>
      </c>
      <c r="I20" s="13">
        <f t="shared" si="5"/>
        <v>24448191.543920979</v>
      </c>
      <c r="J20" s="13">
        <f t="shared" si="2"/>
        <v>125020.41149575441</v>
      </c>
      <c r="K20" s="14">
        <f t="shared" si="3"/>
        <v>275.0449052906597</v>
      </c>
      <c r="L20" s="15"/>
    </row>
    <row r="21" spans="1:15" ht="15.75" x14ac:dyDescent="0.25">
      <c r="A21" s="11" t="s">
        <v>45</v>
      </c>
      <c r="B21" s="12" t="s">
        <v>13</v>
      </c>
      <c r="C21" s="12" t="s">
        <v>62</v>
      </c>
      <c r="D21" s="12" t="s">
        <v>63</v>
      </c>
      <c r="E21" s="12" t="s">
        <v>31</v>
      </c>
      <c r="F21" s="12">
        <v>68901</v>
      </c>
      <c r="G21" s="13">
        <f t="shared" si="4"/>
        <v>2100</v>
      </c>
      <c r="H21" s="13">
        <v>735000</v>
      </c>
      <c r="I21" s="13">
        <f t="shared" si="5"/>
        <v>26949730.502694976</v>
      </c>
      <c r="J21" s="13">
        <f t="shared" si="2"/>
        <v>137812.5</v>
      </c>
      <c r="K21" s="14">
        <f t="shared" si="3"/>
        <v>303.1875</v>
      </c>
      <c r="L21" s="15"/>
    </row>
    <row r="22" spans="1:15" ht="15.75" x14ac:dyDescent="0.25">
      <c r="A22" s="11" t="s">
        <v>45</v>
      </c>
      <c r="B22" s="12" t="s">
        <v>13</v>
      </c>
      <c r="C22" s="12" t="s">
        <v>64</v>
      </c>
      <c r="D22" s="12" t="s">
        <v>65</v>
      </c>
      <c r="E22" s="12" t="s">
        <v>66</v>
      </c>
      <c r="F22" s="12">
        <v>57401</v>
      </c>
      <c r="G22" s="13">
        <v>4500</v>
      </c>
      <c r="H22" s="13">
        <v>1575000</v>
      </c>
      <c r="I22" s="13">
        <f t="shared" si="5"/>
        <v>57749422.505774945</v>
      </c>
      <c r="J22" s="13">
        <f t="shared" si="2"/>
        <v>295312.5</v>
      </c>
      <c r="K22" s="14">
        <f t="shared" si="3"/>
        <v>649.6875</v>
      </c>
      <c r="L22" s="15"/>
    </row>
    <row r="23" spans="1:15" ht="15.75" x14ac:dyDescent="0.25">
      <c r="A23" s="11" t="s">
        <v>67</v>
      </c>
      <c r="B23" s="12" t="s">
        <v>13</v>
      </c>
      <c r="C23" s="12" t="s">
        <v>68</v>
      </c>
      <c r="D23" s="12" t="s">
        <v>69</v>
      </c>
      <c r="E23" s="12" t="s">
        <v>19</v>
      </c>
      <c r="F23" s="12">
        <v>51012</v>
      </c>
      <c r="G23" s="13" t="s">
        <v>70</v>
      </c>
      <c r="H23" s="13" t="s">
        <v>70</v>
      </c>
      <c r="I23" s="13" t="s">
        <v>70</v>
      </c>
      <c r="J23" s="13" t="s">
        <v>70</v>
      </c>
      <c r="K23" s="13" t="s">
        <v>70</v>
      </c>
      <c r="L23" s="15"/>
    </row>
    <row r="24" spans="1:15" ht="15.75" x14ac:dyDescent="0.25">
      <c r="A24" s="11" t="s">
        <v>71</v>
      </c>
      <c r="B24" s="12" t="s">
        <v>13</v>
      </c>
      <c r="C24" s="12" t="s">
        <v>72</v>
      </c>
      <c r="D24" s="12" t="s">
        <v>73</v>
      </c>
      <c r="E24" s="12" t="s">
        <v>74</v>
      </c>
      <c r="F24" s="12">
        <v>17821</v>
      </c>
      <c r="G24" s="13" t="s">
        <v>70</v>
      </c>
      <c r="H24" s="13" t="s">
        <v>70</v>
      </c>
      <c r="I24" s="13" t="s">
        <v>70</v>
      </c>
      <c r="J24" s="13" t="s">
        <v>70</v>
      </c>
      <c r="K24" s="13" t="s">
        <v>70</v>
      </c>
      <c r="L24" s="15"/>
    </row>
    <row r="25" spans="1:15" ht="15.75" x14ac:dyDescent="0.25">
      <c r="A25" s="11" t="s">
        <v>75</v>
      </c>
      <c r="B25" s="12" t="s">
        <v>13</v>
      </c>
      <c r="C25" s="12" t="s">
        <v>76</v>
      </c>
      <c r="D25" s="12" t="s">
        <v>21</v>
      </c>
      <c r="E25" s="12" t="s">
        <v>77</v>
      </c>
      <c r="F25" s="12">
        <v>35601</v>
      </c>
      <c r="G25" s="13">
        <f t="shared" ref="G25:G44" si="6">H25/350</f>
        <v>2993.6860439799693</v>
      </c>
      <c r="H25" s="13">
        <v>1047790.1153929892</v>
      </c>
      <c r="I25" s="13">
        <f t="shared" ref="I25:I44" si="7">H25/0.027273</f>
        <v>38418586.711875819</v>
      </c>
      <c r="J25" s="13">
        <f t="shared" ref="J25:J44" si="8">H25*0.1875</f>
        <v>196460.64663618547</v>
      </c>
      <c r="K25" s="14">
        <f t="shared" ref="K25:K44" si="9">J25*2200/1000000</f>
        <v>432.21342259960801</v>
      </c>
      <c r="L25" s="15"/>
    </row>
    <row r="26" spans="1:15" ht="15.75" x14ac:dyDescent="0.25">
      <c r="A26" s="11" t="s">
        <v>75</v>
      </c>
      <c r="B26" s="12" t="s">
        <v>13</v>
      </c>
      <c r="C26" s="12" t="s">
        <v>78</v>
      </c>
      <c r="D26" s="12" t="s">
        <v>79</v>
      </c>
      <c r="E26" s="12" t="s">
        <v>19</v>
      </c>
      <c r="F26" s="12">
        <v>51503</v>
      </c>
      <c r="G26" s="13">
        <f t="shared" si="6"/>
        <v>4500</v>
      </c>
      <c r="H26" s="13">
        <v>1575000</v>
      </c>
      <c r="I26" s="13">
        <f t="shared" si="7"/>
        <v>57749422.505774945</v>
      </c>
      <c r="J26" s="13">
        <f t="shared" si="8"/>
        <v>295312.5</v>
      </c>
      <c r="K26" s="14">
        <f t="shared" si="9"/>
        <v>649.6875</v>
      </c>
      <c r="L26" s="15"/>
    </row>
    <row r="27" spans="1:15" ht="15.75" x14ac:dyDescent="0.25">
      <c r="A27" s="11" t="s">
        <v>75</v>
      </c>
      <c r="B27" s="12" t="s">
        <v>13</v>
      </c>
      <c r="C27" s="12" t="s">
        <v>80</v>
      </c>
      <c r="D27" s="12" t="s">
        <v>81</v>
      </c>
      <c r="E27" s="12" t="s">
        <v>22</v>
      </c>
      <c r="F27" s="12">
        <v>62914</v>
      </c>
      <c r="G27" s="13">
        <f t="shared" si="6"/>
        <v>2993.6860439799693</v>
      </c>
      <c r="H27" s="13">
        <v>1047790.1153929892</v>
      </c>
      <c r="I27" s="13">
        <f t="shared" si="7"/>
        <v>38418586.711875819</v>
      </c>
      <c r="J27" s="13">
        <f t="shared" si="8"/>
        <v>196460.64663618547</v>
      </c>
      <c r="K27" s="14">
        <f t="shared" si="9"/>
        <v>432.21342259960801</v>
      </c>
      <c r="L27" s="15"/>
    </row>
    <row r="28" spans="1:15" ht="15.75" x14ac:dyDescent="0.25">
      <c r="A28" s="11" t="s">
        <v>75</v>
      </c>
      <c r="B28" s="12" t="s">
        <v>13</v>
      </c>
      <c r="C28" s="12" t="s">
        <v>82</v>
      </c>
      <c r="D28" s="12" t="s">
        <v>21</v>
      </c>
      <c r="E28" s="12" t="s">
        <v>25</v>
      </c>
      <c r="F28" s="12">
        <v>46733</v>
      </c>
      <c r="G28" s="13">
        <f t="shared" si="6"/>
        <v>2449.3794905290661</v>
      </c>
      <c r="H28" s="13">
        <v>857282.82168517308</v>
      </c>
      <c r="I28" s="13">
        <f t="shared" si="7"/>
        <v>31433389.127898403</v>
      </c>
      <c r="J28" s="13">
        <f t="shared" si="8"/>
        <v>160740.52906596995</v>
      </c>
      <c r="K28" s="14">
        <f t="shared" si="9"/>
        <v>353.62916394513394</v>
      </c>
      <c r="L28" s="15"/>
    </row>
    <row r="29" spans="1:15" ht="15.75" x14ac:dyDescent="0.25">
      <c r="A29" s="11" t="s">
        <v>75</v>
      </c>
      <c r="B29" s="12" t="s">
        <v>13</v>
      </c>
      <c r="C29" s="12" t="s">
        <v>83</v>
      </c>
      <c r="D29" s="12" t="s">
        <v>84</v>
      </c>
      <c r="E29" s="12" t="s">
        <v>25</v>
      </c>
      <c r="F29" s="12">
        <v>46161</v>
      </c>
      <c r="G29" s="13">
        <f t="shared" si="6"/>
        <v>1986.718920095798</v>
      </c>
      <c r="H29" s="13">
        <v>695351.62203352933</v>
      </c>
      <c r="I29" s="13">
        <f t="shared" si="7"/>
        <v>25495971.181517594</v>
      </c>
      <c r="J29" s="13">
        <f t="shared" si="8"/>
        <v>130378.42913128674</v>
      </c>
      <c r="K29" s="14">
        <f t="shared" si="9"/>
        <v>286.83254408883084</v>
      </c>
      <c r="L29" s="15"/>
    </row>
    <row r="30" spans="1:15" ht="15.75" x14ac:dyDescent="0.25">
      <c r="A30" s="11" t="s">
        <v>75</v>
      </c>
      <c r="B30" s="12" t="s">
        <v>13</v>
      </c>
      <c r="C30" s="12" t="s">
        <v>85</v>
      </c>
      <c r="D30" s="12" t="s">
        <v>86</v>
      </c>
      <c r="E30" s="12" t="s">
        <v>87</v>
      </c>
      <c r="F30" s="12">
        <v>66801</v>
      </c>
      <c r="G30" s="13">
        <f t="shared" si="6"/>
        <v>2177.2262138036144</v>
      </c>
      <c r="H30" s="13">
        <v>762029.174831265</v>
      </c>
      <c r="I30" s="13">
        <f t="shared" si="7"/>
        <v>27940790.335909691</v>
      </c>
      <c r="J30" s="13">
        <f t="shared" si="8"/>
        <v>142880.47028086218</v>
      </c>
      <c r="K30" s="14">
        <f t="shared" si="9"/>
        <v>314.33703461789679</v>
      </c>
      <c r="L30" s="15"/>
    </row>
    <row r="31" spans="1:15" ht="15.75" x14ac:dyDescent="0.25">
      <c r="A31" s="11" t="s">
        <v>75</v>
      </c>
      <c r="B31" s="12" t="s">
        <v>13</v>
      </c>
      <c r="C31" s="12" t="s">
        <v>88</v>
      </c>
      <c r="D31" s="12" t="s">
        <v>89</v>
      </c>
      <c r="E31" s="12" t="s">
        <v>90</v>
      </c>
      <c r="F31" s="12">
        <v>70047</v>
      </c>
      <c r="G31" s="13">
        <f t="shared" si="6"/>
        <v>2449.3794905290661</v>
      </c>
      <c r="H31" s="13">
        <v>857282.82168517308</v>
      </c>
      <c r="I31" s="13">
        <f t="shared" si="7"/>
        <v>31433389.127898403</v>
      </c>
      <c r="J31" s="13">
        <f t="shared" si="8"/>
        <v>160740.52906596995</v>
      </c>
      <c r="K31" s="14">
        <f t="shared" si="9"/>
        <v>353.62916394513394</v>
      </c>
      <c r="L31" s="15"/>
    </row>
    <row r="32" spans="1:15" ht="15.75" x14ac:dyDescent="0.25">
      <c r="A32" s="11" t="s">
        <v>75</v>
      </c>
      <c r="B32" s="12" t="s">
        <v>13</v>
      </c>
      <c r="C32" s="12" t="s">
        <v>91</v>
      </c>
      <c r="D32" s="12" t="s">
        <v>92</v>
      </c>
      <c r="E32" s="12" t="s">
        <v>36</v>
      </c>
      <c r="F32" s="12">
        <v>44811</v>
      </c>
      <c r="G32" s="13">
        <f t="shared" si="6"/>
        <v>1360.7663836272588</v>
      </c>
      <c r="H32" s="13">
        <v>476268.23426954058</v>
      </c>
      <c r="I32" s="13">
        <f t="shared" si="7"/>
        <v>17462993.959943555</v>
      </c>
      <c r="J32" s="13">
        <f t="shared" si="8"/>
        <v>89300.293925538863</v>
      </c>
      <c r="K32" s="14">
        <f t="shared" si="9"/>
        <v>196.46064663618549</v>
      </c>
      <c r="L32" s="15"/>
    </row>
    <row r="33" spans="1:12" ht="15.75" x14ac:dyDescent="0.25">
      <c r="A33" s="11" t="s">
        <v>75</v>
      </c>
      <c r="B33" s="12" t="s">
        <v>13</v>
      </c>
      <c r="C33" s="12" t="s">
        <v>93</v>
      </c>
      <c r="D33" s="12" t="s">
        <v>94</v>
      </c>
      <c r="E33" s="12" t="s">
        <v>36</v>
      </c>
      <c r="F33" s="12">
        <v>45833</v>
      </c>
      <c r="G33" s="13">
        <f t="shared" si="6"/>
        <v>1088.6131069018072</v>
      </c>
      <c r="H33" s="13">
        <v>381014.5874156325</v>
      </c>
      <c r="I33" s="13">
        <f t="shared" si="7"/>
        <v>13970395.167954845</v>
      </c>
      <c r="J33" s="13">
        <f t="shared" si="8"/>
        <v>71440.23514043109</v>
      </c>
      <c r="K33" s="14">
        <f t="shared" si="9"/>
        <v>157.1685173089484</v>
      </c>
      <c r="L33" s="15"/>
    </row>
    <row r="34" spans="1:12" ht="15.75" x14ac:dyDescent="0.25">
      <c r="A34" s="11" t="s">
        <v>95</v>
      </c>
      <c r="B34" s="12" t="s">
        <v>13</v>
      </c>
      <c r="C34" s="12" t="s">
        <v>96</v>
      </c>
      <c r="D34" s="12" t="s">
        <v>97</v>
      </c>
      <c r="E34" s="12" t="s">
        <v>25</v>
      </c>
      <c r="F34" s="12">
        <v>47905</v>
      </c>
      <c r="G34" s="13">
        <f t="shared" si="6"/>
        <v>1768.9962987154365</v>
      </c>
      <c r="H34" s="13">
        <v>619148.70455040282</v>
      </c>
      <c r="I34" s="13">
        <f t="shared" si="7"/>
        <v>22701892.147926625</v>
      </c>
      <c r="J34" s="13">
        <f t="shared" si="8"/>
        <v>116090.38210320054</v>
      </c>
      <c r="K34" s="14">
        <f t="shared" si="9"/>
        <v>255.39884062704118</v>
      </c>
      <c r="L34" s="15" t="s">
        <v>98</v>
      </c>
    </row>
    <row r="35" spans="1:12" ht="15.75" x14ac:dyDescent="0.25">
      <c r="A35" s="11" t="s">
        <v>95</v>
      </c>
      <c r="B35" s="12" t="s">
        <v>13</v>
      </c>
      <c r="C35" s="12" t="s">
        <v>99</v>
      </c>
      <c r="D35" s="12" t="s">
        <v>100</v>
      </c>
      <c r="E35" s="12" t="s">
        <v>77</v>
      </c>
      <c r="F35" s="12">
        <v>35976</v>
      </c>
      <c r="G35" s="13">
        <f t="shared" si="6"/>
        <v>2721.5327672545177</v>
      </c>
      <c r="H35" s="13">
        <v>952536.46853908116</v>
      </c>
      <c r="I35" s="13">
        <f t="shared" si="7"/>
        <v>34925987.919887111</v>
      </c>
      <c r="J35" s="13">
        <f t="shared" si="8"/>
        <v>178600.58785107773</v>
      </c>
      <c r="K35" s="14">
        <f t="shared" si="9"/>
        <v>392.92129327237097</v>
      </c>
      <c r="L35" s="15" t="s">
        <v>98</v>
      </c>
    </row>
    <row r="36" spans="1:12" ht="15.75" x14ac:dyDescent="0.25">
      <c r="A36" s="11" t="s">
        <v>95</v>
      </c>
      <c r="B36" s="12" t="s">
        <v>13</v>
      </c>
      <c r="C36" s="12" t="s">
        <v>101</v>
      </c>
      <c r="D36" s="12" t="s">
        <v>102</v>
      </c>
      <c r="E36" s="12" t="s">
        <v>19</v>
      </c>
      <c r="F36" s="12">
        <v>52401</v>
      </c>
      <c r="G36" s="13">
        <f t="shared" si="6"/>
        <v>3265.8393207054214</v>
      </c>
      <c r="H36" s="13">
        <v>1143043.7622468974</v>
      </c>
      <c r="I36" s="13">
        <f t="shared" si="7"/>
        <v>41911185.503864534</v>
      </c>
      <c r="J36" s="13">
        <f t="shared" si="8"/>
        <v>214320.70542129327</v>
      </c>
      <c r="K36" s="14">
        <f t="shared" si="9"/>
        <v>471.50555192684521</v>
      </c>
      <c r="L36" s="15" t="s">
        <v>98</v>
      </c>
    </row>
    <row r="37" spans="1:12" ht="15.75" x14ac:dyDescent="0.25">
      <c r="A37" s="11" t="s">
        <v>95</v>
      </c>
      <c r="B37" s="12" t="s">
        <v>13</v>
      </c>
      <c r="C37" s="12" t="s">
        <v>103</v>
      </c>
      <c r="D37" s="12" t="s">
        <v>102</v>
      </c>
      <c r="E37" s="12" t="s">
        <v>19</v>
      </c>
      <c r="F37" s="12">
        <v>52404</v>
      </c>
      <c r="G37" s="13">
        <f t="shared" si="6"/>
        <v>952.53646853908117</v>
      </c>
      <c r="H37" s="13">
        <v>333387.7639886784</v>
      </c>
      <c r="I37" s="13">
        <f t="shared" si="7"/>
        <v>12224095.771960489</v>
      </c>
      <c r="J37" s="13">
        <f t="shared" si="8"/>
        <v>62510.205747877204</v>
      </c>
      <c r="K37" s="14">
        <f t="shared" si="9"/>
        <v>137.52245264532985</v>
      </c>
      <c r="L37" s="15" t="s">
        <v>98</v>
      </c>
    </row>
    <row r="38" spans="1:12" ht="15.75" x14ac:dyDescent="0.25">
      <c r="A38" s="11" t="s">
        <v>95</v>
      </c>
      <c r="B38" s="12" t="s">
        <v>13</v>
      </c>
      <c r="C38" s="12" t="s">
        <v>104</v>
      </c>
      <c r="D38" s="12" t="s">
        <v>105</v>
      </c>
      <c r="E38" s="12" t="s">
        <v>19</v>
      </c>
      <c r="F38" s="12">
        <v>50126</v>
      </c>
      <c r="G38" s="13">
        <f t="shared" si="6"/>
        <v>1768.9962987154365</v>
      </c>
      <c r="H38" s="13">
        <v>619148.70455040282</v>
      </c>
      <c r="I38" s="13">
        <f t="shared" si="7"/>
        <v>22701892.147926625</v>
      </c>
      <c r="J38" s="13">
        <f t="shared" si="8"/>
        <v>116090.38210320054</v>
      </c>
      <c r="K38" s="14">
        <f t="shared" si="9"/>
        <v>255.39884062704118</v>
      </c>
      <c r="L38" s="15" t="s">
        <v>98</v>
      </c>
    </row>
    <row r="39" spans="1:12" ht="15.75" x14ac:dyDescent="0.25">
      <c r="A39" s="11" t="s">
        <v>95</v>
      </c>
      <c r="B39" s="12" t="s">
        <v>13</v>
      </c>
      <c r="C39" s="12" t="s">
        <v>106</v>
      </c>
      <c r="D39" s="12" t="s">
        <v>107</v>
      </c>
      <c r="E39" s="12" t="s">
        <v>19</v>
      </c>
      <c r="F39" s="12">
        <v>51101</v>
      </c>
      <c r="G39" s="13">
        <f t="shared" si="6"/>
        <v>3619.6385804485085</v>
      </c>
      <c r="H39" s="13">
        <v>1266873.5031569779</v>
      </c>
      <c r="I39" s="13">
        <f t="shared" si="7"/>
        <v>46451563.933449857</v>
      </c>
      <c r="J39" s="13">
        <f t="shared" si="8"/>
        <v>237538.78184193338</v>
      </c>
      <c r="K39" s="14">
        <f t="shared" si="9"/>
        <v>522.58532005225345</v>
      </c>
      <c r="L39" s="15" t="s">
        <v>98</v>
      </c>
    </row>
    <row r="40" spans="1:12" ht="15.75" x14ac:dyDescent="0.25">
      <c r="A40" s="11" t="s">
        <v>95</v>
      </c>
      <c r="B40" s="12" t="s">
        <v>13</v>
      </c>
      <c r="C40" s="12" t="s">
        <v>108</v>
      </c>
      <c r="D40" s="12" t="s">
        <v>109</v>
      </c>
      <c r="E40" s="12" t="s">
        <v>22</v>
      </c>
      <c r="F40" s="12">
        <v>61701</v>
      </c>
      <c r="G40" s="13">
        <f t="shared" si="6"/>
        <v>1632.9196603527107</v>
      </c>
      <c r="H40" s="13">
        <v>571521.88112344872</v>
      </c>
      <c r="I40" s="13">
        <f t="shared" si="7"/>
        <v>20955592.751932267</v>
      </c>
      <c r="J40" s="13">
        <f t="shared" si="8"/>
        <v>107160.35271064664</v>
      </c>
      <c r="K40" s="14">
        <f t="shared" si="9"/>
        <v>235.75277596342261</v>
      </c>
      <c r="L40" s="15" t="s">
        <v>98</v>
      </c>
    </row>
    <row r="41" spans="1:12" ht="15.75" x14ac:dyDescent="0.25">
      <c r="A41" s="11" t="s">
        <v>95</v>
      </c>
      <c r="B41" s="12" t="s">
        <v>13</v>
      </c>
      <c r="C41" s="12" t="s">
        <v>110</v>
      </c>
      <c r="D41" s="12" t="s">
        <v>111</v>
      </c>
      <c r="E41" s="12" t="s">
        <v>87</v>
      </c>
      <c r="F41" s="12">
        <v>67214</v>
      </c>
      <c r="G41" s="13">
        <f t="shared" si="6"/>
        <v>2313.30285216634</v>
      </c>
      <c r="H41" s="13">
        <v>809655.99825821898</v>
      </c>
      <c r="I41" s="13">
        <f t="shared" si="7"/>
        <v>29687089.731904045</v>
      </c>
      <c r="J41" s="13">
        <f t="shared" si="8"/>
        <v>151810.49967341605</v>
      </c>
      <c r="K41" s="14">
        <f t="shared" si="9"/>
        <v>333.98309928151531</v>
      </c>
      <c r="L41" s="15" t="s">
        <v>98</v>
      </c>
    </row>
    <row r="42" spans="1:12" ht="15.75" x14ac:dyDescent="0.25">
      <c r="A42" s="11" t="s">
        <v>95</v>
      </c>
      <c r="B42" s="12" t="s">
        <v>13</v>
      </c>
      <c r="C42" s="12" t="s">
        <v>112</v>
      </c>
      <c r="D42" s="12" t="s">
        <v>113</v>
      </c>
      <c r="E42" s="12" t="s">
        <v>16</v>
      </c>
      <c r="F42" s="12">
        <v>64120</v>
      </c>
      <c r="G42" s="13">
        <f t="shared" si="6"/>
        <v>2313.30285216634</v>
      </c>
      <c r="H42" s="13">
        <v>809655.99825821898</v>
      </c>
      <c r="I42" s="13">
        <f t="shared" si="7"/>
        <v>29687089.731904045</v>
      </c>
      <c r="J42" s="13">
        <f t="shared" si="8"/>
        <v>151810.49967341605</v>
      </c>
      <c r="K42" s="14">
        <f t="shared" si="9"/>
        <v>333.98309928151531</v>
      </c>
      <c r="L42" s="15" t="s">
        <v>98</v>
      </c>
    </row>
    <row r="43" spans="1:12" ht="15.75" x14ac:dyDescent="0.25">
      <c r="A43" s="11" t="s">
        <v>95</v>
      </c>
      <c r="B43" s="12" t="s">
        <v>13</v>
      </c>
      <c r="C43" s="12" t="s">
        <v>114</v>
      </c>
      <c r="D43" s="12" t="s">
        <v>115</v>
      </c>
      <c r="E43" s="12" t="s">
        <v>116</v>
      </c>
      <c r="F43" s="12">
        <v>28312</v>
      </c>
      <c r="G43" s="13">
        <f t="shared" si="6"/>
        <v>2585.4561288917916</v>
      </c>
      <c r="H43" s="13">
        <v>904909.64511212707</v>
      </c>
      <c r="I43" s="13">
        <f t="shared" si="7"/>
        <v>33179688.523892757</v>
      </c>
      <c r="J43" s="13">
        <f t="shared" si="8"/>
        <v>169670.55845852382</v>
      </c>
      <c r="K43" s="14">
        <f t="shared" si="9"/>
        <v>373.27522860875246</v>
      </c>
      <c r="L43" s="15" t="s">
        <v>98</v>
      </c>
    </row>
    <row r="44" spans="1:12" ht="15.75" x14ac:dyDescent="0.25">
      <c r="A44" s="11" t="s">
        <v>95</v>
      </c>
      <c r="B44" s="12" t="s">
        <v>13</v>
      </c>
      <c r="C44" s="12" t="s">
        <v>117</v>
      </c>
      <c r="D44" s="12" t="s">
        <v>118</v>
      </c>
      <c r="E44" s="12" t="s">
        <v>36</v>
      </c>
      <c r="F44" s="12">
        <v>45365</v>
      </c>
      <c r="G44" s="13">
        <f t="shared" si="6"/>
        <v>2721.5327672545177</v>
      </c>
      <c r="H44" s="13">
        <v>952536.46853908116</v>
      </c>
      <c r="I44" s="13">
        <f t="shared" si="7"/>
        <v>34925987.919887111</v>
      </c>
      <c r="J44" s="13">
        <f t="shared" si="8"/>
        <v>178600.58785107773</v>
      </c>
      <c r="K44" s="14">
        <f t="shared" si="9"/>
        <v>392.92129327237097</v>
      </c>
      <c r="L44" s="15" t="s">
        <v>98</v>
      </c>
    </row>
    <row r="45" spans="1:12" ht="15.75" x14ac:dyDescent="0.25">
      <c r="A45" s="11" t="s">
        <v>95</v>
      </c>
      <c r="B45" s="12" t="s">
        <v>13</v>
      </c>
      <c r="C45" s="12" t="s">
        <v>119</v>
      </c>
      <c r="D45" s="12" t="s">
        <v>18</v>
      </c>
      <c r="E45" s="12" t="s">
        <v>19</v>
      </c>
      <c r="F45" s="12">
        <v>50317</v>
      </c>
      <c r="G45" s="13" t="s">
        <v>70</v>
      </c>
      <c r="H45" s="13" t="s">
        <v>70</v>
      </c>
      <c r="I45" s="13" t="s">
        <v>70</v>
      </c>
      <c r="J45" s="13" t="s">
        <v>70</v>
      </c>
      <c r="K45" s="13" t="s">
        <v>70</v>
      </c>
      <c r="L45" s="15"/>
    </row>
    <row r="46" spans="1:12" ht="15.75" x14ac:dyDescent="0.25">
      <c r="A46" s="11" t="s">
        <v>95</v>
      </c>
      <c r="B46" s="12" t="s">
        <v>13</v>
      </c>
      <c r="C46" s="12" t="s">
        <v>120</v>
      </c>
      <c r="D46" s="12" t="s">
        <v>121</v>
      </c>
      <c r="E46" s="12" t="s">
        <v>41</v>
      </c>
      <c r="F46" s="12">
        <v>30501</v>
      </c>
      <c r="G46" s="13" t="s">
        <v>70</v>
      </c>
      <c r="H46" s="13" t="s">
        <v>70</v>
      </c>
      <c r="I46" s="13" t="s">
        <v>70</v>
      </c>
      <c r="J46" s="13" t="s">
        <v>70</v>
      </c>
      <c r="K46" s="13" t="s">
        <v>70</v>
      </c>
      <c r="L46" s="15"/>
    </row>
    <row r="47" spans="1:12" ht="15.75" x14ac:dyDescent="0.25">
      <c r="A47" s="11" t="s">
        <v>122</v>
      </c>
      <c r="B47" s="12" t="s">
        <v>13</v>
      </c>
      <c r="C47" s="12" t="s">
        <v>123</v>
      </c>
      <c r="D47" s="12" t="s">
        <v>124</v>
      </c>
      <c r="E47" s="12" t="s">
        <v>28</v>
      </c>
      <c r="F47" s="12">
        <v>56031</v>
      </c>
      <c r="G47" s="13">
        <f>H47/350</f>
        <v>2994</v>
      </c>
      <c r="H47" s="13">
        <v>1047900</v>
      </c>
      <c r="I47" s="13">
        <v>55000000</v>
      </c>
      <c r="J47" s="13">
        <f>H47*0.1875</f>
        <v>196481.25</v>
      </c>
      <c r="K47" s="14">
        <f>J47*2200/1000000</f>
        <v>432.25875000000002</v>
      </c>
      <c r="L47" s="11" t="s">
        <v>125</v>
      </c>
    </row>
    <row r="48" spans="1:12" ht="15.75" x14ac:dyDescent="0.25">
      <c r="A48" s="11" t="s">
        <v>122</v>
      </c>
      <c r="B48" s="12" t="s">
        <v>13</v>
      </c>
      <c r="C48" s="12" t="s">
        <v>126</v>
      </c>
      <c r="D48" s="12" t="s">
        <v>27</v>
      </c>
      <c r="E48" s="12" t="s">
        <v>28</v>
      </c>
      <c r="F48" s="12">
        <v>56001</v>
      </c>
      <c r="G48" s="13">
        <f>H48/350</f>
        <v>2994</v>
      </c>
      <c r="H48" s="13">
        <v>1047900</v>
      </c>
      <c r="I48" s="13">
        <f>H48/0.027273</f>
        <v>38422615.77384226</v>
      </c>
      <c r="J48" s="13">
        <f>H48*0.1875</f>
        <v>196481.25</v>
      </c>
      <c r="K48" s="14">
        <f>J48*2200/1000000</f>
        <v>432.25875000000002</v>
      </c>
      <c r="L48" s="15"/>
    </row>
    <row r="49" spans="1:12" ht="15.75" x14ac:dyDescent="0.25">
      <c r="A49" s="11" t="s">
        <v>127</v>
      </c>
      <c r="B49" s="12" t="s">
        <v>13</v>
      </c>
      <c r="C49" s="12" t="s">
        <v>128</v>
      </c>
      <c r="D49" s="12" t="s">
        <v>129</v>
      </c>
      <c r="E49" s="12" t="s">
        <v>25</v>
      </c>
      <c r="F49" s="12">
        <v>47620</v>
      </c>
      <c r="G49" s="13">
        <f>H49/350</f>
        <v>2177.2262138036144</v>
      </c>
      <c r="H49" s="13">
        <v>762029.174831265</v>
      </c>
      <c r="I49" s="13">
        <f>H49/0.027273</f>
        <v>27940790.335909691</v>
      </c>
      <c r="J49" s="13">
        <f>H49*0.1875</f>
        <v>142880.47028086218</v>
      </c>
      <c r="K49" s="14">
        <f>J49*2200/1000000</f>
        <v>314.33703461789679</v>
      </c>
      <c r="L49" s="15"/>
    </row>
    <row r="50" spans="1:12" ht="15.75" x14ac:dyDescent="0.25">
      <c r="A50" s="11" t="s">
        <v>130</v>
      </c>
      <c r="B50" s="12" t="s">
        <v>13</v>
      </c>
      <c r="C50" s="12" t="s">
        <v>131</v>
      </c>
      <c r="D50" s="12" t="s">
        <v>132</v>
      </c>
      <c r="E50" s="12" t="s">
        <v>31</v>
      </c>
      <c r="F50" s="12">
        <v>68788</v>
      </c>
      <c r="G50" s="13">
        <f>H50/350</f>
        <v>816</v>
      </c>
      <c r="H50" s="13">
        <v>285600</v>
      </c>
      <c r="I50" s="13">
        <f>H50/0.027273</f>
        <v>10471895.28104719</v>
      </c>
      <c r="J50" s="13">
        <f>H50*0.1875</f>
        <v>53550</v>
      </c>
      <c r="K50" s="14">
        <f>J50*2200/1000000</f>
        <v>117.81</v>
      </c>
      <c r="L50" s="15"/>
    </row>
    <row r="51" spans="1:12" ht="15.75" x14ac:dyDescent="0.25">
      <c r="A51" s="11" t="s">
        <v>133</v>
      </c>
      <c r="B51" s="12" t="s">
        <v>13</v>
      </c>
      <c r="C51" s="12" t="s">
        <v>134</v>
      </c>
      <c r="D51" s="12" t="s">
        <v>135</v>
      </c>
      <c r="E51" s="12" t="s">
        <v>136</v>
      </c>
      <c r="F51" s="12">
        <v>38930</v>
      </c>
      <c r="G51" s="13" t="s">
        <v>70</v>
      </c>
      <c r="H51" s="13" t="s">
        <v>70</v>
      </c>
      <c r="I51" s="13" t="s">
        <v>70</v>
      </c>
      <c r="J51" s="13" t="s">
        <v>70</v>
      </c>
      <c r="K51" s="13" t="s">
        <v>70</v>
      </c>
      <c r="L51" s="15"/>
    </row>
    <row r="52" spans="1:12" ht="15.75" x14ac:dyDescent="0.25">
      <c r="A52" s="11" t="s">
        <v>137</v>
      </c>
      <c r="B52" s="12" t="s">
        <v>13</v>
      </c>
      <c r="C52" s="12" t="s">
        <v>138</v>
      </c>
      <c r="D52" s="12" t="s">
        <v>139</v>
      </c>
      <c r="E52" s="12" t="s">
        <v>22</v>
      </c>
      <c r="F52" s="12">
        <v>60938</v>
      </c>
      <c r="G52" s="13">
        <f t="shared" ref="G52:G58" si="10">H52/350</f>
        <v>1632.9196603527107</v>
      </c>
      <c r="H52" s="13">
        <v>571521.88112344872</v>
      </c>
      <c r="I52" s="13">
        <f t="shared" ref="I52:I58" si="11">H52/0.027273</f>
        <v>20955592.751932267</v>
      </c>
      <c r="J52" s="13">
        <f t="shared" ref="J52:J58" si="12">H52*0.1875</f>
        <v>107160.35271064664</v>
      </c>
      <c r="K52" s="14">
        <f t="shared" ref="K52:K58" si="13">J52*2200/1000000</f>
        <v>235.75277596342261</v>
      </c>
      <c r="L52" s="15"/>
    </row>
    <row r="53" spans="1:12" ht="15.75" x14ac:dyDescent="0.25">
      <c r="A53" s="11" t="s">
        <v>140</v>
      </c>
      <c r="B53" s="12" t="s">
        <v>13</v>
      </c>
      <c r="C53" s="12" t="s">
        <v>141</v>
      </c>
      <c r="D53" s="12" t="s">
        <v>142</v>
      </c>
      <c r="E53" s="12" t="s">
        <v>19</v>
      </c>
      <c r="F53" s="12">
        <v>51459</v>
      </c>
      <c r="G53" s="13">
        <f t="shared" si="10"/>
        <v>1632.9196603527107</v>
      </c>
      <c r="H53" s="13">
        <v>571521.88112344872</v>
      </c>
      <c r="I53" s="13">
        <f t="shared" si="11"/>
        <v>20955592.751932267</v>
      </c>
      <c r="J53" s="13">
        <f t="shared" si="12"/>
        <v>107160.35271064664</v>
      </c>
      <c r="K53" s="14">
        <f t="shared" si="13"/>
        <v>235.75277596342261</v>
      </c>
      <c r="L53" s="15"/>
    </row>
    <row r="54" spans="1:12" ht="15.75" x14ac:dyDescent="0.25">
      <c r="A54" s="11" t="s">
        <v>143</v>
      </c>
      <c r="B54" s="12" t="s">
        <v>13</v>
      </c>
      <c r="C54" s="12" t="s">
        <v>144</v>
      </c>
      <c r="D54" s="12" t="s">
        <v>145</v>
      </c>
      <c r="E54" s="12" t="s">
        <v>25</v>
      </c>
      <c r="F54" s="12">
        <v>46510</v>
      </c>
      <c r="G54" s="13">
        <f t="shared" si="10"/>
        <v>4000</v>
      </c>
      <c r="H54" s="13">
        <v>1400000</v>
      </c>
      <c r="I54" s="13">
        <f t="shared" si="11"/>
        <v>51332820.005133286</v>
      </c>
      <c r="J54" s="13">
        <f t="shared" si="12"/>
        <v>262500</v>
      </c>
      <c r="K54" s="14">
        <f t="shared" si="13"/>
        <v>577.5</v>
      </c>
      <c r="L54" s="15"/>
    </row>
    <row r="55" spans="1:12" ht="15.75" x14ac:dyDescent="0.25">
      <c r="A55" s="11" t="s">
        <v>146</v>
      </c>
      <c r="B55" s="12" t="s">
        <v>13</v>
      </c>
      <c r="C55" s="12" t="s">
        <v>147</v>
      </c>
      <c r="D55" s="12" t="s">
        <v>148</v>
      </c>
      <c r="E55" s="12" t="s">
        <v>28</v>
      </c>
      <c r="F55" s="12">
        <v>56119</v>
      </c>
      <c r="G55" s="13">
        <f t="shared" si="10"/>
        <v>3000</v>
      </c>
      <c r="H55" s="13">
        <v>1050000</v>
      </c>
      <c r="I55" s="13">
        <f t="shared" si="11"/>
        <v>38499615.003849961</v>
      </c>
      <c r="J55" s="13">
        <f t="shared" si="12"/>
        <v>196875</v>
      </c>
      <c r="K55" s="14">
        <f t="shared" si="13"/>
        <v>433.125</v>
      </c>
      <c r="L55" s="15"/>
    </row>
    <row r="56" spans="1:12" ht="15.75" x14ac:dyDescent="0.25">
      <c r="A56" s="11" t="s">
        <v>149</v>
      </c>
      <c r="B56" s="12" t="s">
        <v>13</v>
      </c>
      <c r="C56" s="12" t="s">
        <v>150</v>
      </c>
      <c r="D56" s="12" t="s">
        <v>151</v>
      </c>
      <c r="E56" s="12" t="s">
        <v>152</v>
      </c>
      <c r="F56" s="12">
        <v>42303</v>
      </c>
      <c r="G56" s="13">
        <f t="shared" si="10"/>
        <v>4000</v>
      </c>
      <c r="H56" s="13">
        <v>1400000</v>
      </c>
      <c r="I56" s="13">
        <f t="shared" si="11"/>
        <v>51332820.005133286</v>
      </c>
      <c r="J56" s="13">
        <f t="shared" si="12"/>
        <v>262500</v>
      </c>
      <c r="K56" s="14">
        <f t="shared" si="13"/>
        <v>577.5</v>
      </c>
      <c r="L56" s="15"/>
    </row>
    <row r="57" spans="1:12" ht="15.75" x14ac:dyDescent="0.25">
      <c r="A57" s="11" t="s">
        <v>153</v>
      </c>
      <c r="B57" s="12" t="s">
        <v>13</v>
      </c>
      <c r="C57" s="12" t="s">
        <v>154</v>
      </c>
      <c r="D57" s="12" t="s">
        <v>155</v>
      </c>
      <c r="E57" s="12" t="s">
        <v>116</v>
      </c>
      <c r="F57" s="12">
        <v>27922</v>
      </c>
      <c r="G57" s="13">
        <f t="shared" si="10"/>
        <v>1224.689745264533</v>
      </c>
      <c r="H57" s="13">
        <v>428641.41084258654</v>
      </c>
      <c r="I57" s="13">
        <f t="shared" si="11"/>
        <v>15716694.563949201</v>
      </c>
      <c r="J57" s="13">
        <f t="shared" si="12"/>
        <v>80370.264532984977</v>
      </c>
      <c r="K57" s="14">
        <f t="shared" si="13"/>
        <v>176.81458197256697</v>
      </c>
      <c r="L57" s="15"/>
    </row>
    <row r="58" spans="1:12" ht="15.75" x14ac:dyDescent="0.25">
      <c r="A58" s="11" t="s">
        <v>153</v>
      </c>
      <c r="B58" s="12" t="s">
        <v>13</v>
      </c>
      <c r="C58" s="12" t="s">
        <v>156</v>
      </c>
      <c r="D58" s="12" t="s">
        <v>157</v>
      </c>
      <c r="E58" s="12" t="s">
        <v>158</v>
      </c>
      <c r="F58" s="12">
        <v>21804</v>
      </c>
      <c r="G58" s="13">
        <f t="shared" si="10"/>
        <v>1088.6131069018072</v>
      </c>
      <c r="H58" s="13">
        <v>381014.5874156325</v>
      </c>
      <c r="I58" s="13">
        <f t="shared" si="11"/>
        <v>13970395.167954845</v>
      </c>
      <c r="J58" s="13">
        <f t="shared" si="12"/>
        <v>71440.23514043109</v>
      </c>
      <c r="K58" s="14">
        <f t="shared" si="13"/>
        <v>157.1685173089484</v>
      </c>
      <c r="L58" s="15"/>
    </row>
    <row r="59" spans="1:12" ht="15.75" x14ac:dyDescent="0.25">
      <c r="A59" s="11" t="s">
        <v>153</v>
      </c>
      <c r="B59" s="12" t="s">
        <v>13</v>
      </c>
      <c r="C59" s="12" t="s">
        <v>159</v>
      </c>
      <c r="D59" s="12" t="s">
        <v>160</v>
      </c>
      <c r="E59" s="12" t="s">
        <v>161</v>
      </c>
      <c r="F59" s="12">
        <v>23324</v>
      </c>
      <c r="G59" s="13"/>
      <c r="H59" s="13"/>
      <c r="I59" s="13"/>
      <c r="J59" s="13"/>
      <c r="K59" s="14"/>
      <c r="L59" s="15"/>
    </row>
    <row r="60" spans="1:12" ht="15.75" x14ac:dyDescent="0.25">
      <c r="A60" s="11" t="s">
        <v>153</v>
      </c>
      <c r="B60" s="12" t="s">
        <v>13</v>
      </c>
      <c r="C60" s="12" t="s">
        <v>162</v>
      </c>
      <c r="D60" s="12" t="s">
        <v>163</v>
      </c>
      <c r="E60" s="12" t="s">
        <v>74</v>
      </c>
      <c r="F60" s="12">
        <v>17547</v>
      </c>
      <c r="G60" s="13">
        <f>H60/350</f>
        <v>1360.7663836272588</v>
      </c>
      <c r="H60" s="13">
        <v>476268.23426954058</v>
      </c>
      <c r="I60" s="13">
        <f>H60/0.027273</f>
        <v>17462993.959943555</v>
      </c>
      <c r="J60" s="13">
        <f>H60*0.1875</f>
        <v>89300.293925538863</v>
      </c>
      <c r="K60" s="14">
        <f>J60*2200/1000000</f>
        <v>196.46064663618549</v>
      </c>
      <c r="L60" s="15"/>
    </row>
    <row r="61" spans="1:12" ht="15.75" x14ac:dyDescent="0.25">
      <c r="A61" s="11" t="s">
        <v>164</v>
      </c>
      <c r="B61" s="12" t="s">
        <v>13</v>
      </c>
      <c r="C61" s="12" t="s">
        <v>165</v>
      </c>
      <c r="D61" s="12" t="s">
        <v>166</v>
      </c>
      <c r="E61" s="12" t="s">
        <v>167</v>
      </c>
      <c r="F61" s="12">
        <v>54245</v>
      </c>
      <c r="G61" s="13">
        <f>H61/350</f>
        <v>64</v>
      </c>
      <c r="H61" s="13">
        <v>22400</v>
      </c>
      <c r="I61" s="13">
        <f>H61/0.027273</f>
        <v>821325.12008213252</v>
      </c>
      <c r="J61" s="13">
        <f>H61*0.1875</f>
        <v>4200</v>
      </c>
      <c r="K61" s="14">
        <f>J61*2200/1000000</f>
        <v>9.24</v>
      </c>
      <c r="L61" s="15"/>
    </row>
    <row r="62" spans="1:12" ht="15.75" x14ac:dyDescent="0.25">
      <c r="A62" s="11" t="s">
        <v>164</v>
      </c>
      <c r="B62" s="12" t="s">
        <v>13</v>
      </c>
      <c r="C62" s="12" t="s">
        <v>168</v>
      </c>
      <c r="D62" s="12" t="s">
        <v>169</v>
      </c>
      <c r="E62" s="12" t="s">
        <v>167</v>
      </c>
      <c r="F62" s="12">
        <v>54460</v>
      </c>
      <c r="G62" s="13" t="s">
        <v>70</v>
      </c>
      <c r="H62" s="13" t="s">
        <v>70</v>
      </c>
      <c r="I62" s="13" t="s">
        <v>70</v>
      </c>
      <c r="J62" s="13" t="s">
        <v>70</v>
      </c>
      <c r="K62" s="13" t="s">
        <v>70</v>
      </c>
      <c r="L62" s="15"/>
    </row>
    <row r="63" spans="1:12" ht="15.75" x14ac:dyDescent="0.25">
      <c r="A63" s="11" t="s">
        <v>164</v>
      </c>
      <c r="B63" s="12" t="s">
        <v>13</v>
      </c>
      <c r="C63" s="12" t="s">
        <v>170</v>
      </c>
      <c r="D63" s="12" t="s">
        <v>171</v>
      </c>
      <c r="E63" s="12" t="s">
        <v>172</v>
      </c>
      <c r="F63" s="12">
        <v>48757</v>
      </c>
      <c r="G63" s="13" t="s">
        <v>70</v>
      </c>
      <c r="H63" s="13" t="s">
        <v>70</v>
      </c>
      <c r="I63" s="13" t="s">
        <v>70</v>
      </c>
      <c r="J63" s="13" t="s">
        <v>70</v>
      </c>
      <c r="K63" s="13" t="s">
        <v>70</v>
      </c>
      <c r="L63" s="15"/>
    </row>
    <row r="64" spans="1:12" ht="15.75" x14ac:dyDescent="0.25">
      <c r="A64" s="11" t="s">
        <v>173</v>
      </c>
      <c r="B64" s="12" t="s">
        <v>13</v>
      </c>
      <c r="C64" s="12" t="s">
        <v>174</v>
      </c>
      <c r="D64" s="12" t="s">
        <v>175</v>
      </c>
      <c r="E64" s="12" t="s">
        <v>176</v>
      </c>
      <c r="F64" s="12">
        <v>72160</v>
      </c>
      <c r="G64" s="13">
        <f>H64/350</f>
        <v>1632.9196603527107</v>
      </c>
      <c r="H64" s="13">
        <v>571521.88112344872</v>
      </c>
      <c r="I64" s="13">
        <f>H64/0.027273</f>
        <v>20955592.751932267</v>
      </c>
      <c r="J64" s="13">
        <f>H64*0.1875</f>
        <v>107160.35271064664</v>
      </c>
      <c r="K64" s="14">
        <f>J64*2200/1000000</f>
        <v>235.75277596342261</v>
      </c>
      <c r="L64" s="15"/>
    </row>
    <row r="65" spans="1:12" ht="15.75" x14ac:dyDescent="0.25">
      <c r="A65" s="11" t="s">
        <v>177</v>
      </c>
      <c r="B65" s="12" t="s">
        <v>13</v>
      </c>
      <c r="C65" s="12" t="s">
        <v>178</v>
      </c>
      <c r="D65" s="12" t="s">
        <v>179</v>
      </c>
      <c r="E65" s="12" t="s">
        <v>25</v>
      </c>
      <c r="F65" s="12">
        <v>47274</v>
      </c>
      <c r="G65" s="13">
        <f>H65/350</f>
        <v>489.87589810581323</v>
      </c>
      <c r="H65" s="13">
        <v>171456.56433703462</v>
      </c>
      <c r="I65" s="13">
        <f>H65/0.027273</f>
        <v>6286677.8255796805</v>
      </c>
      <c r="J65" s="13">
        <f>H65*0.1875</f>
        <v>32148.105813193994</v>
      </c>
      <c r="K65" s="14">
        <f>J65*2200/1000000</f>
        <v>70.725832789026782</v>
      </c>
      <c r="L65" s="15"/>
    </row>
    <row r="66" spans="1:12" ht="15.75" x14ac:dyDescent="0.25">
      <c r="A66" s="11" t="s">
        <v>180</v>
      </c>
      <c r="B66" s="12" t="s">
        <v>13</v>
      </c>
      <c r="C66" s="12" t="s">
        <v>181</v>
      </c>
      <c r="D66" s="12" t="s">
        <v>182</v>
      </c>
      <c r="E66" s="12" t="s">
        <v>66</v>
      </c>
      <c r="F66" s="12">
        <v>57071</v>
      </c>
      <c r="G66" s="13">
        <f>H66/350</f>
        <v>1796.2116263879818</v>
      </c>
      <c r="H66" s="13">
        <v>628674.06923579366</v>
      </c>
      <c r="I66" s="13">
        <f>H66/0.027273</f>
        <v>23051152.027125496</v>
      </c>
      <c r="J66" s="13">
        <f>H66*0.1875</f>
        <v>117876.3879817113</v>
      </c>
      <c r="K66" s="14">
        <f>J66*2200/1000000</f>
        <v>259.32805355976484</v>
      </c>
      <c r="L66" s="15"/>
    </row>
    <row r="67" spans="1:12" ht="15.75" x14ac:dyDescent="0.25">
      <c r="A67" t="s">
        <v>183</v>
      </c>
      <c r="B67" s="12" t="s">
        <v>184</v>
      </c>
      <c r="C67" s="17" t="s">
        <v>185</v>
      </c>
      <c r="D67" s="12" t="s">
        <v>186</v>
      </c>
      <c r="E67" s="12" t="s">
        <v>19</v>
      </c>
      <c r="F67" s="12">
        <v>50670</v>
      </c>
      <c r="G67" s="13"/>
      <c r="H67" s="13"/>
      <c r="I67" s="13">
        <v>38500000</v>
      </c>
      <c r="J67" s="13"/>
      <c r="K67" s="14"/>
      <c r="L67" s="15" t="s">
        <v>187</v>
      </c>
    </row>
    <row r="68" spans="1:12" ht="15.75" x14ac:dyDescent="0.25">
      <c r="A68" s="11" t="s">
        <v>188</v>
      </c>
      <c r="B68" s="12" t="s">
        <v>13</v>
      </c>
      <c r="C68" s="12" t="s">
        <v>189</v>
      </c>
      <c r="D68" s="12" t="s">
        <v>190</v>
      </c>
      <c r="E68" s="12" t="s">
        <v>191</v>
      </c>
      <c r="F68" s="12">
        <v>14532</v>
      </c>
      <c r="G68" s="13">
        <f>H68/350</f>
        <v>162.85714285714286</v>
      </c>
      <c r="H68" s="13">
        <v>57000</v>
      </c>
      <c r="I68" s="13">
        <f>H68/0.027273</f>
        <v>2089979.100208998</v>
      </c>
      <c r="J68" s="13">
        <f>H68*0.1875</f>
        <v>10687.5</v>
      </c>
      <c r="K68" s="14">
        <f>J68*2200/1000000</f>
        <v>23.512499999999999</v>
      </c>
      <c r="L68" s="15"/>
    </row>
    <row r="69" spans="1:12" ht="15.75" x14ac:dyDescent="0.25">
      <c r="A69" s="11" t="s">
        <v>192</v>
      </c>
      <c r="B69" s="12" t="s">
        <v>184</v>
      </c>
      <c r="C69" s="12" t="s">
        <v>193</v>
      </c>
      <c r="D69" s="12" t="s">
        <v>194</v>
      </c>
      <c r="E69" s="12" t="s">
        <v>172</v>
      </c>
      <c r="F69" s="12">
        <v>48847</v>
      </c>
      <c r="G69" s="13">
        <f>H69/350</f>
        <v>5389.1971428571433</v>
      </c>
      <c r="H69" s="13">
        <v>1886219</v>
      </c>
      <c r="I69" s="13">
        <f>H69/0.027273</f>
        <v>69160671.72661607</v>
      </c>
      <c r="J69" s="13">
        <f>H69*0.1875</f>
        <v>353666.0625</v>
      </c>
      <c r="K69" s="14">
        <f>J69*2200/1000000</f>
        <v>778.06533750000006</v>
      </c>
      <c r="L69" s="15" t="s">
        <v>187</v>
      </c>
    </row>
    <row r="70" spans="1:12" ht="15.75" x14ac:dyDescent="0.25">
      <c r="A70" s="11" t="s">
        <v>192</v>
      </c>
      <c r="B70" s="12" t="s">
        <v>13</v>
      </c>
      <c r="C70" s="12" t="s">
        <v>195</v>
      </c>
      <c r="D70" s="12" t="s">
        <v>196</v>
      </c>
      <c r="E70" s="12" t="s">
        <v>19</v>
      </c>
      <c r="F70" s="12">
        <v>50801</v>
      </c>
      <c r="G70" s="13" t="s">
        <v>70</v>
      </c>
      <c r="H70" s="13" t="s">
        <v>70</v>
      </c>
      <c r="I70" s="13" t="s">
        <v>70</v>
      </c>
      <c r="J70" s="13" t="s">
        <v>70</v>
      </c>
      <c r="K70" s="13" t="s">
        <v>70</v>
      </c>
      <c r="L70" s="15"/>
    </row>
    <row r="71" spans="1:12" ht="15.75" x14ac:dyDescent="0.25">
      <c r="A71" s="11" t="s">
        <v>192</v>
      </c>
      <c r="B71" s="12" t="s">
        <v>13</v>
      </c>
      <c r="C71" s="12" t="s">
        <v>197</v>
      </c>
      <c r="D71" s="12" t="s">
        <v>198</v>
      </c>
      <c r="E71" s="12" t="s">
        <v>172</v>
      </c>
      <c r="F71" s="12">
        <v>49464</v>
      </c>
      <c r="G71" s="13">
        <f>H71/350</f>
        <v>762</v>
      </c>
      <c r="H71" s="13">
        <v>266700</v>
      </c>
      <c r="I71" s="13">
        <f>H71/0.027273</f>
        <v>9778902.2109778915</v>
      </c>
      <c r="J71" s="13">
        <f>H71*0.1875</f>
        <v>50006.25</v>
      </c>
      <c r="K71" s="14">
        <f>J71*2200/1000000</f>
        <v>110.01375</v>
      </c>
      <c r="L71" s="1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C228-5712-4823-920F-9AF7642A7E4A}">
  <dimension ref="A1:AO208"/>
  <sheetViews>
    <sheetView tabSelected="1" zoomScale="145" zoomScaleNormal="145" workbookViewId="0">
      <pane xSplit="3" ySplit="2" topLeftCell="D126" activePane="bottomRight" state="frozen"/>
      <selection activeCell="I67" sqref="I67"/>
      <selection pane="topRight" activeCell="I67" sqref="I67"/>
      <selection pane="bottomLeft" activeCell="I67" sqref="I67"/>
      <selection pane="bottomRight" activeCell="A133" sqref="A133"/>
    </sheetView>
  </sheetViews>
  <sheetFormatPr defaultColWidth="10.875" defaultRowHeight="11.25" x14ac:dyDescent="0.2"/>
  <cols>
    <col min="1" max="1" width="28.625" style="20" customWidth="1"/>
    <col min="2" max="2" width="15.625" style="20" bestFit="1" customWidth="1"/>
    <col min="3" max="3" width="8.5" style="20" customWidth="1"/>
    <col min="4" max="4" width="16.125" style="20" customWidth="1"/>
    <col min="5" max="5" width="17.875" style="20" customWidth="1"/>
    <col min="6" max="6" width="16.125" style="20" customWidth="1"/>
    <col min="7" max="7" width="17.875" style="20" customWidth="1"/>
    <col min="8" max="8" width="15.625" style="20" customWidth="1"/>
    <col min="9" max="9" width="17.5" style="20" customWidth="1"/>
    <col min="10" max="11" width="16.125" style="20" customWidth="1"/>
    <col min="12" max="12" width="15.125" style="20" customWidth="1"/>
    <col min="13" max="13" width="19.5" style="20" customWidth="1"/>
    <col min="14" max="15" width="15.625" style="20" customWidth="1"/>
    <col min="16" max="16" width="35.875" style="20" customWidth="1"/>
    <col min="17" max="17" width="20.375" style="20" customWidth="1"/>
    <col min="18" max="21" width="18.5" style="20" customWidth="1"/>
    <col min="22" max="23" width="37.5" style="20" customWidth="1"/>
    <col min="24" max="24" width="11.625" style="20" bestFit="1" customWidth="1"/>
    <col min="25" max="25" width="11" style="20" bestFit="1" customWidth="1"/>
    <col min="26" max="26" width="13.125" style="20" bestFit="1" customWidth="1"/>
    <col min="27" max="16384" width="10.875" style="20"/>
  </cols>
  <sheetData>
    <row r="1" spans="1:25" x14ac:dyDescent="0.2">
      <c r="A1" s="18"/>
      <c r="B1" s="19"/>
      <c r="C1" s="19"/>
      <c r="D1" s="19" t="s">
        <v>199</v>
      </c>
      <c r="E1" s="19" t="s">
        <v>199</v>
      </c>
      <c r="F1" s="19" t="s">
        <v>200</v>
      </c>
      <c r="G1" s="19" t="s">
        <v>200</v>
      </c>
      <c r="H1" s="19" t="s">
        <v>200</v>
      </c>
      <c r="I1" s="19" t="s">
        <v>201</v>
      </c>
      <c r="J1" s="19" t="s">
        <v>201</v>
      </c>
      <c r="K1" s="19" t="s">
        <v>201</v>
      </c>
      <c r="L1" s="19" t="s">
        <v>201</v>
      </c>
      <c r="M1" s="19"/>
      <c r="N1" s="19" t="s">
        <v>202</v>
      </c>
      <c r="O1" s="19" t="s">
        <v>203</v>
      </c>
      <c r="P1" s="19"/>
      <c r="Q1" s="19"/>
      <c r="R1" s="19"/>
      <c r="S1" s="19"/>
      <c r="T1" s="19" t="s">
        <v>204</v>
      </c>
      <c r="U1" s="19" t="s">
        <v>205</v>
      </c>
      <c r="V1" s="19"/>
      <c r="X1" s="20" t="s">
        <v>206</v>
      </c>
      <c r="Y1" s="20" t="s">
        <v>207</v>
      </c>
    </row>
    <row r="2" spans="1:25" x14ac:dyDescent="0.2">
      <c r="A2" s="18" t="s">
        <v>208</v>
      </c>
      <c r="B2" s="19" t="s">
        <v>3</v>
      </c>
      <c r="C2" s="19" t="s">
        <v>4</v>
      </c>
      <c r="D2" s="19" t="s">
        <v>209</v>
      </c>
      <c r="E2" s="19" t="s">
        <v>210</v>
      </c>
      <c r="F2" s="19" t="s">
        <v>209</v>
      </c>
      <c r="G2" s="19" t="s">
        <v>210</v>
      </c>
      <c r="H2" s="19" t="s">
        <v>211</v>
      </c>
      <c r="I2" s="19" t="s">
        <v>212</v>
      </c>
      <c r="J2" s="19" t="s">
        <v>213</v>
      </c>
      <c r="K2" s="19" t="s">
        <v>211</v>
      </c>
      <c r="L2" s="19" t="s">
        <v>214</v>
      </c>
      <c r="M2" s="19" t="s">
        <v>215</v>
      </c>
      <c r="N2" s="19" t="s">
        <v>216</v>
      </c>
      <c r="O2" s="19" t="s">
        <v>216</v>
      </c>
      <c r="P2" s="19" t="s">
        <v>217</v>
      </c>
      <c r="Q2" s="19" t="s">
        <v>218</v>
      </c>
      <c r="R2" s="19" t="s">
        <v>219</v>
      </c>
      <c r="S2" s="19" t="s">
        <v>220</v>
      </c>
      <c r="T2" s="19" t="s">
        <v>221</v>
      </c>
      <c r="U2" s="19" t="s">
        <v>221</v>
      </c>
      <c r="V2" s="19" t="s">
        <v>222</v>
      </c>
    </row>
    <row r="3" spans="1:25" ht="11.25" customHeight="1" x14ac:dyDescent="0.2">
      <c r="A3" s="21" t="s">
        <v>12</v>
      </c>
      <c r="B3" s="22" t="s">
        <v>223</v>
      </c>
      <c r="C3" s="22" t="s">
        <v>41</v>
      </c>
      <c r="D3" s="23"/>
      <c r="E3" s="23"/>
      <c r="F3" s="23">
        <f t="shared" ref="F3:F11" si="0">G3*350</f>
        <v>35700000</v>
      </c>
      <c r="G3" s="23">
        <v>102000</v>
      </c>
      <c r="H3" s="23">
        <f>G3/36.7437</f>
        <v>2775.9860874109031</v>
      </c>
      <c r="I3" s="23">
        <f t="shared" ref="I3:I29" si="1">G3*11.5</f>
        <v>1173000</v>
      </c>
      <c r="J3" s="23">
        <f t="shared" ref="J3:J29" si="2">I3*350</f>
        <v>410550000</v>
      </c>
      <c r="K3" s="24">
        <f t="shared" ref="K3:K29" si="3">I3/2204.622</f>
        <v>532.06400008708977</v>
      </c>
      <c r="L3" s="23">
        <f t="shared" ref="L3:L29" si="4">K3*350</f>
        <v>186222.40003048143</v>
      </c>
      <c r="M3" s="22" t="s">
        <v>98</v>
      </c>
      <c r="N3" s="23">
        <f t="shared" ref="N3:N11" si="5">IF(M3="X",J3*1,"")</f>
        <v>410550000</v>
      </c>
      <c r="O3" s="23" t="str">
        <f t="shared" ref="O3:O48" si="6">IF(D3="","",IF(M3="X",D3*11.5,""))</f>
        <v/>
      </c>
      <c r="P3" s="22" t="s">
        <v>224</v>
      </c>
      <c r="Q3" s="22"/>
      <c r="R3" s="22"/>
      <c r="S3" s="25"/>
      <c r="T3" s="26"/>
      <c r="U3" s="26"/>
      <c r="V3" s="27"/>
      <c r="X3" s="20" t="s">
        <v>225</v>
      </c>
      <c r="Y3" s="20" t="s">
        <v>226</v>
      </c>
    </row>
    <row r="4" spans="1:25" ht="11.25" customHeight="1" x14ac:dyDescent="0.2">
      <c r="A4" s="21" t="s">
        <v>12</v>
      </c>
      <c r="B4" s="22" t="s">
        <v>227</v>
      </c>
      <c r="C4" s="22" t="s">
        <v>19</v>
      </c>
      <c r="D4" s="23"/>
      <c r="E4" s="23"/>
      <c r="F4" s="23">
        <f t="shared" si="0"/>
        <v>54600000</v>
      </c>
      <c r="G4" s="23">
        <v>156000</v>
      </c>
      <c r="H4" s="23">
        <f>G4/36.7437</f>
        <v>4245.625780746087</v>
      </c>
      <c r="I4" s="23">
        <f t="shared" si="1"/>
        <v>1794000</v>
      </c>
      <c r="J4" s="23">
        <f t="shared" si="2"/>
        <v>627900000</v>
      </c>
      <c r="K4" s="24">
        <f t="shared" si="3"/>
        <v>813.74494130966673</v>
      </c>
      <c r="L4" s="23">
        <f t="shared" si="4"/>
        <v>284810.72945838334</v>
      </c>
      <c r="M4" s="22" t="s">
        <v>98</v>
      </c>
      <c r="N4" s="23">
        <f t="shared" si="5"/>
        <v>627900000</v>
      </c>
      <c r="O4" s="23" t="str">
        <f t="shared" si="6"/>
        <v/>
      </c>
      <c r="P4" s="22" t="s">
        <v>204</v>
      </c>
      <c r="Q4" s="22"/>
      <c r="R4" s="22"/>
      <c r="S4" s="25"/>
      <c r="T4" s="26"/>
      <c r="U4" s="26"/>
      <c r="V4" s="27"/>
      <c r="X4" s="20" t="s">
        <v>228</v>
      </c>
      <c r="Y4" s="20" t="s">
        <v>229</v>
      </c>
    </row>
    <row r="5" spans="1:25" ht="11.25" customHeight="1" x14ac:dyDescent="0.2">
      <c r="A5" s="21" t="s">
        <v>12</v>
      </c>
      <c r="B5" s="22" t="s">
        <v>230</v>
      </c>
      <c r="C5" s="22" t="s">
        <v>22</v>
      </c>
      <c r="D5" s="23"/>
      <c r="E5" s="23"/>
      <c r="F5" s="23">
        <f t="shared" si="0"/>
        <v>57750000</v>
      </c>
      <c r="G5" s="23">
        <v>165000</v>
      </c>
      <c r="H5" s="23">
        <v>4500</v>
      </c>
      <c r="I5" s="23">
        <f t="shared" si="1"/>
        <v>1897500</v>
      </c>
      <c r="J5" s="23">
        <f t="shared" si="2"/>
        <v>664125000</v>
      </c>
      <c r="K5" s="24">
        <f t="shared" si="3"/>
        <v>860.69176484676291</v>
      </c>
      <c r="L5" s="23">
        <f t="shared" si="4"/>
        <v>301242.11769636703</v>
      </c>
      <c r="M5" s="22" t="s">
        <v>98</v>
      </c>
      <c r="N5" s="23">
        <f t="shared" si="5"/>
        <v>664125000</v>
      </c>
      <c r="O5" s="23" t="str">
        <f t="shared" si="6"/>
        <v/>
      </c>
      <c r="P5" s="22" t="s">
        <v>204</v>
      </c>
      <c r="Q5" s="22"/>
      <c r="R5" s="22"/>
      <c r="S5" s="25"/>
      <c r="T5" s="26"/>
      <c r="U5" s="26"/>
      <c r="V5" s="27"/>
      <c r="X5" s="20" t="s">
        <v>231</v>
      </c>
      <c r="Y5" s="20" t="s">
        <v>232</v>
      </c>
    </row>
    <row r="6" spans="1:25" s="29" customFormat="1" ht="11.25" customHeight="1" x14ac:dyDescent="0.2">
      <c r="A6" s="21" t="s">
        <v>12</v>
      </c>
      <c r="B6" s="22" t="s">
        <v>233</v>
      </c>
      <c r="C6" s="22" t="s">
        <v>22</v>
      </c>
      <c r="D6" s="23"/>
      <c r="E6" s="23"/>
      <c r="F6" s="23">
        <f t="shared" si="0"/>
        <v>90475000.000000015</v>
      </c>
      <c r="G6" s="23">
        <f>235000*1.1</f>
        <v>258500.00000000003</v>
      </c>
      <c r="H6" s="23">
        <f t="shared" ref="H6:H29" si="7">G6/36.7437</f>
        <v>7035.2196430952799</v>
      </c>
      <c r="I6" s="23">
        <f t="shared" si="1"/>
        <v>2972750.0000000005</v>
      </c>
      <c r="J6" s="23">
        <f t="shared" si="2"/>
        <v>1040462500.0000001</v>
      </c>
      <c r="K6" s="24">
        <f t="shared" si="3"/>
        <v>1348.4170982599287</v>
      </c>
      <c r="L6" s="23">
        <f t="shared" si="4"/>
        <v>471945.98439097503</v>
      </c>
      <c r="M6" s="22" t="s">
        <v>98</v>
      </c>
      <c r="N6" s="23">
        <f t="shared" si="5"/>
        <v>1040462500.0000001</v>
      </c>
      <c r="O6" s="23" t="str">
        <f t="shared" si="6"/>
        <v/>
      </c>
      <c r="P6" s="28" t="s">
        <v>234</v>
      </c>
      <c r="Q6" s="22"/>
      <c r="R6" s="22"/>
      <c r="S6" s="25">
        <v>2022</v>
      </c>
      <c r="T6" s="23">
        <v>8225000</v>
      </c>
      <c r="U6" s="23">
        <f>T6*11.5</f>
        <v>94587500</v>
      </c>
      <c r="V6" s="27" t="s">
        <v>235</v>
      </c>
      <c r="X6" s="29" t="s">
        <v>236</v>
      </c>
      <c r="Y6" s="29" t="s">
        <v>237</v>
      </c>
    </row>
    <row r="7" spans="1:25" ht="11.25" customHeight="1" x14ac:dyDescent="0.2">
      <c r="A7" s="21" t="s">
        <v>12</v>
      </c>
      <c r="B7" s="22" t="s">
        <v>238</v>
      </c>
      <c r="C7" s="22" t="s">
        <v>25</v>
      </c>
      <c r="D7" s="23"/>
      <c r="E7" s="23"/>
      <c r="F7" s="23">
        <f t="shared" si="0"/>
        <v>41300000</v>
      </c>
      <c r="G7" s="23">
        <v>118000</v>
      </c>
      <c r="H7" s="23">
        <f t="shared" si="7"/>
        <v>3211.4348854361428</v>
      </c>
      <c r="I7" s="23">
        <f t="shared" si="1"/>
        <v>1357000</v>
      </c>
      <c r="J7" s="23">
        <f t="shared" si="2"/>
        <v>474950000</v>
      </c>
      <c r="K7" s="24">
        <f t="shared" si="3"/>
        <v>615.52501970859407</v>
      </c>
      <c r="L7" s="23">
        <f t="shared" si="4"/>
        <v>215433.75689800794</v>
      </c>
      <c r="M7" s="22" t="s">
        <v>98</v>
      </c>
      <c r="N7" s="23">
        <f t="shared" si="5"/>
        <v>474950000</v>
      </c>
      <c r="O7" s="23" t="str">
        <f t="shared" si="6"/>
        <v/>
      </c>
      <c r="P7" s="22" t="s">
        <v>204</v>
      </c>
      <c r="Q7" s="22"/>
      <c r="R7" s="22"/>
      <c r="S7" s="25"/>
      <c r="T7" s="26"/>
      <c r="U7" s="26"/>
      <c r="V7" s="27"/>
      <c r="X7" s="20" t="s">
        <v>239</v>
      </c>
      <c r="Y7" s="20" t="s">
        <v>240</v>
      </c>
    </row>
    <row r="8" spans="1:25" ht="11.25" customHeight="1" x14ac:dyDescent="0.2">
      <c r="A8" s="21" t="s">
        <v>12</v>
      </c>
      <c r="B8" s="22" t="s">
        <v>241</v>
      </c>
      <c r="C8" s="22" t="s">
        <v>28</v>
      </c>
      <c r="D8" s="23"/>
      <c r="E8" s="23"/>
      <c r="F8" s="23">
        <f t="shared" si="0"/>
        <v>54250000</v>
      </c>
      <c r="G8" s="23">
        <v>155000</v>
      </c>
      <c r="H8" s="23">
        <f t="shared" si="7"/>
        <v>4218.4102308695101</v>
      </c>
      <c r="I8" s="23">
        <f t="shared" si="1"/>
        <v>1782500</v>
      </c>
      <c r="J8" s="23">
        <f t="shared" si="2"/>
        <v>623875000</v>
      </c>
      <c r="K8" s="24">
        <f t="shared" si="3"/>
        <v>808.52862758332276</v>
      </c>
      <c r="L8" s="23">
        <f t="shared" si="4"/>
        <v>282985.01965416298</v>
      </c>
      <c r="M8" s="22" t="s">
        <v>98</v>
      </c>
      <c r="N8" s="23">
        <f t="shared" si="5"/>
        <v>623875000</v>
      </c>
      <c r="O8" s="23" t="str">
        <f t="shared" si="6"/>
        <v/>
      </c>
      <c r="P8" s="22" t="s">
        <v>234</v>
      </c>
      <c r="Q8" s="22"/>
      <c r="R8" s="22"/>
      <c r="S8" s="25"/>
      <c r="T8" s="26"/>
      <c r="U8" s="26"/>
      <c r="V8" s="27"/>
      <c r="X8" s="20" t="s">
        <v>242</v>
      </c>
      <c r="Y8" s="20" t="s">
        <v>243</v>
      </c>
    </row>
    <row r="9" spans="1:25" ht="11.25" customHeight="1" x14ac:dyDescent="0.2">
      <c r="A9" s="21" t="s">
        <v>12</v>
      </c>
      <c r="B9" s="22" t="s">
        <v>244</v>
      </c>
      <c r="C9" s="22" t="s">
        <v>16</v>
      </c>
      <c r="D9" s="23"/>
      <c r="E9" s="23"/>
      <c r="F9" s="23">
        <f t="shared" si="0"/>
        <v>22750000</v>
      </c>
      <c r="G9" s="23">
        <v>65000</v>
      </c>
      <c r="H9" s="23">
        <f t="shared" si="7"/>
        <v>1769.0107419775363</v>
      </c>
      <c r="I9" s="23">
        <f t="shared" si="1"/>
        <v>747500</v>
      </c>
      <c r="J9" s="23">
        <f t="shared" si="2"/>
        <v>261625000</v>
      </c>
      <c r="K9" s="24">
        <f t="shared" si="3"/>
        <v>339.06039221236114</v>
      </c>
      <c r="L9" s="23">
        <f t="shared" si="4"/>
        <v>118671.13727432639</v>
      </c>
      <c r="M9" s="22"/>
      <c r="N9" s="23" t="str">
        <f t="shared" si="5"/>
        <v/>
      </c>
      <c r="O9" s="23" t="str">
        <f t="shared" si="6"/>
        <v/>
      </c>
      <c r="P9" s="22" t="s">
        <v>204</v>
      </c>
      <c r="Q9" s="22" t="s">
        <v>98</v>
      </c>
      <c r="R9" s="22"/>
      <c r="S9" s="25"/>
      <c r="T9" s="26"/>
      <c r="U9" s="26"/>
      <c r="V9" s="27"/>
      <c r="X9" s="20" t="s">
        <v>245</v>
      </c>
      <c r="Y9" s="20" t="s">
        <v>246</v>
      </c>
    </row>
    <row r="10" spans="1:25" ht="11.25" customHeight="1" x14ac:dyDescent="0.2">
      <c r="A10" s="21" t="s">
        <v>12</v>
      </c>
      <c r="B10" s="22" t="s">
        <v>247</v>
      </c>
      <c r="C10" s="22" t="s">
        <v>16</v>
      </c>
      <c r="D10" s="23"/>
      <c r="E10" s="23"/>
      <c r="F10" s="23">
        <f t="shared" si="0"/>
        <v>17850000</v>
      </c>
      <c r="G10" s="23">
        <v>51000</v>
      </c>
      <c r="H10" s="23">
        <f t="shared" si="7"/>
        <v>1387.9930437054516</v>
      </c>
      <c r="I10" s="23">
        <f t="shared" si="1"/>
        <v>586500</v>
      </c>
      <c r="J10" s="23">
        <f t="shared" si="2"/>
        <v>205275000</v>
      </c>
      <c r="K10" s="24">
        <f t="shared" si="3"/>
        <v>266.03200004354488</v>
      </c>
      <c r="L10" s="23">
        <f t="shared" si="4"/>
        <v>93111.200015240713</v>
      </c>
      <c r="M10" s="22" t="s">
        <v>98</v>
      </c>
      <c r="N10" s="23">
        <f t="shared" si="5"/>
        <v>205275000</v>
      </c>
      <c r="O10" s="23" t="str">
        <f t="shared" si="6"/>
        <v/>
      </c>
      <c r="P10" s="22" t="s">
        <v>204</v>
      </c>
      <c r="Q10" s="22" t="s">
        <v>98</v>
      </c>
      <c r="R10" s="22"/>
      <c r="S10" s="25"/>
      <c r="T10" s="26"/>
      <c r="U10" s="26"/>
      <c r="V10" s="27"/>
      <c r="X10" s="20" t="s">
        <v>248</v>
      </c>
      <c r="Y10" s="20" t="s">
        <v>249</v>
      </c>
    </row>
    <row r="11" spans="1:25" ht="11.25" customHeight="1" x14ac:dyDescent="0.2">
      <c r="A11" s="21" t="s">
        <v>12</v>
      </c>
      <c r="B11" s="22" t="s">
        <v>250</v>
      </c>
      <c r="C11" s="22" t="s">
        <v>44</v>
      </c>
      <c r="D11" s="23"/>
      <c r="E11" s="23"/>
      <c r="F11" s="23">
        <f t="shared" si="0"/>
        <v>28000000</v>
      </c>
      <c r="G11" s="23">
        <v>80000</v>
      </c>
      <c r="H11" s="23">
        <f t="shared" si="7"/>
        <v>2177.2439901261987</v>
      </c>
      <c r="I11" s="23">
        <f t="shared" si="1"/>
        <v>920000</v>
      </c>
      <c r="J11" s="23">
        <f t="shared" si="2"/>
        <v>322000000</v>
      </c>
      <c r="K11" s="24">
        <f t="shared" si="3"/>
        <v>417.30509810752142</v>
      </c>
      <c r="L11" s="23">
        <f t="shared" si="4"/>
        <v>146056.7843376325</v>
      </c>
      <c r="M11" s="22" t="s">
        <v>98</v>
      </c>
      <c r="N11" s="23">
        <f t="shared" si="5"/>
        <v>322000000</v>
      </c>
      <c r="O11" s="23" t="str">
        <f t="shared" si="6"/>
        <v/>
      </c>
      <c r="P11" s="22" t="s">
        <v>251</v>
      </c>
      <c r="Q11" s="22"/>
      <c r="R11" s="22" t="s">
        <v>98</v>
      </c>
      <c r="S11" s="25"/>
      <c r="T11" s="26"/>
      <c r="U11" s="26"/>
      <c r="V11" s="27"/>
      <c r="X11" s="20" t="s">
        <v>252</v>
      </c>
      <c r="Y11" s="20" t="s">
        <v>253</v>
      </c>
    </row>
    <row r="12" spans="1:25" ht="11.25" customHeight="1" x14ac:dyDescent="0.2">
      <c r="A12" s="30" t="s">
        <v>12</v>
      </c>
      <c r="B12" s="28" t="s">
        <v>254</v>
      </c>
      <c r="C12" s="28" t="s">
        <v>44</v>
      </c>
      <c r="D12" s="26">
        <v>52500000</v>
      </c>
      <c r="E12" s="26">
        <f>MROUND(D12/350,500)</f>
        <v>150000</v>
      </c>
      <c r="F12" s="23">
        <v>52500000</v>
      </c>
      <c r="G12" s="23">
        <v>150000</v>
      </c>
      <c r="H12" s="23">
        <f t="shared" si="7"/>
        <v>4082.3324814866223</v>
      </c>
      <c r="I12" s="23">
        <f t="shared" si="1"/>
        <v>1725000</v>
      </c>
      <c r="J12" s="23">
        <f t="shared" si="2"/>
        <v>603750000</v>
      </c>
      <c r="K12" s="24">
        <f t="shared" si="3"/>
        <v>782.44705895160268</v>
      </c>
      <c r="L12" s="23">
        <f t="shared" si="4"/>
        <v>273856.47063306096</v>
      </c>
      <c r="M12" s="22" t="s">
        <v>98</v>
      </c>
      <c r="N12" s="23">
        <v>603750000</v>
      </c>
      <c r="O12" s="26">
        <f t="shared" si="6"/>
        <v>603750000</v>
      </c>
      <c r="P12" s="28" t="s">
        <v>204</v>
      </c>
      <c r="Q12" s="22"/>
      <c r="R12" s="22"/>
      <c r="S12" s="31">
        <v>2023</v>
      </c>
      <c r="T12" s="23">
        <v>52500000</v>
      </c>
      <c r="U12" s="23">
        <v>603750000</v>
      </c>
      <c r="V12" s="27" t="s">
        <v>255</v>
      </c>
      <c r="X12" s="20" t="s">
        <v>256</v>
      </c>
      <c r="Y12" s="20" t="s">
        <v>257</v>
      </c>
    </row>
    <row r="13" spans="1:25" ht="11.25" customHeight="1" x14ac:dyDescent="0.2">
      <c r="A13" s="21" t="s">
        <v>12</v>
      </c>
      <c r="B13" s="22" t="s">
        <v>258</v>
      </c>
      <c r="C13" s="22" t="s">
        <v>31</v>
      </c>
      <c r="D13" s="23"/>
      <c r="E13" s="23"/>
      <c r="F13" s="23">
        <f t="shared" ref="F13:F20" si="8">G13*350</f>
        <v>18550000</v>
      </c>
      <c r="G13" s="23">
        <v>53000</v>
      </c>
      <c r="H13" s="23">
        <f t="shared" si="7"/>
        <v>1442.4241434586065</v>
      </c>
      <c r="I13" s="23">
        <f t="shared" si="1"/>
        <v>609500</v>
      </c>
      <c r="J13" s="23">
        <f t="shared" si="2"/>
        <v>213325000</v>
      </c>
      <c r="K13" s="24">
        <f t="shared" si="3"/>
        <v>276.46462749623294</v>
      </c>
      <c r="L13" s="23">
        <f t="shared" si="4"/>
        <v>96762.61962368153</v>
      </c>
      <c r="M13" s="22"/>
      <c r="N13" s="23" t="str">
        <f t="shared" ref="N13:N48" si="9">IF(M13="X",J13*1,"")</f>
        <v/>
      </c>
      <c r="O13" s="23" t="str">
        <f t="shared" si="6"/>
        <v/>
      </c>
      <c r="P13" s="22" t="s">
        <v>204</v>
      </c>
      <c r="Q13" s="22"/>
      <c r="R13" s="22"/>
      <c r="S13" s="25"/>
      <c r="T13" s="26"/>
      <c r="U13" s="26"/>
      <c r="V13" s="27"/>
      <c r="X13" s="20" t="s">
        <v>259</v>
      </c>
      <c r="Y13" s="20" t="s">
        <v>260</v>
      </c>
    </row>
    <row r="14" spans="1:25" ht="11.25" customHeight="1" x14ac:dyDescent="0.2">
      <c r="A14" s="21" t="s">
        <v>12</v>
      </c>
      <c r="B14" s="22" t="s">
        <v>261</v>
      </c>
      <c r="C14" s="22" t="s">
        <v>31</v>
      </c>
      <c r="D14" s="23"/>
      <c r="E14" s="23"/>
      <c r="F14" s="23">
        <f t="shared" si="8"/>
        <v>57050000</v>
      </c>
      <c r="G14" s="23">
        <v>163000</v>
      </c>
      <c r="H14" s="23">
        <f t="shared" si="7"/>
        <v>4436.13462988213</v>
      </c>
      <c r="I14" s="23">
        <f t="shared" si="1"/>
        <v>1874500</v>
      </c>
      <c r="J14" s="23">
        <f t="shared" si="2"/>
        <v>656075000</v>
      </c>
      <c r="K14" s="24">
        <f t="shared" si="3"/>
        <v>850.25913739407486</v>
      </c>
      <c r="L14" s="23">
        <f t="shared" si="4"/>
        <v>297590.6980879262</v>
      </c>
      <c r="M14" s="22" t="s">
        <v>98</v>
      </c>
      <c r="N14" s="23">
        <f t="shared" si="9"/>
        <v>656075000</v>
      </c>
      <c r="O14" s="23" t="str">
        <f t="shared" si="6"/>
        <v/>
      </c>
      <c r="P14" s="22" t="s">
        <v>234</v>
      </c>
      <c r="Q14" s="22"/>
      <c r="R14" s="22"/>
      <c r="S14" s="25"/>
      <c r="T14" s="26"/>
      <c r="U14" s="26"/>
      <c r="V14" s="27"/>
      <c r="X14" s="20" t="s">
        <v>259</v>
      </c>
      <c r="Y14" s="20" t="s">
        <v>262</v>
      </c>
    </row>
    <row r="15" spans="1:25" ht="11.25" customHeight="1" x14ac:dyDescent="0.2">
      <c r="A15" s="21" t="s">
        <v>12</v>
      </c>
      <c r="B15" s="22" t="s">
        <v>263</v>
      </c>
      <c r="C15" s="22" t="s">
        <v>36</v>
      </c>
      <c r="D15" s="23"/>
      <c r="E15" s="23"/>
      <c r="F15" s="23">
        <f t="shared" si="8"/>
        <v>26250000</v>
      </c>
      <c r="G15" s="23">
        <v>75000</v>
      </c>
      <c r="H15" s="23">
        <f t="shared" si="7"/>
        <v>2041.1662407433112</v>
      </c>
      <c r="I15" s="23">
        <f t="shared" si="1"/>
        <v>862500</v>
      </c>
      <c r="J15" s="23">
        <f t="shared" si="2"/>
        <v>301875000</v>
      </c>
      <c r="K15" s="24">
        <f t="shared" si="3"/>
        <v>391.22352947580134</v>
      </c>
      <c r="L15" s="23">
        <f t="shared" si="4"/>
        <v>136928.23531653048</v>
      </c>
      <c r="M15" s="22"/>
      <c r="N15" s="23" t="str">
        <f t="shared" si="9"/>
        <v/>
      </c>
      <c r="O15" s="23" t="str">
        <f t="shared" si="6"/>
        <v/>
      </c>
      <c r="P15" s="22" t="s">
        <v>204</v>
      </c>
      <c r="Q15" s="22"/>
      <c r="R15" s="22"/>
      <c r="S15" s="25"/>
      <c r="T15" s="26"/>
      <c r="U15" s="26"/>
      <c r="V15" s="27"/>
      <c r="X15" s="20" t="s">
        <v>264</v>
      </c>
      <c r="Y15" s="20" t="s">
        <v>265</v>
      </c>
    </row>
    <row r="16" spans="1:25" ht="11.25" customHeight="1" x14ac:dyDescent="0.2">
      <c r="A16" s="21" t="s">
        <v>12</v>
      </c>
      <c r="B16" s="22" t="s">
        <v>266</v>
      </c>
      <c r="C16" s="22" t="s">
        <v>267</v>
      </c>
      <c r="D16" s="23"/>
      <c r="E16" s="23"/>
      <c r="F16" s="23">
        <f t="shared" si="8"/>
        <v>14700000</v>
      </c>
      <c r="G16" s="23">
        <v>42000</v>
      </c>
      <c r="H16" s="23">
        <f t="shared" si="7"/>
        <v>1143.0530948162543</v>
      </c>
      <c r="I16" s="23">
        <f t="shared" si="1"/>
        <v>483000</v>
      </c>
      <c r="J16" s="23">
        <f t="shared" si="2"/>
        <v>169050000</v>
      </c>
      <c r="K16" s="24">
        <f t="shared" si="3"/>
        <v>219.08517650644873</v>
      </c>
      <c r="L16" s="23">
        <f t="shared" si="4"/>
        <v>76679.811777257055</v>
      </c>
      <c r="M16" s="22"/>
      <c r="N16" s="23" t="str">
        <f t="shared" si="9"/>
        <v/>
      </c>
      <c r="O16" s="23" t="str">
        <f t="shared" si="6"/>
        <v/>
      </c>
      <c r="P16" s="22" t="s">
        <v>204</v>
      </c>
      <c r="Q16" s="22"/>
      <c r="R16" s="22"/>
      <c r="S16" s="25"/>
      <c r="T16" s="26"/>
      <c r="U16" s="26"/>
      <c r="V16" s="27"/>
      <c r="X16" s="20" t="s">
        <v>268</v>
      </c>
      <c r="Y16" s="20" t="s">
        <v>262</v>
      </c>
    </row>
    <row r="17" spans="1:25" ht="11.25" customHeight="1" x14ac:dyDescent="0.2">
      <c r="A17" s="21" t="s">
        <v>269</v>
      </c>
      <c r="B17" s="22" t="s">
        <v>270</v>
      </c>
      <c r="C17" s="22" t="s">
        <v>19</v>
      </c>
      <c r="D17" s="23"/>
      <c r="E17" s="23"/>
      <c r="F17" s="23">
        <f t="shared" si="8"/>
        <v>36750000</v>
      </c>
      <c r="G17" s="23">
        <v>105000</v>
      </c>
      <c r="H17" s="23">
        <f t="shared" si="7"/>
        <v>2857.6327370406357</v>
      </c>
      <c r="I17" s="23">
        <f t="shared" si="1"/>
        <v>1207500</v>
      </c>
      <c r="J17" s="23">
        <f t="shared" si="2"/>
        <v>422625000</v>
      </c>
      <c r="K17" s="24">
        <f t="shared" si="3"/>
        <v>547.7129412661219</v>
      </c>
      <c r="L17" s="23">
        <f t="shared" si="4"/>
        <v>191699.52944314267</v>
      </c>
      <c r="M17" s="22" t="s">
        <v>98</v>
      </c>
      <c r="N17" s="23">
        <f t="shared" si="9"/>
        <v>422625000</v>
      </c>
      <c r="O17" s="23" t="str">
        <f t="shared" si="6"/>
        <v/>
      </c>
      <c r="P17" s="22" t="s">
        <v>204</v>
      </c>
      <c r="Q17" s="22"/>
      <c r="R17" s="22"/>
      <c r="S17" s="25"/>
      <c r="T17" s="26"/>
      <c r="U17" s="26"/>
      <c r="V17" s="27"/>
      <c r="X17" s="20" t="s">
        <v>271</v>
      </c>
      <c r="Y17" s="20" t="s">
        <v>272</v>
      </c>
    </row>
    <row r="18" spans="1:25" ht="11.25" customHeight="1" x14ac:dyDescent="0.2">
      <c r="A18" s="21" t="s">
        <v>269</v>
      </c>
      <c r="B18" s="22" t="s">
        <v>273</v>
      </c>
      <c r="C18" s="22" t="s">
        <v>19</v>
      </c>
      <c r="D18" s="23"/>
      <c r="E18" s="23"/>
      <c r="F18" s="23">
        <f t="shared" si="8"/>
        <v>43750000</v>
      </c>
      <c r="G18" s="23">
        <v>125000</v>
      </c>
      <c r="H18" s="23">
        <f t="shared" si="7"/>
        <v>3401.9437345721853</v>
      </c>
      <c r="I18" s="23">
        <f t="shared" si="1"/>
        <v>1437500</v>
      </c>
      <c r="J18" s="23">
        <f t="shared" si="2"/>
        <v>503125000</v>
      </c>
      <c r="K18" s="24">
        <f t="shared" si="3"/>
        <v>652.0392157930022</v>
      </c>
      <c r="L18" s="23">
        <f t="shared" si="4"/>
        <v>228213.72552755076</v>
      </c>
      <c r="M18" s="32" t="s">
        <v>98</v>
      </c>
      <c r="N18" s="23">
        <f t="shared" si="9"/>
        <v>503125000</v>
      </c>
      <c r="O18" s="23" t="str">
        <f t="shared" si="6"/>
        <v/>
      </c>
      <c r="P18" s="22" t="s">
        <v>204</v>
      </c>
      <c r="Q18" s="22"/>
      <c r="R18" s="22"/>
      <c r="S18" s="25"/>
      <c r="T18" s="26"/>
      <c r="U18" s="26"/>
      <c r="V18" s="27"/>
      <c r="X18" s="20" t="s">
        <v>274</v>
      </c>
      <c r="Y18" s="20" t="s">
        <v>275</v>
      </c>
    </row>
    <row r="19" spans="1:25" ht="11.25" customHeight="1" x14ac:dyDescent="0.2">
      <c r="A19" s="21" t="s">
        <v>269</v>
      </c>
      <c r="B19" s="22" t="s">
        <v>276</v>
      </c>
      <c r="C19" s="22" t="s">
        <v>19</v>
      </c>
      <c r="D19" s="23"/>
      <c r="E19" s="23"/>
      <c r="F19" s="23">
        <f t="shared" si="8"/>
        <v>38500000</v>
      </c>
      <c r="G19" s="23">
        <v>110000</v>
      </c>
      <c r="H19" s="23">
        <f t="shared" si="7"/>
        <v>2993.710486423523</v>
      </c>
      <c r="I19" s="23">
        <f t="shared" si="1"/>
        <v>1265000</v>
      </c>
      <c r="J19" s="23">
        <f t="shared" si="2"/>
        <v>442750000</v>
      </c>
      <c r="K19" s="24">
        <f t="shared" si="3"/>
        <v>573.79450989784198</v>
      </c>
      <c r="L19" s="23">
        <f t="shared" si="4"/>
        <v>200828.0784642447</v>
      </c>
      <c r="M19" s="22"/>
      <c r="N19" s="23" t="str">
        <f t="shared" si="9"/>
        <v/>
      </c>
      <c r="O19" s="23" t="str">
        <f t="shared" si="6"/>
        <v/>
      </c>
      <c r="P19" s="22" t="s">
        <v>204</v>
      </c>
      <c r="Q19" s="22"/>
      <c r="R19" s="22"/>
      <c r="S19" s="25"/>
      <c r="T19" s="26"/>
      <c r="U19" s="26"/>
      <c r="V19" s="27"/>
      <c r="X19" s="20" t="s">
        <v>277</v>
      </c>
      <c r="Y19" s="20" t="s">
        <v>278</v>
      </c>
    </row>
    <row r="20" spans="1:25" ht="11.25" customHeight="1" x14ac:dyDescent="0.2">
      <c r="A20" s="21" t="s">
        <v>269</v>
      </c>
      <c r="B20" s="22" t="s">
        <v>279</v>
      </c>
      <c r="C20" s="22" t="s">
        <v>19</v>
      </c>
      <c r="D20" s="23"/>
      <c r="E20" s="23"/>
      <c r="F20" s="23">
        <f t="shared" si="8"/>
        <v>19250000</v>
      </c>
      <c r="G20" s="23">
        <v>55000</v>
      </c>
      <c r="H20" s="23">
        <f t="shared" si="7"/>
        <v>1496.8552432117615</v>
      </c>
      <c r="I20" s="23">
        <f t="shared" si="1"/>
        <v>632500</v>
      </c>
      <c r="J20" s="23">
        <f t="shared" si="2"/>
        <v>221375000</v>
      </c>
      <c r="K20" s="24">
        <f t="shared" si="3"/>
        <v>286.89725494892099</v>
      </c>
      <c r="L20" s="23">
        <f t="shared" si="4"/>
        <v>100414.03923212235</v>
      </c>
      <c r="M20" s="22" t="s">
        <v>98</v>
      </c>
      <c r="N20" s="23">
        <f t="shared" si="9"/>
        <v>221375000</v>
      </c>
      <c r="O20" s="23" t="str">
        <f t="shared" si="6"/>
        <v/>
      </c>
      <c r="P20" s="22" t="s">
        <v>204</v>
      </c>
      <c r="Q20" s="22"/>
      <c r="R20" s="22"/>
      <c r="S20" s="25"/>
      <c r="T20" s="26"/>
      <c r="U20" s="26"/>
      <c r="V20" s="27"/>
      <c r="X20" s="20" t="s">
        <v>271</v>
      </c>
      <c r="Y20" s="20" t="s">
        <v>280</v>
      </c>
    </row>
    <row r="21" spans="1:25" ht="11.25" customHeight="1" x14ac:dyDescent="0.2">
      <c r="A21" s="30" t="s">
        <v>269</v>
      </c>
      <c r="B21" s="28" t="s">
        <v>281</v>
      </c>
      <c r="C21" s="28" t="s">
        <v>19</v>
      </c>
      <c r="D21" s="26">
        <v>8000000</v>
      </c>
      <c r="E21" s="26">
        <f>MROUND(D21/350,500)</f>
        <v>23000</v>
      </c>
      <c r="F21" s="26">
        <v>30000000</v>
      </c>
      <c r="G21" s="26">
        <v>45000</v>
      </c>
      <c r="H21" s="23">
        <f t="shared" si="7"/>
        <v>1224.6997444459867</v>
      </c>
      <c r="I21" s="26">
        <f t="shared" si="1"/>
        <v>517500</v>
      </c>
      <c r="J21" s="26">
        <f>I21*350</f>
        <v>181125000</v>
      </c>
      <c r="K21" s="24">
        <f t="shared" si="3"/>
        <v>234.73411768548078</v>
      </c>
      <c r="L21" s="23">
        <f t="shared" si="4"/>
        <v>82156.941189918274</v>
      </c>
      <c r="M21" s="28" t="s">
        <v>98</v>
      </c>
      <c r="N21" s="26">
        <f t="shared" si="9"/>
        <v>181125000</v>
      </c>
      <c r="O21" s="26">
        <f t="shared" si="6"/>
        <v>92000000</v>
      </c>
      <c r="P21" s="28" t="s">
        <v>282</v>
      </c>
      <c r="Q21" s="22" t="s">
        <v>98</v>
      </c>
      <c r="R21" s="22"/>
      <c r="S21" s="31">
        <v>2023</v>
      </c>
      <c r="T21" s="26"/>
      <c r="U21" s="26"/>
      <c r="V21" s="33" t="s">
        <v>283</v>
      </c>
      <c r="X21" s="20" t="s">
        <v>277</v>
      </c>
      <c r="Y21" s="20" t="s">
        <v>284</v>
      </c>
    </row>
    <row r="22" spans="1:25" ht="11.25" customHeight="1" x14ac:dyDescent="0.2">
      <c r="A22" s="21" t="s">
        <v>269</v>
      </c>
      <c r="B22" s="22" t="s">
        <v>285</v>
      </c>
      <c r="C22" s="22" t="s">
        <v>19</v>
      </c>
      <c r="D22" s="23"/>
      <c r="E22" s="23"/>
      <c r="F22" s="23">
        <f>G22*350</f>
        <v>40250000</v>
      </c>
      <c r="G22" s="23">
        <v>115000</v>
      </c>
      <c r="H22" s="23">
        <f t="shared" si="7"/>
        <v>3129.7882358064107</v>
      </c>
      <c r="I22" s="23">
        <f t="shared" si="1"/>
        <v>1322500</v>
      </c>
      <c r="J22" s="23">
        <f t="shared" si="2"/>
        <v>462875000</v>
      </c>
      <c r="K22" s="24">
        <f t="shared" si="3"/>
        <v>599.87607852956205</v>
      </c>
      <c r="L22" s="23">
        <f t="shared" si="4"/>
        <v>209956.62748534672</v>
      </c>
      <c r="M22" s="22"/>
      <c r="N22" s="23" t="str">
        <f t="shared" si="9"/>
        <v/>
      </c>
      <c r="O22" s="23" t="str">
        <f t="shared" si="6"/>
        <v/>
      </c>
      <c r="P22" s="22" t="s">
        <v>204</v>
      </c>
      <c r="Q22" s="22"/>
      <c r="R22" s="22"/>
      <c r="S22" s="25"/>
      <c r="T22" s="26"/>
      <c r="U22" s="26"/>
      <c r="V22" s="27"/>
      <c r="X22" s="20" t="s">
        <v>274</v>
      </c>
      <c r="Y22" s="20" t="s">
        <v>286</v>
      </c>
    </row>
    <row r="23" spans="1:25" ht="11.25" customHeight="1" x14ac:dyDescent="0.2">
      <c r="A23" s="21" t="s">
        <v>269</v>
      </c>
      <c r="B23" s="22" t="s">
        <v>287</v>
      </c>
      <c r="C23" s="22" t="s">
        <v>28</v>
      </c>
      <c r="D23" s="23"/>
      <c r="E23" s="23"/>
      <c r="F23" s="23">
        <f>G23*350</f>
        <v>38500000</v>
      </c>
      <c r="G23" s="23">
        <v>110000</v>
      </c>
      <c r="H23" s="23">
        <f t="shared" si="7"/>
        <v>2993.710486423523</v>
      </c>
      <c r="I23" s="23">
        <f t="shared" si="1"/>
        <v>1265000</v>
      </c>
      <c r="J23" s="23">
        <f t="shared" si="2"/>
        <v>442750000</v>
      </c>
      <c r="K23" s="24">
        <f t="shared" si="3"/>
        <v>573.79450989784198</v>
      </c>
      <c r="L23" s="23">
        <f t="shared" si="4"/>
        <v>200828.0784642447</v>
      </c>
      <c r="M23" s="22"/>
      <c r="N23" s="23" t="str">
        <f t="shared" si="9"/>
        <v/>
      </c>
      <c r="O23" s="23" t="str">
        <f t="shared" si="6"/>
        <v/>
      </c>
      <c r="P23" s="22" t="s">
        <v>204</v>
      </c>
      <c r="Q23" s="22"/>
      <c r="R23" s="22"/>
      <c r="S23" s="25"/>
      <c r="T23" s="26"/>
      <c r="U23" s="26"/>
      <c r="V23" s="27"/>
      <c r="X23" s="20" t="s">
        <v>288</v>
      </c>
      <c r="Y23" s="20" t="s">
        <v>289</v>
      </c>
    </row>
    <row r="24" spans="1:25" ht="11.25" customHeight="1" x14ac:dyDescent="0.2">
      <c r="A24" s="21" t="s">
        <v>269</v>
      </c>
      <c r="B24" s="22" t="s">
        <v>290</v>
      </c>
      <c r="C24" s="22" t="s">
        <v>16</v>
      </c>
      <c r="D24" s="23"/>
      <c r="E24" s="23"/>
      <c r="F24" s="23">
        <f>G24*350</f>
        <v>17500000</v>
      </c>
      <c r="G24" s="23">
        <v>50000</v>
      </c>
      <c r="H24" s="23">
        <f t="shared" si="7"/>
        <v>1360.7774938288742</v>
      </c>
      <c r="I24" s="23">
        <f t="shared" si="1"/>
        <v>575000</v>
      </c>
      <c r="J24" s="23">
        <f t="shared" si="2"/>
        <v>201250000</v>
      </c>
      <c r="K24" s="24">
        <f t="shared" si="3"/>
        <v>260.81568631720086</v>
      </c>
      <c r="L24" s="23">
        <f t="shared" si="4"/>
        <v>91285.490211020297</v>
      </c>
      <c r="M24" s="22" t="s">
        <v>98</v>
      </c>
      <c r="N24" s="23">
        <f t="shared" si="9"/>
        <v>201250000</v>
      </c>
      <c r="O24" s="23" t="str">
        <f t="shared" si="6"/>
        <v/>
      </c>
      <c r="P24" s="22" t="s">
        <v>204</v>
      </c>
      <c r="Q24" s="22" t="s">
        <v>98</v>
      </c>
      <c r="R24" s="22"/>
      <c r="S24" s="25"/>
      <c r="T24" s="26"/>
      <c r="U24" s="26"/>
      <c r="V24" s="27" t="s">
        <v>291</v>
      </c>
      <c r="X24" s="20" t="s">
        <v>292</v>
      </c>
      <c r="Y24" s="20" t="s">
        <v>293</v>
      </c>
    </row>
    <row r="25" spans="1:25" ht="11.25" customHeight="1" x14ac:dyDescent="0.2">
      <c r="A25" s="30" t="s">
        <v>269</v>
      </c>
      <c r="B25" s="28" t="s">
        <v>294</v>
      </c>
      <c r="C25" s="28" t="s">
        <v>31</v>
      </c>
      <c r="D25" s="26">
        <v>52500000</v>
      </c>
      <c r="E25" s="26">
        <f>MROUND(D25/350,500)</f>
        <v>150000</v>
      </c>
      <c r="F25" s="26"/>
      <c r="G25" s="26"/>
      <c r="H25" s="23">
        <f t="shared" si="7"/>
        <v>0</v>
      </c>
      <c r="I25" s="26">
        <f t="shared" si="1"/>
        <v>0</v>
      </c>
      <c r="J25" s="26">
        <f t="shared" si="2"/>
        <v>0</v>
      </c>
      <c r="K25" s="24">
        <f t="shared" si="3"/>
        <v>0</v>
      </c>
      <c r="L25" s="23">
        <f t="shared" si="4"/>
        <v>0</v>
      </c>
      <c r="M25" s="28" t="s">
        <v>98</v>
      </c>
      <c r="N25" s="26">
        <f t="shared" si="9"/>
        <v>0</v>
      </c>
      <c r="O25" s="26">
        <f t="shared" si="6"/>
        <v>603750000</v>
      </c>
      <c r="P25" s="28" t="s">
        <v>204</v>
      </c>
      <c r="Q25" s="22"/>
      <c r="R25" s="22"/>
      <c r="S25" s="31">
        <v>2025</v>
      </c>
      <c r="T25" s="26"/>
      <c r="U25" s="26"/>
      <c r="V25" s="33" t="s">
        <v>295</v>
      </c>
      <c r="X25" s="20" t="s">
        <v>259</v>
      </c>
      <c r="Y25" s="20" t="s">
        <v>296</v>
      </c>
    </row>
    <row r="26" spans="1:25" ht="11.25" customHeight="1" x14ac:dyDescent="0.2">
      <c r="A26" s="21" t="s">
        <v>269</v>
      </c>
      <c r="B26" s="22" t="s">
        <v>297</v>
      </c>
      <c r="C26" s="22" t="s">
        <v>31</v>
      </c>
      <c r="D26" s="23"/>
      <c r="E26" s="23"/>
      <c r="F26" s="23">
        <f>G26*350</f>
        <v>26250000</v>
      </c>
      <c r="G26" s="23">
        <v>75000</v>
      </c>
      <c r="H26" s="23">
        <f t="shared" si="7"/>
        <v>2041.1662407433112</v>
      </c>
      <c r="I26" s="23">
        <f t="shared" si="1"/>
        <v>862500</v>
      </c>
      <c r="J26" s="23">
        <f t="shared" si="2"/>
        <v>301875000</v>
      </c>
      <c r="K26" s="24">
        <f t="shared" si="3"/>
        <v>391.22352947580134</v>
      </c>
      <c r="L26" s="23">
        <f t="shared" si="4"/>
        <v>136928.23531653048</v>
      </c>
      <c r="M26" s="22" t="s">
        <v>98</v>
      </c>
      <c r="N26" s="23">
        <f t="shared" si="9"/>
        <v>301875000</v>
      </c>
      <c r="O26" s="23" t="str">
        <f t="shared" si="6"/>
        <v/>
      </c>
      <c r="P26" s="22" t="s">
        <v>204</v>
      </c>
      <c r="Q26" s="22"/>
      <c r="R26" s="22"/>
      <c r="S26" s="25"/>
      <c r="T26" s="26"/>
      <c r="U26" s="26"/>
      <c r="V26" s="27"/>
      <c r="X26" s="20" t="s">
        <v>298</v>
      </c>
      <c r="Y26" s="20" t="s">
        <v>237</v>
      </c>
    </row>
    <row r="27" spans="1:25" ht="11.25" customHeight="1" x14ac:dyDescent="0.2">
      <c r="A27" s="21" t="s">
        <v>269</v>
      </c>
      <c r="B27" s="22" t="s">
        <v>65</v>
      </c>
      <c r="C27" s="22" t="s">
        <v>66</v>
      </c>
      <c r="D27" s="23"/>
      <c r="E27" s="23"/>
      <c r="F27" s="23">
        <v>60000000</v>
      </c>
      <c r="G27" s="23">
        <f>MROUND(F27/350,500)</f>
        <v>171500</v>
      </c>
      <c r="H27" s="23">
        <f t="shared" si="7"/>
        <v>4667.4668038330383</v>
      </c>
      <c r="I27" s="23">
        <f t="shared" si="1"/>
        <v>1972250</v>
      </c>
      <c r="J27" s="23">
        <f t="shared" si="2"/>
        <v>690287500</v>
      </c>
      <c r="K27" s="24">
        <f t="shared" si="3"/>
        <v>894.59780406799905</v>
      </c>
      <c r="L27" s="23">
        <f t="shared" si="4"/>
        <v>313109.23142379965</v>
      </c>
      <c r="M27" s="22"/>
      <c r="N27" s="23" t="str">
        <f t="shared" si="9"/>
        <v/>
      </c>
      <c r="O27" s="23" t="str">
        <f t="shared" si="6"/>
        <v/>
      </c>
      <c r="P27" s="22" t="s">
        <v>204</v>
      </c>
      <c r="Q27" s="22"/>
      <c r="R27" s="22"/>
      <c r="S27" s="25"/>
      <c r="T27" s="26"/>
      <c r="U27" s="26"/>
      <c r="V27" s="27" t="s">
        <v>299</v>
      </c>
      <c r="X27" s="20" t="s">
        <v>300</v>
      </c>
      <c r="Y27" s="20" t="s">
        <v>301</v>
      </c>
    </row>
    <row r="28" spans="1:25" ht="11.25" customHeight="1" x14ac:dyDescent="0.2">
      <c r="A28" s="21" t="s">
        <v>67</v>
      </c>
      <c r="B28" s="22" t="s">
        <v>302</v>
      </c>
      <c r="C28" s="22" t="s">
        <v>19</v>
      </c>
      <c r="D28" s="23"/>
      <c r="E28" s="23"/>
      <c r="F28" s="23">
        <f>G28*350</f>
        <v>35000000</v>
      </c>
      <c r="G28" s="34">
        <v>100000</v>
      </c>
      <c r="H28" s="23">
        <f t="shared" si="7"/>
        <v>2721.5549876577484</v>
      </c>
      <c r="I28" s="23">
        <f t="shared" si="1"/>
        <v>1150000</v>
      </c>
      <c r="J28" s="23">
        <f t="shared" si="2"/>
        <v>402500000</v>
      </c>
      <c r="K28" s="24">
        <f t="shared" si="3"/>
        <v>521.63137263440171</v>
      </c>
      <c r="L28" s="23">
        <f t="shared" si="4"/>
        <v>182570.98042204059</v>
      </c>
      <c r="M28" s="32" t="s">
        <v>98</v>
      </c>
      <c r="N28" s="23">
        <f t="shared" si="9"/>
        <v>402500000</v>
      </c>
      <c r="O28" s="23" t="str">
        <f t="shared" si="6"/>
        <v/>
      </c>
      <c r="P28" s="22" t="s">
        <v>204</v>
      </c>
      <c r="Q28" s="22"/>
      <c r="R28" s="35"/>
      <c r="S28" s="36"/>
      <c r="T28" s="26"/>
      <c r="U28" s="26"/>
      <c r="V28" s="27"/>
      <c r="X28" s="20" t="s">
        <v>274</v>
      </c>
      <c r="Y28" s="20" t="s">
        <v>302</v>
      </c>
    </row>
    <row r="29" spans="1:25" ht="11.25" customHeight="1" x14ac:dyDescent="0.2">
      <c r="A29" s="21" t="s">
        <v>303</v>
      </c>
      <c r="B29" s="22" t="s">
        <v>304</v>
      </c>
      <c r="C29" s="22" t="s">
        <v>19</v>
      </c>
      <c r="D29" s="23"/>
      <c r="E29" s="23"/>
      <c r="F29" s="23">
        <f>G29*350</f>
        <v>5600000</v>
      </c>
      <c r="G29" s="23">
        <v>16000</v>
      </c>
      <c r="H29" s="23">
        <f t="shared" si="7"/>
        <v>435.44879802523974</v>
      </c>
      <c r="I29" s="23">
        <f t="shared" si="1"/>
        <v>184000</v>
      </c>
      <c r="J29" s="23">
        <f t="shared" si="2"/>
        <v>64400000</v>
      </c>
      <c r="K29" s="24">
        <f t="shared" si="3"/>
        <v>83.461019621504278</v>
      </c>
      <c r="L29" s="23">
        <f t="shared" si="4"/>
        <v>29211.356867526498</v>
      </c>
      <c r="M29" s="22"/>
      <c r="N29" s="23" t="str">
        <f t="shared" si="9"/>
        <v/>
      </c>
      <c r="O29" s="23" t="str">
        <f t="shared" si="6"/>
        <v/>
      </c>
      <c r="P29" s="22" t="s">
        <v>204</v>
      </c>
      <c r="Q29" s="22"/>
      <c r="R29" s="35"/>
      <c r="S29" s="36"/>
      <c r="T29" s="26"/>
      <c r="U29" s="26"/>
      <c r="V29" s="27"/>
      <c r="X29" s="20" t="s">
        <v>271</v>
      </c>
      <c r="Y29" s="20" t="s">
        <v>305</v>
      </c>
    </row>
    <row r="30" spans="1:25" ht="11.25" customHeight="1" x14ac:dyDescent="0.2">
      <c r="A30" s="37" t="s">
        <v>71</v>
      </c>
      <c r="B30" s="38" t="s">
        <v>306</v>
      </c>
      <c r="C30" s="38" t="s">
        <v>74</v>
      </c>
      <c r="D30" s="23"/>
      <c r="E30" s="23"/>
      <c r="F30" s="23"/>
      <c r="G30" s="22" t="s">
        <v>70</v>
      </c>
      <c r="H30" s="23"/>
      <c r="I30" s="24" t="s">
        <v>70</v>
      </c>
      <c r="J30" s="23"/>
      <c r="K30" s="24"/>
      <c r="L30" s="23"/>
      <c r="M30" s="22"/>
      <c r="N30" s="23" t="str">
        <f t="shared" si="9"/>
        <v/>
      </c>
      <c r="O30" s="23" t="str">
        <f t="shared" si="6"/>
        <v/>
      </c>
      <c r="P30" s="22" t="s">
        <v>204</v>
      </c>
      <c r="Q30" s="22"/>
      <c r="R30" s="35"/>
      <c r="S30" s="36"/>
      <c r="T30" s="26"/>
      <c r="U30" s="26"/>
      <c r="V30" s="27"/>
      <c r="X30" s="20" t="s">
        <v>307</v>
      </c>
      <c r="Y30" s="20" t="s">
        <v>308</v>
      </c>
    </row>
    <row r="31" spans="1:25" ht="11.25" customHeight="1" x14ac:dyDescent="0.2">
      <c r="A31" s="21" t="s">
        <v>75</v>
      </c>
      <c r="B31" s="22" t="s">
        <v>230</v>
      </c>
      <c r="C31" s="22" t="s">
        <v>77</v>
      </c>
      <c r="D31" s="23"/>
      <c r="E31" s="23"/>
      <c r="F31" s="23">
        <f t="shared" ref="F31:F48" si="10">G31*350</f>
        <v>80500000</v>
      </c>
      <c r="G31" s="23">
        <v>230000</v>
      </c>
      <c r="H31" s="23">
        <f t="shared" ref="H31:H48" si="11">G31/36.7437</f>
        <v>6259.5764716128215</v>
      </c>
      <c r="I31" s="23">
        <f t="shared" ref="I31:I48" si="12">G31*11.5</f>
        <v>2645000</v>
      </c>
      <c r="J31" s="23">
        <f t="shared" ref="J31:J48" si="13">I31*350</f>
        <v>925750000</v>
      </c>
      <c r="K31" s="24">
        <f t="shared" ref="K31:K48" si="14">I31/2204.622</f>
        <v>1199.7521570591241</v>
      </c>
      <c r="L31" s="23">
        <f t="shared" ref="L31:L48" si="15">K31*350</f>
        <v>419913.25497069344</v>
      </c>
      <c r="M31" s="22" t="s">
        <v>98</v>
      </c>
      <c r="N31" s="23">
        <f t="shared" si="9"/>
        <v>925750000</v>
      </c>
      <c r="O31" s="23" t="str">
        <f t="shared" si="6"/>
        <v/>
      </c>
      <c r="P31" s="22" t="s">
        <v>204</v>
      </c>
      <c r="Q31" s="22"/>
      <c r="R31" s="22"/>
      <c r="S31" s="25"/>
      <c r="T31" s="26"/>
      <c r="U31" s="26"/>
      <c r="V31" s="27"/>
      <c r="X31" s="20" t="s">
        <v>309</v>
      </c>
      <c r="Y31" s="20" t="s">
        <v>310</v>
      </c>
    </row>
    <row r="32" spans="1:25" ht="11.25" customHeight="1" x14ac:dyDescent="0.2">
      <c r="A32" s="21" t="s">
        <v>75</v>
      </c>
      <c r="B32" s="22" t="s">
        <v>311</v>
      </c>
      <c r="C32" s="22" t="s">
        <v>19</v>
      </c>
      <c r="D32" s="23"/>
      <c r="E32" s="23"/>
      <c r="F32" s="23">
        <f t="shared" si="10"/>
        <v>45500000</v>
      </c>
      <c r="G32" s="23">
        <v>130000</v>
      </c>
      <c r="H32" s="23">
        <f t="shared" si="11"/>
        <v>3538.0214839550727</v>
      </c>
      <c r="I32" s="23">
        <f t="shared" si="12"/>
        <v>1495000</v>
      </c>
      <c r="J32" s="23">
        <f t="shared" si="13"/>
        <v>523250000</v>
      </c>
      <c r="K32" s="24">
        <f t="shared" si="14"/>
        <v>678.12078442472227</v>
      </c>
      <c r="L32" s="23">
        <f t="shared" si="15"/>
        <v>237342.27454865279</v>
      </c>
      <c r="M32" s="22" t="s">
        <v>98</v>
      </c>
      <c r="N32" s="23">
        <f t="shared" si="9"/>
        <v>523250000</v>
      </c>
      <c r="O32" s="23" t="str">
        <f t="shared" si="6"/>
        <v/>
      </c>
      <c r="P32" s="22" t="s">
        <v>204</v>
      </c>
      <c r="Q32" s="22"/>
      <c r="R32" s="22"/>
      <c r="S32" s="25"/>
      <c r="T32" s="26"/>
      <c r="U32" s="26"/>
      <c r="V32" s="27" t="s">
        <v>312</v>
      </c>
      <c r="X32" s="20" t="s">
        <v>271</v>
      </c>
      <c r="Y32" s="20" t="s">
        <v>313</v>
      </c>
    </row>
    <row r="33" spans="1:25" ht="11.25" customHeight="1" x14ac:dyDescent="0.2">
      <c r="A33" s="30" t="s">
        <v>75</v>
      </c>
      <c r="B33" s="28" t="s">
        <v>314</v>
      </c>
      <c r="C33" s="28" t="s">
        <v>22</v>
      </c>
      <c r="D33" s="26">
        <f>F33</f>
        <v>37625000</v>
      </c>
      <c r="E33" s="26">
        <f>MROUND(D33/350,500)</f>
        <v>107500</v>
      </c>
      <c r="F33" s="26">
        <f t="shared" si="10"/>
        <v>37625000</v>
      </c>
      <c r="G33" s="26">
        <v>107500</v>
      </c>
      <c r="H33" s="26">
        <f t="shared" si="11"/>
        <v>2925.6716117320793</v>
      </c>
      <c r="I33" s="26">
        <f t="shared" si="12"/>
        <v>1236250</v>
      </c>
      <c r="J33" s="26">
        <f t="shared" si="13"/>
        <v>432687500</v>
      </c>
      <c r="K33" s="24">
        <f t="shared" si="14"/>
        <v>560.75372558198194</v>
      </c>
      <c r="L33" s="23">
        <f t="shared" si="15"/>
        <v>196263.80395369368</v>
      </c>
      <c r="M33" s="28" t="s">
        <v>98</v>
      </c>
      <c r="N33" s="26">
        <f t="shared" si="9"/>
        <v>432687500</v>
      </c>
      <c r="O33" s="26">
        <f t="shared" si="6"/>
        <v>432687500</v>
      </c>
      <c r="P33" s="28" t="s">
        <v>204</v>
      </c>
      <c r="Q33" s="22"/>
      <c r="R33" s="22"/>
      <c r="S33" s="31">
        <v>2024</v>
      </c>
      <c r="T33" s="26"/>
      <c r="U33" s="26"/>
      <c r="V33" s="33" t="s">
        <v>315</v>
      </c>
      <c r="X33" s="20" t="s">
        <v>316</v>
      </c>
      <c r="Y33" s="20" t="s">
        <v>317</v>
      </c>
    </row>
    <row r="34" spans="1:25" ht="11.25" customHeight="1" x14ac:dyDescent="0.2">
      <c r="A34" s="21" t="s">
        <v>75</v>
      </c>
      <c r="B34" s="22" t="s">
        <v>230</v>
      </c>
      <c r="C34" s="22" t="s">
        <v>25</v>
      </c>
      <c r="D34" s="23"/>
      <c r="E34" s="23"/>
      <c r="F34" s="23">
        <f t="shared" si="10"/>
        <v>43750000</v>
      </c>
      <c r="G34" s="23">
        <v>125000</v>
      </c>
      <c r="H34" s="23">
        <f t="shared" si="11"/>
        <v>3401.9437345721853</v>
      </c>
      <c r="I34" s="23">
        <f t="shared" si="12"/>
        <v>1437500</v>
      </c>
      <c r="J34" s="23">
        <f t="shared" si="13"/>
        <v>503125000</v>
      </c>
      <c r="K34" s="24">
        <f t="shared" si="14"/>
        <v>652.0392157930022</v>
      </c>
      <c r="L34" s="23">
        <f t="shared" si="15"/>
        <v>228213.72552755076</v>
      </c>
      <c r="M34" s="22" t="s">
        <v>98</v>
      </c>
      <c r="N34" s="23">
        <f t="shared" si="9"/>
        <v>503125000</v>
      </c>
      <c r="O34" s="23" t="str">
        <f t="shared" si="6"/>
        <v/>
      </c>
      <c r="P34" s="22" t="s">
        <v>204</v>
      </c>
      <c r="Q34" s="22"/>
      <c r="R34" s="22"/>
      <c r="S34" s="25"/>
      <c r="T34" s="26"/>
      <c r="U34" s="26"/>
      <c r="V34" s="27"/>
      <c r="X34" s="20" t="s">
        <v>318</v>
      </c>
      <c r="Y34" s="20" t="s">
        <v>237</v>
      </c>
    </row>
    <row r="35" spans="1:25" ht="11.25" customHeight="1" x14ac:dyDescent="0.2">
      <c r="A35" s="21" t="s">
        <v>75</v>
      </c>
      <c r="B35" s="22" t="s">
        <v>319</v>
      </c>
      <c r="C35" s="22" t="s">
        <v>25</v>
      </c>
      <c r="D35" s="23"/>
      <c r="E35" s="23"/>
      <c r="F35" s="23">
        <f t="shared" si="10"/>
        <v>35000000</v>
      </c>
      <c r="G35" s="23">
        <v>100000</v>
      </c>
      <c r="H35" s="23">
        <f t="shared" si="11"/>
        <v>2721.5549876577484</v>
      </c>
      <c r="I35" s="23">
        <f t="shared" si="12"/>
        <v>1150000</v>
      </c>
      <c r="J35" s="23">
        <f t="shared" si="13"/>
        <v>402500000</v>
      </c>
      <c r="K35" s="24">
        <f t="shared" si="14"/>
        <v>521.63137263440171</v>
      </c>
      <c r="L35" s="23">
        <f t="shared" si="15"/>
        <v>182570.98042204059</v>
      </c>
      <c r="M35" s="22" t="s">
        <v>98</v>
      </c>
      <c r="N35" s="23">
        <f t="shared" si="9"/>
        <v>402500000</v>
      </c>
      <c r="O35" s="23" t="str">
        <f t="shared" si="6"/>
        <v/>
      </c>
      <c r="P35" s="22" t="s">
        <v>204</v>
      </c>
      <c r="Q35" s="22"/>
      <c r="R35" s="22"/>
      <c r="S35" s="25"/>
      <c r="T35" s="26"/>
      <c r="U35" s="26"/>
      <c r="V35" s="27"/>
      <c r="X35" s="20" t="s">
        <v>239</v>
      </c>
      <c r="Y35" s="20" t="s">
        <v>320</v>
      </c>
    </row>
    <row r="36" spans="1:25" ht="11.25" customHeight="1" x14ac:dyDescent="0.2">
      <c r="A36" s="21" t="s">
        <v>75</v>
      </c>
      <c r="B36" s="22" t="s">
        <v>321</v>
      </c>
      <c r="C36" s="22" t="s">
        <v>87</v>
      </c>
      <c r="D36" s="23"/>
      <c r="E36" s="23"/>
      <c r="F36" s="23">
        <f t="shared" si="10"/>
        <v>28000000</v>
      </c>
      <c r="G36" s="23">
        <v>80000</v>
      </c>
      <c r="H36" s="23">
        <f t="shared" si="11"/>
        <v>2177.2439901261987</v>
      </c>
      <c r="I36" s="23">
        <f t="shared" si="12"/>
        <v>920000</v>
      </c>
      <c r="J36" s="23">
        <f t="shared" si="13"/>
        <v>322000000</v>
      </c>
      <c r="K36" s="24">
        <f t="shared" si="14"/>
        <v>417.30509810752142</v>
      </c>
      <c r="L36" s="23">
        <f t="shared" si="15"/>
        <v>146056.7843376325</v>
      </c>
      <c r="M36" s="22"/>
      <c r="N36" s="23" t="str">
        <f t="shared" si="9"/>
        <v/>
      </c>
      <c r="O36" s="23" t="str">
        <f t="shared" si="6"/>
        <v/>
      </c>
      <c r="P36" s="22" t="s">
        <v>204</v>
      </c>
      <c r="Q36" s="22"/>
      <c r="R36" s="22"/>
      <c r="S36" s="25"/>
      <c r="T36" s="26"/>
      <c r="U36" s="26"/>
      <c r="V36" s="27" t="s">
        <v>322</v>
      </c>
      <c r="X36" s="20" t="s">
        <v>323</v>
      </c>
      <c r="Y36" s="20" t="s">
        <v>324</v>
      </c>
    </row>
    <row r="37" spans="1:25" ht="11.25" customHeight="1" x14ac:dyDescent="0.2">
      <c r="A37" s="30" t="s">
        <v>75</v>
      </c>
      <c r="B37" s="28" t="s">
        <v>325</v>
      </c>
      <c r="C37" s="28" t="s">
        <v>90</v>
      </c>
      <c r="D37" s="26">
        <f>F37</f>
        <v>19250000</v>
      </c>
      <c r="E37" s="26">
        <f>MROUND(D37/350,500)</f>
        <v>55000</v>
      </c>
      <c r="F37" s="26">
        <f t="shared" si="10"/>
        <v>19250000</v>
      </c>
      <c r="G37" s="26">
        <v>55000</v>
      </c>
      <c r="H37" s="26">
        <f t="shared" si="11"/>
        <v>1496.8552432117615</v>
      </c>
      <c r="I37" s="26">
        <f t="shared" si="12"/>
        <v>632500</v>
      </c>
      <c r="J37" s="26">
        <f t="shared" si="13"/>
        <v>221375000</v>
      </c>
      <c r="K37" s="24">
        <f t="shared" si="14"/>
        <v>286.89725494892099</v>
      </c>
      <c r="L37" s="23">
        <f t="shared" si="15"/>
        <v>100414.03923212235</v>
      </c>
      <c r="M37" s="28" t="s">
        <v>98</v>
      </c>
      <c r="N37" s="26">
        <f t="shared" si="9"/>
        <v>221375000</v>
      </c>
      <c r="O37" s="26">
        <f t="shared" si="6"/>
        <v>221375000</v>
      </c>
      <c r="P37" s="22" t="s">
        <v>204</v>
      </c>
      <c r="Q37" s="22"/>
      <c r="R37" s="22"/>
      <c r="S37" s="31">
        <v>2024</v>
      </c>
      <c r="T37" s="26"/>
      <c r="U37" s="26"/>
      <c r="V37" s="33" t="s">
        <v>326</v>
      </c>
      <c r="X37" s="20" t="s">
        <v>327</v>
      </c>
      <c r="Y37" s="20" t="s">
        <v>328</v>
      </c>
    </row>
    <row r="38" spans="1:25" ht="11.25" customHeight="1" x14ac:dyDescent="0.2">
      <c r="A38" s="21" t="s">
        <v>75</v>
      </c>
      <c r="B38" s="22" t="s">
        <v>329</v>
      </c>
      <c r="C38" s="22" t="s">
        <v>36</v>
      </c>
      <c r="D38" s="23"/>
      <c r="E38" s="23"/>
      <c r="F38" s="23">
        <f t="shared" si="10"/>
        <v>42000000</v>
      </c>
      <c r="G38" s="23">
        <v>120000</v>
      </c>
      <c r="H38" s="23">
        <f t="shared" si="11"/>
        <v>3265.865985189298</v>
      </c>
      <c r="I38" s="23">
        <f t="shared" si="12"/>
        <v>1380000</v>
      </c>
      <c r="J38" s="23">
        <f t="shared" si="13"/>
        <v>483000000</v>
      </c>
      <c r="K38" s="24">
        <f t="shared" si="14"/>
        <v>625.95764716128213</v>
      </c>
      <c r="L38" s="23">
        <f t="shared" si="15"/>
        <v>219085.17650644874</v>
      </c>
      <c r="M38" s="22" t="s">
        <v>98</v>
      </c>
      <c r="N38" s="23">
        <f t="shared" si="9"/>
        <v>483000000</v>
      </c>
      <c r="O38" s="23" t="str">
        <f t="shared" si="6"/>
        <v/>
      </c>
      <c r="P38" s="22" t="s">
        <v>204</v>
      </c>
      <c r="Q38" s="22"/>
      <c r="R38" s="22"/>
      <c r="S38" s="25"/>
      <c r="T38" s="26"/>
      <c r="U38" s="26"/>
      <c r="V38" s="27"/>
      <c r="X38" s="20" t="s">
        <v>330</v>
      </c>
      <c r="Y38" s="20" t="s">
        <v>331</v>
      </c>
    </row>
    <row r="39" spans="1:25" ht="11.25" customHeight="1" x14ac:dyDescent="0.2">
      <c r="A39" s="21" t="s">
        <v>75</v>
      </c>
      <c r="B39" s="22" t="s">
        <v>332</v>
      </c>
      <c r="C39" s="22" t="s">
        <v>36</v>
      </c>
      <c r="D39" s="23"/>
      <c r="E39" s="23"/>
      <c r="F39" s="23">
        <f t="shared" si="10"/>
        <v>42875000</v>
      </c>
      <c r="G39" s="23">
        <v>122500</v>
      </c>
      <c r="H39" s="23">
        <f t="shared" si="11"/>
        <v>3333.9048598807417</v>
      </c>
      <c r="I39" s="23">
        <f t="shared" si="12"/>
        <v>1408750</v>
      </c>
      <c r="J39" s="23">
        <f t="shared" si="13"/>
        <v>493062500</v>
      </c>
      <c r="K39" s="24">
        <f t="shared" si="14"/>
        <v>638.99843147714216</v>
      </c>
      <c r="L39" s="23">
        <f t="shared" si="15"/>
        <v>223649.45101699975</v>
      </c>
      <c r="M39" s="22"/>
      <c r="N39" s="23" t="str">
        <f t="shared" si="9"/>
        <v/>
      </c>
      <c r="O39" s="23" t="str">
        <f t="shared" si="6"/>
        <v/>
      </c>
      <c r="P39" s="22" t="s">
        <v>204</v>
      </c>
      <c r="Q39" s="22"/>
      <c r="R39" s="22"/>
      <c r="S39" s="25"/>
      <c r="T39" s="26"/>
      <c r="U39" s="26"/>
      <c r="V39" s="27"/>
      <c r="X39" s="20" t="s">
        <v>264</v>
      </c>
      <c r="Y39" s="20" t="s">
        <v>333</v>
      </c>
    </row>
    <row r="40" spans="1:25" s="45" customFormat="1" ht="11.25" customHeight="1" x14ac:dyDescent="0.2">
      <c r="A40" s="39" t="s">
        <v>75</v>
      </c>
      <c r="B40" s="40" t="s">
        <v>334</v>
      </c>
      <c r="C40" s="40" t="s">
        <v>335</v>
      </c>
      <c r="D40" s="41">
        <v>28000000</v>
      </c>
      <c r="E40" s="41">
        <v>80000</v>
      </c>
      <c r="F40" s="41"/>
      <c r="G40" s="41">
        <v>917714.28571428568</v>
      </c>
      <c r="H40" s="41">
        <v>321200000</v>
      </c>
      <c r="I40" s="42">
        <v>416.26831525508038</v>
      </c>
      <c r="J40" s="41">
        <v>145693.91033927814</v>
      </c>
      <c r="K40" s="40" t="s">
        <v>98</v>
      </c>
      <c r="L40" s="40"/>
      <c r="M40" s="40" t="s">
        <v>98</v>
      </c>
      <c r="N40" s="43"/>
      <c r="O40" s="44"/>
      <c r="V40" s="45" t="s">
        <v>336</v>
      </c>
    </row>
    <row r="41" spans="1:25" ht="11.25" customHeight="1" x14ac:dyDescent="0.2">
      <c r="A41" s="35" t="s">
        <v>95</v>
      </c>
      <c r="B41" s="46" t="s">
        <v>337</v>
      </c>
      <c r="C41" s="46" t="s">
        <v>77</v>
      </c>
      <c r="D41" s="23"/>
      <c r="E41" s="23"/>
      <c r="F41" s="23">
        <f t="shared" si="10"/>
        <v>35000000</v>
      </c>
      <c r="G41" s="34">
        <v>100000</v>
      </c>
      <c r="H41" s="23">
        <f t="shared" si="11"/>
        <v>2721.5549876577484</v>
      </c>
      <c r="I41" s="23">
        <f t="shared" si="12"/>
        <v>1150000</v>
      </c>
      <c r="J41" s="23">
        <f t="shared" si="13"/>
        <v>402500000</v>
      </c>
      <c r="K41" s="24">
        <f t="shared" si="14"/>
        <v>521.63137263440171</v>
      </c>
      <c r="L41" s="23">
        <f t="shared" si="15"/>
        <v>182570.98042204059</v>
      </c>
      <c r="M41" s="46"/>
      <c r="N41" s="23" t="str">
        <f t="shared" si="9"/>
        <v/>
      </c>
      <c r="O41" s="23" t="str">
        <f t="shared" si="6"/>
        <v/>
      </c>
      <c r="P41" s="22" t="s">
        <v>204</v>
      </c>
      <c r="Q41" s="46"/>
      <c r="R41" s="46"/>
      <c r="S41" s="25"/>
      <c r="T41" s="26"/>
      <c r="U41" s="26"/>
      <c r="V41" s="27"/>
      <c r="X41" s="20" t="s">
        <v>338</v>
      </c>
      <c r="Y41" s="20" t="s">
        <v>339</v>
      </c>
    </row>
    <row r="42" spans="1:25" ht="11.25" customHeight="1" x14ac:dyDescent="0.2">
      <c r="A42" s="35" t="s">
        <v>95</v>
      </c>
      <c r="B42" s="22" t="s">
        <v>340</v>
      </c>
      <c r="C42" s="46" t="s">
        <v>41</v>
      </c>
      <c r="D42" s="23"/>
      <c r="E42" s="23"/>
      <c r="F42" s="23">
        <f t="shared" si="10"/>
        <v>35000000</v>
      </c>
      <c r="G42" s="34">
        <v>100000</v>
      </c>
      <c r="H42" s="23">
        <f t="shared" si="11"/>
        <v>2721.5549876577484</v>
      </c>
      <c r="I42" s="23">
        <f t="shared" si="12"/>
        <v>1150000</v>
      </c>
      <c r="J42" s="23">
        <f t="shared" si="13"/>
        <v>402500000</v>
      </c>
      <c r="K42" s="24">
        <f t="shared" si="14"/>
        <v>521.63137263440171</v>
      </c>
      <c r="L42" s="23">
        <f t="shared" si="15"/>
        <v>182570.98042204059</v>
      </c>
      <c r="M42" s="46" t="s">
        <v>98</v>
      </c>
      <c r="N42" s="23">
        <f t="shared" si="9"/>
        <v>402500000</v>
      </c>
      <c r="O42" s="23" t="str">
        <f t="shared" si="6"/>
        <v/>
      </c>
      <c r="P42" s="46" t="s">
        <v>204</v>
      </c>
      <c r="Q42" s="46"/>
      <c r="R42" s="46"/>
      <c r="S42" s="25"/>
      <c r="T42" s="26"/>
      <c r="U42" s="26"/>
      <c r="V42" s="27"/>
      <c r="X42" s="20" t="s">
        <v>341</v>
      </c>
      <c r="Y42" s="20" t="s">
        <v>342</v>
      </c>
    </row>
    <row r="43" spans="1:25" s="29" customFormat="1" ht="11.25" customHeight="1" x14ac:dyDescent="0.2">
      <c r="A43" s="21" t="s">
        <v>95</v>
      </c>
      <c r="B43" s="22" t="s">
        <v>343</v>
      </c>
      <c r="C43" s="22" t="s">
        <v>19</v>
      </c>
      <c r="D43" s="23"/>
      <c r="E43" s="23"/>
      <c r="F43" s="23">
        <f t="shared" si="10"/>
        <v>66500000</v>
      </c>
      <c r="G43" s="23">
        <v>190000</v>
      </c>
      <c r="H43" s="23">
        <f t="shared" si="11"/>
        <v>5170.9544765497221</v>
      </c>
      <c r="I43" s="23">
        <f t="shared" si="12"/>
        <v>2185000</v>
      </c>
      <c r="J43" s="23">
        <f t="shared" si="13"/>
        <v>764750000</v>
      </c>
      <c r="K43" s="24">
        <f t="shared" si="14"/>
        <v>991.09960800536339</v>
      </c>
      <c r="L43" s="23">
        <f t="shared" si="15"/>
        <v>346884.8628018772</v>
      </c>
      <c r="M43" s="22"/>
      <c r="N43" s="23" t="str">
        <f t="shared" si="9"/>
        <v/>
      </c>
      <c r="O43" s="23" t="str">
        <f t="shared" si="6"/>
        <v/>
      </c>
      <c r="P43" s="22" t="s">
        <v>204</v>
      </c>
      <c r="Q43" s="46"/>
      <c r="R43" s="46"/>
      <c r="S43" s="25">
        <v>2021</v>
      </c>
      <c r="T43" s="23">
        <v>6650000</v>
      </c>
      <c r="U43" s="23"/>
      <c r="V43" s="27" t="s">
        <v>344</v>
      </c>
      <c r="X43" s="29" t="s">
        <v>345</v>
      </c>
      <c r="Y43" s="20" t="s">
        <v>346</v>
      </c>
    </row>
    <row r="44" spans="1:25" ht="11.25" customHeight="1" x14ac:dyDescent="0.2">
      <c r="A44" s="35" t="s">
        <v>95</v>
      </c>
      <c r="B44" s="46" t="s">
        <v>347</v>
      </c>
      <c r="C44" s="46" t="s">
        <v>19</v>
      </c>
      <c r="D44" s="23"/>
      <c r="E44" s="23"/>
      <c r="F44" s="23">
        <f t="shared" si="10"/>
        <v>30800000</v>
      </c>
      <c r="G44" s="34">
        <v>88000</v>
      </c>
      <c r="H44" s="23">
        <f t="shared" si="11"/>
        <v>2394.9683891388186</v>
      </c>
      <c r="I44" s="23">
        <f t="shared" si="12"/>
        <v>1012000</v>
      </c>
      <c r="J44" s="23">
        <f t="shared" si="13"/>
        <v>354200000</v>
      </c>
      <c r="K44" s="24">
        <f t="shared" si="14"/>
        <v>459.03560791827357</v>
      </c>
      <c r="L44" s="23">
        <f t="shared" si="15"/>
        <v>160662.46277139575</v>
      </c>
      <c r="M44" s="46"/>
      <c r="N44" s="23" t="str">
        <f t="shared" si="9"/>
        <v/>
      </c>
      <c r="O44" s="23" t="str">
        <f t="shared" si="6"/>
        <v/>
      </c>
      <c r="P44" s="22" t="s">
        <v>204</v>
      </c>
      <c r="Q44" s="46" t="s">
        <v>98</v>
      </c>
      <c r="R44" s="46"/>
      <c r="S44" s="25"/>
      <c r="T44" s="26"/>
      <c r="U44" s="26"/>
      <c r="V44" s="27"/>
      <c r="X44" s="20" t="s">
        <v>228</v>
      </c>
      <c r="Y44" s="20" t="s">
        <v>348</v>
      </c>
    </row>
    <row r="45" spans="1:25" ht="11.25" customHeight="1" x14ac:dyDescent="0.2">
      <c r="A45" s="35" t="s">
        <v>95</v>
      </c>
      <c r="B45" s="46" t="s">
        <v>349</v>
      </c>
      <c r="C45" s="46" t="s">
        <v>19</v>
      </c>
      <c r="D45" s="23"/>
      <c r="E45" s="23"/>
      <c r="F45" s="23">
        <f t="shared" si="10"/>
        <v>40250000</v>
      </c>
      <c r="G45" s="34">
        <v>115000</v>
      </c>
      <c r="H45" s="23">
        <f t="shared" si="11"/>
        <v>3129.7882358064107</v>
      </c>
      <c r="I45" s="23">
        <f t="shared" si="12"/>
        <v>1322500</v>
      </c>
      <c r="J45" s="23">
        <f t="shared" si="13"/>
        <v>462875000</v>
      </c>
      <c r="K45" s="24">
        <f t="shared" si="14"/>
        <v>599.87607852956205</v>
      </c>
      <c r="L45" s="23">
        <f t="shared" si="15"/>
        <v>209956.62748534672</v>
      </c>
      <c r="M45" s="46" t="s">
        <v>98</v>
      </c>
      <c r="N45" s="23">
        <f t="shared" si="9"/>
        <v>462875000</v>
      </c>
      <c r="O45" s="23" t="str">
        <f t="shared" si="6"/>
        <v/>
      </c>
      <c r="P45" s="46" t="s">
        <v>204</v>
      </c>
      <c r="Q45" s="46"/>
      <c r="R45" s="46"/>
      <c r="S45" s="25"/>
      <c r="T45" s="26"/>
      <c r="U45" s="26"/>
      <c r="V45" s="27"/>
      <c r="X45" s="20" t="s">
        <v>345</v>
      </c>
      <c r="Y45" s="20" t="s">
        <v>350</v>
      </c>
    </row>
    <row r="46" spans="1:25" ht="11.25" customHeight="1" x14ac:dyDescent="0.2">
      <c r="A46" s="35" t="s">
        <v>95</v>
      </c>
      <c r="B46" s="46" t="s">
        <v>351</v>
      </c>
      <c r="C46" s="46" t="s">
        <v>22</v>
      </c>
      <c r="D46" s="23"/>
      <c r="E46" s="23"/>
      <c r="F46" s="23">
        <f t="shared" si="10"/>
        <v>28000000</v>
      </c>
      <c r="G46" s="34">
        <v>80000</v>
      </c>
      <c r="H46" s="23">
        <f t="shared" si="11"/>
        <v>2177.2439901261987</v>
      </c>
      <c r="I46" s="23">
        <f t="shared" si="12"/>
        <v>920000</v>
      </c>
      <c r="J46" s="23">
        <f t="shared" si="13"/>
        <v>322000000</v>
      </c>
      <c r="K46" s="24">
        <f t="shared" si="14"/>
        <v>417.30509810752142</v>
      </c>
      <c r="L46" s="23">
        <f t="shared" si="15"/>
        <v>146056.7843376325</v>
      </c>
      <c r="M46" s="46"/>
      <c r="N46" s="23" t="str">
        <f t="shared" si="9"/>
        <v/>
      </c>
      <c r="O46" s="23" t="str">
        <f t="shared" si="6"/>
        <v/>
      </c>
      <c r="P46" s="22" t="s">
        <v>204</v>
      </c>
      <c r="Q46" s="46"/>
      <c r="R46" s="46"/>
      <c r="S46" s="25"/>
      <c r="T46" s="26"/>
      <c r="U46" s="26"/>
      <c r="V46" s="27" t="s">
        <v>352</v>
      </c>
      <c r="X46" s="20" t="s">
        <v>231</v>
      </c>
      <c r="Y46" s="20" t="s">
        <v>353</v>
      </c>
    </row>
    <row r="47" spans="1:25" ht="11.25" customHeight="1" x14ac:dyDescent="0.2">
      <c r="A47" s="35" t="s">
        <v>95</v>
      </c>
      <c r="B47" s="46" t="s">
        <v>354</v>
      </c>
      <c r="C47" s="46" t="s">
        <v>25</v>
      </c>
      <c r="D47" s="23"/>
      <c r="E47" s="23"/>
      <c r="F47" s="23">
        <f t="shared" si="10"/>
        <v>45500000</v>
      </c>
      <c r="G47" s="34">
        <v>130000</v>
      </c>
      <c r="H47" s="23">
        <f t="shared" si="11"/>
        <v>3538.0214839550727</v>
      </c>
      <c r="I47" s="23">
        <f t="shared" si="12"/>
        <v>1495000</v>
      </c>
      <c r="J47" s="23">
        <f t="shared" si="13"/>
        <v>523250000</v>
      </c>
      <c r="K47" s="24">
        <f t="shared" si="14"/>
        <v>678.12078442472227</v>
      </c>
      <c r="L47" s="23">
        <f t="shared" si="15"/>
        <v>237342.27454865279</v>
      </c>
      <c r="M47" s="46" t="s">
        <v>98</v>
      </c>
      <c r="N47" s="23">
        <f t="shared" si="9"/>
        <v>523250000</v>
      </c>
      <c r="O47" s="23" t="str">
        <f t="shared" si="6"/>
        <v/>
      </c>
      <c r="P47" s="22" t="s">
        <v>204</v>
      </c>
      <c r="Q47" s="46"/>
      <c r="R47" s="46"/>
      <c r="S47" s="25"/>
      <c r="T47" s="26"/>
      <c r="U47" s="26"/>
      <c r="V47" s="27"/>
      <c r="X47" s="20" t="s">
        <v>355</v>
      </c>
      <c r="Y47" s="20" t="s">
        <v>356</v>
      </c>
    </row>
    <row r="48" spans="1:25" s="29" customFormat="1" ht="11.25" customHeight="1" x14ac:dyDescent="0.2">
      <c r="A48" s="21" t="s">
        <v>95</v>
      </c>
      <c r="B48" s="22" t="s">
        <v>357</v>
      </c>
      <c r="C48" s="22" t="s">
        <v>87</v>
      </c>
      <c r="D48" s="23"/>
      <c r="E48" s="23"/>
      <c r="F48" s="23">
        <f t="shared" si="10"/>
        <v>70000000</v>
      </c>
      <c r="G48" s="23">
        <f>165000+35000</f>
        <v>200000</v>
      </c>
      <c r="H48" s="23">
        <f t="shared" si="11"/>
        <v>5443.1099753154967</v>
      </c>
      <c r="I48" s="23">
        <f t="shared" si="12"/>
        <v>2300000</v>
      </c>
      <c r="J48" s="23">
        <f t="shared" si="13"/>
        <v>805000000</v>
      </c>
      <c r="K48" s="24">
        <f t="shared" si="14"/>
        <v>1043.2627452688034</v>
      </c>
      <c r="L48" s="23">
        <f t="shared" si="15"/>
        <v>365141.96084408119</v>
      </c>
      <c r="M48" s="22" t="s">
        <v>98</v>
      </c>
      <c r="N48" s="23">
        <f t="shared" si="9"/>
        <v>805000000</v>
      </c>
      <c r="O48" s="23" t="str">
        <f t="shared" si="6"/>
        <v/>
      </c>
      <c r="P48" s="28" t="s">
        <v>204</v>
      </c>
      <c r="Q48" s="46" t="s">
        <v>98</v>
      </c>
      <c r="R48" s="46"/>
      <c r="S48" s="25">
        <v>2022</v>
      </c>
      <c r="T48" s="23">
        <v>12250000</v>
      </c>
      <c r="U48" s="23">
        <f>T48*11.5</f>
        <v>140875000</v>
      </c>
      <c r="V48" s="33" t="s">
        <v>358</v>
      </c>
      <c r="X48" s="29" t="s">
        <v>359</v>
      </c>
      <c r="Y48" s="29" t="s">
        <v>360</v>
      </c>
    </row>
    <row r="49" spans="1:25" ht="11.25" customHeight="1" x14ac:dyDescent="0.2">
      <c r="A49" s="30" t="s">
        <v>95</v>
      </c>
      <c r="B49" s="28" t="s">
        <v>361</v>
      </c>
      <c r="C49" s="28" t="s">
        <v>16</v>
      </c>
      <c r="D49" s="26">
        <v>62000000</v>
      </c>
      <c r="E49" s="26">
        <f>MROUND(D49/350,500)</f>
        <v>177000</v>
      </c>
      <c r="F49" s="26"/>
      <c r="G49" s="26"/>
      <c r="H49" s="26"/>
      <c r="I49" s="26"/>
      <c r="J49" s="26"/>
      <c r="K49" s="24"/>
      <c r="L49" s="23"/>
      <c r="M49" s="28"/>
      <c r="N49" s="26">
        <f>D49*11.75*0.95</f>
        <v>692075000</v>
      </c>
      <c r="O49" s="26">
        <f>N49</f>
        <v>692075000</v>
      </c>
      <c r="P49" s="28" t="s">
        <v>204</v>
      </c>
      <c r="Q49" s="46"/>
      <c r="R49" s="46"/>
      <c r="S49" s="31">
        <v>2026</v>
      </c>
      <c r="T49" s="26"/>
      <c r="U49" s="26"/>
      <c r="X49" s="20" t="s">
        <v>362</v>
      </c>
      <c r="Y49" s="20" t="s">
        <v>363</v>
      </c>
    </row>
    <row r="50" spans="1:25" s="29" customFormat="1" ht="11.25" customHeight="1" x14ac:dyDescent="0.2">
      <c r="A50" s="21" t="s">
        <v>95</v>
      </c>
      <c r="B50" s="22" t="s">
        <v>364</v>
      </c>
      <c r="C50" s="22" t="s">
        <v>16</v>
      </c>
      <c r="D50" s="23"/>
      <c r="E50" s="23"/>
      <c r="F50" s="23">
        <v>36000000</v>
      </c>
      <c r="G50" s="23">
        <f>F50/350</f>
        <v>102857.14285714286</v>
      </c>
      <c r="H50" s="23">
        <f>G50/36.7437</f>
        <v>2799.3137015908269</v>
      </c>
      <c r="I50" s="23">
        <f>G50*11.5</f>
        <v>1182857.1428571427</v>
      </c>
      <c r="J50" s="23">
        <f>I50*350</f>
        <v>413999999.99999994</v>
      </c>
      <c r="K50" s="24">
        <f>I50/2204.622</f>
        <v>536.53512613824171</v>
      </c>
      <c r="L50" s="23">
        <f>K50*350</f>
        <v>187787.29414838459</v>
      </c>
      <c r="M50" s="32" t="s">
        <v>98</v>
      </c>
      <c r="N50" s="23">
        <f t="shared" ref="N50:N60" si="16">IF(M50="X",J50*1,"")</f>
        <v>413999999.99999994</v>
      </c>
      <c r="O50" s="23" t="str">
        <f>IF(D50="","",IF(M50="X",D50*11.5,""))</f>
        <v/>
      </c>
      <c r="P50" s="22" t="s">
        <v>204</v>
      </c>
      <c r="Q50" s="46" t="s">
        <v>98</v>
      </c>
      <c r="R50" s="46"/>
      <c r="S50" s="25">
        <v>2021</v>
      </c>
      <c r="T50" s="23">
        <v>6250000</v>
      </c>
      <c r="U50" s="23"/>
      <c r="V50" s="27" t="s">
        <v>365</v>
      </c>
      <c r="X50" s="29" t="s">
        <v>245</v>
      </c>
      <c r="Y50" s="29" t="s">
        <v>366</v>
      </c>
    </row>
    <row r="51" spans="1:25" s="29" customFormat="1" ht="11.25" customHeight="1" x14ac:dyDescent="0.2">
      <c r="A51" s="21" t="s">
        <v>95</v>
      </c>
      <c r="B51" s="22" t="s">
        <v>367</v>
      </c>
      <c r="C51" s="22" t="s">
        <v>116</v>
      </c>
      <c r="D51" s="23"/>
      <c r="E51" s="23"/>
      <c r="F51" s="23">
        <f>G51*350</f>
        <v>38500000</v>
      </c>
      <c r="G51" s="23">
        <v>110000</v>
      </c>
      <c r="H51" s="23">
        <f>G51/36.7437</f>
        <v>2993.710486423523</v>
      </c>
      <c r="I51" s="23">
        <f>G51*11.5</f>
        <v>1265000</v>
      </c>
      <c r="J51" s="23">
        <f>I51*350</f>
        <v>442750000</v>
      </c>
      <c r="K51" s="24">
        <f>I51/2204.622</f>
        <v>573.79450989784198</v>
      </c>
      <c r="L51" s="23">
        <f>K51*350</f>
        <v>200828.0784642447</v>
      </c>
      <c r="M51" s="22" t="s">
        <v>98</v>
      </c>
      <c r="N51" s="23">
        <f t="shared" si="16"/>
        <v>442750000</v>
      </c>
      <c r="O51" s="23" t="str">
        <f>IF(D51="","",IF(M51="X",D51*11.5,""))</f>
        <v/>
      </c>
      <c r="P51" s="28" t="s">
        <v>204</v>
      </c>
      <c r="Q51" s="46"/>
      <c r="R51" s="46"/>
      <c r="S51" s="25">
        <v>2022</v>
      </c>
      <c r="T51" s="23">
        <v>3500000</v>
      </c>
      <c r="U51" s="23">
        <f>T51*11.5</f>
        <v>40250000</v>
      </c>
      <c r="V51" s="27" t="s">
        <v>368</v>
      </c>
      <c r="X51" s="29" t="s">
        <v>369</v>
      </c>
      <c r="Y51" s="29" t="s">
        <v>370</v>
      </c>
    </row>
    <row r="52" spans="1:25" s="29" customFormat="1" ht="11.25" customHeight="1" x14ac:dyDescent="0.2">
      <c r="A52" s="21" t="s">
        <v>95</v>
      </c>
      <c r="B52" s="22" t="s">
        <v>371</v>
      </c>
      <c r="C52" s="22" t="s">
        <v>36</v>
      </c>
      <c r="D52" s="23"/>
      <c r="E52" s="23"/>
      <c r="F52" s="23">
        <f>28875000*2</f>
        <v>57750000</v>
      </c>
      <c r="G52" s="23">
        <f>MROUND(F52/350,500)</f>
        <v>165000</v>
      </c>
      <c r="H52" s="23">
        <f>G52/36.7437</f>
        <v>4490.5657296352847</v>
      </c>
      <c r="I52" s="23">
        <f>G52*11.5</f>
        <v>1897500</v>
      </c>
      <c r="J52" s="23">
        <f>I52*350</f>
        <v>664125000</v>
      </c>
      <c r="K52" s="24">
        <f>I52/2204.622</f>
        <v>860.69176484676291</v>
      </c>
      <c r="L52" s="23">
        <f>K52*350</f>
        <v>301242.11769636703</v>
      </c>
      <c r="M52" s="22" t="s">
        <v>98</v>
      </c>
      <c r="N52" s="23">
        <f t="shared" si="16"/>
        <v>664125000</v>
      </c>
      <c r="O52" s="23" t="str">
        <f>IF(D52="","",IF(M52="X",D52*11.5,""))</f>
        <v/>
      </c>
      <c r="P52" s="28" t="s">
        <v>204</v>
      </c>
      <c r="Q52" s="46"/>
      <c r="R52" s="46"/>
      <c r="S52" s="25">
        <v>2022</v>
      </c>
      <c r="T52" s="23">
        <v>28875000</v>
      </c>
      <c r="U52" s="23">
        <f>T52*11.5</f>
        <v>332062500</v>
      </c>
      <c r="V52" s="27" t="s">
        <v>372</v>
      </c>
      <c r="X52" s="29" t="s">
        <v>373</v>
      </c>
      <c r="Y52" s="29" t="s">
        <v>320</v>
      </c>
    </row>
    <row r="53" spans="1:25" ht="11.25" customHeight="1" x14ac:dyDescent="0.2">
      <c r="A53" s="21" t="s">
        <v>374</v>
      </c>
      <c r="B53" s="22" t="s">
        <v>375</v>
      </c>
      <c r="C53" s="22" t="s">
        <v>25</v>
      </c>
      <c r="D53" s="23"/>
      <c r="E53" s="23"/>
      <c r="F53" s="23">
        <f>G53*350</f>
        <v>31500000</v>
      </c>
      <c r="G53" s="23">
        <v>90000</v>
      </c>
      <c r="H53" s="23">
        <f>G53/36.7437</f>
        <v>2449.3994888919733</v>
      </c>
      <c r="I53" s="23">
        <f>G53*11.5</f>
        <v>1035000</v>
      </c>
      <c r="J53" s="23">
        <f>I53*350</f>
        <v>362250000</v>
      </c>
      <c r="K53" s="24">
        <f>I53/2204.622</f>
        <v>469.46823537096157</v>
      </c>
      <c r="L53" s="23">
        <f>K53*350</f>
        <v>164313.88237983655</v>
      </c>
      <c r="M53" s="22"/>
      <c r="N53" s="23" t="str">
        <f t="shared" si="16"/>
        <v/>
      </c>
      <c r="O53" s="23" t="str">
        <f>IF(D53="","",IF(M53="X",D53*11.5,""))</f>
        <v/>
      </c>
      <c r="P53" s="22" t="s">
        <v>204</v>
      </c>
      <c r="Q53" s="22"/>
      <c r="R53" s="35"/>
      <c r="S53" s="36"/>
      <c r="T53" s="26"/>
      <c r="U53" s="26"/>
      <c r="V53" s="27"/>
      <c r="X53" s="20" t="s">
        <v>376</v>
      </c>
      <c r="Y53" s="20" t="s">
        <v>377</v>
      </c>
    </row>
    <row r="54" spans="1:25" ht="11.25" customHeight="1" x14ac:dyDescent="0.2">
      <c r="A54" s="30" t="s">
        <v>378</v>
      </c>
      <c r="B54" s="28" t="s">
        <v>379</v>
      </c>
      <c r="C54" s="28" t="s">
        <v>44</v>
      </c>
      <c r="D54" s="26">
        <v>42500000</v>
      </c>
      <c r="E54" s="26">
        <f>MROUND(D54/350,500)</f>
        <v>121500</v>
      </c>
      <c r="F54" s="26"/>
      <c r="G54" s="26"/>
      <c r="H54" s="26"/>
      <c r="I54" s="26"/>
      <c r="J54" s="26"/>
      <c r="K54" s="24"/>
      <c r="L54" s="23"/>
      <c r="M54" s="28" t="s">
        <v>98</v>
      </c>
      <c r="N54" s="26">
        <f t="shared" si="16"/>
        <v>0</v>
      </c>
      <c r="O54" s="26">
        <f>IF(D54="","",IF(M54="X",D54*11.5,""))</f>
        <v>488750000</v>
      </c>
      <c r="P54" s="28" t="s">
        <v>204</v>
      </c>
      <c r="Q54" s="46"/>
      <c r="R54" s="46"/>
      <c r="S54" s="31">
        <v>2024</v>
      </c>
      <c r="T54" s="26"/>
      <c r="U54" s="26"/>
      <c r="V54" s="27"/>
      <c r="X54" s="20" t="s">
        <v>380</v>
      </c>
      <c r="Y54" s="20" t="s">
        <v>381</v>
      </c>
    </row>
    <row r="55" spans="1:25" ht="11.25" customHeight="1" x14ac:dyDescent="0.2">
      <c r="A55" s="30" t="s">
        <v>122</v>
      </c>
      <c r="B55" s="28" t="s">
        <v>241</v>
      </c>
      <c r="C55" s="28" t="s">
        <v>28</v>
      </c>
      <c r="D55" s="26"/>
      <c r="E55" s="26"/>
      <c r="F55" s="26">
        <f>G55*350</f>
        <v>43750000</v>
      </c>
      <c r="G55" s="26">
        <v>125000</v>
      </c>
      <c r="H55" s="26">
        <f>G55/36.7437</f>
        <v>3401.9437345721853</v>
      </c>
      <c r="I55" s="26">
        <f>G55*11.5</f>
        <v>1437500</v>
      </c>
      <c r="J55" s="26">
        <f>I55*350</f>
        <v>503125000</v>
      </c>
      <c r="K55" s="24">
        <f>I55/2204.622</f>
        <v>652.0392157930022</v>
      </c>
      <c r="L55" s="23">
        <f>K55*350</f>
        <v>228213.72552755076</v>
      </c>
      <c r="M55" s="28" t="s">
        <v>98</v>
      </c>
      <c r="N55" s="26">
        <f t="shared" si="16"/>
        <v>503125000</v>
      </c>
      <c r="O55" s="26">
        <f>MROUND(N55*0.35,5000)</f>
        <v>176095000</v>
      </c>
      <c r="P55" s="28" t="s">
        <v>204</v>
      </c>
      <c r="Q55" s="22"/>
      <c r="R55" s="35"/>
      <c r="S55" s="31">
        <v>2023</v>
      </c>
      <c r="T55" s="26"/>
      <c r="U55" s="26"/>
      <c r="V55" s="33" t="s">
        <v>382</v>
      </c>
      <c r="X55" s="20" t="s">
        <v>242</v>
      </c>
      <c r="Y55" s="20" t="s">
        <v>243</v>
      </c>
    </row>
    <row r="56" spans="1:25" s="29" customFormat="1" ht="11.25" customHeight="1" x14ac:dyDescent="0.2">
      <c r="A56" s="21" t="s">
        <v>383</v>
      </c>
      <c r="B56" s="22" t="s">
        <v>384</v>
      </c>
      <c r="C56" s="22" t="s">
        <v>28</v>
      </c>
      <c r="D56" s="23"/>
      <c r="E56" s="23"/>
      <c r="F56" s="23">
        <f>55000000+16500000</f>
        <v>71500000</v>
      </c>
      <c r="G56" s="23">
        <f>MROUND(F56/350,500)</f>
        <v>204500</v>
      </c>
      <c r="H56" s="23">
        <f>G56/36.7437</f>
        <v>5565.5799497600956</v>
      </c>
      <c r="I56" s="23">
        <f>G56*11.5</f>
        <v>2351750</v>
      </c>
      <c r="J56" s="23">
        <f>I56*350</f>
        <v>823112500</v>
      </c>
      <c r="K56" s="24">
        <f>I56/2204.622</f>
        <v>1066.7361570373516</v>
      </c>
      <c r="L56" s="23">
        <f>K56*350</f>
        <v>373357.65496307309</v>
      </c>
      <c r="M56" s="22" t="s">
        <v>98</v>
      </c>
      <c r="N56" s="23">
        <f t="shared" si="16"/>
        <v>823112500</v>
      </c>
      <c r="O56" s="23" t="str">
        <f t="shared" ref="O56:O86" si="17">IF(D56="","",IF(M56="X",D56*11.5,""))</f>
        <v/>
      </c>
      <c r="P56" s="28" t="s">
        <v>204</v>
      </c>
      <c r="Q56" s="22"/>
      <c r="R56" s="35"/>
      <c r="S56" s="25">
        <v>2021</v>
      </c>
      <c r="T56" s="23">
        <v>16500000</v>
      </c>
      <c r="U56" s="23">
        <f>T56*11.5</f>
        <v>189750000</v>
      </c>
      <c r="V56" s="27" t="s">
        <v>385</v>
      </c>
      <c r="X56" s="29" t="s">
        <v>242</v>
      </c>
      <c r="Y56" s="29" t="s">
        <v>386</v>
      </c>
    </row>
    <row r="57" spans="1:25" s="29" customFormat="1" ht="11.25" customHeight="1" x14ac:dyDescent="0.2">
      <c r="A57" s="21" t="s">
        <v>387</v>
      </c>
      <c r="B57" s="22" t="s">
        <v>388</v>
      </c>
      <c r="C57" s="22" t="s">
        <v>152</v>
      </c>
      <c r="D57" s="26">
        <v>4000000</v>
      </c>
      <c r="E57" s="26">
        <f>MROUND(D57/350,500)</f>
        <v>11500</v>
      </c>
      <c r="F57" s="23">
        <v>4000000</v>
      </c>
      <c r="G57" s="23">
        <f>MROUND(F57/350,500)</f>
        <v>11500</v>
      </c>
      <c r="H57" s="23"/>
      <c r="I57" s="26"/>
      <c r="J57" s="26"/>
      <c r="K57" s="24"/>
      <c r="L57" s="23"/>
      <c r="M57" s="28"/>
      <c r="N57" s="26"/>
      <c r="O57" s="26"/>
      <c r="P57" s="28" t="s">
        <v>204</v>
      </c>
      <c r="Q57" s="22" t="s">
        <v>98</v>
      </c>
      <c r="R57" s="35"/>
      <c r="S57" s="25">
        <v>2023</v>
      </c>
      <c r="T57" s="23"/>
      <c r="U57" s="23"/>
      <c r="V57" s="27" t="s">
        <v>389</v>
      </c>
      <c r="X57" s="29" t="s">
        <v>390</v>
      </c>
      <c r="Y57" s="29" t="s">
        <v>391</v>
      </c>
    </row>
    <row r="58" spans="1:25" s="29" customFormat="1" ht="11.25" customHeight="1" x14ac:dyDescent="0.2">
      <c r="A58" s="21" t="s">
        <v>392</v>
      </c>
      <c r="B58" s="22" t="s">
        <v>393</v>
      </c>
      <c r="C58" s="22" t="s">
        <v>28</v>
      </c>
      <c r="D58" s="26">
        <v>42000000</v>
      </c>
      <c r="E58" s="26">
        <f>MROUND(D58/350,500)</f>
        <v>120000</v>
      </c>
      <c r="F58" s="23"/>
      <c r="G58" s="23"/>
      <c r="H58" s="23"/>
      <c r="I58" s="26"/>
      <c r="J58" s="26"/>
      <c r="K58" s="24"/>
      <c r="L58" s="23"/>
      <c r="M58" s="28"/>
      <c r="N58" s="26"/>
      <c r="O58" s="26"/>
      <c r="P58" s="28"/>
      <c r="Q58" s="22"/>
      <c r="R58" s="35"/>
      <c r="S58" s="25"/>
      <c r="T58" s="23"/>
      <c r="U58" s="23"/>
      <c r="V58" s="27"/>
    </row>
    <row r="59" spans="1:25" ht="11.25" customHeight="1" x14ac:dyDescent="0.2">
      <c r="A59" s="21" t="s">
        <v>133</v>
      </c>
      <c r="B59" s="22" t="s">
        <v>394</v>
      </c>
      <c r="C59" s="22" t="s">
        <v>136</v>
      </c>
      <c r="D59" s="23"/>
      <c r="E59" s="23"/>
      <c r="F59" s="23"/>
      <c r="G59" s="22"/>
      <c r="H59" s="23"/>
      <c r="I59" s="23"/>
      <c r="J59" s="23"/>
      <c r="K59" s="24"/>
      <c r="L59" s="23"/>
      <c r="M59" s="22"/>
      <c r="N59" s="23" t="str">
        <f t="shared" si="16"/>
        <v/>
      </c>
      <c r="O59" s="23" t="str">
        <f t="shared" si="17"/>
        <v/>
      </c>
      <c r="P59" s="22" t="s">
        <v>204</v>
      </c>
      <c r="Q59" s="22"/>
      <c r="R59" s="35"/>
      <c r="S59" s="36"/>
      <c r="T59" s="26"/>
      <c r="U59" s="26"/>
      <c r="V59" s="27" t="s">
        <v>395</v>
      </c>
      <c r="X59" s="20" t="s">
        <v>396</v>
      </c>
      <c r="Y59" s="20" t="s">
        <v>397</v>
      </c>
    </row>
    <row r="60" spans="1:25" ht="11.25" customHeight="1" x14ac:dyDescent="0.2">
      <c r="A60" s="21" t="s">
        <v>398</v>
      </c>
      <c r="B60" s="22" t="s">
        <v>399</v>
      </c>
      <c r="C60" s="22" t="s">
        <v>22</v>
      </c>
      <c r="D60" s="26">
        <v>28000000</v>
      </c>
      <c r="E60" s="26">
        <v>80000</v>
      </c>
      <c r="F60" s="23">
        <f>G60*350</f>
        <v>28000000</v>
      </c>
      <c r="G60" s="23">
        <v>80000</v>
      </c>
      <c r="H60" s="23">
        <f>G60/36.7437</f>
        <v>2177.2439901261987</v>
      </c>
      <c r="I60" s="23">
        <f>G60*11.5</f>
        <v>920000</v>
      </c>
      <c r="J60" s="23">
        <f>I60*350</f>
        <v>322000000</v>
      </c>
      <c r="K60" s="24">
        <f>I60/2204.622</f>
        <v>417.30509810752142</v>
      </c>
      <c r="L60" s="23">
        <f>K60*350</f>
        <v>146056.7843376325</v>
      </c>
      <c r="M60" s="22" t="s">
        <v>98</v>
      </c>
      <c r="N60" s="23">
        <f t="shared" si="16"/>
        <v>322000000</v>
      </c>
      <c r="O60" s="26">
        <f t="shared" si="17"/>
        <v>322000000</v>
      </c>
      <c r="P60" s="22" t="s">
        <v>204</v>
      </c>
      <c r="Q60" s="22" t="s">
        <v>98</v>
      </c>
      <c r="R60" s="35"/>
      <c r="S60" s="31">
        <v>2026</v>
      </c>
      <c r="T60" s="26"/>
      <c r="U60" s="26"/>
      <c r="V60" s="27"/>
      <c r="X60" s="20" t="s">
        <v>400</v>
      </c>
      <c r="Y60" s="20" t="s">
        <v>401</v>
      </c>
    </row>
    <row r="61" spans="1:25" ht="11.25" customHeight="1" x14ac:dyDescent="0.2">
      <c r="A61" s="21" t="s">
        <v>402</v>
      </c>
      <c r="B61" s="22" t="s">
        <v>403</v>
      </c>
      <c r="C61" s="22" t="s">
        <v>36</v>
      </c>
      <c r="D61" s="23"/>
      <c r="E61" s="23"/>
      <c r="F61" s="23"/>
      <c r="G61" s="22"/>
      <c r="H61" s="23"/>
      <c r="I61" s="24"/>
      <c r="J61" s="23"/>
      <c r="K61" s="24"/>
      <c r="L61" s="23"/>
      <c r="M61" s="22" t="s">
        <v>98</v>
      </c>
      <c r="N61" s="23">
        <v>985000000</v>
      </c>
      <c r="O61" s="23" t="str">
        <f t="shared" si="17"/>
        <v/>
      </c>
      <c r="P61" s="22" t="s">
        <v>404</v>
      </c>
      <c r="Q61" s="22"/>
      <c r="R61" s="35"/>
      <c r="S61" s="36"/>
      <c r="T61" s="26"/>
      <c r="U61" s="26"/>
      <c r="V61" s="27"/>
      <c r="X61" s="20" t="s">
        <v>405</v>
      </c>
      <c r="Y61" s="20" t="s">
        <v>334</v>
      </c>
    </row>
    <row r="62" spans="1:25" ht="11.25" customHeight="1" x14ac:dyDescent="0.2">
      <c r="A62" s="21" t="s">
        <v>140</v>
      </c>
      <c r="B62" s="22" t="s">
        <v>406</v>
      </c>
      <c r="C62" s="22" t="s">
        <v>19</v>
      </c>
      <c r="D62" s="23"/>
      <c r="E62" s="23"/>
      <c r="F62" s="23">
        <f>G62*350</f>
        <v>17500000</v>
      </c>
      <c r="G62" s="23">
        <v>50000</v>
      </c>
      <c r="H62" s="23">
        <f>G62/36.7437</f>
        <v>1360.7774938288742</v>
      </c>
      <c r="I62" s="23">
        <f>G62*11.5</f>
        <v>575000</v>
      </c>
      <c r="J62" s="23">
        <f>I62*350</f>
        <v>201250000</v>
      </c>
      <c r="K62" s="24">
        <f>I62/2204.622</f>
        <v>260.81568631720086</v>
      </c>
      <c r="L62" s="23">
        <f>K62*350</f>
        <v>91285.490211020297</v>
      </c>
      <c r="M62" s="22"/>
      <c r="N62" s="23" t="str">
        <f>IF(M62="X",J62*1,"")</f>
        <v/>
      </c>
      <c r="O62" s="23" t="str">
        <f t="shared" si="17"/>
        <v/>
      </c>
      <c r="P62" s="22" t="s">
        <v>204</v>
      </c>
      <c r="Q62" s="22"/>
      <c r="R62" s="35"/>
      <c r="S62" s="36"/>
      <c r="T62" s="26"/>
      <c r="U62" s="26"/>
      <c r="V62" s="27"/>
      <c r="X62" s="20" t="s">
        <v>277</v>
      </c>
      <c r="Y62" s="20" t="s">
        <v>278</v>
      </c>
    </row>
    <row r="63" spans="1:25" ht="11.25" customHeight="1" x14ac:dyDescent="0.2">
      <c r="A63" s="21" t="s">
        <v>407</v>
      </c>
      <c r="B63" s="22" t="s">
        <v>408</v>
      </c>
      <c r="C63" s="22" t="s">
        <v>25</v>
      </c>
      <c r="D63" s="23"/>
      <c r="E63" s="23"/>
      <c r="F63" s="23">
        <f>G63*350</f>
        <v>52500000</v>
      </c>
      <c r="G63" s="23">
        <v>150000</v>
      </c>
      <c r="H63" s="23">
        <f>G63/36.7437</f>
        <v>4082.3324814866223</v>
      </c>
      <c r="I63" s="23">
        <f>G63*11.5</f>
        <v>1725000</v>
      </c>
      <c r="J63" s="23">
        <f>I63*350</f>
        <v>603750000</v>
      </c>
      <c r="K63" s="24">
        <f>I63/2204.622</f>
        <v>782.44705895160268</v>
      </c>
      <c r="L63" s="23">
        <f>K63*350</f>
        <v>273856.47063306096</v>
      </c>
      <c r="M63" s="22" t="s">
        <v>98</v>
      </c>
      <c r="N63" s="23">
        <f>IF(M63="X",J63*1,"")</f>
        <v>603750000</v>
      </c>
      <c r="O63" s="23" t="str">
        <f t="shared" si="17"/>
        <v/>
      </c>
      <c r="P63" s="22" t="s">
        <v>204</v>
      </c>
      <c r="Q63" s="22" t="s">
        <v>98</v>
      </c>
      <c r="R63" s="35"/>
      <c r="S63" s="36"/>
      <c r="T63" s="26"/>
      <c r="U63" s="26"/>
      <c r="V63" s="27"/>
      <c r="X63" s="20" t="s">
        <v>409</v>
      </c>
      <c r="Y63" s="20" t="s">
        <v>410</v>
      </c>
    </row>
    <row r="64" spans="1:25" ht="11.25" customHeight="1" x14ac:dyDescent="0.2">
      <c r="A64" s="21" t="s">
        <v>407</v>
      </c>
      <c r="B64" s="22" t="s">
        <v>411</v>
      </c>
      <c r="C64" s="22" t="s">
        <v>36</v>
      </c>
      <c r="D64" s="26">
        <f>1500000*36.7437</f>
        <v>55115549.999999993</v>
      </c>
      <c r="E64" s="26">
        <f>MROUND(D64/350,500)</f>
        <v>157500</v>
      </c>
      <c r="F64" s="23"/>
      <c r="G64" s="23"/>
      <c r="H64" s="23"/>
      <c r="I64" s="23"/>
      <c r="J64" s="23"/>
      <c r="K64" s="24"/>
      <c r="L64" s="23"/>
      <c r="M64" s="22" t="s">
        <v>98</v>
      </c>
      <c r="N64" s="23"/>
      <c r="O64" s="26">
        <f>320000*2204.622</f>
        <v>705479040</v>
      </c>
      <c r="P64" s="22"/>
      <c r="Q64" s="22"/>
      <c r="R64" s="35"/>
      <c r="S64" s="31">
        <v>2026</v>
      </c>
      <c r="T64" s="26"/>
      <c r="U64" s="26"/>
      <c r="V64" s="27"/>
      <c r="X64" s="20" t="s">
        <v>330</v>
      </c>
      <c r="Y64" s="20" t="s">
        <v>412</v>
      </c>
    </row>
    <row r="65" spans="1:25" ht="11.25" customHeight="1" x14ac:dyDescent="0.2">
      <c r="A65" s="21" t="s">
        <v>413</v>
      </c>
      <c r="B65" s="22" t="s">
        <v>414</v>
      </c>
      <c r="C65" s="22" t="s">
        <v>28</v>
      </c>
      <c r="D65" s="23"/>
      <c r="E65" s="23"/>
      <c r="F65" s="23">
        <f>G65*350</f>
        <v>40250000</v>
      </c>
      <c r="G65" s="23">
        <v>115000</v>
      </c>
      <c r="H65" s="23">
        <f>G65/36.7437</f>
        <v>3129.7882358064107</v>
      </c>
      <c r="I65" s="23">
        <f>G65*11.5</f>
        <v>1322500</v>
      </c>
      <c r="J65" s="23">
        <f>I65*350</f>
        <v>462875000</v>
      </c>
      <c r="K65" s="24">
        <f>I65/2204.622</f>
        <v>599.87607852956205</v>
      </c>
      <c r="L65" s="23">
        <f>K65*350</f>
        <v>209956.62748534672</v>
      </c>
      <c r="M65" s="32" t="s">
        <v>98</v>
      </c>
      <c r="N65" s="23">
        <f>IF(M65="X",J65*1,"")</f>
        <v>462875000</v>
      </c>
      <c r="O65" s="23" t="str">
        <f t="shared" si="17"/>
        <v/>
      </c>
      <c r="P65" s="22" t="s">
        <v>204</v>
      </c>
      <c r="Q65" s="22" t="s">
        <v>98</v>
      </c>
      <c r="R65" s="35"/>
      <c r="S65" s="36"/>
      <c r="T65" s="26"/>
      <c r="U65" s="26"/>
      <c r="V65" s="27"/>
      <c r="X65" s="20" t="s">
        <v>415</v>
      </c>
      <c r="Y65" s="20" t="s">
        <v>416</v>
      </c>
    </row>
    <row r="66" spans="1:25" ht="11.25" customHeight="1" x14ac:dyDescent="0.2">
      <c r="A66" s="21" t="s">
        <v>413</v>
      </c>
      <c r="B66" s="22" t="s">
        <v>254</v>
      </c>
      <c r="C66" s="22" t="s">
        <v>44</v>
      </c>
      <c r="D66" s="26">
        <f>1500000*36.7437</f>
        <v>55115549.999999993</v>
      </c>
      <c r="E66" s="26">
        <f>MROUND(D66/350,500)</f>
        <v>157500</v>
      </c>
      <c r="F66" s="23"/>
      <c r="G66" s="23"/>
      <c r="H66" s="23"/>
      <c r="I66" s="23"/>
      <c r="J66" s="23"/>
      <c r="K66" s="24"/>
      <c r="L66" s="23"/>
      <c r="M66" s="22"/>
      <c r="N66" s="23"/>
      <c r="O66" s="26"/>
      <c r="P66" s="22" t="s">
        <v>204</v>
      </c>
      <c r="Q66" s="22"/>
      <c r="R66" s="35"/>
      <c r="S66" s="36"/>
      <c r="T66" s="26"/>
      <c r="U66" s="26"/>
      <c r="V66" s="27" t="s">
        <v>417</v>
      </c>
      <c r="X66" s="20" t="s">
        <v>256</v>
      </c>
      <c r="Y66" s="20" t="s">
        <v>257</v>
      </c>
    </row>
    <row r="67" spans="1:25" ht="11.25" customHeight="1" x14ac:dyDescent="0.2">
      <c r="A67" s="30" t="s">
        <v>418</v>
      </c>
      <c r="B67" s="28" t="s">
        <v>419</v>
      </c>
      <c r="C67" s="28" t="s">
        <v>31</v>
      </c>
      <c r="D67" s="26">
        <v>38500000</v>
      </c>
      <c r="E67" s="26">
        <f>MROUND(D67/350,500)</f>
        <v>110000</v>
      </c>
      <c r="F67" s="26"/>
      <c r="G67" s="26"/>
      <c r="H67" s="26"/>
      <c r="I67" s="26"/>
      <c r="J67" s="26"/>
      <c r="K67" s="24"/>
      <c r="L67" s="23"/>
      <c r="M67" s="28"/>
      <c r="N67" s="26"/>
      <c r="O67" s="26" t="str">
        <f t="shared" si="17"/>
        <v/>
      </c>
      <c r="P67" s="22" t="s">
        <v>204</v>
      </c>
      <c r="Q67" s="22"/>
      <c r="R67" s="35"/>
      <c r="S67" s="31">
        <v>2026</v>
      </c>
      <c r="T67" s="26"/>
      <c r="U67" s="26"/>
      <c r="V67" s="33" t="s">
        <v>420</v>
      </c>
      <c r="X67" s="20" t="s">
        <v>421</v>
      </c>
      <c r="Y67" s="20" t="s">
        <v>422</v>
      </c>
    </row>
    <row r="68" spans="1:25" ht="11.25" customHeight="1" x14ac:dyDescent="0.2">
      <c r="A68" s="21" t="s">
        <v>149</v>
      </c>
      <c r="B68" s="22" t="s">
        <v>423</v>
      </c>
      <c r="C68" s="22" t="s">
        <v>152</v>
      </c>
      <c r="D68" s="23"/>
      <c r="E68" s="23"/>
      <c r="F68" s="23">
        <f>G68*350</f>
        <v>43750000</v>
      </c>
      <c r="G68" s="23">
        <v>125000</v>
      </c>
      <c r="H68" s="23">
        <f>G68/36.7437</f>
        <v>3401.9437345721853</v>
      </c>
      <c r="I68" s="23">
        <f>G68*11.5</f>
        <v>1437500</v>
      </c>
      <c r="J68" s="23">
        <f>I68*350</f>
        <v>503125000</v>
      </c>
      <c r="K68" s="24">
        <f>I68/2204.622</f>
        <v>652.0392157930022</v>
      </c>
      <c r="L68" s="23">
        <f>K68*350</f>
        <v>228213.72552755076</v>
      </c>
      <c r="M68" s="22" t="s">
        <v>98</v>
      </c>
      <c r="N68" s="23">
        <f>IF(M68="X",J68*1,"")</f>
        <v>503125000</v>
      </c>
      <c r="O68" s="23" t="str">
        <f t="shared" si="17"/>
        <v/>
      </c>
      <c r="P68" s="22" t="s">
        <v>204</v>
      </c>
      <c r="Q68" s="22" t="s">
        <v>98</v>
      </c>
      <c r="R68" s="35"/>
      <c r="S68" s="36"/>
      <c r="T68" s="26"/>
      <c r="U68" s="26"/>
      <c r="V68" s="27" t="s">
        <v>424</v>
      </c>
      <c r="X68" s="20" t="s">
        <v>425</v>
      </c>
      <c r="Y68" s="20" t="s">
        <v>426</v>
      </c>
    </row>
    <row r="69" spans="1:25" ht="11.25" customHeight="1" x14ac:dyDescent="0.2">
      <c r="A69" s="21" t="s">
        <v>427</v>
      </c>
      <c r="B69" s="47" t="s">
        <v>428</v>
      </c>
      <c r="C69" s="22" t="s">
        <v>158</v>
      </c>
      <c r="D69" s="23"/>
      <c r="E69" s="23"/>
      <c r="F69" s="23">
        <f>G69*350</f>
        <v>17500000</v>
      </c>
      <c r="G69" s="23">
        <v>50000</v>
      </c>
      <c r="H69" s="23">
        <f>G69/36.7437</f>
        <v>1360.7774938288742</v>
      </c>
      <c r="I69" s="23">
        <f>G69*11.5</f>
        <v>575000</v>
      </c>
      <c r="J69" s="23">
        <f>I69*350</f>
        <v>201250000</v>
      </c>
      <c r="K69" s="24">
        <f>I69/2204.622</f>
        <v>260.81568631720086</v>
      </c>
      <c r="L69" s="23">
        <f>K69*350</f>
        <v>91285.490211020297</v>
      </c>
      <c r="M69" s="22" t="s">
        <v>98</v>
      </c>
      <c r="N69" s="23">
        <f>IF(M69="X",J69*1,"")</f>
        <v>201250000</v>
      </c>
      <c r="O69" s="23" t="str">
        <f t="shared" si="17"/>
        <v/>
      </c>
      <c r="P69" s="22" t="s">
        <v>204</v>
      </c>
      <c r="Q69" s="22"/>
      <c r="R69" s="35"/>
      <c r="S69" s="36"/>
      <c r="T69" s="26"/>
      <c r="U69" s="26"/>
      <c r="V69" s="27"/>
      <c r="X69" s="20" t="s">
        <v>429</v>
      </c>
      <c r="Y69" s="20" t="s">
        <v>430</v>
      </c>
    </row>
    <row r="70" spans="1:25" ht="11.25" customHeight="1" x14ac:dyDescent="0.2">
      <c r="A70" s="21" t="s">
        <v>427</v>
      </c>
      <c r="B70" s="22" t="s">
        <v>431</v>
      </c>
      <c r="C70" s="22" t="s">
        <v>116</v>
      </c>
      <c r="D70" s="23"/>
      <c r="E70" s="23"/>
      <c r="F70" s="23">
        <f>G70*350</f>
        <v>10500000</v>
      </c>
      <c r="G70" s="23">
        <v>30000</v>
      </c>
      <c r="H70" s="23">
        <f>G70/36.7437</f>
        <v>816.46649629732451</v>
      </c>
      <c r="I70" s="23">
        <f>G70*11.5</f>
        <v>345000</v>
      </c>
      <c r="J70" s="23">
        <f>I70*350</f>
        <v>120750000</v>
      </c>
      <c r="K70" s="24">
        <f>I70/2204.622</f>
        <v>156.48941179032053</v>
      </c>
      <c r="L70" s="23">
        <f>K70*350</f>
        <v>54771.294126612185</v>
      </c>
      <c r="M70" s="22"/>
      <c r="N70" s="23" t="str">
        <f>IF(M70="X",J70*1,"")</f>
        <v/>
      </c>
      <c r="O70" s="23" t="str">
        <f t="shared" si="17"/>
        <v/>
      </c>
      <c r="P70" s="22" t="s">
        <v>204</v>
      </c>
      <c r="Q70" s="22"/>
      <c r="R70" s="35"/>
      <c r="S70" s="36"/>
      <c r="T70" s="26"/>
      <c r="U70" s="26"/>
      <c r="V70" s="27"/>
      <c r="X70" s="20" t="s">
        <v>432</v>
      </c>
      <c r="Y70" s="20" t="s">
        <v>433</v>
      </c>
    </row>
    <row r="71" spans="1:25" ht="11.25" customHeight="1" x14ac:dyDescent="0.2">
      <c r="A71" s="21" t="s">
        <v>427</v>
      </c>
      <c r="B71" s="46" t="s">
        <v>163</v>
      </c>
      <c r="C71" s="22" t="s">
        <v>74</v>
      </c>
      <c r="D71" s="23"/>
      <c r="E71" s="23"/>
      <c r="F71" s="23">
        <f>G71*350</f>
        <v>16800000</v>
      </c>
      <c r="G71" s="23">
        <v>48000</v>
      </c>
      <c r="H71" s="23">
        <f>G71/36.7437</f>
        <v>1306.3463940757192</v>
      </c>
      <c r="I71" s="23">
        <f>G71*11.5</f>
        <v>552000</v>
      </c>
      <c r="J71" s="23">
        <f>I71*350</f>
        <v>193200000</v>
      </c>
      <c r="K71" s="24">
        <f>I71/2204.622</f>
        <v>250.38305886451283</v>
      </c>
      <c r="L71" s="23">
        <f>K71*350</f>
        <v>87634.070602579493</v>
      </c>
      <c r="M71" s="22"/>
      <c r="N71" s="23" t="str">
        <f>IF(M71="X",J71*1,"")</f>
        <v/>
      </c>
      <c r="O71" s="23" t="str">
        <f t="shared" si="17"/>
        <v/>
      </c>
      <c r="P71" s="22" t="s">
        <v>204</v>
      </c>
      <c r="Q71" s="22"/>
      <c r="R71" s="35"/>
      <c r="S71" s="36"/>
      <c r="T71" s="26"/>
      <c r="U71" s="26"/>
      <c r="V71" s="27"/>
      <c r="X71" s="20" t="s">
        <v>429</v>
      </c>
      <c r="Y71" s="20" t="s">
        <v>262</v>
      </c>
    </row>
    <row r="72" spans="1:25" ht="11.25" customHeight="1" x14ac:dyDescent="0.2">
      <c r="A72" s="30" t="s">
        <v>427</v>
      </c>
      <c r="B72" s="28" t="s">
        <v>434</v>
      </c>
      <c r="C72" s="28" t="s">
        <v>161</v>
      </c>
      <c r="D72" s="26">
        <f>F72</f>
        <v>5775000</v>
      </c>
      <c r="E72" s="26">
        <f>MROUND(D72/350,500)</f>
        <v>16500</v>
      </c>
      <c r="F72" s="26">
        <f>G72*350</f>
        <v>5775000</v>
      </c>
      <c r="G72" s="26">
        <f>(MROUND(H72*36.7437,500))</f>
        <v>16500</v>
      </c>
      <c r="H72" s="23">
        <v>450</v>
      </c>
      <c r="I72" s="23">
        <f>G72*11.5</f>
        <v>189750</v>
      </c>
      <c r="J72" s="26">
        <f>I72*350</f>
        <v>66412500</v>
      </c>
      <c r="K72" s="24">
        <f>I72/2204.622</f>
        <v>86.069176484676291</v>
      </c>
      <c r="L72" s="23">
        <f>K72*350</f>
        <v>30124.211769636702</v>
      </c>
      <c r="M72" s="28"/>
      <c r="N72" s="26" t="str">
        <f>IF(M72="X",J72*1,"")</f>
        <v/>
      </c>
      <c r="O72" s="26" t="str">
        <f t="shared" si="17"/>
        <v/>
      </c>
      <c r="P72" s="22" t="s">
        <v>204</v>
      </c>
      <c r="Q72" s="22"/>
      <c r="R72" s="35"/>
      <c r="S72" s="31">
        <v>2024</v>
      </c>
      <c r="T72" s="26"/>
      <c r="U72" s="26"/>
      <c r="V72" s="33" t="s">
        <v>435</v>
      </c>
      <c r="X72" s="20" t="s">
        <v>436</v>
      </c>
      <c r="Y72" s="20" t="s">
        <v>434</v>
      </c>
    </row>
    <row r="73" spans="1:25" ht="11.25" customHeight="1" x14ac:dyDescent="0.2">
      <c r="A73" s="48" t="s">
        <v>437</v>
      </c>
      <c r="B73" s="28" t="s">
        <v>438</v>
      </c>
      <c r="C73" s="28" t="s">
        <v>19</v>
      </c>
      <c r="D73" s="26">
        <v>38500000</v>
      </c>
      <c r="E73" s="26">
        <f>MROUND(D73/350,500)</f>
        <v>110000</v>
      </c>
      <c r="F73" s="26"/>
      <c r="G73" s="26"/>
      <c r="H73" s="23"/>
      <c r="I73" s="23"/>
      <c r="J73" s="26"/>
      <c r="K73" s="24"/>
      <c r="L73" s="23"/>
      <c r="M73" s="28" t="s">
        <v>98</v>
      </c>
      <c r="N73" s="26"/>
      <c r="O73" s="26">
        <f t="shared" si="17"/>
        <v>442750000</v>
      </c>
      <c r="P73" s="28" t="s">
        <v>282</v>
      </c>
      <c r="Q73" s="22"/>
      <c r="R73" s="35"/>
      <c r="S73" s="31">
        <v>2024</v>
      </c>
      <c r="T73" s="26"/>
      <c r="U73" s="26"/>
      <c r="V73" s="27"/>
      <c r="X73" s="20" t="s">
        <v>274</v>
      </c>
      <c r="Y73" s="20" t="s">
        <v>439</v>
      </c>
    </row>
    <row r="74" spans="1:25" ht="11.25" customHeight="1" x14ac:dyDescent="0.2">
      <c r="A74" s="21" t="s">
        <v>440</v>
      </c>
      <c r="B74" s="22" t="s">
        <v>441</v>
      </c>
      <c r="C74" s="22" t="s">
        <v>172</v>
      </c>
      <c r="D74" s="23"/>
      <c r="E74" s="23"/>
      <c r="F74" s="23">
        <f>G74*350</f>
        <v>747183.13950000005</v>
      </c>
      <c r="G74" s="23">
        <f>H74*36.7437</f>
        <v>2134.80897</v>
      </c>
      <c r="H74" s="23">
        <v>58.1</v>
      </c>
      <c r="I74" s="24" t="s">
        <v>70</v>
      </c>
      <c r="J74" s="23"/>
      <c r="K74" s="24"/>
      <c r="L74" s="23"/>
      <c r="M74" s="22"/>
      <c r="N74" s="23" t="str">
        <f t="shared" ref="N74:N80" si="18">IF(M74="X",J74*1,"")</f>
        <v/>
      </c>
      <c r="O74" s="23" t="str">
        <f t="shared" si="17"/>
        <v/>
      </c>
      <c r="P74" s="22" t="s">
        <v>204</v>
      </c>
      <c r="Q74" s="22"/>
      <c r="R74" s="35"/>
      <c r="S74" s="36"/>
      <c r="T74" s="26"/>
      <c r="U74" s="26"/>
      <c r="V74" s="27"/>
      <c r="X74" s="20" t="s">
        <v>442</v>
      </c>
      <c r="Y74" s="20" t="s">
        <v>443</v>
      </c>
    </row>
    <row r="75" spans="1:25" ht="11.25" customHeight="1" x14ac:dyDescent="0.2">
      <c r="A75" s="21" t="s">
        <v>440</v>
      </c>
      <c r="B75" s="22" t="s">
        <v>444</v>
      </c>
      <c r="C75" s="22" t="s">
        <v>167</v>
      </c>
      <c r="D75" s="23"/>
      <c r="E75" s="23"/>
      <c r="F75" s="23">
        <f>G75*350</f>
        <v>17500000</v>
      </c>
      <c r="G75" s="23">
        <v>50000</v>
      </c>
      <c r="H75" s="23">
        <f>G75/36.7437</f>
        <v>1360.7774938288742</v>
      </c>
      <c r="I75" s="24" t="s">
        <v>70</v>
      </c>
      <c r="J75" s="23"/>
      <c r="K75" s="24"/>
      <c r="L75" s="23"/>
      <c r="M75" s="22"/>
      <c r="N75" s="23" t="str">
        <f t="shared" si="18"/>
        <v/>
      </c>
      <c r="O75" s="23" t="str">
        <f t="shared" si="17"/>
        <v/>
      </c>
      <c r="P75" s="22" t="s">
        <v>204</v>
      </c>
      <c r="Q75" s="22"/>
      <c r="R75" s="35"/>
      <c r="S75" s="36"/>
      <c r="T75" s="26"/>
      <c r="U75" s="26"/>
      <c r="V75" s="27"/>
      <c r="X75" s="20" t="s">
        <v>445</v>
      </c>
      <c r="Y75" s="20" t="s">
        <v>446</v>
      </c>
    </row>
    <row r="76" spans="1:25" ht="11.25" customHeight="1" x14ac:dyDescent="0.2">
      <c r="A76" s="21" t="s">
        <v>440</v>
      </c>
      <c r="B76" s="22" t="s">
        <v>447</v>
      </c>
      <c r="C76" s="22" t="s">
        <v>167</v>
      </c>
      <c r="D76" s="23"/>
      <c r="E76" s="23"/>
      <c r="F76" s="23"/>
      <c r="G76" s="23"/>
      <c r="H76" s="23"/>
      <c r="I76" s="24" t="s">
        <v>70</v>
      </c>
      <c r="J76" s="23"/>
      <c r="K76" s="24"/>
      <c r="L76" s="23"/>
      <c r="M76" s="22"/>
      <c r="N76" s="23" t="str">
        <f t="shared" si="18"/>
        <v/>
      </c>
      <c r="O76" s="23" t="str">
        <f t="shared" si="17"/>
        <v/>
      </c>
      <c r="P76" s="22" t="s">
        <v>204</v>
      </c>
      <c r="Q76" s="22"/>
      <c r="R76" s="35"/>
      <c r="S76" s="36"/>
      <c r="T76" s="26"/>
      <c r="U76" s="26"/>
      <c r="V76" s="27"/>
      <c r="X76" s="20" t="s">
        <v>448</v>
      </c>
      <c r="Y76" s="20" t="s">
        <v>449</v>
      </c>
    </row>
    <row r="77" spans="1:25" ht="11.25" customHeight="1" x14ac:dyDescent="0.2">
      <c r="A77" s="21" t="s">
        <v>450</v>
      </c>
      <c r="B77" s="22" t="s">
        <v>451</v>
      </c>
      <c r="C77" s="22" t="s">
        <v>176</v>
      </c>
      <c r="D77" s="23"/>
      <c r="E77" s="23"/>
      <c r="F77" s="23">
        <f>G77*350</f>
        <v>31500000</v>
      </c>
      <c r="G77" s="23">
        <v>90000</v>
      </c>
      <c r="H77" s="23">
        <f>G77/36.7437</f>
        <v>2449.3994888919733</v>
      </c>
      <c r="I77" s="23">
        <f>G77*11.5</f>
        <v>1035000</v>
      </c>
      <c r="J77" s="23">
        <f>I77*350</f>
        <v>362250000</v>
      </c>
      <c r="K77" s="24">
        <f>I77/2204.622</f>
        <v>469.46823537096157</v>
      </c>
      <c r="L77" s="23">
        <f>K77*350</f>
        <v>164313.88237983655</v>
      </c>
      <c r="M77" s="22" t="s">
        <v>98</v>
      </c>
      <c r="N77" s="23">
        <f t="shared" si="18"/>
        <v>362250000</v>
      </c>
      <c r="O77" s="23" t="str">
        <f t="shared" si="17"/>
        <v/>
      </c>
      <c r="P77" s="22" t="s">
        <v>404</v>
      </c>
      <c r="Q77" s="22"/>
      <c r="R77" s="35"/>
      <c r="S77" s="36"/>
      <c r="T77" s="26"/>
      <c r="U77" s="26"/>
      <c r="V77" s="27"/>
      <c r="X77" s="20" t="s">
        <v>452</v>
      </c>
      <c r="Y77" s="20" t="s">
        <v>453</v>
      </c>
    </row>
    <row r="78" spans="1:25" ht="11.25" customHeight="1" x14ac:dyDescent="0.2">
      <c r="A78" s="21" t="s">
        <v>454</v>
      </c>
      <c r="B78" s="22" t="s">
        <v>455</v>
      </c>
      <c r="C78" s="22" t="s">
        <v>456</v>
      </c>
      <c r="D78" s="23"/>
      <c r="E78" s="23"/>
      <c r="F78" s="23"/>
      <c r="G78" s="23"/>
      <c r="H78" s="23"/>
      <c r="I78" s="23"/>
      <c r="J78" s="23"/>
      <c r="K78" s="24"/>
      <c r="L78" s="23"/>
      <c r="M78" s="22"/>
      <c r="N78" s="23" t="str">
        <f t="shared" si="18"/>
        <v/>
      </c>
      <c r="O78" s="23" t="str">
        <f t="shared" si="17"/>
        <v/>
      </c>
      <c r="P78" s="22" t="s">
        <v>204</v>
      </c>
      <c r="Q78" s="22"/>
      <c r="R78" s="35"/>
      <c r="S78" s="36"/>
      <c r="T78" s="26"/>
      <c r="U78" s="26"/>
      <c r="V78" s="27"/>
      <c r="X78" s="20" t="s">
        <v>457</v>
      </c>
      <c r="Y78" s="20" t="s">
        <v>320</v>
      </c>
    </row>
    <row r="79" spans="1:25" ht="11.25" customHeight="1" x14ac:dyDescent="0.2">
      <c r="A79" s="21" t="s">
        <v>458</v>
      </c>
      <c r="B79" s="22" t="s">
        <v>459</v>
      </c>
      <c r="C79" s="22" t="s">
        <v>25</v>
      </c>
      <c r="D79" s="23"/>
      <c r="E79" s="23"/>
      <c r="F79" s="23"/>
      <c r="G79" s="23"/>
      <c r="H79" s="23"/>
      <c r="I79" s="23"/>
      <c r="J79" s="23"/>
      <c r="K79" s="24"/>
      <c r="L79" s="23"/>
      <c r="M79" s="22"/>
      <c r="N79" s="23" t="str">
        <f t="shared" si="18"/>
        <v/>
      </c>
      <c r="O79" s="23" t="str">
        <f t="shared" si="17"/>
        <v/>
      </c>
      <c r="P79" s="22" t="s">
        <v>204</v>
      </c>
      <c r="Q79" s="22"/>
      <c r="R79" s="35"/>
      <c r="S79" s="36"/>
      <c r="T79" s="26"/>
      <c r="U79" s="26"/>
      <c r="V79" s="27" t="s">
        <v>460</v>
      </c>
      <c r="X79" s="20" t="s">
        <v>461</v>
      </c>
      <c r="Y79" s="20" t="s">
        <v>366</v>
      </c>
    </row>
    <row r="80" spans="1:25" ht="11.25" customHeight="1" x14ac:dyDescent="0.2">
      <c r="A80" s="30" t="s">
        <v>462</v>
      </c>
      <c r="B80" s="28" t="s">
        <v>463</v>
      </c>
      <c r="C80" s="28" t="s">
        <v>87</v>
      </c>
      <c r="D80" s="26">
        <v>38500000</v>
      </c>
      <c r="E80" s="26">
        <f>MROUND(D80/350,500)</f>
        <v>110000</v>
      </c>
      <c r="F80" s="26"/>
      <c r="G80" s="26"/>
      <c r="H80" s="23"/>
      <c r="I80" s="23"/>
      <c r="J80" s="26"/>
      <c r="K80" s="24"/>
      <c r="L80" s="23"/>
      <c r="M80" s="28" t="s">
        <v>98</v>
      </c>
      <c r="N80" s="26">
        <f t="shared" si="18"/>
        <v>0</v>
      </c>
      <c r="O80" s="26">
        <f t="shared" si="17"/>
        <v>442750000</v>
      </c>
      <c r="P80" s="28" t="s">
        <v>204</v>
      </c>
      <c r="Q80" s="22"/>
      <c r="R80" s="35"/>
      <c r="S80" s="31">
        <v>2024</v>
      </c>
      <c r="T80" s="26"/>
      <c r="U80" s="26"/>
      <c r="V80" s="33" t="s">
        <v>464</v>
      </c>
      <c r="X80" s="20" t="s">
        <v>465</v>
      </c>
      <c r="Y80" s="20" t="s">
        <v>466</v>
      </c>
    </row>
    <row r="81" spans="1:41" ht="11.25" customHeight="1" x14ac:dyDescent="0.2">
      <c r="A81" s="30" t="s">
        <v>467</v>
      </c>
      <c r="B81" s="28" t="s">
        <v>468</v>
      </c>
      <c r="C81" s="28" t="s">
        <v>66</v>
      </c>
      <c r="D81" s="26">
        <v>35000000</v>
      </c>
      <c r="E81" s="26">
        <f>MROUND(D81/350,500)</f>
        <v>100000</v>
      </c>
      <c r="F81" s="26"/>
      <c r="G81" s="26"/>
      <c r="H81" s="23"/>
      <c r="I81" s="23"/>
      <c r="J81" s="26"/>
      <c r="K81" s="24"/>
      <c r="L81" s="23"/>
      <c r="M81" s="28"/>
      <c r="N81" s="26"/>
      <c r="O81" s="26" t="str">
        <f t="shared" si="17"/>
        <v/>
      </c>
      <c r="P81" s="28" t="s">
        <v>469</v>
      </c>
      <c r="Q81" s="22"/>
      <c r="R81" s="35"/>
      <c r="S81" s="31">
        <v>2026</v>
      </c>
      <c r="T81" s="26"/>
      <c r="U81" s="26"/>
      <c r="V81" s="27"/>
      <c r="X81" s="20" t="s">
        <v>470</v>
      </c>
      <c r="Y81" s="20" t="s">
        <v>471</v>
      </c>
    </row>
    <row r="82" spans="1:41" ht="11.25" customHeight="1" x14ac:dyDescent="0.2">
      <c r="A82" s="21" t="s">
        <v>467</v>
      </c>
      <c r="B82" s="22" t="s">
        <v>472</v>
      </c>
      <c r="C82" s="22" t="s">
        <v>66</v>
      </c>
      <c r="D82" s="23"/>
      <c r="E82" s="23"/>
      <c r="F82" s="23">
        <f>G82*350</f>
        <v>29750000</v>
      </c>
      <c r="G82" s="23">
        <v>85000</v>
      </c>
      <c r="H82" s="23">
        <f>G82/36.7437</f>
        <v>2313.321739509086</v>
      </c>
      <c r="I82" s="23">
        <f>G82*11.5</f>
        <v>977500</v>
      </c>
      <c r="J82" s="23">
        <f>I82*350</f>
        <v>342125000</v>
      </c>
      <c r="K82" s="24">
        <f>I82/2204.622</f>
        <v>443.38666673924149</v>
      </c>
      <c r="L82" s="23">
        <f>K82*350</f>
        <v>155185.33335873453</v>
      </c>
      <c r="M82" s="22" t="s">
        <v>98</v>
      </c>
      <c r="N82" s="23">
        <f>IF(M82="X",J82*1,"")</f>
        <v>342125000</v>
      </c>
      <c r="O82" s="23" t="str">
        <f t="shared" si="17"/>
        <v/>
      </c>
      <c r="P82" s="22" t="s">
        <v>204</v>
      </c>
      <c r="Q82" s="22"/>
      <c r="R82" s="35"/>
      <c r="S82" s="36"/>
      <c r="T82" s="26"/>
      <c r="U82" s="26"/>
      <c r="V82" s="27"/>
      <c r="X82" s="20" t="s">
        <v>470</v>
      </c>
      <c r="Y82" s="20" t="s">
        <v>473</v>
      </c>
    </row>
    <row r="83" spans="1:41" ht="11.25" customHeight="1" x14ac:dyDescent="0.2">
      <c r="A83" s="30" t="s">
        <v>474</v>
      </c>
      <c r="B83" s="28" t="s">
        <v>186</v>
      </c>
      <c r="C83" s="28" t="s">
        <v>19</v>
      </c>
      <c r="D83" s="26">
        <v>38500000</v>
      </c>
      <c r="E83" s="26">
        <f>MROUND(D83/350,500)</f>
        <v>110000</v>
      </c>
      <c r="F83" s="26"/>
      <c r="G83" s="26"/>
      <c r="H83" s="23">
        <f>E83/36.7437</f>
        <v>2993.710486423523</v>
      </c>
      <c r="I83" s="26"/>
      <c r="J83" s="26"/>
      <c r="K83" s="24"/>
      <c r="L83" s="26">
        <f>O83/2204.622</f>
        <v>200828.07846424467</v>
      </c>
      <c r="M83" s="28" t="s">
        <v>98</v>
      </c>
      <c r="N83" s="26"/>
      <c r="O83" s="26">
        <f t="shared" si="17"/>
        <v>442750000</v>
      </c>
      <c r="P83" s="28" t="s">
        <v>204</v>
      </c>
      <c r="Q83" s="22"/>
      <c r="R83" s="35"/>
      <c r="S83" s="31">
        <v>2023</v>
      </c>
      <c r="T83" s="26"/>
      <c r="U83" s="26"/>
      <c r="V83" s="27" t="s">
        <v>475</v>
      </c>
      <c r="X83" s="20" t="s">
        <v>271</v>
      </c>
      <c r="Y83" s="20" t="s">
        <v>296</v>
      </c>
    </row>
    <row r="84" spans="1:41" ht="11.25" customHeight="1" x14ac:dyDescent="0.2">
      <c r="A84" s="21" t="s">
        <v>476</v>
      </c>
      <c r="B84" s="22" t="s">
        <v>477</v>
      </c>
      <c r="C84" s="22" t="s">
        <v>90</v>
      </c>
      <c r="D84" s="23"/>
      <c r="E84" s="23"/>
      <c r="F84" s="23"/>
      <c r="G84" s="23"/>
      <c r="H84" s="23"/>
      <c r="I84" s="23"/>
      <c r="J84" s="23"/>
      <c r="K84" s="24"/>
      <c r="L84" s="23"/>
      <c r="M84" s="22"/>
      <c r="N84" s="23" t="str">
        <f>IF(M84="X",J84*1,"")</f>
        <v/>
      </c>
      <c r="O84" s="23" t="str">
        <f t="shared" si="17"/>
        <v/>
      </c>
      <c r="P84" s="22" t="s">
        <v>204</v>
      </c>
      <c r="Q84" s="22"/>
      <c r="R84" s="35"/>
      <c r="S84" s="36"/>
      <c r="T84" s="26"/>
      <c r="U84" s="26"/>
      <c r="V84" s="49" t="s">
        <v>478</v>
      </c>
      <c r="X84" s="20" t="s">
        <v>479</v>
      </c>
      <c r="Y84" s="20" t="s">
        <v>480</v>
      </c>
    </row>
    <row r="85" spans="1:41" ht="11.25" customHeight="1" x14ac:dyDescent="0.2">
      <c r="A85" s="21" t="s">
        <v>481</v>
      </c>
      <c r="B85" s="22" t="s">
        <v>482</v>
      </c>
      <c r="C85" s="22" t="s">
        <v>172</v>
      </c>
      <c r="D85" s="23"/>
      <c r="E85" s="23"/>
      <c r="F85" s="23">
        <f>G85*350</f>
        <v>39995517.449999996</v>
      </c>
      <c r="G85" s="23">
        <f>H85*36.7437</f>
        <v>114272.90699999999</v>
      </c>
      <c r="H85" s="23">
        <v>3110</v>
      </c>
      <c r="I85" s="23">
        <f>G85*11.5</f>
        <v>1314138.4305</v>
      </c>
      <c r="J85" s="23">
        <f>I85*350</f>
        <v>459948450.67500001</v>
      </c>
      <c r="K85" s="24">
        <f>I85/2204.622</f>
        <v>596.08333333333337</v>
      </c>
      <c r="L85" s="23">
        <f>K85*350</f>
        <v>208629.16666666669</v>
      </c>
      <c r="M85" s="22"/>
      <c r="N85" s="23" t="str">
        <f>IF(M85="X",J85*1,"")</f>
        <v/>
      </c>
      <c r="O85" s="23" t="str">
        <f t="shared" si="17"/>
        <v/>
      </c>
      <c r="P85" s="22" t="s">
        <v>204</v>
      </c>
      <c r="Q85" s="22"/>
      <c r="R85" s="35"/>
      <c r="S85" s="36"/>
      <c r="T85" s="26"/>
      <c r="U85" s="26"/>
      <c r="V85" s="27"/>
      <c r="X85" s="20" t="s">
        <v>483</v>
      </c>
      <c r="Y85" s="20" t="s">
        <v>484</v>
      </c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ht="11.25" customHeight="1" x14ac:dyDescent="0.2">
      <c r="A86" s="21" t="s">
        <v>481</v>
      </c>
      <c r="B86" s="22" t="s">
        <v>485</v>
      </c>
      <c r="C86" s="22" t="s">
        <v>172</v>
      </c>
      <c r="D86" s="23"/>
      <c r="E86" s="23"/>
      <c r="F86" s="23">
        <f>G86*350</f>
        <v>14000000</v>
      </c>
      <c r="G86" s="23">
        <v>40000</v>
      </c>
      <c r="H86" s="23">
        <f>G86/36.7437</f>
        <v>1088.6219950630993</v>
      </c>
      <c r="I86" s="23">
        <f>G86*11.5</f>
        <v>460000</v>
      </c>
      <c r="J86" s="23">
        <f>I86*350</f>
        <v>161000000</v>
      </c>
      <c r="K86" s="24">
        <f>I86/2204.622</f>
        <v>208.65254905376071</v>
      </c>
      <c r="L86" s="23">
        <f>K86*350</f>
        <v>73028.392168816252</v>
      </c>
      <c r="M86" s="22" t="s">
        <v>98</v>
      </c>
      <c r="N86" s="23">
        <f>IF(M86="X",J86*1,"")</f>
        <v>161000000</v>
      </c>
      <c r="O86" s="23" t="str">
        <f t="shared" si="17"/>
        <v/>
      </c>
      <c r="P86" s="22" t="s">
        <v>486</v>
      </c>
      <c r="Q86" s="26"/>
      <c r="R86" s="26"/>
      <c r="S86" s="51"/>
      <c r="X86" s="20" t="s">
        <v>487</v>
      </c>
      <c r="Y86" s="20" t="s">
        <v>488</v>
      </c>
      <c r="Z86" s="50" t="s">
        <v>95</v>
      </c>
      <c r="AA86" s="50" t="s">
        <v>489</v>
      </c>
      <c r="AB86" s="50" t="s">
        <v>490</v>
      </c>
      <c r="AC86" s="50"/>
      <c r="AD86" s="50"/>
      <c r="AE86" s="50"/>
      <c r="AF86" s="50"/>
      <c r="AG86" s="50"/>
      <c r="AH86" s="50"/>
      <c r="AI86" s="50"/>
      <c r="AJ86" s="50"/>
      <c r="AK86" s="50"/>
      <c r="AL86" s="50" t="s">
        <v>491</v>
      </c>
    </row>
    <row r="87" spans="1:41" x14ac:dyDescent="0.2">
      <c r="F87" s="20" t="e" cm="1">
        <f t="array" aca="1" ref="F87" ca="1">stddev(F3:F86,D12,D25,D49,D54,D67,D73,D80,D81,D83)</f>
        <v>#NAME?</v>
      </c>
    </row>
    <row r="88" spans="1:41" x14ac:dyDescent="0.2">
      <c r="A88" s="21" t="s">
        <v>492</v>
      </c>
      <c r="B88" s="22"/>
      <c r="C88" s="22"/>
      <c r="D88" s="23"/>
      <c r="E88" s="23"/>
      <c r="F88" s="23"/>
      <c r="G88" s="23"/>
      <c r="H88" s="23"/>
      <c r="I88" s="23"/>
      <c r="J88" s="23"/>
      <c r="K88" s="24"/>
      <c r="L88" s="23"/>
      <c r="M88" s="22"/>
      <c r="N88" s="23"/>
      <c r="O88" s="23" t="str">
        <f>IF(D88="","",IF(M88="X",D88*11.5,""))</f>
        <v/>
      </c>
      <c r="P88" s="22"/>
      <c r="Q88" s="22"/>
      <c r="R88" s="35"/>
      <c r="S88" s="35"/>
      <c r="T88" s="35"/>
      <c r="U88" s="35"/>
      <c r="V88" s="27"/>
    </row>
    <row r="89" spans="1:41" x14ac:dyDescent="0.2">
      <c r="A89" s="21" t="s">
        <v>493</v>
      </c>
      <c r="B89" s="22"/>
      <c r="C89" s="22"/>
      <c r="D89" s="23"/>
      <c r="E89" s="23"/>
      <c r="F89" s="23">
        <f>SUM(F3:F85)</f>
        <v>2323692700.5895</v>
      </c>
      <c r="G89" s="23">
        <f>SUM(G3:G85)</f>
        <v>7516479.1445414275</v>
      </c>
      <c r="H89" s="23">
        <f>SUM(H3:H85)-H21</f>
        <v>321381055.42375493</v>
      </c>
      <c r="I89" s="23">
        <f>SUM(I3:I85)</f>
        <v>75154411.841672391</v>
      </c>
      <c r="J89" s="23">
        <f>SUM(J3:J85)</f>
        <v>26304044144.585339</v>
      </c>
      <c r="K89" s="23">
        <f>SUM(K3:K85)</f>
        <v>34089.288582513087</v>
      </c>
      <c r="L89" s="23">
        <f>SUM(L3:L85)</f>
        <v>12132079.082343824</v>
      </c>
      <c r="M89" s="22"/>
      <c r="N89" s="23">
        <f>SUM(N3:N86)</f>
        <v>21030712500</v>
      </c>
      <c r="O89" s="23"/>
      <c r="P89" s="22"/>
      <c r="Q89" s="22"/>
      <c r="R89" s="35"/>
      <c r="S89" s="35"/>
    </row>
    <row r="90" spans="1:41" x14ac:dyDescent="0.2">
      <c r="A90" s="21" t="s">
        <v>494</v>
      </c>
      <c r="B90" s="52" t="s">
        <v>495</v>
      </c>
      <c r="C90" s="22">
        <v>2022</v>
      </c>
      <c r="D90" s="23">
        <f>SUMIF(S$3:S$86,C90,T$3:T$86)</f>
        <v>52850000</v>
      </c>
      <c r="E90" s="23">
        <f t="shared" ref="E90:E96" si="19">MROUND(D90/350,500)</f>
        <v>151000</v>
      </c>
      <c r="F90" s="23">
        <f t="shared" ref="F90:F96" si="20">F89+D90</f>
        <v>2376542700.5895</v>
      </c>
      <c r="G90" s="23">
        <f>$F89-SUMIFS($F3:$F85,$S3:$S85,$B90)-G13-G49*0.5-G79-12250000</f>
        <v>2311389700.5895</v>
      </c>
      <c r="H90" s="23">
        <f>$F89-SUMIFS($F3:$F85,$S3:$S85,$B90)-H13-H49*0.5-H79-12250000</f>
        <v>2311441258.1653566</v>
      </c>
      <c r="I90" s="23">
        <f>$F89-SUMIFS($F3:$F85,$S3:$S85,$B90)-I13-I49*0.5-I79-12250000</f>
        <v>2310833200.5895</v>
      </c>
      <c r="J90" s="23">
        <f>F90*11.5</f>
        <v>27330241056.779251</v>
      </c>
      <c r="K90" s="23">
        <f>K89-SUMIFS(K3:K85,$S3:$S85,$B90)</f>
        <v>34089.288582513087</v>
      </c>
      <c r="L90" s="23">
        <f>L89-SUMIFS(L3:L85,$S3:$S85,$B90)</f>
        <v>12132079.082343824</v>
      </c>
      <c r="M90" s="22"/>
      <c r="N90" s="23">
        <f t="shared" ref="N90:N96" si="21">N89+O90</f>
        <v>21638487500</v>
      </c>
      <c r="O90" s="23">
        <f>SUMIF(S$3:S$85,C90,U$3:U$85)</f>
        <v>607775000</v>
      </c>
      <c r="P90" s="22"/>
      <c r="Q90" s="22"/>
      <c r="R90" s="35"/>
      <c r="S90" s="35"/>
    </row>
    <row r="91" spans="1:41" x14ac:dyDescent="0.2">
      <c r="A91" s="21" t="s">
        <v>496</v>
      </c>
      <c r="B91" s="22"/>
      <c r="C91" s="22">
        <v>2023</v>
      </c>
      <c r="D91" s="23">
        <f>SUMIF(S$3:S$86,C91,D$3:D$86)</f>
        <v>103000000</v>
      </c>
      <c r="E91" s="23">
        <f t="shared" si="19"/>
        <v>294500</v>
      </c>
      <c r="F91" s="23">
        <f t="shared" si="20"/>
        <v>2479542700.5895</v>
      </c>
      <c r="G91" s="23"/>
      <c r="H91" s="23"/>
      <c r="I91" s="22"/>
      <c r="J91" s="23">
        <f>F91*11.5</f>
        <v>28514741056.779251</v>
      </c>
      <c r="K91" s="21"/>
      <c r="L91" s="22"/>
      <c r="M91" s="22"/>
      <c r="N91" s="23">
        <f t="shared" si="21"/>
        <v>22953082500</v>
      </c>
      <c r="O91" s="23">
        <f>SUMIF(S$3:S$85,C91,O$3:O$85)</f>
        <v>1314595000</v>
      </c>
      <c r="P91" s="23"/>
      <c r="Q91" s="23"/>
      <c r="R91" s="22"/>
      <c r="S91" s="35"/>
    </row>
    <row r="92" spans="1:41" x14ac:dyDescent="0.2">
      <c r="A92" s="21" t="s">
        <v>497</v>
      </c>
      <c r="B92" s="22"/>
      <c r="C92" s="22">
        <v>2024</v>
      </c>
      <c r="D92" s="23">
        <f>SUMIF(S$3:S$86,C92,D$3:D$86)</f>
        <v>182150000</v>
      </c>
      <c r="E92" s="23">
        <f t="shared" si="19"/>
        <v>520500</v>
      </c>
      <c r="F92" s="23">
        <f t="shared" si="20"/>
        <v>2661692700.5895</v>
      </c>
      <c r="G92" s="23">
        <f>H89*36.7437</f>
        <v>11808729086.173822</v>
      </c>
      <c r="H92" s="23">
        <f>G92*330</f>
        <v>3896880598437.3613</v>
      </c>
      <c r="I92" s="47"/>
      <c r="J92" s="23">
        <f>F92*11.5</f>
        <v>30609466056.779251</v>
      </c>
      <c r="K92" s="29"/>
      <c r="L92" s="47"/>
      <c r="M92" s="47"/>
      <c r="N92" s="23">
        <f t="shared" si="21"/>
        <v>24981395000</v>
      </c>
      <c r="O92" s="23">
        <f>SUMIF(S$3:S$85,C92,O$3:O$85)</f>
        <v>2028312500</v>
      </c>
      <c r="P92" s="53">
        <f>O92-O91</f>
        <v>713717500</v>
      </c>
      <c r="Q92" s="53"/>
      <c r="R92" s="47"/>
      <c r="U92" s="54"/>
    </row>
    <row r="93" spans="1:41" x14ac:dyDescent="0.2">
      <c r="A93" s="21" t="s">
        <v>498</v>
      </c>
      <c r="B93" s="22"/>
      <c r="C93" s="22">
        <v>2025</v>
      </c>
      <c r="D93" s="23">
        <f t="shared" ref="D93" si="22">SUMIF(S$3:S$86,C93,D$3:D$86)</f>
        <v>52500000</v>
      </c>
      <c r="E93" s="23">
        <f t="shared" si="19"/>
        <v>150000</v>
      </c>
      <c r="F93" s="23">
        <f t="shared" si="20"/>
        <v>2714192700.5895</v>
      </c>
      <c r="G93" s="23">
        <f>(H89+H21)*36.7437</f>
        <v>11808774086.173824</v>
      </c>
      <c r="H93" s="23">
        <f>G93*330</f>
        <v>3896895448437.3618</v>
      </c>
      <c r="J93" s="23">
        <f>F93*11.5</f>
        <v>31213216056.779251</v>
      </c>
      <c r="N93" s="23">
        <f t="shared" si="21"/>
        <v>25585145000</v>
      </c>
      <c r="O93" s="23">
        <f>SUMIF(S$3:S$85,C93,O$3:O$85)</f>
        <v>603750000</v>
      </c>
      <c r="T93" s="55">
        <v>2023</v>
      </c>
      <c r="U93" s="20">
        <f>SUMIF($S$3:$S$86,T93,$E$3:$E$86)</f>
        <v>294500</v>
      </c>
      <c r="Z93" s="56"/>
    </row>
    <row r="94" spans="1:41" x14ac:dyDescent="0.2">
      <c r="A94" s="21" t="s">
        <v>499</v>
      </c>
      <c r="B94" s="22"/>
      <c r="C94" s="22">
        <v>2026</v>
      </c>
      <c r="D94" s="23">
        <f>SUMIF(S$3:S$86,C94,D$3:D$86)</f>
        <v>218615550</v>
      </c>
      <c r="E94" s="23">
        <f t="shared" si="19"/>
        <v>624500</v>
      </c>
      <c r="F94" s="23">
        <f t="shared" si="20"/>
        <v>2932808250.5895</v>
      </c>
      <c r="G94" s="53"/>
      <c r="H94" s="53"/>
      <c r="J94" s="23">
        <f>F94*11.5</f>
        <v>33727294881.779251</v>
      </c>
      <c r="N94" s="23">
        <f t="shared" si="21"/>
        <v>27304699040</v>
      </c>
      <c r="O94" s="23">
        <f>SUMIF(S$3:S$85,C94,O$3:O$85)</f>
        <v>1719554040</v>
      </c>
      <c r="T94" s="55">
        <v>2024</v>
      </c>
      <c r="U94" s="20">
        <f>SUMIF($S$3:$S$86,T94,$E$3:$E$86)</f>
        <v>520500</v>
      </c>
      <c r="Z94" s="56"/>
    </row>
    <row r="95" spans="1:41" x14ac:dyDescent="0.2">
      <c r="A95" s="21" t="s">
        <v>500</v>
      </c>
      <c r="B95" s="22"/>
      <c r="C95" s="22">
        <v>2027</v>
      </c>
      <c r="D95" s="23">
        <f>SUMIF(S$3:S$86,C95,D$3:D$86)+D67</f>
        <v>38500000</v>
      </c>
      <c r="E95" s="53">
        <f t="shared" si="19"/>
        <v>110000</v>
      </c>
      <c r="F95" s="23">
        <f t="shared" si="20"/>
        <v>2971308250.5895</v>
      </c>
      <c r="G95" s="53"/>
      <c r="H95" s="53"/>
      <c r="J95" s="53"/>
      <c r="N95" s="23">
        <f t="shared" si="21"/>
        <v>27747449040</v>
      </c>
      <c r="O95" s="53">
        <f>D95*11.5</f>
        <v>442750000</v>
      </c>
      <c r="T95" s="55"/>
      <c r="Z95" s="56"/>
    </row>
    <row r="96" spans="1:41" x14ac:dyDescent="0.2">
      <c r="A96" s="21" t="s">
        <v>501</v>
      </c>
      <c r="B96" s="22"/>
      <c r="C96" s="22">
        <v>2028</v>
      </c>
      <c r="D96" s="23">
        <f>SUMIF(S$3:S$86,C96,D$3:D$86)+D66+D64+D80+D81+D83</f>
        <v>222231100</v>
      </c>
      <c r="E96" s="53">
        <f t="shared" si="19"/>
        <v>635000</v>
      </c>
      <c r="F96" s="23">
        <f t="shared" si="20"/>
        <v>3193539350.5895</v>
      </c>
      <c r="G96" s="53"/>
      <c r="H96" s="53"/>
      <c r="J96" s="53"/>
      <c r="N96" s="23">
        <f t="shared" si="21"/>
        <v>29408626512.5</v>
      </c>
      <c r="O96" s="53">
        <f>D96*0.65*11.5</f>
        <v>1661177472.5</v>
      </c>
      <c r="T96" s="55"/>
      <c r="Z96" s="56"/>
    </row>
    <row r="97" spans="1:26" x14ac:dyDescent="0.2">
      <c r="A97" s="21" t="s">
        <v>502</v>
      </c>
      <c r="B97" s="22"/>
      <c r="C97" s="22">
        <v>2029</v>
      </c>
      <c r="D97" s="23"/>
      <c r="E97" s="53"/>
      <c r="F97" s="53"/>
      <c r="G97" s="53"/>
      <c r="H97" s="53"/>
      <c r="J97" s="53"/>
      <c r="N97" s="53"/>
      <c r="O97" s="53"/>
      <c r="T97" s="55"/>
      <c r="Z97" s="56"/>
    </row>
    <row r="98" spans="1:26" x14ac:dyDescent="0.2">
      <c r="A98" s="21" t="s">
        <v>503</v>
      </c>
      <c r="B98" s="22"/>
      <c r="C98" s="22">
        <v>2030</v>
      </c>
      <c r="D98" s="23"/>
      <c r="T98" s="55">
        <v>2025</v>
      </c>
      <c r="U98" s="20">
        <f>SUMIF($S$3:$S$86,T98,$E$3:$E$86)</f>
        <v>150000</v>
      </c>
      <c r="Z98" s="56"/>
    </row>
    <row r="99" spans="1:26" x14ac:dyDescent="0.2">
      <c r="A99" s="21" t="s">
        <v>504</v>
      </c>
      <c r="B99" s="22"/>
      <c r="C99" s="22">
        <v>2031</v>
      </c>
      <c r="D99" s="23"/>
      <c r="T99" s="55"/>
      <c r="Z99" s="56"/>
    </row>
    <row r="100" spans="1:26" x14ac:dyDescent="0.2">
      <c r="A100" s="21" t="s">
        <v>505</v>
      </c>
      <c r="B100" s="22"/>
      <c r="C100" s="22">
        <v>2032</v>
      </c>
      <c r="D100" s="23"/>
      <c r="T100" s="55"/>
      <c r="Z100" s="56"/>
    </row>
    <row r="101" spans="1:26" x14ac:dyDescent="0.2">
      <c r="A101" s="21" t="s">
        <v>506</v>
      </c>
      <c r="B101" s="22"/>
      <c r="C101" s="22">
        <v>2033</v>
      </c>
      <c r="D101" s="23"/>
      <c r="T101" s="55"/>
      <c r="Z101" s="56"/>
    </row>
    <row r="102" spans="1:26" x14ac:dyDescent="0.2">
      <c r="A102" s="57"/>
      <c r="B102" s="57"/>
      <c r="C102" s="57"/>
      <c r="T102" s="55"/>
      <c r="Z102" s="56"/>
    </row>
    <row r="103" spans="1:26" x14ac:dyDescent="0.2">
      <c r="T103" s="55"/>
      <c r="Z103" s="56"/>
    </row>
    <row r="104" spans="1:26" x14ac:dyDescent="0.2">
      <c r="T104" s="55"/>
      <c r="Z104" s="56"/>
    </row>
    <row r="105" spans="1:26" x14ac:dyDescent="0.2">
      <c r="T105" s="55"/>
      <c r="Z105" s="56"/>
    </row>
    <row r="106" spans="1:26" x14ac:dyDescent="0.2">
      <c r="T106" s="55"/>
      <c r="Z106" s="56"/>
    </row>
    <row r="107" spans="1:26" x14ac:dyDescent="0.2">
      <c r="T107" s="55"/>
      <c r="Z107" s="56"/>
    </row>
    <row r="108" spans="1:26" x14ac:dyDescent="0.2">
      <c r="T108" s="55"/>
      <c r="Z108" s="56"/>
    </row>
    <row r="109" spans="1:26" x14ac:dyDescent="0.2">
      <c r="A109" s="20" t="s">
        <v>507</v>
      </c>
      <c r="T109" s="55">
        <v>2026</v>
      </c>
      <c r="U109" s="20">
        <f>SUMIF($S$3:$S$86,T109,$E$3:$E$86)</f>
        <v>624500</v>
      </c>
      <c r="Z109" s="56"/>
    </row>
    <row r="110" spans="1:26" x14ac:dyDescent="0.2">
      <c r="A110" s="21" t="s">
        <v>12</v>
      </c>
      <c r="B110" s="22" t="s">
        <v>508</v>
      </c>
      <c r="C110" s="22" t="s">
        <v>335</v>
      </c>
      <c r="D110" s="23"/>
      <c r="E110" s="23"/>
      <c r="F110" s="23">
        <f>G110*350</f>
        <v>45500000</v>
      </c>
      <c r="G110" s="23">
        <v>130000</v>
      </c>
      <c r="H110" s="23"/>
      <c r="I110" s="23">
        <f>G110*11.5</f>
        <v>1495000</v>
      </c>
      <c r="J110" s="23">
        <v>521950000</v>
      </c>
      <c r="K110" s="24">
        <v>649</v>
      </c>
      <c r="L110" s="23">
        <v>236753</v>
      </c>
      <c r="M110" s="22" t="s">
        <v>98</v>
      </c>
      <c r="N110" s="23">
        <f>IF(M110="X",J110*0.92,"")</f>
        <v>480194000</v>
      </c>
      <c r="O110" s="23"/>
      <c r="P110" s="22"/>
      <c r="Q110" s="22"/>
      <c r="R110" s="22" t="s">
        <v>98</v>
      </c>
      <c r="S110" s="22"/>
      <c r="T110" s="47"/>
      <c r="U110" s="47"/>
      <c r="Z110" s="56"/>
    </row>
    <row r="111" spans="1:26" x14ac:dyDescent="0.2">
      <c r="A111" s="21" t="s">
        <v>75</v>
      </c>
      <c r="B111" s="22" t="s">
        <v>334</v>
      </c>
      <c r="C111" s="22" t="s">
        <v>335</v>
      </c>
      <c r="D111" s="23"/>
      <c r="E111" s="23"/>
      <c r="F111" s="23">
        <f>G111*350</f>
        <v>28000000</v>
      </c>
      <c r="G111" s="23">
        <v>80000</v>
      </c>
      <c r="H111" s="23"/>
      <c r="I111" s="23">
        <f>G111*11.5</f>
        <v>920000</v>
      </c>
      <c r="J111" s="23">
        <v>321200000</v>
      </c>
      <c r="K111" s="24">
        <v>399</v>
      </c>
      <c r="L111" s="23">
        <v>145694</v>
      </c>
      <c r="M111" s="22" t="s">
        <v>98</v>
      </c>
      <c r="N111" s="23">
        <f>IF(M111="X",J111*0.92,"")</f>
        <v>295504000</v>
      </c>
      <c r="O111" s="23"/>
      <c r="P111" s="22"/>
      <c r="Q111" s="22"/>
      <c r="R111" s="22" t="s">
        <v>98</v>
      </c>
      <c r="S111" s="22"/>
      <c r="T111" s="47"/>
      <c r="U111" s="47"/>
      <c r="Z111" s="58"/>
    </row>
    <row r="112" spans="1:26" x14ac:dyDescent="0.2">
      <c r="A112" s="21" t="s">
        <v>95</v>
      </c>
      <c r="B112" s="59" t="s">
        <v>489</v>
      </c>
      <c r="C112" s="59" t="s">
        <v>490</v>
      </c>
      <c r="D112" s="23"/>
      <c r="E112" s="23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46" t="s">
        <v>509</v>
      </c>
      <c r="Q112" s="35"/>
      <c r="R112" s="35"/>
      <c r="S112" s="46">
        <v>2024</v>
      </c>
      <c r="T112" s="60"/>
      <c r="U112" s="60"/>
      <c r="Z112" s="58"/>
    </row>
    <row r="113" spans="1:29" x14ac:dyDescent="0.2">
      <c r="A113" s="61" t="s">
        <v>510</v>
      </c>
      <c r="B113" s="59" t="s">
        <v>489</v>
      </c>
      <c r="C113" s="59" t="s">
        <v>490</v>
      </c>
      <c r="D113" s="23"/>
      <c r="E113" s="62"/>
      <c r="F113" s="63"/>
      <c r="G113" s="35"/>
      <c r="H113" s="64">
        <v>3250</v>
      </c>
      <c r="I113" s="35"/>
      <c r="J113" s="35"/>
      <c r="L113" s="35"/>
      <c r="M113" s="46"/>
      <c r="N113" s="46"/>
      <c r="O113" s="46"/>
      <c r="P113" s="46" t="s">
        <v>509</v>
      </c>
      <c r="Q113" s="65"/>
      <c r="R113" s="65"/>
      <c r="S113" s="46">
        <v>2026</v>
      </c>
      <c r="T113" s="60"/>
      <c r="U113" s="60"/>
    </row>
    <row r="114" spans="1:29" x14ac:dyDescent="0.2">
      <c r="A114" s="21" t="s">
        <v>511</v>
      </c>
      <c r="B114" s="22" t="s">
        <v>512</v>
      </c>
      <c r="C114" s="22" t="s">
        <v>513</v>
      </c>
      <c r="D114" s="23"/>
      <c r="E114" s="62"/>
      <c r="F114" s="62">
        <f>G114*350</f>
        <v>37100000</v>
      </c>
      <c r="G114" s="23">
        <v>106000</v>
      </c>
      <c r="H114" s="23"/>
      <c r="I114" s="23">
        <f>G114*11.5</f>
        <v>1219000</v>
      </c>
      <c r="J114" s="23">
        <v>425590000</v>
      </c>
      <c r="K114" s="66">
        <v>529</v>
      </c>
      <c r="L114" s="23">
        <v>193045</v>
      </c>
      <c r="M114" s="22" t="s">
        <v>98</v>
      </c>
      <c r="N114" s="23">
        <f>IF(M114="X",J114*0.92,"")</f>
        <v>391542800</v>
      </c>
      <c r="O114" s="23"/>
      <c r="P114" s="22"/>
      <c r="Q114" s="47"/>
      <c r="R114" s="47" t="s">
        <v>98</v>
      </c>
      <c r="S114" s="22"/>
      <c r="T114" s="47"/>
      <c r="U114" s="47"/>
    </row>
    <row r="115" spans="1:29" x14ac:dyDescent="0.2">
      <c r="A115" s="61" t="s">
        <v>511</v>
      </c>
      <c r="B115" s="59" t="s">
        <v>489</v>
      </c>
      <c r="C115" s="59" t="s">
        <v>490</v>
      </c>
      <c r="D115" s="23"/>
      <c r="E115" s="62"/>
      <c r="F115" s="63"/>
      <c r="G115" s="35"/>
      <c r="H115" s="67">
        <v>6944</v>
      </c>
      <c r="I115" s="35"/>
      <c r="J115" s="35"/>
      <c r="K115" s="35"/>
      <c r="L115" s="35"/>
      <c r="M115" s="22" t="s">
        <v>98</v>
      </c>
      <c r="N115" s="35"/>
      <c r="O115" s="35"/>
      <c r="P115" s="46" t="s">
        <v>509</v>
      </c>
      <c r="Q115" s="35"/>
      <c r="R115" s="35"/>
      <c r="S115" s="46">
        <v>2024</v>
      </c>
      <c r="T115" s="46"/>
      <c r="U115" s="46"/>
      <c r="V115" s="35"/>
      <c r="W115" s="68"/>
      <c r="AB115" s="60"/>
      <c r="AC115" s="60"/>
    </row>
    <row r="116" spans="1:29" x14ac:dyDescent="0.2">
      <c r="A116" s="50"/>
      <c r="B116" s="65"/>
      <c r="C116" s="65"/>
      <c r="D116" s="65"/>
      <c r="E116" s="65"/>
    </row>
    <row r="117" spans="1:29" x14ac:dyDescent="0.2">
      <c r="A117" s="69" t="s">
        <v>514</v>
      </c>
    </row>
    <row r="118" spans="1:29" x14ac:dyDescent="0.2">
      <c r="A118" s="20" t="s">
        <v>515</v>
      </c>
      <c r="F118" s="23">
        <f>F90-F79-F49*0.5-F13-12250000</f>
        <v>2345742700.5895</v>
      </c>
      <c r="G118" s="23"/>
      <c r="H118" s="23"/>
      <c r="I118" s="23"/>
      <c r="J118" s="23">
        <f>F118*11.5</f>
        <v>26976041056.779251</v>
      </c>
      <c r="K118" s="23"/>
      <c r="L118" s="23"/>
      <c r="M118" s="23"/>
      <c r="N118" s="23" t="e">
        <f>N90-N79-N13-N49*0.5-402500</f>
        <v>#VALUE!</v>
      </c>
      <c r="O118" s="53"/>
    </row>
    <row r="119" spans="1:29" x14ac:dyDescent="0.2">
      <c r="O119" s="54"/>
    </row>
    <row r="122" spans="1:29" x14ac:dyDescent="0.2">
      <c r="A122" s="20" t="s">
        <v>516</v>
      </c>
      <c r="N122" s="23">
        <f>160000000*12</f>
        <v>1920000000</v>
      </c>
      <c r="O122" s="53"/>
    </row>
    <row r="123" spans="1:29" x14ac:dyDescent="0.2">
      <c r="A123" s="20" t="s">
        <v>517</v>
      </c>
      <c r="N123" s="23"/>
      <c r="O123" s="53"/>
    </row>
    <row r="124" spans="1:29" x14ac:dyDescent="0.2">
      <c r="A124" s="20" t="s">
        <v>518</v>
      </c>
      <c r="N124" s="23"/>
      <c r="O124" s="53"/>
    </row>
    <row r="125" spans="1:29" x14ac:dyDescent="0.2">
      <c r="A125" s="20" t="s">
        <v>519</v>
      </c>
      <c r="N125" s="23">
        <f>250000000*8</f>
        <v>2000000000</v>
      </c>
      <c r="O125" s="53"/>
    </row>
    <row r="126" spans="1:29" x14ac:dyDescent="0.2">
      <c r="A126" s="20" t="s">
        <v>520</v>
      </c>
      <c r="N126" s="23"/>
      <c r="O126" s="53"/>
    </row>
    <row r="127" spans="1:29" x14ac:dyDescent="0.2">
      <c r="A127" s="20" t="s">
        <v>521</v>
      </c>
      <c r="N127" s="23">
        <f>143000000*12</f>
        <v>1716000000</v>
      </c>
      <c r="O127" s="53"/>
    </row>
    <row r="128" spans="1:29" x14ac:dyDescent="0.2">
      <c r="A128" s="20" t="s">
        <v>522</v>
      </c>
      <c r="N128" s="23"/>
      <c r="O128" s="53"/>
    </row>
    <row r="129" spans="1:15" x14ac:dyDescent="0.2">
      <c r="A129" s="20" t="s">
        <v>523</v>
      </c>
      <c r="N129" s="23">
        <f>SUM(N122:N127)</f>
        <v>5636000000</v>
      </c>
      <c r="O129" s="53"/>
    </row>
    <row r="130" spans="1:15" x14ac:dyDescent="0.2">
      <c r="E130" s="164" t="s">
        <v>524</v>
      </c>
      <c r="F130" s="164"/>
      <c r="G130" s="164"/>
      <c r="H130" s="164"/>
      <c r="I130" s="164"/>
      <c r="J130" s="164"/>
    </row>
    <row r="131" spans="1:15" ht="67.5" customHeight="1" x14ac:dyDescent="0.2">
      <c r="B131" s="70" t="s">
        <v>525</v>
      </c>
      <c r="C131" s="70" t="s">
        <v>526</v>
      </c>
      <c r="D131" s="70" t="s">
        <v>527</v>
      </c>
      <c r="E131" s="70" t="s">
        <v>528</v>
      </c>
      <c r="F131" s="70" t="s">
        <v>529</v>
      </c>
      <c r="G131" s="70" t="s">
        <v>530</v>
      </c>
      <c r="H131" s="70" t="s">
        <v>531</v>
      </c>
      <c r="I131" s="70" t="s">
        <v>532</v>
      </c>
      <c r="J131" s="70" t="s">
        <v>533</v>
      </c>
      <c r="K131" s="70" t="s">
        <v>534</v>
      </c>
      <c r="L131" s="70" t="s">
        <v>535</v>
      </c>
      <c r="M131" s="70" t="s">
        <v>536</v>
      </c>
      <c r="N131" s="70" t="s">
        <v>537</v>
      </c>
    </row>
    <row r="132" spans="1:15" x14ac:dyDescent="0.2">
      <c r="B132" s="71" t="s">
        <v>538</v>
      </c>
      <c r="C132" s="23">
        <f>'[3]Soy Complex'!$BE$12</f>
        <v>1886.23784</v>
      </c>
      <c r="D132" s="23">
        <v>2038909412.1697798</v>
      </c>
      <c r="E132" s="72">
        <f t="shared" ref="E132:E133" si="23">D132/350/1000000</f>
        <v>5.8254554633422284</v>
      </c>
      <c r="F132" s="23">
        <f t="shared" ref="F132:F133" si="24">G132*350*1000000</f>
        <v>1908956451.6129036</v>
      </c>
      <c r="G132" s="72">
        <f>AVERAGE('[6]NOPA Crush'!$E$435:$E$446)</f>
        <v>5.4541612903225811</v>
      </c>
      <c r="H132" s="73">
        <f t="shared" ref="H132:H142" si="25">D132/F132-1</f>
        <v>6.8075392944180191E-2</v>
      </c>
      <c r="I132" s="70"/>
      <c r="J132" s="70"/>
      <c r="K132" s="23">
        <f>'[3]Soy Complex'!$BE$12*1000000</f>
        <v>1886237840</v>
      </c>
      <c r="L132" s="73">
        <f t="shared" ref="L132:L133" si="26">K132/D132</f>
        <v>0.92512096356095153</v>
      </c>
      <c r="M132" s="23">
        <f>(D132-N132)/1000000</f>
        <v>152.67157216977978</v>
      </c>
      <c r="N132" s="23">
        <f t="shared" ref="N132:N150" si="27">C132*1000000</f>
        <v>1886237840</v>
      </c>
    </row>
    <row r="133" spans="1:15" x14ac:dyDescent="0.2">
      <c r="B133" s="71" t="s">
        <v>539</v>
      </c>
      <c r="C133" s="23">
        <f>'[3]Soy Complex'!$BF$12</f>
        <v>1901.1980666666664</v>
      </c>
      <c r="D133" s="23">
        <v>2056786616.2843635</v>
      </c>
      <c r="E133" s="72">
        <f t="shared" si="23"/>
        <v>5.8765331893838963</v>
      </c>
      <c r="F133" s="23">
        <f t="shared" si="24"/>
        <v>1922740618.2795699</v>
      </c>
      <c r="G133" s="72">
        <f>AVERAGE('[6]NOPA Crush'!$E$447:$E$458)</f>
        <v>5.4935446236559136</v>
      </c>
      <c r="H133" s="73">
        <f t="shared" si="25"/>
        <v>6.9716110811002263E-2</v>
      </c>
      <c r="I133" s="70"/>
      <c r="J133" s="70"/>
      <c r="K133" s="23">
        <f>'[3]Soy Complex'!$BF$12*1000000</f>
        <v>1901198066.6666663</v>
      </c>
      <c r="L133" s="73">
        <f t="shared" si="26"/>
        <v>0.92435357737849744</v>
      </c>
      <c r="M133" s="23">
        <f>(D133-N133)/1000000</f>
        <v>155.58854961769723</v>
      </c>
      <c r="N133" s="23">
        <f t="shared" si="27"/>
        <v>1901198066.6666663</v>
      </c>
    </row>
    <row r="134" spans="1:15" x14ac:dyDescent="0.2">
      <c r="B134" s="71" t="s">
        <v>540</v>
      </c>
      <c r="C134" s="23">
        <f>'[3]Soy Complex'!$BG$12</f>
        <v>2054.9320000000002</v>
      </c>
      <c r="D134" s="23">
        <v>2066079251.627104</v>
      </c>
      <c r="E134" s="72">
        <f>D134/350/1000000</f>
        <v>5.9030835760774396</v>
      </c>
      <c r="F134" s="23">
        <f>G134*350*1000000</f>
        <v>1933561451.6129029</v>
      </c>
      <c r="G134" s="72">
        <f>AVERAGE('[6]NOPA Crush'!$E$459:$E$470)</f>
        <v>5.5244612903225798</v>
      </c>
      <c r="H134" s="73">
        <f t="shared" si="25"/>
        <v>6.8535602995012157E-2</v>
      </c>
      <c r="I134" s="23"/>
      <c r="J134" s="23"/>
      <c r="K134" s="23">
        <f>SUM('[6]NASS Crush'!$C$34:$C$45)*1000000</f>
        <v>2079207766.666667</v>
      </c>
      <c r="L134" s="73">
        <f>K134/D134</f>
        <v>1.0063543133832953</v>
      </c>
      <c r="M134" s="23">
        <f t="shared" ref="M134:M150" si="28">(D134-N134)/1000000</f>
        <v>11.147251627103806</v>
      </c>
      <c r="N134" s="23">
        <f t="shared" si="27"/>
        <v>2054932000.0000002</v>
      </c>
    </row>
    <row r="135" spans="1:15" x14ac:dyDescent="0.2">
      <c r="B135" s="74" t="s">
        <v>541</v>
      </c>
      <c r="C135" s="23">
        <f>'[3]Soy Complex'!$BH$12</f>
        <v>2091.9902666666667</v>
      </c>
      <c r="D135" s="23">
        <v>2130973789.9388757</v>
      </c>
      <c r="E135" s="72">
        <f t="shared" ref="E135:E150" si="29">D135/350/1000000</f>
        <v>6.0884965426825017</v>
      </c>
      <c r="F135" s="23">
        <f t="shared" ref="F135:F138" si="30">G135*350*1000000</f>
        <v>1995015618.2795703</v>
      </c>
      <c r="G135" s="72">
        <f>AVERAGE('[6]NOPA Crush'!$E$471:$E$482)</f>
        <v>5.7000446236559155</v>
      </c>
      <c r="H135" s="73">
        <f t="shared" si="25"/>
        <v>6.8148925960063833E-2</v>
      </c>
      <c r="I135" s="23"/>
      <c r="J135" s="23"/>
      <c r="K135" s="23">
        <f>SUM('[6]NASS Crush'!$C$46:$C$57)*1000000</f>
        <v>2084675399.9999995</v>
      </c>
      <c r="L135" s="73">
        <f t="shared" ref="L135:L150" si="31">K135/D135</f>
        <v>0.97827359953582338</v>
      </c>
      <c r="M135" s="23">
        <f t="shared" si="28"/>
        <v>38.983523272208927</v>
      </c>
      <c r="N135" s="23">
        <f t="shared" si="27"/>
        <v>2091990266.6666667</v>
      </c>
    </row>
    <row r="136" spans="1:15" x14ac:dyDescent="0.2">
      <c r="B136" s="74" t="s">
        <v>542</v>
      </c>
      <c r="C136" s="23">
        <f>'[3]Soy Complex'!$BI$12</f>
        <v>2164.5542333333337</v>
      </c>
      <c r="D136" s="23">
        <v>2244398945.1918101</v>
      </c>
      <c r="E136" s="72">
        <f t="shared" si="29"/>
        <v>6.4125684148337427</v>
      </c>
      <c r="F136" s="23">
        <f t="shared" si="30"/>
        <v>2106840618.2795701</v>
      </c>
      <c r="G136" s="72">
        <f>AVERAGE('[6]NOPA Crush'!$E$483:$E$494)</f>
        <v>6.0195446236559143</v>
      </c>
      <c r="H136" s="73">
        <f t="shared" si="25"/>
        <v>6.5291282937467443E-2</v>
      </c>
      <c r="I136" s="23"/>
      <c r="J136" s="23"/>
      <c r="K136" s="23">
        <f>SUM('[6]NASS Crush'!$C$58:$C$69)*1000000</f>
        <v>2173275266.6666665</v>
      </c>
      <c r="L136" s="73">
        <f>K136/D136</f>
        <v>0.96831058993432861</v>
      </c>
      <c r="M136" s="23">
        <f t="shared" si="28"/>
        <v>79.84471185847616</v>
      </c>
      <c r="N136" s="23">
        <f t="shared" si="27"/>
        <v>2164554233.333334</v>
      </c>
    </row>
    <row r="137" spans="1:15" x14ac:dyDescent="0.2">
      <c r="B137" s="74" t="s">
        <v>543</v>
      </c>
      <c r="C137" s="23">
        <f>'[3]Soy Complex'!$BJ$12</f>
        <v>2140.5846666666666</v>
      </c>
      <c r="D137" s="23">
        <v>2307673847.13308</v>
      </c>
      <c r="E137" s="72">
        <f t="shared" si="29"/>
        <v>6.593353848951657</v>
      </c>
      <c r="F137" s="23">
        <f t="shared" si="30"/>
        <v>2166661451.6129041</v>
      </c>
      <c r="G137" s="72">
        <f>AVERAGE('[6]NOPA Crush'!$E$495:$E$506)</f>
        <v>6.190461290322582</v>
      </c>
      <c r="H137" s="73">
        <f t="shared" si="25"/>
        <v>6.5082800737144897E-2</v>
      </c>
      <c r="I137" s="23"/>
      <c r="J137" s="23"/>
      <c r="K137" s="23">
        <f>SUM('[6]NASS Crush'!$C$70:$C$81)*1000000</f>
        <v>2133681633.3333333</v>
      </c>
      <c r="L137" s="73">
        <f t="shared" si="31"/>
        <v>0.92460277087427034</v>
      </c>
      <c r="M137" s="23">
        <f t="shared" si="28"/>
        <v>167.08918046641327</v>
      </c>
      <c r="N137" s="23">
        <f t="shared" si="27"/>
        <v>2140584666.6666667</v>
      </c>
    </row>
    <row r="138" spans="1:15" x14ac:dyDescent="0.2">
      <c r="B138" s="74" t="s">
        <v>544</v>
      </c>
      <c r="C138" s="23">
        <f>'[3]Soy Complex'!$BK$12</f>
        <v>2203.8721666666665</v>
      </c>
      <c r="D138" s="23">
        <v>2361717886.2848454</v>
      </c>
      <c r="E138" s="72">
        <f t="shared" si="29"/>
        <v>6.7477653893852727</v>
      </c>
      <c r="F138" s="23">
        <f t="shared" si="30"/>
        <v>2216215618.2795701</v>
      </c>
      <c r="G138" s="72">
        <f>AVERAGE('[6]NOPA Crush'!$E$507:$E$518)</f>
        <v>6.3320446236559143</v>
      </c>
      <c r="H138" s="73">
        <f t="shared" si="25"/>
        <v>6.5653480105977824E-2</v>
      </c>
      <c r="I138" s="23"/>
      <c r="J138" s="23"/>
      <c r="K138" s="23">
        <f>SUM('[6]NASS Crush'!$C$82:$C$93)*1000000</f>
        <v>2207329266.6666665</v>
      </c>
      <c r="L138" s="73">
        <f t="shared" si="31"/>
        <v>0.9346286783384431</v>
      </c>
      <c r="M138" s="23">
        <f t="shared" si="28"/>
        <v>157.84571961817883</v>
      </c>
      <c r="N138" s="23">
        <f t="shared" si="27"/>
        <v>2203872166.6666665</v>
      </c>
    </row>
    <row r="139" spans="1:15" x14ac:dyDescent="0.2">
      <c r="A139" s="20">
        <f>(D139/D135)^(1/5)-1</f>
        <v>2.6326957784703398E-2</v>
      </c>
      <c r="B139" s="74" t="s">
        <v>545</v>
      </c>
      <c r="C139" s="23">
        <f>'[3]Soy Complex'!$BL$12</f>
        <v>2211.9378333333334</v>
      </c>
      <c r="D139" s="23">
        <v>2426648033.6323881</v>
      </c>
      <c r="E139" s="72">
        <f t="shared" si="29"/>
        <v>6.9332800960925374</v>
      </c>
      <c r="F139" s="23">
        <f>$G139*350*1000000</f>
        <v>2301528118.2795696</v>
      </c>
      <c r="G139" s="72">
        <f>AVERAGE('[6]NOPA Crush'!$E$519:$E$530)</f>
        <v>6.5757946236559137</v>
      </c>
      <c r="H139" s="73">
        <f t="shared" si="25"/>
        <v>5.4363843899655651E-2</v>
      </c>
      <c r="I139" s="23">
        <f>D91</f>
        <v>103000000</v>
      </c>
      <c r="J139" s="23">
        <f>O91</f>
        <v>1314595000</v>
      </c>
      <c r="K139" s="23">
        <f>'[3]Soy Complex'!$BL$12*1000000</f>
        <v>2211937833.3333335</v>
      </c>
      <c r="L139" s="73">
        <f t="shared" si="31"/>
        <v>0.91151984246447959</v>
      </c>
      <c r="M139" s="23">
        <f t="shared" si="28"/>
        <v>214.71020029905463</v>
      </c>
      <c r="N139" s="23">
        <f t="shared" si="27"/>
        <v>2211937833.3333335</v>
      </c>
    </row>
    <row r="140" spans="1:15" x14ac:dyDescent="0.2">
      <c r="B140" s="74" t="s">
        <v>546</v>
      </c>
      <c r="C140" s="34">
        <f>'[3]Soy Complex'!$BM$12</f>
        <v>2285.3031666666666</v>
      </c>
      <c r="D140" s="34">
        <v>2509359509.5595751</v>
      </c>
      <c r="E140" s="173">
        <f t="shared" si="29"/>
        <v>7.1695985987416435</v>
      </c>
      <c r="F140" s="34">
        <f>$G140*350*1000000</f>
        <v>2394846868.2795701</v>
      </c>
      <c r="G140" s="173">
        <f>AVERAGE('[6]NOPA Crush'!$E$531:$E$542)</f>
        <v>6.8424196236559141</v>
      </c>
      <c r="H140" s="174">
        <f t="shared" si="25"/>
        <v>4.7816268671186268E-2</v>
      </c>
      <c r="I140" s="34">
        <f>D92</f>
        <v>182150000</v>
      </c>
      <c r="J140" s="34">
        <f>O92</f>
        <v>2028312500</v>
      </c>
      <c r="K140" s="34">
        <f>'[3]Soy Complex'!$BM$12*1000000</f>
        <v>2285303166.6666665</v>
      </c>
      <c r="L140" s="174">
        <f t="shared" si="31"/>
        <v>0.91071174056991411</v>
      </c>
      <c r="M140" s="34">
        <f t="shared" si="28"/>
        <v>224.05634289290856</v>
      </c>
      <c r="N140" s="34">
        <f t="shared" si="27"/>
        <v>2285303166.6666665</v>
      </c>
    </row>
    <row r="141" spans="1:15" x14ac:dyDescent="0.2">
      <c r="B141" s="74" t="s">
        <v>547</v>
      </c>
      <c r="C141" s="170">
        <f>'[3]Soy Complex'!$BN$12</f>
        <v>2425</v>
      </c>
      <c r="D141" s="170">
        <v>2667949532.3144536</v>
      </c>
      <c r="E141" s="171">
        <f t="shared" si="29"/>
        <v>7.6227129494698671</v>
      </c>
      <c r="F141" s="170">
        <f>$G141*350*1000000</f>
        <v>2542911451.6129036</v>
      </c>
      <c r="G141" s="171">
        <f>AVERAGE('[6]NOPA Crush'!$E$543:$E$554)</f>
        <v>7.2654612903225813</v>
      </c>
      <c r="H141" s="172">
        <f t="shared" si="25"/>
        <v>4.9171228759161689E-2</v>
      </c>
      <c r="I141" s="170">
        <f>D93</f>
        <v>52500000</v>
      </c>
      <c r="J141" s="170">
        <f>O93</f>
        <v>603750000</v>
      </c>
      <c r="K141" s="170">
        <f>'[3]Soy Complex'!$BN$12*1000000</f>
        <v>2425000000</v>
      </c>
      <c r="L141" s="172">
        <f t="shared" si="31"/>
        <v>0.90893773312732262</v>
      </c>
      <c r="M141" s="170">
        <f t="shared" si="28"/>
        <v>242.94953231445359</v>
      </c>
      <c r="N141" s="170">
        <f t="shared" si="27"/>
        <v>2425000000</v>
      </c>
    </row>
    <row r="142" spans="1:15" x14ac:dyDescent="0.2">
      <c r="B142" s="74" t="s">
        <v>548</v>
      </c>
      <c r="C142" s="170">
        <f>'[3]Soy Complex'!$BO$12</f>
        <v>2520</v>
      </c>
      <c r="D142" s="170">
        <v>2757667842.1259766</v>
      </c>
      <c r="E142" s="171">
        <f t="shared" si="29"/>
        <v>7.8790509775027902</v>
      </c>
      <c r="F142" s="170">
        <f>$G142*350*1000000</f>
        <v>2627407284.9462371</v>
      </c>
      <c r="G142" s="171">
        <f>AVERAGE('[6]NOPA Crush'!$E$555:$E$566)</f>
        <v>7.506877956989249</v>
      </c>
      <c r="H142" s="172">
        <f t="shared" si="25"/>
        <v>4.9577603718338192E-2</v>
      </c>
      <c r="I142" s="170">
        <f>D94</f>
        <v>218615550</v>
      </c>
      <c r="J142" s="170">
        <f>O94</f>
        <v>1719554040</v>
      </c>
      <c r="K142" s="170">
        <f>'[3]Soy Complex'!$BO$12*1000000</f>
        <v>2520000000</v>
      </c>
      <c r="L142" s="172">
        <f t="shared" si="31"/>
        <v>0.91381563852782555</v>
      </c>
      <c r="M142" s="170">
        <f t="shared" si="28"/>
        <v>237.66784212597656</v>
      </c>
      <c r="N142" s="170">
        <f t="shared" si="27"/>
        <v>2520000000</v>
      </c>
    </row>
    <row r="143" spans="1:15" x14ac:dyDescent="0.2">
      <c r="B143" s="74" t="s">
        <v>549</v>
      </c>
      <c r="C143" s="170">
        <f>'[3]Soy Complex'!$BP$12</f>
        <v>2600</v>
      </c>
      <c r="D143" s="170">
        <f>FORECAST(C143,D132:D142,C132:C142)</f>
        <v>2853210138.4491487</v>
      </c>
      <c r="E143" s="171">
        <f t="shared" si="29"/>
        <v>8.1520289669975678</v>
      </c>
      <c r="F143" s="170">
        <f>D143-(D143*H143)</f>
        <v>2699650552.5283985</v>
      </c>
      <c r="G143" s="171">
        <f>F143/350/1000000</f>
        <v>7.7132872929382819</v>
      </c>
      <c r="H143" s="172">
        <f>FORECAST(E143,H132:H142,E132:E142)+0.01</f>
        <v>5.381993560566025E-2</v>
      </c>
      <c r="I143" s="170">
        <f>D143-D142</f>
        <v>95542296.323172092</v>
      </c>
      <c r="J143" s="170">
        <f>FORECAST(I143,J139:J142,I139:I142)</f>
        <v>1097407406.22578</v>
      </c>
      <c r="K143" s="170">
        <f>C143*1000000</f>
        <v>2600000000</v>
      </c>
      <c r="L143" s="172">
        <f t="shared" si="31"/>
        <v>0.91125429738351482</v>
      </c>
      <c r="M143" s="170">
        <f t="shared" si="28"/>
        <v>253.21013844914864</v>
      </c>
      <c r="N143" s="170">
        <f t="shared" si="27"/>
        <v>2600000000</v>
      </c>
    </row>
    <row r="144" spans="1:15" x14ac:dyDescent="0.2">
      <c r="B144" s="74" t="s">
        <v>550</v>
      </c>
      <c r="C144" s="170">
        <f>'[3]Soy Complex'!$BQ$12</f>
        <v>2625</v>
      </c>
      <c r="D144" s="170">
        <f t="shared" ref="D144:D150" si="32">FORECAST(C144,D133:D143,C133:C143)</f>
        <v>2898904643.8875785</v>
      </c>
      <c r="E144" s="171">
        <f t="shared" si="29"/>
        <v>8.2825846968216528</v>
      </c>
      <c r="F144" s="170">
        <f t="shared" ref="F144:F150" si="33">D144-(D144*H144)</f>
        <v>2745472659.4292226</v>
      </c>
      <c r="G144" s="171">
        <f t="shared" ref="G144:G150" si="34">F144/350/1000000</f>
        <v>7.8442075983692074</v>
      </c>
      <c r="H144" s="172">
        <f>FORECAST(E144,H133:H143,E133:E143)+0.007</f>
        <v>5.2927572068254027E-2</v>
      </c>
      <c r="I144" s="170">
        <f t="shared" ref="I144:I150" si="35">D144-D143</f>
        <v>45694505.438429832</v>
      </c>
      <c r="J144" s="170">
        <f t="shared" ref="J144:J150" si="36">FORECAST(I144,J140:J143,I140:I143)</f>
        <v>662301249.51733494</v>
      </c>
      <c r="K144" s="170">
        <f t="shared" ref="K144:K150" si="37">C144*1000000</f>
        <v>2625000000</v>
      </c>
      <c r="L144" s="172">
        <f t="shared" si="31"/>
        <v>0.90551443474861648</v>
      </c>
      <c r="M144" s="170">
        <f t="shared" si="28"/>
        <v>273.90464388757852</v>
      </c>
      <c r="N144" s="170">
        <f t="shared" si="27"/>
        <v>2625000000</v>
      </c>
    </row>
    <row r="145" spans="1:24" x14ac:dyDescent="0.2">
      <c r="B145" s="74" t="s">
        <v>551</v>
      </c>
      <c r="C145" s="170">
        <f>'[3]Soy Complex'!$BR$12</f>
        <v>2700</v>
      </c>
      <c r="D145" s="170">
        <f t="shared" si="32"/>
        <v>3021130475.2642484</v>
      </c>
      <c r="E145" s="171">
        <f t="shared" si="29"/>
        <v>8.6318013578978512</v>
      </c>
      <c r="F145" s="170">
        <f t="shared" si="33"/>
        <v>2869286197.318058</v>
      </c>
      <c r="G145" s="171">
        <f t="shared" si="34"/>
        <v>8.1979605637658803</v>
      </c>
      <c r="H145" s="172">
        <f>FORECAST(E145,H134:H144,E134:E144)+0.005</f>
        <v>5.0260748150213246E-2</v>
      </c>
      <c r="I145" s="170">
        <f t="shared" si="35"/>
        <v>122225831.37666988</v>
      </c>
      <c r="J145" s="170">
        <f t="shared" si="36"/>
        <v>1141821073.754714</v>
      </c>
      <c r="K145" s="170">
        <f t="shared" si="37"/>
        <v>2700000000</v>
      </c>
      <c r="L145" s="172">
        <f t="shared" si="31"/>
        <v>0.89370519482904487</v>
      </c>
      <c r="M145" s="170">
        <f t="shared" si="28"/>
        <v>321.13047526424839</v>
      </c>
      <c r="N145" s="170">
        <f t="shared" si="27"/>
        <v>2700000000</v>
      </c>
    </row>
    <row r="146" spans="1:24" x14ac:dyDescent="0.2">
      <c r="B146" s="74" t="s">
        <v>552</v>
      </c>
      <c r="C146" s="170">
        <f>'[3]Soy Complex'!$BS$12</f>
        <v>2725</v>
      </c>
      <c r="D146" s="170">
        <f t="shared" si="32"/>
        <v>3045732147.5437603</v>
      </c>
      <c r="E146" s="171">
        <f t="shared" si="29"/>
        <v>8.7020918501250293</v>
      </c>
      <c r="F146" s="170">
        <f t="shared" si="33"/>
        <v>2885765080.6174459</v>
      </c>
      <c r="G146" s="171">
        <f t="shared" si="34"/>
        <v>8.2450430874784164</v>
      </c>
      <c r="H146" s="172">
        <f>FORECAST(E146,H135:H145,E135:E145)+0.006</f>
        <v>5.2521712080072537E-2</v>
      </c>
      <c r="I146" s="170">
        <f t="shared" si="35"/>
        <v>24601672.279511929</v>
      </c>
      <c r="J146" s="170">
        <f t="shared" si="36"/>
        <v>588403880.44482815</v>
      </c>
      <c r="K146" s="170">
        <f t="shared" si="37"/>
        <v>2725000000</v>
      </c>
      <c r="L146" s="172">
        <f t="shared" si="31"/>
        <v>0.89469456537653325</v>
      </c>
      <c r="M146" s="170">
        <f t="shared" si="28"/>
        <v>320.73214754376028</v>
      </c>
      <c r="N146" s="170">
        <f t="shared" si="27"/>
        <v>2725000000</v>
      </c>
    </row>
    <row r="147" spans="1:24" x14ac:dyDescent="0.2">
      <c r="B147" s="74" t="s">
        <v>553</v>
      </c>
      <c r="C147" s="170">
        <f>'[3]Soy Complex'!$BT$12</f>
        <v>2750</v>
      </c>
      <c r="D147" s="170">
        <f t="shared" si="32"/>
        <v>3069918948.6385632</v>
      </c>
      <c r="E147" s="171">
        <f t="shared" si="29"/>
        <v>8.7711969961101808</v>
      </c>
      <c r="F147" s="170">
        <f t="shared" si="33"/>
        <v>2906525844.4266</v>
      </c>
      <c r="G147" s="171">
        <f t="shared" si="34"/>
        <v>8.3043595555045719</v>
      </c>
      <c r="H147" s="172">
        <f>FORECAST(E147,H136:H146,E136:E146)+0.005</f>
        <v>5.3223914684921603E-2</v>
      </c>
      <c r="I147" s="170">
        <f t="shared" si="35"/>
        <v>24186801.094802856</v>
      </c>
      <c r="J147" s="170">
        <f t="shared" si="36"/>
        <v>571799667.237872</v>
      </c>
      <c r="K147" s="170">
        <f t="shared" si="37"/>
        <v>2750000000</v>
      </c>
      <c r="L147" s="172">
        <f t="shared" si="31"/>
        <v>0.89578912212635464</v>
      </c>
      <c r="M147" s="170">
        <f t="shared" si="28"/>
        <v>319.91894863856317</v>
      </c>
      <c r="N147" s="170">
        <f t="shared" si="27"/>
        <v>2750000000</v>
      </c>
    </row>
    <row r="148" spans="1:24" x14ac:dyDescent="0.2">
      <c r="B148" s="74" t="s">
        <v>554</v>
      </c>
      <c r="C148" s="170">
        <f>'[3]Soy Complex'!$BU$12</f>
        <v>2875</v>
      </c>
      <c r="D148" s="170">
        <f t="shared" si="32"/>
        <v>3219016109.4380341</v>
      </c>
      <c r="E148" s="171">
        <f t="shared" si="29"/>
        <v>9.1971888841086678</v>
      </c>
      <c r="F148" s="170">
        <f t="shared" si="33"/>
        <v>3048120587.0472455</v>
      </c>
      <c r="G148" s="171">
        <f t="shared" si="34"/>
        <v>8.7089159629921298</v>
      </c>
      <c r="H148" s="172">
        <f>FORECAST(E148,H137:H147,E137:E147)+0.005</f>
        <v>5.3089365377740512E-2</v>
      </c>
      <c r="I148" s="170">
        <f t="shared" si="35"/>
        <v>149097160.7994709</v>
      </c>
      <c r="J148" s="170">
        <f t="shared" si="36"/>
        <v>1291111484.800863</v>
      </c>
      <c r="K148" s="170">
        <f t="shared" si="37"/>
        <v>2875000000</v>
      </c>
      <c r="L148" s="172">
        <f t="shared" si="31"/>
        <v>0.89313004416803266</v>
      </c>
      <c r="M148" s="170">
        <f t="shared" si="28"/>
        <v>344.01610943803405</v>
      </c>
      <c r="N148" s="170">
        <f t="shared" si="27"/>
        <v>2875000000</v>
      </c>
    </row>
    <row r="149" spans="1:24" x14ac:dyDescent="0.2">
      <c r="B149" s="74" t="s">
        <v>555</v>
      </c>
      <c r="C149" s="170">
        <f>'[3]Soy Complex'!$BV$12</f>
        <v>2950</v>
      </c>
      <c r="D149" s="170">
        <f>FORECAST(C149,D138:D148,C138:C148)+900000</f>
        <v>3312009723.3680429</v>
      </c>
      <c r="E149" s="171">
        <f t="shared" si="29"/>
        <v>9.4628849239086943</v>
      </c>
      <c r="F149" s="170">
        <f t="shared" si="33"/>
        <v>3142725102.7420154</v>
      </c>
      <c r="G149" s="171">
        <f t="shared" si="34"/>
        <v>8.9792145792629015</v>
      </c>
      <c r="H149" s="172">
        <f>FORECAST(E149,H138:H148,E138:E148)+0.001</f>
        <v>5.1112356172034162E-2</v>
      </c>
      <c r="I149" s="170">
        <f t="shared" si="35"/>
        <v>92993613.930008888</v>
      </c>
      <c r="J149" s="170">
        <f t="shared" si="36"/>
        <v>972381227.7419194</v>
      </c>
      <c r="K149" s="170">
        <f t="shared" si="37"/>
        <v>2950000000</v>
      </c>
      <c r="L149" s="172">
        <f t="shared" si="31"/>
        <v>0.89069786818140473</v>
      </c>
      <c r="M149" s="170">
        <f t="shared" si="28"/>
        <v>362.00972336804296</v>
      </c>
      <c r="N149" s="170">
        <f t="shared" si="27"/>
        <v>2950000000</v>
      </c>
    </row>
    <row r="150" spans="1:24" x14ac:dyDescent="0.2">
      <c r="B150" s="74" t="s">
        <v>556</v>
      </c>
      <c r="C150" s="170">
        <f>'[3]Soy Complex'!$BW$12</f>
        <v>3000</v>
      </c>
      <c r="D150" s="170">
        <f t="shared" si="32"/>
        <v>3367309868.744616</v>
      </c>
      <c r="E150" s="171">
        <f t="shared" si="29"/>
        <v>9.6208853392703304</v>
      </c>
      <c r="F150" s="170">
        <f t="shared" si="33"/>
        <v>3190525149.4664836</v>
      </c>
      <c r="G150" s="171">
        <f t="shared" si="34"/>
        <v>9.1157861413328103</v>
      </c>
      <c r="H150" s="172">
        <f t="shared" ref="H150" si="38">FORECAST(E150,H139:H149,E139:E149)</f>
        <v>5.2500282471491272E-2</v>
      </c>
      <c r="I150" s="170">
        <f t="shared" si="35"/>
        <v>55300145.376573086</v>
      </c>
      <c r="J150" s="170">
        <f t="shared" si="36"/>
        <v>756561638.17561841</v>
      </c>
      <c r="K150" s="170">
        <f t="shared" si="37"/>
        <v>3000000000</v>
      </c>
      <c r="L150" s="172">
        <f t="shared" si="31"/>
        <v>0.89091889874644814</v>
      </c>
      <c r="M150" s="170">
        <f t="shared" si="28"/>
        <v>367.30986874461604</v>
      </c>
      <c r="N150" s="170">
        <f t="shared" si="27"/>
        <v>3000000000</v>
      </c>
    </row>
    <row r="151" spans="1:24" x14ac:dyDescent="0.2">
      <c r="C151" s="76"/>
      <c r="D151" s="47"/>
      <c r="E151" s="47"/>
    </row>
    <row r="152" spans="1:24" ht="12.75" customHeight="1" x14ac:dyDescent="0.2">
      <c r="T152" s="77"/>
      <c r="U152" s="77"/>
    </row>
    <row r="153" spans="1:24" ht="47.25" customHeight="1" x14ac:dyDescent="0.2">
      <c r="D153" s="165" t="s">
        <v>557</v>
      </c>
      <c r="E153" s="166"/>
      <c r="F153" s="166"/>
      <c r="G153" s="166"/>
      <c r="H153" s="167"/>
      <c r="I153" s="165" t="s">
        <v>558</v>
      </c>
      <c r="J153" s="166"/>
      <c r="K153" s="167"/>
      <c r="L153" s="165" t="s">
        <v>559</v>
      </c>
      <c r="M153" s="166"/>
      <c r="N153" s="166"/>
      <c r="O153" s="166"/>
      <c r="P153" s="166"/>
      <c r="Q153" s="166"/>
      <c r="R153" s="166"/>
      <c r="S153" s="167"/>
      <c r="T153" s="77" t="s">
        <v>560</v>
      </c>
      <c r="U153" s="77"/>
    </row>
    <row r="154" spans="1:24" ht="22.5" x14ac:dyDescent="0.2">
      <c r="D154" s="70" t="s">
        <v>561</v>
      </c>
      <c r="E154" s="70" t="s">
        <v>562</v>
      </c>
      <c r="F154" s="70" t="s">
        <v>563</v>
      </c>
      <c r="G154" s="70" t="s">
        <v>564</v>
      </c>
      <c r="H154" s="78" t="s">
        <v>565</v>
      </c>
      <c r="I154" s="78" t="s">
        <v>566</v>
      </c>
      <c r="J154" s="78" t="s">
        <v>567</v>
      </c>
      <c r="K154" s="78" t="s">
        <v>563</v>
      </c>
      <c r="L154" s="70" t="s">
        <v>568</v>
      </c>
      <c r="M154" s="70" t="s">
        <v>569</v>
      </c>
      <c r="N154" s="70" t="s">
        <v>570</v>
      </c>
      <c r="O154" s="70" t="s">
        <v>571</v>
      </c>
      <c r="P154" s="70" t="s">
        <v>572</v>
      </c>
      <c r="Q154" s="70" t="s">
        <v>573</v>
      </c>
      <c r="R154" s="70" t="s">
        <v>574</v>
      </c>
      <c r="S154" s="70" t="s">
        <v>575</v>
      </c>
      <c r="T154" s="70" t="s">
        <v>576</v>
      </c>
      <c r="U154" s="70" t="s">
        <v>577</v>
      </c>
      <c r="W154" s="20" t="s">
        <v>578</v>
      </c>
      <c r="X154" s="20" t="s">
        <v>579</v>
      </c>
    </row>
    <row r="155" spans="1:24" x14ac:dyDescent="0.2">
      <c r="A155" s="29">
        <v>18742233846.315109</v>
      </c>
      <c r="C155" s="71" t="s">
        <v>540</v>
      </c>
      <c r="D155" s="23">
        <v>24989645128.420147</v>
      </c>
      <c r="E155" s="23">
        <f>D155-F155</f>
        <v>4997929025.6840286</v>
      </c>
      <c r="F155" s="23">
        <f>D155*$W$164</f>
        <v>19991716102.736118</v>
      </c>
      <c r="G155" s="23">
        <f>AVERAGE('[1]Renewable Diesel'!$BI$94:$BI$105)*AVERAGE('[1]RD Feedstock Breakdown'!$EC$85:$EC$96)*1000000</f>
        <v>27506066.941213179</v>
      </c>
      <c r="H155" s="23">
        <f>F155+G155</f>
        <v>20019222169.67733</v>
      </c>
      <c r="I155" s="23">
        <f>'[3]Soy Complex'!$BG$288*1000000</f>
        <v>0</v>
      </c>
      <c r="J155" s="23">
        <f>'[4]Soy Crude'!$Z$81*1000000</f>
        <v>17541105000.000004</v>
      </c>
      <c r="K155" s="23">
        <f>'[4]Soy Refined'!$Z$82*1000000</f>
        <v>17415958000.000004</v>
      </c>
      <c r="L155" s="23">
        <f>M155+N155+O155</f>
        <v>18792920401.222374</v>
      </c>
      <c r="M155" s="23">
        <f>'[4]Soy Crude'!$Z$97*1000000</f>
        <v>1376962401.2223759</v>
      </c>
      <c r="N155" s="23">
        <f>'[4]Soy Refined'!$Z$114*1000000</f>
        <v>4010460000</v>
      </c>
      <c r="O155" s="23">
        <f>'[4]Soy Refined'!$Z$98*1000000</f>
        <v>13405497999.999998</v>
      </c>
      <c r="P155" s="79">
        <f>K155/J155</f>
        <v>0.9928655007766044</v>
      </c>
      <c r="Q155" s="23">
        <f>O155+N155</f>
        <v>17415958000</v>
      </c>
      <c r="R155" s="79">
        <f>Q155/H155</f>
        <v>0.86996177235994532</v>
      </c>
      <c r="S155" s="79">
        <f t="shared" ref="S155:S160" si="39">L155/(F155+G155)</f>
        <v>0.93874378544475079</v>
      </c>
      <c r="T155" s="23">
        <f>Q155/1000000</f>
        <v>17415.957999999999</v>
      </c>
      <c r="U155" s="23">
        <f>(D155+G155)/1000000</f>
        <v>25017.151195361359</v>
      </c>
    </row>
    <row r="156" spans="1:24" x14ac:dyDescent="0.2">
      <c r="A156" s="29">
        <v>18883862817.445953</v>
      </c>
      <c r="C156" s="74" t="s">
        <v>541</v>
      </c>
      <c r="D156" s="23">
        <v>25178483756.594604</v>
      </c>
      <c r="E156" s="23">
        <f t="shared" ref="E156:E158" si="40">D156-F156</f>
        <v>5035696751.3189201</v>
      </c>
      <c r="F156" s="23">
        <f>D156*$W$164</f>
        <v>20142787005.275684</v>
      </c>
      <c r="G156" s="23">
        <f>AVERAGE('[1]Renewable Diesel'!$BI$106:$BI$117)*AVERAGE('[1]RD Feedstock Breakdown'!$EC$97:$EC$108)*1000000</f>
        <v>41501418.774190754</v>
      </c>
      <c r="H156" s="23">
        <f t="shared" ref="H156:H171" si="41">F156+G156</f>
        <v>20184288424.049873</v>
      </c>
      <c r="I156" s="23">
        <f>'[3]Soy Complex'!$BH$288*1000000</f>
        <v>0</v>
      </c>
      <c r="J156" s="23">
        <f>'[4]Soy Crude'!$AA$81*1000000</f>
        <v>17787413000</v>
      </c>
      <c r="K156" s="23">
        <f>'[4]Soy Refined'!$AA$82*1000000</f>
        <v>18050574999.999996</v>
      </c>
      <c r="L156" s="23">
        <f t="shared" ref="L156:L159" si="42">M156+N156+O156</f>
        <v>19247436791.483593</v>
      </c>
      <c r="M156" s="23">
        <f>'[4]Soy Crude'!$AA$97*1000000</f>
        <v>1196861791.4835942</v>
      </c>
      <c r="N156" s="23">
        <f>'[4]Soy Refined'!$AA$114*1000000</f>
        <v>5040685000</v>
      </c>
      <c r="O156" s="23">
        <f>'[4]Soy Refined'!$AA$98*1000000</f>
        <v>13009890000</v>
      </c>
      <c r="P156" s="79">
        <f t="shared" ref="P156:P171" si="43">K156/J156</f>
        <v>1.0147948439719703</v>
      </c>
      <c r="Q156" s="23">
        <f t="shared" ref="Q156:Q171" si="44">O156+N156</f>
        <v>18050575000</v>
      </c>
      <c r="R156" s="79">
        <f t="shared" ref="R156:R171" si="45">Q156/H156</f>
        <v>0.89428840000584198</v>
      </c>
      <c r="S156" s="79">
        <f t="shared" si="39"/>
        <v>0.95358510476643765</v>
      </c>
      <c r="T156" s="23">
        <f t="shared" ref="T156:T171" si="46">Q156/1000000</f>
        <v>18050.575000000001</v>
      </c>
      <c r="U156" s="23">
        <f t="shared" ref="U156:U171" si="47">(D156+G156)/1000000</f>
        <v>25219.985175368794</v>
      </c>
    </row>
    <row r="157" spans="1:24" x14ac:dyDescent="0.2">
      <c r="A157" s="29">
        <v>18978756600.448193</v>
      </c>
      <c r="C157" s="74" t="s">
        <v>542</v>
      </c>
      <c r="D157" s="23">
        <v>25305008800.597591</v>
      </c>
      <c r="E157" s="23">
        <f t="shared" si="40"/>
        <v>5061001760.1195183</v>
      </c>
      <c r="F157" s="23">
        <f>D157*$W$164</f>
        <v>20244007040.478073</v>
      </c>
      <c r="G157" s="23">
        <f>AVERAGE('[1]Renewable Diesel'!$BI$118:$BI$129)*AVERAGE('[1]RD Feedstock Breakdown'!$EC$109:$EC$120)*1000000</f>
        <v>50346440.260506198</v>
      </c>
      <c r="H157" s="23">
        <f t="shared" si="41"/>
        <v>20294353480.738579</v>
      </c>
      <c r="I157" s="23">
        <f>'[3]Soy Complex'!$BI$288*1000000</f>
        <v>0</v>
      </c>
      <c r="J157" s="23">
        <f>'[4]Soy Crude'!$AB$81*1000000</f>
        <v>18377331000.000004</v>
      </c>
      <c r="K157" s="23">
        <f>'[4]Soy Refined'!$AB$82*1000000</f>
        <v>18109180999.999996</v>
      </c>
      <c r="L157" s="23">
        <f t="shared" si="42"/>
        <v>19505218694.176872</v>
      </c>
      <c r="M157" s="23">
        <f>'[4]Soy Crude'!$AB$97*1000000</f>
        <v>1396037694.1768725</v>
      </c>
      <c r="N157" s="23">
        <f>'[4]Soy Refined'!$AB$114*1000000</f>
        <v>4981977999.999999</v>
      </c>
      <c r="O157" s="23">
        <f>'[4]Soy Refined'!$AB$98*1000000</f>
        <v>13127203000</v>
      </c>
      <c r="P157" s="79">
        <f t="shared" si="43"/>
        <v>0.98540865373758535</v>
      </c>
      <c r="Q157" s="23">
        <f t="shared" si="44"/>
        <v>18109181000</v>
      </c>
      <c r="R157" s="79">
        <f t="shared" si="45"/>
        <v>0.8923260855383971</v>
      </c>
      <c r="S157" s="79">
        <f t="shared" si="39"/>
        <v>0.96111554934180699</v>
      </c>
      <c r="T157" s="23">
        <f t="shared" si="46"/>
        <v>18109.181</v>
      </c>
      <c r="U157" s="23">
        <f t="shared" si="47"/>
        <v>25355.355240858098</v>
      </c>
    </row>
    <row r="158" spans="1:24" x14ac:dyDescent="0.2">
      <c r="A158" s="29">
        <v>20426962500</v>
      </c>
      <c r="C158" s="74" t="s">
        <v>543</v>
      </c>
      <c r="D158" s="23">
        <v>27235950000</v>
      </c>
      <c r="E158" s="23">
        <f t="shared" si="40"/>
        <v>6447190000</v>
      </c>
      <c r="F158" s="23">
        <f>D158*$W$164-1000000000</f>
        <v>20788760000</v>
      </c>
      <c r="G158" s="23">
        <f>AVERAGE('[1]Renewable Diesel'!$BI$130:$BI$141)*AVERAGE('[1]RD Feedstock Breakdown'!$EC$121:$EC$132)*1000000</f>
        <v>78399966.921228215</v>
      </c>
      <c r="H158" s="23">
        <f t="shared" si="41"/>
        <v>20867159966.921227</v>
      </c>
      <c r="I158" s="23">
        <f>'[3]Soy Complex'!$BJ$288*1000000</f>
        <v>0</v>
      </c>
      <c r="J158" s="23">
        <f>'[4]Soy Crude'!$AC$81*1000000</f>
        <v>19825104000.000004</v>
      </c>
      <c r="K158" s="23">
        <f>'[4]Soy Refined'!$AC$82*1000000</f>
        <v>19333913999.999996</v>
      </c>
      <c r="L158" s="23">
        <f t="shared" si="42"/>
        <v>20802802000</v>
      </c>
      <c r="M158" s="23">
        <f>'[4]Soy Crude'!$AC$97*1000000</f>
        <v>1468888000.0000002</v>
      </c>
      <c r="N158" s="23">
        <f>'[4]Soy Refined'!$AC$114*1000000</f>
        <v>5164754999.999999</v>
      </c>
      <c r="O158" s="23">
        <f>'[4]Soy Refined'!$AC$98*1000000</f>
        <v>14169159000.000002</v>
      </c>
      <c r="P158" s="79">
        <f t="shared" si="43"/>
        <v>0.97522383741341245</v>
      </c>
      <c r="Q158" s="23">
        <f t="shared" si="44"/>
        <v>19333914000</v>
      </c>
      <c r="R158" s="79">
        <f t="shared" si="45"/>
        <v>0.92652349580145366</v>
      </c>
      <c r="S158" s="79">
        <f t="shared" si="39"/>
        <v>0.99691582529566802</v>
      </c>
      <c r="T158" s="23">
        <f t="shared" si="46"/>
        <v>19333.914000000001</v>
      </c>
      <c r="U158" s="23">
        <f t="shared" si="47"/>
        <v>27314.349966921225</v>
      </c>
    </row>
    <row r="159" spans="1:24" x14ac:dyDescent="0.2">
      <c r="A159" s="20">
        <v>20904710071.50193</v>
      </c>
      <c r="C159" s="74" t="s">
        <v>544</v>
      </c>
      <c r="D159" s="23">
        <f t="shared" ref="D159:D171" si="48">((D138/D137-1)*D158)+D158</f>
        <v>27873796093.356812</v>
      </c>
      <c r="E159" s="23">
        <f>D159-F159</f>
        <v>6374759218.67136</v>
      </c>
      <c r="F159" s="23">
        <f>D159*W164-1000000000+200000000</f>
        <v>21499036874.685452</v>
      </c>
      <c r="G159" s="23">
        <f>AVERAGE('[1]Renewable Diesel'!$BI$142:$BI$153)*AVERAGE('[1]RD Feedstock Breakdown'!$EC$133:$EC$144)*1000000</f>
        <v>153015248.82430276</v>
      </c>
      <c r="H159" s="23">
        <f t="shared" si="41"/>
        <v>21652052123.509754</v>
      </c>
      <c r="I159" s="23">
        <f>'[3]Soy Complex'!$BK$288*1000000</f>
        <v>0</v>
      </c>
      <c r="J159" s="23">
        <f>'[4]Soy Crude'!$AD$81*1000000</f>
        <v>20601161000</v>
      </c>
      <c r="K159" s="23">
        <f>'[4]Soy Refined'!$AD$82*1000000</f>
        <v>20116268000</v>
      </c>
      <c r="L159" s="23">
        <f t="shared" si="42"/>
        <v>22002510000</v>
      </c>
      <c r="M159" s="23">
        <f>'[4]Soy Crude'!$AD$97*1000000</f>
        <v>1886242000</v>
      </c>
      <c r="N159" s="23">
        <f>'[4]Soy Refined'!$AD$114*1000000</f>
        <v>5460309000</v>
      </c>
      <c r="O159" s="23">
        <f>'[4]Soy Refined'!$AD$98*1000000</f>
        <v>14655959000</v>
      </c>
      <c r="P159" s="79">
        <f t="shared" si="43"/>
        <v>0.97646283139091039</v>
      </c>
      <c r="Q159" s="23">
        <f t="shared" si="44"/>
        <v>20116268000</v>
      </c>
      <c r="R159" s="79">
        <f t="shared" si="45"/>
        <v>0.92906981219381957</v>
      </c>
      <c r="S159" s="79">
        <f t="shared" si="39"/>
        <v>1.0161858965834338</v>
      </c>
      <c r="T159" s="23">
        <f t="shared" si="46"/>
        <v>20116.268</v>
      </c>
      <c r="U159" s="23">
        <f t="shared" si="47"/>
        <v>28026.811342181114</v>
      </c>
    </row>
    <row r="160" spans="1:24" x14ac:dyDescent="0.2">
      <c r="A160" s="20">
        <v>21339938504.275349</v>
      </c>
      <c r="C160" s="74" t="s">
        <v>545</v>
      </c>
      <c r="D160" s="23">
        <f t="shared" si="48"/>
        <v>28640123730.534527</v>
      </c>
      <c r="E160" s="23">
        <f>D160-F160</f>
        <v>6612320786.1964531</v>
      </c>
      <c r="F160" s="23">
        <f>((D160-D159)*$W$165)+F159</f>
        <v>22027802944.338074</v>
      </c>
      <c r="G160" s="23">
        <f>AVERAGE('[1]Renewable Diesel'!$BI$154:$BI$165)*AVERAGE('[1]RD Feedstock Breakdown'!$EC$145:$EC$156)*1000000</f>
        <v>655369757.05595469</v>
      </c>
      <c r="H160" s="23">
        <f t="shared" si="41"/>
        <v>22683172701.394028</v>
      </c>
      <c r="I160" s="23">
        <f>'[3]Soy Complex'!$BL$288*1000000</f>
        <v>0</v>
      </c>
      <c r="J160" s="23">
        <f>'[4]Soy Crude'!$AE$81*1000000</f>
        <v>21086462999.999996</v>
      </c>
      <c r="K160" s="23">
        <f>'[4]Soy Refined'!$AE$82*1000000</f>
        <v>20621316000.000004</v>
      </c>
      <c r="L160" s="23">
        <f t="shared" ref="L160:L171" si="49">N160+O160</f>
        <v>20621316000</v>
      </c>
      <c r="M160" s="23">
        <f>'[4]Soy Crude'!$AE$97*1000000</f>
        <v>2132120593.8314648</v>
      </c>
      <c r="N160" s="23">
        <f>'[4]Soy Refined'!$AE$114*1000000</f>
        <v>6242451000</v>
      </c>
      <c r="O160" s="23">
        <f>'[4]Soy Refined'!$AE$98*1000000</f>
        <v>14378865000.000002</v>
      </c>
      <c r="P160" s="79">
        <f t="shared" si="43"/>
        <v>0.97794096620187121</v>
      </c>
      <c r="Q160" s="23">
        <f t="shared" si="44"/>
        <v>20621316000</v>
      </c>
      <c r="R160" s="79">
        <f t="shared" si="45"/>
        <v>0.90910192641317267</v>
      </c>
      <c r="S160" s="79">
        <f t="shared" si="39"/>
        <v>0.90910192641317267</v>
      </c>
      <c r="T160" s="23">
        <f t="shared" si="46"/>
        <v>20621.315999999999</v>
      </c>
      <c r="U160" s="23">
        <f t="shared" si="47"/>
        <v>29295.49348759048</v>
      </c>
    </row>
    <row r="161" spans="1:25" x14ac:dyDescent="0.2">
      <c r="A161" s="29">
        <v>22173527801.805771</v>
      </c>
      <c r="C161" s="74" t="s">
        <v>546</v>
      </c>
      <c r="D161" s="75">
        <f t="shared" si="48"/>
        <v>29616312642.835854</v>
      </c>
      <c r="E161" s="75">
        <f t="shared" ref="E161:E171" si="50">D161-F161</f>
        <v>6914939349.0098648</v>
      </c>
      <c r="F161" s="75">
        <f>((D161-D160)*$W$165)+F160</f>
        <v>22701373293.825989</v>
      </c>
      <c r="G161" s="75">
        <f>AVERAGE('[1]Renewable Diesel'!$BI$166:$BI$177)*AVERAGE('[1]RD Feedstock Breakdown'!$EC$157:$EC$168)*1000000</f>
        <v>1500607494.5407033</v>
      </c>
      <c r="H161" s="75">
        <f t="shared" si="41"/>
        <v>24201980788.366692</v>
      </c>
      <c r="I161" s="75">
        <f>'[3]Soy Complex'!$BM$288*1000000</f>
        <v>0</v>
      </c>
      <c r="J161" s="75">
        <f>'[4]Soy Crude'!$AF$81*1000000</f>
        <v>21248760000.000004</v>
      </c>
      <c r="K161" s="75">
        <f>'[4]Soy Refined'!$AF$82*1000000</f>
        <v>20813930000</v>
      </c>
      <c r="L161" s="75">
        <f t="shared" si="49"/>
        <v>20813930000</v>
      </c>
      <c r="M161" s="75">
        <f>'[4]Soy Crude'!$AF$97*1000000</f>
        <v>2094955416.9294415</v>
      </c>
      <c r="N161" s="75">
        <f>'[4]Soy Refined'!$AF$114*1000000</f>
        <v>6173267000</v>
      </c>
      <c r="O161" s="75">
        <f>'[4]Soy Refined'!$AF$98*1000000</f>
        <v>14640663000</v>
      </c>
      <c r="P161" s="80">
        <f t="shared" si="43"/>
        <v>0.97953621764281762</v>
      </c>
      <c r="Q161" s="75">
        <f t="shared" si="44"/>
        <v>20813930000</v>
      </c>
      <c r="R161" s="80">
        <f t="shared" si="45"/>
        <v>0.86000935964732084</v>
      </c>
      <c r="S161" s="80">
        <f>L161/(F161+G161)</f>
        <v>0.86000935964732084</v>
      </c>
      <c r="T161" s="75">
        <f t="shared" si="46"/>
        <v>20813.93</v>
      </c>
      <c r="U161" s="75">
        <f t="shared" si="47"/>
        <v>31116.920137376557</v>
      </c>
      <c r="V161" s="54">
        <f>W162-V162</f>
        <v>2730962500</v>
      </c>
    </row>
    <row r="162" spans="1:25" x14ac:dyDescent="0.2">
      <c r="A162" s="29">
        <v>23639075100.615978</v>
      </c>
      <c r="C162" s="74" t="s">
        <v>547</v>
      </c>
      <c r="D162" s="75">
        <f t="shared" si="48"/>
        <v>31488045919.016472</v>
      </c>
      <c r="E162" s="75">
        <f t="shared" si="50"/>
        <v>7495176664.6258583</v>
      </c>
      <c r="F162" s="75">
        <f>((D162-D161)*$W$165)+F161</f>
        <v>23992869254.390614</v>
      </c>
      <c r="G162" s="75">
        <f>AVERAGE('[1]Renewable Diesel'!$BI$178:$BI$189)*AVERAGE('[1]RD Feedstock Breakdown'!$EC$169:$EC$180)*1000000</f>
        <v>1635636663.1563356</v>
      </c>
      <c r="H162" s="75">
        <f t="shared" si="41"/>
        <v>25628505917.546947</v>
      </c>
      <c r="I162" s="75">
        <f>'[3]Soy Complex'!$BN$288*1000000</f>
        <v>0</v>
      </c>
      <c r="J162" s="75">
        <f>'[4]Soy Crude'!$AG$81*1000000</f>
        <v>24027819772.509872</v>
      </c>
      <c r="K162" s="75">
        <f>'[4]Soy Refined'!$AG$82*1000000</f>
        <v>23282247215.200977</v>
      </c>
      <c r="L162" s="75">
        <f t="shared" si="49"/>
        <v>23282247215.200974</v>
      </c>
      <c r="M162" s="75">
        <f>'[4]Soy Crude'!$AG$97*1000000</f>
        <v>2029000000</v>
      </c>
      <c r="N162" s="75">
        <f>'[4]Soy Refined'!$AG$114*1000000</f>
        <v>5637553448.0316734</v>
      </c>
      <c r="O162" s="75">
        <f>'[4]Soy Refined'!$AG$98*1000000</f>
        <v>17644693767.1693</v>
      </c>
      <c r="P162" s="80">
        <f t="shared" si="43"/>
        <v>0.96897044491061557</v>
      </c>
      <c r="Q162" s="75">
        <f t="shared" si="44"/>
        <v>23282247215.200974</v>
      </c>
      <c r="R162" s="80">
        <f t="shared" si="45"/>
        <v>0.90845121015269281</v>
      </c>
      <c r="S162" s="80">
        <f t="shared" ref="S162:S171" si="51">L162/(F162+G162)</f>
        <v>0.90845121015269281</v>
      </c>
      <c r="T162" s="75">
        <f t="shared" si="46"/>
        <v>23282.247215200972</v>
      </c>
      <c r="U162" s="75">
        <f t="shared" si="47"/>
        <v>33123.682582172805</v>
      </c>
      <c r="V162" s="54">
        <f>N77+N61+N11</f>
        <v>1669250000</v>
      </c>
      <c r="W162" s="54">
        <f>SUM(N85,N77,N61,N14,N11,N8,N3,N6,O6)</f>
        <v>4400212500</v>
      </c>
      <c r="X162" s="54">
        <f>SUM(N88,N82,N69,N68,N60,N56,N52,N51,N49,N46,N44,N42,N38,N35,N34,N32,N31,N26,N24,N20,N17,N10,N7,N5,N4,O83,O56,O51,O49)</f>
        <v>11484887500</v>
      </c>
    </row>
    <row r="163" spans="1:25" x14ac:dyDescent="0.2">
      <c r="A163" s="29">
        <v>24422950574.668732</v>
      </c>
      <c r="C163" s="74" t="s">
        <v>548</v>
      </c>
      <c r="D163" s="75">
        <f t="shared" si="48"/>
        <v>32546931863.036198</v>
      </c>
      <c r="E163" s="75">
        <f t="shared" si="50"/>
        <v>7823431307.2719727</v>
      </c>
      <c r="F163" s="75">
        <f>((D163-D162)*$W$165)+F162</f>
        <v>24723500555.764225</v>
      </c>
      <c r="G163" s="75">
        <f>AVERAGE('[1]Renewable Diesel'!$BI$190:$BI$201)*AVERAGE('[1]RD Feedstock Breakdown'!$EC$181:$EC$192)*1000000</f>
        <v>1874380683.9367468</v>
      </c>
      <c r="H163" s="75">
        <f t="shared" si="41"/>
        <v>26597881239.700974</v>
      </c>
      <c r="I163" s="75">
        <f>'[3]Soy Complex'!$BO$288*1000000</f>
        <v>0</v>
      </c>
      <c r="J163" s="75">
        <f>'[4]Soy Crude'!$AH$81*1000000</f>
        <v>25173100900.05064</v>
      </c>
      <c r="K163" s="75">
        <f>'[4]Soy Refined'!$AH$82*1000000</f>
        <v>24436283551.741196</v>
      </c>
      <c r="L163" s="75">
        <f t="shared" si="49"/>
        <v>24436283551.741199</v>
      </c>
      <c r="M163" s="75">
        <f>'[4]Soy Crude'!$AH$97*1000000</f>
        <v>2035000000</v>
      </c>
      <c r="N163" s="75">
        <f>'[4]Soy Refined'!$AH$114*1000000</f>
        <v>5719006885.8126116</v>
      </c>
      <c r="O163" s="75">
        <f>'[4]Soy Refined'!$AH$98*1000000</f>
        <v>18717276665.928589</v>
      </c>
      <c r="P163" s="80">
        <f t="shared" si="43"/>
        <v>0.97072997278980588</v>
      </c>
      <c r="Q163" s="75">
        <f t="shared" si="44"/>
        <v>24436283551.741199</v>
      </c>
      <c r="R163" s="80">
        <f t="shared" si="45"/>
        <v>0.91873045569008349</v>
      </c>
      <c r="S163" s="80">
        <f t="shared" si="51"/>
        <v>0.91873045569008349</v>
      </c>
      <c r="T163" s="75">
        <f>Q163/1000000</f>
        <v>24436.283551741199</v>
      </c>
      <c r="U163" s="75">
        <f t="shared" si="47"/>
        <v>34421.312546972949</v>
      </c>
      <c r="W163" s="54">
        <f>W162</f>
        <v>4400212500</v>
      </c>
      <c r="X163" s="54">
        <f>X162+O55+O21+O12</f>
        <v>12356732500</v>
      </c>
    </row>
    <row r="164" spans="1:25" x14ac:dyDescent="0.2">
      <c r="A164" s="29">
        <f>F161/F160-1</f>
        <v>3.0578190262095406E-2</v>
      </c>
      <c r="C164" s="74" t="s">
        <v>549</v>
      </c>
      <c r="D164" s="75">
        <f t="shared" si="48"/>
        <v>33674554472.607258</v>
      </c>
      <c r="E164" s="75">
        <f t="shared" si="50"/>
        <v>9172994316.2390022</v>
      </c>
      <c r="F164" s="75">
        <f>((D164-D163)*$W$165)+F163-1000000000</f>
        <v>24501560156.368256</v>
      </c>
      <c r="G164" s="75">
        <f>AVERAGE('[1]Renewable Diesel'!$BI$202:$BI$213)*AVERAGE('[1]RD Feedstock Breakdown'!$EC$193:$EC$204)*1000000</f>
        <v>2141816670.0782635</v>
      </c>
      <c r="H164" s="75">
        <f t="shared" si="41"/>
        <v>26643376826.446518</v>
      </c>
      <c r="I164" s="75">
        <f>'[3]Soy Complex'!$BP$288*1000000</f>
        <v>0</v>
      </c>
      <c r="J164" s="75">
        <f>'[4]Soy Crude'!$AI$81*1000000</f>
        <v>25828195895.030842</v>
      </c>
      <c r="K164" s="75">
        <f>'[4]Soy Refined'!$AI$82*1000000</f>
        <v>25968043825.366375</v>
      </c>
      <c r="L164" s="75">
        <f t="shared" si="49"/>
        <v>25968043825.366375</v>
      </c>
      <c r="M164" s="75">
        <f>'[4]Soy Crude'!$AI$97*1000000</f>
        <v>2058000000</v>
      </c>
      <c r="N164" s="75">
        <f>'[4]Soy Refined'!$AI$114*1000000</f>
        <v>5847233884.9300928</v>
      </c>
      <c r="O164" s="75">
        <f>'[4]Soy Refined'!$AI$98*1000000</f>
        <v>20120809940.436283</v>
      </c>
      <c r="P164" s="80">
        <f t="shared" si="43"/>
        <v>1.0054145450539362</v>
      </c>
      <c r="Q164" s="75">
        <f t="shared" si="44"/>
        <v>25968043825.366375</v>
      </c>
      <c r="R164" s="80">
        <f t="shared" si="45"/>
        <v>0.97465287506612897</v>
      </c>
      <c r="S164" s="80">
        <f t="shared" si="51"/>
        <v>0.97465287506612897</v>
      </c>
      <c r="T164" s="75">
        <f t="shared" si="46"/>
        <v>25968.043825366374</v>
      </c>
      <c r="U164" s="75">
        <f t="shared" si="47"/>
        <v>35816.371142685522</v>
      </c>
      <c r="W164" s="81">
        <v>0.8</v>
      </c>
      <c r="X164" s="20" t="s">
        <v>580</v>
      </c>
    </row>
    <row r="165" spans="1:25" x14ac:dyDescent="0.2">
      <c r="A165" s="20">
        <f>F160/F158-1</f>
        <v>5.9601580100884899E-2</v>
      </c>
      <c r="C165" s="74" t="s">
        <v>550</v>
      </c>
      <c r="D165" s="75">
        <f t="shared" si="48"/>
        <v>34213856535.133095</v>
      </c>
      <c r="E165" s="75">
        <f t="shared" si="50"/>
        <v>9840177955.6220131</v>
      </c>
      <c r="F165" s="75">
        <f>((D165-D164)*$W$165)+F164-500000000</f>
        <v>24373678579.511082</v>
      </c>
      <c r="G165" s="75">
        <f>AVERAGE('[1]Renewable Diesel'!$BI$214:$BI$225)*AVERAGE('[1]RD Feedstock Breakdown'!$EC$205:$EC$216)*1000000</f>
        <v>2379229447.434648</v>
      </c>
      <c r="H165" s="75">
        <f t="shared" si="41"/>
        <v>26752908026.945728</v>
      </c>
      <c r="I165" s="75">
        <f>'[3]Soy Complex'!$BQ$288*1000000</f>
        <v>0</v>
      </c>
      <c r="J165" s="75">
        <f>'[4]Soy Crude'!$AJ$81*1000000</f>
        <v>27598412812.128128</v>
      </c>
      <c r="K165" s="75">
        <f>'[4]Soy Refined'!$AJ$82*1000000</f>
        <v>26141013118.688335</v>
      </c>
      <c r="L165" s="75">
        <f t="shared" si="49"/>
        <v>26141013118.688335</v>
      </c>
      <c r="M165" s="75">
        <f>'[4]Soy Crude'!$AJ$97*1000000</f>
        <v>2069000000</v>
      </c>
      <c r="N165" s="75">
        <f>'[4]Soy Refined'!$AJ$114*1000000</f>
        <v>5910910721.7428055</v>
      </c>
      <c r="O165" s="75">
        <f>'[4]Soy Refined'!$AJ$98*1000000</f>
        <v>20230102396.94553</v>
      </c>
      <c r="P165" s="80">
        <f t="shared" si="43"/>
        <v>0.94719262649773328</v>
      </c>
      <c r="Q165" s="75">
        <f t="shared" si="44"/>
        <v>26141013118.688335</v>
      </c>
      <c r="R165" s="80">
        <f t="shared" si="45"/>
        <v>0.97712791044468561</v>
      </c>
      <c r="S165" s="80">
        <f t="shared" si="51"/>
        <v>0.97712791044468561</v>
      </c>
      <c r="T165" s="75">
        <f t="shared" si="46"/>
        <v>26141.013118688334</v>
      </c>
      <c r="U165" s="75">
        <f t="shared" si="47"/>
        <v>36593.08598256774</v>
      </c>
      <c r="W165" s="81">
        <v>0.69</v>
      </c>
      <c r="X165" s="20" t="s">
        <v>187</v>
      </c>
      <c r="Y165" s="20">
        <f>(D201+G164)/1000000</f>
        <v>2141.8166700832885</v>
      </c>
    </row>
    <row r="166" spans="1:25" x14ac:dyDescent="0.2">
      <c r="C166" s="74" t="s">
        <v>551</v>
      </c>
      <c r="D166" s="75">
        <f t="shared" si="48"/>
        <v>35656407282.163094</v>
      </c>
      <c r="E166" s="75">
        <f t="shared" si="50"/>
        <v>10787368687.201313</v>
      </c>
      <c r="F166" s="75">
        <f>((D166-D165)*$W$165)+F165-500000000</f>
        <v>24869038594.961781</v>
      </c>
      <c r="G166" s="75">
        <f>AVERAGE('[1]Renewable Diesel'!$BI$226:$BI$237)*AVERAGE('[1]RD Feedstock Breakdown'!$EC$217:$EC$228)*1000000</f>
        <v>2546170160.4899387</v>
      </c>
      <c r="H166" s="75">
        <f t="shared" si="41"/>
        <v>27415208755.451721</v>
      </c>
      <c r="I166" s="75">
        <f>'[3]Soy Complex'!$BR$288*1000000</f>
        <v>0</v>
      </c>
      <c r="J166" s="75">
        <f>'[4]Soy Crude'!$AK$81*1000000</f>
        <v>29303654964.457439</v>
      </c>
      <c r="K166" s="75">
        <f>'[4]Soy Refined'!$AK$82*1000000</f>
        <v>26513608011.8755</v>
      </c>
      <c r="L166" s="75">
        <f t="shared" si="49"/>
        <v>26513608011.875492</v>
      </c>
      <c r="M166" s="75">
        <f>'[4]Soy Crude'!$AK$97*1000000</f>
        <v>2066000000</v>
      </c>
      <c r="N166" s="75">
        <f>'[4]Soy Refined'!$AK$114*1000000</f>
        <v>5818914244.706192</v>
      </c>
      <c r="O166" s="75">
        <f>'[4]Soy Refined'!$AK$98*1000000</f>
        <v>20694693767.1693</v>
      </c>
      <c r="P166" s="80">
        <f t="shared" si="43"/>
        <v>0.90478843147839394</v>
      </c>
      <c r="Q166" s="75">
        <f t="shared" si="44"/>
        <v>26513608011.875492</v>
      </c>
      <c r="R166" s="80">
        <f t="shared" si="45"/>
        <v>0.96711311769978991</v>
      </c>
      <c r="S166" s="80">
        <f t="shared" si="51"/>
        <v>0.96711311769978991</v>
      </c>
      <c r="T166" s="75">
        <f t="shared" si="46"/>
        <v>26513.608011875491</v>
      </c>
      <c r="U166" s="75">
        <f t="shared" si="47"/>
        <v>38202.577442653033</v>
      </c>
    </row>
    <row r="167" spans="1:25" x14ac:dyDescent="0.2">
      <c r="C167" s="74" t="s">
        <v>552</v>
      </c>
      <c r="D167" s="75">
        <f t="shared" si="48"/>
        <v>35946764568.550682</v>
      </c>
      <c r="E167" s="75">
        <f t="shared" si="50"/>
        <v>11377379445.981464</v>
      </c>
      <c r="F167" s="75">
        <f>((D167-D166)*$W$165)+F166-500000000</f>
        <v>24569385122.569218</v>
      </c>
      <c r="G167" s="75">
        <f>AVERAGE('[1]Renewable Diesel'!$BI$238:$BI$249)*AVERAGE('[1]RD Feedstock Breakdown'!$EC$229:$EC$240)*1000000+175000000</f>
        <v>2508273670.994215</v>
      </c>
      <c r="H167" s="75">
        <f t="shared" si="41"/>
        <v>27077658793.563431</v>
      </c>
      <c r="I167" s="75">
        <f>'[3]Soy Complex'!$BS$288*1000000</f>
        <v>0</v>
      </c>
      <c r="J167" s="75">
        <f>'[4]Soy Crude'!$AL$81*1000000</f>
        <v>31993105852.546074</v>
      </c>
      <c r="K167" s="75">
        <f>'[4]Soy Refined'!$AL$82*1000000</f>
        <v>27486853090.691982</v>
      </c>
      <c r="L167" s="75">
        <f t="shared" si="49"/>
        <v>27486853090.691986</v>
      </c>
      <c r="M167" s="75">
        <f>'[4]Soy Crude'!$AL$97*1000000</f>
        <v>2040000000</v>
      </c>
      <c r="N167" s="75">
        <f>'[4]Soy Refined'!$AL$114*1000000</f>
        <v>5744576424.7633991</v>
      </c>
      <c r="O167" s="75">
        <f>'[4]Soy Refined'!$AL$98*1000000</f>
        <v>21742276665.928589</v>
      </c>
      <c r="P167" s="80">
        <f t="shared" si="43"/>
        <v>0.85914925601087033</v>
      </c>
      <c r="Q167" s="75">
        <f t="shared" si="44"/>
        <v>27486853090.691986</v>
      </c>
      <c r="R167" s="80">
        <f t="shared" si="45"/>
        <v>1.0151118787723932</v>
      </c>
      <c r="S167" s="80">
        <f t="shared" si="51"/>
        <v>1.0151118787723932</v>
      </c>
      <c r="T167" s="75">
        <f t="shared" si="46"/>
        <v>27486.853090691988</v>
      </c>
      <c r="U167" s="75">
        <f t="shared" si="47"/>
        <v>38455.038239544898</v>
      </c>
    </row>
    <row r="168" spans="1:25" x14ac:dyDescent="0.2">
      <c r="C168" s="74" t="s">
        <v>553</v>
      </c>
      <c r="D168" s="75">
        <f t="shared" si="48"/>
        <v>36232225404.403374</v>
      </c>
      <c r="E168" s="75">
        <f t="shared" si="50"/>
        <v>11465872305.095798</v>
      </c>
      <c r="F168" s="75">
        <f>((D168-D167)*$W$165)+F167</f>
        <v>24766353099.307575</v>
      </c>
      <c r="G168" s="75">
        <f>AVERAGE('[1]Renewable Diesel'!$BI$250:$BI$261)*AVERAGE('[1]RD Feedstock Breakdown'!$EC$241:$EC$252)*1000000+100000000</f>
        <v>2501809140.8188434</v>
      </c>
      <c r="H168" s="75">
        <f t="shared" si="41"/>
        <v>27268162240.126419</v>
      </c>
      <c r="I168" s="75">
        <f>'[3]Soy Complex'!$BT$288*1000000</f>
        <v>0</v>
      </c>
      <c r="J168" s="75">
        <f>'[4]Soy Crude'!$AM$81*1000000</f>
        <v>32627268004.274906</v>
      </c>
      <c r="K168" s="75">
        <f>'[4]Soy Refined'!$AM$82*1000000</f>
        <v>28487824384.553669</v>
      </c>
      <c r="L168" s="75">
        <f t="shared" si="49"/>
        <v>28487824384.553669</v>
      </c>
      <c r="M168" s="75">
        <f>'[4]Soy Crude'!$AM$97*1000000</f>
        <v>2047000000</v>
      </c>
      <c r="N168" s="75">
        <f>'[4]Soy Refined'!$AM$114*1000000</f>
        <v>5742014444.1173887</v>
      </c>
      <c r="O168" s="75">
        <f>'[4]Soy Refined'!$AM$98*1000000</f>
        <v>22745809940.436279</v>
      </c>
      <c r="P168" s="80">
        <f t="shared" si="43"/>
        <v>0.87312932179369485</v>
      </c>
      <c r="Q168" s="75">
        <f t="shared" si="44"/>
        <v>28487824384.553669</v>
      </c>
      <c r="R168" s="80">
        <f t="shared" si="45"/>
        <v>1.0447284321431995</v>
      </c>
      <c r="S168" s="80">
        <f t="shared" si="51"/>
        <v>1.0447284321431995</v>
      </c>
      <c r="T168" s="75">
        <f t="shared" si="46"/>
        <v>28487.824384553667</v>
      </c>
      <c r="U168" s="75">
        <f t="shared" si="47"/>
        <v>38734.034545222217</v>
      </c>
    </row>
    <row r="169" spans="1:25" x14ac:dyDescent="0.2">
      <c r="C169" s="74" t="s">
        <v>554</v>
      </c>
      <c r="D169" s="75">
        <f t="shared" si="48"/>
        <v>37991920701.778801</v>
      </c>
      <c r="E169" s="75">
        <f t="shared" si="50"/>
        <v>12011377847.282181</v>
      </c>
      <c r="F169" s="75">
        <f>((D169-D168)*$W$165)+F168</f>
        <v>25980542854.49662</v>
      </c>
      <c r="G169" s="75">
        <f>AVERAGE('[1]Renewable Diesel'!$BI$262:$BI$273)*AVERAGE('[1]RD Feedstock Breakdown'!$EC$241:$EC$252)*1000000+100000000</f>
        <v>2513301603.0196753</v>
      </c>
      <c r="H169" s="75">
        <f t="shared" si="41"/>
        <v>28493844457.516296</v>
      </c>
      <c r="I169" s="75">
        <f>'[3]Soy Complex'!$BU$288*1000000</f>
        <v>0</v>
      </c>
      <c r="J169" s="75">
        <f>'[4]Soy Crude'!$AN$81*1000000</f>
        <v>33146046304.165619</v>
      </c>
      <c r="K169" s="75">
        <f>'[4]Soy Refined'!$AN$82*1000000</f>
        <v>28914502978.62426</v>
      </c>
      <c r="L169" s="75">
        <f t="shared" si="49"/>
        <v>28914502978.62426</v>
      </c>
      <c r="M169" s="75">
        <f>'[4]Soy Crude'!$AN$97*1000000</f>
        <v>2060000000</v>
      </c>
      <c r="N169" s="75">
        <f>'[4]Soy Refined'!$AN$114*1000000</f>
        <v>5739529097.0652924</v>
      </c>
      <c r="O169" s="75">
        <f>'[4]Soy Refined'!$AN$98*1000000</f>
        <v>23174973881.558968</v>
      </c>
      <c r="P169" s="80">
        <f t="shared" si="43"/>
        <v>0.87233640818846137</v>
      </c>
      <c r="Q169" s="75">
        <f t="shared" si="44"/>
        <v>28914502978.62426</v>
      </c>
      <c r="R169" s="80">
        <f t="shared" si="45"/>
        <v>1.0147631367095851</v>
      </c>
      <c r="S169" s="80">
        <f t="shared" si="51"/>
        <v>1.0147631367095851</v>
      </c>
      <c r="T169" s="75">
        <f t="shared" si="46"/>
        <v>28914.502978624259</v>
      </c>
      <c r="U169" s="75">
        <f t="shared" si="47"/>
        <v>40505.222304798481</v>
      </c>
    </row>
    <row r="170" spans="1:25" x14ac:dyDescent="0.2">
      <c r="C170" s="74" t="s">
        <v>555</v>
      </c>
      <c r="D170" s="75">
        <f t="shared" si="48"/>
        <v>39089462896.688011</v>
      </c>
      <c r="E170" s="75">
        <f t="shared" si="50"/>
        <v>12351615927.704037</v>
      </c>
      <c r="F170" s="75">
        <f>((D170-D169)*$W$165)+F169</f>
        <v>26737846968.983974</v>
      </c>
      <c r="G170" s="75">
        <f>AVERAGE('[1]Renewable Diesel'!$BI$274:$BI$285)*AVERAGE('[1]RD Feedstock Breakdown'!$EC$241:$EC$252)*1000000+((D170/D169)*(G169*0.1))</f>
        <v>2671892397.9694662</v>
      </c>
      <c r="H170" s="75">
        <f t="shared" si="41"/>
        <v>29409739366.953442</v>
      </c>
      <c r="I170" s="75">
        <f>'[3]Soy Complex'!$BV$288*1000000</f>
        <v>0</v>
      </c>
      <c r="J170" s="75">
        <f>'[4]Soy Crude'!$AO$81*1000000</f>
        <v>34845755090.73497</v>
      </c>
      <c r="K170" s="75">
        <f>'[4]Soy Refined'!$AO$82*1000000</f>
        <v>29539570063.221226</v>
      </c>
      <c r="L170" s="75">
        <f t="shared" si="49"/>
        <v>29539570063.221222</v>
      </c>
      <c r="M170" s="75">
        <f>'[4]Soy Crude'!$AO$97*1000000</f>
        <v>2056000000</v>
      </c>
      <c r="N170" s="75">
        <f>'[4]Soy Refined'!$AO$114*1000000</f>
        <v>5722042195.791111</v>
      </c>
      <c r="O170" s="75">
        <f>'[4]Soy Refined'!$AO$98*1000000</f>
        <v>23817527867.430111</v>
      </c>
      <c r="P170" s="80">
        <f t="shared" si="43"/>
        <v>0.84772363194033384</v>
      </c>
      <c r="Q170" s="75">
        <f t="shared" si="44"/>
        <v>29539570063.221222</v>
      </c>
      <c r="R170" s="80">
        <f t="shared" si="45"/>
        <v>1.0044145476655828</v>
      </c>
      <c r="S170" s="80">
        <f t="shared" si="51"/>
        <v>1.0044145476655828</v>
      </c>
      <c r="T170" s="75">
        <f t="shared" si="46"/>
        <v>29539.570063221221</v>
      </c>
      <c r="U170" s="75">
        <f t="shared" si="47"/>
        <v>41761.355294657478</v>
      </c>
    </row>
    <row r="171" spans="1:25" x14ac:dyDescent="0.2">
      <c r="C171" s="74" t="s">
        <v>556</v>
      </c>
      <c r="D171" s="75">
        <f t="shared" si="48"/>
        <v>39742133982.049675</v>
      </c>
      <c r="E171" s="75">
        <f t="shared" si="50"/>
        <v>12553943964.166153</v>
      </c>
      <c r="F171" s="75">
        <f>((D171-D170)*$W$165)+F170</f>
        <v>27188190017.883522</v>
      </c>
      <c r="G171" s="75">
        <f>AVERAGE('[1]Renewable Diesel'!$BI$274:$BI$285)*AVERAGE('[1]RD Feedstock Breakdown'!$EC$241:$EC$252)*1000000+((D171/D170)*(G170*0.1))</f>
        <v>2684952062.7519312</v>
      </c>
      <c r="H171" s="75">
        <f t="shared" si="41"/>
        <v>29873142080.635452</v>
      </c>
      <c r="I171" s="75">
        <f>'[3]Soy Complex'!$BW$288*1000000</f>
        <v>0</v>
      </c>
      <c r="J171" s="75">
        <f>'[4]Soy Crude'!$AP$81*1000000</f>
        <v>36366057278.951508</v>
      </c>
      <c r="K171" s="75">
        <f>'[4]Soy Refined'!$AP$82*1000000</f>
        <v>30668266236.303715</v>
      </c>
      <c r="L171" s="75">
        <f t="shared" si="49"/>
        <v>30668266236.303719</v>
      </c>
      <c r="M171" s="75">
        <f>'[4]Soy Crude'!$AP$97*1000000</f>
        <v>2051000000</v>
      </c>
      <c r="N171" s="75">
        <f>'[4]Soy Refined'!$AP$114*1000000</f>
        <v>5712505458.6907263</v>
      </c>
      <c r="O171" s="75">
        <f>'[4]Soy Refined'!$AP$98*1000000</f>
        <v>24955760777.612991</v>
      </c>
      <c r="P171" s="80">
        <f t="shared" si="43"/>
        <v>0.84332117724662869</v>
      </c>
      <c r="Q171" s="75">
        <f t="shared" si="44"/>
        <v>30668266236.303719</v>
      </c>
      <c r="R171" s="80">
        <f t="shared" si="45"/>
        <v>1.0266166897851594</v>
      </c>
      <c r="S171" s="80">
        <f t="shared" si="51"/>
        <v>1.0266166897851594</v>
      </c>
      <c r="T171" s="75">
        <f t="shared" si="46"/>
        <v>30668.26623630372</v>
      </c>
      <c r="U171" s="75">
        <f t="shared" si="47"/>
        <v>42427.086044801603</v>
      </c>
    </row>
    <row r="172" spans="1:25" x14ac:dyDescent="0.2">
      <c r="D172" s="82"/>
      <c r="E172" s="23">
        <f>E161-E157</f>
        <v>1853937588.8903465</v>
      </c>
      <c r="F172" s="23">
        <f>F161-F157</f>
        <v>2457366253.3479156</v>
      </c>
      <c r="G172" s="53"/>
      <c r="L172" s="83">
        <f>L160/L158-1</f>
        <v>-8.7241132228245144E-3</v>
      </c>
      <c r="M172" s="83">
        <f>M160/M158-1</f>
        <v>0.45152019339218818</v>
      </c>
      <c r="N172" s="83"/>
      <c r="O172" s="83"/>
    </row>
    <row r="173" spans="1:25" x14ac:dyDescent="0.2">
      <c r="D173" s="82"/>
      <c r="E173" s="168" t="s">
        <v>581</v>
      </c>
      <c r="F173" s="168"/>
      <c r="G173" s="168"/>
      <c r="H173" s="168"/>
      <c r="I173" s="168"/>
      <c r="J173" s="168"/>
      <c r="K173" s="168"/>
      <c r="L173" s="168"/>
      <c r="M173" s="168"/>
    </row>
    <row r="174" spans="1:25" x14ac:dyDescent="0.2">
      <c r="E174" s="22" t="str">
        <f>C155</f>
        <v>2017/18</v>
      </c>
      <c r="F174" s="84" t="str">
        <f>C156</f>
        <v>2018/19</v>
      </c>
      <c r="G174" s="84" t="str">
        <f>C157</f>
        <v>2019/20</v>
      </c>
      <c r="H174" s="84" t="str">
        <f>C158</f>
        <v>2020/21</v>
      </c>
      <c r="I174" s="84" t="str">
        <f>C159</f>
        <v>2021/22</v>
      </c>
      <c r="J174" s="84" t="str">
        <f>C160</f>
        <v>2022/23</v>
      </c>
      <c r="K174" s="84" t="str">
        <f>C161</f>
        <v>2023/24</v>
      </c>
      <c r="L174" s="84" t="str">
        <f>C162</f>
        <v>2024/25</v>
      </c>
      <c r="M174" s="84" t="str">
        <f>C163</f>
        <v>2025/26</v>
      </c>
      <c r="O174" s="54">
        <f t="shared" ref="O174:O179" si="52">L155-F155</f>
        <v>-1198795701.5137444</v>
      </c>
      <c r="P174" s="20" t="str">
        <f>C155</f>
        <v>2017/18</v>
      </c>
      <c r="S174" s="82">
        <v>0.75120145593183796</v>
      </c>
      <c r="T174" s="85">
        <f>AVERAGE([2]SBO!$AM$4465:$AM$4715)</f>
        <v>1.8944897959183697</v>
      </c>
    </row>
    <row r="175" spans="1:25" x14ac:dyDescent="0.2">
      <c r="D175" s="86" t="s">
        <v>582</v>
      </c>
      <c r="E175" s="23">
        <f>'[4]Soy Refined'!Z$11+'[4]Soy Crude'!Z$12-'[4]Soy Crude'!Z$6</f>
        <v>5914.4700439999997</v>
      </c>
      <c r="F175" s="23">
        <f>'[4]Soy Refined'!AA$11+'[4]Soy Crude'!AA$12-'[4]Soy Crude'!AA$6</f>
        <v>6647.9798100000007</v>
      </c>
      <c r="G175" s="23">
        <f>'[4]Soy Refined'!AB$11+'[4]Soy Crude'!AB$12-'[4]Soy Crude'!AB$6</f>
        <v>7371.0326830000004</v>
      </c>
      <c r="H175" s="23">
        <f>'[4]Soy Refined'!AC$11+'[4]Soy Crude'!AC$12-'[4]Soy Crude'!AC$6</f>
        <v>6563.6687009999987</v>
      </c>
      <c r="I175" s="23">
        <f>'[4]Soy Refined'!AD$11+'[4]Soy Crude'!AD$12-'[4]Soy Crude'!AD$6</f>
        <v>6859.4137620000001</v>
      </c>
      <c r="J175" s="23">
        <f>'[4]Soy Refined'!AE$11+'[4]Soy Crude'!AE$12-'[4]Soy Crude'!AE$6</f>
        <v>6343.214817</v>
      </c>
      <c r="K175" s="23">
        <f>'[4]Soy Refined'!AF$11+'[4]Soy Crude'!AF$12-'[4]Soy Crude'!AF$6</f>
        <v>5926.4120222188303</v>
      </c>
      <c r="L175" s="23">
        <f>'[4]Soy Refined'!AG$11+'[4]Soy Crude'!AG$12-'[4]Soy Crude'!AG$6</f>
        <v>5565.7841335528219</v>
      </c>
      <c r="M175" s="23">
        <f>'[4]Soy Refined'!AH$11+'[4]Soy Crude'!AH$12-'[4]Soy Crude'!AH$6</f>
        <v>5637.6359391098322</v>
      </c>
      <c r="O175" s="54">
        <f t="shared" si="52"/>
        <v>-895350213.79209137</v>
      </c>
      <c r="P175" s="20" t="str">
        <f t="shared" ref="P175:P183" si="53">C156</f>
        <v>2018/19</v>
      </c>
      <c r="S175" s="82">
        <v>0.76318192329001389</v>
      </c>
      <c r="T175" s="85">
        <f>AVERAGE([2]SBO!$AM$4716:$AM$4966)</f>
        <v>3.187280701754386</v>
      </c>
    </row>
    <row r="176" spans="1:25" x14ac:dyDescent="0.2">
      <c r="D176" s="86" t="s">
        <v>583</v>
      </c>
      <c r="E176" s="23">
        <f>'[4]Soy Refined'!Z$10+'[4]Soy Refined'!Z$13-'[4]Soy Refined'!Z$6</f>
        <v>13602.229135999998</v>
      </c>
      <c r="F176" s="23">
        <f>'[4]Soy Refined'!AA$10+'[4]Soy Refined'!AA$13-'[4]Soy Refined'!AA$6</f>
        <v>12937.079679</v>
      </c>
      <c r="G176" s="23">
        <f>'[4]Soy Refined'!AB$10+'[4]Soy Refined'!AB$13-'[4]Soy Refined'!AB$6</f>
        <v>13247.525678</v>
      </c>
      <c r="H176" s="23">
        <f>'[4]Soy Refined'!AC$10+'[4]Soy Refined'!AC$13-'[4]Soy Refined'!AC$6</f>
        <v>14196.423977000002</v>
      </c>
      <c r="I176" s="23">
        <f>'[4]Soy Refined'!AD$10+'[4]Soy Refined'!AD$13-'[4]Soy Refined'!AD$6</f>
        <v>14719.713659000001</v>
      </c>
      <c r="J176" s="23">
        <f>'[4]Soy Refined'!AE$10+'[4]Soy Refined'!AE$13-'[4]Soy Refined'!AE$6</f>
        <v>14275.554407000001</v>
      </c>
      <c r="K176" s="23">
        <f>'[4]Soy Refined'!AF$10+'[4]Soy Refined'!AF$13-'[4]Soy Refined'!AF$6</f>
        <v>14642.07953011883</v>
      </c>
      <c r="L176" s="23">
        <f>'[4]Soy Refined'!AG$10+'[4]Soy Refined'!AG$13-'[4]Soy Refined'!AG$6</f>
        <v>17466.463081648155</v>
      </c>
      <c r="M176" s="23">
        <f>'[4]Soy Refined'!AH$10+'[4]Soy Refined'!AH$13-'[4]Soy Refined'!AH$6</f>
        <v>18548.647612631368</v>
      </c>
      <c r="O176" s="54">
        <f t="shared" si="52"/>
        <v>-738788346.30120087</v>
      </c>
      <c r="P176" s="20" t="str">
        <f t="shared" si="53"/>
        <v>2019/20</v>
      </c>
      <c r="S176" s="82">
        <v>0.76927412410084461</v>
      </c>
      <c r="T176" s="85">
        <f>AVERAGE('[5]Monthly Data'!$BA$13:$BA$24)</f>
        <v>3.1467391304347831</v>
      </c>
    </row>
    <row r="177" spans="1:20" x14ac:dyDescent="0.2">
      <c r="O177" s="54">
        <f t="shared" si="52"/>
        <v>14042000</v>
      </c>
      <c r="P177" s="20" t="str">
        <f t="shared" si="53"/>
        <v>2020/21</v>
      </c>
      <c r="S177" s="82">
        <v>0.76160706826972002</v>
      </c>
      <c r="T177" s="85">
        <f>AVERAGE('[5]Monthly Data'!$BA$25:$BA$36)</f>
        <v>8.7855531863254974</v>
      </c>
    </row>
    <row r="178" spans="1:20" x14ac:dyDescent="0.2">
      <c r="A178" s="87" t="s">
        <v>492</v>
      </c>
      <c r="B178" s="88">
        <v>44896</v>
      </c>
      <c r="O178" s="54">
        <f t="shared" si="52"/>
        <v>503473125.31454849</v>
      </c>
      <c r="P178" s="20" t="str">
        <f t="shared" si="53"/>
        <v>2021/22</v>
      </c>
      <c r="S178" s="82">
        <v>0.78505220345511173</v>
      </c>
      <c r="T178" s="85">
        <f>AVERAGE('[5]Monthly Data'!$BA$37:$BA$48)</f>
        <v>13.405248401801606</v>
      </c>
    </row>
    <row r="179" spans="1:20" x14ac:dyDescent="0.2">
      <c r="A179" s="21" t="s">
        <v>269</v>
      </c>
      <c r="B179" s="23">
        <f>SUMIF($A$3:$A$86,A179,$F$3:$F$86)</f>
        <v>350750000</v>
      </c>
      <c r="N179" s="54">
        <f>D163-N89</f>
        <v>11516219363.036198</v>
      </c>
      <c r="O179" s="54">
        <f t="shared" si="52"/>
        <v>-1406486944.3380737</v>
      </c>
      <c r="P179" s="20" t="str">
        <f t="shared" si="53"/>
        <v>2022/23</v>
      </c>
      <c r="S179" s="82">
        <v>0.70390744599455723</v>
      </c>
      <c r="T179" s="85">
        <f>AVERAGE('[5]Monthly Data'!$BA$49:$BA$60)</f>
        <v>9.8809986872236575</v>
      </c>
    </row>
    <row r="180" spans="1:20" x14ac:dyDescent="0.2">
      <c r="A180" s="21" t="s">
        <v>12</v>
      </c>
      <c r="B180" s="23">
        <f>SUMIF($A$3:$A$86,A180,$F$3:$F$86)</f>
        <v>571725000</v>
      </c>
      <c r="P180" s="20" t="str">
        <f t="shared" si="53"/>
        <v>2023/24</v>
      </c>
      <c r="S180" s="82">
        <v>0.66759922841340924</v>
      </c>
      <c r="T180" s="85">
        <f>AVERAGE('[5]Monthly Data'!$BA$61:$BA$72)</f>
        <v>5.5750918774208253</v>
      </c>
    </row>
    <row r="181" spans="1:20" x14ac:dyDescent="0.2">
      <c r="A181" s="21" t="s">
        <v>75</v>
      </c>
      <c r="B181" s="23">
        <f>SUMIF($A$3:$A$86,A181,$F$3:$F$86)</f>
        <v>374500000</v>
      </c>
      <c r="P181" s="20" t="str">
        <f t="shared" si="53"/>
        <v>2024/25</v>
      </c>
      <c r="S181" s="82">
        <v>0.69392107599782116</v>
      </c>
      <c r="T181" s="85">
        <f>AVERAGE('[5]Monthly Data'!$BA$73:$BA$84)</f>
        <v>3.220878811405985</v>
      </c>
    </row>
    <row r="182" spans="1:20" x14ac:dyDescent="0.2">
      <c r="A182" s="21" t="s">
        <v>95</v>
      </c>
      <c r="B182" s="23">
        <f>SUMIF($A$3:$A$86,A182,$F$3:$F$86)</f>
        <v>483300000</v>
      </c>
      <c r="P182" s="20" t="str">
        <f t="shared" si="53"/>
        <v>2025/26</v>
      </c>
      <c r="S182" s="82">
        <v>0.69560430608769397</v>
      </c>
      <c r="T182" s="85">
        <f>AVERAGE('[5]Monthly Data'!$BA$85:$BA$96)</f>
        <v>5.3258583290572759</v>
      </c>
    </row>
    <row r="183" spans="1:20" x14ac:dyDescent="0.2">
      <c r="A183" s="21" t="s">
        <v>584</v>
      </c>
      <c r="B183" s="23">
        <f>B184-SUM(B179:B182)</f>
        <v>557417700.58949995</v>
      </c>
      <c r="P183" s="20" t="str">
        <f t="shared" si="53"/>
        <v>2026/27</v>
      </c>
    </row>
    <row r="184" spans="1:20" x14ac:dyDescent="0.2">
      <c r="A184" s="21" t="s">
        <v>561</v>
      </c>
      <c r="B184" s="23">
        <f>SUM(F3:F86)</f>
        <v>2337692700.5895</v>
      </c>
    </row>
    <row r="187" spans="1:20" x14ac:dyDescent="0.2">
      <c r="E187" s="20">
        <v>2066079251.627104</v>
      </c>
      <c r="F187" s="20">
        <v>2130973789.9388757</v>
      </c>
      <c r="G187" s="20">
        <v>2244398945.1918125</v>
      </c>
      <c r="H187" s="20">
        <v>2307673847.13308</v>
      </c>
      <c r="I187" s="20">
        <v>2361645923.3184819</v>
      </c>
      <c r="J187" s="20">
        <v>2410814529.3625736</v>
      </c>
      <c r="K187" s="20">
        <v>2504986740.2902136</v>
      </c>
      <c r="L187" s="20">
        <v>2670552480.8255892</v>
      </c>
      <c r="M187" s="20">
        <v>2759108424.0247107</v>
      </c>
      <c r="N187" s="20">
        <f>M187</f>
        <v>2759108424.0247107</v>
      </c>
      <c r="O187" s="20">
        <v>2759108425.0247102</v>
      </c>
      <c r="P187" s="20">
        <v>2759108425.0247102</v>
      </c>
    </row>
    <row r="188" spans="1:20" x14ac:dyDescent="0.2">
      <c r="E188" s="20">
        <f t="shared" ref="E188:O188" si="54">E187/1000000</f>
        <v>2066.079251627104</v>
      </c>
      <c r="F188" s="20">
        <f t="shared" si="54"/>
        <v>2130.9737899388756</v>
      </c>
      <c r="G188" s="20">
        <f t="shared" si="54"/>
        <v>2244.3989451918123</v>
      </c>
      <c r="H188" s="20">
        <f t="shared" si="54"/>
        <v>2307.67384713308</v>
      </c>
      <c r="I188" s="20">
        <f t="shared" si="54"/>
        <v>2361.6459233184819</v>
      </c>
      <c r="J188" s="20">
        <f t="shared" si="54"/>
        <v>2410.8145293625735</v>
      </c>
      <c r="K188" s="20">
        <f t="shared" si="54"/>
        <v>2504.9867402902137</v>
      </c>
      <c r="L188" s="20">
        <f t="shared" si="54"/>
        <v>2670.5524808255891</v>
      </c>
      <c r="M188" s="20">
        <f t="shared" si="54"/>
        <v>2759.1084240247105</v>
      </c>
      <c r="N188" s="20">
        <f t="shared" si="54"/>
        <v>2759.1084240247105</v>
      </c>
      <c r="O188" s="20">
        <f t="shared" si="54"/>
        <v>2759.10842502471</v>
      </c>
      <c r="P188" s="20">
        <f>P187/1000000</f>
        <v>2759.10842502471</v>
      </c>
    </row>
    <row r="191" spans="1:20" x14ac:dyDescent="0.2">
      <c r="C191" s="20">
        <v>2022</v>
      </c>
    </row>
    <row r="192" spans="1:20" x14ac:dyDescent="0.2">
      <c r="C192" s="20">
        <v>2023</v>
      </c>
    </row>
    <row r="193" spans="3:6" x14ac:dyDescent="0.2">
      <c r="C193" s="20">
        <v>2024</v>
      </c>
    </row>
    <row r="194" spans="3:6" x14ac:dyDescent="0.2">
      <c r="C194" s="20">
        <v>2025</v>
      </c>
    </row>
    <row r="195" spans="3:6" x14ac:dyDescent="0.2">
      <c r="C195" s="20">
        <v>2026</v>
      </c>
    </row>
    <row r="196" spans="3:6" x14ac:dyDescent="0.2">
      <c r="C196" s="20">
        <v>2027</v>
      </c>
    </row>
    <row r="201" spans="3:6" x14ac:dyDescent="0.2">
      <c r="D201" s="82">
        <f t="shared" ref="D201:F207" si="55">(D157/D156)-1</f>
        <v>5.0251256281406143E-3</v>
      </c>
      <c r="E201" s="82">
        <f t="shared" si="55"/>
        <v>5.0251256281408363E-3</v>
      </c>
      <c r="F201" s="82">
        <f t="shared" si="55"/>
        <v>5.0251256281406143E-3</v>
      </c>
    </row>
    <row r="202" spans="3:6" x14ac:dyDescent="0.2">
      <c r="D202" s="82">
        <f t="shared" si="55"/>
        <v>7.6306679622921481E-2</v>
      </c>
      <c r="E202" s="82">
        <f t="shared" si="55"/>
        <v>0.27389602011277425</v>
      </c>
      <c r="F202" s="82">
        <f t="shared" si="55"/>
        <v>2.6909344500458232E-2</v>
      </c>
    </row>
    <row r="203" spans="3:6" x14ac:dyDescent="0.2">
      <c r="D203" s="82">
        <f t="shared" si="55"/>
        <v>2.3419270976661855E-2</v>
      </c>
      <c r="E203" s="82">
        <f t="shared" si="55"/>
        <v>-1.1234472898834946E-2</v>
      </c>
      <c r="F203" s="82">
        <f t="shared" si="55"/>
        <v>3.4166389658904617E-2</v>
      </c>
    </row>
    <row r="204" spans="3:6" x14ac:dyDescent="0.2">
      <c r="D204" s="82">
        <f t="shared" si="55"/>
        <v>2.7492761825876899E-2</v>
      </c>
      <c r="E204" s="82">
        <f t="shared" si="55"/>
        <v>3.7265967133203626E-2</v>
      </c>
      <c r="F204" s="82">
        <f t="shared" si="55"/>
        <v>2.4594872446366711E-2</v>
      </c>
    </row>
    <row r="205" spans="3:6" x14ac:dyDescent="0.2">
      <c r="D205" s="82">
        <f t="shared" si="55"/>
        <v>3.4084661137848693E-2</v>
      </c>
      <c r="E205" s="82">
        <f t="shared" si="55"/>
        <v>4.5765862334619767E-2</v>
      </c>
      <c r="F205" s="82">
        <f t="shared" si="55"/>
        <v>3.0578190262095406E-2</v>
      </c>
    </row>
    <row r="206" spans="3:6" x14ac:dyDescent="0.2">
      <c r="D206" s="82">
        <f t="shared" si="55"/>
        <v>6.3199402935577353E-2</v>
      </c>
      <c r="E206" s="82">
        <f t="shared" si="55"/>
        <v>8.3910687618551139E-2</v>
      </c>
      <c r="F206" s="82">
        <f t="shared" si="55"/>
        <v>5.6890653435308636E-2</v>
      </c>
    </row>
    <row r="207" spans="3:6" x14ac:dyDescent="0.2">
      <c r="D207" s="82">
        <f t="shared" si="55"/>
        <v>3.3628188511381607E-2</v>
      </c>
      <c r="E207" s="82">
        <f t="shared" si="55"/>
        <v>4.3795451039245092E-2</v>
      </c>
      <c r="F207" s="82">
        <f t="shared" si="55"/>
        <v>3.0452018623821298E-2</v>
      </c>
    </row>
    <row r="208" spans="3:6" x14ac:dyDescent="0.2">
      <c r="D208" s="82">
        <f>((D161/D157)^(1/5))-1</f>
        <v>3.1964835113126755E-2</v>
      </c>
      <c r="E208" s="82">
        <f>((E161/E157)^(1/5))-1</f>
        <v>6.4413508072559633E-2</v>
      </c>
      <c r="F208" s="82">
        <f>((F161/F157)^(1/5))-1</f>
        <v>2.3177850545899936E-2</v>
      </c>
    </row>
  </sheetData>
  <autoFilter ref="A2:S101" xr:uid="{0C3ADEC7-CA54-46D7-BA1A-1CC810D621ED}">
    <sortState xmlns:xlrd2="http://schemas.microsoft.com/office/spreadsheetml/2017/richdata2" ref="A3:S86">
      <sortCondition ref="A2:A86"/>
    </sortState>
  </autoFilter>
  <mergeCells count="5">
    <mergeCell ref="E130:J130"/>
    <mergeCell ref="D153:H153"/>
    <mergeCell ref="I153:K153"/>
    <mergeCell ref="L153:S153"/>
    <mergeCell ref="E173:M17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EA12-4AE5-404F-A1B2-F2BEDB414BE2}">
  <dimension ref="A1:L119"/>
  <sheetViews>
    <sheetView topLeftCell="A16" workbookViewId="0">
      <selection activeCell="I67" sqref="I67"/>
    </sheetView>
  </sheetViews>
  <sheetFormatPr defaultRowHeight="15.75" x14ac:dyDescent="0.25"/>
  <cols>
    <col min="1" max="1" width="27.625" style="89" bestFit="1" customWidth="1"/>
    <col min="2" max="2" width="24.875" style="89" bestFit="1" customWidth="1"/>
    <col min="3" max="3" width="9" style="89"/>
  </cols>
  <sheetData>
    <row r="1" spans="1:9" x14ac:dyDescent="0.25">
      <c r="A1" s="89" t="s">
        <v>0</v>
      </c>
      <c r="B1" s="89" t="s">
        <v>3</v>
      </c>
      <c r="C1" s="89" t="s">
        <v>4</v>
      </c>
      <c r="D1" s="89" t="s">
        <v>222</v>
      </c>
      <c r="I1" t="s">
        <v>585</v>
      </c>
    </row>
    <row r="2" spans="1:9" x14ac:dyDescent="0.25">
      <c r="A2" s="89" t="s">
        <v>586</v>
      </c>
      <c r="B2" s="89" t="s">
        <v>587</v>
      </c>
      <c r="C2" s="89" t="s">
        <v>25</v>
      </c>
      <c r="I2" t="s">
        <v>588</v>
      </c>
    </row>
    <row r="3" spans="1:9" x14ac:dyDescent="0.25">
      <c r="A3" s="89" t="s">
        <v>586</v>
      </c>
      <c r="B3" s="89" t="s">
        <v>589</v>
      </c>
      <c r="C3" s="89" t="s">
        <v>590</v>
      </c>
      <c r="I3" t="s">
        <v>591</v>
      </c>
    </row>
    <row r="4" spans="1:9" x14ac:dyDescent="0.25">
      <c r="A4" s="89" t="s">
        <v>586</v>
      </c>
      <c r="B4" s="89" t="s">
        <v>351</v>
      </c>
      <c r="C4" s="89" t="s">
        <v>22</v>
      </c>
      <c r="I4" t="s">
        <v>592</v>
      </c>
    </row>
    <row r="5" spans="1:9" x14ac:dyDescent="0.25">
      <c r="A5" s="89" t="s">
        <v>586</v>
      </c>
      <c r="B5" s="89" t="s">
        <v>593</v>
      </c>
      <c r="C5" s="89" t="s">
        <v>594</v>
      </c>
      <c r="I5" t="s">
        <v>595</v>
      </c>
    </row>
    <row r="6" spans="1:9" x14ac:dyDescent="0.25">
      <c r="A6" s="89" t="s">
        <v>586</v>
      </c>
      <c r="B6" s="89" t="s">
        <v>596</v>
      </c>
      <c r="C6" s="89" t="s">
        <v>167</v>
      </c>
      <c r="I6" t="s">
        <v>597</v>
      </c>
    </row>
    <row r="7" spans="1:9" x14ac:dyDescent="0.25">
      <c r="A7" s="89" t="s">
        <v>586</v>
      </c>
      <c r="B7" s="89" t="s">
        <v>306</v>
      </c>
      <c r="C7" s="89" t="s">
        <v>161</v>
      </c>
      <c r="I7" t="s">
        <v>598</v>
      </c>
    </row>
    <row r="8" spans="1:9" x14ac:dyDescent="0.25">
      <c r="A8" s="89" t="s">
        <v>586</v>
      </c>
      <c r="B8" s="89" t="s">
        <v>599</v>
      </c>
      <c r="C8" s="89" t="s">
        <v>600</v>
      </c>
      <c r="I8" t="s">
        <v>601</v>
      </c>
    </row>
    <row r="9" spans="1:9" x14ac:dyDescent="0.25">
      <c r="A9" s="89" t="s">
        <v>586</v>
      </c>
      <c r="B9" s="89" t="s">
        <v>602</v>
      </c>
      <c r="C9" s="89" t="s">
        <v>176</v>
      </c>
      <c r="I9" t="s">
        <v>603</v>
      </c>
    </row>
    <row r="10" spans="1:9" x14ac:dyDescent="0.25">
      <c r="A10" s="89" t="s">
        <v>586</v>
      </c>
      <c r="B10" s="89" t="s">
        <v>604</v>
      </c>
      <c r="C10" s="89" t="s">
        <v>176</v>
      </c>
      <c r="I10" t="s">
        <v>605</v>
      </c>
    </row>
    <row r="11" spans="1:9" x14ac:dyDescent="0.25">
      <c r="A11" s="89" t="s">
        <v>586</v>
      </c>
      <c r="B11" s="89" t="s">
        <v>604</v>
      </c>
      <c r="C11" s="89" t="s">
        <v>176</v>
      </c>
      <c r="I11" t="s">
        <v>606</v>
      </c>
    </row>
    <row r="12" spans="1:9" x14ac:dyDescent="0.25">
      <c r="A12" s="89" t="s">
        <v>586</v>
      </c>
      <c r="B12" s="89" t="s">
        <v>607</v>
      </c>
      <c r="C12" s="89" t="s">
        <v>167</v>
      </c>
      <c r="I12" t="s">
        <v>608</v>
      </c>
    </row>
    <row r="13" spans="1:9" x14ac:dyDescent="0.25">
      <c r="A13" s="89" t="s">
        <v>586</v>
      </c>
      <c r="B13" s="89" t="s">
        <v>609</v>
      </c>
      <c r="C13" s="89" t="s">
        <v>152</v>
      </c>
      <c r="I13" t="s">
        <v>610</v>
      </c>
    </row>
    <row r="14" spans="1:9" x14ac:dyDescent="0.25">
      <c r="A14" s="89" t="s">
        <v>586</v>
      </c>
      <c r="B14" s="89" t="s">
        <v>611</v>
      </c>
      <c r="C14" s="89" t="s">
        <v>612</v>
      </c>
      <c r="I14" t="s">
        <v>613</v>
      </c>
    </row>
    <row r="15" spans="1:9" x14ac:dyDescent="0.25">
      <c r="A15" s="89" t="s">
        <v>614</v>
      </c>
      <c r="B15" s="89" t="s">
        <v>65</v>
      </c>
      <c r="C15" s="89" t="s">
        <v>158</v>
      </c>
      <c r="I15" t="s">
        <v>615</v>
      </c>
    </row>
    <row r="16" spans="1:9" x14ac:dyDescent="0.25">
      <c r="A16" s="89" t="s">
        <v>614</v>
      </c>
      <c r="B16" s="89" t="s">
        <v>616</v>
      </c>
      <c r="C16" s="89" t="s">
        <v>617</v>
      </c>
      <c r="I16" t="s">
        <v>618</v>
      </c>
    </row>
    <row r="17" spans="1:11" x14ac:dyDescent="0.25">
      <c r="A17" s="89" t="s">
        <v>614</v>
      </c>
      <c r="B17" s="89" t="s">
        <v>619</v>
      </c>
      <c r="C17" s="89" t="s">
        <v>74</v>
      </c>
    </row>
    <row r="18" spans="1:11" x14ac:dyDescent="0.25">
      <c r="A18" s="89" t="s">
        <v>614</v>
      </c>
      <c r="B18" s="89" t="s">
        <v>620</v>
      </c>
      <c r="C18" s="89" t="s">
        <v>41</v>
      </c>
    </row>
    <row r="19" spans="1:11" x14ac:dyDescent="0.25">
      <c r="A19" s="89" t="s">
        <v>614</v>
      </c>
      <c r="B19" s="89" t="s">
        <v>621</v>
      </c>
      <c r="C19" s="89" t="s">
        <v>22</v>
      </c>
      <c r="I19">
        <v>1</v>
      </c>
      <c r="J19" t="s">
        <v>98</v>
      </c>
      <c r="K19" t="s">
        <v>586</v>
      </c>
    </row>
    <row r="20" spans="1:11" x14ac:dyDescent="0.25">
      <c r="A20" s="89" t="s">
        <v>614</v>
      </c>
      <c r="B20" s="89" t="s">
        <v>622</v>
      </c>
      <c r="C20" s="89" t="s">
        <v>28</v>
      </c>
      <c r="I20">
        <v>2</v>
      </c>
      <c r="J20" t="s">
        <v>98</v>
      </c>
      <c r="K20" t="s">
        <v>623</v>
      </c>
    </row>
    <row r="21" spans="1:11" x14ac:dyDescent="0.25">
      <c r="A21" s="89" t="s">
        <v>614</v>
      </c>
      <c r="B21" s="89" t="s">
        <v>624</v>
      </c>
      <c r="C21" s="89" t="s">
        <v>625</v>
      </c>
      <c r="I21">
        <v>3</v>
      </c>
      <c r="J21" t="s">
        <v>626</v>
      </c>
      <c r="K21" t="s">
        <v>627</v>
      </c>
    </row>
    <row r="22" spans="1:11" x14ac:dyDescent="0.25">
      <c r="A22" s="89" t="s">
        <v>614</v>
      </c>
      <c r="B22" s="89" t="s">
        <v>628</v>
      </c>
      <c r="C22" s="89" t="s">
        <v>590</v>
      </c>
      <c r="I22">
        <v>4</v>
      </c>
      <c r="J22" t="s">
        <v>626</v>
      </c>
      <c r="K22" t="s">
        <v>629</v>
      </c>
    </row>
    <row r="23" spans="1:11" x14ac:dyDescent="0.25">
      <c r="A23" s="89" t="s">
        <v>614</v>
      </c>
      <c r="B23" s="89" t="s">
        <v>630</v>
      </c>
      <c r="C23" s="89" t="s">
        <v>456</v>
      </c>
      <c r="I23">
        <v>5</v>
      </c>
      <c r="J23" t="s">
        <v>626</v>
      </c>
      <c r="K23" t="s">
        <v>631</v>
      </c>
    </row>
    <row r="24" spans="1:11" x14ac:dyDescent="0.25">
      <c r="A24" s="89" t="s">
        <v>614</v>
      </c>
      <c r="B24" s="89" t="s">
        <v>632</v>
      </c>
      <c r="C24" s="89" t="s">
        <v>633</v>
      </c>
      <c r="I24">
        <v>6</v>
      </c>
      <c r="J24" t="s">
        <v>626</v>
      </c>
      <c r="K24" t="s">
        <v>634</v>
      </c>
    </row>
    <row r="25" spans="1:11" x14ac:dyDescent="0.25">
      <c r="A25" s="89" t="s">
        <v>635</v>
      </c>
      <c r="B25" s="89" t="s">
        <v>636</v>
      </c>
      <c r="C25" s="89" t="s">
        <v>191</v>
      </c>
      <c r="I25">
        <v>7</v>
      </c>
      <c r="J25" t="s">
        <v>98</v>
      </c>
      <c r="K25" t="s">
        <v>637</v>
      </c>
    </row>
    <row r="26" spans="1:11" x14ac:dyDescent="0.25">
      <c r="A26" s="89" t="s">
        <v>635</v>
      </c>
      <c r="B26" s="89" t="s">
        <v>638</v>
      </c>
      <c r="C26" s="89" t="s">
        <v>590</v>
      </c>
      <c r="I26">
        <v>8</v>
      </c>
      <c r="J26" t="s">
        <v>626</v>
      </c>
      <c r="K26" t="s">
        <v>639</v>
      </c>
    </row>
    <row r="27" spans="1:11" x14ac:dyDescent="0.25">
      <c r="A27" s="89" t="s">
        <v>635</v>
      </c>
      <c r="B27" s="89" t="s">
        <v>640</v>
      </c>
      <c r="C27" s="89" t="s">
        <v>41</v>
      </c>
      <c r="I27">
        <v>9</v>
      </c>
      <c r="J27" t="s">
        <v>98</v>
      </c>
      <c r="K27" t="s">
        <v>641</v>
      </c>
    </row>
    <row r="28" spans="1:11" x14ac:dyDescent="0.25">
      <c r="A28" s="89" t="s">
        <v>635</v>
      </c>
      <c r="B28" s="89" t="s">
        <v>642</v>
      </c>
      <c r="C28" s="89" t="s">
        <v>590</v>
      </c>
      <c r="I28">
        <v>10</v>
      </c>
      <c r="J28" t="s">
        <v>98</v>
      </c>
      <c r="K28" t="s">
        <v>643</v>
      </c>
    </row>
    <row r="29" spans="1:11" x14ac:dyDescent="0.25">
      <c r="A29" s="89" t="s">
        <v>635</v>
      </c>
      <c r="B29" s="89" t="s">
        <v>644</v>
      </c>
      <c r="C29" s="89" t="s">
        <v>87</v>
      </c>
      <c r="I29">
        <v>11</v>
      </c>
      <c r="K29" t="s">
        <v>645</v>
      </c>
    </row>
    <row r="30" spans="1:11" x14ac:dyDescent="0.25">
      <c r="A30" s="89" t="s">
        <v>646</v>
      </c>
      <c r="B30" s="89" t="s">
        <v>647</v>
      </c>
      <c r="C30" s="89" t="s">
        <v>25</v>
      </c>
      <c r="I30">
        <v>12</v>
      </c>
      <c r="K30" t="s">
        <v>648</v>
      </c>
    </row>
    <row r="31" spans="1:11" x14ac:dyDescent="0.25">
      <c r="A31" s="89" t="s">
        <v>646</v>
      </c>
      <c r="B31" s="89" t="s">
        <v>649</v>
      </c>
      <c r="C31" s="89" t="s">
        <v>161</v>
      </c>
      <c r="I31">
        <v>13</v>
      </c>
      <c r="K31" t="s">
        <v>650</v>
      </c>
    </row>
    <row r="32" spans="1:11" x14ac:dyDescent="0.25">
      <c r="A32" s="89" t="s">
        <v>614</v>
      </c>
      <c r="B32" s="89" t="s">
        <v>647</v>
      </c>
      <c r="C32" s="89" t="s">
        <v>25</v>
      </c>
      <c r="I32">
        <v>14</v>
      </c>
      <c r="K32" t="s">
        <v>651</v>
      </c>
    </row>
    <row r="33" spans="1:11" x14ac:dyDescent="0.25">
      <c r="A33" s="89" t="s">
        <v>614</v>
      </c>
      <c r="B33" s="89" t="s">
        <v>652</v>
      </c>
      <c r="C33" s="89" t="s">
        <v>456</v>
      </c>
      <c r="I33">
        <v>15</v>
      </c>
      <c r="K33" t="s">
        <v>653</v>
      </c>
    </row>
    <row r="34" spans="1:11" x14ac:dyDescent="0.25">
      <c r="A34" s="89" t="s">
        <v>614</v>
      </c>
      <c r="B34" s="89" t="s">
        <v>654</v>
      </c>
      <c r="C34" s="89" t="s">
        <v>655</v>
      </c>
      <c r="I34">
        <v>16</v>
      </c>
      <c r="K34" t="s">
        <v>656</v>
      </c>
    </row>
    <row r="35" spans="1:11" x14ac:dyDescent="0.25">
      <c r="A35" s="89" t="s">
        <v>614</v>
      </c>
      <c r="B35" s="89" t="s">
        <v>657</v>
      </c>
      <c r="C35" s="89" t="s">
        <v>191</v>
      </c>
    </row>
    <row r="36" spans="1:11" x14ac:dyDescent="0.25">
      <c r="A36" s="89" t="s">
        <v>614</v>
      </c>
      <c r="B36" s="89" t="s">
        <v>261</v>
      </c>
      <c r="C36" s="89" t="s">
        <v>31</v>
      </c>
      <c r="I36" t="s">
        <v>658</v>
      </c>
    </row>
    <row r="37" spans="1:11" x14ac:dyDescent="0.25">
      <c r="A37" s="89" t="s">
        <v>614</v>
      </c>
      <c r="B37" s="89" t="s">
        <v>659</v>
      </c>
      <c r="C37" s="89" t="s">
        <v>191</v>
      </c>
      <c r="I37" t="s">
        <v>660</v>
      </c>
    </row>
    <row r="38" spans="1:11" x14ac:dyDescent="0.25">
      <c r="A38" s="89" t="s">
        <v>614</v>
      </c>
      <c r="B38" s="89" t="s">
        <v>661</v>
      </c>
      <c r="C38" s="89" t="s">
        <v>662</v>
      </c>
    </row>
    <row r="39" spans="1:11" x14ac:dyDescent="0.25">
      <c r="A39" s="89" t="s">
        <v>614</v>
      </c>
      <c r="B39" s="89" t="s">
        <v>663</v>
      </c>
      <c r="C39" s="89" t="s">
        <v>664</v>
      </c>
    </row>
    <row r="40" spans="1:11" x14ac:dyDescent="0.25">
      <c r="A40" s="89" t="s">
        <v>614</v>
      </c>
      <c r="B40" s="89" t="s">
        <v>665</v>
      </c>
      <c r="C40" s="89" t="s">
        <v>74</v>
      </c>
    </row>
    <row r="41" spans="1:11" x14ac:dyDescent="0.25">
      <c r="A41" s="89" t="s">
        <v>614</v>
      </c>
      <c r="B41" s="89" t="s">
        <v>666</v>
      </c>
      <c r="C41" s="89" t="s">
        <v>662</v>
      </c>
    </row>
    <row r="42" spans="1:11" x14ac:dyDescent="0.25">
      <c r="A42" s="89" t="s">
        <v>614</v>
      </c>
      <c r="B42" s="89" t="s">
        <v>667</v>
      </c>
      <c r="C42" s="89" t="s">
        <v>191</v>
      </c>
    </row>
    <row r="43" spans="1:11" x14ac:dyDescent="0.25">
      <c r="A43" s="89" t="s">
        <v>614</v>
      </c>
      <c r="B43" s="89" t="s">
        <v>668</v>
      </c>
      <c r="C43" s="89" t="s">
        <v>669</v>
      </c>
    </row>
    <row r="44" spans="1:11" x14ac:dyDescent="0.25">
      <c r="A44" s="89" t="s">
        <v>614</v>
      </c>
      <c r="B44" s="89" t="s">
        <v>670</v>
      </c>
      <c r="C44" s="89" t="s">
        <v>625</v>
      </c>
    </row>
    <row r="45" spans="1:11" x14ac:dyDescent="0.25">
      <c r="A45" s="89" t="s">
        <v>629</v>
      </c>
      <c r="B45" s="89" t="s">
        <v>671</v>
      </c>
      <c r="C45" s="89" t="s">
        <v>590</v>
      </c>
    </row>
    <row r="46" spans="1:11" x14ac:dyDescent="0.25">
      <c r="A46" s="89" t="s">
        <v>629</v>
      </c>
      <c r="B46" s="89" t="s">
        <v>672</v>
      </c>
      <c r="C46" s="89" t="s">
        <v>590</v>
      </c>
    </row>
    <row r="47" spans="1:11" x14ac:dyDescent="0.25">
      <c r="A47" s="89" t="s">
        <v>629</v>
      </c>
      <c r="B47" s="89" t="s">
        <v>673</v>
      </c>
      <c r="C47" s="89" t="s">
        <v>590</v>
      </c>
    </row>
    <row r="48" spans="1:11" x14ac:dyDescent="0.25">
      <c r="A48" s="89" t="s">
        <v>629</v>
      </c>
      <c r="B48" s="89" t="s">
        <v>674</v>
      </c>
      <c r="C48" s="89" t="s">
        <v>590</v>
      </c>
    </row>
    <row r="49" spans="1:3" x14ac:dyDescent="0.25">
      <c r="A49" s="89" t="s">
        <v>629</v>
      </c>
      <c r="B49" s="89" t="s">
        <v>675</v>
      </c>
      <c r="C49" s="89" t="s">
        <v>633</v>
      </c>
    </row>
    <row r="50" spans="1:3" x14ac:dyDescent="0.25">
      <c r="A50" s="89" t="s">
        <v>629</v>
      </c>
      <c r="B50" s="89" t="s">
        <v>676</v>
      </c>
      <c r="C50" s="89" t="s">
        <v>633</v>
      </c>
    </row>
    <row r="51" spans="1:3" x14ac:dyDescent="0.25">
      <c r="A51" s="89" t="s">
        <v>629</v>
      </c>
      <c r="B51" s="89" t="s">
        <v>677</v>
      </c>
      <c r="C51" s="89" t="s">
        <v>41</v>
      </c>
    </row>
    <row r="52" spans="1:3" x14ac:dyDescent="0.25">
      <c r="A52" s="89" t="s">
        <v>629</v>
      </c>
      <c r="B52" s="89" t="s">
        <v>678</v>
      </c>
      <c r="C52" s="89" t="s">
        <v>41</v>
      </c>
    </row>
    <row r="53" spans="1:3" x14ac:dyDescent="0.25">
      <c r="A53" s="89" t="s">
        <v>629</v>
      </c>
      <c r="B53" s="89" t="s">
        <v>679</v>
      </c>
      <c r="C53" s="89" t="s">
        <v>16</v>
      </c>
    </row>
    <row r="54" spans="1:3" x14ac:dyDescent="0.25">
      <c r="A54" s="89" t="s">
        <v>629</v>
      </c>
      <c r="B54" s="89" t="s">
        <v>680</v>
      </c>
      <c r="C54" s="89" t="s">
        <v>16</v>
      </c>
    </row>
    <row r="55" spans="1:3" x14ac:dyDescent="0.25">
      <c r="A55" s="89" t="s">
        <v>629</v>
      </c>
      <c r="B55" s="89" t="s">
        <v>681</v>
      </c>
      <c r="C55" s="89" t="s">
        <v>16</v>
      </c>
    </row>
    <row r="56" spans="1:3" x14ac:dyDescent="0.25">
      <c r="A56" s="89" t="s">
        <v>629</v>
      </c>
      <c r="B56" s="89" t="s">
        <v>682</v>
      </c>
      <c r="C56" s="89" t="s">
        <v>16</v>
      </c>
    </row>
    <row r="57" spans="1:3" x14ac:dyDescent="0.25">
      <c r="A57" s="89" t="s">
        <v>629</v>
      </c>
      <c r="B57" s="89" t="s">
        <v>683</v>
      </c>
      <c r="C57" s="89" t="s">
        <v>600</v>
      </c>
    </row>
    <row r="58" spans="1:3" x14ac:dyDescent="0.25">
      <c r="A58" s="89" t="s">
        <v>629</v>
      </c>
      <c r="B58" s="89" t="s">
        <v>684</v>
      </c>
      <c r="C58" s="89" t="s">
        <v>191</v>
      </c>
    </row>
    <row r="59" spans="1:3" x14ac:dyDescent="0.25">
      <c r="A59" s="89" t="s">
        <v>629</v>
      </c>
      <c r="B59" s="89" t="s">
        <v>678</v>
      </c>
      <c r="C59" s="89" t="s">
        <v>36</v>
      </c>
    </row>
    <row r="60" spans="1:3" x14ac:dyDescent="0.25">
      <c r="A60" s="89" t="s">
        <v>629</v>
      </c>
      <c r="B60" s="89" t="s">
        <v>683</v>
      </c>
      <c r="C60" s="89" t="s">
        <v>36</v>
      </c>
    </row>
    <row r="61" spans="1:3" x14ac:dyDescent="0.25">
      <c r="A61" s="89" t="s">
        <v>629</v>
      </c>
      <c r="B61" s="89" t="s">
        <v>685</v>
      </c>
      <c r="C61" s="89" t="s">
        <v>161</v>
      </c>
    </row>
    <row r="62" spans="1:3" x14ac:dyDescent="0.25">
      <c r="A62" s="89" t="s">
        <v>686</v>
      </c>
      <c r="B62" s="89" t="s">
        <v>687</v>
      </c>
      <c r="C62" s="89" t="s">
        <v>41</v>
      </c>
    </row>
    <row r="63" spans="1:3" x14ac:dyDescent="0.25">
      <c r="A63" s="89" t="s">
        <v>686</v>
      </c>
      <c r="B63" s="89" t="s">
        <v>688</v>
      </c>
      <c r="C63" s="89" t="s">
        <v>689</v>
      </c>
    </row>
    <row r="64" spans="1:3" x14ac:dyDescent="0.25">
      <c r="A64" s="89" t="s">
        <v>686</v>
      </c>
      <c r="B64" s="89" t="s">
        <v>690</v>
      </c>
      <c r="C64" s="89" t="s">
        <v>691</v>
      </c>
    </row>
    <row r="65" spans="1:4" x14ac:dyDescent="0.25">
      <c r="A65" s="89" t="s">
        <v>686</v>
      </c>
      <c r="B65" s="89" t="s">
        <v>692</v>
      </c>
      <c r="C65" s="89" t="s">
        <v>36</v>
      </c>
    </row>
    <row r="66" spans="1:4" x14ac:dyDescent="0.25">
      <c r="A66" s="89" t="s">
        <v>686</v>
      </c>
      <c r="B66" s="89" t="s">
        <v>693</v>
      </c>
      <c r="C66" s="89" t="s">
        <v>167</v>
      </c>
    </row>
    <row r="67" spans="1:4" x14ac:dyDescent="0.25">
      <c r="A67" s="89" t="s">
        <v>686</v>
      </c>
      <c r="B67" s="89" t="s">
        <v>694</v>
      </c>
      <c r="C67" s="89" t="s">
        <v>19</v>
      </c>
    </row>
    <row r="68" spans="1:4" x14ac:dyDescent="0.25">
      <c r="A68" s="89" t="s">
        <v>686</v>
      </c>
      <c r="B68" s="89" t="s">
        <v>364</v>
      </c>
      <c r="C68" s="89" t="s">
        <v>87</v>
      </c>
    </row>
    <row r="69" spans="1:4" x14ac:dyDescent="0.25">
      <c r="A69" s="89" t="s">
        <v>686</v>
      </c>
      <c r="B69" s="89" t="s">
        <v>695</v>
      </c>
      <c r="C69" s="89" t="s">
        <v>36</v>
      </c>
    </row>
    <row r="70" spans="1:4" x14ac:dyDescent="0.25">
      <c r="A70" s="89" t="s">
        <v>686</v>
      </c>
      <c r="B70" s="89" t="s">
        <v>696</v>
      </c>
      <c r="C70" s="89" t="s">
        <v>74</v>
      </c>
    </row>
    <row r="71" spans="1:4" x14ac:dyDescent="0.25">
      <c r="A71" s="89" t="s">
        <v>686</v>
      </c>
      <c r="B71" s="89" t="s">
        <v>697</v>
      </c>
      <c r="C71" s="89" t="s">
        <v>90</v>
      </c>
    </row>
    <row r="72" spans="1:4" x14ac:dyDescent="0.25">
      <c r="A72" s="89" t="s">
        <v>686</v>
      </c>
      <c r="B72" s="89" t="s">
        <v>698</v>
      </c>
      <c r="C72" s="89" t="s">
        <v>16</v>
      </c>
    </row>
    <row r="73" spans="1:4" x14ac:dyDescent="0.25">
      <c r="A73" s="89" t="s">
        <v>686</v>
      </c>
      <c r="B73" s="89" t="s">
        <v>699</v>
      </c>
      <c r="C73" s="89" t="s">
        <v>700</v>
      </c>
    </row>
    <row r="74" spans="1:4" x14ac:dyDescent="0.25">
      <c r="A74" s="89" t="s">
        <v>701</v>
      </c>
      <c r="B74" s="89" t="s">
        <v>702</v>
      </c>
      <c r="C74" s="89" t="s">
        <v>172</v>
      </c>
      <c r="D74" t="s">
        <v>703</v>
      </c>
    </row>
    <row r="75" spans="1:4" x14ac:dyDescent="0.25">
      <c r="A75" s="89" t="s">
        <v>701</v>
      </c>
      <c r="B75" s="89" t="s">
        <v>704</v>
      </c>
      <c r="C75" s="89" t="s">
        <v>41</v>
      </c>
    </row>
    <row r="76" spans="1:4" x14ac:dyDescent="0.25">
      <c r="A76" s="89" t="s">
        <v>701</v>
      </c>
      <c r="B76" s="89" t="s">
        <v>692</v>
      </c>
      <c r="C76" s="89" t="s">
        <v>36</v>
      </c>
    </row>
    <row r="77" spans="1:4" x14ac:dyDescent="0.25">
      <c r="A77" s="89" t="s">
        <v>701</v>
      </c>
      <c r="B77" s="89" t="s">
        <v>705</v>
      </c>
      <c r="C77" s="89" t="s">
        <v>172</v>
      </c>
    </row>
    <row r="78" spans="1:4" x14ac:dyDescent="0.25">
      <c r="A78" s="89" t="s">
        <v>701</v>
      </c>
      <c r="B78" s="89" t="s">
        <v>262</v>
      </c>
      <c r="C78" s="89" t="s">
        <v>74</v>
      </c>
    </row>
    <row r="79" spans="1:4" x14ac:dyDescent="0.25">
      <c r="A79" s="89" t="s">
        <v>701</v>
      </c>
      <c r="B79" s="89" t="s">
        <v>706</v>
      </c>
      <c r="C79" s="89" t="s">
        <v>152</v>
      </c>
    </row>
    <row r="80" spans="1:4" x14ac:dyDescent="0.25">
      <c r="A80" s="89" t="s">
        <v>701</v>
      </c>
      <c r="B80" s="89" t="s">
        <v>455</v>
      </c>
      <c r="C80" s="89" t="s">
        <v>456</v>
      </c>
    </row>
    <row r="81" spans="1:12" x14ac:dyDescent="0.25">
      <c r="A81" s="89" t="s">
        <v>701</v>
      </c>
      <c r="B81" s="89" t="s">
        <v>707</v>
      </c>
      <c r="C81" s="89" t="s">
        <v>31</v>
      </c>
    </row>
    <row r="82" spans="1:12" x14ac:dyDescent="0.25">
      <c r="A82" s="89" t="s">
        <v>701</v>
      </c>
      <c r="B82" s="89" t="s">
        <v>708</v>
      </c>
      <c r="C82" s="89" t="s">
        <v>590</v>
      </c>
      <c r="L82" s="89"/>
    </row>
    <row r="83" spans="1:12" x14ac:dyDescent="0.25">
      <c r="A83" s="89" t="s">
        <v>701</v>
      </c>
      <c r="B83" s="89" t="s">
        <v>709</v>
      </c>
      <c r="C83" s="89" t="s">
        <v>22</v>
      </c>
      <c r="L83" s="89"/>
    </row>
    <row r="84" spans="1:12" x14ac:dyDescent="0.25">
      <c r="A84" s="89" t="s">
        <v>701</v>
      </c>
      <c r="B84" s="89" t="s">
        <v>710</v>
      </c>
      <c r="C84" s="89" t="s">
        <v>590</v>
      </c>
      <c r="L84" s="89"/>
    </row>
    <row r="85" spans="1:12" x14ac:dyDescent="0.25">
      <c r="A85" s="89" t="s">
        <v>701</v>
      </c>
      <c r="B85" s="89" t="s">
        <v>711</v>
      </c>
      <c r="C85" s="89" t="s">
        <v>600</v>
      </c>
      <c r="L85" s="89"/>
    </row>
    <row r="86" spans="1:12" x14ac:dyDescent="0.25">
      <c r="A86" s="89" t="s">
        <v>701</v>
      </c>
      <c r="B86" s="89" t="s">
        <v>678</v>
      </c>
      <c r="C86" s="89" t="s">
        <v>36</v>
      </c>
      <c r="L86" s="89"/>
    </row>
    <row r="87" spans="1:12" x14ac:dyDescent="0.25">
      <c r="A87" s="89" t="s">
        <v>701</v>
      </c>
      <c r="B87" s="89" t="s">
        <v>364</v>
      </c>
      <c r="C87" s="89" t="s">
        <v>16</v>
      </c>
      <c r="L87" s="89"/>
    </row>
    <row r="88" spans="1:12" x14ac:dyDescent="0.25">
      <c r="A88" s="89" t="s">
        <v>701</v>
      </c>
      <c r="B88" s="89" t="s">
        <v>712</v>
      </c>
      <c r="C88" s="89" t="s">
        <v>152</v>
      </c>
      <c r="L88" s="89"/>
    </row>
    <row r="89" spans="1:12" x14ac:dyDescent="0.25">
      <c r="A89" s="89" t="s">
        <v>701</v>
      </c>
      <c r="B89" s="89" t="s">
        <v>713</v>
      </c>
      <c r="C89" s="89" t="s">
        <v>74</v>
      </c>
      <c r="L89" s="89"/>
    </row>
    <row r="90" spans="1:12" x14ac:dyDescent="0.25">
      <c r="A90" s="89" t="s">
        <v>701</v>
      </c>
      <c r="B90" s="89" t="s">
        <v>714</v>
      </c>
      <c r="C90" s="89" t="s">
        <v>36</v>
      </c>
      <c r="L90" s="89"/>
    </row>
    <row r="91" spans="1:12" x14ac:dyDescent="0.25">
      <c r="A91" s="89" t="s">
        <v>701</v>
      </c>
      <c r="B91" s="89" t="s">
        <v>706</v>
      </c>
      <c r="C91" s="89" t="s">
        <v>456</v>
      </c>
      <c r="L91" s="89"/>
    </row>
    <row r="92" spans="1:12" x14ac:dyDescent="0.25">
      <c r="A92" s="89" t="s">
        <v>701</v>
      </c>
      <c r="B92" s="89" t="s">
        <v>366</v>
      </c>
      <c r="C92" s="89" t="s">
        <v>456</v>
      </c>
      <c r="L92" s="89"/>
    </row>
    <row r="93" spans="1:12" x14ac:dyDescent="0.25">
      <c r="A93" s="89" t="s">
        <v>701</v>
      </c>
      <c r="B93" s="89" t="s">
        <v>715</v>
      </c>
      <c r="C93" s="89" t="s">
        <v>691</v>
      </c>
      <c r="L93" s="89"/>
    </row>
    <row r="94" spans="1:12" x14ac:dyDescent="0.25">
      <c r="A94" s="89" t="s">
        <v>701</v>
      </c>
      <c r="B94" s="89" t="s">
        <v>716</v>
      </c>
      <c r="C94" s="89" t="s">
        <v>41</v>
      </c>
      <c r="L94" s="89"/>
    </row>
    <row r="95" spans="1:12" x14ac:dyDescent="0.25">
      <c r="A95" s="89" t="s">
        <v>701</v>
      </c>
      <c r="B95" s="89" t="s">
        <v>717</v>
      </c>
      <c r="C95" s="89" t="s">
        <v>36</v>
      </c>
      <c r="L95" s="89"/>
    </row>
    <row r="96" spans="1:12" x14ac:dyDescent="0.25">
      <c r="A96" s="89" t="s">
        <v>701</v>
      </c>
      <c r="B96" s="89" t="s">
        <v>718</v>
      </c>
      <c r="C96" s="89" t="s">
        <v>655</v>
      </c>
      <c r="L96" s="89"/>
    </row>
    <row r="97" spans="1:12" x14ac:dyDescent="0.25">
      <c r="A97" s="89" t="s">
        <v>701</v>
      </c>
      <c r="B97" s="89" t="s">
        <v>719</v>
      </c>
      <c r="C97" s="89" t="s">
        <v>116</v>
      </c>
      <c r="L97" s="89"/>
    </row>
    <row r="98" spans="1:12" x14ac:dyDescent="0.25">
      <c r="A98" s="89" t="s">
        <v>701</v>
      </c>
      <c r="B98" s="89" t="s">
        <v>262</v>
      </c>
      <c r="C98" s="89" t="s">
        <v>662</v>
      </c>
      <c r="L98" s="89"/>
    </row>
    <row r="99" spans="1:12" x14ac:dyDescent="0.25">
      <c r="A99" s="89" t="s">
        <v>701</v>
      </c>
      <c r="B99" s="89" t="s">
        <v>720</v>
      </c>
      <c r="C99" s="89" t="s">
        <v>456</v>
      </c>
      <c r="L99" s="89"/>
    </row>
    <row r="100" spans="1:12" x14ac:dyDescent="0.25">
      <c r="A100" s="89" t="s">
        <v>701</v>
      </c>
      <c r="B100" s="89" t="s">
        <v>721</v>
      </c>
      <c r="C100" s="89" t="s">
        <v>22</v>
      </c>
      <c r="L100" s="89"/>
    </row>
    <row r="101" spans="1:12" x14ac:dyDescent="0.25">
      <c r="A101" s="89" t="s">
        <v>701</v>
      </c>
      <c r="B101" s="89" t="s">
        <v>722</v>
      </c>
      <c r="C101" s="89" t="s">
        <v>74</v>
      </c>
      <c r="L101" s="89"/>
    </row>
    <row r="102" spans="1:12" x14ac:dyDescent="0.25">
      <c r="A102" s="89" t="s">
        <v>701</v>
      </c>
      <c r="B102" s="89" t="s">
        <v>707</v>
      </c>
      <c r="C102" s="89" t="s">
        <v>31</v>
      </c>
      <c r="D102" t="s">
        <v>723</v>
      </c>
      <c r="L102" s="89"/>
    </row>
    <row r="103" spans="1:12" x14ac:dyDescent="0.25">
      <c r="A103" s="89" t="s">
        <v>701</v>
      </c>
      <c r="B103" s="89" t="s">
        <v>724</v>
      </c>
      <c r="C103" s="89" t="s">
        <v>691</v>
      </c>
      <c r="D103" t="s">
        <v>723</v>
      </c>
      <c r="L103" s="89"/>
    </row>
    <row r="104" spans="1:12" x14ac:dyDescent="0.25">
      <c r="A104" s="89" t="s">
        <v>701</v>
      </c>
      <c r="B104" s="89" t="s">
        <v>725</v>
      </c>
      <c r="C104" s="89" t="s">
        <v>664</v>
      </c>
      <c r="D104" t="s">
        <v>723</v>
      </c>
      <c r="L104" s="89"/>
    </row>
    <row r="105" spans="1:12" x14ac:dyDescent="0.25">
      <c r="A105" s="89" t="s">
        <v>726</v>
      </c>
      <c r="B105" s="89" t="s">
        <v>620</v>
      </c>
      <c r="C105" s="89" t="s">
        <v>41</v>
      </c>
      <c r="L105" s="89"/>
    </row>
    <row r="106" spans="1:12" x14ac:dyDescent="0.25">
      <c r="A106" s="89" t="s">
        <v>726</v>
      </c>
      <c r="B106" s="89" t="s">
        <v>727</v>
      </c>
      <c r="C106" s="89" t="s">
        <v>633</v>
      </c>
      <c r="L106" s="89"/>
    </row>
    <row r="107" spans="1:12" x14ac:dyDescent="0.25">
      <c r="A107" s="89" t="s">
        <v>726</v>
      </c>
      <c r="B107" s="89" t="s">
        <v>728</v>
      </c>
      <c r="C107" s="89" t="s">
        <v>77</v>
      </c>
      <c r="L107" s="89"/>
    </row>
    <row r="108" spans="1:12" x14ac:dyDescent="0.25">
      <c r="A108" s="89" t="s">
        <v>726</v>
      </c>
      <c r="B108" s="89" t="s">
        <v>721</v>
      </c>
      <c r="C108" s="89" t="s">
        <v>22</v>
      </c>
      <c r="L108" s="89"/>
    </row>
    <row r="109" spans="1:12" x14ac:dyDescent="0.25">
      <c r="A109" s="89" t="s">
        <v>726</v>
      </c>
      <c r="B109" s="89" t="s">
        <v>729</v>
      </c>
      <c r="C109" s="89" t="s">
        <v>730</v>
      </c>
      <c r="L109" s="89"/>
    </row>
    <row r="110" spans="1:12" x14ac:dyDescent="0.25">
      <c r="A110" s="89" t="s">
        <v>726</v>
      </c>
      <c r="B110" s="89" t="s">
        <v>731</v>
      </c>
      <c r="C110" s="89" t="s">
        <v>600</v>
      </c>
      <c r="L110" s="89"/>
    </row>
    <row r="111" spans="1:12" x14ac:dyDescent="0.25">
      <c r="A111" s="89" t="s">
        <v>726</v>
      </c>
      <c r="B111" s="89" t="s">
        <v>732</v>
      </c>
      <c r="C111" s="89" t="s">
        <v>600</v>
      </c>
      <c r="L111" s="89"/>
    </row>
    <row r="112" spans="1:12" x14ac:dyDescent="0.25">
      <c r="A112" s="89" t="s">
        <v>726</v>
      </c>
      <c r="B112" s="89" t="s">
        <v>733</v>
      </c>
      <c r="C112" s="89" t="s">
        <v>161</v>
      </c>
      <c r="L112" s="89"/>
    </row>
    <row r="113" spans="1:4" x14ac:dyDescent="0.25">
      <c r="A113" s="89" t="s">
        <v>726</v>
      </c>
      <c r="B113" s="89" t="s">
        <v>734</v>
      </c>
      <c r="C113" s="89" t="s">
        <v>22</v>
      </c>
    </row>
    <row r="114" spans="1:4" x14ac:dyDescent="0.25">
      <c r="A114" s="89" t="s">
        <v>726</v>
      </c>
      <c r="B114" s="89" t="s">
        <v>734</v>
      </c>
      <c r="C114" s="89" t="s">
        <v>22</v>
      </c>
      <c r="D114" t="s">
        <v>735</v>
      </c>
    </row>
    <row r="115" spans="1:4" x14ac:dyDescent="0.25">
      <c r="A115" s="89" t="s">
        <v>726</v>
      </c>
      <c r="B115" s="89" t="s">
        <v>736</v>
      </c>
      <c r="C115" s="89" t="s">
        <v>161</v>
      </c>
    </row>
    <row r="116" spans="1:4" x14ac:dyDescent="0.25">
      <c r="A116" s="89" t="s">
        <v>726</v>
      </c>
      <c r="B116" s="89" t="s">
        <v>736</v>
      </c>
      <c r="C116" s="89" t="s">
        <v>161</v>
      </c>
      <c r="D116" t="s">
        <v>735</v>
      </c>
    </row>
    <row r="117" spans="1:4" x14ac:dyDescent="0.25">
      <c r="A117" s="89" t="s">
        <v>726</v>
      </c>
      <c r="B117" s="89" t="s">
        <v>737</v>
      </c>
      <c r="C117" s="89" t="s">
        <v>22</v>
      </c>
    </row>
    <row r="118" spans="1:4" x14ac:dyDescent="0.25">
      <c r="A118" s="89" t="s">
        <v>726</v>
      </c>
      <c r="B118" s="89" t="s">
        <v>738</v>
      </c>
      <c r="C118" s="89" t="s">
        <v>36</v>
      </c>
    </row>
    <row r="119" spans="1:4" x14ac:dyDescent="0.25">
      <c r="A119" s="89" t="s">
        <v>726</v>
      </c>
      <c r="B119" s="89" t="s">
        <v>739</v>
      </c>
      <c r="C119" s="89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E6F7-3485-43FC-A357-3BCF4F02142F}">
  <dimension ref="A1:XFB5"/>
  <sheetViews>
    <sheetView zoomScale="55" zoomScaleNormal="55" workbookViewId="0">
      <selection activeCell="I67" sqref="I67"/>
    </sheetView>
  </sheetViews>
  <sheetFormatPr defaultColWidth="8.875" defaultRowHeight="15.75" x14ac:dyDescent="0.25"/>
  <cols>
    <col min="1" max="1" width="28.625" customWidth="1"/>
    <col min="2" max="2" width="12.875" bestFit="1" customWidth="1"/>
    <col min="3" max="3" width="5.5" bestFit="1" customWidth="1"/>
    <col min="4" max="5" width="16.125" customWidth="1"/>
    <col min="6" max="6" width="17.875" bestFit="1" customWidth="1"/>
    <col min="7" max="7" width="15.625" customWidth="1"/>
    <col min="8" max="8" width="17.5" customWidth="1"/>
    <col min="9" max="10" width="16.125" customWidth="1"/>
    <col min="11" max="11" width="15.125" customWidth="1"/>
    <col min="12" max="12" width="19.5" customWidth="1"/>
    <col min="13" max="14" width="15.625" customWidth="1"/>
    <col min="15" max="15" width="37.5" customWidth="1"/>
    <col min="16" max="16" width="12" customWidth="1"/>
    <col min="17" max="17" width="104.125" customWidth="1"/>
  </cols>
  <sheetData>
    <row r="1" spans="1:16382" x14ac:dyDescent="0.25">
      <c r="A1" s="90"/>
      <c r="B1" s="91"/>
      <c r="C1" s="91"/>
      <c r="D1" s="91" t="s">
        <v>199</v>
      </c>
      <c r="E1" s="91" t="s">
        <v>200</v>
      </c>
      <c r="F1" s="91" t="s">
        <v>200</v>
      </c>
      <c r="G1" s="91" t="s">
        <v>200</v>
      </c>
      <c r="H1" s="91" t="s">
        <v>201</v>
      </c>
      <c r="I1" s="91" t="s">
        <v>201</v>
      </c>
      <c r="J1" s="91" t="s">
        <v>201</v>
      </c>
      <c r="K1" s="91" t="s">
        <v>201</v>
      </c>
      <c r="L1" s="91"/>
      <c r="M1" s="91" t="s">
        <v>202</v>
      </c>
      <c r="N1" s="91" t="s">
        <v>203</v>
      </c>
      <c r="O1" s="91"/>
      <c r="P1" s="91"/>
      <c r="Q1" s="91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</row>
    <row r="2" spans="1:16382" x14ac:dyDescent="0.25">
      <c r="A2" s="90" t="s">
        <v>208</v>
      </c>
      <c r="B2" s="91" t="s">
        <v>3</v>
      </c>
      <c r="C2" s="91" t="s">
        <v>4</v>
      </c>
      <c r="D2" s="91" t="s">
        <v>209</v>
      </c>
      <c r="E2" s="91" t="s">
        <v>209</v>
      </c>
      <c r="F2" s="91" t="s">
        <v>210</v>
      </c>
      <c r="G2" s="91" t="s">
        <v>211</v>
      </c>
      <c r="H2" s="91" t="s">
        <v>212</v>
      </c>
      <c r="I2" s="91" t="s">
        <v>213</v>
      </c>
      <c r="J2" s="91" t="s">
        <v>211</v>
      </c>
      <c r="K2" s="91" t="s">
        <v>214</v>
      </c>
      <c r="L2" s="91" t="s">
        <v>215</v>
      </c>
      <c r="M2" s="91" t="s">
        <v>216</v>
      </c>
      <c r="N2" s="91" t="s">
        <v>216</v>
      </c>
      <c r="O2" s="91" t="s">
        <v>217</v>
      </c>
      <c r="P2" s="91" t="s">
        <v>220</v>
      </c>
      <c r="Q2" s="91" t="s">
        <v>222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</row>
    <row r="3" spans="1:16382" s="5" customFormat="1" x14ac:dyDescent="0.25">
      <c r="A3" s="11" t="s">
        <v>95</v>
      </c>
      <c r="B3" s="92" t="s">
        <v>227</v>
      </c>
      <c r="C3" s="12" t="s">
        <v>19</v>
      </c>
      <c r="D3" s="93"/>
      <c r="E3" s="93">
        <v>47500000</v>
      </c>
      <c r="F3" s="13">
        <v>135714.28571428571</v>
      </c>
      <c r="G3" s="93">
        <v>3693.5389118212297</v>
      </c>
      <c r="H3" s="93">
        <v>1560714.2857142857</v>
      </c>
      <c r="I3" s="93">
        <v>546250000</v>
      </c>
      <c r="J3" s="94">
        <v>707.92829143240237</v>
      </c>
      <c r="K3" s="93">
        <v>247774.90200134084</v>
      </c>
      <c r="L3" s="12"/>
      <c r="M3" s="93" t="s">
        <v>740</v>
      </c>
      <c r="N3" s="93" t="s">
        <v>740</v>
      </c>
      <c r="O3" s="12" t="s">
        <v>204</v>
      </c>
      <c r="P3" s="95" t="s">
        <v>495</v>
      </c>
      <c r="Q3" s="96"/>
    </row>
    <row r="4" spans="1:16382" x14ac:dyDescent="0.25">
      <c r="A4" s="11" t="s">
        <v>95</v>
      </c>
      <c r="B4" s="92" t="s">
        <v>719</v>
      </c>
      <c r="C4" s="12" t="s">
        <v>116</v>
      </c>
      <c r="D4" s="93"/>
      <c r="E4" s="93">
        <v>33250000</v>
      </c>
      <c r="F4" s="13">
        <v>95000</v>
      </c>
      <c r="G4" s="93">
        <v>2585.4772382748611</v>
      </c>
      <c r="H4" s="93">
        <v>1092500</v>
      </c>
      <c r="I4" s="93">
        <v>382375000</v>
      </c>
      <c r="J4" s="94">
        <v>495.5498040026817</v>
      </c>
      <c r="K4" s="93">
        <v>173442.4314009386</v>
      </c>
      <c r="L4" s="12"/>
      <c r="M4" s="93" t="s">
        <v>740</v>
      </c>
      <c r="N4" s="93" t="s">
        <v>740</v>
      </c>
      <c r="O4" s="12"/>
      <c r="P4" s="95" t="s">
        <v>495</v>
      </c>
      <c r="Q4" s="9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  <c r="XEO4" s="5"/>
      <c r="XEP4" s="5"/>
      <c r="XEQ4" s="5"/>
      <c r="XER4" s="5"/>
      <c r="XES4" s="5"/>
      <c r="XET4" s="5"/>
      <c r="XEU4" s="5"/>
      <c r="XEV4" s="5"/>
      <c r="XEW4" s="5"/>
      <c r="XEX4" s="5"/>
      <c r="XEY4" s="5"/>
      <c r="XEZ4" s="5"/>
      <c r="XFA4" s="5"/>
      <c r="XFB4" s="5"/>
    </row>
    <row r="5" spans="1:16382" x14ac:dyDescent="0.25">
      <c r="A5" s="11" t="s">
        <v>95</v>
      </c>
      <c r="B5" s="92" t="s">
        <v>741</v>
      </c>
      <c r="C5" s="12" t="s">
        <v>116</v>
      </c>
      <c r="D5" s="93"/>
      <c r="E5" s="93">
        <v>30800000</v>
      </c>
      <c r="F5" s="13">
        <v>88000</v>
      </c>
      <c r="G5" s="93">
        <v>2394.9683891388186</v>
      </c>
      <c r="H5" s="93">
        <v>1012000</v>
      </c>
      <c r="I5" s="93">
        <v>354200000</v>
      </c>
      <c r="J5" s="94">
        <v>459.03560791827357</v>
      </c>
      <c r="K5" s="93">
        <v>160662.46277139575</v>
      </c>
      <c r="L5" s="12"/>
      <c r="M5" s="93" t="s">
        <v>740</v>
      </c>
      <c r="N5" s="93" t="s">
        <v>740</v>
      </c>
      <c r="O5" s="12"/>
      <c r="P5" s="95" t="s">
        <v>495</v>
      </c>
      <c r="Q5" s="96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  <c r="XES5" s="5"/>
      <c r="XET5" s="5"/>
      <c r="XEU5" s="5"/>
      <c r="XEV5" s="5"/>
      <c r="XEW5" s="5"/>
      <c r="XEX5" s="5"/>
      <c r="XEY5" s="5"/>
      <c r="XEZ5" s="5"/>
      <c r="XFA5" s="5"/>
      <c r="XFB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2588-FAFD-496D-A539-866EB6514A66}">
  <dimension ref="A1:P63"/>
  <sheetViews>
    <sheetView topLeftCell="A7" zoomScale="70" zoomScaleNormal="70" workbookViewId="0">
      <selection activeCell="I67" sqref="I67"/>
    </sheetView>
  </sheetViews>
  <sheetFormatPr defaultColWidth="10.875" defaultRowHeight="12.75" x14ac:dyDescent="0.2"/>
  <cols>
    <col min="1" max="1" width="10.875" style="5"/>
    <col min="2" max="2" width="23.375" style="5" customWidth="1"/>
    <col min="3" max="3" width="23.625" style="5" bestFit="1" customWidth="1"/>
    <col min="4" max="8" width="22.125" style="5" customWidth="1"/>
    <col min="9" max="9" width="63.625" style="5" bestFit="1" customWidth="1"/>
    <col min="10" max="16384" width="10.875" style="5"/>
  </cols>
  <sheetData>
    <row r="1" spans="1:16" ht="25.5" x14ac:dyDescent="0.35">
      <c r="A1" s="97"/>
      <c r="B1" s="98" t="s">
        <v>742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54.75" thickBot="1" x14ac:dyDescent="0.3">
      <c r="A2" s="97"/>
      <c r="B2" s="99" t="s">
        <v>743</v>
      </c>
      <c r="C2" s="99" t="s">
        <v>744</v>
      </c>
      <c r="D2" s="100" t="s">
        <v>745</v>
      </c>
      <c r="E2" s="101" t="s">
        <v>746</v>
      </c>
      <c r="F2" s="100" t="s">
        <v>747</v>
      </c>
      <c r="G2" s="100" t="s">
        <v>748</v>
      </c>
      <c r="H2" s="100" t="s">
        <v>749</v>
      </c>
      <c r="I2" s="102" t="s">
        <v>222</v>
      </c>
      <c r="J2" s="102" t="s">
        <v>750</v>
      </c>
      <c r="K2" s="102" t="s">
        <v>751</v>
      </c>
      <c r="L2" s="102" t="s">
        <v>282</v>
      </c>
      <c r="M2" s="102" t="s">
        <v>509</v>
      </c>
      <c r="N2" s="102" t="s">
        <v>584</v>
      </c>
      <c r="O2" s="97" t="s">
        <v>752</v>
      </c>
      <c r="P2" s="97"/>
    </row>
    <row r="3" spans="1:16" ht="15.75" x14ac:dyDescent="0.25">
      <c r="A3" s="103" t="s">
        <v>13</v>
      </c>
      <c r="B3" s="104" t="s">
        <v>12</v>
      </c>
      <c r="C3" s="105" t="s">
        <v>753</v>
      </c>
      <c r="D3" s="106"/>
      <c r="E3" s="107">
        <v>4000</v>
      </c>
      <c r="F3" s="106">
        <f>E3*350</f>
        <v>1400000</v>
      </c>
      <c r="G3" s="106">
        <f>F3*0.435</f>
        <v>609000</v>
      </c>
      <c r="H3" s="106" t="s">
        <v>754</v>
      </c>
      <c r="I3" s="108" t="s">
        <v>755</v>
      </c>
      <c r="J3" s="108"/>
      <c r="K3" s="108" t="s">
        <v>756</v>
      </c>
      <c r="L3" s="108"/>
      <c r="M3" s="108" t="s">
        <v>756</v>
      </c>
      <c r="N3" s="108"/>
      <c r="O3" s="97"/>
      <c r="P3" s="97"/>
    </row>
    <row r="4" spans="1:16" ht="15.75" x14ac:dyDescent="0.25">
      <c r="A4" s="103" t="s">
        <v>13</v>
      </c>
      <c r="B4" s="109" t="s">
        <v>12</v>
      </c>
      <c r="C4" s="110" t="s">
        <v>757</v>
      </c>
      <c r="D4" s="111"/>
      <c r="E4" s="112">
        <v>3600</v>
      </c>
      <c r="F4" s="111">
        <f>E4*350</f>
        <v>1260000</v>
      </c>
      <c r="G4" s="111">
        <f>F4*0.435</f>
        <v>548100</v>
      </c>
      <c r="H4" s="111">
        <v>548100</v>
      </c>
      <c r="I4" s="108" t="s">
        <v>758</v>
      </c>
      <c r="J4" s="108"/>
      <c r="K4" s="108" t="s">
        <v>756</v>
      </c>
      <c r="L4" s="108" t="s">
        <v>756</v>
      </c>
      <c r="M4" s="108" t="s">
        <v>756</v>
      </c>
      <c r="N4" s="108"/>
      <c r="O4" s="97"/>
      <c r="P4" s="97"/>
    </row>
    <row r="5" spans="1:16" ht="15.75" x14ac:dyDescent="0.25">
      <c r="A5" s="103" t="s">
        <v>13</v>
      </c>
      <c r="B5" s="109" t="s">
        <v>75</v>
      </c>
      <c r="C5" s="110" t="s">
        <v>759</v>
      </c>
      <c r="D5" s="111"/>
      <c r="E5" s="112">
        <v>950</v>
      </c>
      <c r="F5" s="111">
        <f t="shared" ref="F5:F20" si="0">E5*350</f>
        <v>332500</v>
      </c>
      <c r="G5" s="111">
        <f t="shared" ref="G5:G20" si="1">F5*0.435</f>
        <v>144637.5</v>
      </c>
      <c r="H5" s="111" t="s">
        <v>754</v>
      </c>
      <c r="I5" s="108" t="s">
        <v>760</v>
      </c>
      <c r="J5" s="108"/>
      <c r="K5" s="108" t="s">
        <v>756</v>
      </c>
      <c r="L5" s="108"/>
      <c r="M5" s="108" t="s">
        <v>756</v>
      </c>
      <c r="N5" s="108"/>
      <c r="O5" s="97"/>
      <c r="P5" s="97"/>
    </row>
    <row r="6" spans="1:16" ht="15.75" x14ac:dyDescent="0.25">
      <c r="A6" s="103" t="s">
        <v>13</v>
      </c>
      <c r="B6" s="109" t="s">
        <v>75</v>
      </c>
      <c r="C6" s="110" t="s">
        <v>761</v>
      </c>
      <c r="D6" s="111"/>
      <c r="E6" s="112">
        <v>1500</v>
      </c>
      <c r="F6" s="111">
        <f t="shared" si="0"/>
        <v>525000</v>
      </c>
      <c r="G6" s="111">
        <f t="shared" si="1"/>
        <v>228375</v>
      </c>
      <c r="H6" s="111">
        <f>G6</f>
        <v>228375</v>
      </c>
      <c r="I6" s="108" t="s">
        <v>762</v>
      </c>
      <c r="J6" s="108"/>
      <c r="K6" s="108" t="s">
        <v>756</v>
      </c>
      <c r="L6" s="108"/>
      <c r="M6" s="108" t="s">
        <v>756</v>
      </c>
      <c r="N6" s="108"/>
      <c r="O6" s="97"/>
      <c r="P6" s="97"/>
    </row>
    <row r="7" spans="1:16" ht="15.75" x14ac:dyDescent="0.25">
      <c r="A7" s="103" t="s">
        <v>13</v>
      </c>
      <c r="B7" s="109" t="s">
        <v>75</v>
      </c>
      <c r="C7" s="110" t="s">
        <v>763</v>
      </c>
      <c r="D7" s="111"/>
      <c r="E7" s="112">
        <v>1600</v>
      </c>
      <c r="F7" s="111">
        <f t="shared" si="0"/>
        <v>560000</v>
      </c>
      <c r="G7" s="111">
        <f t="shared" si="1"/>
        <v>243600</v>
      </c>
      <c r="H7" s="111">
        <f>G7</f>
        <v>243600</v>
      </c>
      <c r="I7" s="108" t="s">
        <v>762</v>
      </c>
      <c r="J7" s="108"/>
      <c r="K7" s="108" t="s">
        <v>756</v>
      </c>
      <c r="L7" s="108"/>
      <c r="M7" s="108" t="s">
        <v>756</v>
      </c>
      <c r="N7" s="108"/>
      <c r="O7" s="97"/>
      <c r="P7" s="97"/>
    </row>
    <row r="8" spans="1:16" ht="15.75" x14ac:dyDescent="0.25">
      <c r="A8" s="103" t="s">
        <v>13</v>
      </c>
      <c r="B8" s="109" t="s">
        <v>75</v>
      </c>
      <c r="C8" s="110" t="s">
        <v>764</v>
      </c>
      <c r="D8" s="111"/>
      <c r="E8" s="112">
        <v>2500</v>
      </c>
      <c r="F8" s="111">
        <f t="shared" si="0"/>
        <v>875000</v>
      </c>
      <c r="G8" s="111">
        <f t="shared" si="1"/>
        <v>380625</v>
      </c>
      <c r="H8" s="111">
        <f>G8</f>
        <v>380625</v>
      </c>
      <c r="I8" s="108" t="s">
        <v>762</v>
      </c>
      <c r="J8" s="108"/>
      <c r="K8" s="108" t="s">
        <v>756</v>
      </c>
      <c r="L8" s="108"/>
      <c r="M8" s="108" t="s">
        <v>756</v>
      </c>
      <c r="N8" s="108"/>
      <c r="O8" s="97"/>
      <c r="P8" s="97"/>
    </row>
    <row r="9" spans="1:16" ht="15.75" x14ac:dyDescent="0.25">
      <c r="A9" s="103" t="s">
        <v>13</v>
      </c>
      <c r="B9" s="109" t="s">
        <v>75</v>
      </c>
      <c r="C9" s="110" t="s">
        <v>765</v>
      </c>
      <c r="D9" s="111"/>
      <c r="E9" s="112">
        <v>3000</v>
      </c>
      <c r="F9" s="111">
        <f t="shared" si="0"/>
        <v>1050000</v>
      </c>
      <c r="G9" s="111">
        <f t="shared" si="1"/>
        <v>456750</v>
      </c>
      <c r="H9" s="111">
        <v>456750</v>
      </c>
      <c r="I9" s="108" t="s">
        <v>766</v>
      </c>
      <c r="J9" s="108"/>
      <c r="K9" s="108" t="s">
        <v>756</v>
      </c>
      <c r="L9" s="108" t="s">
        <v>756</v>
      </c>
      <c r="M9" s="108" t="s">
        <v>756</v>
      </c>
      <c r="N9" s="108"/>
      <c r="O9" s="97"/>
      <c r="P9" s="97"/>
    </row>
    <row r="10" spans="1:16" ht="15.75" x14ac:dyDescent="0.25">
      <c r="A10" s="103" t="s">
        <v>13</v>
      </c>
      <c r="B10" s="109" t="s">
        <v>95</v>
      </c>
      <c r="C10" s="110" t="s">
        <v>767</v>
      </c>
      <c r="D10" s="111"/>
      <c r="E10" s="112">
        <v>2500</v>
      </c>
      <c r="F10" s="111">
        <f t="shared" si="0"/>
        <v>875000</v>
      </c>
      <c r="G10" s="111">
        <f t="shared" si="1"/>
        <v>380625</v>
      </c>
      <c r="H10" s="111" t="s">
        <v>754</v>
      </c>
      <c r="I10" s="108" t="s">
        <v>768</v>
      </c>
      <c r="J10" s="108"/>
      <c r="K10" s="108" t="s">
        <v>756</v>
      </c>
      <c r="L10" s="108"/>
      <c r="M10" s="108" t="s">
        <v>756</v>
      </c>
      <c r="N10" s="108"/>
      <c r="O10" s="97"/>
      <c r="P10" s="97"/>
    </row>
    <row r="11" spans="1:16" ht="15.75" x14ac:dyDescent="0.25">
      <c r="A11" s="103" t="s">
        <v>13</v>
      </c>
      <c r="B11" s="109" t="s">
        <v>95</v>
      </c>
      <c r="C11" s="110" t="s">
        <v>769</v>
      </c>
      <c r="D11" s="111"/>
      <c r="E11" s="112">
        <v>4250</v>
      </c>
      <c r="F11" s="111">
        <f t="shared" si="0"/>
        <v>1487500</v>
      </c>
      <c r="G11" s="111">
        <f t="shared" si="1"/>
        <v>647062.5</v>
      </c>
      <c r="H11" s="111">
        <f>G11*1.5</f>
        <v>970593.75</v>
      </c>
      <c r="I11" s="108" t="s">
        <v>770</v>
      </c>
      <c r="J11" s="108"/>
      <c r="K11" s="108" t="s">
        <v>756</v>
      </c>
      <c r="L11" s="108"/>
      <c r="M11" s="108" t="s">
        <v>756</v>
      </c>
      <c r="N11" s="108"/>
      <c r="O11" s="97"/>
      <c r="P11" s="97"/>
    </row>
    <row r="12" spans="1:16" ht="15.75" x14ac:dyDescent="0.25">
      <c r="A12" s="113">
        <v>2024</v>
      </c>
      <c r="B12" s="109" t="s">
        <v>95</v>
      </c>
      <c r="C12" s="110" t="s">
        <v>771</v>
      </c>
      <c r="D12" s="111">
        <v>1000000</v>
      </c>
      <c r="E12" s="112">
        <f>MROUND(F12/350,50)</f>
        <v>2850</v>
      </c>
      <c r="F12" s="111">
        <v>1000000</v>
      </c>
      <c r="G12" s="111">
        <f t="shared" si="1"/>
        <v>435000</v>
      </c>
      <c r="H12" s="111"/>
      <c r="I12" s="108"/>
      <c r="J12" s="108"/>
      <c r="K12" s="108" t="s">
        <v>756</v>
      </c>
      <c r="L12" s="108"/>
      <c r="M12" s="108" t="s">
        <v>756</v>
      </c>
      <c r="N12" s="108"/>
      <c r="O12" s="97"/>
      <c r="P12" s="97"/>
    </row>
    <row r="13" spans="1:16" ht="15.75" x14ac:dyDescent="0.25">
      <c r="A13" s="113">
        <v>2026</v>
      </c>
      <c r="B13" s="109" t="s">
        <v>772</v>
      </c>
      <c r="C13" s="110" t="s">
        <v>771</v>
      </c>
      <c r="D13" s="111">
        <v>1100000</v>
      </c>
      <c r="E13" s="112">
        <f>F13/350</f>
        <v>3142.8571428571427</v>
      </c>
      <c r="F13" s="111">
        <v>1100000</v>
      </c>
      <c r="G13" s="111">
        <f t="shared" si="1"/>
        <v>478500</v>
      </c>
      <c r="H13" s="111">
        <v>375000</v>
      </c>
      <c r="I13" s="108" t="s">
        <v>773</v>
      </c>
      <c r="J13" s="108"/>
      <c r="K13" s="108"/>
      <c r="L13" s="108"/>
      <c r="M13" s="108"/>
      <c r="N13" s="108"/>
      <c r="O13" s="97"/>
      <c r="P13" s="97"/>
    </row>
    <row r="14" spans="1:16" ht="15.75" x14ac:dyDescent="0.25">
      <c r="A14" s="103" t="s">
        <v>13</v>
      </c>
      <c r="B14" s="109" t="s">
        <v>454</v>
      </c>
      <c r="C14" s="110" t="s">
        <v>774</v>
      </c>
      <c r="D14" s="111"/>
      <c r="E14" s="112">
        <v>2000</v>
      </c>
      <c r="F14" s="111">
        <f t="shared" si="0"/>
        <v>700000</v>
      </c>
      <c r="G14" s="111">
        <f t="shared" si="1"/>
        <v>304500</v>
      </c>
      <c r="H14" s="111">
        <f>G14</f>
        <v>304500</v>
      </c>
      <c r="I14" s="108" t="s">
        <v>775</v>
      </c>
      <c r="J14" s="108"/>
      <c r="K14" s="108" t="s">
        <v>756</v>
      </c>
      <c r="L14" s="108"/>
      <c r="M14" s="108" t="s">
        <v>756</v>
      </c>
      <c r="N14" s="108"/>
      <c r="O14" s="97"/>
      <c r="P14" s="97"/>
    </row>
    <row r="15" spans="1:16" ht="15.75" x14ac:dyDescent="0.25">
      <c r="A15" s="103"/>
      <c r="B15" s="109" t="s">
        <v>776</v>
      </c>
      <c r="C15" s="110" t="s">
        <v>774</v>
      </c>
      <c r="D15" s="111"/>
      <c r="E15" s="112">
        <v>170</v>
      </c>
      <c r="F15" s="111">
        <f t="shared" si="0"/>
        <v>59500</v>
      </c>
      <c r="G15" s="111">
        <f t="shared" si="1"/>
        <v>25882.5</v>
      </c>
      <c r="H15" s="111"/>
      <c r="I15" s="108" t="s">
        <v>777</v>
      </c>
      <c r="J15" s="108"/>
      <c r="K15" s="108"/>
      <c r="L15" s="108"/>
      <c r="M15" s="108"/>
      <c r="N15" s="108"/>
      <c r="O15" s="97"/>
      <c r="P15" s="97"/>
    </row>
    <row r="16" spans="1:16" ht="15.75" x14ac:dyDescent="0.25">
      <c r="A16" s="114" t="s">
        <v>778</v>
      </c>
      <c r="B16" s="109" t="s">
        <v>454</v>
      </c>
      <c r="C16" s="110" t="s">
        <v>779</v>
      </c>
      <c r="D16" s="111">
        <f>2200000-F16</f>
        <v>1150000</v>
      </c>
      <c r="E16" s="112">
        <v>3000</v>
      </c>
      <c r="F16" s="111">
        <f t="shared" si="0"/>
        <v>1050000</v>
      </c>
      <c r="G16" s="111">
        <f>F16*0.435</f>
        <v>456750</v>
      </c>
      <c r="H16" s="111">
        <f>2400*350</f>
        <v>840000</v>
      </c>
      <c r="I16" s="108" t="s">
        <v>780</v>
      </c>
      <c r="J16" s="108"/>
      <c r="K16" s="108" t="s">
        <v>756</v>
      </c>
      <c r="L16" s="108"/>
      <c r="M16" s="108" t="s">
        <v>756</v>
      </c>
      <c r="N16" s="108"/>
      <c r="O16" s="97" t="s">
        <v>781</v>
      </c>
      <c r="P16" s="97"/>
    </row>
    <row r="17" spans="1:16" ht="15.75" x14ac:dyDescent="0.25">
      <c r="A17" s="103" t="s">
        <v>13</v>
      </c>
      <c r="B17" s="109" t="s">
        <v>407</v>
      </c>
      <c r="C17" s="110" t="s">
        <v>779</v>
      </c>
      <c r="D17" s="111">
        <f>F17</f>
        <v>1225000</v>
      </c>
      <c r="E17" s="112">
        <v>3500</v>
      </c>
      <c r="F17" s="111">
        <f t="shared" si="0"/>
        <v>1225000</v>
      </c>
      <c r="G17" s="111">
        <f t="shared" si="1"/>
        <v>532875</v>
      </c>
      <c r="H17" s="111">
        <f>3000*350</f>
        <v>1050000</v>
      </c>
      <c r="I17" s="108" t="s">
        <v>782</v>
      </c>
      <c r="J17" s="108"/>
      <c r="K17" s="108" t="s">
        <v>756</v>
      </c>
      <c r="L17" s="108"/>
      <c r="M17" s="108" t="s">
        <v>756</v>
      </c>
      <c r="N17" s="108"/>
      <c r="O17" s="97">
        <v>2009</v>
      </c>
      <c r="P17" s="97"/>
    </row>
    <row r="18" spans="1:16" ht="15.75" x14ac:dyDescent="0.25">
      <c r="A18" s="103" t="s">
        <v>13</v>
      </c>
      <c r="B18" s="109" t="s">
        <v>511</v>
      </c>
      <c r="C18" s="110" t="s">
        <v>783</v>
      </c>
      <c r="D18" s="111"/>
      <c r="E18" s="112">
        <v>1000</v>
      </c>
      <c r="F18" s="111">
        <f t="shared" si="0"/>
        <v>350000</v>
      </c>
      <c r="G18" s="111">
        <f t="shared" si="1"/>
        <v>152250</v>
      </c>
      <c r="H18" s="111">
        <f>G18</f>
        <v>152250</v>
      </c>
      <c r="I18" s="108" t="s">
        <v>784</v>
      </c>
      <c r="J18" s="108"/>
      <c r="K18" s="108" t="s">
        <v>756</v>
      </c>
      <c r="L18" s="108"/>
      <c r="M18" s="108" t="s">
        <v>756</v>
      </c>
      <c r="N18" s="108"/>
      <c r="O18" s="97"/>
      <c r="P18" s="97"/>
    </row>
    <row r="19" spans="1:16" ht="15.75" x14ac:dyDescent="0.25">
      <c r="A19" s="113">
        <v>2024</v>
      </c>
      <c r="B19" s="109" t="s">
        <v>511</v>
      </c>
      <c r="C19" s="110" t="s">
        <v>771</v>
      </c>
      <c r="D19" s="111">
        <v>2500750</v>
      </c>
      <c r="E19" s="112">
        <v>7145</v>
      </c>
      <c r="F19" s="111">
        <f t="shared" si="0"/>
        <v>2500750</v>
      </c>
      <c r="G19" s="111">
        <f t="shared" si="1"/>
        <v>1087826.25</v>
      </c>
      <c r="H19" s="111"/>
      <c r="I19" s="108" t="s">
        <v>785</v>
      </c>
      <c r="J19" s="108"/>
      <c r="K19" s="108" t="s">
        <v>756</v>
      </c>
      <c r="L19" s="108"/>
      <c r="M19" s="108" t="s">
        <v>756</v>
      </c>
      <c r="N19" s="108"/>
      <c r="O19" s="97"/>
      <c r="P19" s="97"/>
    </row>
    <row r="20" spans="1:16" ht="16.5" thickBot="1" x14ac:dyDescent="0.3">
      <c r="A20" s="103" t="s">
        <v>13</v>
      </c>
      <c r="B20" s="109" t="s">
        <v>511</v>
      </c>
      <c r="C20" s="110" t="s">
        <v>786</v>
      </c>
      <c r="D20" s="111"/>
      <c r="E20" s="112">
        <v>1800</v>
      </c>
      <c r="F20" s="111">
        <f t="shared" si="0"/>
        <v>630000</v>
      </c>
      <c r="G20" s="111">
        <f t="shared" si="1"/>
        <v>274050</v>
      </c>
      <c r="H20" s="111">
        <f>2900*350</f>
        <v>1015000</v>
      </c>
      <c r="I20" s="108" t="s">
        <v>787</v>
      </c>
      <c r="J20" s="108"/>
      <c r="K20" s="108" t="s">
        <v>756</v>
      </c>
      <c r="L20" s="108" t="s">
        <v>756</v>
      </c>
      <c r="M20" s="108" t="s">
        <v>756</v>
      </c>
      <c r="N20" s="108"/>
      <c r="O20" s="97"/>
      <c r="P20" s="97"/>
    </row>
    <row r="21" spans="1:16" ht="13.5" thickTop="1" x14ac:dyDescent="0.2">
      <c r="A21" s="97"/>
      <c r="B21" s="115"/>
      <c r="C21" s="115"/>
      <c r="D21" s="115"/>
      <c r="E21" s="115"/>
      <c r="F21" s="115"/>
      <c r="G21" s="115"/>
      <c r="H21" s="115"/>
      <c r="I21" s="97" t="s">
        <v>788</v>
      </c>
      <c r="J21" s="97" t="s">
        <v>789</v>
      </c>
      <c r="K21" s="97" t="s">
        <v>790</v>
      </c>
      <c r="L21" s="97"/>
      <c r="M21" s="97"/>
      <c r="N21" s="97"/>
      <c r="O21" s="97"/>
      <c r="P21" s="97"/>
    </row>
    <row r="22" spans="1:16" x14ac:dyDescent="0.2">
      <c r="A22" s="97"/>
      <c r="B22" s="97"/>
      <c r="C22" s="97"/>
      <c r="D22" s="116">
        <f>SUM(E3:E11,E14:E20)</f>
        <v>42515</v>
      </c>
      <c r="E22" s="117">
        <f>SUMIF($A$3:$A$20,"Open",F3:F20)</f>
        <v>11270000</v>
      </c>
      <c r="F22" s="117">
        <f>SUMIF($A$3:$A$20,"Open",G3:G20)</f>
        <v>4902450</v>
      </c>
      <c r="G22" s="117">
        <f>SUMIF($A$3:$A$20,"Open",H3:H20)</f>
        <v>5349793.75</v>
      </c>
      <c r="H22" s="118" t="s">
        <v>791</v>
      </c>
      <c r="I22" s="117">
        <f>SUMIFS(H3:H20,J3:J20,N22,M3:M20,N22)</f>
        <v>0</v>
      </c>
      <c r="J22" s="117">
        <f>I22*2204.622</f>
        <v>0</v>
      </c>
      <c r="K22" s="117">
        <f>J22/1000000</f>
        <v>0</v>
      </c>
      <c r="L22" s="97"/>
      <c r="M22" s="97"/>
      <c r="N22" s="97" t="s">
        <v>756</v>
      </c>
      <c r="O22" s="97"/>
      <c r="P22" s="97"/>
    </row>
    <row r="23" spans="1:16" x14ac:dyDescent="0.2">
      <c r="A23" s="97"/>
      <c r="B23" s="97" t="s">
        <v>509</v>
      </c>
      <c r="C23" s="97"/>
      <c r="D23" s="97"/>
      <c r="E23" s="117">
        <f>SUMIF($A$3:$A$20,"2024",F3:F20)</f>
        <v>4550750</v>
      </c>
      <c r="F23" s="117">
        <f>SUMIF($A$3:$A$20,"2024",G3:G20)</f>
        <v>1979576.25</v>
      </c>
      <c r="G23" s="117">
        <f>SUMIF($A$3:$A$20,"2024",H3:H20)</f>
        <v>840000</v>
      </c>
      <c r="H23" s="119" t="s">
        <v>792</v>
      </c>
      <c r="I23" s="117">
        <f>SUMIFS(H3:H20,J3:J20,N22,L3:L20,N22)</f>
        <v>0</v>
      </c>
      <c r="J23" s="117">
        <f t="shared" ref="J23:J27" si="2">I23*2204.622</f>
        <v>0</v>
      </c>
      <c r="K23" s="117">
        <f t="shared" ref="K23:K27" si="3">J23/1000000</f>
        <v>0</v>
      </c>
      <c r="L23" s="97"/>
      <c r="M23" s="97"/>
      <c r="N23" s="97"/>
      <c r="O23" s="97"/>
      <c r="P23" s="97"/>
    </row>
    <row r="24" spans="1:16" x14ac:dyDescent="0.2">
      <c r="A24" s="97"/>
      <c r="B24" s="97" t="s">
        <v>454</v>
      </c>
      <c r="C24" s="97" t="s">
        <v>774</v>
      </c>
      <c r="D24" s="97"/>
      <c r="E24" s="97">
        <v>450000</v>
      </c>
      <c r="F24" s="97"/>
      <c r="G24" s="97">
        <v>2018</v>
      </c>
      <c r="H24" s="119" t="s">
        <v>793</v>
      </c>
      <c r="I24" s="117">
        <f>SUMIFS(H3:H20,J3:J20,N22,N3:N20,N22)</f>
        <v>0</v>
      </c>
      <c r="J24" s="117">
        <f t="shared" si="2"/>
        <v>0</v>
      </c>
      <c r="K24" s="117">
        <f t="shared" si="3"/>
        <v>0</v>
      </c>
      <c r="L24" s="97"/>
      <c r="M24" s="97"/>
      <c r="N24" s="97"/>
      <c r="O24" s="97"/>
      <c r="P24" s="97"/>
    </row>
    <row r="25" spans="1:16" x14ac:dyDescent="0.2">
      <c r="A25" s="97"/>
      <c r="B25" s="97" t="s">
        <v>454</v>
      </c>
      <c r="C25" s="97" t="s">
        <v>779</v>
      </c>
      <c r="D25" s="97"/>
      <c r="E25" s="97">
        <v>1050000</v>
      </c>
      <c r="F25" s="97"/>
      <c r="G25" s="97">
        <v>2024</v>
      </c>
      <c r="H25" s="119" t="s">
        <v>794</v>
      </c>
      <c r="I25" s="117">
        <f>SUMIFS(H3:H20,K3:K20,N22,M3:M20,N22)</f>
        <v>6189793.75</v>
      </c>
      <c r="J25" s="117">
        <f t="shared" si="2"/>
        <v>13646155476.7125</v>
      </c>
      <c r="K25" s="117">
        <f t="shared" si="3"/>
        <v>13646.1554767125</v>
      </c>
      <c r="L25" s="97"/>
      <c r="M25" s="97"/>
      <c r="N25" s="97"/>
      <c r="O25" s="97"/>
      <c r="P25" s="97"/>
    </row>
    <row r="26" spans="1:16" x14ac:dyDescent="0.2">
      <c r="A26" s="97"/>
      <c r="B26" s="97" t="s">
        <v>95</v>
      </c>
      <c r="C26" s="97" t="s">
        <v>771</v>
      </c>
      <c r="D26" s="97"/>
      <c r="E26" s="97">
        <v>1000000</v>
      </c>
      <c r="F26" s="97"/>
      <c r="G26" s="97" t="s">
        <v>795</v>
      </c>
      <c r="H26" s="119" t="s">
        <v>796</v>
      </c>
      <c r="I26" s="117">
        <f>SUMIFS(H3:H20,K3:K20,N22,L3:L20,N22)</f>
        <v>2019850</v>
      </c>
      <c r="J26" s="117">
        <f t="shared" si="2"/>
        <v>4453005746.6999998</v>
      </c>
      <c r="K26" s="117">
        <f t="shared" si="3"/>
        <v>4453.0057466999997</v>
      </c>
      <c r="L26" s="97"/>
      <c r="M26" s="97"/>
      <c r="N26" s="97"/>
      <c r="O26" s="97"/>
      <c r="P26" s="97"/>
    </row>
    <row r="27" spans="1:16" x14ac:dyDescent="0.2">
      <c r="A27" s="97"/>
      <c r="B27" s="97" t="s">
        <v>95</v>
      </c>
      <c r="C27" s="97" t="s">
        <v>767</v>
      </c>
      <c r="D27" s="97"/>
      <c r="E27" s="97">
        <f>F10*0.2</f>
        <v>175000</v>
      </c>
      <c r="F27" s="97"/>
      <c r="G27" s="97" t="s">
        <v>797</v>
      </c>
      <c r="H27" s="119" t="s">
        <v>798</v>
      </c>
      <c r="I27" s="117">
        <f>SUMIFS(H3:H20,K3:K20,N22,N3:N20,N22)</f>
        <v>0</v>
      </c>
      <c r="J27" s="117">
        <f t="shared" si="2"/>
        <v>0</v>
      </c>
      <c r="K27" s="117">
        <f t="shared" si="3"/>
        <v>0</v>
      </c>
      <c r="L27" s="97"/>
      <c r="M27" s="97"/>
      <c r="N27" s="97"/>
      <c r="O27" s="97"/>
      <c r="P27" s="97"/>
    </row>
    <row r="28" spans="1:16" x14ac:dyDescent="0.2">
      <c r="A28" s="97"/>
      <c r="B28" s="97" t="s">
        <v>95</v>
      </c>
      <c r="C28" s="97" t="s">
        <v>769</v>
      </c>
      <c r="D28" s="97"/>
      <c r="E28" s="97">
        <f>F11*0.2</f>
        <v>297500</v>
      </c>
      <c r="F28" s="97"/>
      <c r="G28" s="97" t="s">
        <v>797</v>
      </c>
      <c r="H28" s="97"/>
      <c r="I28" s="97"/>
      <c r="J28" s="97"/>
      <c r="K28" s="97"/>
      <c r="L28" s="97"/>
      <c r="M28" s="97"/>
      <c r="N28" s="97"/>
      <c r="O28" s="97"/>
      <c r="P28" s="97"/>
    </row>
    <row r="29" spans="1:16" x14ac:dyDescent="0.2">
      <c r="A29" s="97"/>
      <c r="B29" s="97" t="s">
        <v>799</v>
      </c>
      <c r="C29" s="97" t="s">
        <v>800</v>
      </c>
      <c r="D29" s="97"/>
      <c r="E29" s="97">
        <v>1100000</v>
      </c>
      <c r="F29" s="97">
        <v>500000</v>
      </c>
      <c r="G29" s="97" t="s">
        <v>801</v>
      </c>
      <c r="H29" s="97"/>
      <c r="I29" s="97"/>
      <c r="J29" s="97"/>
      <c r="K29" s="97"/>
      <c r="L29" s="97"/>
      <c r="M29" s="97"/>
      <c r="N29" s="97"/>
      <c r="O29" s="97"/>
      <c r="P29" s="97"/>
    </row>
    <row r="30" spans="1:16" x14ac:dyDescent="0.2">
      <c r="A30" s="97"/>
      <c r="B30" s="97" t="s">
        <v>511</v>
      </c>
      <c r="C30" s="97" t="s">
        <v>771</v>
      </c>
      <c r="D30" s="97"/>
      <c r="E30" s="97">
        <v>2500000</v>
      </c>
      <c r="F30" s="97"/>
      <c r="G30" s="97" t="s">
        <v>802</v>
      </c>
      <c r="H30" s="97"/>
      <c r="I30" s="97"/>
      <c r="J30" s="97"/>
      <c r="K30" s="97"/>
      <c r="L30" s="97"/>
      <c r="M30" s="97"/>
      <c r="N30" s="97"/>
      <c r="O30" s="97"/>
      <c r="P30" s="97"/>
    </row>
    <row r="31" spans="1:16" x14ac:dyDescent="0.2">
      <c r="A31" s="97"/>
      <c r="B31" s="97" t="s">
        <v>803</v>
      </c>
      <c r="C31" s="97" t="s">
        <v>771</v>
      </c>
      <c r="D31" s="97"/>
      <c r="E31" s="97">
        <v>1100000</v>
      </c>
      <c r="F31" s="97"/>
      <c r="G31" s="97">
        <v>2025</v>
      </c>
      <c r="H31" s="97" t="s">
        <v>804</v>
      </c>
      <c r="I31" s="97"/>
      <c r="J31" s="97"/>
      <c r="K31" s="97"/>
      <c r="L31" s="97"/>
      <c r="M31" s="97"/>
      <c r="N31" s="97"/>
      <c r="O31" s="97"/>
      <c r="P31" s="97"/>
    </row>
    <row r="32" spans="1:16" x14ac:dyDescent="0.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</row>
    <row r="33" spans="1:16" x14ac:dyDescent="0.2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</row>
    <row r="34" spans="1:16" x14ac:dyDescent="0.2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</row>
    <row r="35" spans="1:16" x14ac:dyDescent="0.2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</row>
    <row r="36" spans="1:16" x14ac:dyDescent="0.2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</row>
    <row r="37" spans="1:16" x14ac:dyDescent="0.2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</row>
    <row r="38" spans="1:16" x14ac:dyDescent="0.2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</row>
    <row r="39" spans="1:16" x14ac:dyDescent="0.2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</row>
    <row r="40" spans="1:16" x14ac:dyDescent="0.2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</row>
    <row r="41" spans="1:16" x14ac:dyDescent="0.2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</row>
    <row r="42" spans="1:16" ht="25.5" x14ac:dyDescent="0.35">
      <c r="A42" s="97"/>
      <c r="B42" s="98" t="s">
        <v>805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</row>
    <row r="43" spans="1:16" ht="54.75" thickBot="1" x14ac:dyDescent="0.3">
      <c r="A43" s="97"/>
      <c r="B43" s="120" t="s">
        <v>743</v>
      </c>
      <c r="C43" s="120" t="s">
        <v>744</v>
      </c>
      <c r="D43" s="100" t="s">
        <v>745</v>
      </c>
      <c r="E43" s="101" t="s">
        <v>746</v>
      </c>
      <c r="F43" s="100" t="s">
        <v>747</v>
      </c>
      <c r="G43" s="100" t="s">
        <v>748</v>
      </c>
      <c r="H43" s="100" t="s">
        <v>749</v>
      </c>
      <c r="I43" s="97"/>
      <c r="J43" s="97"/>
      <c r="K43" s="97"/>
      <c r="L43" s="97"/>
      <c r="M43" s="97"/>
      <c r="N43" s="97"/>
      <c r="O43" s="97"/>
      <c r="P43" s="97"/>
    </row>
    <row r="44" spans="1:16" ht="15.75" x14ac:dyDescent="0.25">
      <c r="A44" s="97"/>
      <c r="B44" s="104" t="s">
        <v>12</v>
      </c>
      <c r="C44" s="105" t="s">
        <v>806</v>
      </c>
      <c r="D44" s="121"/>
      <c r="E44" s="122">
        <v>1800</v>
      </c>
      <c r="F44" s="121">
        <f t="shared" ref="F44:F50" si="4">E44*350</f>
        <v>630000</v>
      </c>
      <c r="G44" s="121">
        <f t="shared" ref="G44:G50" si="5">F44*0.435</f>
        <v>274050</v>
      </c>
      <c r="H44" s="121"/>
      <c r="I44" s="108" t="s">
        <v>807</v>
      </c>
      <c r="J44" s="108" t="s">
        <v>756</v>
      </c>
      <c r="K44" s="108"/>
      <c r="L44" s="108"/>
      <c r="M44" s="108" t="s">
        <v>756</v>
      </c>
      <c r="N44" s="108"/>
      <c r="O44" s="97"/>
      <c r="P44" s="97"/>
    </row>
    <row r="45" spans="1:16" ht="15.75" x14ac:dyDescent="0.25">
      <c r="A45" s="97"/>
      <c r="B45" s="109" t="s">
        <v>12</v>
      </c>
      <c r="C45" s="110" t="s">
        <v>808</v>
      </c>
      <c r="D45" s="123"/>
      <c r="E45" s="124">
        <v>1800</v>
      </c>
      <c r="F45" s="123">
        <f t="shared" si="4"/>
        <v>630000</v>
      </c>
      <c r="G45" s="123">
        <f t="shared" si="5"/>
        <v>274050</v>
      </c>
      <c r="H45" s="123">
        <f>G45</f>
        <v>274050</v>
      </c>
      <c r="I45" s="108" t="s">
        <v>809</v>
      </c>
      <c r="J45" s="108" t="s">
        <v>756</v>
      </c>
      <c r="K45" s="108"/>
      <c r="L45" s="108" t="s">
        <v>756</v>
      </c>
      <c r="M45" s="108" t="s">
        <v>756</v>
      </c>
      <c r="N45" s="108"/>
      <c r="O45" s="97"/>
      <c r="P45" s="97"/>
    </row>
    <row r="46" spans="1:16" ht="15.75" x14ac:dyDescent="0.25">
      <c r="A46" s="97"/>
      <c r="B46" s="109" t="s">
        <v>12</v>
      </c>
      <c r="C46" s="110" t="s">
        <v>810</v>
      </c>
      <c r="D46" s="123"/>
      <c r="E46" s="124">
        <v>1000</v>
      </c>
      <c r="F46" s="123">
        <f t="shared" si="4"/>
        <v>350000</v>
      </c>
      <c r="G46" s="123">
        <f t="shared" si="5"/>
        <v>152250</v>
      </c>
      <c r="H46" s="123">
        <v>146000</v>
      </c>
      <c r="I46" s="108" t="s">
        <v>811</v>
      </c>
      <c r="J46" s="108" t="s">
        <v>756</v>
      </c>
      <c r="K46" s="108"/>
      <c r="L46" s="108"/>
      <c r="M46" s="108" t="s">
        <v>756</v>
      </c>
      <c r="N46" s="108" t="s">
        <v>756</v>
      </c>
      <c r="O46" s="97"/>
      <c r="P46" s="97"/>
    </row>
    <row r="47" spans="1:16" ht="15.75" x14ac:dyDescent="0.25">
      <c r="A47" s="97"/>
      <c r="B47" s="109" t="s">
        <v>812</v>
      </c>
      <c r="C47" s="110" t="s">
        <v>813</v>
      </c>
      <c r="D47" s="123"/>
      <c r="E47" s="124">
        <v>1000</v>
      </c>
      <c r="F47" s="123">
        <f t="shared" si="4"/>
        <v>350000</v>
      </c>
      <c r="G47" s="123">
        <f t="shared" si="5"/>
        <v>152250</v>
      </c>
      <c r="H47" s="123"/>
      <c r="I47" s="108" t="s">
        <v>814</v>
      </c>
      <c r="J47" s="108" t="s">
        <v>756</v>
      </c>
      <c r="K47" s="108"/>
      <c r="L47" s="108"/>
      <c r="M47" s="108"/>
      <c r="N47" s="108" t="s">
        <v>756</v>
      </c>
      <c r="O47" s="97"/>
      <c r="P47" s="97"/>
    </row>
    <row r="48" spans="1:16" ht="15.75" x14ac:dyDescent="0.25">
      <c r="A48" s="97">
        <v>2013</v>
      </c>
      <c r="B48" s="109" t="s">
        <v>511</v>
      </c>
      <c r="C48" s="110" t="s">
        <v>815</v>
      </c>
      <c r="D48" s="123"/>
      <c r="E48" s="124">
        <v>1000</v>
      </c>
      <c r="F48" s="123">
        <f t="shared" si="4"/>
        <v>350000</v>
      </c>
      <c r="G48" s="123">
        <f t="shared" si="5"/>
        <v>152250</v>
      </c>
      <c r="H48" s="123">
        <f>G48</f>
        <v>152250</v>
      </c>
      <c r="I48" s="108" t="s">
        <v>762</v>
      </c>
      <c r="J48" s="108" t="s">
        <v>756</v>
      </c>
      <c r="K48" s="108"/>
      <c r="L48" s="108"/>
      <c r="M48" s="108" t="s">
        <v>756</v>
      </c>
      <c r="N48" s="108"/>
      <c r="O48" s="97"/>
      <c r="P48" s="97"/>
    </row>
    <row r="49" spans="1:16" ht="15.75" x14ac:dyDescent="0.25">
      <c r="A49" s="97"/>
      <c r="B49" s="109" t="s">
        <v>12</v>
      </c>
      <c r="C49" s="110" t="s">
        <v>816</v>
      </c>
      <c r="D49" s="123"/>
      <c r="E49" s="124">
        <v>1000</v>
      </c>
      <c r="F49" s="123">
        <f t="shared" si="4"/>
        <v>350000</v>
      </c>
      <c r="G49" s="123">
        <f t="shared" si="5"/>
        <v>152250</v>
      </c>
      <c r="H49" s="123">
        <v>146000</v>
      </c>
      <c r="I49" s="108" t="s">
        <v>817</v>
      </c>
      <c r="J49" s="108" t="s">
        <v>756</v>
      </c>
      <c r="K49" s="108"/>
      <c r="L49" s="108"/>
      <c r="M49" s="108" t="s">
        <v>756</v>
      </c>
      <c r="N49" s="108" t="s">
        <v>756</v>
      </c>
      <c r="O49" s="97"/>
      <c r="P49" s="97"/>
    </row>
    <row r="50" spans="1:16" ht="16.5" thickBot="1" x14ac:dyDescent="0.3">
      <c r="A50" s="97">
        <v>2013</v>
      </c>
      <c r="B50" s="109" t="s">
        <v>122</v>
      </c>
      <c r="C50" s="110" t="s">
        <v>818</v>
      </c>
      <c r="D50" s="123"/>
      <c r="E50" s="124">
        <v>1400</v>
      </c>
      <c r="F50" s="123">
        <f t="shared" si="4"/>
        <v>490000</v>
      </c>
      <c r="G50" s="123">
        <f t="shared" si="5"/>
        <v>213150</v>
      </c>
      <c r="H50" s="123">
        <f>G50*1.25</f>
        <v>266437.5</v>
      </c>
      <c r="I50" s="108" t="s">
        <v>819</v>
      </c>
      <c r="J50" s="108" t="s">
        <v>756</v>
      </c>
      <c r="K50" s="108"/>
      <c r="L50" s="108"/>
      <c r="M50" s="108" t="s">
        <v>756</v>
      </c>
      <c r="N50" s="108"/>
      <c r="O50" s="97"/>
      <c r="P50" s="97"/>
    </row>
    <row r="51" spans="1:16" ht="13.5" thickTop="1" x14ac:dyDescent="0.2">
      <c r="A51" s="97"/>
      <c r="B51" s="115"/>
      <c r="C51" s="115"/>
      <c r="D51" s="115"/>
      <c r="E51" s="115"/>
      <c r="F51" s="115"/>
      <c r="G51" s="115"/>
      <c r="H51" s="115"/>
      <c r="I51" s="97"/>
      <c r="J51" s="97"/>
      <c r="K51" s="97"/>
      <c r="L51" s="97"/>
      <c r="M51" s="97"/>
      <c r="N51" s="97"/>
      <c r="O51" s="97"/>
      <c r="P51" s="97"/>
    </row>
    <row r="52" spans="1:16" x14ac:dyDescent="0.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</row>
    <row r="53" spans="1:16" x14ac:dyDescent="0.2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</row>
    <row r="54" spans="1:16" x14ac:dyDescent="0.2">
      <c r="A54" s="97"/>
      <c r="B54" s="97"/>
      <c r="C54" s="97"/>
      <c r="D54" s="97"/>
      <c r="E54" s="97"/>
      <c r="F54" s="97">
        <f>SUM(F44:F50)*2204.622</f>
        <v>6944559299.999999</v>
      </c>
      <c r="G54" s="97"/>
      <c r="H54" s="97"/>
      <c r="I54" s="97"/>
      <c r="J54" s="97"/>
      <c r="K54" s="97"/>
      <c r="L54" s="97"/>
      <c r="M54" s="97"/>
      <c r="N54" s="97"/>
      <c r="O54" s="97"/>
      <c r="P54" s="97"/>
    </row>
    <row r="55" spans="1:16" x14ac:dyDescent="0.2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</row>
    <row r="56" spans="1:16" x14ac:dyDescent="0.2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spans="1:16" ht="20.25" x14ac:dyDescent="0.3">
      <c r="A57" s="97"/>
      <c r="B57" s="125" t="s">
        <v>820</v>
      </c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</row>
    <row r="58" spans="1:16" x14ac:dyDescent="0.2">
      <c r="A58" s="103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</row>
    <row r="59" spans="1:16" ht="15.75" x14ac:dyDescent="0.25">
      <c r="A59" s="97"/>
      <c r="B59" s="109" t="s">
        <v>12</v>
      </c>
      <c r="C59" s="110" t="s">
        <v>816</v>
      </c>
      <c r="D59" s="124">
        <v>1000</v>
      </c>
      <c r="E59" s="123">
        <f>D59*350</f>
        <v>350000</v>
      </c>
      <c r="F59" s="123">
        <f>E59*0.435</f>
        <v>152250</v>
      </c>
      <c r="G59" s="123">
        <v>146000</v>
      </c>
      <c r="H59" s="108" t="s">
        <v>817</v>
      </c>
      <c r="I59" s="108" t="s">
        <v>756</v>
      </c>
      <c r="J59" s="108"/>
      <c r="K59" s="108"/>
      <c r="L59" s="108" t="s">
        <v>756</v>
      </c>
      <c r="M59" s="108" t="s">
        <v>756</v>
      </c>
      <c r="N59" s="97"/>
      <c r="O59" s="97"/>
      <c r="P59" s="97"/>
    </row>
    <row r="60" spans="1:16" ht="16.5" thickBot="1" x14ac:dyDescent="0.3">
      <c r="A60" s="97"/>
      <c r="B60" s="109" t="s">
        <v>122</v>
      </c>
      <c r="C60" s="110" t="s">
        <v>818</v>
      </c>
      <c r="D60" s="124">
        <v>1400</v>
      </c>
      <c r="E60" s="123">
        <f t="shared" ref="E60" si="6">D60*350</f>
        <v>490000</v>
      </c>
      <c r="F60" s="126">
        <f t="shared" ref="F60" si="7">E60*0.435</f>
        <v>213150</v>
      </c>
      <c r="G60" s="123">
        <f>F60*1.25</f>
        <v>266437.5</v>
      </c>
      <c r="H60" s="108" t="s">
        <v>819</v>
      </c>
      <c r="I60" s="108" t="s">
        <v>756</v>
      </c>
      <c r="J60" s="108"/>
      <c r="K60" s="108"/>
      <c r="L60" s="108" t="s">
        <v>756</v>
      </c>
      <c r="M60" s="108"/>
      <c r="N60" s="97"/>
      <c r="O60" s="97"/>
      <c r="P60" s="97"/>
    </row>
    <row r="61" spans="1:16" ht="13.5" thickTop="1" x14ac:dyDescent="0.2">
      <c r="A61" s="97"/>
      <c r="B61" s="97"/>
      <c r="C61" s="97"/>
      <c r="D61" s="97"/>
      <c r="E61" s="97"/>
      <c r="F61" s="97"/>
      <c r="G61" s="116"/>
      <c r="H61" s="97"/>
      <c r="I61" s="97"/>
      <c r="J61" s="97"/>
      <c r="K61" s="97"/>
      <c r="L61" s="97"/>
      <c r="M61" s="97"/>
      <c r="N61" s="97"/>
      <c r="O61" s="97"/>
      <c r="P61" s="97"/>
    </row>
    <row r="62" spans="1:16" x14ac:dyDescent="0.2">
      <c r="A62" s="97"/>
      <c r="B62" s="97" t="s">
        <v>75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</row>
    <row r="63" spans="1:16" x14ac:dyDescent="0.2">
      <c r="A63" s="97"/>
      <c r="B63" s="97" t="s">
        <v>821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DFF3-DBD2-4A38-B95A-BCF3AAF57A6D}">
  <dimension ref="A1:R94"/>
  <sheetViews>
    <sheetView topLeftCell="A9" workbookViewId="0">
      <selection activeCell="I67" sqref="I67"/>
    </sheetView>
  </sheetViews>
  <sheetFormatPr defaultColWidth="11" defaultRowHeight="15.75" x14ac:dyDescent="0.25"/>
  <cols>
    <col min="1" max="1" width="19.875" customWidth="1"/>
    <col min="2" max="2" width="11.125" bestFit="1" customWidth="1"/>
    <col min="3" max="3" width="13" bestFit="1" customWidth="1"/>
    <col min="4" max="4" width="13.375" bestFit="1" customWidth="1"/>
    <col min="5" max="5" width="10.5" bestFit="1" customWidth="1"/>
    <col min="6" max="6" width="14" bestFit="1" customWidth="1"/>
    <col min="7" max="7" width="13.375" bestFit="1" customWidth="1"/>
    <col min="10" max="10" width="13.625" customWidth="1"/>
    <col min="12" max="12" width="13.375" bestFit="1" customWidth="1"/>
    <col min="13" max="13" width="15.375" bestFit="1" customWidth="1"/>
    <col min="15" max="15" width="14" bestFit="1" customWidth="1"/>
    <col min="16" max="16" width="15" bestFit="1" customWidth="1"/>
  </cols>
  <sheetData>
    <row r="1" spans="1:18" ht="26.25" x14ac:dyDescent="0.4">
      <c r="A1" s="127" t="s">
        <v>822</v>
      </c>
      <c r="B1" s="128"/>
      <c r="C1" s="128"/>
      <c r="D1" s="128"/>
      <c r="E1" s="128"/>
      <c r="F1" s="128"/>
      <c r="G1" s="128"/>
      <c r="H1" s="128"/>
      <c r="I1" s="128"/>
      <c r="J1" s="127" t="s">
        <v>823</v>
      </c>
      <c r="K1" s="128"/>
      <c r="L1" s="128"/>
      <c r="M1" s="128"/>
      <c r="N1" s="128"/>
      <c r="O1" s="128"/>
      <c r="P1" s="128"/>
      <c r="Q1" s="128"/>
      <c r="R1" s="128"/>
    </row>
    <row r="2" spans="1:18" x14ac:dyDescent="0.25">
      <c r="A2" s="129" t="s">
        <v>824</v>
      </c>
      <c r="B2" s="128"/>
      <c r="C2" s="128"/>
      <c r="D2" s="128"/>
      <c r="E2" s="128"/>
      <c r="F2" s="128"/>
      <c r="G2" s="128"/>
      <c r="H2" s="128"/>
      <c r="I2" s="128"/>
      <c r="J2" s="129" t="s">
        <v>824</v>
      </c>
      <c r="K2" s="128"/>
      <c r="L2" s="128"/>
      <c r="M2" s="128"/>
      <c r="N2" s="128"/>
      <c r="O2" s="128"/>
      <c r="P2" s="128"/>
      <c r="Q2" s="128"/>
      <c r="R2" s="128"/>
    </row>
    <row r="3" spans="1:18" ht="18.75" thickBot="1" x14ac:dyDescent="0.3">
      <c r="A3" s="128"/>
      <c r="B3" s="130"/>
      <c r="C3" s="131" t="s">
        <v>825</v>
      </c>
      <c r="D3" s="130"/>
      <c r="E3" s="130"/>
      <c r="F3" s="131" t="s">
        <v>826</v>
      </c>
      <c r="G3" s="130"/>
      <c r="H3" s="128"/>
      <c r="I3" s="128"/>
      <c r="K3" s="130"/>
      <c r="L3" s="131" t="s">
        <v>825</v>
      </c>
      <c r="M3" s="130"/>
      <c r="N3" s="130"/>
      <c r="O3" s="131" t="s">
        <v>826</v>
      </c>
      <c r="P3" s="130"/>
      <c r="Q3" s="128"/>
      <c r="R3" s="128"/>
    </row>
    <row r="4" spans="1:18" x14ac:dyDescent="0.25">
      <c r="A4" s="129" t="s">
        <v>827</v>
      </c>
      <c r="B4" s="129" t="s">
        <v>828</v>
      </c>
      <c r="C4" s="129" t="s">
        <v>829</v>
      </c>
      <c r="D4" s="132" t="s">
        <v>830</v>
      </c>
      <c r="E4" s="129" t="s">
        <v>828</v>
      </c>
      <c r="F4" s="129" t="s">
        <v>829</v>
      </c>
      <c r="G4" s="133" t="s">
        <v>830</v>
      </c>
      <c r="H4" s="128"/>
      <c r="I4" s="128"/>
      <c r="J4" s="129" t="s">
        <v>827</v>
      </c>
      <c r="K4" s="129" t="s">
        <v>828</v>
      </c>
      <c r="L4" s="129" t="s">
        <v>829</v>
      </c>
      <c r="M4" s="134" t="s">
        <v>830</v>
      </c>
      <c r="N4" s="129" t="s">
        <v>828</v>
      </c>
      <c r="O4" s="129" t="s">
        <v>829</v>
      </c>
      <c r="P4" s="129" t="s">
        <v>830</v>
      </c>
      <c r="Q4" s="128"/>
      <c r="R4" s="128"/>
    </row>
    <row r="5" spans="1:18" x14ac:dyDescent="0.25">
      <c r="A5" s="128"/>
      <c r="B5" s="133"/>
      <c r="C5" s="133"/>
      <c r="D5" s="135"/>
      <c r="E5" s="133"/>
      <c r="F5" s="133"/>
      <c r="G5" s="133"/>
      <c r="H5" s="128"/>
      <c r="I5" s="128"/>
      <c r="J5" s="133"/>
      <c r="K5" s="133"/>
      <c r="L5" s="133"/>
      <c r="M5" s="135"/>
      <c r="N5" s="133"/>
      <c r="O5" s="133"/>
      <c r="P5" s="133"/>
      <c r="Q5" s="128"/>
      <c r="R5" s="128"/>
    </row>
    <row r="6" spans="1:18" ht="16.5" x14ac:dyDescent="0.3">
      <c r="A6" s="136" t="s">
        <v>831</v>
      </c>
      <c r="B6" s="137">
        <v>2195573</v>
      </c>
      <c r="C6" s="137">
        <v>912591</v>
      </c>
      <c r="D6" s="138">
        <v>1340085</v>
      </c>
      <c r="E6" s="137">
        <v>1054340</v>
      </c>
      <c r="F6" s="137">
        <v>186573</v>
      </c>
      <c r="G6" s="137">
        <v>809127</v>
      </c>
      <c r="H6" s="128"/>
      <c r="I6" s="128"/>
      <c r="J6" s="139">
        <v>1992</v>
      </c>
      <c r="K6" s="137">
        <v>1872781</v>
      </c>
      <c r="L6" s="137">
        <v>768257</v>
      </c>
      <c r="M6" s="138">
        <v>1131561</v>
      </c>
      <c r="N6" s="137">
        <v>1021679</v>
      </c>
      <c r="O6" s="137">
        <v>182870</v>
      </c>
      <c r="P6" s="137">
        <v>781840</v>
      </c>
      <c r="Q6" s="128"/>
      <c r="R6" s="128"/>
    </row>
    <row r="7" spans="1:18" ht="16.5" x14ac:dyDescent="0.3">
      <c r="A7" s="136" t="s">
        <v>832</v>
      </c>
      <c r="B7" s="137">
        <v>2512935</v>
      </c>
      <c r="C7" s="137">
        <v>1062032</v>
      </c>
      <c r="D7" s="138">
        <v>1564655</v>
      </c>
      <c r="E7" s="137">
        <v>1097649</v>
      </c>
      <c r="F7" s="137">
        <v>187851</v>
      </c>
      <c r="G7" s="137">
        <v>856066</v>
      </c>
      <c r="H7" s="128"/>
      <c r="I7" s="128"/>
      <c r="J7" s="139">
        <v>1993</v>
      </c>
      <c r="K7" s="137">
        <v>2040795</v>
      </c>
      <c r="L7" s="137">
        <v>846586</v>
      </c>
      <c r="M7" s="138">
        <v>1249269</v>
      </c>
      <c r="N7" s="137">
        <v>1056147</v>
      </c>
      <c r="O7" s="137">
        <v>177526</v>
      </c>
      <c r="P7" s="137">
        <v>813115</v>
      </c>
      <c r="Q7" s="128"/>
      <c r="R7" s="128"/>
    </row>
    <row r="8" spans="1:18" ht="16.5" x14ac:dyDescent="0.3">
      <c r="A8" s="136" t="s">
        <v>833</v>
      </c>
      <c r="B8" s="137">
        <v>2752928</v>
      </c>
      <c r="C8" s="137">
        <v>1152816</v>
      </c>
      <c r="D8" s="138">
        <v>1723955</v>
      </c>
      <c r="E8" s="137">
        <v>1269263</v>
      </c>
      <c r="F8" s="137">
        <v>228067</v>
      </c>
      <c r="G8" s="137">
        <v>979775</v>
      </c>
      <c r="H8" s="128"/>
      <c r="I8" s="128"/>
      <c r="J8" s="139">
        <v>1994</v>
      </c>
      <c r="K8" s="137">
        <v>2328160</v>
      </c>
      <c r="L8" s="137">
        <v>974425</v>
      </c>
      <c r="M8" s="138">
        <v>1430680</v>
      </c>
      <c r="N8" s="137">
        <v>1054461</v>
      </c>
      <c r="O8" s="137">
        <v>186820</v>
      </c>
      <c r="P8" s="137">
        <v>813734</v>
      </c>
      <c r="Q8" s="128"/>
      <c r="R8" s="128"/>
    </row>
    <row r="9" spans="1:18" ht="16.5" x14ac:dyDescent="0.3">
      <c r="A9" s="136" t="s">
        <v>834</v>
      </c>
      <c r="B9" s="137">
        <v>2711883</v>
      </c>
      <c r="C9" s="137">
        <v>1137062</v>
      </c>
      <c r="D9" s="138">
        <v>1649362</v>
      </c>
      <c r="E9" s="137">
        <v>1462878</v>
      </c>
      <c r="F9" s="137">
        <v>257627</v>
      </c>
      <c r="G9" s="137">
        <v>1120181</v>
      </c>
      <c r="H9" s="128"/>
      <c r="I9" s="128"/>
      <c r="J9" s="139">
        <v>1995</v>
      </c>
      <c r="K9" s="137">
        <v>2546921</v>
      </c>
      <c r="L9" s="137">
        <v>1072382</v>
      </c>
      <c r="M9" s="138">
        <v>1596033</v>
      </c>
      <c r="N9" s="137">
        <v>1168883</v>
      </c>
      <c r="O9" s="137">
        <v>202270</v>
      </c>
      <c r="P9" s="137">
        <v>907720</v>
      </c>
      <c r="Q9" s="128"/>
      <c r="R9" s="128"/>
    </row>
    <row r="10" spans="1:18" ht="16.5" x14ac:dyDescent="0.3">
      <c r="A10" s="136" t="s">
        <v>835</v>
      </c>
      <c r="B10" s="137">
        <v>3238819</v>
      </c>
      <c r="C10" s="137">
        <v>1363568</v>
      </c>
      <c r="D10" s="138">
        <v>2004053</v>
      </c>
      <c r="E10" s="137">
        <v>1550044</v>
      </c>
      <c r="F10" s="137">
        <v>263925</v>
      </c>
      <c r="G10" s="137">
        <v>1194295</v>
      </c>
      <c r="H10" s="128"/>
      <c r="I10" s="128"/>
      <c r="J10" s="139">
        <v>1996</v>
      </c>
      <c r="K10" s="137">
        <v>2850853</v>
      </c>
      <c r="L10" s="137">
        <v>1195047</v>
      </c>
      <c r="M10" s="138">
        <v>1767539</v>
      </c>
      <c r="N10" s="137">
        <v>1294924</v>
      </c>
      <c r="O10" s="137">
        <v>232506</v>
      </c>
      <c r="P10" s="137">
        <v>1000963</v>
      </c>
      <c r="Q10" s="128"/>
      <c r="R10" s="128"/>
    </row>
    <row r="11" spans="1:18" ht="16.5" x14ac:dyDescent="0.3">
      <c r="A11" s="136" t="s">
        <v>836</v>
      </c>
      <c r="B11" s="137">
        <v>3062475</v>
      </c>
      <c r="C11" s="137">
        <v>1283086</v>
      </c>
      <c r="D11" s="138">
        <v>1940148</v>
      </c>
      <c r="E11" s="137">
        <v>1516342</v>
      </c>
      <c r="F11" s="137">
        <v>276800</v>
      </c>
      <c r="G11" s="137">
        <v>1170993</v>
      </c>
      <c r="H11" s="128"/>
      <c r="I11" s="128"/>
      <c r="J11" s="139">
        <v>1997</v>
      </c>
      <c r="K11" s="137">
        <v>2847792</v>
      </c>
      <c r="L11" s="137">
        <v>1194115</v>
      </c>
      <c r="M11" s="138">
        <v>1739499</v>
      </c>
      <c r="N11" s="137">
        <v>1538571</v>
      </c>
      <c r="O11" s="137">
        <v>267469</v>
      </c>
      <c r="P11" s="137">
        <v>1176232</v>
      </c>
      <c r="Q11" s="128"/>
      <c r="R11" s="128"/>
    </row>
    <row r="12" spans="1:18" ht="16.5" x14ac:dyDescent="0.3">
      <c r="A12" s="136" t="s">
        <v>837</v>
      </c>
      <c r="B12" s="137">
        <v>2983381</v>
      </c>
      <c r="C12" s="137">
        <v>1242939</v>
      </c>
      <c r="D12" s="138">
        <v>1858409</v>
      </c>
      <c r="E12" s="137">
        <v>1714337</v>
      </c>
      <c r="F12" s="137">
        <v>315910</v>
      </c>
      <c r="G12" s="137">
        <v>1328440</v>
      </c>
      <c r="H12" s="128"/>
      <c r="I12" s="128"/>
      <c r="J12" s="139">
        <v>1998</v>
      </c>
      <c r="K12" s="137">
        <v>3380731</v>
      </c>
      <c r="L12" s="137">
        <v>1420561</v>
      </c>
      <c r="M12" s="138">
        <v>2109436</v>
      </c>
      <c r="N12" s="137">
        <v>1526040</v>
      </c>
      <c r="O12" s="137">
        <v>263810</v>
      </c>
      <c r="P12" s="137">
        <v>1180045</v>
      </c>
      <c r="Q12" s="128"/>
      <c r="R12" s="128"/>
    </row>
    <row r="13" spans="1:18" ht="16.5" x14ac:dyDescent="0.3">
      <c r="A13" s="136" t="s">
        <v>838</v>
      </c>
      <c r="B13" s="137">
        <v>3013092</v>
      </c>
      <c r="C13" s="137">
        <v>1265731</v>
      </c>
      <c r="D13" s="138">
        <v>1869965</v>
      </c>
      <c r="E13" s="137">
        <v>1648261</v>
      </c>
      <c r="F13" s="137">
        <v>289277</v>
      </c>
      <c r="G13" s="137">
        <v>1273564</v>
      </c>
      <c r="H13" s="128"/>
      <c r="I13" s="128"/>
      <c r="J13" s="139">
        <v>1999</v>
      </c>
      <c r="K13" s="137">
        <v>2866802</v>
      </c>
      <c r="L13" s="137">
        <v>1201493</v>
      </c>
      <c r="M13" s="138">
        <v>1810424</v>
      </c>
      <c r="N13" s="137">
        <v>1682959</v>
      </c>
      <c r="O13" s="137">
        <v>311052</v>
      </c>
      <c r="P13" s="137">
        <v>1300105</v>
      </c>
      <c r="Q13" s="128"/>
      <c r="R13" s="128"/>
    </row>
    <row r="14" spans="1:18" ht="16.5" x14ac:dyDescent="0.3">
      <c r="A14" s="136" t="s">
        <v>839</v>
      </c>
      <c r="B14" s="137">
        <v>2293163</v>
      </c>
      <c r="C14" s="137">
        <v>971016</v>
      </c>
      <c r="D14" s="138">
        <v>1427287</v>
      </c>
      <c r="E14" s="137">
        <v>1663888</v>
      </c>
      <c r="F14" s="137">
        <v>299685</v>
      </c>
      <c r="G14" s="137">
        <v>1282873</v>
      </c>
      <c r="H14" s="128"/>
      <c r="I14" s="128"/>
      <c r="J14" s="139">
        <v>2000</v>
      </c>
      <c r="K14" s="137">
        <v>3109991</v>
      </c>
      <c r="L14" s="137">
        <v>1300417</v>
      </c>
      <c r="M14" s="138">
        <v>1929739</v>
      </c>
      <c r="N14" s="137">
        <v>1624080</v>
      </c>
      <c r="O14" s="137">
        <v>294274</v>
      </c>
      <c r="P14" s="137">
        <v>1257511</v>
      </c>
      <c r="Q14" s="128"/>
      <c r="R14" s="128"/>
    </row>
    <row r="15" spans="1:18" ht="16.5" x14ac:dyDescent="0.3">
      <c r="A15" s="136" t="s">
        <v>840</v>
      </c>
      <c r="B15" s="137">
        <v>2224913</v>
      </c>
      <c r="C15" s="137">
        <v>925892</v>
      </c>
      <c r="D15" s="138">
        <v>1389744</v>
      </c>
      <c r="E15" s="137">
        <v>1763231</v>
      </c>
      <c r="F15" s="137">
        <v>323849</v>
      </c>
      <c r="G15" s="137">
        <v>1369935</v>
      </c>
      <c r="H15" s="128"/>
      <c r="I15" s="128"/>
      <c r="J15" s="139">
        <v>2001</v>
      </c>
      <c r="K15" s="137">
        <v>2700083</v>
      </c>
      <c r="L15" s="137">
        <v>1139366</v>
      </c>
      <c r="M15" s="138">
        <v>1679032</v>
      </c>
      <c r="N15" s="137">
        <v>1697920</v>
      </c>
      <c r="O15" s="137">
        <v>299388</v>
      </c>
      <c r="P15" s="137">
        <v>1308832</v>
      </c>
      <c r="Q15" s="128"/>
      <c r="R15" s="128"/>
    </row>
    <row r="16" spans="1:18" ht="16.5" x14ac:dyDescent="0.3">
      <c r="A16" s="136" t="s">
        <v>841</v>
      </c>
      <c r="B16" s="137">
        <v>3389554</v>
      </c>
      <c r="C16" s="137">
        <v>1395242</v>
      </c>
      <c r="D16" s="138">
        <v>2120478</v>
      </c>
      <c r="E16" s="137">
        <v>1565305</v>
      </c>
      <c r="F16" s="137">
        <v>277872</v>
      </c>
      <c r="G16" s="137">
        <v>1248726</v>
      </c>
      <c r="H16" s="128"/>
      <c r="I16" s="128"/>
      <c r="J16" s="139">
        <v>2002</v>
      </c>
      <c r="K16" s="137">
        <v>2134346</v>
      </c>
      <c r="L16" s="137">
        <v>896775</v>
      </c>
      <c r="M16" s="138">
        <v>1330280</v>
      </c>
      <c r="N16" s="137">
        <v>1721832</v>
      </c>
      <c r="O16" s="137">
        <v>313374</v>
      </c>
      <c r="P16" s="137">
        <v>1329993</v>
      </c>
      <c r="Q16" s="128"/>
      <c r="R16" s="128"/>
    </row>
    <row r="17" spans="1:18" ht="16.5" x14ac:dyDescent="0.3">
      <c r="A17" s="136" t="s">
        <v>842</v>
      </c>
      <c r="B17" s="137">
        <v>3030929</v>
      </c>
      <c r="C17" s="137">
        <v>1246742</v>
      </c>
      <c r="D17" s="138">
        <v>1903816</v>
      </c>
      <c r="E17" s="137">
        <v>1544708</v>
      </c>
      <c r="F17" s="137">
        <v>274854</v>
      </c>
      <c r="G17" s="137">
        <v>1229825</v>
      </c>
      <c r="H17" s="128"/>
      <c r="I17" s="128"/>
      <c r="J17" s="139">
        <v>2003</v>
      </c>
      <c r="K17" s="137">
        <v>2671988</v>
      </c>
      <c r="L17" s="137">
        <v>1103026</v>
      </c>
      <c r="M17" s="138">
        <v>1670137</v>
      </c>
      <c r="N17" s="137">
        <v>1716470</v>
      </c>
      <c r="O17" s="137">
        <v>311682</v>
      </c>
      <c r="P17" s="137">
        <v>1355127</v>
      </c>
      <c r="Q17" s="128"/>
      <c r="R17" s="128"/>
    </row>
    <row r="18" spans="1:18" ht="16.5" x14ac:dyDescent="0.3">
      <c r="A18" s="136" t="s">
        <v>843</v>
      </c>
      <c r="B18" s="137">
        <v>3422621</v>
      </c>
      <c r="C18" s="137">
        <v>1463231</v>
      </c>
      <c r="D18" s="138">
        <v>2025153</v>
      </c>
      <c r="E18" s="137">
        <v>1497344</v>
      </c>
      <c r="F18" s="137">
        <v>281295</v>
      </c>
      <c r="G18" s="137">
        <v>1182141</v>
      </c>
      <c r="H18" s="128"/>
      <c r="I18" s="128"/>
      <c r="J18" s="139">
        <v>2004</v>
      </c>
      <c r="K18" s="137">
        <v>3359831</v>
      </c>
      <c r="L18" s="137">
        <v>1383705</v>
      </c>
      <c r="M18" s="138">
        <v>2097039</v>
      </c>
      <c r="N18" s="137">
        <v>1420614</v>
      </c>
      <c r="O18" s="137">
        <v>252753</v>
      </c>
      <c r="P18" s="137">
        <v>1127794</v>
      </c>
      <c r="Q18" s="128"/>
      <c r="R18" s="128"/>
    </row>
    <row r="19" spans="1:18" ht="16.5" x14ac:dyDescent="0.3">
      <c r="A19" s="136" t="s">
        <v>844</v>
      </c>
      <c r="B19" s="137">
        <v>3578607</v>
      </c>
      <c r="C19" s="137">
        <v>1551245</v>
      </c>
      <c r="D19" s="138">
        <v>2108421</v>
      </c>
      <c r="E19" s="137">
        <v>1524686</v>
      </c>
      <c r="F19" s="137">
        <v>278360</v>
      </c>
      <c r="G19" s="137">
        <v>1199490</v>
      </c>
      <c r="H19" s="128"/>
      <c r="I19" s="128"/>
      <c r="J19" s="139">
        <v>2005</v>
      </c>
      <c r="K19" s="137">
        <v>3088238</v>
      </c>
      <c r="L19" s="137">
        <v>1286575</v>
      </c>
      <c r="M19" s="138">
        <v>1910878</v>
      </c>
      <c r="N19" s="137">
        <v>1652231</v>
      </c>
      <c r="O19" s="137">
        <v>298914</v>
      </c>
      <c r="P19" s="137">
        <v>1312392</v>
      </c>
      <c r="Q19" s="128"/>
      <c r="R19" s="128"/>
    </row>
    <row r="20" spans="1:18" ht="16.5" x14ac:dyDescent="0.3">
      <c r="A20" s="136" t="s">
        <v>845</v>
      </c>
      <c r="B20" s="137">
        <v>4144449</v>
      </c>
      <c r="C20" s="137">
        <v>1738740</v>
      </c>
      <c r="D20" s="138">
        <v>2495032</v>
      </c>
      <c r="E20" s="137">
        <v>1376576</v>
      </c>
      <c r="F20" s="137">
        <v>264541</v>
      </c>
      <c r="G20" s="137">
        <v>1056861</v>
      </c>
      <c r="H20" s="128"/>
      <c r="I20" s="128"/>
      <c r="J20" s="139">
        <v>2006</v>
      </c>
      <c r="K20" s="137">
        <v>3584266</v>
      </c>
      <c r="L20" s="137">
        <v>1546395</v>
      </c>
      <c r="M20" s="138">
        <v>2101067</v>
      </c>
      <c r="N20" s="137">
        <v>1476995</v>
      </c>
      <c r="O20" s="137">
        <v>275424</v>
      </c>
      <c r="P20" s="137">
        <v>1166630</v>
      </c>
      <c r="Q20" s="128"/>
      <c r="R20" s="128"/>
    </row>
    <row r="21" spans="1:18" ht="16.5" x14ac:dyDescent="0.3">
      <c r="A21" s="136" t="s">
        <v>846</v>
      </c>
      <c r="B21" s="137">
        <v>4279886</v>
      </c>
      <c r="C21" s="137">
        <v>1838756</v>
      </c>
      <c r="D21" s="138">
        <v>2487117</v>
      </c>
      <c r="E21" s="137">
        <v>1281775</v>
      </c>
      <c r="F21" s="137">
        <v>238707</v>
      </c>
      <c r="G21" s="137">
        <v>1007092</v>
      </c>
      <c r="H21" s="128"/>
      <c r="I21" s="128"/>
      <c r="J21" s="139">
        <v>2007</v>
      </c>
      <c r="K21" s="137">
        <v>3771720</v>
      </c>
      <c r="L21" s="137">
        <v>1610574</v>
      </c>
      <c r="M21" s="138">
        <v>2239319</v>
      </c>
      <c r="N21" s="137">
        <v>1460801</v>
      </c>
      <c r="O21" s="137">
        <v>271144</v>
      </c>
      <c r="P21" s="137">
        <v>1138391</v>
      </c>
      <c r="Q21" s="128"/>
      <c r="R21" s="128"/>
    </row>
    <row r="22" spans="1:18" ht="16.5" x14ac:dyDescent="0.3">
      <c r="A22" s="136" t="s">
        <v>847</v>
      </c>
      <c r="B22" s="137">
        <v>4787834</v>
      </c>
      <c r="C22" s="137">
        <v>2107242</v>
      </c>
      <c r="D22" s="138">
        <v>2682789</v>
      </c>
      <c r="E22" s="137">
        <v>1290990</v>
      </c>
      <c r="F22" s="137">
        <v>231897</v>
      </c>
      <c r="G22" s="137">
        <v>1018906</v>
      </c>
      <c r="H22" s="128"/>
      <c r="I22" s="128"/>
      <c r="J22" s="139">
        <v>2008</v>
      </c>
      <c r="K22" s="137">
        <v>4217716</v>
      </c>
      <c r="L22" s="137">
        <v>1782282</v>
      </c>
      <c r="M22" s="138">
        <v>2516563</v>
      </c>
      <c r="N22" s="137">
        <v>1296412</v>
      </c>
      <c r="O22" s="137">
        <v>247629</v>
      </c>
      <c r="P22" s="137">
        <v>997637</v>
      </c>
      <c r="Q22" s="128"/>
      <c r="R22" s="128"/>
    </row>
    <row r="23" spans="1:18" ht="16.5" x14ac:dyDescent="0.3">
      <c r="A23" s="136" t="s">
        <v>848</v>
      </c>
      <c r="B23" s="137">
        <v>6310403</v>
      </c>
      <c r="C23" s="137">
        <v>2767910</v>
      </c>
      <c r="D23" s="138">
        <v>3568095</v>
      </c>
      <c r="E23" s="137">
        <v>1425423</v>
      </c>
      <c r="F23" s="137">
        <v>264591</v>
      </c>
      <c r="G23" s="137">
        <v>1122174</v>
      </c>
      <c r="H23" s="128"/>
      <c r="I23" s="128"/>
      <c r="J23" s="139">
        <v>2009</v>
      </c>
      <c r="K23" s="137">
        <v>4169183</v>
      </c>
      <c r="L23" s="137">
        <v>1810796</v>
      </c>
      <c r="M23" s="138">
        <v>2386400</v>
      </c>
      <c r="N23" s="137">
        <v>1274897</v>
      </c>
      <c r="O23" s="137">
        <v>234687</v>
      </c>
      <c r="P23" s="137">
        <v>1008350</v>
      </c>
      <c r="Q23" s="128"/>
      <c r="R23" s="128"/>
    </row>
    <row r="24" spans="1:18" ht="16.5" x14ac:dyDescent="0.3">
      <c r="A24" s="136" t="s">
        <v>849</v>
      </c>
      <c r="B24" s="137">
        <v>6999315</v>
      </c>
      <c r="C24" s="137">
        <v>3127131</v>
      </c>
      <c r="D24" s="138">
        <v>3970310</v>
      </c>
      <c r="E24" s="137">
        <v>1411424</v>
      </c>
      <c r="F24" s="137">
        <v>256235</v>
      </c>
      <c r="G24" s="137">
        <v>1108708</v>
      </c>
      <c r="H24" s="128"/>
      <c r="I24" s="128"/>
      <c r="J24" s="139">
        <v>2010</v>
      </c>
      <c r="K24" s="137">
        <v>5683717</v>
      </c>
      <c r="L24" s="137">
        <v>2496408</v>
      </c>
      <c r="M24" s="138">
        <v>3173657</v>
      </c>
      <c r="N24" s="137">
        <v>1371021</v>
      </c>
      <c r="O24" s="137">
        <v>247779</v>
      </c>
      <c r="P24" s="137">
        <v>1079664</v>
      </c>
      <c r="Q24" s="128"/>
      <c r="R24" s="128"/>
    </row>
    <row r="25" spans="1:18" ht="16.5" x14ac:dyDescent="0.3">
      <c r="A25" s="136" t="s">
        <v>850</v>
      </c>
      <c r="B25" s="137">
        <v>6716806</v>
      </c>
      <c r="C25" s="137">
        <v>2916995</v>
      </c>
      <c r="D25" s="138">
        <v>3989865</v>
      </c>
      <c r="E25" s="137">
        <v>1549914</v>
      </c>
      <c r="F25" s="137">
        <v>291214</v>
      </c>
      <c r="G25" s="137">
        <v>1218426</v>
      </c>
      <c r="H25" s="128"/>
      <c r="I25" s="128"/>
      <c r="J25" s="139">
        <v>2011</v>
      </c>
      <c r="K25" s="137">
        <v>6610940</v>
      </c>
      <c r="L25" s="137">
        <v>2921262</v>
      </c>
      <c r="M25" s="138">
        <v>3758023</v>
      </c>
      <c r="N25" s="137">
        <v>1406646</v>
      </c>
      <c r="O25" s="137">
        <v>260624</v>
      </c>
      <c r="P25" s="137">
        <v>1105921</v>
      </c>
      <c r="Q25" s="128"/>
      <c r="R25" s="128"/>
    </row>
    <row r="26" spans="1:18" ht="16.5" x14ac:dyDescent="0.3">
      <c r="A26" s="136" t="s">
        <v>851</v>
      </c>
      <c r="B26" s="137">
        <v>6979415</v>
      </c>
      <c r="C26" s="137">
        <v>3040976</v>
      </c>
      <c r="D26" s="138">
        <v>3966227</v>
      </c>
      <c r="E26" s="137">
        <v>1539169</v>
      </c>
      <c r="F26" s="137">
        <v>278951</v>
      </c>
      <c r="G26" s="137">
        <v>1205579</v>
      </c>
      <c r="H26" s="128"/>
      <c r="I26" s="128"/>
      <c r="J26" s="139">
        <v>2012</v>
      </c>
      <c r="K26" s="137">
        <v>7130568</v>
      </c>
      <c r="L26" s="137">
        <v>3148948</v>
      </c>
      <c r="M26" s="138">
        <v>4115327</v>
      </c>
      <c r="N26" s="137">
        <v>1468641</v>
      </c>
      <c r="O26" s="137">
        <v>268624</v>
      </c>
      <c r="P26" s="137">
        <v>1155293</v>
      </c>
      <c r="Q26" s="128"/>
      <c r="R26" s="128"/>
    </row>
    <row r="27" spans="1:18" ht="16.5" x14ac:dyDescent="0.3">
      <c r="A27" s="136" t="s">
        <v>852</v>
      </c>
      <c r="B27" s="137">
        <v>7360369</v>
      </c>
      <c r="C27" s="137">
        <v>3202947</v>
      </c>
      <c r="D27" s="138">
        <v>4156061</v>
      </c>
      <c r="E27" s="137">
        <v>1703327</v>
      </c>
      <c r="F27" s="137">
        <v>301294</v>
      </c>
      <c r="G27" s="137">
        <v>1327840</v>
      </c>
      <c r="H27" s="128"/>
      <c r="I27" s="128"/>
      <c r="J27" s="139">
        <v>2013</v>
      </c>
      <c r="K27" s="137">
        <v>6497331</v>
      </c>
      <c r="L27" s="137">
        <v>2825806</v>
      </c>
      <c r="M27" s="138">
        <v>3807598</v>
      </c>
      <c r="N27" s="137">
        <v>1587465</v>
      </c>
      <c r="O27" s="137">
        <v>294713</v>
      </c>
      <c r="P27" s="137">
        <v>1244042</v>
      </c>
      <c r="Q27" s="128"/>
      <c r="R27" s="128"/>
    </row>
    <row r="28" spans="1:18" ht="16.5" x14ac:dyDescent="0.3">
      <c r="A28" s="136" t="s">
        <v>538</v>
      </c>
      <c r="B28" s="137">
        <v>8315351</v>
      </c>
      <c r="C28" s="137">
        <v>3616203</v>
      </c>
      <c r="D28" s="138">
        <v>4698004</v>
      </c>
      <c r="E28" s="137">
        <v>1938689</v>
      </c>
      <c r="F28" s="137">
        <v>352694</v>
      </c>
      <c r="G28" s="137">
        <v>1504059</v>
      </c>
      <c r="H28" s="128"/>
      <c r="I28" s="128"/>
      <c r="J28" s="139">
        <v>2014</v>
      </c>
      <c r="K28" s="137">
        <v>7144839</v>
      </c>
      <c r="L28" s="137">
        <v>3116069</v>
      </c>
      <c r="M28" s="138">
        <v>4041482</v>
      </c>
      <c r="N28" s="137">
        <v>1566976</v>
      </c>
      <c r="O28" s="137">
        <v>281617</v>
      </c>
      <c r="P28" s="137">
        <v>1223129</v>
      </c>
      <c r="Q28" s="128"/>
      <c r="R28" s="128"/>
    </row>
    <row r="29" spans="1:18" ht="16.5" x14ac:dyDescent="0.3">
      <c r="A29" s="136" t="s">
        <v>539</v>
      </c>
      <c r="B29" s="137">
        <v>9191373</v>
      </c>
      <c r="C29" s="137">
        <v>4017471</v>
      </c>
      <c r="D29" s="138">
        <v>5149968</v>
      </c>
      <c r="E29" s="137">
        <v>1858108</v>
      </c>
      <c r="F29" s="137">
        <v>349996</v>
      </c>
      <c r="G29" s="137">
        <v>1437497</v>
      </c>
      <c r="H29" s="128"/>
      <c r="I29" s="128"/>
      <c r="J29" s="139">
        <v>2015</v>
      </c>
      <c r="K29" s="137">
        <v>7738037</v>
      </c>
      <c r="L29" s="137">
        <v>3362917</v>
      </c>
      <c r="M29" s="138">
        <v>4370047</v>
      </c>
      <c r="N29" s="137">
        <v>1878998</v>
      </c>
      <c r="O29" s="137">
        <v>335536</v>
      </c>
      <c r="P29" s="137">
        <v>1460910</v>
      </c>
      <c r="Q29" s="128"/>
      <c r="R29" s="128"/>
    </row>
    <row r="30" spans="1:18" ht="16.5" x14ac:dyDescent="0.3">
      <c r="A30" s="136" t="s">
        <v>540</v>
      </c>
      <c r="B30" s="137">
        <v>9269224</v>
      </c>
      <c r="C30" s="137">
        <v>4142596</v>
      </c>
      <c r="D30" s="138">
        <v>5148521</v>
      </c>
      <c r="E30" s="137">
        <v>1936744</v>
      </c>
      <c r="F30" s="137">
        <v>354543</v>
      </c>
      <c r="G30" s="137">
        <v>1506678</v>
      </c>
      <c r="H30" s="128"/>
      <c r="I30" s="128"/>
      <c r="J30" s="139">
        <v>2016</v>
      </c>
      <c r="K30" s="137">
        <v>8849088</v>
      </c>
      <c r="L30" s="137">
        <v>3856415</v>
      </c>
      <c r="M30" s="138">
        <v>4985654</v>
      </c>
      <c r="N30" s="137">
        <v>1868065</v>
      </c>
      <c r="O30" s="137">
        <v>345604</v>
      </c>
      <c r="P30" s="137">
        <v>1452817</v>
      </c>
      <c r="Q30" s="128"/>
      <c r="R30" s="128"/>
    </row>
    <row r="31" spans="1:18" ht="16.5" x14ac:dyDescent="0.3">
      <c r="A31" s="136" t="s">
        <v>541</v>
      </c>
      <c r="B31" s="137">
        <v>9295384</v>
      </c>
      <c r="C31" s="137">
        <v>4047724</v>
      </c>
      <c r="D31" s="138">
        <v>5203400</v>
      </c>
      <c r="E31" s="137">
        <v>2077170</v>
      </c>
      <c r="F31" s="137">
        <v>395953</v>
      </c>
      <c r="G31" s="137">
        <v>1604498</v>
      </c>
      <c r="H31" s="128"/>
      <c r="I31" s="128"/>
      <c r="J31" s="139">
        <v>2017</v>
      </c>
      <c r="K31" s="137">
        <v>9179440</v>
      </c>
      <c r="L31" s="137">
        <v>4045723</v>
      </c>
      <c r="M31" s="138">
        <v>5118006</v>
      </c>
      <c r="N31" s="137">
        <v>1825380</v>
      </c>
      <c r="O31" s="137">
        <v>340648</v>
      </c>
      <c r="P31" s="137">
        <v>1413463</v>
      </c>
      <c r="Q31" s="128"/>
      <c r="R31" s="128"/>
    </row>
    <row r="32" spans="1:18" ht="16.5" x14ac:dyDescent="0.3">
      <c r="A32" s="136" t="s">
        <v>542</v>
      </c>
      <c r="B32" s="137">
        <v>10128976</v>
      </c>
      <c r="C32" s="137">
        <v>4433870</v>
      </c>
      <c r="D32" s="138">
        <v>5653726</v>
      </c>
      <c r="E32" s="137">
        <v>1755417</v>
      </c>
      <c r="F32" s="137">
        <v>319784</v>
      </c>
      <c r="G32" s="137">
        <v>1366351</v>
      </c>
      <c r="H32" s="128"/>
      <c r="I32" s="128"/>
      <c r="J32" s="139">
        <v>2018</v>
      </c>
      <c r="K32" s="137">
        <v>9286423</v>
      </c>
      <c r="L32" s="137">
        <v>4117880</v>
      </c>
      <c r="M32" s="138">
        <v>5172116</v>
      </c>
      <c r="N32" s="137">
        <v>2059277</v>
      </c>
      <c r="O32" s="137">
        <v>381626</v>
      </c>
      <c r="P32" s="137">
        <v>1595403</v>
      </c>
      <c r="Q32" s="128"/>
      <c r="R32" s="128"/>
    </row>
    <row r="33" spans="1:18" ht="16.5" x14ac:dyDescent="0.3">
      <c r="A33" s="136"/>
      <c r="B33" s="137"/>
      <c r="C33" s="137"/>
      <c r="D33" s="138"/>
      <c r="E33" s="137"/>
      <c r="F33" s="137"/>
      <c r="G33" s="137"/>
      <c r="H33" s="128"/>
      <c r="I33" s="128"/>
      <c r="J33" s="139">
        <v>2019</v>
      </c>
      <c r="K33" s="137">
        <v>9608640</v>
      </c>
      <c r="L33" s="137">
        <v>4186625</v>
      </c>
      <c r="M33" s="138">
        <v>5380585</v>
      </c>
      <c r="N33" s="137">
        <v>1906224</v>
      </c>
      <c r="O33" s="137">
        <v>360258</v>
      </c>
      <c r="P33" s="137">
        <v>1478358</v>
      </c>
      <c r="Q33" s="128"/>
      <c r="R33" s="128"/>
    </row>
    <row r="34" spans="1:18" ht="16.5" x14ac:dyDescent="0.3">
      <c r="A34" s="136"/>
      <c r="B34" s="137"/>
      <c r="C34" s="137"/>
      <c r="D34" s="138"/>
      <c r="E34" s="137"/>
      <c r="F34" s="137"/>
      <c r="G34" s="137"/>
      <c r="H34" s="128"/>
      <c r="I34" s="128"/>
      <c r="J34" s="139">
        <v>2020</v>
      </c>
      <c r="K34" s="137">
        <v>10290286</v>
      </c>
      <c r="L34" s="137">
        <v>4495495</v>
      </c>
      <c r="M34" s="138">
        <v>5786430</v>
      </c>
      <c r="N34" s="137">
        <v>1757270</v>
      </c>
      <c r="O34" s="137">
        <v>318788</v>
      </c>
      <c r="P34" s="137">
        <v>1364458</v>
      </c>
      <c r="Q34" s="128"/>
      <c r="R34" s="128"/>
    </row>
    <row r="35" spans="1:18" ht="16.5" x14ac:dyDescent="0.3">
      <c r="A35" s="136"/>
      <c r="B35" s="137"/>
      <c r="C35" s="137"/>
      <c r="D35" s="138"/>
      <c r="E35" s="137"/>
      <c r="F35" s="137"/>
      <c r="G35" s="137"/>
      <c r="H35" s="128"/>
      <c r="I35" s="128"/>
      <c r="J35" s="139">
        <v>2021</v>
      </c>
      <c r="K35" s="140">
        <f>K78</f>
        <v>9857362</v>
      </c>
      <c r="L35" s="140">
        <f t="shared" ref="L35:M35" si="0">L78</f>
        <v>4218110</v>
      </c>
      <c r="M35" s="140">
        <f t="shared" si="0"/>
        <v>5700369</v>
      </c>
      <c r="N35" s="141"/>
      <c r="O35" s="141"/>
      <c r="P35" s="141"/>
      <c r="Q35" s="128"/>
      <c r="R35" s="128"/>
    </row>
    <row r="36" spans="1:18" ht="16.5" x14ac:dyDescent="0.3">
      <c r="A36" s="136"/>
      <c r="B36" s="137"/>
      <c r="C36" s="137"/>
      <c r="D36" s="138"/>
      <c r="E36" s="137"/>
      <c r="F36" s="137"/>
      <c r="G36" s="137"/>
      <c r="H36" s="141"/>
      <c r="I36" s="141"/>
      <c r="J36" s="139">
        <v>2022</v>
      </c>
      <c r="K36" s="140">
        <f>SUM('[7]Canada Rapeseed'!$AD$81:$AD$87,'[7]Canada Rapeseed'!$AE$76:$AE$80)*1000</f>
        <v>26536648.103999998</v>
      </c>
      <c r="L36" s="141"/>
      <c r="M36" s="142"/>
      <c r="N36" s="141"/>
      <c r="O36" s="141"/>
      <c r="P36" s="141"/>
      <c r="Q36" s="128"/>
      <c r="R36" s="128"/>
    </row>
    <row r="37" spans="1:18" ht="16.5" x14ac:dyDescent="0.3">
      <c r="A37" s="136"/>
      <c r="B37" s="137"/>
      <c r="C37" s="137"/>
      <c r="D37" s="138"/>
      <c r="E37" s="137"/>
      <c r="F37" s="137"/>
      <c r="G37" s="137"/>
      <c r="H37" s="141"/>
      <c r="I37" s="141"/>
      <c r="J37" s="141"/>
      <c r="K37" s="141"/>
      <c r="L37" s="141"/>
      <c r="M37" s="142"/>
      <c r="N37" s="141"/>
      <c r="O37" s="141"/>
      <c r="P37" s="141"/>
      <c r="Q37" s="128"/>
      <c r="R37" s="128"/>
    </row>
    <row r="38" spans="1:18" ht="16.5" x14ac:dyDescent="0.3">
      <c r="A38" s="136"/>
      <c r="B38" s="137"/>
      <c r="C38" s="137"/>
      <c r="D38" s="138"/>
      <c r="E38" s="137"/>
      <c r="F38" s="137"/>
      <c r="G38" s="137"/>
      <c r="H38" s="141"/>
      <c r="I38" s="141"/>
      <c r="J38" s="141"/>
      <c r="K38" s="141"/>
      <c r="L38" s="141"/>
      <c r="M38" s="142"/>
      <c r="N38" s="141"/>
      <c r="O38" s="141"/>
      <c r="P38" s="141"/>
      <c r="Q38" s="128"/>
      <c r="R38" s="128"/>
    </row>
    <row r="39" spans="1:18" ht="16.5" x14ac:dyDescent="0.3">
      <c r="A39" s="136"/>
      <c r="B39" s="137"/>
      <c r="C39" s="137"/>
      <c r="D39" s="138"/>
      <c r="E39" s="137"/>
      <c r="F39" s="137"/>
      <c r="G39" s="137"/>
      <c r="H39" s="141"/>
      <c r="I39" s="141"/>
      <c r="J39" s="141"/>
      <c r="K39" s="141"/>
      <c r="L39" s="141"/>
      <c r="M39" s="142"/>
      <c r="N39" s="141"/>
      <c r="O39" s="141"/>
      <c r="P39" s="141"/>
      <c r="Q39" s="128"/>
      <c r="R39" s="128"/>
    </row>
    <row r="40" spans="1:18" ht="16.5" x14ac:dyDescent="0.3">
      <c r="A40" s="136"/>
      <c r="B40" s="137"/>
      <c r="C40" s="137"/>
      <c r="D40" s="138"/>
      <c r="E40" s="137"/>
      <c r="F40" s="137"/>
      <c r="G40" s="137"/>
      <c r="H40" s="141"/>
      <c r="I40" s="141"/>
      <c r="J40" s="141"/>
      <c r="K40" s="141"/>
      <c r="L40" s="141"/>
      <c r="M40" s="142"/>
      <c r="N40" s="141"/>
      <c r="O40" s="141"/>
      <c r="P40" s="141"/>
      <c r="Q40" s="128"/>
      <c r="R40" s="128"/>
    </row>
    <row r="41" spans="1:18" ht="16.5" x14ac:dyDescent="0.3">
      <c r="A41" s="136"/>
      <c r="B41" s="137"/>
      <c r="C41" s="137"/>
      <c r="D41" s="138"/>
      <c r="E41" s="137"/>
      <c r="F41" s="137"/>
      <c r="G41" s="137"/>
      <c r="H41" s="141"/>
      <c r="I41" s="141"/>
      <c r="J41" s="141"/>
      <c r="K41" s="141"/>
      <c r="L41" s="141"/>
      <c r="M41" s="142"/>
      <c r="N41" s="141"/>
      <c r="O41" s="141"/>
      <c r="P41" s="141"/>
      <c r="Q41" s="128"/>
      <c r="R41" s="128"/>
    </row>
    <row r="42" spans="1:18" ht="16.5" x14ac:dyDescent="0.3">
      <c r="A42" s="136"/>
      <c r="B42" s="137"/>
      <c r="C42" s="137"/>
      <c r="D42" s="138"/>
      <c r="E42" s="137"/>
      <c r="F42" s="137"/>
      <c r="G42" s="137"/>
      <c r="H42" s="141"/>
      <c r="I42" s="141"/>
      <c r="J42" s="141"/>
      <c r="K42" s="141"/>
      <c r="L42" s="141"/>
      <c r="M42" s="142"/>
      <c r="N42" s="141"/>
      <c r="O42" s="141"/>
      <c r="P42" s="141"/>
      <c r="Q42" s="128"/>
      <c r="R42" s="128"/>
    </row>
    <row r="43" spans="1:18" ht="16.5" x14ac:dyDescent="0.3">
      <c r="A43" s="136"/>
      <c r="B43" s="137"/>
      <c r="C43" s="137"/>
      <c r="D43" s="138"/>
      <c r="E43" s="137"/>
      <c r="F43" s="137"/>
      <c r="G43" s="137"/>
      <c r="H43" s="141"/>
      <c r="I43" s="141"/>
      <c r="J43" s="141"/>
      <c r="K43" s="141"/>
      <c r="L43" s="141"/>
      <c r="M43" s="142"/>
      <c r="N43" s="141"/>
      <c r="O43" s="141"/>
      <c r="P43" s="141"/>
      <c r="Q43" s="128"/>
      <c r="R43" s="128"/>
    </row>
    <row r="44" spans="1:18" ht="16.5" x14ac:dyDescent="0.3">
      <c r="A44" s="136"/>
      <c r="B44" s="137"/>
      <c r="C44" s="137"/>
      <c r="D44" s="138"/>
      <c r="E44" s="137"/>
      <c r="F44" s="137"/>
      <c r="G44" s="137"/>
      <c r="H44" s="141"/>
      <c r="I44" s="141"/>
      <c r="J44" s="141"/>
      <c r="K44" s="141"/>
      <c r="L44" s="141"/>
      <c r="M44" s="142"/>
      <c r="N44" s="141"/>
      <c r="O44" s="141"/>
      <c r="P44" s="141"/>
      <c r="Q44" s="128"/>
      <c r="R44" s="128"/>
    </row>
    <row r="45" spans="1:18" ht="16.5" x14ac:dyDescent="0.3">
      <c r="A45" s="136"/>
      <c r="B45" s="137"/>
      <c r="C45" s="137"/>
      <c r="D45" s="138"/>
      <c r="E45" s="137"/>
      <c r="F45" s="137"/>
      <c r="G45" s="137"/>
      <c r="H45" s="141"/>
      <c r="I45" s="141"/>
      <c r="J45" s="141"/>
      <c r="K45" s="141"/>
      <c r="L45" s="141"/>
      <c r="M45" s="142"/>
      <c r="N45" s="141"/>
      <c r="O45" s="141"/>
      <c r="P45" s="141"/>
      <c r="Q45" s="128"/>
      <c r="R45" s="128"/>
    </row>
    <row r="46" spans="1:18" ht="16.5" x14ac:dyDescent="0.3">
      <c r="A46" s="136"/>
      <c r="B46" s="137"/>
      <c r="C46" s="137"/>
      <c r="D46" s="138"/>
      <c r="E46" s="137"/>
      <c r="F46" s="137"/>
      <c r="G46" s="137"/>
      <c r="H46" s="141"/>
      <c r="I46" s="141"/>
      <c r="J46" s="141"/>
      <c r="K46" s="141"/>
      <c r="L46" s="141"/>
      <c r="M46" s="142"/>
      <c r="N46" s="141"/>
      <c r="O46" s="141"/>
      <c r="P46" s="141"/>
      <c r="Q46" s="128"/>
      <c r="R46" s="128"/>
    </row>
    <row r="47" spans="1:18" ht="16.5" x14ac:dyDescent="0.3">
      <c r="A47" s="136"/>
      <c r="B47" s="137"/>
      <c r="C47" s="137"/>
      <c r="D47" s="138"/>
      <c r="E47" s="137"/>
      <c r="F47" s="137"/>
      <c r="G47" s="137"/>
      <c r="H47" s="141"/>
      <c r="I47" s="141"/>
      <c r="J47" s="141"/>
      <c r="K47" s="141"/>
      <c r="L47" s="141"/>
      <c r="M47" s="142"/>
      <c r="N47" s="141"/>
      <c r="O47" s="141"/>
      <c r="P47" s="141"/>
      <c r="Q47" s="128"/>
      <c r="R47" s="128"/>
    </row>
    <row r="48" spans="1:18" ht="16.5" x14ac:dyDescent="0.3">
      <c r="A48" s="136"/>
      <c r="B48" s="137"/>
      <c r="C48" s="137"/>
      <c r="D48" s="138"/>
      <c r="E48" s="137"/>
      <c r="F48" s="137"/>
      <c r="G48" s="137"/>
      <c r="H48" s="141"/>
      <c r="I48" s="141"/>
      <c r="J48" s="141"/>
      <c r="K48" s="141"/>
      <c r="L48" s="141"/>
      <c r="M48" s="142"/>
      <c r="N48" s="141"/>
      <c r="O48" s="141"/>
      <c r="P48" s="141"/>
      <c r="Q48" s="128"/>
      <c r="R48" s="128"/>
    </row>
    <row r="49" spans="1:18" ht="16.5" x14ac:dyDescent="0.3">
      <c r="A49" s="136"/>
      <c r="B49" s="137"/>
      <c r="C49" s="137"/>
      <c r="D49" s="138"/>
      <c r="E49" s="137"/>
      <c r="F49" s="137"/>
      <c r="G49" s="137"/>
      <c r="H49" s="141"/>
      <c r="I49" s="141"/>
      <c r="J49" s="141"/>
      <c r="K49" s="141"/>
      <c r="L49" s="141"/>
      <c r="M49" s="142"/>
      <c r="N49" s="141"/>
      <c r="O49" s="141"/>
      <c r="P49" s="141"/>
      <c r="Q49" s="128"/>
      <c r="R49" s="128"/>
    </row>
    <row r="50" spans="1:18" ht="16.5" x14ac:dyDescent="0.3">
      <c r="A50" s="136"/>
      <c r="B50" s="137"/>
      <c r="C50" s="137"/>
      <c r="D50" s="138"/>
      <c r="E50" s="137"/>
      <c r="F50" s="137"/>
      <c r="G50" s="137"/>
      <c r="H50" s="141"/>
      <c r="I50" s="141"/>
      <c r="J50" s="141"/>
      <c r="K50" s="141"/>
      <c r="L50" s="141"/>
      <c r="M50" s="142"/>
      <c r="N50" s="141"/>
      <c r="O50" s="141"/>
      <c r="P50" s="141"/>
      <c r="Q50" s="128"/>
      <c r="R50" s="128"/>
    </row>
    <row r="51" spans="1:18" ht="16.5" x14ac:dyDescent="0.3">
      <c r="A51" s="136"/>
      <c r="B51" s="137"/>
      <c r="C51" s="137"/>
      <c r="D51" s="138"/>
      <c r="E51" s="137"/>
      <c r="F51" s="137"/>
      <c r="G51" s="137"/>
      <c r="H51" s="141"/>
      <c r="I51" s="141"/>
      <c r="J51" s="141"/>
      <c r="K51" s="141"/>
      <c r="L51" s="141"/>
      <c r="M51" s="142"/>
      <c r="N51" s="141"/>
      <c r="O51" s="141"/>
      <c r="P51" s="141"/>
      <c r="Q51" s="128"/>
      <c r="R51" s="128"/>
    </row>
    <row r="52" spans="1:18" ht="16.5" x14ac:dyDescent="0.3">
      <c r="A52" s="136"/>
      <c r="B52" s="137"/>
      <c r="C52" s="137"/>
      <c r="D52" s="138"/>
      <c r="E52" s="137"/>
      <c r="F52" s="137"/>
      <c r="G52" s="137"/>
      <c r="H52" s="141"/>
      <c r="I52" s="141"/>
      <c r="J52" s="141"/>
      <c r="K52" s="141"/>
      <c r="L52" s="141"/>
      <c r="M52" s="142"/>
      <c r="N52" s="141"/>
      <c r="O52" s="141"/>
      <c r="P52" s="141"/>
      <c r="Q52" s="128"/>
      <c r="R52" s="128"/>
    </row>
    <row r="53" spans="1:18" ht="16.5" x14ac:dyDescent="0.3">
      <c r="A53" s="136"/>
      <c r="B53" s="137"/>
      <c r="C53" s="137"/>
      <c r="D53" s="138"/>
      <c r="E53" s="137"/>
      <c r="F53" s="137"/>
      <c r="G53" s="137"/>
      <c r="H53" s="141"/>
      <c r="I53" s="141"/>
      <c r="J53" s="141"/>
      <c r="K53" s="141"/>
      <c r="L53" s="141"/>
      <c r="M53" s="142"/>
      <c r="N53" s="141"/>
      <c r="O53" s="141"/>
      <c r="P53" s="141"/>
      <c r="Q53" s="128"/>
      <c r="R53" s="128"/>
    </row>
    <row r="54" spans="1:18" ht="16.5" x14ac:dyDescent="0.3">
      <c r="A54" s="136"/>
      <c r="B54" s="137"/>
      <c r="C54" s="137"/>
      <c r="D54" s="138"/>
      <c r="E54" s="137"/>
      <c r="F54" s="137"/>
      <c r="G54" s="137"/>
      <c r="H54" s="141"/>
      <c r="I54" s="141"/>
      <c r="J54" s="141"/>
      <c r="K54" s="141"/>
      <c r="L54" s="141"/>
      <c r="M54" s="142"/>
      <c r="N54" s="141"/>
      <c r="O54" s="141"/>
      <c r="P54" s="141"/>
      <c r="Q54" s="128"/>
      <c r="R54" s="128"/>
    </row>
    <row r="55" spans="1:18" ht="16.5" x14ac:dyDescent="0.3">
      <c r="A55" s="136"/>
      <c r="B55" s="137"/>
      <c r="C55" s="137"/>
      <c r="D55" s="138"/>
      <c r="E55" s="137"/>
      <c r="F55" s="137"/>
      <c r="G55" s="137"/>
      <c r="H55" s="141"/>
      <c r="I55" s="141"/>
      <c r="J55" s="141"/>
      <c r="K55" s="141"/>
      <c r="L55" s="141"/>
      <c r="M55" s="142"/>
      <c r="N55" s="141"/>
      <c r="O55" s="141"/>
      <c r="P55" s="141"/>
      <c r="Q55" s="128"/>
      <c r="R55" s="128"/>
    </row>
    <row r="56" spans="1:18" ht="16.5" x14ac:dyDescent="0.3">
      <c r="A56" s="136"/>
      <c r="B56" s="137"/>
      <c r="C56" s="137"/>
      <c r="D56" s="138"/>
      <c r="E56" s="137"/>
      <c r="F56" s="137"/>
      <c r="G56" s="137"/>
      <c r="H56" s="141"/>
      <c r="I56" s="141"/>
      <c r="J56" s="141"/>
      <c r="K56" s="141"/>
      <c r="L56" s="141"/>
      <c r="M56" s="142"/>
      <c r="N56" s="141"/>
      <c r="O56" s="141"/>
      <c r="P56" s="141"/>
      <c r="Q56" s="128"/>
      <c r="R56" s="128"/>
    </row>
    <row r="57" spans="1:18" ht="16.5" x14ac:dyDescent="0.3">
      <c r="A57" s="136"/>
      <c r="B57" s="137"/>
      <c r="C57" s="137"/>
      <c r="D57" s="138"/>
      <c r="E57" s="137"/>
      <c r="F57" s="137"/>
      <c r="G57" s="137"/>
      <c r="H57" s="141"/>
      <c r="I57" s="141"/>
      <c r="J57" s="141"/>
      <c r="K57" s="141"/>
      <c r="L57" s="141"/>
      <c r="M57" s="142"/>
      <c r="N57" s="141"/>
      <c r="O57" s="141"/>
      <c r="P57" s="141"/>
      <c r="Q57" s="128"/>
      <c r="R57" s="128"/>
    </row>
    <row r="58" spans="1:18" ht="16.5" x14ac:dyDescent="0.3">
      <c r="A58" s="136"/>
      <c r="B58" s="137"/>
      <c r="C58" s="137"/>
      <c r="D58" s="138"/>
      <c r="E58" s="137"/>
      <c r="F58" s="137"/>
      <c r="G58" s="137"/>
      <c r="H58" s="141"/>
      <c r="I58" s="141"/>
      <c r="J58" s="141"/>
      <c r="K58" s="141"/>
      <c r="L58" s="141"/>
      <c r="M58" s="142"/>
      <c r="N58" s="141"/>
      <c r="O58" s="141"/>
      <c r="P58" s="141"/>
      <c r="Q58" s="128"/>
      <c r="R58" s="128"/>
    </row>
    <row r="59" spans="1:18" ht="16.5" x14ac:dyDescent="0.3">
      <c r="A59" s="136"/>
      <c r="B59" s="137"/>
      <c r="C59" s="137"/>
      <c r="D59" s="138"/>
      <c r="E59" s="137"/>
      <c r="F59" s="137"/>
      <c r="G59" s="137"/>
      <c r="H59" s="141"/>
      <c r="I59" s="141"/>
      <c r="J59" s="141"/>
      <c r="K59" s="141"/>
      <c r="L59" s="141"/>
      <c r="M59" s="142"/>
      <c r="N59" s="141"/>
      <c r="O59" s="141"/>
      <c r="P59" s="141"/>
      <c r="Q59" s="128"/>
      <c r="R59" s="128"/>
    </row>
    <row r="60" spans="1:18" ht="16.5" x14ac:dyDescent="0.3">
      <c r="A60" s="136"/>
      <c r="B60" s="137"/>
      <c r="C60" s="137"/>
      <c r="D60" s="138"/>
      <c r="E60" s="137"/>
      <c r="F60" s="137"/>
      <c r="G60" s="137"/>
      <c r="H60" s="141"/>
      <c r="I60" s="141"/>
      <c r="J60" s="141"/>
      <c r="K60" s="141"/>
      <c r="L60" s="141"/>
      <c r="M60" s="142"/>
      <c r="N60" s="141"/>
      <c r="O60" s="141"/>
      <c r="P60" s="141"/>
      <c r="Q60" s="128"/>
      <c r="R60" s="128"/>
    </row>
    <row r="61" spans="1:18" ht="16.5" x14ac:dyDescent="0.3">
      <c r="A61" s="136"/>
      <c r="B61" s="137"/>
      <c r="C61" s="137"/>
      <c r="D61" s="138"/>
      <c r="E61" s="137"/>
      <c r="F61" s="137"/>
      <c r="G61" s="137"/>
      <c r="H61" s="141"/>
      <c r="I61" s="141"/>
      <c r="J61" s="141"/>
      <c r="K61" s="141"/>
      <c r="L61" s="141"/>
      <c r="M61" s="142"/>
      <c r="N61" s="141"/>
      <c r="O61" s="141"/>
      <c r="P61" s="141"/>
      <c r="Q61" s="128"/>
      <c r="R61" s="128"/>
    </row>
    <row r="62" spans="1:18" ht="16.5" x14ac:dyDescent="0.3">
      <c r="A62" s="136"/>
      <c r="B62" s="137"/>
      <c r="C62" s="137"/>
      <c r="D62" s="138"/>
      <c r="E62" s="137"/>
      <c r="F62" s="137"/>
      <c r="G62" s="137"/>
      <c r="H62" s="141"/>
      <c r="I62" s="141"/>
      <c r="J62" s="141"/>
      <c r="K62" s="141"/>
      <c r="L62" s="141"/>
      <c r="M62" s="142"/>
      <c r="N62" s="141"/>
      <c r="O62" s="141"/>
      <c r="P62" s="141"/>
      <c r="Q62" s="128"/>
      <c r="R62" s="128"/>
    </row>
    <row r="63" spans="1:18" ht="16.5" x14ac:dyDescent="0.3">
      <c r="A63" s="136"/>
      <c r="B63" s="137"/>
      <c r="C63" s="137"/>
      <c r="D63" s="138"/>
      <c r="E63" s="137"/>
      <c r="F63" s="137"/>
      <c r="G63" s="137"/>
      <c r="H63" s="141"/>
      <c r="I63" s="141"/>
      <c r="J63" s="141"/>
      <c r="K63" s="141"/>
      <c r="L63" s="141"/>
      <c r="M63" s="142"/>
      <c r="N63" s="141"/>
      <c r="O63" s="141"/>
      <c r="P63" s="141"/>
      <c r="Q63" s="128"/>
      <c r="R63" s="128"/>
    </row>
    <row r="64" spans="1:18" ht="16.5" x14ac:dyDescent="0.3">
      <c r="A64" s="136"/>
      <c r="B64" s="137"/>
      <c r="C64" s="137"/>
      <c r="D64" s="138"/>
      <c r="E64" s="137"/>
      <c r="F64" s="137"/>
      <c r="G64" s="137"/>
      <c r="H64" s="128"/>
      <c r="K64" s="141"/>
      <c r="L64" s="141"/>
      <c r="M64" s="142"/>
      <c r="N64" s="141"/>
      <c r="O64" s="141"/>
      <c r="P64" s="141"/>
      <c r="Q64" s="128"/>
      <c r="R64" s="128"/>
    </row>
    <row r="65" spans="1:16" ht="16.5" x14ac:dyDescent="0.3">
      <c r="A65" s="136" t="s">
        <v>543</v>
      </c>
      <c r="B65" s="141"/>
      <c r="C65" s="141"/>
      <c r="D65" s="142"/>
      <c r="E65" s="141"/>
      <c r="F65" s="141"/>
      <c r="G65" s="141"/>
      <c r="H65" s="128"/>
      <c r="J65" s="139">
        <v>2021</v>
      </c>
      <c r="M65" s="135"/>
    </row>
    <row r="66" spans="1:16" ht="16.5" x14ac:dyDescent="0.3">
      <c r="A66" s="143" t="s">
        <v>853</v>
      </c>
      <c r="B66" s="137">
        <v>830335</v>
      </c>
      <c r="C66" s="137">
        <v>363424</v>
      </c>
      <c r="D66" s="138">
        <v>465059</v>
      </c>
      <c r="E66" s="137">
        <v>135595</v>
      </c>
      <c r="F66" s="137">
        <v>24354</v>
      </c>
      <c r="G66" s="137">
        <v>103951</v>
      </c>
      <c r="H66" s="128"/>
      <c r="J66" s="144" t="s">
        <v>854</v>
      </c>
      <c r="K66" s="137">
        <v>915553</v>
      </c>
      <c r="L66" s="137">
        <v>394315</v>
      </c>
      <c r="M66" s="138">
        <v>519645</v>
      </c>
      <c r="N66" s="137">
        <v>141861</v>
      </c>
      <c r="O66" s="137">
        <v>26733</v>
      </c>
      <c r="P66" s="137">
        <v>111945</v>
      </c>
    </row>
    <row r="67" spans="1:16" ht="16.5" x14ac:dyDescent="0.3">
      <c r="A67" s="143" t="s">
        <v>855</v>
      </c>
      <c r="B67" s="137">
        <v>785725</v>
      </c>
      <c r="C67" s="137">
        <v>339884</v>
      </c>
      <c r="D67" s="138">
        <v>449729</v>
      </c>
      <c r="E67" s="137">
        <v>139438</v>
      </c>
      <c r="F67" s="137">
        <v>25547</v>
      </c>
      <c r="G67" s="137">
        <v>109026</v>
      </c>
      <c r="H67" s="128"/>
      <c r="J67" s="144" t="s">
        <v>856</v>
      </c>
      <c r="K67" s="137">
        <v>797438</v>
      </c>
      <c r="L67" s="137">
        <v>346410</v>
      </c>
      <c r="M67" s="138">
        <v>453936</v>
      </c>
      <c r="N67" s="137">
        <v>125966</v>
      </c>
      <c r="O67" s="137">
        <v>23481</v>
      </c>
      <c r="P67" s="137">
        <v>99204</v>
      </c>
    </row>
    <row r="68" spans="1:16" ht="16.5" x14ac:dyDescent="0.3">
      <c r="A68" s="143" t="s">
        <v>857</v>
      </c>
      <c r="B68" s="137">
        <v>931060</v>
      </c>
      <c r="C68" s="137">
        <v>400909</v>
      </c>
      <c r="D68" s="138">
        <v>531444</v>
      </c>
      <c r="E68" s="137">
        <v>160074</v>
      </c>
      <c r="F68" s="137">
        <v>29499</v>
      </c>
      <c r="G68" s="137">
        <v>123084</v>
      </c>
      <c r="H68" s="128"/>
      <c r="J68" s="144" t="s">
        <v>858</v>
      </c>
      <c r="K68" s="137">
        <v>957952</v>
      </c>
      <c r="L68" s="137">
        <v>416849</v>
      </c>
      <c r="M68" s="138">
        <v>545150</v>
      </c>
      <c r="N68" s="137">
        <v>139030</v>
      </c>
      <c r="O68" s="137">
        <v>26495</v>
      </c>
      <c r="P68" s="137">
        <v>109122</v>
      </c>
    </row>
    <row r="69" spans="1:16" ht="16.5" x14ac:dyDescent="0.3">
      <c r="A69" s="143" t="s">
        <v>859</v>
      </c>
      <c r="B69" s="137">
        <v>917992</v>
      </c>
      <c r="C69" s="137">
        <v>395613</v>
      </c>
      <c r="D69" s="138">
        <v>523140</v>
      </c>
      <c r="E69" s="137">
        <v>148652</v>
      </c>
      <c r="F69" s="137">
        <v>27673</v>
      </c>
      <c r="G69" s="137">
        <v>114385</v>
      </c>
      <c r="H69" s="128"/>
      <c r="J69" s="144" t="s">
        <v>860</v>
      </c>
      <c r="K69" s="137">
        <v>901911</v>
      </c>
      <c r="L69" s="137">
        <v>391000</v>
      </c>
      <c r="M69" s="138">
        <v>516474</v>
      </c>
      <c r="N69" s="137">
        <v>138624</v>
      </c>
      <c r="O69" s="137">
        <v>26386</v>
      </c>
      <c r="P69" s="137">
        <v>108148</v>
      </c>
    </row>
    <row r="70" spans="1:16" ht="16.5" x14ac:dyDescent="0.3">
      <c r="A70" s="143" t="s">
        <v>861</v>
      </c>
      <c r="B70" s="137">
        <v>904577</v>
      </c>
      <c r="C70" s="137">
        <v>397850</v>
      </c>
      <c r="D70" s="138">
        <v>517016</v>
      </c>
      <c r="E70" s="137">
        <v>153075</v>
      </c>
      <c r="F70" s="137">
        <v>27629</v>
      </c>
      <c r="G70" s="137">
        <v>119294</v>
      </c>
      <c r="H70" s="128"/>
      <c r="J70" s="144" t="s">
        <v>862</v>
      </c>
      <c r="K70" s="137">
        <v>820250</v>
      </c>
      <c r="L70" s="137">
        <v>357446</v>
      </c>
      <c r="M70" s="138">
        <v>468587</v>
      </c>
      <c r="N70" s="137">
        <v>108072</v>
      </c>
      <c r="O70" s="137">
        <v>20488</v>
      </c>
      <c r="P70" s="137">
        <v>85220</v>
      </c>
    </row>
    <row r="71" spans="1:16" ht="16.5" x14ac:dyDescent="0.3">
      <c r="A71" s="143" t="s">
        <v>854</v>
      </c>
      <c r="B71" s="137">
        <v>915553</v>
      </c>
      <c r="C71" s="137">
        <v>394315</v>
      </c>
      <c r="D71" s="138">
        <v>519645</v>
      </c>
      <c r="E71" s="137">
        <v>141861</v>
      </c>
      <c r="F71" s="137">
        <v>26733</v>
      </c>
      <c r="G71" s="137">
        <v>111945</v>
      </c>
      <c r="H71" s="128"/>
      <c r="J71" s="144" t="s">
        <v>863</v>
      </c>
      <c r="K71" s="137">
        <v>829846</v>
      </c>
      <c r="L71" s="137">
        <v>362131</v>
      </c>
      <c r="M71" s="138">
        <v>472034</v>
      </c>
      <c r="N71" s="137">
        <v>109428</v>
      </c>
      <c r="O71" s="137">
        <v>20513</v>
      </c>
      <c r="P71" s="137">
        <v>85217</v>
      </c>
    </row>
    <row r="72" spans="1:16" ht="16.5" x14ac:dyDescent="0.3">
      <c r="A72" s="143" t="s">
        <v>856</v>
      </c>
      <c r="B72" s="137">
        <v>797438</v>
      </c>
      <c r="C72" s="137">
        <v>346410</v>
      </c>
      <c r="D72" s="138">
        <v>453936</v>
      </c>
      <c r="E72" s="137">
        <v>125966</v>
      </c>
      <c r="F72" s="137">
        <v>23481</v>
      </c>
      <c r="G72" s="137">
        <v>99204</v>
      </c>
      <c r="H72" s="128"/>
      <c r="J72" s="144" t="s">
        <v>864</v>
      </c>
      <c r="K72" s="137">
        <v>832114</v>
      </c>
      <c r="L72" s="137">
        <v>362458</v>
      </c>
      <c r="M72" s="138">
        <v>473390</v>
      </c>
      <c r="N72" s="137">
        <v>142464</v>
      </c>
      <c r="O72" s="137">
        <v>27001</v>
      </c>
      <c r="P72" s="137">
        <v>112072</v>
      </c>
    </row>
    <row r="73" spans="1:16" ht="16.5" x14ac:dyDescent="0.3">
      <c r="A73" s="143" t="s">
        <v>858</v>
      </c>
      <c r="B73" s="137">
        <v>957952</v>
      </c>
      <c r="C73" s="137">
        <v>416849</v>
      </c>
      <c r="D73" s="138">
        <v>545150</v>
      </c>
      <c r="E73" s="137">
        <v>139030</v>
      </c>
      <c r="F73" s="137">
        <v>26495</v>
      </c>
      <c r="G73" s="137">
        <v>109122</v>
      </c>
      <c r="H73" s="128"/>
      <c r="J73" s="144" t="s">
        <v>853</v>
      </c>
      <c r="K73" s="137">
        <v>661968</v>
      </c>
      <c r="L73" s="137">
        <v>287295</v>
      </c>
      <c r="M73" s="138">
        <v>382007</v>
      </c>
      <c r="N73" s="137">
        <v>129048</v>
      </c>
      <c r="O73" s="137">
        <v>23339</v>
      </c>
      <c r="P73" s="137">
        <v>98401</v>
      </c>
    </row>
    <row r="74" spans="1:16" ht="16.5" x14ac:dyDescent="0.3">
      <c r="A74" s="143" t="s">
        <v>860</v>
      </c>
      <c r="B74" s="137">
        <v>901911</v>
      </c>
      <c r="C74" s="137">
        <v>391000</v>
      </c>
      <c r="D74" s="138">
        <v>516474</v>
      </c>
      <c r="E74" s="137">
        <v>138624</v>
      </c>
      <c r="F74" s="137">
        <v>26386</v>
      </c>
      <c r="G74" s="137">
        <v>108148</v>
      </c>
      <c r="H74" s="128"/>
      <c r="J74" s="144" t="s">
        <v>855</v>
      </c>
      <c r="K74" s="137">
        <v>778402</v>
      </c>
      <c r="L74" s="137">
        <v>320564</v>
      </c>
      <c r="M74" s="138">
        <v>458105</v>
      </c>
      <c r="N74" s="137">
        <v>134094</v>
      </c>
      <c r="O74" s="137">
        <v>25332</v>
      </c>
      <c r="P74" s="137">
        <v>104574</v>
      </c>
    </row>
    <row r="75" spans="1:16" ht="16.5" x14ac:dyDescent="0.3">
      <c r="A75" s="143" t="s">
        <v>862</v>
      </c>
      <c r="B75" s="137">
        <v>820250</v>
      </c>
      <c r="C75" s="137">
        <v>357446</v>
      </c>
      <c r="D75" s="138">
        <v>468587</v>
      </c>
      <c r="E75" s="137">
        <v>108072</v>
      </c>
      <c r="F75" s="137">
        <v>20488</v>
      </c>
      <c r="G75" s="137">
        <v>85220</v>
      </c>
      <c r="H75" s="128"/>
      <c r="J75" s="144" t="s">
        <v>857</v>
      </c>
      <c r="K75" s="137">
        <v>876127</v>
      </c>
      <c r="L75" s="137">
        <v>360223</v>
      </c>
      <c r="M75" s="138">
        <v>523066</v>
      </c>
      <c r="N75" s="137">
        <v>166839</v>
      </c>
      <c r="O75" s="137">
        <v>31010</v>
      </c>
      <c r="P75" s="137">
        <v>128344</v>
      </c>
    </row>
    <row r="76" spans="1:16" ht="16.5" x14ac:dyDescent="0.3">
      <c r="A76" s="143" t="s">
        <v>863</v>
      </c>
      <c r="B76" s="137">
        <v>829846</v>
      </c>
      <c r="C76" s="137">
        <v>362131</v>
      </c>
      <c r="D76" s="138">
        <v>472034</v>
      </c>
      <c r="E76" s="137">
        <v>109428</v>
      </c>
      <c r="F76" s="137">
        <v>20513</v>
      </c>
      <c r="G76" s="137">
        <v>85217</v>
      </c>
      <c r="H76" s="128"/>
      <c r="J76" s="144" t="s">
        <v>859</v>
      </c>
      <c r="K76" s="137">
        <v>781105</v>
      </c>
      <c r="L76" s="137">
        <v>325474</v>
      </c>
      <c r="M76" s="138">
        <v>464977</v>
      </c>
      <c r="N76" s="137">
        <v>150509</v>
      </c>
      <c r="O76" s="137">
        <v>27524</v>
      </c>
      <c r="P76" s="137">
        <v>113625</v>
      </c>
    </row>
    <row r="77" spans="1:16" ht="16.5" x14ac:dyDescent="0.3">
      <c r="A77" s="143" t="s">
        <v>864</v>
      </c>
      <c r="B77" s="137">
        <v>832114</v>
      </c>
      <c r="C77" s="137">
        <v>362458</v>
      </c>
      <c r="D77" s="138">
        <v>473390</v>
      </c>
      <c r="E77" s="137">
        <v>142464</v>
      </c>
      <c r="F77" s="137">
        <v>27001</v>
      </c>
      <c r="G77" s="137">
        <v>112072</v>
      </c>
      <c r="H77" s="128"/>
      <c r="J77" s="144" t="s">
        <v>861</v>
      </c>
      <c r="K77" s="137">
        <v>704696</v>
      </c>
      <c r="L77" s="137">
        <v>293945</v>
      </c>
      <c r="M77" s="138">
        <v>422998</v>
      </c>
      <c r="N77" s="137">
        <v>162983</v>
      </c>
      <c r="O77" s="137">
        <v>29853</v>
      </c>
      <c r="P77" s="137">
        <v>126957</v>
      </c>
    </row>
    <row r="78" spans="1:16" ht="16.5" x14ac:dyDescent="0.3">
      <c r="A78" s="136" t="s">
        <v>543</v>
      </c>
      <c r="B78" s="145">
        <v>10424753</v>
      </c>
      <c r="C78" s="145">
        <v>4528289</v>
      </c>
      <c r="D78" s="146">
        <v>5935604</v>
      </c>
      <c r="E78" s="145">
        <v>1642279</v>
      </c>
      <c r="F78" s="145">
        <v>305799</v>
      </c>
      <c r="G78" s="145">
        <v>1280668</v>
      </c>
      <c r="H78" s="128"/>
      <c r="J78" s="147" t="s">
        <v>865</v>
      </c>
      <c r="K78" s="145">
        <v>9857362</v>
      </c>
      <c r="L78" s="145">
        <v>4218110</v>
      </c>
      <c r="M78" s="146">
        <v>5700369</v>
      </c>
      <c r="N78" s="145">
        <v>1648918</v>
      </c>
      <c r="O78" s="145">
        <v>308155</v>
      </c>
      <c r="P78" s="145">
        <v>1282829</v>
      </c>
    </row>
    <row r="79" spans="1:16" ht="16.5" x14ac:dyDescent="0.3">
      <c r="A79" s="136"/>
      <c r="B79" s="137"/>
      <c r="C79" s="137"/>
      <c r="D79" s="138"/>
      <c r="E79" s="137"/>
      <c r="F79" s="137"/>
      <c r="G79" s="137"/>
      <c r="H79" s="128"/>
      <c r="M79" s="135"/>
    </row>
    <row r="80" spans="1:16" ht="16.5" x14ac:dyDescent="0.3">
      <c r="A80" s="136" t="s">
        <v>544</v>
      </c>
      <c r="B80" s="141"/>
      <c r="C80" s="141"/>
      <c r="D80" s="142"/>
      <c r="E80" s="141"/>
      <c r="F80" s="141"/>
      <c r="G80" s="141"/>
      <c r="H80" s="128"/>
      <c r="J80" s="139">
        <v>2022</v>
      </c>
      <c r="K80" s="141"/>
      <c r="L80" s="141"/>
      <c r="M80" s="142"/>
      <c r="N80" s="141"/>
      <c r="O80" s="141"/>
      <c r="P80" s="141"/>
    </row>
    <row r="81" spans="1:16" ht="16.5" x14ac:dyDescent="0.3">
      <c r="A81" s="143" t="s">
        <v>853</v>
      </c>
      <c r="B81" s="137">
        <v>661968</v>
      </c>
      <c r="C81" s="137">
        <v>287295</v>
      </c>
      <c r="D81" s="138">
        <v>382007</v>
      </c>
      <c r="E81" s="137">
        <v>129048</v>
      </c>
      <c r="F81" s="137">
        <v>23339</v>
      </c>
      <c r="G81" s="137">
        <v>98401</v>
      </c>
      <c r="H81" s="128"/>
      <c r="J81" s="144" t="s">
        <v>854</v>
      </c>
      <c r="K81" s="137">
        <v>651282</v>
      </c>
      <c r="L81" s="137">
        <v>271629</v>
      </c>
      <c r="M81" s="138">
        <v>386822</v>
      </c>
      <c r="N81" s="137">
        <v>163540</v>
      </c>
      <c r="O81" s="137">
        <v>30321</v>
      </c>
      <c r="P81" s="137">
        <v>126796</v>
      </c>
    </row>
    <row r="82" spans="1:16" ht="16.5" x14ac:dyDescent="0.3">
      <c r="A82" s="143" t="s">
        <v>855</v>
      </c>
      <c r="B82" s="137">
        <v>778402</v>
      </c>
      <c r="C82" s="137">
        <v>320564</v>
      </c>
      <c r="D82" s="138">
        <v>458105</v>
      </c>
      <c r="E82" s="137">
        <v>134094</v>
      </c>
      <c r="F82" s="137">
        <v>25332</v>
      </c>
      <c r="G82" s="137">
        <v>104574</v>
      </c>
      <c r="H82" s="128"/>
      <c r="J82" s="144" t="s">
        <v>856</v>
      </c>
      <c r="K82" s="137">
        <v>629153</v>
      </c>
      <c r="L82" s="137">
        <v>262732</v>
      </c>
      <c r="M82" s="138">
        <v>377783</v>
      </c>
      <c r="N82" s="137">
        <v>140695</v>
      </c>
      <c r="O82" s="137">
        <v>26569</v>
      </c>
      <c r="P82" s="137">
        <v>110244</v>
      </c>
    </row>
    <row r="83" spans="1:16" ht="16.5" x14ac:dyDescent="0.3">
      <c r="A83" s="143" t="s">
        <v>857</v>
      </c>
      <c r="B83" s="137">
        <v>876127</v>
      </c>
      <c r="C83" s="137">
        <v>360223</v>
      </c>
      <c r="D83" s="138">
        <v>523066</v>
      </c>
      <c r="E83" s="137">
        <v>166839</v>
      </c>
      <c r="F83" s="137">
        <v>31010</v>
      </c>
      <c r="G83" s="137">
        <v>128344</v>
      </c>
      <c r="H83" s="128"/>
      <c r="J83" s="144" t="s">
        <v>858</v>
      </c>
      <c r="K83" s="137">
        <v>739879</v>
      </c>
      <c r="L83" s="137">
        <v>308449</v>
      </c>
      <c r="M83" s="138">
        <v>442852</v>
      </c>
      <c r="N83" s="137">
        <v>167333</v>
      </c>
      <c r="O83" s="137">
        <v>31427</v>
      </c>
      <c r="P83" s="137">
        <v>131240</v>
      </c>
    </row>
    <row r="84" spans="1:16" ht="16.5" x14ac:dyDescent="0.3">
      <c r="A84" s="143" t="s">
        <v>859</v>
      </c>
      <c r="B84" s="137">
        <v>781105</v>
      </c>
      <c r="C84" s="137">
        <v>325474</v>
      </c>
      <c r="D84" s="138">
        <v>464977</v>
      </c>
      <c r="E84" s="137">
        <v>150509</v>
      </c>
      <c r="F84" s="137">
        <v>27524</v>
      </c>
      <c r="G84" s="137">
        <v>113625</v>
      </c>
      <c r="H84" s="128"/>
      <c r="J84" s="144" t="s">
        <v>860</v>
      </c>
      <c r="K84" s="137">
        <v>706762</v>
      </c>
      <c r="L84" s="137">
        <v>293812</v>
      </c>
      <c r="M84" s="138">
        <v>421551</v>
      </c>
      <c r="N84" s="137">
        <v>172251</v>
      </c>
      <c r="O84" s="137">
        <v>31858</v>
      </c>
      <c r="P84" s="137">
        <v>134104</v>
      </c>
    </row>
    <row r="85" spans="1:16" ht="16.5" x14ac:dyDescent="0.3">
      <c r="A85" s="143" t="s">
        <v>861</v>
      </c>
      <c r="B85" s="137">
        <v>704696</v>
      </c>
      <c r="C85" s="137">
        <v>293945</v>
      </c>
      <c r="D85" s="138">
        <v>422998</v>
      </c>
      <c r="E85" s="137">
        <v>162983</v>
      </c>
      <c r="F85" s="137">
        <v>29853</v>
      </c>
      <c r="G85" s="137">
        <v>126957</v>
      </c>
      <c r="H85" s="128"/>
      <c r="J85" s="144" t="s">
        <v>862</v>
      </c>
      <c r="K85" s="141"/>
      <c r="L85" s="141"/>
      <c r="M85" s="142"/>
      <c r="N85" s="141"/>
      <c r="O85" s="141"/>
      <c r="P85" s="141"/>
    </row>
    <row r="86" spans="1:16" ht="16.5" x14ac:dyDescent="0.3">
      <c r="A86" s="143" t="s">
        <v>854</v>
      </c>
      <c r="B86" s="137">
        <v>651282</v>
      </c>
      <c r="C86" s="137">
        <v>271629</v>
      </c>
      <c r="D86" s="138">
        <v>386822</v>
      </c>
      <c r="E86" s="137">
        <v>163540</v>
      </c>
      <c r="F86" s="137">
        <v>30321</v>
      </c>
      <c r="G86" s="137">
        <v>126796</v>
      </c>
      <c r="H86" s="128"/>
      <c r="J86" s="144" t="s">
        <v>863</v>
      </c>
      <c r="K86" s="141"/>
      <c r="L86" s="141"/>
      <c r="M86" s="142"/>
      <c r="N86" s="141"/>
      <c r="O86" s="141"/>
      <c r="P86" s="141"/>
    </row>
    <row r="87" spans="1:16" ht="16.5" x14ac:dyDescent="0.3">
      <c r="A87" s="143" t="s">
        <v>856</v>
      </c>
      <c r="B87" s="137">
        <v>629153</v>
      </c>
      <c r="C87" s="137">
        <v>262732</v>
      </c>
      <c r="D87" s="138">
        <v>377783</v>
      </c>
      <c r="E87" s="137">
        <v>140695</v>
      </c>
      <c r="F87" s="137">
        <v>26569</v>
      </c>
      <c r="G87" s="137">
        <v>110244</v>
      </c>
      <c r="H87" s="128"/>
      <c r="J87" s="144" t="s">
        <v>864</v>
      </c>
      <c r="K87" s="141"/>
      <c r="L87" s="141"/>
      <c r="M87" s="142"/>
      <c r="N87" s="141"/>
      <c r="O87" s="141"/>
      <c r="P87" s="141"/>
    </row>
    <row r="88" spans="1:16" ht="16.5" x14ac:dyDescent="0.3">
      <c r="A88" s="143" t="s">
        <v>858</v>
      </c>
      <c r="B88" s="137">
        <v>739879</v>
      </c>
      <c r="C88" s="137">
        <v>308449</v>
      </c>
      <c r="D88" s="138">
        <v>442852</v>
      </c>
      <c r="E88" s="137">
        <v>167333</v>
      </c>
      <c r="F88" s="137">
        <v>31427</v>
      </c>
      <c r="G88" s="137">
        <v>131240</v>
      </c>
      <c r="H88" s="128"/>
      <c r="J88" s="144" t="s">
        <v>853</v>
      </c>
      <c r="K88" s="141"/>
      <c r="L88" s="141"/>
      <c r="M88" s="142"/>
      <c r="N88" s="141"/>
      <c r="O88" s="141"/>
      <c r="P88" s="141"/>
    </row>
    <row r="89" spans="1:16" ht="16.5" x14ac:dyDescent="0.3">
      <c r="A89" s="143" t="s">
        <v>860</v>
      </c>
      <c r="B89" s="137">
        <v>706762</v>
      </c>
      <c r="C89" s="137">
        <v>293812</v>
      </c>
      <c r="D89" s="138">
        <v>421551</v>
      </c>
      <c r="E89" s="137">
        <v>172251</v>
      </c>
      <c r="F89" s="137">
        <v>31858</v>
      </c>
      <c r="G89" s="137">
        <v>134104</v>
      </c>
      <c r="H89" s="128"/>
      <c r="J89" s="144" t="s">
        <v>855</v>
      </c>
      <c r="K89" s="141"/>
      <c r="L89" s="141"/>
      <c r="M89" s="142"/>
      <c r="N89" s="141"/>
      <c r="O89" s="141"/>
      <c r="P89" s="141"/>
    </row>
    <row r="90" spans="1:16" ht="16.5" x14ac:dyDescent="0.3">
      <c r="A90" s="143" t="s">
        <v>862</v>
      </c>
      <c r="B90" s="141"/>
      <c r="C90" s="141"/>
      <c r="D90" s="142"/>
      <c r="E90" s="141"/>
      <c r="F90" s="141"/>
      <c r="G90" s="141"/>
      <c r="H90" s="128"/>
      <c r="J90" s="144" t="s">
        <v>857</v>
      </c>
      <c r="K90" s="141"/>
      <c r="L90" s="141"/>
      <c r="M90" s="142"/>
      <c r="N90" s="141"/>
      <c r="O90" s="141"/>
      <c r="P90" s="141"/>
    </row>
    <row r="91" spans="1:16" ht="16.5" x14ac:dyDescent="0.3">
      <c r="A91" s="143" t="s">
        <v>863</v>
      </c>
      <c r="B91" s="141"/>
      <c r="C91" s="141"/>
      <c r="D91" s="142"/>
      <c r="E91" s="141"/>
      <c r="F91" s="141"/>
      <c r="G91" s="141"/>
      <c r="H91" s="128"/>
      <c r="J91" s="144" t="s">
        <v>859</v>
      </c>
      <c r="K91" s="141"/>
      <c r="L91" s="141"/>
      <c r="M91" s="142"/>
      <c r="N91" s="141"/>
      <c r="O91" s="141"/>
      <c r="P91" s="141"/>
    </row>
    <row r="92" spans="1:16" ht="16.5" x14ac:dyDescent="0.3">
      <c r="A92" s="143" t="s">
        <v>864</v>
      </c>
      <c r="B92" s="141"/>
      <c r="C92" s="141"/>
      <c r="D92" s="142"/>
      <c r="E92" s="141"/>
      <c r="F92" s="141"/>
      <c r="G92" s="141"/>
      <c r="H92" s="128"/>
      <c r="J92" s="144" t="s">
        <v>861</v>
      </c>
      <c r="K92" s="141"/>
      <c r="L92" s="141"/>
      <c r="M92" s="142"/>
      <c r="N92" s="141"/>
      <c r="O92" s="141"/>
      <c r="P92" s="141"/>
    </row>
    <row r="93" spans="1:16" ht="16.5" x14ac:dyDescent="0.3">
      <c r="A93" s="143"/>
      <c r="B93" s="141"/>
      <c r="C93" s="141"/>
      <c r="D93" s="142"/>
      <c r="E93" s="141"/>
      <c r="F93" s="141"/>
      <c r="G93" s="141"/>
      <c r="H93" s="128"/>
      <c r="J93" s="147" t="s">
        <v>866</v>
      </c>
      <c r="K93" s="145">
        <v>2727076</v>
      </c>
      <c r="L93" s="145">
        <v>1136622</v>
      </c>
      <c r="M93" s="146">
        <v>1629008</v>
      </c>
      <c r="N93" s="145">
        <v>643819</v>
      </c>
      <c r="O93" s="145">
        <v>120175</v>
      </c>
      <c r="P93" s="145">
        <v>502384</v>
      </c>
    </row>
    <row r="94" spans="1:16" ht="16.5" x14ac:dyDescent="0.3">
      <c r="A94" s="136" t="s">
        <v>867</v>
      </c>
      <c r="B94" s="145">
        <v>6529374</v>
      </c>
      <c r="C94" s="145">
        <v>2724123</v>
      </c>
      <c r="D94" s="146">
        <v>3880161</v>
      </c>
      <c r="E94" s="145">
        <v>1387292</v>
      </c>
      <c r="F94" s="145">
        <v>257233</v>
      </c>
      <c r="G94" s="145">
        <v>1074285</v>
      </c>
      <c r="H94" s="1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50C1-37AD-42CA-BC71-02C35B6394AF}">
  <dimension ref="A1:U73"/>
  <sheetViews>
    <sheetView topLeftCell="B51" zoomScale="115" zoomScaleNormal="115" workbookViewId="0">
      <selection activeCell="I67" sqref="I67"/>
    </sheetView>
  </sheetViews>
  <sheetFormatPr defaultColWidth="10.875" defaultRowHeight="12.75" x14ac:dyDescent="0.2"/>
  <cols>
    <col min="1" max="1" width="10.875" style="5"/>
    <col min="2" max="2" width="23.375" style="5" customWidth="1"/>
    <col min="3" max="3" width="23.625" style="5" bestFit="1" customWidth="1"/>
    <col min="4" max="8" width="22.125" style="5" customWidth="1"/>
    <col min="9" max="9" width="63.625" style="5" customWidth="1"/>
    <col min="10" max="10" width="11.375" style="5" hidden="1" customWidth="1"/>
    <col min="11" max="13" width="10.875" style="5" hidden="1" customWidth="1"/>
    <col min="14" max="15" width="0" style="5" hidden="1" customWidth="1"/>
    <col min="16" max="16384" width="10.875" style="5"/>
  </cols>
  <sheetData>
    <row r="1" spans="1:19" ht="25.5" x14ac:dyDescent="0.35">
      <c r="A1" s="97"/>
      <c r="B1" s="98" t="s">
        <v>742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54.75" thickBot="1" x14ac:dyDescent="0.3">
      <c r="A2" s="103" t="s">
        <v>868</v>
      </c>
      <c r="B2" s="99" t="s">
        <v>743</v>
      </c>
      <c r="C2" s="99" t="s">
        <v>744</v>
      </c>
      <c r="D2" s="100" t="s">
        <v>745</v>
      </c>
      <c r="E2" s="101" t="s">
        <v>746</v>
      </c>
      <c r="F2" s="100" t="s">
        <v>747</v>
      </c>
      <c r="G2" s="100" t="s">
        <v>748</v>
      </c>
      <c r="H2" s="100" t="s">
        <v>749</v>
      </c>
      <c r="I2" s="148" t="s">
        <v>222</v>
      </c>
      <c r="J2" s="148" t="s">
        <v>869</v>
      </c>
      <c r="K2" s="148" t="s">
        <v>750</v>
      </c>
      <c r="L2" s="148" t="s">
        <v>751</v>
      </c>
      <c r="M2" s="148" t="s">
        <v>282</v>
      </c>
      <c r="N2" s="148" t="s">
        <v>509</v>
      </c>
      <c r="O2" s="148" t="s">
        <v>870</v>
      </c>
      <c r="P2" s="148" t="s">
        <v>871</v>
      </c>
      <c r="Q2" s="148" t="s">
        <v>11</v>
      </c>
      <c r="R2" s="97"/>
      <c r="S2" s="97"/>
    </row>
    <row r="3" spans="1:19" ht="15.75" x14ac:dyDescent="0.25">
      <c r="A3" s="149">
        <v>2013</v>
      </c>
      <c r="B3" s="104" t="s">
        <v>12</v>
      </c>
      <c r="C3" s="105" t="s">
        <v>753</v>
      </c>
      <c r="D3" s="106"/>
      <c r="E3" s="107">
        <v>4000</v>
      </c>
      <c r="F3" s="106">
        <f>E3*350</f>
        <v>1400000</v>
      </c>
      <c r="G3" s="106">
        <f>F3*0.435</f>
        <v>609000</v>
      </c>
      <c r="H3" s="106"/>
      <c r="I3" s="108" t="s">
        <v>755</v>
      </c>
      <c r="J3" s="108" t="s">
        <v>872</v>
      </c>
      <c r="K3" s="108"/>
      <c r="L3" s="108" t="s">
        <v>756</v>
      </c>
      <c r="M3" s="108"/>
      <c r="N3" s="108" t="s">
        <v>756</v>
      </c>
      <c r="O3" s="108" t="str">
        <f>RIGHT(C3,2)</f>
        <v>AB</v>
      </c>
      <c r="P3" s="108">
        <v>2013</v>
      </c>
      <c r="Q3" s="108"/>
      <c r="R3" s="97"/>
      <c r="S3" s="97"/>
    </row>
    <row r="4" spans="1:19" ht="15.75" x14ac:dyDescent="0.25">
      <c r="A4" s="149">
        <v>2015</v>
      </c>
      <c r="B4" s="109" t="s">
        <v>12</v>
      </c>
      <c r="C4" s="110" t="s">
        <v>757</v>
      </c>
      <c r="D4" s="111"/>
      <c r="E4" s="112">
        <v>3600</v>
      </c>
      <c r="F4" s="111">
        <f>E4*350</f>
        <v>1260000</v>
      </c>
      <c r="G4" s="111">
        <f>F4*0.435</f>
        <v>548100</v>
      </c>
      <c r="H4" s="111">
        <v>548100</v>
      </c>
      <c r="I4" s="108" t="s">
        <v>758</v>
      </c>
      <c r="J4" s="108" t="s">
        <v>756</v>
      </c>
      <c r="K4" s="108"/>
      <c r="L4" s="108" t="s">
        <v>756</v>
      </c>
      <c r="M4" s="108" t="s">
        <v>756</v>
      </c>
      <c r="N4" s="108" t="s">
        <v>756</v>
      </c>
      <c r="O4" s="108" t="str">
        <f t="shared" ref="O4:O20" si="0">RIGHT(C4,2)</f>
        <v>ON</v>
      </c>
      <c r="P4" s="108">
        <v>2015</v>
      </c>
      <c r="Q4" s="108"/>
      <c r="R4" s="97"/>
      <c r="S4" s="97"/>
    </row>
    <row r="5" spans="1:19" ht="15.75" x14ac:dyDescent="0.25">
      <c r="A5" s="149">
        <v>2014</v>
      </c>
      <c r="B5" s="109" t="s">
        <v>75</v>
      </c>
      <c r="C5" s="110" t="s">
        <v>759</v>
      </c>
      <c r="D5" s="111">
        <v>297500</v>
      </c>
      <c r="E5" s="112">
        <v>1700</v>
      </c>
      <c r="F5" s="111">
        <f>(E5*350)-297500</f>
        <v>297500</v>
      </c>
      <c r="G5" s="111">
        <f t="shared" ref="G5:G20" si="1">F5*0.435</f>
        <v>129412.5</v>
      </c>
      <c r="H5" s="111"/>
      <c r="I5" s="108" t="s">
        <v>873</v>
      </c>
      <c r="J5" s="108" t="s">
        <v>872</v>
      </c>
      <c r="K5" s="108"/>
      <c r="L5" s="108" t="s">
        <v>756</v>
      </c>
      <c r="M5" s="108"/>
      <c r="N5" s="108" t="s">
        <v>756</v>
      </c>
      <c r="O5" s="108" t="str">
        <f t="shared" si="0"/>
        <v>AB</v>
      </c>
      <c r="P5" s="108">
        <v>2010</v>
      </c>
      <c r="Q5" s="108">
        <v>2014</v>
      </c>
      <c r="R5" s="97"/>
      <c r="S5" s="97"/>
    </row>
    <row r="6" spans="1:19" ht="15.75" x14ac:dyDescent="0.25">
      <c r="A6" s="149">
        <v>2010</v>
      </c>
      <c r="B6" s="109" t="s">
        <v>75</v>
      </c>
      <c r="C6" s="110" t="s">
        <v>761</v>
      </c>
      <c r="D6" s="111"/>
      <c r="E6" s="112">
        <v>1500</v>
      </c>
      <c r="F6" s="111">
        <f t="shared" ref="F6:F17" si="2">E6*350</f>
        <v>525000</v>
      </c>
      <c r="G6" s="111">
        <f t="shared" si="1"/>
        <v>228375</v>
      </c>
      <c r="H6" s="111">
        <f>G6</f>
        <v>228375</v>
      </c>
      <c r="I6" s="108" t="s">
        <v>762</v>
      </c>
      <c r="J6" s="108" t="s">
        <v>756</v>
      </c>
      <c r="K6" s="108"/>
      <c r="L6" s="108" t="s">
        <v>756</v>
      </c>
      <c r="M6" s="108"/>
      <c r="N6" s="108" t="s">
        <v>756</v>
      </c>
      <c r="O6" s="108" t="str">
        <f t="shared" si="0"/>
        <v>SK</v>
      </c>
      <c r="P6" s="108">
        <v>2010</v>
      </c>
      <c r="Q6" s="108"/>
      <c r="R6" s="97"/>
      <c r="S6" s="97"/>
    </row>
    <row r="7" spans="1:19" ht="15.75" x14ac:dyDescent="0.25">
      <c r="A7" s="149">
        <v>2010</v>
      </c>
      <c r="B7" s="109" t="s">
        <v>75</v>
      </c>
      <c r="C7" s="110" t="s">
        <v>763</v>
      </c>
      <c r="D7" s="111"/>
      <c r="E7" s="112">
        <v>1600</v>
      </c>
      <c r="F7" s="111">
        <f t="shared" si="2"/>
        <v>560000</v>
      </c>
      <c r="G7" s="111">
        <f t="shared" si="1"/>
        <v>243600</v>
      </c>
      <c r="H7" s="111">
        <f>G7</f>
        <v>243600</v>
      </c>
      <c r="I7" s="108" t="s">
        <v>762</v>
      </c>
      <c r="J7" s="108" t="s">
        <v>756</v>
      </c>
      <c r="K7" s="108"/>
      <c r="L7" s="108" t="s">
        <v>756</v>
      </c>
      <c r="M7" s="108"/>
      <c r="N7" s="108" t="s">
        <v>756</v>
      </c>
      <c r="O7" s="108" t="str">
        <f t="shared" si="0"/>
        <v>MB</v>
      </c>
      <c r="P7" s="108">
        <v>2010</v>
      </c>
      <c r="Q7" s="108"/>
      <c r="R7" s="97"/>
      <c r="S7" s="97"/>
    </row>
    <row r="8" spans="1:19" ht="15.75" x14ac:dyDescent="0.25">
      <c r="A8" s="149">
        <v>2012</v>
      </c>
      <c r="B8" s="109" t="s">
        <v>75</v>
      </c>
      <c r="C8" s="110" t="s">
        <v>764</v>
      </c>
      <c r="D8" s="111">
        <v>490000</v>
      </c>
      <c r="E8" s="112">
        <v>2500</v>
      </c>
      <c r="F8" s="111">
        <f>(E8*350)-490000</f>
        <v>385000</v>
      </c>
      <c r="G8" s="111">
        <f t="shared" si="1"/>
        <v>167475</v>
      </c>
      <c r="H8" s="111">
        <f>G8</f>
        <v>167475</v>
      </c>
      <c r="I8" s="108" t="s">
        <v>874</v>
      </c>
      <c r="J8" s="108" t="s">
        <v>756</v>
      </c>
      <c r="K8" s="108"/>
      <c r="L8" s="108" t="s">
        <v>756</v>
      </c>
      <c r="M8" s="108"/>
      <c r="N8" s="108" t="s">
        <v>756</v>
      </c>
      <c r="O8" s="108" t="str">
        <f t="shared" si="0"/>
        <v>MB</v>
      </c>
      <c r="P8" s="108">
        <v>2010</v>
      </c>
      <c r="Q8" s="108">
        <v>2012</v>
      </c>
      <c r="R8" s="97"/>
      <c r="S8" s="97"/>
    </row>
    <row r="9" spans="1:19" ht="15.75" x14ac:dyDescent="0.25">
      <c r="A9" s="149">
        <v>2007</v>
      </c>
      <c r="B9" s="109" t="s">
        <v>75</v>
      </c>
      <c r="C9" s="110" t="s">
        <v>765</v>
      </c>
      <c r="D9" s="111"/>
      <c r="E9" s="112">
        <v>3000</v>
      </c>
      <c r="F9" s="111">
        <f t="shared" si="2"/>
        <v>1050000</v>
      </c>
      <c r="G9" s="111">
        <f t="shared" si="1"/>
        <v>456750</v>
      </c>
      <c r="H9" s="111">
        <v>456750</v>
      </c>
      <c r="I9" s="108" t="s">
        <v>766</v>
      </c>
      <c r="J9" s="108" t="s">
        <v>756</v>
      </c>
      <c r="K9" s="108"/>
      <c r="L9" s="108" t="s">
        <v>756</v>
      </c>
      <c r="M9" s="108" t="s">
        <v>756</v>
      </c>
      <c r="N9" s="108" t="s">
        <v>756</v>
      </c>
      <c r="O9" s="108" t="str">
        <f t="shared" si="0"/>
        <v>ON</v>
      </c>
      <c r="P9" s="108">
        <v>2007</v>
      </c>
      <c r="Q9" s="108"/>
      <c r="R9" s="97"/>
      <c r="S9" s="97"/>
    </row>
    <row r="10" spans="1:19" ht="15.75" x14ac:dyDescent="0.25">
      <c r="A10" s="149">
        <v>2015</v>
      </c>
      <c r="B10" s="109" t="s">
        <v>95</v>
      </c>
      <c r="C10" s="110" t="s">
        <v>767</v>
      </c>
      <c r="D10" s="111"/>
      <c r="E10" s="112">
        <v>2500</v>
      </c>
      <c r="F10" s="111">
        <f t="shared" si="2"/>
        <v>875000</v>
      </c>
      <c r="G10" s="111">
        <f t="shared" si="1"/>
        <v>380625</v>
      </c>
      <c r="H10" s="111"/>
      <c r="I10" s="108" t="s">
        <v>768</v>
      </c>
      <c r="J10" s="108" t="s">
        <v>872</v>
      </c>
      <c r="K10" s="108"/>
      <c r="L10" s="108" t="s">
        <v>756</v>
      </c>
      <c r="M10" s="108"/>
      <c r="N10" s="108" t="s">
        <v>756</v>
      </c>
      <c r="O10" s="108" t="str">
        <f t="shared" si="0"/>
        <v>AB</v>
      </c>
      <c r="P10" s="108">
        <v>2015</v>
      </c>
      <c r="Q10" s="108"/>
      <c r="R10" s="97"/>
      <c r="S10" s="97"/>
    </row>
    <row r="11" spans="1:19" ht="15.75" x14ac:dyDescent="0.25">
      <c r="A11" s="149">
        <v>2015</v>
      </c>
      <c r="B11" s="109" t="s">
        <v>95</v>
      </c>
      <c r="C11" s="110" t="s">
        <v>769</v>
      </c>
      <c r="D11" s="111"/>
      <c r="E11" s="112">
        <v>4500</v>
      </c>
      <c r="F11" s="111">
        <f t="shared" si="2"/>
        <v>1575000</v>
      </c>
      <c r="G11" s="111">
        <f t="shared" si="1"/>
        <v>685125</v>
      </c>
      <c r="H11" s="111">
        <f>G11*1.5</f>
        <v>1027687.5</v>
      </c>
      <c r="I11" s="108" t="s">
        <v>770</v>
      </c>
      <c r="J11" s="108" t="s">
        <v>756</v>
      </c>
      <c r="K11" s="108"/>
      <c r="L11" s="108" t="s">
        <v>756</v>
      </c>
      <c r="M11" s="108"/>
      <c r="N11" s="108" t="s">
        <v>756</v>
      </c>
      <c r="O11" s="108" t="str">
        <f t="shared" si="0"/>
        <v>SK</v>
      </c>
      <c r="P11" s="108">
        <v>2015</v>
      </c>
      <c r="Q11" s="108"/>
      <c r="R11" s="97"/>
      <c r="S11" s="97"/>
    </row>
    <row r="12" spans="1:19" ht="15.75" x14ac:dyDescent="0.25">
      <c r="A12" s="150">
        <v>2024</v>
      </c>
      <c r="B12" s="109" t="s">
        <v>95</v>
      </c>
      <c r="C12" s="110" t="s">
        <v>771</v>
      </c>
      <c r="D12" s="111">
        <v>1000000</v>
      </c>
      <c r="E12" s="112">
        <f>MROUND(F12/350,50)</f>
        <v>0</v>
      </c>
      <c r="F12" s="111">
        <v>0</v>
      </c>
      <c r="G12" s="111">
        <f t="shared" si="1"/>
        <v>0</v>
      </c>
      <c r="H12" s="111"/>
      <c r="I12" s="108"/>
      <c r="J12" s="108" t="s">
        <v>872</v>
      </c>
      <c r="K12" s="108"/>
      <c r="L12" s="108" t="s">
        <v>756</v>
      </c>
      <c r="M12" s="108"/>
      <c r="N12" s="108" t="s">
        <v>756</v>
      </c>
      <c r="O12" s="108" t="str">
        <f t="shared" si="0"/>
        <v>SK</v>
      </c>
      <c r="P12" s="108"/>
      <c r="Q12" s="108">
        <v>2024</v>
      </c>
      <c r="R12" s="97"/>
      <c r="S12" s="97"/>
    </row>
    <row r="13" spans="1:19" ht="15.75" x14ac:dyDescent="0.25">
      <c r="A13" s="150">
        <v>2026</v>
      </c>
      <c r="B13" s="109" t="s">
        <v>772</v>
      </c>
      <c r="C13" s="110" t="s">
        <v>771</v>
      </c>
      <c r="D13" s="111">
        <v>1100000</v>
      </c>
      <c r="E13" s="112">
        <f>F13/350</f>
        <v>0</v>
      </c>
      <c r="F13" s="111">
        <v>0</v>
      </c>
      <c r="G13" s="111">
        <f t="shared" si="1"/>
        <v>0</v>
      </c>
      <c r="H13" s="111">
        <v>375000</v>
      </c>
      <c r="I13" s="108" t="s">
        <v>773</v>
      </c>
      <c r="J13" s="108" t="s">
        <v>756</v>
      </c>
      <c r="K13" s="108"/>
      <c r="L13" s="108"/>
      <c r="M13" s="108"/>
      <c r="N13" s="108"/>
      <c r="O13" s="108" t="str">
        <f t="shared" si="0"/>
        <v>SK</v>
      </c>
      <c r="P13" s="108"/>
      <c r="Q13" s="108">
        <v>2026</v>
      </c>
      <c r="R13" s="97"/>
      <c r="S13" s="97"/>
    </row>
    <row r="14" spans="1:19" ht="15.75" x14ac:dyDescent="0.25">
      <c r="A14" s="149">
        <v>2010</v>
      </c>
      <c r="B14" s="109" t="s">
        <v>454</v>
      </c>
      <c r="C14" s="110" t="s">
        <v>774</v>
      </c>
      <c r="D14" s="111"/>
      <c r="E14" s="112">
        <v>2000</v>
      </c>
      <c r="F14" s="111">
        <f t="shared" si="2"/>
        <v>700000</v>
      </c>
      <c r="G14" s="111">
        <f t="shared" si="1"/>
        <v>304500</v>
      </c>
      <c r="H14" s="111">
        <f>G14</f>
        <v>304500</v>
      </c>
      <c r="I14" s="108" t="s">
        <v>775</v>
      </c>
      <c r="J14" s="108" t="s">
        <v>756</v>
      </c>
      <c r="K14" s="108"/>
      <c r="L14" s="108" t="s">
        <v>756</v>
      </c>
      <c r="M14" s="108"/>
      <c r="N14" s="108" t="s">
        <v>756</v>
      </c>
      <c r="O14" s="108" t="str">
        <f t="shared" si="0"/>
        <v>AB</v>
      </c>
      <c r="P14" s="108">
        <v>2010</v>
      </c>
      <c r="Q14" s="108"/>
      <c r="R14" s="97"/>
      <c r="S14" s="97"/>
    </row>
    <row r="15" spans="1:19" ht="15.75" x14ac:dyDescent="0.25">
      <c r="A15" s="151">
        <v>2024</v>
      </c>
      <c r="B15" s="109" t="s">
        <v>454</v>
      </c>
      <c r="C15" s="110" t="s">
        <v>779</v>
      </c>
      <c r="D15" s="111">
        <f>2200000-F15</f>
        <v>1150000</v>
      </c>
      <c r="E15" s="112">
        <v>3000</v>
      </c>
      <c r="F15" s="111">
        <f t="shared" si="2"/>
        <v>1050000</v>
      </c>
      <c r="G15" s="111">
        <f>F15*0.435</f>
        <v>456750</v>
      </c>
      <c r="H15" s="111">
        <f>2400*350</f>
        <v>840000</v>
      </c>
      <c r="I15" s="108" t="s">
        <v>780</v>
      </c>
      <c r="J15" s="108" t="s">
        <v>756</v>
      </c>
      <c r="K15" s="108"/>
      <c r="L15" s="108" t="s">
        <v>756</v>
      </c>
      <c r="M15" s="108"/>
      <c r="N15" s="108" t="s">
        <v>756</v>
      </c>
      <c r="O15" s="108" t="str">
        <f t="shared" si="0"/>
        <v>SK</v>
      </c>
      <c r="P15" s="108">
        <v>2010</v>
      </c>
      <c r="Q15" s="108">
        <v>2024</v>
      </c>
      <c r="R15" s="97" t="s">
        <v>781</v>
      </c>
      <c r="S15" s="97"/>
    </row>
    <row r="16" spans="1:19" ht="15.75" x14ac:dyDescent="0.25">
      <c r="A16" s="149">
        <v>2010</v>
      </c>
      <c r="B16" s="109" t="s">
        <v>407</v>
      </c>
      <c r="C16" s="110" t="s">
        <v>779</v>
      </c>
      <c r="D16" s="111"/>
      <c r="E16" s="112">
        <v>3500</v>
      </c>
      <c r="F16" s="111">
        <f t="shared" si="2"/>
        <v>1225000</v>
      </c>
      <c r="G16" s="111">
        <f t="shared" si="1"/>
        <v>532875</v>
      </c>
      <c r="H16" s="111">
        <f>3000*350</f>
        <v>1050000</v>
      </c>
      <c r="I16" s="108" t="s">
        <v>875</v>
      </c>
      <c r="J16" s="108" t="s">
        <v>756</v>
      </c>
      <c r="K16" s="108"/>
      <c r="L16" s="108" t="s">
        <v>756</v>
      </c>
      <c r="M16" s="108"/>
      <c r="N16" s="108" t="s">
        <v>756</v>
      </c>
      <c r="O16" s="108" t="str">
        <f t="shared" si="0"/>
        <v>SK</v>
      </c>
      <c r="P16" s="108">
        <v>2010</v>
      </c>
      <c r="Q16" s="108"/>
      <c r="R16" s="97"/>
      <c r="S16" s="97"/>
    </row>
    <row r="17" spans="1:21" ht="15.75" x14ac:dyDescent="0.25">
      <c r="A17" s="149">
        <v>2010</v>
      </c>
      <c r="B17" s="109" t="s">
        <v>511</v>
      </c>
      <c r="C17" s="110" t="s">
        <v>783</v>
      </c>
      <c r="D17" s="111"/>
      <c r="E17" s="112">
        <v>1000</v>
      </c>
      <c r="F17" s="111">
        <f t="shared" si="2"/>
        <v>350000</v>
      </c>
      <c r="G17" s="111">
        <f t="shared" si="1"/>
        <v>152250</v>
      </c>
      <c r="H17" s="111">
        <f>G17</f>
        <v>152250</v>
      </c>
      <c r="I17" s="108" t="s">
        <v>784</v>
      </c>
      <c r="J17" s="108" t="s">
        <v>756</v>
      </c>
      <c r="K17" s="108"/>
      <c r="L17" s="108" t="s">
        <v>756</v>
      </c>
      <c r="M17" s="108"/>
      <c r="N17" s="108" t="s">
        <v>756</v>
      </c>
      <c r="O17" s="108" t="str">
        <f t="shared" si="0"/>
        <v>MB</v>
      </c>
      <c r="P17" s="108">
        <v>2010</v>
      </c>
      <c r="Q17" s="108"/>
      <c r="R17" s="97"/>
      <c r="S17" s="97"/>
    </row>
    <row r="18" spans="1:21" ht="15.75" x14ac:dyDescent="0.25">
      <c r="A18" s="150">
        <v>2024</v>
      </c>
      <c r="B18" s="109" t="s">
        <v>511</v>
      </c>
      <c r="C18" s="110" t="s">
        <v>771</v>
      </c>
      <c r="D18" s="111">
        <v>2500750</v>
      </c>
      <c r="E18" s="112">
        <v>7145</v>
      </c>
      <c r="F18" s="111">
        <v>0</v>
      </c>
      <c r="G18" s="111">
        <f t="shared" si="1"/>
        <v>0</v>
      </c>
      <c r="H18" s="111"/>
      <c r="I18" s="108"/>
      <c r="J18" s="108" t="s">
        <v>872</v>
      </c>
      <c r="K18" s="108"/>
      <c r="L18" s="108" t="s">
        <v>756</v>
      </c>
      <c r="M18" s="108"/>
      <c r="N18" s="108" t="s">
        <v>756</v>
      </c>
      <c r="O18" s="108" t="str">
        <f t="shared" si="0"/>
        <v>SK</v>
      </c>
      <c r="P18" s="108"/>
      <c r="Q18" s="108">
        <v>2024</v>
      </c>
      <c r="R18" s="97"/>
      <c r="S18" s="97"/>
    </row>
    <row r="19" spans="1:21" ht="15.75" x14ac:dyDescent="0.25">
      <c r="A19" s="149">
        <v>2010</v>
      </c>
      <c r="B19" s="109" t="s">
        <v>511</v>
      </c>
      <c r="C19" s="110" t="s">
        <v>786</v>
      </c>
      <c r="D19" s="111"/>
      <c r="E19" s="112">
        <v>1800</v>
      </c>
      <c r="F19" s="111">
        <f>E19*350</f>
        <v>630000</v>
      </c>
      <c r="G19" s="111">
        <f>F19*0.435</f>
        <v>274050</v>
      </c>
      <c r="H19" s="111">
        <f>2900*350</f>
        <v>1015000</v>
      </c>
      <c r="I19" s="108" t="s">
        <v>787</v>
      </c>
      <c r="J19" s="108" t="s">
        <v>756</v>
      </c>
      <c r="K19" s="108"/>
      <c r="L19" s="108" t="s">
        <v>756</v>
      </c>
      <c r="M19" s="108" t="s">
        <v>756</v>
      </c>
      <c r="N19" s="108" t="s">
        <v>756</v>
      </c>
      <c r="O19" s="108" t="str">
        <f t="shared" si="0"/>
        <v>QC</v>
      </c>
      <c r="P19" s="108">
        <v>2010</v>
      </c>
      <c r="Q19" s="108"/>
      <c r="R19" s="97"/>
      <c r="S19" s="97"/>
    </row>
    <row r="20" spans="1:21" ht="16.5" thickBot="1" x14ac:dyDescent="0.3">
      <c r="A20" s="150">
        <v>2024</v>
      </c>
      <c r="B20" s="109" t="s">
        <v>876</v>
      </c>
      <c r="C20" s="110" t="s">
        <v>800</v>
      </c>
      <c r="D20" s="111">
        <v>1100750</v>
      </c>
      <c r="E20" s="112">
        <v>3145</v>
      </c>
      <c r="F20" s="111">
        <v>0</v>
      </c>
      <c r="G20" s="111">
        <f t="shared" si="1"/>
        <v>0</v>
      </c>
      <c r="H20" s="111">
        <v>500000</v>
      </c>
      <c r="I20" s="108"/>
      <c r="J20" s="108" t="s">
        <v>756</v>
      </c>
      <c r="K20" s="108"/>
      <c r="L20" s="108" t="s">
        <v>756</v>
      </c>
      <c r="M20" s="108"/>
      <c r="N20" s="108" t="s">
        <v>756</v>
      </c>
      <c r="O20" s="108" t="str">
        <f t="shared" si="0"/>
        <v>SK</v>
      </c>
      <c r="P20" s="108"/>
      <c r="Q20" s="108">
        <v>2024</v>
      </c>
      <c r="R20" s="97"/>
      <c r="S20" s="97"/>
    </row>
    <row r="21" spans="1:21" ht="14.25" thickTop="1" thickBot="1" x14ac:dyDescent="0.25">
      <c r="A21" s="97"/>
      <c r="B21" s="152"/>
      <c r="C21" s="152"/>
      <c r="D21" s="152"/>
      <c r="E21" s="152"/>
      <c r="F21" s="152"/>
      <c r="G21" s="152"/>
      <c r="H21" s="152"/>
      <c r="I21" s="97" t="s">
        <v>788</v>
      </c>
      <c r="J21" s="97"/>
      <c r="K21" s="97" t="s">
        <v>789</v>
      </c>
      <c r="L21" s="97" t="s">
        <v>790</v>
      </c>
      <c r="M21" s="97"/>
      <c r="N21" s="97"/>
      <c r="O21" s="97"/>
      <c r="P21" s="97"/>
      <c r="Q21" s="97"/>
      <c r="R21" s="97"/>
      <c r="S21" s="97"/>
    </row>
    <row r="22" spans="1:21" ht="17.25" thickBot="1" x14ac:dyDescent="0.35">
      <c r="A22" s="153"/>
      <c r="B22" s="154" t="s">
        <v>877</v>
      </c>
      <c r="C22" s="154"/>
      <c r="D22" s="155">
        <f>SUM(D3:D20)</f>
        <v>7639000</v>
      </c>
      <c r="E22" s="155">
        <f>SUM(E3:E11,E14,E16:E17,E19)</f>
        <v>33200</v>
      </c>
      <c r="F22" s="155">
        <f>SUM(F3:F11,F14,F16:F17,F19)</f>
        <v>10832500</v>
      </c>
      <c r="G22" s="155">
        <f>SUM(G3:G11,G14,G16:G17,G19)</f>
        <v>4712137.5</v>
      </c>
      <c r="H22" s="156">
        <f>SUM(H3:H11,H14,H16:H17,H19)</f>
        <v>5193737.5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U22" s="5">
        <f>600*350</f>
        <v>210000</v>
      </c>
    </row>
    <row r="23" spans="1:21" x14ac:dyDescent="0.2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</row>
    <row r="24" spans="1:21" x14ac:dyDescent="0.2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</row>
    <row r="25" spans="1:21" x14ac:dyDescent="0.2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</row>
    <row r="26" spans="1:21" x14ac:dyDescent="0.2">
      <c r="A26" s="97"/>
      <c r="B26" s="97"/>
      <c r="C26" s="97"/>
      <c r="D26" s="97"/>
      <c r="E26" s="97"/>
      <c r="F26" s="117">
        <f>F8+D8</f>
        <v>875000</v>
      </c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</row>
    <row r="27" spans="1:21" ht="25.5" x14ac:dyDescent="0.35">
      <c r="A27" s="97"/>
      <c r="B27" s="98" t="s">
        <v>805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</row>
    <row r="28" spans="1:21" ht="54.75" thickBot="1" x14ac:dyDescent="0.3">
      <c r="A28" s="103" t="s">
        <v>868</v>
      </c>
      <c r="B28" s="120" t="s">
        <v>743</v>
      </c>
      <c r="C28" s="120" t="s">
        <v>744</v>
      </c>
      <c r="D28" s="100" t="s">
        <v>745</v>
      </c>
      <c r="E28" s="101" t="s">
        <v>746</v>
      </c>
      <c r="F28" s="100" t="s">
        <v>747</v>
      </c>
      <c r="G28" s="100" t="s">
        <v>748</v>
      </c>
      <c r="H28" s="100" t="s">
        <v>749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</row>
    <row r="29" spans="1:21" ht="15.75" x14ac:dyDescent="0.25">
      <c r="A29" s="97"/>
      <c r="B29" s="104" t="s">
        <v>12</v>
      </c>
      <c r="C29" s="105" t="s">
        <v>806</v>
      </c>
      <c r="D29" s="121"/>
      <c r="E29" s="122">
        <v>1800</v>
      </c>
      <c r="F29" s="121">
        <f t="shared" ref="F29:F35" si="3">E29*350</f>
        <v>630000</v>
      </c>
      <c r="G29" s="121">
        <f t="shared" ref="G29:G35" si="4">F29*0.435</f>
        <v>274050</v>
      </c>
      <c r="H29" s="121"/>
      <c r="I29" s="108" t="s">
        <v>807</v>
      </c>
      <c r="J29" s="108" t="s">
        <v>872</v>
      </c>
      <c r="K29" s="108" t="s">
        <v>756</v>
      </c>
      <c r="L29" s="108" t="s">
        <v>872</v>
      </c>
      <c r="M29" s="108"/>
      <c r="N29" s="108" t="s">
        <v>756</v>
      </c>
      <c r="O29" s="108"/>
      <c r="P29" s="157"/>
      <c r="Q29" s="157"/>
      <c r="R29" s="97"/>
      <c r="S29" s="97"/>
    </row>
    <row r="30" spans="1:21" ht="15.75" x14ac:dyDescent="0.25">
      <c r="A30" s="97"/>
      <c r="B30" s="109" t="s">
        <v>12</v>
      </c>
      <c r="C30" s="110" t="s">
        <v>808</v>
      </c>
      <c r="D30" s="123"/>
      <c r="E30" s="124">
        <v>1800</v>
      </c>
      <c r="F30" s="123">
        <f t="shared" si="3"/>
        <v>630000</v>
      </c>
      <c r="G30" s="123">
        <f t="shared" si="4"/>
        <v>274050</v>
      </c>
      <c r="H30" s="123">
        <f>G30</f>
        <v>274050</v>
      </c>
      <c r="I30" s="108" t="s">
        <v>809</v>
      </c>
      <c r="J30" s="108" t="s">
        <v>756</v>
      </c>
      <c r="K30" s="108" t="s">
        <v>756</v>
      </c>
      <c r="L30" s="108" t="s">
        <v>872</v>
      </c>
      <c r="M30" s="108" t="s">
        <v>756</v>
      </c>
      <c r="N30" s="108" t="s">
        <v>756</v>
      </c>
      <c r="O30" s="108"/>
      <c r="P30" s="157"/>
      <c r="Q30" s="157"/>
      <c r="R30" s="97"/>
      <c r="S30" s="97"/>
    </row>
    <row r="31" spans="1:21" ht="15.75" x14ac:dyDescent="0.25">
      <c r="A31" s="97"/>
      <c r="B31" s="109" t="s">
        <v>12</v>
      </c>
      <c r="C31" s="110" t="s">
        <v>810</v>
      </c>
      <c r="D31" s="123"/>
      <c r="E31" s="124">
        <v>1000</v>
      </c>
      <c r="F31" s="123">
        <f t="shared" si="3"/>
        <v>350000</v>
      </c>
      <c r="G31" s="123">
        <f t="shared" si="4"/>
        <v>152250</v>
      </c>
      <c r="H31" s="123">
        <v>146000</v>
      </c>
      <c r="I31" s="108" t="s">
        <v>811</v>
      </c>
      <c r="J31" s="108" t="s">
        <v>756</v>
      </c>
      <c r="K31" s="108" t="s">
        <v>756</v>
      </c>
      <c r="L31" s="108" t="s">
        <v>872</v>
      </c>
      <c r="M31" s="108"/>
      <c r="N31" s="108" t="s">
        <v>756</v>
      </c>
      <c r="O31" s="108" t="s">
        <v>756</v>
      </c>
      <c r="P31" s="157"/>
      <c r="Q31" s="157"/>
      <c r="R31" s="97"/>
      <c r="S31" s="97"/>
    </row>
    <row r="32" spans="1:21" ht="15.75" x14ac:dyDescent="0.25">
      <c r="A32" s="97"/>
      <c r="B32" s="109" t="s">
        <v>812</v>
      </c>
      <c r="C32" s="110" t="s">
        <v>813</v>
      </c>
      <c r="D32" s="123"/>
      <c r="E32" s="124">
        <v>1000</v>
      </c>
      <c r="F32" s="123">
        <f t="shared" si="3"/>
        <v>350000</v>
      </c>
      <c r="G32" s="123">
        <f t="shared" si="4"/>
        <v>152250</v>
      </c>
      <c r="H32" s="123"/>
      <c r="I32" s="108" t="s">
        <v>814</v>
      </c>
      <c r="J32" s="108" t="s">
        <v>872</v>
      </c>
      <c r="K32" s="108" t="s">
        <v>756</v>
      </c>
      <c r="L32" s="108" t="s">
        <v>872</v>
      </c>
      <c r="M32" s="108"/>
      <c r="N32" s="108"/>
      <c r="O32" s="108" t="s">
        <v>756</v>
      </c>
      <c r="P32" s="157"/>
      <c r="Q32" s="157"/>
      <c r="R32" s="97"/>
      <c r="S32" s="97"/>
    </row>
    <row r="33" spans="1:19" ht="15.75" x14ac:dyDescent="0.25">
      <c r="A33" s="97">
        <v>2013</v>
      </c>
      <c r="B33" s="109" t="s">
        <v>511</v>
      </c>
      <c r="C33" s="110" t="s">
        <v>815</v>
      </c>
      <c r="D33" s="123"/>
      <c r="E33" s="124">
        <v>1000</v>
      </c>
      <c r="F33" s="123">
        <f t="shared" si="3"/>
        <v>350000</v>
      </c>
      <c r="G33" s="123">
        <f t="shared" si="4"/>
        <v>152250</v>
      </c>
      <c r="H33" s="123">
        <f>G33</f>
        <v>152250</v>
      </c>
      <c r="I33" s="108" t="s">
        <v>762</v>
      </c>
      <c r="J33" s="108" t="s">
        <v>756</v>
      </c>
      <c r="K33" s="108" t="s">
        <v>756</v>
      </c>
      <c r="L33" s="108" t="s">
        <v>872</v>
      </c>
      <c r="M33" s="108"/>
      <c r="N33" s="108" t="s">
        <v>756</v>
      </c>
      <c r="O33" s="108"/>
      <c r="P33" s="157"/>
      <c r="Q33" s="157"/>
      <c r="R33" s="97"/>
      <c r="S33" s="97"/>
    </row>
    <row r="34" spans="1:19" ht="15.75" x14ac:dyDescent="0.25">
      <c r="A34" s="97"/>
      <c r="B34" s="109" t="s">
        <v>12</v>
      </c>
      <c r="C34" s="110" t="s">
        <v>816</v>
      </c>
      <c r="D34" s="123"/>
      <c r="E34" s="124">
        <v>1000</v>
      </c>
      <c r="F34" s="123">
        <f t="shared" si="3"/>
        <v>350000</v>
      </c>
      <c r="G34" s="123">
        <f t="shared" si="4"/>
        <v>152250</v>
      </c>
      <c r="H34" s="123">
        <v>146000</v>
      </c>
      <c r="I34" s="108" t="s">
        <v>817</v>
      </c>
      <c r="J34" s="108" t="s">
        <v>756</v>
      </c>
      <c r="K34" s="108" t="s">
        <v>756</v>
      </c>
      <c r="L34" s="108" t="s">
        <v>872</v>
      </c>
      <c r="M34" s="108"/>
      <c r="N34" s="108" t="s">
        <v>756</v>
      </c>
      <c r="O34" s="108" t="s">
        <v>756</v>
      </c>
      <c r="P34" s="157"/>
      <c r="Q34" s="157"/>
      <c r="R34" s="97"/>
      <c r="S34" s="97"/>
    </row>
    <row r="35" spans="1:19" ht="16.5" thickBot="1" x14ac:dyDescent="0.3">
      <c r="A35" s="97">
        <v>2013</v>
      </c>
      <c r="B35" s="109" t="s">
        <v>122</v>
      </c>
      <c r="C35" s="110" t="s">
        <v>818</v>
      </c>
      <c r="D35" s="123"/>
      <c r="E35" s="124">
        <v>1400</v>
      </c>
      <c r="F35" s="123">
        <f t="shared" si="3"/>
        <v>490000</v>
      </c>
      <c r="G35" s="123">
        <f t="shared" si="4"/>
        <v>213150</v>
      </c>
      <c r="H35" s="123">
        <f>G35*1.25</f>
        <v>266437.5</v>
      </c>
      <c r="I35" s="108" t="s">
        <v>819</v>
      </c>
      <c r="J35" s="108" t="s">
        <v>756</v>
      </c>
      <c r="K35" s="108" t="s">
        <v>756</v>
      </c>
      <c r="L35" s="108" t="s">
        <v>872</v>
      </c>
      <c r="M35" s="108"/>
      <c r="N35" s="108" t="s">
        <v>756</v>
      </c>
      <c r="O35" s="108"/>
      <c r="P35" s="157"/>
      <c r="Q35" s="157"/>
      <c r="R35" s="97"/>
      <c r="S35" s="97"/>
    </row>
    <row r="36" spans="1:19" ht="14.25" thickTop="1" thickBot="1" x14ac:dyDescent="0.25">
      <c r="A36" s="97"/>
      <c r="B36" s="115"/>
      <c r="C36" s="115"/>
      <c r="D36" s="115"/>
      <c r="E36" s="115"/>
      <c r="F36" s="115"/>
      <c r="G36" s="115"/>
      <c r="H36" s="152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</row>
    <row r="37" spans="1:19" ht="17.25" thickBot="1" x14ac:dyDescent="0.35">
      <c r="A37" s="153"/>
      <c r="B37" s="154" t="s">
        <v>877</v>
      </c>
      <c r="C37" s="154"/>
      <c r="D37" s="155">
        <f>SUM(D25:D35)</f>
        <v>0</v>
      </c>
      <c r="E37" s="155">
        <f>SUM(E29:E35)</f>
        <v>9000</v>
      </c>
      <c r="F37" s="155">
        <f>SUM(F29:F35)</f>
        <v>3150000</v>
      </c>
      <c r="G37" s="155">
        <f>SUM(G29:G35)</f>
        <v>1370250</v>
      </c>
      <c r="H37" s="156">
        <f>SUM(H29:H35)</f>
        <v>984737.5</v>
      </c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</row>
    <row r="38" spans="1:19" x14ac:dyDescent="0.2">
      <c r="A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</row>
    <row r="39" spans="1:19" x14ac:dyDescent="0.2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</row>
    <row r="40" spans="1:19" x14ac:dyDescent="0.2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</row>
    <row r="41" spans="1:19" ht="25.5" x14ac:dyDescent="0.35">
      <c r="A41" s="97"/>
      <c r="B41" s="98" t="s">
        <v>820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</row>
    <row r="42" spans="1:19" x14ac:dyDescent="0.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</row>
    <row r="43" spans="1:19" ht="18" x14ac:dyDescent="0.25">
      <c r="A43" s="97"/>
      <c r="C43" s="97"/>
      <c r="D43" s="100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</row>
    <row r="44" spans="1:19" ht="54.75" thickBot="1" x14ac:dyDescent="0.3">
      <c r="A44" s="103" t="s">
        <v>868</v>
      </c>
      <c r="B44" s="158" t="s">
        <v>743</v>
      </c>
      <c r="C44" s="158" t="s">
        <v>744</v>
      </c>
      <c r="D44" s="159" t="s">
        <v>745</v>
      </c>
      <c r="E44" s="160" t="s">
        <v>746</v>
      </c>
      <c r="F44" s="159" t="s">
        <v>747</v>
      </c>
      <c r="G44" s="159" t="s">
        <v>748</v>
      </c>
      <c r="H44" s="159" t="s">
        <v>749</v>
      </c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</row>
    <row r="45" spans="1:19" ht="15.75" x14ac:dyDescent="0.25">
      <c r="A45" s="97"/>
      <c r="B45" s="109" t="s">
        <v>12</v>
      </c>
      <c r="C45" s="110" t="s">
        <v>816</v>
      </c>
      <c r="D45" s="123"/>
      <c r="E45" s="124">
        <v>1000</v>
      </c>
      <c r="F45" s="123">
        <f>E45*350</f>
        <v>350000</v>
      </c>
      <c r="G45" s="123">
        <f>F45*0.435</f>
        <v>152250</v>
      </c>
      <c r="H45" s="123">
        <v>146000</v>
      </c>
      <c r="I45" s="108" t="s">
        <v>817</v>
      </c>
      <c r="J45" s="108" t="s">
        <v>756</v>
      </c>
      <c r="K45" s="108" t="s">
        <v>756</v>
      </c>
      <c r="L45" s="108" t="s">
        <v>872</v>
      </c>
      <c r="M45" s="108"/>
      <c r="N45" s="108" t="s">
        <v>756</v>
      </c>
      <c r="O45" s="108" t="s">
        <v>756</v>
      </c>
      <c r="P45" s="157"/>
      <c r="Q45" s="157"/>
      <c r="R45" s="97"/>
      <c r="S45" s="97"/>
    </row>
    <row r="46" spans="1:19" ht="15.75" x14ac:dyDescent="0.25">
      <c r="A46" s="97"/>
      <c r="B46" s="109" t="s">
        <v>122</v>
      </c>
      <c r="C46" s="110" t="s">
        <v>818</v>
      </c>
      <c r="D46" s="123"/>
      <c r="E46" s="124">
        <v>1400</v>
      </c>
      <c r="F46" s="123">
        <f t="shared" ref="F46" si="5">E46*350</f>
        <v>490000</v>
      </c>
      <c r="G46" s="123">
        <f t="shared" ref="G46" si="6">F46*0.435</f>
        <v>213150</v>
      </c>
      <c r="H46" s="123">
        <f>G46*1.25</f>
        <v>266437.5</v>
      </c>
      <c r="I46" s="108" t="s">
        <v>819</v>
      </c>
      <c r="J46" s="108" t="s">
        <v>756</v>
      </c>
      <c r="K46" s="108" t="s">
        <v>756</v>
      </c>
      <c r="L46" s="108" t="s">
        <v>872</v>
      </c>
      <c r="M46" s="108"/>
      <c r="N46" s="108" t="s">
        <v>756</v>
      </c>
      <c r="O46" s="108"/>
      <c r="P46" s="157"/>
      <c r="Q46" s="157"/>
      <c r="R46" s="97"/>
      <c r="S46" s="97"/>
    </row>
    <row r="47" spans="1:19" ht="15.75" x14ac:dyDescent="0.25">
      <c r="A47" s="97"/>
      <c r="B47" s="97"/>
      <c r="C47" s="97"/>
      <c r="D47" s="123"/>
      <c r="E47" s="97"/>
      <c r="F47" s="97"/>
      <c r="G47" s="11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</row>
    <row r="48" spans="1:19" ht="15.75" x14ac:dyDescent="0.25">
      <c r="A48" s="97"/>
      <c r="B48" s="97" t="s">
        <v>75</v>
      </c>
      <c r="C48" s="97"/>
      <c r="D48" s="124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</row>
    <row r="49" spans="1:19" ht="15.75" x14ac:dyDescent="0.25">
      <c r="A49" s="97"/>
      <c r="B49" s="97" t="s">
        <v>821</v>
      </c>
      <c r="C49" s="97"/>
      <c r="D49" s="124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</row>
    <row r="50" spans="1:19" ht="15.75" x14ac:dyDescent="0.25">
      <c r="D50" s="124"/>
    </row>
    <row r="54" spans="1:19" ht="15.75" customHeight="1" x14ac:dyDescent="0.2">
      <c r="A54" s="169" t="s">
        <v>878</v>
      </c>
      <c r="F54" s="5" t="s">
        <v>490</v>
      </c>
    </row>
    <row r="55" spans="1:19" x14ac:dyDescent="0.2">
      <c r="A55" s="169"/>
      <c r="B55" s="5" t="s">
        <v>557</v>
      </c>
      <c r="C55" s="5" t="s">
        <v>11</v>
      </c>
      <c r="D55" s="5" t="s">
        <v>879</v>
      </c>
      <c r="E55" s="5" t="s">
        <v>880</v>
      </c>
      <c r="F55" s="5" t="s">
        <v>11</v>
      </c>
      <c r="Q55" s="5" t="s">
        <v>881</v>
      </c>
    </row>
    <row r="56" spans="1:19" x14ac:dyDescent="0.2">
      <c r="A56" s="5">
        <v>2010</v>
      </c>
      <c r="B56" s="161">
        <f>SUMIF($P$3:$P$20,A56,$F$3:$F$20)</f>
        <v>5722500</v>
      </c>
      <c r="C56" s="161">
        <f>SUMIF($Q$3:$Q$20,A56,$D$3:$D$20)</f>
        <v>0</v>
      </c>
      <c r="D56" s="161">
        <f>MAX('[6]COPA Weekly Crush'!$D$24:$D$75)</f>
        <v>6850</v>
      </c>
      <c r="E56" s="161">
        <f>SUMIFS($F$3:$F$20,$O$3:$O$20,$F$54,$P$3:$P$20,A56)</f>
        <v>2800000</v>
      </c>
      <c r="F56" s="161">
        <f>SUMIFS($D$3:$D$20,$O$3:$O$20,$F$54,$Q$3:$Q$20,A56)</f>
        <v>0</v>
      </c>
      <c r="G56" s="5">
        <f>B56/1000-D56</f>
        <v>-1127.5</v>
      </c>
      <c r="P56" s="5">
        <f>B56/1000-D56</f>
        <v>-1127.5</v>
      </c>
      <c r="Q56" s="162">
        <f>'Crush Stats '!K24</f>
        <v>5683717</v>
      </c>
      <c r="R56" s="163">
        <f>Q56/1000/D56</f>
        <v>0.82973970802919705</v>
      </c>
    </row>
    <row r="57" spans="1:19" x14ac:dyDescent="0.2">
      <c r="A57" s="5">
        <v>2011</v>
      </c>
      <c r="B57" s="161">
        <f>B56+SUMIF($P$3:$P$20,A57,$F$3:$F$20)+C57</f>
        <v>5722500</v>
      </c>
      <c r="C57" s="161">
        <f t="shared" ref="C57:C73" si="7">SUMIF($Q$3:$Q$20,A57,$D$3:$D$20)</f>
        <v>0</v>
      </c>
      <c r="D57" s="161">
        <f>MAX('[6]COPA Weekly Crush'!$D$76:$D$127)</f>
        <v>6925</v>
      </c>
      <c r="E57" s="161">
        <f>E56+SUMIFS($F$3:$F$20,$O$3:$O$20,$F$54,$P$3:$P$20,A57)+F57</f>
        <v>2800000</v>
      </c>
      <c r="F57" s="161">
        <f t="shared" ref="F57:F73" si="8">SUMIFS($D$3:$D$20,$O$3:$O$20,$F$54,$Q$3:$Q$20,A57)</f>
        <v>0</v>
      </c>
      <c r="G57" s="5">
        <f t="shared" ref="G57:G73" si="9">B57/1000-D57</f>
        <v>-1202.5</v>
      </c>
      <c r="H57" s="161">
        <f>E57-E56</f>
        <v>0</v>
      </c>
      <c r="I57" s="161">
        <f>D57-D56</f>
        <v>75</v>
      </c>
      <c r="J57" s="161">
        <f>D57-D56</f>
        <v>75</v>
      </c>
      <c r="P57" s="5">
        <f t="shared" ref="P57:P67" si="10">B57/1000-D57</f>
        <v>-1202.5</v>
      </c>
      <c r="Q57" s="162">
        <f>'Crush Stats '!K25</f>
        <v>6610940</v>
      </c>
      <c r="R57" s="163">
        <f t="shared" ref="R57:R67" si="11">Q57/1000/D57</f>
        <v>0.95464837545126346</v>
      </c>
    </row>
    <row r="58" spans="1:19" x14ac:dyDescent="0.2">
      <c r="A58" s="5">
        <v>2012</v>
      </c>
      <c r="B58" s="161">
        <f t="shared" ref="B58:B73" si="12">B57+SUMIF($P$3:$P$20,A58,$F$3:$F$20)+C58</f>
        <v>6212500</v>
      </c>
      <c r="C58" s="161">
        <f t="shared" si="7"/>
        <v>490000</v>
      </c>
      <c r="D58" s="161">
        <f>MAX('[6]COPA Weekly Crush'!$D$128:$D$179)</f>
        <v>7850</v>
      </c>
      <c r="E58" s="161">
        <f t="shared" ref="E58:E73" si="13">E57+SUMIFS($F$3:$F$20,$O$3:$O$20,$F$54,$P$3:$P$20,A58)+F58</f>
        <v>2800000</v>
      </c>
      <c r="F58" s="161">
        <f t="shared" si="8"/>
        <v>0</v>
      </c>
      <c r="G58" s="5">
        <f t="shared" si="9"/>
        <v>-1637.5</v>
      </c>
      <c r="H58" s="161">
        <f t="shared" ref="H58:H73" si="14">E58-E57</f>
        <v>0</v>
      </c>
      <c r="I58" s="161">
        <f t="shared" ref="I58:I66" si="15">D58-D57</f>
        <v>925</v>
      </c>
      <c r="J58" s="161">
        <f t="shared" ref="J58:J66" si="16">D58-D57</f>
        <v>925</v>
      </c>
      <c r="P58" s="5">
        <f t="shared" si="10"/>
        <v>-1637.5</v>
      </c>
      <c r="Q58" s="162">
        <f>'Crush Stats '!K26</f>
        <v>7130568</v>
      </c>
      <c r="R58" s="163">
        <f t="shared" si="11"/>
        <v>0.90835261146496815</v>
      </c>
    </row>
    <row r="59" spans="1:19" x14ac:dyDescent="0.2">
      <c r="A59" s="5">
        <v>2013</v>
      </c>
      <c r="B59" s="161">
        <f t="shared" si="12"/>
        <v>7612500</v>
      </c>
      <c r="C59" s="161">
        <f t="shared" si="7"/>
        <v>0</v>
      </c>
      <c r="D59" s="161">
        <f>MAX('[6]COPA Weekly Crush'!$D$180:$D$231)</f>
        <v>8250</v>
      </c>
      <c r="E59" s="161">
        <f t="shared" si="13"/>
        <v>2800000</v>
      </c>
      <c r="F59" s="161">
        <f t="shared" si="8"/>
        <v>0</v>
      </c>
      <c r="G59" s="5">
        <f t="shared" si="9"/>
        <v>-637.5</v>
      </c>
      <c r="H59" s="161">
        <f t="shared" si="14"/>
        <v>0</v>
      </c>
      <c r="I59" s="161">
        <f t="shared" si="15"/>
        <v>400</v>
      </c>
      <c r="J59" s="161">
        <f t="shared" si="16"/>
        <v>400</v>
      </c>
      <c r="P59" s="5">
        <f t="shared" si="10"/>
        <v>-637.5</v>
      </c>
      <c r="Q59" s="162">
        <f>'Crush Stats '!K27</f>
        <v>6497331</v>
      </c>
      <c r="R59" s="163">
        <f t="shared" si="11"/>
        <v>0.78755527272727277</v>
      </c>
    </row>
    <row r="60" spans="1:19" x14ac:dyDescent="0.2">
      <c r="A60" s="5">
        <v>2014</v>
      </c>
      <c r="B60" s="161">
        <f t="shared" si="12"/>
        <v>8120000</v>
      </c>
      <c r="C60" s="161">
        <f>SUMIF($Q$3:$Q$20,A60,$D$3:$D$20)+210000</f>
        <v>507500</v>
      </c>
      <c r="D60" s="161">
        <f>MAX('[6]COPA Weekly Crush'!$D$232:$D$284)</f>
        <v>8600</v>
      </c>
      <c r="E60" s="161">
        <f t="shared" si="13"/>
        <v>3010000</v>
      </c>
      <c r="F60" s="161">
        <f>SUMIFS($D$3:$D$20,$O$3:$O$20,$F$54,$Q$3:$Q$20,A60)+210000</f>
        <v>210000</v>
      </c>
      <c r="G60" s="5">
        <f t="shared" si="9"/>
        <v>-480</v>
      </c>
      <c r="H60" s="161">
        <f t="shared" si="14"/>
        <v>210000</v>
      </c>
      <c r="I60" s="161">
        <f t="shared" si="15"/>
        <v>350</v>
      </c>
      <c r="J60" s="161">
        <f t="shared" si="16"/>
        <v>350</v>
      </c>
      <c r="P60" s="5">
        <f t="shared" si="10"/>
        <v>-480</v>
      </c>
      <c r="Q60" s="162">
        <f>'Crush Stats '!K28</f>
        <v>7144839</v>
      </c>
      <c r="R60" s="163">
        <f t="shared" si="11"/>
        <v>0.83079523255813947</v>
      </c>
    </row>
    <row r="61" spans="1:19" x14ac:dyDescent="0.2">
      <c r="A61" s="5">
        <v>2015</v>
      </c>
      <c r="B61" s="161">
        <f t="shared" si="12"/>
        <v>11830000</v>
      </c>
      <c r="C61" s="161">
        <f t="shared" si="7"/>
        <v>0</v>
      </c>
      <c r="D61" s="161">
        <f>MAX('[6]COPA Weekly Crush'!$D$285:$D$336)</f>
        <v>9425</v>
      </c>
      <c r="E61" s="161">
        <f t="shared" si="13"/>
        <v>4585000</v>
      </c>
      <c r="F61" s="161">
        <f t="shared" si="8"/>
        <v>0</v>
      </c>
      <c r="G61" s="5">
        <f t="shared" si="9"/>
        <v>2405</v>
      </c>
      <c r="H61" s="161">
        <f t="shared" si="14"/>
        <v>1575000</v>
      </c>
      <c r="I61" s="161">
        <f t="shared" si="15"/>
        <v>825</v>
      </c>
      <c r="J61" s="161">
        <f t="shared" si="16"/>
        <v>825</v>
      </c>
      <c r="P61" s="5">
        <f t="shared" si="10"/>
        <v>2405</v>
      </c>
      <c r="Q61" s="162">
        <f>'Crush Stats '!K29</f>
        <v>7738037</v>
      </c>
      <c r="R61" s="163">
        <f t="shared" si="11"/>
        <v>0.82101188328912467</v>
      </c>
    </row>
    <row r="62" spans="1:19" x14ac:dyDescent="0.2">
      <c r="A62" s="5">
        <v>2016</v>
      </c>
      <c r="B62" s="161">
        <f t="shared" si="12"/>
        <v>11830000</v>
      </c>
      <c r="C62" s="161">
        <f t="shared" si="7"/>
        <v>0</v>
      </c>
      <c r="D62" s="161">
        <f>MAX('[6]COPA Weekly Crush'!$D$337:$D$388)</f>
        <v>10075</v>
      </c>
      <c r="E62" s="161">
        <f t="shared" si="13"/>
        <v>4585000</v>
      </c>
      <c r="F62" s="161">
        <f t="shared" si="8"/>
        <v>0</v>
      </c>
      <c r="G62" s="5">
        <f t="shared" si="9"/>
        <v>1755</v>
      </c>
      <c r="H62" s="161">
        <f t="shared" si="14"/>
        <v>0</v>
      </c>
      <c r="I62" s="161">
        <f t="shared" si="15"/>
        <v>650</v>
      </c>
      <c r="J62" s="161">
        <f t="shared" si="16"/>
        <v>650</v>
      </c>
      <c r="P62" s="5">
        <f t="shared" si="10"/>
        <v>1755</v>
      </c>
      <c r="Q62" s="162">
        <f>'Crush Stats '!K30</f>
        <v>8849088</v>
      </c>
      <c r="R62" s="163">
        <f t="shared" si="11"/>
        <v>0.87832138957816375</v>
      </c>
    </row>
    <row r="63" spans="1:19" x14ac:dyDescent="0.2">
      <c r="A63" s="5">
        <v>2017</v>
      </c>
      <c r="B63" s="161">
        <f t="shared" si="12"/>
        <v>11830000</v>
      </c>
      <c r="C63" s="161">
        <f t="shared" si="7"/>
        <v>0</v>
      </c>
      <c r="D63" s="161">
        <f>MAX('[6]COPA Weekly Crush'!$D$389:$D$440)</f>
        <v>10450</v>
      </c>
      <c r="E63" s="161">
        <f t="shared" si="13"/>
        <v>4585000</v>
      </c>
      <c r="F63" s="161">
        <f t="shared" si="8"/>
        <v>0</v>
      </c>
      <c r="G63" s="5">
        <f t="shared" si="9"/>
        <v>1380</v>
      </c>
      <c r="H63" s="161">
        <f t="shared" si="14"/>
        <v>0</v>
      </c>
      <c r="I63" s="161">
        <f t="shared" si="15"/>
        <v>375</v>
      </c>
      <c r="J63" s="161">
        <f t="shared" si="16"/>
        <v>375</v>
      </c>
      <c r="P63" s="5">
        <f t="shared" si="10"/>
        <v>1380</v>
      </c>
      <c r="Q63" s="162">
        <f>'Crush Stats '!K31</f>
        <v>9179440</v>
      </c>
      <c r="R63" s="163">
        <f t="shared" si="11"/>
        <v>0.87841531100478476</v>
      </c>
    </row>
    <row r="64" spans="1:19" x14ac:dyDescent="0.2">
      <c r="A64" s="5">
        <v>2018</v>
      </c>
      <c r="B64" s="161">
        <f t="shared" si="12"/>
        <v>11830000</v>
      </c>
      <c r="C64" s="161">
        <f t="shared" si="7"/>
        <v>0</v>
      </c>
      <c r="D64" s="161">
        <f>MAX('[6]COPA Weekly Crush'!$D$441:$D$492)</f>
        <v>10500</v>
      </c>
      <c r="E64" s="161">
        <f t="shared" si="13"/>
        <v>4585000</v>
      </c>
      <c r="F64" s="161">
        <f t="shared" si="8"/>
        <v>0</v>
      </c>
      <c r="G64" s="5">
        <f t="shared" si="9"/>
        <v>1330</v>
      </c>
      <c r="H64" s="161">
        <f t="shared" si="14"/>
        <v>0</v>
      </c>
      <c r="I64" s="161">
        <f t="shared" si="15"/>
        <v>50</v>
      </c>
      <c r="J64" s="161">
        <f t="shared" si="16"/>
        <v>50</v>
      </c>
      <c r="P64" s="5">
        <f t="shared" si="10"/>
        <v>1330</v>
      </c>
      <c r="Q64" s="162">
        <f>'Crush Stats '!K32</f>
        <v>9286423</v>
      </c>
      <c r="R64" s="163">
        <f t="shared" si="11"/>
        <v>0.8844212380952382</v>
      </c>
    </row>
    <row r="65" spans="1:18" x14ac:dyDescent="0.2">
      <c r="A65" s="5">
        <v>2019</v>
      </c>
      <c r="B65" s="161">
        <f t="shared" si="12"/>
        <v>11830000</v>
      </c>
      <c r="C65" s="161">
        <f t="shared" si="7"/>
        <v>0</v>
      </c>
      <c r="D65" s="161">
        <f>MAX('[6]COPA Weekly Crush'!$D$493:$D$544)</f>
        <v>10525</v>
      </c>
      <c r="E65" s="161">
        <f t="shared" si="13"/>
        <v>4585000</v>
      </c>
      <c r="F65" s="161">
        <f t="shared" si="8"/>
        <v>0</v>
      </c>
      <c r="G65" s="5">
        <f t="shared" si="9"/>
        <v>1305</v>
      </c>
      <c r="H65" s="161">
        <f t="shared" si="14"/>
        <v>0</v>
      </c>
      <c r="I65" s="161">
        <f t="shared" si="15"/>
        <v>25</v>
      </c>
      <c r="J65" s="161">
        <f t="shared" si="16"/>
        <v>25</v>
      </c>
      <c r="P65" s="5">
        <f t="shared" si="10"/>
        <v>1305</v>
      </c>
      <c r="Q65" s="162">
        <f>'Crush Stats '!K33</f>
        <v>9608640</v>
      </c>
      <c r="R65" s="163">
        <f t="shared" si="11"/>
        <v>0.91293491686460804</v>
      </c>
    </row>
    <row r="66" spans="1:18" x14ac:dyDescent="0.2">
      <c r="A66" s="5">
        <v>2020</v>
      </c>
      <c r="B66" s="161">
        <f t="shared" si="12"/>
        <v>11830000</v>
      </c>
      <c r="C66" s="161">
        <f t="shared" si="7"/>
        <v>0</v>
      </c>
      <c r="D66" s="161">
        <f>MAX('[6]COPA Weekly Crush'!$D$545:$D$597)</f>
        <v>10700</v>
      </c>
      <c r="E66" s="161">
        <f t="shared" si="13"/>
        <v>4585000</v>
      </c>
      <c r="F66" s="161">
        <f t="shared" si="8"/>
        <v>0</v>
      </c>
      <c r="G66" s="5">
        <f t="shared" si="9"/>
        <v>1130</v>
      </c>
      <c r="H66" s="161">
        <f t="shared" si="14"/>
        <v>0</v>
      </c>
      <c r="I66" s="161">
        <f t="shared" si="15"/>
        <v>175</v>
      </c>
      <c r="J66" s="161">
        <f t="shared" si="16"/>
        <v>175</v>
      </c>
      <c r="P66" s="5">
        <f t="shared" si="10"/>
        <v>1130</v>
      </c>
      <c r="Q66" s="162">
        <f>'Crush Stats '!K34</f>
        <v>10290286</v>
      </c>
      <c r="R66" s="163">
        <f t="shared" si="11"/>
        <v>0.96170897196261684</v>
      </c>
    </row>
    <row r="67" spans="1:18" x14ac:dyDescent="0.2">
      <c r="A67" s="5">
        <v>2021</v>
      </c>
      <c r="B67" s="161">
        <f t="shared" si="12"/>
        <v>11830000</v>
      </c>
      <c r="C67" s="161">
        <f t="shared" si="7"/>
        <v>0</v>
      </c>
      <c r="D67" s="161">
        <f>MAX('[6]COPA Weekly Crush'!$D$598:$D$649)</f>
        <v>10925</v>
      </c>
      <c r="E67" s="161">
        <f t="shared" si="13"/>
        <v>4585000</v>
      </c>
      <c r="F67" s="161">
        <f t="shared" si="8"/>
        <v>0</v>
      </c>
      <c r="G67" s="5">
        <f t="shared" si="9"/>
        <v>905</v>
      </c>
      <c r="H67" s="161">
        <f t="shared" si="14"/>
        <v>0</v>
      </c>
      <c r="I67" s="161">
        <f>AVERAGE('[6]COPA Weekly Crush'!$D$598:$D$649)</f>
        <v>10812.01923076923</v>
      </c>
      <c r="J67" s="161">
        <f>D67-D66</f>
        <v>225</v>
      </c>
      <c r="P67" s="5">
        <f t="shared" si="10"/>
        <v>905</v>
      </c>
      <c r="Q67" s="162">
        <f>'Crush Stats '!K35</f>
        <v>9857362</v>
      </c>
      <c r="R67" s="163">
        <f t="shared" si="11"/>
        <v>0.90227569794050333</v>
      </c>
    </row>
    <row r="68" spans="1:18" x14ac:dyDescent="0.2">
      <c r="A68" s="5">
        <v>2022</v>
      </c>
      <c r="B68" s="161">
        <f t="shared" si="12"/>
        <v>11830000</v>
      </c>
      <c r="C68" s="161">
        <f t="shared" si="7"/>
        <v>0</v>
      </c>
      <c r="D68" s="161">
        <f>MAX('[6]COPA Weekly Crush'!$D$650:$D$701)</f>
        <v>10875</v>
      </c>
      <c r="E68" s="161">
        <f t="shared" si="13"/>
        <v>4585000</v>
      </c>
      <c r="F68" s="161">
        <f t="shared" si="8"/>
        <v>0</v>
      </c>
      <c r="G68" s="5">
        <f t="shared" si="9"/>
        <v>955</v>
      </c>
      <c r="H68" s="161">
        <f t="shared" si="14"/>
        <v>0</v>
      </c>
      <c r="I68" s="161">
        <f>AVERAGE('[6]COPA Weekly Crush'!$D$650:$D$701)</f>
        <v>10873.557692307691</v>
      </c>
    </row>
    <row r="69" spans="1:18" x14ac:dyDescent="0.2">
      <c r="A69" s="5">
        <v>2023</v>
      </c>
      <c r="B69" s="161">
        <f t="shared" si="12"/>
        <v>11830000</v>
      </c>
      <c r="C69" s="161">
        <f t="shared" si="7"/>
        <v>0</v>
      </c>
      <c r="D69" s="161"/>
      <c r="E69" s="161">
        <f t="shared" si="13"/>
        <v>4585000</v>
      </c>
      <c r="F69" s="161">
        <f t="shared" si="8"/>
        <v>0</v>
      </c>
      <c r="G69" s="5">
        <f t="shared" si="9"/>
        <v>11830</v>
      </c>
      <c r="H69" s="161">
        <f t="shared" si="14"/>
        <v>0</v>
      </c>
    </row>
    <row r="70" spans="1:18" x14ac:dyDescent="0.2">
      <c r="A70" s="5">
        <v>2024</v>
      </c>
      <c r="B70" s="161">
        <f t="shared" si="12"/>
        <v>17581500</v>
      </c>
      <c r="C70" s="161">
        <f t="shared" si="7"/>
        <v>5751500</v>
      </c>
      <c r="D70" s="161"/>
      <c r="E70" s="161">
        <f>E69+SUMIFS($F$3:$F$20,$O$3:$O$20,$F$54,$P$3:$P$20,A70)+F70</f>
        <v>10336500</v>
      </c>
      <c r="F70" s="161">
        <f t="shared" si="8"/>
        <v>5751500</v>
      </c>
      <c r="G70" s="5">
        <f t="shared" si="9"/>
        <v>17581.5</v>
      </c>
      <c r="H70" s="161">
        <f t="shared" si="14"/>
        <v>5751500</v>
      </c>
      <c r="I70" s="161">
        <f>MROUND(B70*0.88,50000)</f>
        <v>15450000</v>
      </c>
    </row>
    <row r="71" spans="1:18" x14ac:dyDescent="0.2">
      <c r="A71" s="5">
        <v>2025</v>
      </c>
      <c r="B71" s="161">
        <f t="shared" si="12"/>
        <v>17581500</v>
      </c>
      <c r="C71" s="161">
        <f t="shared" si="7"/>
        <v>0</v>
      </c>
      <c r="D71" s="161"/>
      <c r="E71" s="161">
        <f t="shared" si="13"/>
        <v>10336500</v>
      </c>
      <c r="F71" s="161">
        <f t="shared" si="8"/>
        <v>0</v>
      </c>
      <c r="G71" s="5">
        <f t="shared" si="9"/>
        <v>17581.5</v>
      </c>
      <c r="H71" s="161">
        <f t="shared" si="14"/>
        <v>0</v>
      </c>
      <c r="I71" s="161">
        <f t="shared" ref="I71:I73" si="17">MROUND(B71*0.88,50000)</f>
        <v>15450000</v>
      </c>
    </row>
    <row r="72" spans="1:18" x14ac:dyDescent="0.2">
      <c r="A72" s="5">
        <v>2026</v>
      </c>
      <c r="B72" s="161">
        <f t="shared" si="12"/>
        <v>18681500</v>
      </c>
      <c r="C72" s="161">
        <f t="shared" si="7"/>
        <v>1100000</v>
      </c>
      <c r="D72" s="161"/>
      <c r="E72" s="161">
        <f t="shared" si="13"/>
        <v>11436500</v>
      </c>
      <c r="F72" s="161">
        <f t="shared" si="8"/>
        <v>1100000</v>
      </c>
      <c r="G72" s="5">
        <f t="shared" si="9"/>
        <v>18681.5</v>
      </c>
      <c r="H72" s="161">
        <f t="shared" si="14"/>
        <v>1100000</v>
      </c>
      <c r="I72" s="161">
        <f t="shared" si="17"/>
        <v>16450000</v>
      </c>
    </row>
    <row r="73" spans="1:18" x14ac:dyDescent="0.2">
      <c r="A73" s="5">
        <v>2027</v>
      </c>
      <c r="B73" s="161">
        <f t="shared" si="12"/>
        <v>18681500</v>
      </c>
      <c r="C73" s="161">
        <f t="shared" si="7"/>
        <v>0</v>
      </c>
      <c r="D73" s="161"/>
      <c r="E73" s="161">
        <f t="shared" si="13"/>
        <v>11436500</v>
      </c>
      <c r="F73" s="161">
        <f t="shared" si="8"/>
        <v>0</v>
      </c>
      <c r="G73" s="5">
        <f t="shared" si="9"/>
        <v>18681.5</v>
      </c>
      <c r="H73" s="161">
        <f t="shared" si="14"/>
        <v>0</v>
      </c>
      <c r="I73" s="161">
        <f t="shared" si="17"/>
        <v>16450000</v>
      </c>
    </row>
  </sheetData>
  <mergeCells count="1">
    <mergeCell ref="A54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5</vt:i4>
      </vt:variant>
    </vt:vector>
  </HeadingPairs>
  <TitlesOfParts>
    <vt:vector size="12" baseType="lpstr">
      <vt:lpstr>US Soy Crush</vt:lpstr>
      <vt:lpstr>US Soy diff units</vt:lpstr>
      <vt:lpstr>Food Plant List</vt:lpstr>
      <vt:lpstr>Closed</vt:lpstr>
      <vt:lpstr>Canola Crush</vt:lpstr>
      <vt:lpstr>Crush Stats </vt:lpstr>
      <vt:lpstr>Canola Crush (RC)</vt:lpstr>
      <vt:lpstr>Chart1</vt:lpstr>
      <vt:lpstr>Chart2</vt:lpstr>
      <vt:lpstr>Refined Demand v Capacity</vt:lpstr>
      <vt:lpstr>Refined Demand v Ref Capacity</vt:lpstr>
      <vt:lpstr>US Soy Crush v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2025-07-17T08:59:05Z</dcterms:created>
  <dcterms:modified xsi:type="dcterms:W3CDTF">2025-08-14T16:35:48Z</dcterms:modified>
</cp:coreProperties>
</file>