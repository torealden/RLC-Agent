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"/>
    </mc:Choice>
  </mc:AlternateContent>
  <xr:revisionPtr revIDLastSave="0" documentId="8_{2EFB3A4F-2679-4591-9D09-235C77948A3F}" xr6:coauthVersionLast="47" xr6:coauthVersionMax="47" xr10:uidLastSave="{00000000-0000-0000-0000-000000000000}"/>
  <bookViews>
    <workbookView xWindow="1530" yWindow="825" windowWidth="20790" windowHeight="13515" xr2:uid="{BF3F6B6B-58D8-4BFB-9637-21081429D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F21" i="1"/>
  <c r="D21" i="1"/>
  <c r="C21" i="1"/>
  <c r="G20" i="1"/>
  <c r="G21" i="1" s="1"/>
  <c r="G18" i="1"/>
  <c r="G17" i="1"/>
  <c r="H17" i="1" s="1"/>
  <c r="E20" i="1"/>
  <c r="E21" i="1" s="1"/>
  <c r="E18" i="1"/>
  <c r="E17" i="1"/>
  <c r="H14" i="1"/>
  <c r="H13" i="1"/>
  <c r="H11" i="1"/>
  <c r="H10" i="1"/>
  <c r="G13" i="1"/>
  <c r="G14" i="1" s="1"/>
  <c r="G11" i="1"/>
  <c r="G12" i="1" s="1"/>
  <c r="G10" i="1"/>
  <c r="E13" i="1"/>
  <c r="E14" i="1" s="1"/>
  <c r="E11" i="1"/>
  <c r="E12" i="1" s="1"/>
  <c r="E10" i="1"/>
  <c r="F14" i="1"/>
  <c r="D14" i="1"/>
  <c r="C14" i="1"/>
  <c r="C13" i="1"/>
  <c r="F12" i="1"/>
  <c r="D12" i="1"/>
  <c r="C12" i="1"/>
  <c r="C10" i="1"/>
  <c r="H7" i="1"/>
  <c r="H6" i="1"/>
  <c r="H4" i="1"/>
  <c r="H3" i="1"/>
  <c r="F7" i="1"/>
  <c r="D7" i="1"/>
  <c r="C7" i="1"/>
  <c r="E7" i="1"/>
  <c r="G7" i="1"/>
  <c r="G6" i="1"/>
  <c r="E6" i="1"/>
  <c r="G4" i="1"/>
  <c r="G3" i="1"/>
  <c r="E5" i="1"/>
  <c r="E4" i="1"/>
  <c r="E3" i="1"/>
  <c r="D5" i="1"/>
  <c r="F5" i="1"/>
  <c r="C5" i="1"/>
  <c r="H21" i="1" l="1"/>
  <c r="H20" i="1"/>
  <c r="H18" i="1"/>
  <c r="G5" i="1"/>
</calcChain>
</file>

<file path=xl/sharedStrings.xml><?xml version="1.0" encoding="utf-8"?>
<sst xmlns="http://schemas.openxmlformats.org/spreadsheetml/2006/main" count="23" uniqueCount="12">
  <si>
    <t>World</t>
  </si>
  <si>
    <t>23/24</t>
  </si>
  <si>
    <t>24/25</t>
  </si>
  <si>
    <t>25/26</t>
  </si>
  <si>
    <t>China</t>
  </si>
  <si>
    <t>China %</t>
  </si>
  <si>
    <t>Change</t>
  </si>
  <si>
    <t>M Importers</t>
  </si>
  <si>
    <t>M Importers ex China</t>
  </si>
  <si>
    <t>Domestic Use</t>
  </si>
  <si>
    <t>Crush</t>
  </si>
  <si>
    <t>Ending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</si>
</sst>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A3BC-4E51-446E-941A-56EDC794086C}">
  <dimension ref="A1:H21"/>
  <sheetViews>
    <sheetView tabSelected="1" workbookViewId="0">
      <selection activeCell="K10" sqref="K10"/>
    </sheetView>
  </sheetViews>
  <sheetFormatPr defaultRowHeight="15" x14ac:dyDescent="0.25"/>
  <sheetData>
    <row r="1" spans="1:8" x14ac:dyDescent="0.25">
      <c r="A1" t="s">
        <v>9</v>
      </c>
    </row>
    <row r="2" spans="1:8" x14ac:dyDescent="0.25">
      <c r="C2" s="1" t="s">
        <v>1</v>
      </c>
      <c r="D2" s="1" t="s">
        <v>2</v>
      </c>
      <c r="E2" s="1" t="s">
        <v>6</v>
      </c>
      <c r="F2" s="1" t="s">
        <v>3</v>
      </c>
      <c r="G2" t="s">
        <v>6</v>
      </c>
    </row>
    <row r="3" spans="1:8" x14ac:dyDescent="0.25">
      <c r="B3" s="3" t="s">
        <v>0</v>
      </c>
      <c r="C3">
        <v>383.57</v>
      </c>
      <c r="D3">
        <v>410.45</v>
      </c>
      <c r="E3">
        <f>D3-C3</f>
        <v>26.879999999999995</v>
      </c>
      <c r="F3">
        <v>425.1</v>
      </c>
      <c r="G3">
        <f>F3-D3</f>
        <v>14.650000000000034</v>
      </c>
      <c r="H3" s="2">
        <f>G3/D3</f>
        <v>3.5692532586185981E-2</v>
      </c>
    </row>
    <row r="4" spans="1:8" x14ac:dyDescent="0.25">
      <c r="B4" s="3" t="s">
        <v>4</v>
      </c>
      <c r="C4">
        <v>121.8</v>
      </c>
      <c r="D4">
        <v>126.9</v>
      </c>
      <c r="E4">
        <f>D4-C4</f>
        <v>5.1000000000000085</v>
      </c>
      <c r="F4">
        <v>133</v>
      </c>
      <c r="G4">
        <f>F4-D4</f>
        <v>6.0999999999999943</v>
      </c>
      <c r="H4" s="2">
        <f>G4/D4</f>
        <v>4.8069345941686319E-2</v>
      </c>
    </row>
    <row r="5" spans="1:8" x14ac:dyDescent="0.25">
      <c r="B5" s="3" t="s">
        <v>5</v>
      </c>
      <c r="C5" s="2">
        <f>C4/C3</f>
        <v>0.31754308209714005</v>
      </c>
      <c r="D5" s="2">
        <f t="shared" ref="D5:G5" si="0">D4/D3</f>
        <v>0.30917285905713243</v>
      </c>
      <c r="E5" s="2">
        <f t="shared" si="0"/>
        <v>0.18973214285714321</v>
      </c>
      <c r="F5" s="2">
        <f t="shared" si="0"/>
        <v>0.31286756057398257</v>
      </c>
      <c r="G5" s="2">
        <f t="shared" si="0"/>
        <v>0.41638225255972561</v>
      </c>
    </row>
    <row r="6" spans="1:8" x14ac:dyDescent="0.25">
      <c r="B6" s="3" t="s">
        <v>7</v>
      </c>
      <c r="C6">
        <v>157.15</v>
      </c>
      <c r="D6">
        <v>163.91</v>
      </c>
      <c r="E6">
        <f>D6-C6</f>
        <v>6.7599999999999909</v>
      </c>
      <c r="F6">
        <v>171.56</v>
      </c>
      <c r="G6">
        <f>F6-D6</f>
        <v>7.6500000000000057</v>
      </c>
      <c r="H6" s="2">
        <f>G6/D6</f>
        <v>4.6671954121164087E-2</v>
      </c>
    </row>
    <row r="7" spans="1:8" x14ac:dyDescent="0.25">
      <c r="B7" s="3" t="s">
        <v>8</v>
      </c>
      <c r="C7">
        <f>C6-C4</f>
        <v>35.350000000000009</v>
      </c>
      <c r="D7">
        <f>D6-D4</f>
        <v>37.009999999999991</v>
      </c>
      <c r="E7">
        <f>E6-E4</f>
        <v>1.6599999999999824</v>
      </c>
      <c r="F7">
        <f>F6-F4</f>
        <v>38.56</v>
      </c>
      <c r="G7">
        <f>G6-G4</f>
        <v>1.5500000000000114</v>
      </c>
      <c r="H7" s="2">
        <f>G7/D7</f>
        <v>4.1880572818157574E-2</v>
      </c>
    </row>
    <row r="9" spans="1:8" x14ac:dyDescent="0.25">
      <c r="A9" t="s">
        <v>10</v>
      </c>
    </row>
    <row r="10" spans="1:8" x14ac:dyDescent="0.25">
      <c r="B10" s="3" t="s">
        <v>0</v>
      </c>
      <c r="C10">
        <f>331.19</f>
        <v>331.19</v>
      </c>
      <c r="D10">
        <v>354.51</v>
      </c>
      <c r="E10">
        <f>D10-C10</f>
        <v>23.319999999999993</v>
      </c>
      <c r="F10">
        <v>367.71</v>
      </c>
      <c r="G10">
        <f>F10-D10</f>
        <v>13.199999999999989</v>
      </c>
      <c r="H10" s="2">
        <f>G10/D10</f>
        <v>3.7234492680037201E-2</v>
      </c>
    </row>
    <row r="11" spans="1:8" x14ac:dyDescent="0.25">
      <c r="B11" s="3" t="s">
        <v>4</v>
      </c>
      <c r="C11">
        <v>99</v>
      </c>
      <c r="D11">
        <v>103</v>
      </c>
      <c r="E11">
        <f>D11-C11</f>
        <v>4</v>
      </c>
      <c r="F11">
        <v>108</v>
      </c>
      <c r="G11">
        <f>F11-D11</f>
        <v>5</v>
      </c>
      <c r="H11" s="2">
        <f>G11/D11</f>
        <v>4.8543689320388349E-2</v>
      </c>
    </row>
    <row r="12" spans="1:8" x14ac:dyDescent="0.25">
      <c r="B12" s="3" t="s">
        <v>5</v>
      </c>
      <c r="C12" s="2">
        <f>C11/C10</f>
        <v>0.29892206890304657</v>
      </c>
      <c r="D12" s="2">
        <f>D11/D10</f>
        <v>0.29054187470029053</v>
      </c>
      <c r="E12" s="2">
        <f t="shared" ref="E12" si="1">E11/E10</f>
        <v>0.17152658662092629</v>
      </c>
      <c r="F12" s="2">
        <f>F11/F10</f>
        <v>0.29370971689646735</v>
      </c>
      <c r="G12" s="2">
        <f t="shared" ref="G12" si="2">G11/G10</f>
        <v>0.37878787878787912</v>
      </c>
    </row>
    <row r="13" spans="1:8" x14ac:dyDescent="0.25">
      <c r="B13" s="3" t="s">
        <v>7</v>
      </c>
      <c r="C13">
        <f>126.74</f>
        <v>126.74</v>
      </c>
      <c r="D13">
        <v>132.28</v>
      </c>
      <c r="E13">
        <f>D13-C13</f>
        <v>5.5400000000000063</v>
      </c>
      <c r="F13">
        <v>138.56</v>
      </c>
      <c r="G13">
        <f>F13-D13</f>
        <v>6.2800000000000011</v>
      </c>
      <c r="H13" s="2">
        <f>G13/D13</f>
        <v>4.7475052918052624E-2</v>
      </c>
    </row>
    <row r="14" spans="1:8" x14ac:dyDescent="0.25">
      <c r="B14" s="3" t="s">
        <v>8</v>
      </c>
      <c r="C14">
        <f>C13-C11</f>
        <v>27.739999999999995</v>
      </c>
      <c r="D14">
        <f>D13-D11</f>
        <v>29.28</v>
      </c>
      <c r="E14">
        <f>E13-E11</f>
        <v>1.5400000000000063</v>
      </c>
      <c r="F14">
        <f>F13-F11</f>
        <v>30.560000000000002</v>
      </c>
      <c r="G14">
        <f>G13-G11</f>
        <v>1.2800000000000011</v>
      </c>
      <c r="H14" s="2">
        <f>G14/D14</f>
        <v>4.3715846994535554E-2</v>
      </c>
    </row>
    <row r="16" spans="1:8" x14ac:dyDescent="0.25">
      <c r="A16" t="s">
        <v>11</v>
      </c>
    </row>
    <row r="17" spans="2:8" x14ac:dyDescent="0.25">
      <c r="B17" s="3" t="s">
        <v>0</v>
      </c>
      <c r="C17">
        <v>115.14</v>
      </c>
      <c r="D17">
        <v>123.58</v>
      </c>
      <c r="E17">
        <f>D17-C17</f>
        <v>8.4399999999999977</v>
      </c>
      <c r="F17">
        <v>123.99</v>
      </c>
      <c r="G17">
        <f>F17-D17</f>
        <v>0.40999999999999659</v>
      </c>
      <c r="H17" s="2">
        <f>G17/D17</f>
        <v>3.3176889464314337E-3</v>
      </c>
    </row>
    <row r="18" spans="2:8" x14ac:dyDescent="0.25">
      <c r="B18" s="3" t="s">
        <v>4</v>
      </c>
      <c r="C18">
        <v>43.31</v>
      </c>
      <c r="D18">
        <v>43.48</v>
      </c>
      <c r="E18">
        <f>D18-C18</f>
        <v>0.1699999999999946</v>
      </c>
      <c r="F18">
        <v>43.38</v>
      </c>
      <c r="G18">
        <f>F18-D18</f>
        <v>-9.9999999999994316E-2</v>
      </c>
      <c r="H18" s="2">
        <f>G18/D18</f>
        <v>-2.2999080036797221E-3</v>
      </c>
    </row>
    <row r="19" spans="2:8" x14ac:dyDescent="0.25">
      <c r="B19" s="3" t="s">
        <v>5</v>
      </c>
      <c r="C19" s="2">
        <f>C18/C17</f>
        <v>0.37615077297203409</v>
      </c>
      <c r="D19" s="2">
        <f>D18/D17</f>
        <v>0.35183686680692666</v>
      </c>
      <c r="E19" s="2">
        <f t="shared" ref="E19" si="3">E18/E17</f>
        <v>2.0142180094786095E-2</v>
      </c>
      <c r="F19" s="2">
        <f>F18/F17</f>
        <v>0.34986692475199616</v>
      </c>
      <c r="G19" s="2">
        <f t="shared" ref="G19" si="4">G18/G17</f>
        <v>-0.24390243902437841</v>
      </c>
    </row>
    <row r="20" spans="2:8" x14ac:dyDescent="0.25">
      <c r="B20" s="3" t="s">
        <v>7</v>
      </c>
      <c r="C20">
        <v>46.2</v>
      </c>
      <c r="D20">
        <v>47.31</v>
      </c>
      <c r="E20">
        <f>D20-C20</f>
        <v>1.1099999999999994</v>
      </c>
      <c r="F20">
        <v>47.2</v>
      </c>
      <c r="G20">
        <f>F20-D20</f>
        <v>-0.10999999999999943</v>
      </c>
      <c r="H20" s="2">
        <f>G20/D20</f>
        <v>-2.3250898330162634E-3</v>
      </c>
    </row>
    <row r="21" spans="2:8" x14ac:dyDescent="0.25">
      <c r="B21" s="3" t="s">
        <v>8</v>
      </c>
      <c r="C21">
        <f t="shared" ref="C21:D21" si="5">C20-C18</f>
        <v>2.8900000000000006</v>
      </c>
      <c r="D21">
        <f t="shared" si="5"/>
        <v>3.8300000000000054</v>
      </c>
      <c r="E21">
        <f>E20-E18</f>
        <v>0.94000000000000483</v>
      </c>
      <c r="F21">
        <f>F20-F18</f>
        <v>3.8200000000000003</v>
      </c>
      <c r="G21">
        <f>G20-G18</f>
        <v>-1.0000000000005116E-2</v>
      </c>
      <c r="H21" s="2">
        <f>G21/D21</f>
        <v>-2.6109660574425851E-3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2025-11-13T12:08:22Z</dcterms:created>
  <dcterms:modified xsi:type="dcterms:W3CDTF">2025-11-13T12:24:39Z</dcterms:modified>
</cp:coreProperties>
</file>