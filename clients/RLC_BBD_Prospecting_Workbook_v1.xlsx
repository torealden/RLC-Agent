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RLC-Agent\clients\"/>
    </mc:Choice>
  </mc:AlternateContent>
  <xr:revisionPtr revIDLastSave="0" documentId="8_{9C523967-BC11-48FC-818A-D03A12DA2B11}" xr6:coauthVersionLast="47" xr6:coauthVersionMax="47" xr10:uidLastSave="{00000000-0000-0000-0000-000000000000}"/>
  <bookViews>
    <workbookView xWindow="5925" yWindow="2415" windowWidth="21600" windowHeight="11835" xr2:uid="{00000000-000D-0000-FFFF-FFFF00000000}"/>
  </bookViews>
  <sheets>
    <sheet name="Lists" sheetId="1" r:id="rId1"/>
    <sheet name="README" sheetId="2" r:id="rId2"/>
    <sheet name="Persona_Map" sheetId="3" r:id="rId3"/>
    <sheet name="Decision_Frames" sheetId="4" r:id="rId4"/>
    <sheet name="Leads" sheetId="5" r:id="rId5"/>
  </sheets>
  <definedNames>
    <definedName name="FrameOptions">Lists!$B$2:$B$8</definedName>
    <definedName name="PersonaOptions">Lists!$A$2:$A$10</definedName>
    <definedName name="PriorityOptions">Lists!$C$2:$C$4</definedName>
    <definedName name="StatusOptions">Lists!$D$2:$D$9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5" i="5" l="1"/>
  <c r="P65" i="5"/>
  <c r="O65" i="5"/>
  <c r="L65" i="5"/>
  <c r="Q64" i="5"/>
  <c r="P64" i="5"/>
  <c r="O64" i="5"/>
  <c r="L64" i="5"/>
  <c r="Q63" i="5"/>
  <c r="P63" i="5"/>
  <c r="O63" i="5"/>
  <c r="L63" i="5"/>
  <c r="Q62" i="5"/>
  <c r="P62" i="5"/>
  <c r="O62" i="5"/>
  <c r="L62" i="5"/>
  <c r="Q61" i="5"/>
  <c r="P61" i="5"/>
  <c r="O61" i="5"/>
  <c r="L61" i="5"/>
  <c r="Q60" i="5"/>
  <c r="P60" i="5"/>
  <c r="O60" i="5"/>
  <c r="L60" i="5"/>
  <c r="Q59" i="5"/>
  <c r="P59" i="5"/>
  <c r="O59" i="5"/>
  <c r="L59" i="5"/>
  <c r="Q58" i="5"/>
  <c r="P58" i="5"/>
  <c r="O58" i="5"/>
  <c r="L58" i="5"/>
  <c r="Q57" i="5"/>
  <c r="P57" i="5"/>
  <c r="O57" i="5"/>
  <c r="L57" i="5"/>
  <c r="Q56" i="5"/>
  <c r="P56" i="5"/>
  <c r="O56" i="5"/>
  <c r="L56" i="5"/>
  <c r="Q55" i="5"/>
  <c r="P55" i="5"/>
  <c r="O55" i="5"/>
  <c r="L55" i="5"/>
  <c r="Q54" i="5"/>
  <c r="P54" i="5"/>
  <c r="O54" i="5"/>
  <c r="L54" i="5"/>
  <c r="Q53" i="5"/>
  <c r="P53" i="5"/>
  <c r="O53" i="5"/>
  <c r="L53" i="5"/>
  <c r="Q52" i="5"/>
  <c r="P52" i="5"/>
  <c r="O52" i="5"/>
  <c r="L52" i="5"/>
  <c r="Q51" i="5"/>
  <c r="P51" i="5"/>
  <c r="O51" i="5"/>
  <c r="L51" i="5"/>
  <c r="Q50" i="5"/>
  <c r="P50" i="5"/>
  <c r="O50" i="5"/>
  <c r="L50" i="5"/>
  <c r="Q49" i="5"/>
  <c r="P49" i="5"/>
  <c r="O49" i="5"/>
  <c r="L49" i="5"/>
  <c r="Q48" i="5"/>
  <c r="P48" i="5"/>
  <c r="O48" i="5"/>
  <c r="L48" i="5"/>
  <c r="Q47" i="5"/>
  <c r="P47" i="5"/>
  <c r="O47" i="5"/>
  <c r="L47" i="5"/>
  <c r="Q46" i="5"/>
  <c r="P46" i="5"/>
  <c r="O46" i="5"/>
  <c r="L46" i="5"/>
  <c r="Q45" i="5"/>
  <c r="P45" i="5"/>
  <c r="O45" i="5"/>
  <c r="L45" i="5"/>
  <c r="Q44" i="5"/>
  <c r="P44" i="5"/>
  <c r="O44" i="5"/>
  <c r="L44" i="5"/>
  <c r="Q43" i="5"/>
  <c r="P43" i="5"/>
  <c r="O43" i="5"/>
  <c r="L43" i="5"/>
  <c r="Q42" i="5"/>
  <c r="P42" i="5"/>
  <c r="O42" i="5"/>
  <c r="L42" i="5"/>
  <c r="Q41" i="5"/>
  <c r="P41" i="5"/>
  <c r="O41" i="5"/>
  <c r="L41" i="5"/>
  <c r="Q40" i="5"/>
  <c r="P40" i="5"/>
  <c r="O40" i="5"/>
  <c r="L40" i="5"/>
  <c r="Q39" i="5"/>
  <c r="P39" i="5"/>
  <c r="O39" i="5"/>
  <c r="L39" i="5"/>
  <c r="Q38" i="5"/>
  <c r="P38" i="5"/>
  <c r="O38" i="5"/>
  <c r="L38" i="5"/>
  <c r="Q37" i="5"/>
  <c r="P37" i="5"/>
  <c r="O37" i="5"/>
  <c r="L37" i="5"/>
  <c r="Q36" i="5"/>
  <c r="P36" i="5"/>
  <c r="O36" i="5"/>
  <c r="L36" i="5"/>
  <c r="Q35" i="5"/>
  <c r="P35" i="5"/>
  <c r="O35" i="5"/>
  <c r="L35" i="5"/>
  <c r="Q34" i="5"/>
  <c r="P34" i="5"/>
  <c r="O34" i="5"/>
  <c r="L34" i="5"/>
  <c r="Q33" i="5"/>
  <c r="P33" i="5"/>
  <c r="O33" i="5"/>
  <c r="L33" i="5"/>
  <c r="Q32" i="5"/>
  <c r="P32" i="5"/>
  <c r="O32" i="5"/>
  <c r="L32" i="5"/>
  <c r="Q31" i="5"/>
  <c r="P31" i="5"/>
  <c r="O31" i="5"/>
  <c r="L31" i="5"/>
  <c r="Q30" i="5"/>
  <c r="P30" i="5"/>
  <c r="O30" i="5"/>
  <c r="L30" i="5"/>
  <c r="Q29" i="5"/>
  <c r="P29" i="5"/>
  <c r="O29" i="5"/>
  <c r="L29" i="5"/>
  <c r="Q28" i="5"/>
  <c r="P28" i="5"/>
  <c r="O28" i="5"/>
  <c r="L28" i="5"/>
  <c r="Q27" i="5"/>
  <c r="P27" i="5"/>
  <c r="O27" i="5"/>
  <c r="L27" i="5"/>
  <c r="Q26" i="5"/>
  <c r="P26" i="5"/>
  <c r="O26" i="5"/>
  <c r="L26" i="5"/>
  <c r="Q25" i="5"/>
  <c r="P25" i="5"/>
  <c r="O25" i="5"/>
  <c r="L25" i="5"/>
  <c r="Q24" i="5"/>
  <c r="P24" i="5"/>
  <c r="O24" i="5"/>
  <c r="L24" i="5"/>
  <c r="Q23" i="5"/>
  <c r="P23" i="5"/>
  <c r="O23" i="5"/>
  <c r="L23" i="5"/>
  <c r="Q22" i="5"/>
  <c r="P22" i="5"/>
  <c r="O22" i="5"/>
  <c r="L22" i="5"/>
  <c r="Q21" i="5"/>
  <c r="P21" i="5"/>
  <c r="O21" i="5"/>
  <c r="L21" i="5"/>
  <c r="Q20" i="5"/>
  <c r="P20" i="5"/>
  <c r="O20" i="5"/>
  <c r="L20" i="5"/>
  <c r="Q19" i="5"/>
  <c r="P19" i="5"/>
  <c r="O19" i="5"/>
  <c r="L19" i="5"/>
  <c r="Q18" i="5"/>
  <c r="P18" i="5"/>
  <c r="O18" i="5"/>
  <c r="L18" i="5"/>
  <c r="Q17" i="5"/>
  <c r="P17" i="5"/>
  <c r="O17" i="5"/>
  <c r="L17" i="5"/>
  <c r="Q16" i="5"/>
  <c r="P16" i="5"/>
  <c r="O16" i="5"/>
  <c r="L16" i="5"/>
  <c r="Q15" i="5"/>
  <c r="P15" i="5"/>
  <c r="O15" i="5"/>
  <c r="L15" i="5"/>
  <c r="Q14" i="5"/>
  <c r="P14" i="5"/>
  <c r="O14" i="5"/>
  <c r="L14" i="5"/>
  <c r="Q13" i="5"/>
  <c r="P13" i="5"/>
  <c r="O13" i="5"/>
  <c r="L13" i="5"/>
  <c r="Q12" i="5"/>
  <c r="P12" i="5"/>
  <c r="O12" i="5"/>
  <c r="L12" i="5"/>
  <c r="Q11" i="5"/>
  <c r="P11" i="5"/>
  <c r="O11" i="5"/>
  <c r="L11" i="5"/>
  <c r="Q10" i="5"/>
  <c r="P10" i="5"/>
  <c r="O10" i="5"/>
  <c r="L10" i="5"/>
  <c r="Q9" i="5"/>
  <c r="P9" i="5"/>
  <c r="O9" i="5"/>
  <c r="L9" i="5"/>
  <c r="Q8" i="5"/>
  <c r="P8" i="5"/>
  <c r="O8" i="5"/>
  <c r="L8" i="5"/>
  <c r="Q7" i="5"/>
  <c r="P7" i="5"/>
  <c r="O7" i="5"/>
  <c r="L7" i="5"/>
  <c r="Q6" i="5"/>
  <c r="P6" i="5"/>
  <c r="O6" i="5"/>
  <c r="L6" i="5"/>
  <c r="Q5" i="5"/>
  <c r="P5" i="5"/>
  <c r="O5" i="5"/>
  <c r="L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4" authorId="0" shapeId="0" xr:uid="{00000000-0006-0000-0400-000001000000}">
      <text>
        <r>
          <rPr>
            <sz val="11"/>
            <color theme="1"/>
            <rFont val="Calibri"/>
            <family val="2"/>
            <scheme val="minor"/>
          </rPr>
          <t>Editable. Start with Hot names for first outbound wave.</t>
        </r>
      </text>
    </comment>
    <comment ref="F4" authorId="0" shapeId="0" xr:uid="{00000000-0006-0000-0400-000002000000}">
      <text>
        <r>
          <rPr>
            <sz val="11"/>
            <color theme="1"/>
            <rFont val="Calibri"/>
            <family val="2"/>
            <scheme val="minor"/>
          </rPr>
          <t>Editable dropdown. Choose the buyer persona that best fits the human, not just the title.</t>
        </r>
      </text>
    </comment>
    <comment ref="G4" authorId="0" shapeId="0" xr:uid="{00000000-0006-0000-0400-000003000000}">
      <text>
        <r>
          <rPr>
            <sz val="11"/>
            <color theme="1"/>
            <rFont val="Calibri"/>
            <family val="2"/>
            <scheme val="minor"/>
          </rPr>
          <t>Editable dropdown. This controls the conversation angle.</t>
        </r>
      </text>
    </comment>
    <comment ref="P4" authorId="0" shapeId="0" xr:uid="{00000000-0006-0000-0400-000004000000}">
      <text>
        <r>
          <rPr>
            <sz val="11"/>
            <color theme="1"/>
            <rFont val="Calibri"/>
            <family val="2"/>
            <scheme val="minor"/>
          </rPr>
          <t>Auto-built from Persona + Decision Frame. Edit before sending.</t>
        </r>
      </text>
    </comment>
    <comment ref="Q4" authorId="0" shapeId="0" xr:uid="{00000000-0006-0000-0400-000005000000}">
      <text>
        <r>
          <rPr>
            <sz val="11"/>
            <color theme="1"/>
            <rFont val="Calibri"/>
            <family val="2"/>
            <scheme val="minor"/>
          </rPr>
          <t>Auto-built from Persona + Decision Frame. Use as a talk track, not a script to read word-for-word.</t>
        </r>
      </text>
    </comment>
  </commentList>
</comments>
</file>

<file path=xl/sharedStrings.xml><?xml version="1.0" encoding="utf-8"?>
<sst xmlns="http://schemas.openxmlformats.org/spreadsheetml/2006/main" count="1279" uniqueCount="465">
  <si>
    <t>Persona</t>
  </si>
  <si>
    <t>Decision Frame</t>
  </si>
  <si>
    <t>Priority</t>
  </si>
  <si>
    <t>Status</t>
  </si>
  <si>
    <t>Renewable Feedstock Buyer</t>
  </si>
  <si>
    <t>Margin &amp; P&amp;L</t>
  </si>
  <si>
    <t>Hot</t>
  </si>
  <si>
    <t>Not started</t>
  </si>
  <si>
    <t>Renewable Fuels Trader</t>
  </si>
  <si>
    <t>Supply Security</t>
  </si>
  <si>
    <t>Warm</t>
  </si>
  <si>
    <t>Researching</t>
  </si>
  <si>
    <t>Oils &amp; Fats Trader / Merchant</t>
  </si>
  <si>
    <t>Benchmark &amp; Market Signal</t>
  </si>
  <si>
    <t>Watch</t>
  </si>
  <si>
    <t>Ready to email</t>
  </si>
  <si>
    <t>Oleo / Specialty Chemicals Buyer</t>
  </si>
  <si>
    <t>Compliance &amp; Policy</t>
  </si>
  <si>
    <t>Ready to call</t>
  </si>
  <si>
    <t>Food / CPG Commodity Buyer</t>
  </si>
  <si>
    <t>Commercial Growth</t>
  </si>
  <si>
    <t>Contacted</t>
  </si>
  <si>
    <t>Commodity Risk / Hedging Manager</t>
  </si>
  <si>
    <t>Executive Alignment</t>
  </si>
  <si>
    <t>Nurture</t>
  </si>
  <si>
    <t>Compliance / Carbon Markets Lead</t>
  </si>
  <si>
    <t>Relationship &amp; Credibility</t>
  </si>
  <si>
    <t>Closed - won</t>
  </si>
  <si>
    <t>Executive Sponsor</t>
  </si>
  <si>
    <t>Closed - not a fit</t>
  </si>
  <si>
    <t>Commercial / Business Development Lead</t>
  </si>
  <si>
    <t>RLC BBD Prospecting Workbook (v1)</t>
  </si>
  <si>
    <t>Purpose: first-pass prospecting workbook for a biomass-based diesel fuel and feedstock report. This file is built to be iterated during outreach.</t>
  </si>
  <si>
    <t>What this is</t>
  </si>
  <si>
    <t>A working prospecting file with named leads, buyer personas, decision frames, and built-in suggested messaging.</t>
  </si>
  <si>
    <t>How to use it</t>
  </si>
  <si>
    <t>Start in Leads. Filter by Persona, Decision Frame, Segment, Company, or Priority. Edit Persona / Decision Frame if you learn the contact thinks differently than the default.</t>
  </si>
  <si>
    <t>Public-contact rule</t>
  </si>
  <si>
    <t>This workbook uses public professional information only. I did not guess personal or hidden direct emails. When a direct public route was not published, I paired the named lead with the company's official public email, phone, or form route.</t>
  </si>
  <si>
    <t>Best early sequencing</t>
  </si>
  <si>
    <t>1) Renewable Feedstock Buyer, 2) Oils &amp; Fats Trader / Merchant, 3) Food / CPG Commodity Buyer, 4) Commodity Risk / Hedging Manager, 5) Executive Sponsor.</t>
  </si>
  <si>
    <t>What to customize first</t>
  </si>
  <si>
    <t>Priority, Status, Persona, Decision Frame, Notes, and any direct contact details you discover during prospecting.</t>
  </si>
  <si>
    <t>Interpreting the route fields</t>
  </si>
  <si>
    <t>High = a relevant public company email or clear sales route. Medium = a public switchboard / HQ / company line. Low = only a generic route was public; pair with LinkedIn, referral research, or a warm intro.</t>
  </si>
  <si>
    <t>Field</t>
  </si>
  <si>
    <t>Meaning</t>
  </si>
  <si>
    <t>The job-based buyer type you are selling to.</t>
  </si>
  <si>
    <t>The angle to use in the conversation: margin, supply security, benchmarking, compliance, etc.</t>
  </si>
  <si>
    <t>Suggested Subject / Email / Call Outline</t>
  </si>
  <si>
    <t>Auto-pulled from Persona + Decision Frame. Treat as a starting point, not a script you must read verbatim.</t>
  </si>
  <si>
    <t>Route Type</t>
  </si>
  <si>
    <t>Whether the contact route is a sales email, company line, switchboard, or generic/public route.</t>
  </si>
  <si>
    <t>Buyer Persona Map</t>
  </si>
  <si>
    <t>Treat these as job-based buyer personas rather than literal personality types. The lead sheet uses these values in dropdowns and formulas.</t>
  </si>
  <si>
    <t>Who</t>
  </si>
  <si>
    <t>Typical Titles</t>
  </si>
  <si>
    <t>Care About</t>
  </si>
  <si>
    <t>Pain Points</t>
  </si>
  <si>
    <t>RLC Angle</t>
  </si>
  <si>
    <t>Proof</t>
  </si>
  <si>
    <t>Default Subject</t>
  </si>
  <si>
    <t>Email Core</t>
  </si>
  <si>
    <t>Call Outline</t>
  </si>
  <si>
    <t>Objection / Reply</t>
  </si>
  <si>
    <t>Feedstock sourcing and procurement leads inside renewable diesel / SAF producers or merchants.</t>
  </si>
  <si>
    <t>Feedstock sourcing director; renewable feedstocks trader; VP feedstock; sourcing manager</t>
  </si>
  <si>
    <t>Securing enough UCO, tallow, DCO, corn oil, soy/canola and alternatives at workable economics.</t>
  </si>
  <si>
    <t>Opaque bids; fast-moving spreads; substitution risk; supplier leverage; policy-driven demand spikes.</t>
  </si>
  <si>
    <t>Give them a sharper daily/weekly read on feedstock pricing, trade flows, competitor demand and substitution economics.</t>
  </si>
  <si>
    <t>Useful for bid timing, supplier conversations, internal market updates and margin protection.</t>
  </si>
  <si>
    <t>A cleaner read on BBD feedstock cost and availability</t>
  </si>
  <si>
    <t>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t>
  </si>
  <si>
    <t>-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t>
  </si>
  <si>
    <t>Objection: “We already get market color.” Reply: “Understood — the value is usually the niche cross-market read-through and faster signal on which feedstocks or demand centers are moving next.”</t>
  </si>
  <si>
    <t>Traders and commercial operators exposed to renewable diesel / SAF margins and feedstock moves.</t>
  </si>
  <si>
    <t>Renewable fuels trader; trader; value chain manager; commercial trader</t>
  </si>
  <si>
    <t>Margin timing, relative value, basin shifts, arbitrage, and what moves demand next.</t>
  </si>
  <si>
    <t>Noisy signals; lagging benchmarks; hard-to-synthesize policy + feedstock + product views.</t>
  </si>
  <si>
    <t>Frame the report as a way to see feedstock and BBD market signals earlier and translate them into tradeable context.</t>
  </si>
  <si>
    <t>Helps with position framing, commercial conversations, and faster read-through from policy and feedstock to margin.</t>
  </si>
  <si>
    <t>A faster way to read BBD feedstock and margin shifts</t>
  </si>
  <si>
    <t>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t>
  </si>
  <si>
    <t>-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t>
  </si>
  <si>
    <t>Objection: “We already have internal views.” Reply: “That makes sense — this tends to work best as an external signal check and a faster way to spot what may be underweighted internally.”</t>
  </si>
  <si>
    <t>Merchants, traders and sales leads in edible oils, tropical oils, specialty oils and fats.</t>
  </si>
  <si>
    <t>Soybean oil trader; palm oil trader; crude oils trade manager; refined oil sales; fats &amp; oils trading</t>
  </si>
  <si>
    <t>How biofuel pull-through distorts edible oil balances, basis, customer timing and replacement cost.</t>
  </si>
  <si>
    <t>Biofuel demand leaks into oils faster than customers appreciate; cross-market linkage is messy.</t>
  </si>
  <si>
    <t>Show how the report helps them explain and anticipate biofuel-related pressure in the oils complex.</t>
  </si>
  <si>
    <t>Good for customer calls, pricing discipline, inventory positioning and explaining volatility to internal teams.</t>
  </si>
  <si>
    <t>Track biofuel pull-through before it hits oils pricing</t>
  </si>
  <si>
    <t>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t>
  </si>
  <si>
    <t>-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t>
  </si>
  <si>
    <t>Objection: “We mainly watch the oils market.” Reply: “Exactly — this is for the part of the oils market that now gets moved by biofuel economics whether buyers like it or not.”</t>
  </si>
  <si>
    <t>Buyers and commercial managers exposed to fatty acids, glycerine, plant-based oils and other oleo inputs.</t>
  </si>
  <si>
    <t>Sourcing manager; category lead; commercial manager; trading lead in oleochemicals</t>
  </si>
  <si>
    <t>Input cost direction, substitution options and when energy-linked demand starts lifting feedstock costs.</t>
  </si>
  <si>
    <t>Biofuel-driven moves show up late in budget discussions; hard to explain why input costs changed.</t>
  </si>
  <si>
    <t>Position the report as early warning for feedstock pressure that later bleeds into oleo and specialty chemical inputs.</t>
  </si>
  <si>
    <t>Helps procurement planning, budget defense, supplier negotiations and internal cost forecasting.</t>
  </si>
  <si>
    <t>See biofuel pressure before it hits oleochemical input costs</t>
  </si>
  <si>
    <t>Hi [Name] — one reason buyers in oleo and specialty ingredients follow biomass-based diesel is that it can reprice the feedstocks they depend on long before the effect is obvious internally. RLC’s report is meant to make that linkage clearer so teams can explain cost moves earlier and act before suppliers reset the conversation.</t>
  </si>
  <si>
    <t>- Ask which oils or by-products are most exposed to energy-linked demand
- Ask how early they usually get visibility on cost pressure
- Explain that the report connects biofuel activity to downstream feedstock cost risk
- Offer to tailor the conversation to their input basket</t>
  </si>
  <si>
    <t>Objection: “Biofuels are not our core market.” Reply: “Right — but they increasingly influence the input markets you do buy, which is why the report tends to matter as an early-warning tool.”</t>
  </si>
  <si>
    <t>Procurement and commodity teams at food, ingredients and consumer-goods companies buying edible oils and fats.</t>
  </si>
  <si>
    <t>Commodity manager; procurement manager; buyer; category lead; head of commodities</t>
  </si>
  <si>
    <t>Budget predictability, supplier leverage, cost-out, and avoiding surprises in oils and fats spend.</t>
  </si>
  <si>
    <t>Biofuel demand can distort costs without giving buyers enough time to reset budgets or contracts.</t>
  </si>
  <si>
    <t>Use the report as an early-warning system for budget risk and supplier conversations around oils and fats.</t>
  </si>
  <si>
    <t>Useful for budgeting, contracting, explaining cost moves to leadership and framing supplier negotiations.</t>
  </si>
  <si>
    <t>Understand when biofuel demand is about to distort your oils budget</t>
  </si>
  <si>
    <t>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t>
  </si>
  <si>
    <t>- Ask which oils/fats categories create the most budget pain today
- Ask whether biofuel pull-through is already showing up in supplier conversations
- Position the report as early warning and budget-defense support
- Offer a quick preview focused on the oils they buy most</t>
  </si>
  <si>
    <t>Objection: “We only need broad commodity coverage.” Reply: “Broad coverage is useful, but the hidden cost often comes from niche feedstock shifts that broad views catch too late.”</t>
  </si>
  <si>
    <t>Risk managers and analysts who need to translate volatile markets into hedge or scenario decisions.</t>
  </si>
  <si>
    <t>Commodity risk manager; senior price risk manager; analyst; oil risk management lead</t>
  </si>
  <si>
    <t>Scenario quality, signal quality, cross-market correlation and avoiding blind spots.</t>
  </si>
  <si>
    <t>Too many disconnected inputs; hard to separate structural moves from temporary noise.</t>
  </si>
  <si>
    <t>Frame the report as an additional scenario and signal layer for fats/oils/biofuel exposure.</t>
  </si>
  <si>
    <t>Supports hedge discussions, budget scenarios and cleaner internal narratives around why a market moved.</t>
  </si>
  <si>
    <t>Scenario-ready coverage for BBD feedstocks and demand shocks</t>
  </si>
  <si>
    <t>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t>
  </si>
  <si>
    <t>-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t>
  </si>
  <si>
    <t>Objection: “We already have price data.” Reply: “Understood — the gap is usually not raw prices, but better interpretation of what is actually driving the move and what may follow.”</t>
  </si>
  <si>
    <t>Compliance, policy and carbon-market leads who need to understand how regulation is changing demand and economics.</t>
  </si>
  <si>
    <t>Compliance director; carbon lead; environmental products lead; policy/compliance manager</t>
  </si>
  <si>
    <t>RFS/LCFS/credits, feedstock eligibility, carbon intensity implications and demand shifts driven by rules.</t>
  </si>
  <si>
    <t>Policy updates often arrive faster than commercial teams can digest; market impact is hard to translate.</t>
  </si>
  <si>
    <t>Show that the report helps connect policy developments to feedstock demand, product values and commercial implications.</t>
  </si>
  <si>
    <t>Useful for internal alignment across compliance, trading, procurement and leadership.</t>
  </si>
  <si>
    <t>Tie feedstock economics to policy and carbon market changes</t>
  </si>
  <si>
    <t>Hi [Name] — one thing we hear from compliance and carbon-market teams is that the hardest part is translating policy movement into commercial relevance quickly. RLC’s biomass-based diesel fuel and feedstock report is built to connect those dots so that regulatory changes can be understood in terms of feedstock demand, pricing pressure and market behavior.</t>
  </si>
  <si>
    <t>- Ask which policy or credit signals are hardest to translate into commercial impact
- Ask who internally depends on them for market interpretation
- Position the report as a bridge from compliance insight to market action
- Offer a quick look at the policy-sensitive sections</t>
  </si>
  <si>
    <t>Objection: “We follow policy closely already.” Reply: “That’s ideal — the report complements that by pushing the discussion one step further into feedstock and market implications.”</t>
  </si>
  <si>
    <t>Business-unit leaders, VPs and GMs who need one market view across sourcing, trading, sales and finance.</t>
  </si>
  <si>
    <t>VP; SVP; president; GM; head of business unit; director</t>
  </si>
  <si>
    <t>Decision quality, alignment, margin resilience and fewer surprises across teams.</t>
  </si>
  <si>
    <t>Teams operate off different market assumptions; leadership gets conflicting stories during volatility.</t>
  </si>
  <si>
    <t>Position the report as a shared external view that aligns commercial, procurement and risk teams.</t>
  </si>
  <si>
    <t>Useful for leadership updates, cross-functional alignment and faster escalation when markets turn.</t>
  </si>
  <si>
    <t>One market view for procurement, trading and leadership</t>
  </si>
  <si>
    <t>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t>
  </si>
  <si>
    <t>- Ask where market misalignment shows up most inside the business
- Ask which teams would benefit from a common external view
- Explain that RLC can shorten the path from market change to aligned response
- Offer a short leadership-oriented preview</t>
  </si>
  <si>
    <t>Objection: “My team already covers this.” Reply: “That helps — leaders usually use us when they want an independent view that reduces internal guesswork and speeds alignment.”</t>
  </si>
  <si>
    <t>Sales and business-development leads who need a credible market narrative for customers and partners.</t>
  </si>
  <si>
    <t>Business development director; commercial manager; sales director; national account lead</t>
  </si>
  <si>
    <t>Winning conversations, pricing credibility, account planning and explaining volatility clearly.</t>
  </si>
  <si>
    <t>Customers ask for market context; sellers need something more rigorous than generic commentary.</t>
  </si>
  <si>
    <t>Frame the report as a way to sound smarter with accounts and anchor pricing conversations with evidence.</t>
  </si>
  <si>
    <t>Supports account planning, pipeline conversations, price discussions and customer retention.</t>
  </si>
  <si>
    <t>A better market narrative for customer and partner conversations</t>
  </si>
  <si>
    <t>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t>
  </si>
  <si>
    <t>-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t>
  </si>
  <si>
    <t>Objection: “We do not need another report.” Reply: “Fair — the question is whether you want a tighter market narrative that helps sales conversations land faster and with more authority.”</t>
  </si>
  <si>
    <t>Decision Frames</t>
  </si>
  <si>
    <t>This is the second layer of messaging. Persona tells you who the buyer is; Decision Frame tells you what to lead with.</t>
  </si>
  <si>
    <t>What Matters</t>
  </si>
  <si>
    <t>Keywords</t>
  </si>
  <si>
    <t>Lead With</t>
  </si>
  <si>
    <t>Email Modifier</t>
  </si>
  <si>
    <t>Call Modifier</t>
  </si>
  <si>
    <t>Cost-out, timing, protecting margin, avoiding expensive surprises.</t>
  </si>
  <si>
    <t>cost, margin, replacement cost, gross margin, bid timing, economics</t>
  </si>
  <si>
    <t>Show how the report can improve commercial timing and cost visibility.</t>
  </si>
  <si>
    <t>I would lead with the fact that the report helps protect margin by showing where feedstock pressure, substitution and product economics are moving before the full impact reaches budgets or bids.</t>
  </si>
  <si>
    <t>- Quantify cost or margin pain first
- Stay concrete on bid timing and replacement cost
- Keep the conversation tied to decisions, not theory</t>
  </si>
  <si>
    <t>Availability, disruptions, alternatives, import flows, supplier leverage.</t>
  </si>
  <si>
    <t>availability, imports, tightness, disruption, sourcing, continuity</t>
  </si>
  <si>
    <t>Frame the product as early warning on tightness and substitute options.</t>
  </si>
  <si>
    <t>I would emphasize that the value is not only price direction but earlier warning on tightness, import shifts, supplier behavior and which substitute feedstocks may become more or less viable next.</t>
  </si>
  <si>
    <t>- Ask where supply visibility breaks down today
- Focus on disruption risk and fallback options
- Tie the report to supplier negotiations and continuity planning</t>
  </si>
  <si>
    <t>Independent signal, cleaner interpretation, faster read-through.</t>
  </si>
  <si>
    <t>independent view, benchmark, signal, confirmation, market color</t>
  </si>
  <si>
    <t>Stress independence and synthesis rather than raw data volume.</t>
  </si>
  <si>
    <t>I would position the report as an independent signal layer that helps separate structural market changes from noise, especially where broad commodity coverage misses niche feedstock shifts.</t>
  </si>
  <si>
    <t>- Ask which market inputs they trust and which still feel noisy
- Highlight signal quality over report length
- Position RLC as a fast interpretation layer</t>
  </si>
  <si>
    <t>Regulatory shifts, feedstock eligibility, credits, auditability, policy transmission into markets.</t>
  </si>
  <si>
    <t>RFS, LCFS, credits, policy, carbon intensity, eligibility, regulation</t>
  </si>
  <si>
    <t>Translate rules into commercial consequences.</t>
  </si>
  <si>
    <t>I would lead with the connection between policy movement and commercial reality: how credits, eligibility, carbon intensity and rule changes can alter feedstock demand and market pricing faster than internal teams can line up around the impact.</t>
  </si>
  <si>
    <t>- Start with the policy issues on their desk now
- Translate policy into demand, pricing and sourcing implications
- Emphasize cross-functional alignment between compliance and commercial teams</t>
  </si>
  <si>
    <t>Better account conversations, pricing credibility, pipeline support.</t>
  </si>
  <si>
    <t>customers, pricing, account planning, proposals, credibility, growth</t>
  </si>
  <si>
    <t>Show how the report helps them sound smart with customers and partners.</t>
  </si>
  <si>
    <t>I would stress that the report gives commercial teams a more credible, evidence-based way to explain price moves and market conditions in customer and partner conversations.</t>
  </si>
  <si>
    <t>- Ask which customer objections or questions come up most often
- Link the report to pricing discipline and account confidence
- Keep the example practical and client-facing</t>
  </si>
  <si>
    <t>Shared market view, fewer internal surprises, cleaner leadership decisions.</t>
  </si>
  <si>
    <t>alignment, leadership, cross-functional, shared view, escalation</t>
  </si>
  <si>
    <t>Focus on organizational coordination, not just market detail.</t>
  </si>
  <si>
    <t>I would emphasize that the report can give procurement, trading, finance and leadership a common external frame of reference, which reduces internal misalignment when markets move fast.</t>
  </si>
  <si>
    <t>- Ask where internal market views diverge most today
- Keep the pitch high-level and decision-oriented
- Highlight speed of alignment, not just information volume</t>
  </si>
  <si>
    <t>Trusted source, practical relevance, credibility with experienced counterparties.</t>
  </si>
  <si>
    <t>trust, independent, practical, market credibility, useful</t>
  </si>
  <si>
    <t>Use plain language, practical examples and avoid over-selling.</t>
  </si>
  <si>
    <t>I would keep the tone grounded and practical: this is a specialist market tool designed to help experienced people make faster, better-informed calls without pretending to replace their own judgment.</t>
  </si>
  <si>
    <t>- Be direct and low-hype
- Use practical examples instead of broad claims
- Let credibility come from relevance and specificity</t>
  </si>
  <si>
    <t>Lead List</t>
  </si>
  <si>
    <t>Editable prospecting queue. Blue-font columns are intended to be adjusted as you learn more. Formula columns auto-build draft messaging from the persona and decision-frame libraries.</t>
  </si>
  <si>
    <t>Segment</t>
  </si>
  <si>
    <t>Company</t>
  </si>
  <si>
    <t>Contact Name</t>
  </si>
  <si>
    <t>Title</t>
  </si>
  <si>
    <t>Geography</t>
  </si>
  <si>
    <t>Public Email</t>
  </si>
  <si>
    <t>Public Phone</t>
  </si>
  <si>
    <t>Best Channel</t>
  </si>
  <si>
    <t>Route Suitability</t>
  </si>
  <si>
    <t>Why This Lead Matters</t>
  </si>
  <si>
    <t>Suggested Subject</t>
  </si>
  <si>
    <t>Suggested Email Body</t>
  </si>
  <si>
    <t>Suggested Call Outline</t>
  </si>
  <si>
    <t>Role Source URL</t>
  </si>
  <si>
    <t>Contact Source URL</t>
  </si>
  <si>
    <t>Last Verified</t>
  </si>
  <si>
    <t>Notes</t>
  </si>
  <si>
    <t>Oils &amp; fats / specialty oils</t>
  </si>
  <si>
    <t>AAK</t>
  </si>
  <si>
    <t>Travis Haymore</t>
  </si>
  <si>
    <t>Trader &amp; SeedTec Business Manager</t>
  </si>
  <si>
    <t>North America</t>
  </si>
  <si>
    <t>betterwithaak@aak.com</t>
  </si>
  <si>
    <t>+1 973 344 1300</t>
  </si>
  <si>
    <t>Public sales email + phone</t>
  </si>
  <si>
    <t>High</t>
  </si>
  <si>
    <t>Oils/fats trading role exposed to biofuel pull-through into edible, tropical and specialty oils pricing.</t>
  </si>
  <si>
    <t>https://niop.org/annual-convention/attendees/</t>
  </si>
  <si>
    <t>https://www.aak.com/contact?region=NorthAmerica</t>
  </si>
  <si>
    <t/>
  </si>
  <si>
    <t>Jorge Ayala</t>
  </si>
  <si>
    <t>V.P. Sourcing and Trading Americas</t>
  </si>
  <si>
    <t>Americas</t>
  </si>
  <si>
    <t>Likely budget owner or senior decision-maker who can sponsor a team subscription if the use case is clear.</t>
  </si>
  <si>
    <t>Ted Lengwin</t>
  </si>
  <si>
    <t>Director Business Development/Sales</t>
  </si>
  <si>
    <t>Can use niche market intelligence to improve customer conversations, pricing credibility and account planning.</t>
  </si>
  <si>
    <t>Crusher / refiner / oils &amp; biofuels</t>
  </si>
  <si>
    <t>ADM</t>
  </si>
  <si>
    <t>Katie Howley</t>
  </si>
  <si>
    <t>Sr. Director, Refined Oil Sales</t>
  </si>
  <si>
    <t>217-424-5200</t>
  </si>
  <si>
    <t>Public HQ phone + contact page</t>
  </si>
  <si>
    <t>Medium</t>
  </si>
  <si>
    <t>https://www.adm.com/en-us/about-adm/locations/north-america/</t>
  </si>
  <si>
    <t>Best first move may be switchboard / general line plus a short, role-specific email if you identify a direct address later.</t>
  </si>
  <si>
    <t>Tyler Sayers</t>
  </si>
  <si>
    <t>Vice President Refined Oils</t>
  </si>
  <si>
    <t>Mark Snider</t>
  </si>
  <si>
    <t>Trade Manager – NA Crude Oils</t>
  </si>
  <si>
    <t>Jakob Dehoust</t>
  </si>
  <si>
    <t>Director, Global Vegetable Oils and Biofuels Analyst</t>
  </si>
  <si>
    <t>Global</t>
  </si>
  <si>
    <t>Good entry point for scenario planning, hedge framing and independent signal validation.</t>
  </si>
  <si>
    <t>https://www.argusmedia.com/en/events/conferences/north-american-biofuels-lcfs-carbon-markets-summit/speakers</t>
  </si>
  <si>
    <t>Crusher / refiner / oils &amp; energy</t>
  </si>
  <si>
    <t>Ag Processing Inc.</t>
  </si>
  <si>
    <t>Courtney Lawrenson</t>
  </si>
  <si>
    <t>Vice President – Oils &amp; Energy</t>
  </si>
  <si>
    <t>402-496-7809</t>
  </si>
  <si>
    <t>Public HQ phone</t>
  </si>
  <si>
    <t>https://www.agp.com/contact-us/</t>
  </si>
  <si>
    <t>Garrett Owen</t>
  </si>
  <si>
    <t>Director – Refined Oil Sales</t>
  </si>
  <si>
    <t>Cade Zumpfe</t>
  </si>
  <si>
    <t>Refined Oil Sales Manager</t>
  </si>
  <si>
    <t>Global agribusiness / oils &amp; fats</t>
  </si>
  <si>
    <t>Bunge</t>
  </si>
  <si>
    <t>Derrick Augspurger</t>
  </si>
  <si>
    <t>Sr. Director Trading North America Soft Oils</t>
  </si>
  <si>
    <t>+1 314-292-2000</t>
  </si>
  <si>
    <t>https://www.bunge.com/Contact-Us</t>
  </si>
  <si>
    <t>Shane Veasey</t>
  </si>
  <si>
    <t>Manager, Renewable Feedstocks</t>
  </si>
  <si>
    <t>Direct feedstock coverage role; likely to care about UCO/tallow/DCO/soy/canola pricing, availability and substitution.</t>
  </si>
  <si>
    <t>Chris Collier</t>
  </si>
  <si>
    <t>Director of Commercial Sales</t>
  </si>
  <si>
    <t>Aaron Perkinson</t>
  </si>
  <si>
    <t>Director, Fats &amp; Oils Trading</t>
  </si>
  <si>
    <t>Global agribusiness / edible oils</t>
  </si>
  <si>
    <t>Cargill</t>
  </si>
  <si>
    <t>Amanda Bainbridge</t>
  </si>
  <si>
    <t>Sr. Director Edible Oils</t>
  </si>
  <si>
    <t>1-800-227-4455</t>
  </si>
  <si>
    <t>Public company phone</t>
  </si>
  <si>
    <t>https://www.cargill.com/worldwide/usa/</t>
  </si>
  <si>
    <t>Tara Ryan</t>
  </si>
  <si>
    <t>Senior Price Risk Manager</t>
  </si>
  <si>
    <t>Nick Mylonas</t>
  </si>
  <si>
    <t>Soybean Oil Trader</t>
  </si>
  <si>
    <t>Ali Cheena</t>
  </si>
  <si>
    <t>Tropical Oils Trader</t>
  </si>
  <si>
    <t>Agribusiness / vegetable oils</t>
  </si>
  <si>
    <t>CHS</t>
  </si>
  <si>
    <t>Todd Biedenfeld</t>
  </si>
  <si>
    <t>Director, Vegetable Oils and Sunflower Trading</t>
  </si>
  <si>
    <t>651-355-6000</t>
  </si>
  <si>
    <t>https://www.chsinc.com/contact-us</t>
  </si>
  <si>
    <t>Andrew Ryan</t>
  </si>
  <si>
    <t>National Account Manager</t>
  </si>
  <si>
    <t>Animal fats / circular feedstocks / renewable fuels</t>
  </si>
  <si>
    <t>Darling Ingredients</t>
  </si>
  <si>
    <t>Walter Floyd</t>
  </si>
  <si>
    <t>Vice President Sales</t>
  </si>
  <si>
    <t>communication@darlingii.com</t>
  </si>
  <si>
    <t>+1-972-717-0300</t>
  </si>
  <si>
    <t>Public company email + phone</t>
  </si>
  <si>
    <t>https://www.darlingii.com/about/contact</t>
  </si>
  <si>
    <t>Refiner / renewable feedstocks</t>
  </si>
  <si>
    <t>HF Sinclair</t>
  </si>
  <si>
    <t>Lucas Johnson</t>
  </si>
  <si>
    <t>Manager Renewable Feedstocks</t>
  </si>
  <si>
    <t>(214) 871-3555</t>
  </si>
  <si>
    <t>Public corporate phone</t>
  </si>
  <si>
    <t>https://www.hfsinclair.com/contact-us/default.aspx</t>
  </si>
  <si>
    <t>Cameron Lamphere</t>
  </si>
  <si>
    <t>Market Analyst</t>
  </si>
  <si>
    <t>Food / CPG buyer</t>
  </si>
  <si>
    <t>Kraft Heinz</t>
  </si>
  <si>
    <t>Charlie Harig</t>
  </si>
  <si>
    <t>Commodity Risk Manager</t>
  </si>
  <si>
    <t>1-800-543-5335</t>
  </si>
  <si>
    <t>Public consumer / corporate contact phone</t>
  </si>
  <si>
    <t>Low</t>
  </si>
  <si>
    <t>https://www.kraftheinzcompany.com/NewPrivacyPolicy.html</t>
  </si>
  <si>
    <t>Named lead is public, but the public contact route is generic; pair with LinkedIn or referral research.</t>
  </si>
  <si>
    <t>Emily Arthur</t>
  </si>
  <si>
    <t>Senior Manager, Procurement</t>
  </si>
  <si>
    <t>Buys oils/fats categories that can be repriced or tightened by biomass-based diesel demand.</t>
  </si>
  <si>
    <t>Jackson Frendo</t>
  </si>
  <si>
    <t>Buyer, Specialty/ Tropical oils</t>
  </si>
  <si>
    <t>Cris Bradley</t>
  </si>
  <si>
    <t>Buyer, Oils – Soy &amp; Canola</t>
  </si>
  <si>
    <t>Renewable diesel producer / marketer</t>
  </si>
  <si>
    <t>Marathon Petroleum</t>
  </si>
  <si>
    <t>Nathan Klaus</t>
  </si>
  <si>
    <t>Sr. Trader – Renewable Fuels</t>
  </si>
  <si>
    <t>+1 419-422-2121</t>
  </si>
  <si>
    <t>Trading role with direct exposure to BBD/SAF margins, feedstock signals and policy-driven demand shifts.</t>
  </si>
  <si>
    <t>https://www.marathonpetroleum.com/About/Contact-Us/</t>
  </si>
  <si>
    <t>James Arneson</t>
  </si>
  <si>
    <t>Renewable Feedstocks Trader</t>
  </si>
  <si>
    <t>Nick De La Garza</t>
  </si>
  <si>
    <t>Senior Director – Renewable Diesel Fuels Value Chain</t>
  </si>
  <si>
    <t>Renewable fuels producer</t>
  </si>
  <si>
    <t>Montana Renewables</t>
  </si>
  <si>
    <t>Bruce Fleming</t>
  </si>
  <si>
    <t>Chief Executive Officer</t>
  </si>
  <si>
    <t>customerservice@calumet.com</t>
  </si>
  <si>
    <t>(800) 437-3188</t>
  </si>
  <si>
    <t>Public parent-company email + phone</t>
  </si>
  <si>
    <t>https://calumet.com/contact-us/</t>
  </si>
  <si>
    <t>Greg Staiti</t>
  </si>
  <si>
    <t>Compliance Director</t>
  </si>
  <si>
    <t>Useful for policy-to-market translation where credits and eligibility change feedstock demand.</t>
  </si>
  <si>
    <t>Matt Upmeyer</t>
  </si>
  <si>
    <t>Director – Feedstock Sourcing</t>
  </si>
  <si>
    <t>Octavian Willson</t>
  </si>
  <si>
    <t>Feedstock Trader</t>
  </si>
  <si>
    <t>Renewable diesel / SAF producer</t>
  </si>
  <si>
    <t>Neste</t>
  </si>
  <si>
    <t>Paula Wagner</t>
  </si>
  <si>
    <t>Head of Sales SAF, Americas</t>
  </si>
  <si>
    <t>usa@neste.com</t>
  </si>
  <si>
    <t>+1 713 407 4400</t>
  </si>
  <si>
    <t>Public regional email + phone</t>
  </si>
  <si>
    <t>https://www.neste.com/en-us/contacts</t>
  </si>
  <si>
    <t>Randy Hahn</t>
  </si>
  <si>
    <t>Trader</t>
  </si>
  <si>
    <t>St. Bernard Renewables</t>
  </si>
  <si>
    <t>Brian Owens</t>
  </si>
  <si>
    <t>Vice President</t>
  </si>
  <si>
    <t>info@pbfenergy.com</t>
  </si>
  <si>
    <t>973.455.7500</t>
  </si>
  <si>
    <t>https://www.pbfenergy.com/logistics/</t>
  </si>
  <si>
    <t>Garrett Rudiger</t>
  </si>
  <si>
    <t>Commodity Analyst</t>
  </si>
  <si>
    <t>Food oils / ingredients / risk management</t>
  </si>
  <si>
    <t>Stratas Foods</t>
  </si>
  <si>
    <t>David Tillman</t>
  </si>
  <si>
    <t>1.888.404.1004</t>
  </si>
  <si>
    <t>https://www.stratasfoods.com/contact-us</t>
  </si>
  <si>
    <t>Philip Granger</t>
  </si>
  <si>
    <t>Commodity Manager</t>
  </si>
  <si>
    <t>Christian Hildebrand</t>
  </si>
  <si>
    <t>Vice President of Supply Chain</t>
  </si>
  <si>
    <t>Cory Barnes</t>
  </si>
  <si>
    <t>Senior Commodity Manager</t>
  </si>
  <si>
    <t>Biofuel feedstocks / commodities</t>
  </si>
  <si>
    <t>Targray</t>
  </si>
  <si>
    <t>Upamanyu Lahiri</t>
  </si>
  <si>
    <t>Biofuel Feedstock Trader</t>
  </si>
  <si>
    <t>1-888-695-8095</t>
  </si>
  <si>
    <t>Public company phone + form</t>
  </si>
  <si>
    <t>https://www.targray.com/contact</t>
  </si>
  <si>
    <t>Dan Murray</t>
  </si>
  <si>
    <t>Agribusiness / renewables / merchandising</t>
  </si>
  <si>
    <t>The Andersons</t>
  </si>
  <si>
    <t>Jacob Eberhart</t>
  </si>
  <si>
    <t>Senior Vice President, Renewables</t>
  </si>
  <si>
    <t>419-893-5050</t>
  </si>
  <si>
    <t>https://www.andersonsinc.com/contact/</t>
  </si>
  <si>
    <t>Shelby Simmons</t>
  </si>
  <si>
    <t>CPG / commodity buying</t>
  </si>
  <si>
    <t>Unilever</t>
  </si>
  <si>
    <t>Scott Erdal</t>
  </si>
  <si>
    <t>Head of North America Commodities</t>
  </si>
  <si>
    <t>+1 201-500-9100</t>
  </si>
  <si>
    <t>https://www.unileverusa.com/contact/</t>
  </si>
  <si>
    <t>Santiago Chavarria</t>
  </si>
  <si>
    <t>Liquid Oils – North America</t>
  </si>
  <si>
    <t>Food oils / trading / risk management</t>
  </si>
  <si>
    <t>Ventura Foods</t>
  </si>
  <si>
    <t>Scott Lanctot</t>
  </si>
  <si>
    <t>Director, Oil Trading</t>
  </si>
  <si>
    <t>888-500-0086</t>
  </si>
  <si>
    <t>https://www.venturafoods.com/contact/</t>
  </si>
  <si>
    <t>Andy Seagren</t>
  </si>
  <si>
    <t>VP, Oil Trading</t>
  </si>
  <si>
    <t>Sarah Guillon</t>
  </si>
  <si>
    <t>Director Oil Trading</t>
  </si>
  <si>
    <t>Robert Whyte</t>
  </si>
  <si>
    <t>VP, Oil Risk Management and Market Solutions</t>
  </si>
  <si>
    <t>Oils &amp; fats / oleochemicals</t>
  </si>
  <si>
    <t>Wilmar</t>
  </si>
  <si>
    <t>Meilin Xu</t>
  </si>
  <si>
    <t>President</t>
  </si>
  <si>
    <t>OleoMarketing@wilmar.com.sg</t>
  </si>
  <si>
    <t>(65) 6216 0244</t>
  </si>
  <si>
    <t>Public oleochemicals email + phone</t>
  </si>
  <si>
    <t>https://www.wilmar-international.com/oleochemicals/contact-us</t>
  </si>
  <si>
    <t>Traci Rabago</t>
  </si>
  <si>
    <t>Commercial Manager</t>
  </si>
  <si>
    <t>Joey Lim Bee Khim</t>
  </si>
  <si>
    <t>Manager, Trading – Americas</t>
  </si>
  <si>
    <t>Vegetable oils / sourcing</t>
  </si>
  <si>
    <t>Sovena</t>
  </si>
  <si>
    <t>Gerald Jones</t>
  </si>
  <si>
    <t>VP Sourcing</t>
  </si>
  <si>
    <t>info@sovena.pt</t>
  </si>
  <si>
    <t>+351 21 412 93 00</t>
  </si>
  <si>
    <t>Input-cost role exposed to vegetable-oil and oleochemical feedstock repricing when biofuel demand shifts.</t>
  </si>
  <si>
    <t>https://www.sovenagroup.com/en/contacts/general-contacts/</t>
  </si>
  <si>
    <t>RJ Bateman</t>
  </si>
  <si>
    <t>Sourcing Manager</t>
  </si>
  <si>
    <t>Oleochemicals / plant-based feedstocks</t>
  </si>
  <si>
    <t>KLK OLEO</t>
  </si>
  <si>
    <t>Jason Mun Ming Lee</t>
  </si>
  <si>
    <t>General Manager, Global Sales</t>
  </si>
  <si>
    <t>info.americas@klkoleo.com</t>
  </si>
  <si>
    <t>+1 516 584 6268</t>
  </si>
  <si>
    <t>Public Americas sales email + phone</t>
  </si>
  <si>
    <t>https://www.klkoleo.com/contact-us/</t>
  </si>
  <si>
    <t>Ryan Pang Jun Wen</t>
  </si>
  <si>
    <t>Senior Executive, Trading</t>
  </si>
  <si>
    <t>SAF / renewable fuels</t>
  </si>
  <si>
    <t>World Energy</t>
  </si>
  <si>
    <t>Dan Johnson</t>
  </si>
  <si>
    <t>President, Clean Fuels</t>
  </si>
  <si>
    <t>media@worldenergy.net</t>
  </si>
  <si>
    <t>Public media/general email</t>
  </si>
  <si>
    <t>https://worldenergy.net/our-company/our-team/</t>
  </si>
  <si>
    <t>https://worldenergy.net/media-contact/</t>
  </si>
  <si>
    <t>Brendan Marusa</t>
  </si>
  <si>
    <t>Vice President, Feedstock</t>
  </si>
  <si>
    <t>Maintenance tip: when you discover a real direct line or work email, paste it into Notes first, then update Public Email / Public Phone only if the contact is clearly public or provided directly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</si>
</sst>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0"/>
      <name val="Calibri"/>
      <family val="2"/>
    </font>
    <font>
      <b/>
      <sz val="14"/>
      <color rgb="FFFFFFFF"/>
      <name val="Calibri"/>
      <family val="2"/>
    </font>
    <font>
      <i/>
      <sz val="10"/>
      <color rgb="FF000000"/>
      <name val="Calibri"/>
      <family val="2"/>
    </font>
    <font>
      <sz val="10"/>
      <color rgb="FF000000"/>
      <name val="Calibri"/>
      <family val="2"/>
    </font>
    <font>
      <b/>
      <sz val="11"/>
      <color rgb="FFFFFFFF"/>
      <name val="Calibri"/>
      <family val="2"/>
    </font>
    <font>
      <sz val="10"/>
      <color rgb="FF0000FF"/>
      <name val="Calibri"/>
      <family val="2"/>
    </font>
    <font>
      <sz val="10"/>
      <color rgb="FF008000"/>
      <name val="Calibri"/>
      <family val="2"/>
    </font>
    <font>
      <sz val="12"/>
      <color theme="10"/>
      <name val="Calibri"/>
      <family val="2"/>
      <scheme val="minor"/>
    </font>
    <font>
      <sz val="10"/>
      <color rgb="FFC55A11"/>
      <name val="Calibri"/>
      <family val="2"/>
    </font>
    <font>
      <i/>
      <sz val="10"/>
      <color rgb="FF7F6000"/>
      <name val="Calibri"/>
      <family val="2"/>
    </font>
    <font>
      <b/>
      <sz val="10"/>
      <color rgb="FF008934"/>
      <name val="Calibri"/>
      <family val="2"/>
    </font>
  </fonts>
  <fills count="7">
    <fill>
      <patternFill patternType="none"/>
    </fill>
    <fill>
      <patternFill patternType="gray125"/>
    </fill>
    <fill>
      <patternFill patternType="solid">
        <fgColor rgb="FF1F4E78"/>
      </patternFill>
    </fill>
    <fill>
      <patternFill patternType="solid">
        <fgColor rgb="FFF3F4F6"/>
      </patternFill>
    </fill>
    <fill>
      <patternFill patternType="solid">
        <fgColor rgb="FFEAF3FF"/>
      </patternFill>
    </fill>
    <fill>
      <patternFill patternType="solid">
        <fgColor rgb="FFE2F0D9"/>
      </patternFill>
    </fill>
    <fill>
      <patternFill patternType="solid">
        <fgColor rgb="FFFCE4D6"/>
      </patternFill>
    </fill>
  </fills>
  <borders count="2">
    <border>
      <left/>
      <right/>
      <top/>
      <bottom/>
      <diagonal/>
    </border>
    <border>
      <left/>
      <right/>
      <top/>
      <bottom style="thin">
        <color rgb="FFD9D9D9"/>
      </bottom>
      <diagonal/>
    </border>
  </borders>
  <cellStyleXfs count="2">
    <xf numFmtId="0" fontId="0" fillId="0" borderId="0"/>
    <xf numFmtId="0" fontId="8" fillId="0" borderId="0"/>
  </cellStyleXfs>
  <cellXfs count="20">
    <xf numFmtId="0" fontId="0" fillId="0" borderId="0" xfId="0"/>
    <xf numFmtId="0" fontId="1" fillId="4" borderId="0" xfId="0" applyFont="1" applyFill="1" applyAlignment="1">
      <alignment vertical="top" wrapText="1"/>
    </xf>
    <xf numFmtId="0" fontId="4" fillId="0" borderId="0" xfId="0" applyFont="1" applyAlignment="1">
      <alignment vertical="top" wrapText="1"/>
    </xf>
    <xf numFmtId="0" fontId="5" fillId="2" borderId="0" xfId="0" applyFont="1" applyFill="1"/>
    <xf numFmtId="0" fontId="1" fillId="0" borderId="0" xfId="0" applyFont="1" applyAlignment="1">
      <alignment vertical="top" wrapText="1"/>
    </xf>
    <xf numFmtId="0" fontId="0" fillId="0" borderId="0" xfId="0" applyAlignment="1">
      <alignment vertical="top" wrapText="1"/>
    </xf>
    <xf numFmtId="0" fontId="5" fillId="2" borderId="1" xfId="0" applyFont="1" applyFill="1" applyBorder="1" applyAlignment="1">
      <alignment horizontal="center" vertical="center" wrapText="1"/>
    </xf>
    <xf numFmtId="0" fontId="6" fillId="4" borderId="0" xfId="0" applyFont="1" applyFill="1" applyAlignment="1">
      <alignment vertical="top" wrapText="1"/>
    </xf>
    <xf numFmtId="0" fontId="8" fillId="0" borderId="0" xfId="1"/>
    <xf numFmtId="49" fontId="4" fillId="0" borderId="0" xfId="0" applyNumberFormat="1" applyFont="1" applyAlignment="1">
      <alignment vertical="top" wrapText="1"/>
    </xf>
    <xf numFmtId="0" fontId="4" fillId="5" borderId="0" xfId="0" applyFont="1" applyFill="1" applyAlignment="1">
      <alignment vertical="top" wrapText="1"/>
    </xf>
    <xf numFmtId="0" fontId="7" fillId="0" borderId="0" xfId="0" applyFont="1" applyAlignment="1">
      <alignment vertical="top" wrapText="1"/>
    </xf>
    <xf numFmtId="164" fontId="4" fillId="0" borderId="0" xfId="0" applyNumberFormat="1" applyFont="1" applyAlignment="1">
      <alignment vertical="top" wrapText="1"/>
    </xf>
    <xf numFmtId="0" fontId="6" fillId="0" borderId="0" xfId="0" applyFont="1" applyAlignment="1">
      <alignment vertical="top" wrapText="1"/>
    </xf>
    <xf numFmtId="0" fontId="9" fillId="0" borderId="0" xfId="0" applyFont="1" applyAlignment="1">
      <alignment vertical="top" wrapText="1"/>
    </xf>
    <xf numFmtId="0" fontId="3" fillId="3" borderId="0" xfId="0" applyFont="1" applyFill="1" applyAlignment="1">
      <alignment vertical="top" wrapText="1"/>
    </xf>
    <xf numFmtId="0" fontId="0" fillId="0" borderId="0" xfId="0"/>
    <xf numFmtId="0" fontId="2" fillId="2" borderId="0" xfId="0" applyFont="1" applyFill="1" applyAlignment="1">
      <alignment horizontal="left" vertical="center"/>
    </xf>
    <xf numFmtId="0" fontId="10" fillId="6" borderId="0" xfId="0" applyFont="1" applyFill="1" applyAlignment="1">
      <alignment wrapText="1"/>
    </xf>
    <xf numFmtId="0" fontId="11" fillId="0" borderId="0" xfId="0" applyFont="1"/>
  </cellXfs>
  <cellStyles count="2">
    <cellStyle name="Hyperlink" xfId="1" xr:uid="{00000000-0005-0000-0000-000001000000}"/>
    <cellStyle name="Normal" xfId="0" builtinId="0"/>
  </cellStyles>
  <dxfs count="0"/>
  <tableStyles count="0" defaultTableStyle="TableStyleMedium2" defaultPivotStyle="PivotStyleLight16"/>
  <colors>
    <mruColors>
      <color rgb="FF008934"/>
      <color rgb="FF0B9A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390525</xdr:colOff>
      <xdr:row>15</xdr:row>
      <xdr:rowOff>657225</xdr:rowOff>
    </xdr:to>
    <xdr:sp macro="" textlink="">
      <xdr:nvSpPr>
        <xdr:cNvPr id="1030" name="Text Box 6" hidden="1">
          <a:extLst>
            <a:ext uri="{FF2B5EF4-FFF2-40B4-BE49-F238E27FC236}">
              <a16:creationId xmlns:a16="http://schemas.microsoft.com/office/drawing/2014/main" id="{A7219EC5-527F-A1A8-B822-428451B8ECD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aTable" displayName="PersonaTable" ref="A4:K13">
  <autoFilter ref="A4:K13" xr:uid="{00000000-0009-0000-0100-000001000000}"/>
  <tableColumns count="11">
    <tableColumn id="1" xr3:uid="{00000000-0010-0000-0000-000001000000}" name="Persona"/>
    <tableColumn id="2" xr3:uid="{00000000-0010-0000-0000-000002000000}" name="Who"/>
    <tableColumn id="3" xr3:uid="{00000000-0010-0000-0000-000003000000}" name="Typical Titles"/>
    <tableColumn id="4" xr3:uid="{00000000-0010-0000-0000-000004000000}" name="Care About"/>
    <tableColumn id="5" xr3:uid="{00000000-0010-0000-0000-000005000000}" name="Pain Points"/>
    <tableColumn id="6" xr3:uid="{00000000-0010-0000-0000-000006000000}" name="RLC Angle"/>
    <tableColumn id="7" xr3:uid="{00000000-0010-0000-0000-000007000000}" name="Proof"/>
    <tableColumn id="8" xr3:uid="{00000000-0010-0000-0000-000008000000}" name="Default Subject"/>
    <tableColumn id="9" xr3:uid="{00000000-0010-0000-0000-000009000000}" name="Email Core"/>
    <tableColumn id="10" xr3:uid="{00000000-0010-0000-0000-00000A000000}" name="Call Outline"/>
    <tableColumn id="11" xr3:uid="{00000000-0010-0000-0000-00000B000000}" name="Objection / Repl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rameTable" displayName="FrameTable" ref="A4:F11">
  <autoFilter ref="A4:F11" xr:uid="{00000000-0009-0000-0100-000002000000}"/>
  <tableColumns count="6">
    <tableColumn id="1" xr3:uid="{00000000-0010-0000-0100-000001000000}" name="Decision Frame"/>
    <tableColumn id="2" xr3:uid="{00000000-0010-0000-0100-000002000000}" name="What Matters"/>
    <tableColumn id="3" xr3:uid="{00000000-0010-0000-0100-000003000000}" name="Keywords"/>
    <tableColumn id="4" xr3:uid="{00000000-0010-0000-0100-000004000000}" name="Lead With"/>
    <tableColumn id="5" xr3:uid="{00000000-0010-0000-0100-000005000000}" name="Email Modifier"/>
    <tableColumn id="6" xr3:uid="{00000000-0010-0000-0100-000006000000}" name="Call Modifi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adTable" displayName="LeadTable" ref="A4:V65">
  <autoFilter ref="A4:V65" xr:uid="{00000000-0009-0000-0100-000003000000}"/>
  <tableColumns count="22">
    <tableColumn id="1" xr3:uid="{00000000-0010-0000-0200-000001000000}" name="Priority"/>
    <tableColumn id="2" xr3:uid="{00000000-0010-0000-0200-000002000000}" name="Segment"/>
    <tableColumn id="3" xr3:uid="{00000000-0010-0000-0200-000003000000}" name="Company"/>
    <tableColumn id="4" xr3:uid="{00000000-0010-0000-0200-000004000000}" name="Contact Name"/>
    <tableColumn id="5" xr3:uid="{00000000-0010-0000-0200-000005000000}" name="Title"/>
    <tableColumn id="6" xr3:uid="{00000000-0010-0000-0200-000006000000}" name="Persona"/>
    <tableColumn id="7" xr3:uid="{00000000-0010-0000-0200-000007000000}" name="Decision Frame"/>
    <tableColumn id="8" xr3:uid="{00000000-0010-0000-0200-000008000000}" name="Geography"/>
    <tableColumn id="9" xr3:uid="{00000000-0010-0000-0200-000009000000}" name="Public Email"/>
    <tableColumn id="10" xr3:uid="{00000000-0010-0000-0200-00000A000000}" name="Public Phone"/>
    <tableColumn id="11" xr3:uid="{00000000-0010-0000-0200-00000B000000}" name="Route Type"/>
    <tableColumn id="12" xr3:uid="{00000000-0010-0000-0200-00000C000000}" name="Best Channel"/>
    <tableColumn id="13" xr3:uid="{00000000-0010-0000-0200-00000D000000}" name="Route Suitability"/>
    <tableColumn id="14" xr3:uid="{00000000-0010-0000-0200-00000E000000}" name="Why This Lead Matters"/>
    <tableColumn id="15" xr3:uid="{00000000-0010-0000-0200-00000F000000}" name="Suggested Subject"/>
    <tableColumn id="16" xr3:uid="{00000000-0010-0000-0200-000010000000}" name="Suggested Email Body"/>
    <tableColumn id="17" xr3:uid="{00000000-0010-0000-0200-000011000000}" name="Suggested Call Outline"/>
    <tableColumn id="18" xr3:uid="{00000000-0010-0000-0200-000012000000}" name="Role Source URL"/>
    <tableColumn id="19" xr3:uid="{00000000-0010-0000-0200-000013000000}" name="Contact Source URL"/>
    <tableColumn id="20" xr3:uid="{00000000-0010-0000-0200-000014000000}" name="Last Verified"/>
    <tableColumn id="21" xr3:uid="{00000000-0010-0000-0200-000015000000}" name="Status"/>
    <tableColumn id="22" xr3:uid="{00000000-0010-0000-0200-000016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workbookViewId="0">
      <selection activeCell="H7" sqref="H7"/>
    </sheetView>
  </sheetViews>
  <sheetFormatPr defaultRowHeight="15" x14ac:dyDescent="0.25"/>
  <cols>
    <col min="1" max="1" width="39.140625" bestFit="1" customWidth="1"/>
    <col min="2" max="2" width="25.7109375" bestFit="1" customWidth="1"/>
    <col min="4" max="4" width="15.5703125" bestFit="1" customWidth="1"/>
  </cols>
  <sheetData>
    <row r="1" spans="1:4" x14ac:dyDescent="0.25">
      <c r="A1" s="19" t="s">
        <v>0</v>
      </c>
      <c r="B1" s="19" t="s">
        <v>1</v>
      </c>
      <c r="C1" s="19" t="s">
        <v>2</v>
      </c>
      <c r="D1" s="19"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D5" t="s">
        <v>18</v>
      </c>
    </row>
    <row r="6" spans="1:4" x14ac:dyDescent="0.25">
      <c r="A6" t="s">
        <v>19</v>
      </c>
      <c r="B6" t="s">
        <v>20</v>
      </c>
      <c r="D6" t="s">
        <v>21</v>
      </c>
    </row>
    <row r="7" spans="1:4" x14ac:dyDescent="0.25">
      <c r="A7" t="s">
        <v>22</v>
      </c>
      <c r="B7" t="s">
        <v>23</v>
      </c>
      <c r="D7" t="s">
        <v>24</v>
      </c>
    </row>
    <row r="8" spans="1:4" x14ac:dyDescent="0.25">
      <c r="A8" t="s">
        <v>25</v>
      </c>
      <c r="B8" t="s">
        <v>26</v>
      </c>
      <c r="D8" t="s">
        <v>27</v>
      </c>
    </row>
    <row r="9" spans="1:4" x14ac:dyDescent="0.25">
      <c r="A9" t="s">
        <v>28</v>
      </c>
      <c r="D9" t="s">
        <v>29</v>
      </c>
    </row>
    <row r="10" spans="1:4" x14ac:dyDescent="0.25">
      <c r="A10"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showGridLines="0" workbookViewId="0">
      <selection sqref="A1:F1"/>
    </sheetView>
  </sheetViews>
  <sheetFormatPr defaultRowHeight="15" x14ac:dyDescent="0.25"/>
  <cols>
    <col min="1" max="1" width="24" customWidth="1"/>
    <col min="2" max="2" width="95" customWidth="1"/>
    <col min="3" max="6" width="2" customWidth="1"/>
  </cols>
  <sheetData>
    <row r="1" spans="1:6" ht="24" customHeight="1" x14ac:dyDescent="0.25">
      <c r="A1" s="17" t="s">
        <v>31</v>
      </c>
      <c r="B1" s="16"/>
      <c r="C1" s="16"/>
      <c r="D1" s="16"/>
      <c r="E1" s="16"/>
      <c r="F1" s="16"/>
    </row>
    <row r="2" spans="1:6" ht="33.950000000000003" customHeight="1" x14ac:dyDescent="0.25">
      <c r="A2" s="15" t="s">
        <v>32</v>
      </c>
      <c r="B2" s="16"/>
      <c r="C2" s="16"/>
      <c r="D2" s="16"/>
      <c r="E2" s="16"/>
      <c r="F2" s="16"/>
    </row>
    <row r="4" spans="1:6" ht="38.1" customHeight="1" x14ac:dyDescent="0.25">
      <c r="A4" s="1" t="s">
        <v>33</v>
      </c>
      <c r="B4" s="2" t="s">
        <v>34</v>
      </c>
    </row>
    <row r="5" spans="1:6" ht="38.1" customHeight="1" x14ac:dyDescent="0.25">
      <c r="A5" s="1" t="s">
        <v>35</v>
      </c>
      <c r="B5" s="2" t="s">
        <v>36</v>
      </c>
    </row>
    <row r="6" spans="1:6" ht="38.1" customHeight="1" x14ac:dyDescent="0.25">
      <c r="A6" s="1" t="s">
        <v>37</v>
      </c>
      <c r="B6" s="2" t="s">
        <v>38</v>
      </c>
    </row>
    <row r="7" spans="1:6" ht="38.1" customHeight="1" x14ac:dyDescent="0.25">
      <c r="A7" s="1" t="s">
        <v>39</v>
      </c>
      <c r="B7" s="2" t="s">
        <v>40</v>
      </c>
    </row>
    <row r="8" spans="1:6" ht="38.1" customHeight="1" x14ac:dyDescent="0.25">
      <c r="A8" s="1" t="s">
        <v>41</v>
      </c>
      <c r="B8" s="2" t="s">
        <v>42</v>
      </c>
    </row>
    <row r="9" spans="1:6" ht="38.1" customHeight="1" x14ac:dyDescent="0.25">
      <c r="A9" s="1" t="s">
        <v>43</v>
      </c>
      <c r="B9" s="2" t="s">
        <v>44</v>
      </c>
    </row>
    <row r="12" spans="1:6" x14ac:dyDescent="0.25">
      <c r="A12" s="3" t="s">
        <v>45</v>
      </c>
      <c r="B12" s="3" t="s">
        <v>46</v>
      </c>
    </row>
    <row r="13" spans="1:6" ht="32.1" customHeight="1" x14ac:dyDescent="0.25">
      <c r="A13" s="4" t="s">
        <v>0</v>
      </c>
      <c r="B13" s="5" t="s">
        <v>47</v>
      </c>
    </row>
    <row r="14" spans="1:6" ht="32.1" customHeight="1" x14ac:dyDescent="0.25">
      <c r="A14" s="4" t="s">
        <v>1</v>
      </c>
      <c r="B14" s="5" t="s">
        <v>48</v>
      </c>
    </row>
    <row r="15" spans="1:6" ht="32.1" customHeight="1" x14ac:dyDescent="0.25">
      <c r="A15" s="4" t="s">
        <v>49</v>
      </c>
      <c r="B15" s="5" t="s">
        <v>50</v>
      </c>
    </row>
    <row r="16" spans="1:6" ht="32.1" customHeight="1" x14ac:dyDescent="0.25">
      <c r="A16" s="4" t="s">
        <v>51</v>
      </c>
      <c r="B16" s="5" t="s">
        <v>52</v>
      </c>
    </row>
  </sheetData>
  <mergeCells count="2">
    <mergeCell ref="A2:F2"/>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showGridLines="0" topLeftCell="A9" workbookViewId="0">
      <selection sqref="A1:K1"/>
    </sheetView>
  </sheetViews>
  <sheetFormatPr defaultRowHeight="15" x14ac:dyDescent="0.25"/>
  <cols>
    <col min="1" max="2" width="28" customWidth="1"/>
    <col min="3" max="3" width="34" customWidth="1"/>
    <col min="4" max="6" width="28" customWidth="1"/>
    <col min="7" max="7" width="24" customWidth="1"/>
    <col min="8" max="8" width="34" customWidth="1"/>
    <col min="9" max="9" width="58" customWidth="1"/>
    <col min="10" max="10" width="52" customWidth="1"/>
    <col min="11" max="11" width="46" customWidth="1"/>
  </cols>
  <sheetData>
    <row r="1" spans="1:11" ht="24" customHeight="1" x14ac:dyDescent="0.25">
      <c r="A1" s="17" t="s">
        <v>53</v>
      </c>
      <c r="B1" s="16"/>
      <c r="C1" s="16"/>
      <c r="D1" s="16"/>
      <c r="E1" s="16"/>
      <c r="F1" s="16"/>
      <c r="G1" s="16"/>
      <c r="H1" s="16"/>
      <c r="I1" s="16"/>
      <c r="J1" s="16"/>
      <c r="K1" s="16"/>
    </row>
    <row r="2" spans="1:11" ht="33.950000000000003" customHeight="1" x14ac:dyDescent="0.25">
      <c r="A2" s="15" t="s">
        <v>54</v>
      </c>
      <c r="B2" s="16"/>
      <c r="C2" s="16"/>
      <c r="D2" s="16"/>
      <c r="E2" s="16"/>
      <c r="F2" s="16"/>
      <c r="G2" s="16"/>
      <c r="H2" s="16"/>
      <c r="I2" s="16"/>
      <c r="J2" s="16"/>
      <c r="K2" s="16"/>
    </row>
    <row r="4" spans="1:11" ht="32.1" customHeight="1" x14ac:dyDescent="0.25">
      <c r="A4" s="6" t="s">
        <v>0</v>
      </c>
      <c r="B4" s="6" t="s">
        <v>55</v>
      </c>
      <c r="C4" s="6" t="s">
        <v>56</v>
      </c>
      <c r="D4" s="6" t="s">
        <v>57</v>
      </c>
      <c r="E4" s="6" t="s">
        <v>58</v>
      </c>
      <c r="F4" s="6" t="s">
        <v>59</v>
      </c>
      <c r="G4" s="6" t="s">
        <v>60</v>
      </c>
      <c r="H4" s="6" t="s">
        <v>61</v>
      </c>
      <c r="I4" s="6" t="s">
        <v>62</v>
      </c>
      <c r="J4" s="6" t="s">
        <v>63</v>
      </c>
      <c r="K4" s="6" t="s">
        <v>64</v>
      </c>
    </row>
    <row r="5" spans="1:11" ht="60" customHeight="1" x14ac:dyDescent="0.25">
      <c r="A5" s="4" t="s">
        <v>4</v>
      </c>
      <c r="B5" s="2" t="s">
        <v>65</v>
      </c>
      <c r="C5" s="2" t="s">
        <v>66</v>
      </c>
      <c r="D5" s="2" t="s">
        <v>67</v>
      </c>
      <c r="E5" s="2" t="s">
        <v>68</v>
      </c>
      <c r="F5" s="2" t="s">
        <v>69</v>
      </c>
      <c r="G5" s="2" t="s">
        <v>70</v>
      </c>
      <c r="H5" s="2" t="s">
        <v>71</v>
      </c>
      <c r="I5" s="2" t="s">
        <v>72</v>
      </c>
      <c r="J5" s="2" t="s">
        <v>73</v>
      </c>
      <c r="K5" s="2" t="s">
        <v>74</v>
      </c>
    </row>
    <row r="6" spans="1:11" ht="60" customHeight="1" x14ac:dyDescent="0.25">
      <c r="A6" s="4" t="s">
        <v>8</v>
      </c>
      <c r="B6" s="2" t="s">
        <v>75</v>
      </c>
      <c r="C6" s="2" t="s">
        <v>76</v>
      </c>
      <c r="D6" s="2" t="s">
        <v>77</v>
      </c>
      <c r="E6" s="2" t="s">
        <v>78</v>
      </c>
      <c r="F6" s="2" t="s">
        <v>79</v>
      </c>
      <c r="G6" s="2" t="s">
        <v>80</v>
      </c>
      <c r="H6" s="2" t="s">
        <v>81</v>
      </c>
      <c r="I6" s="2" t="s">
        <v>82</v>
      </c>
      <c r="J6" s="2" t="s">
        <v>83</v>
      </c>
      <c r="K6" s="2" t="s">
        <v>84</v>
      </c>
    </row>
    <row r="7" spans="1:11" ht="60" customHeight="1" x14ac:dyDescent="0.25">
      <c r="A7" s="4" t="s">
        <v>12</v>
      </c>
      <c r="B7" s="2" t="s">
        <v>85</v>
      </c>
      <c r="C7" s="2" t="s">
        <v>86</v>
      </c>
      <c r="D7" s="2" t="s">
        <v>87</v>
      </c>
      <c r="E7" s="2" t="s">
        <v>88</v>
      </c>
      <c r="F7" s="2" t="s">
        <v>89</v>
      </c>
      <c r="G7" s="2" t="s">
        <v>90</v>
      </c>
      <c r="H7" s="2" t="s">
        <v>91</v>
      </c>
      <c r="I7" s="2" t="s">
        <v>92</v>
      </c>
      <c r="J7" s="2" t="s">
        <v>93</v>
      </c>
      <c r="K7" s="2" t="s">
        <v>94</v>
      </c>
    </row>
    <row r="8" spans="1:11" ht="60" customHeight="1" x14ac:dyDescent="0.25">
      <c r="A8" s="4" t="s">
        <v>16</v>
      </c>
      <c r="B8" s="2" t="s">
        <v>95</v>
      </c>
      <c r="C8" s="2" t="s">
        <v>96</v>
      </c>
      <c r="D8" s="2" t="s">
        <v>97</v>
      </c>
      <c r="E8" s="2" t="s">
        <v>98</v>
      </c>
      <c r="F8" s="2" t="s">
        <v>99</v>
      </c>
      <c r="G8" s="2" t="s">
        <v>100</v>
      </c>
      <c r="H8" s="2" t="s">
        <v>101</v>
      </c>
      <c r="I8" s="2" t="s">
        <v>102</v>
      </c>
      <c r="J8" s="2" t="s">
        <v>103</v>
      </c>
      <c r="K8" s="2" t="s">
        <v>104</v>
      </c>
    </row>
    <row r="9" spans="1:11" ht="60" customHeight="1" x14ac:dyDescent="0.25">
      <c r="A9" s="4" t="s">
        <v>19</v>
      </c>
      <c r="B9" s="2" t="s">
        <v>105</v>
      </c>
      <c r="C9" s="2" t="s">
        <v>106</v>
      </c>
      <c r="D9" s="2" t="s">
        <v>107</v>
      </c>
      <c r="E9" s="2" t="s">
        <v>108</v>
      </c>
      <c r="F9" s="2" t="s">
        <v>109</v>
      </c>
      <c r="G9" s="2" t="s">
        <v>110</v>
      </c>
      <c r="H9" s="2" t="s">
        <v>111</v>
      </c>
      <c r="I9" s="2" t="s">
        <v>112</v>
      </c>
      <c r="J9" s="2" t="s">
        <v>113</v>
      </c>
      <c r="K9" s="2" t="s">
        <v>114</v>
      </c>
    </row>
    <row r="10" spans="1:11" ht="60" customHeight="1" x14ac:dyDescent="0.25">
      <c r="A10" s="4" t="s">
        <v>22</v>
      </c>
      <c r="B10" s="2" t="s">
        <v>115</v>
      </c>
      <c r="C10" s="2" t="s">
        <v>116</v>
      </c>
      <c r="D10" s="2" t="s">
        <v>117</v>
      </c>
      <c r="E10" s="2" t="s">
        <v>118</v>
      </c>
      <c r="F10" s="2" t="s">
        <v>119</v>
      </c>
      <c r="G10" s="2" t="s">
        <v>120</v>
      </c>
      <c r="H10" s="2" t="s">
        <v>121</v>
      </c>
      <c r="I10" s="2" t="s">
        <v>122</v>
      </c>
      <c r="J10" s="2" t="s">
        <v>123</v>
      </c>
      <c r="K10" s="2" t="s">
        <v>124</v>
      </c>
    </row>
    <row r="11" spans="1:11" ht="60" customHeight="1" x14ac:dyDescent="0.25">
      <c r="A11" s="4" t="s">
        <v>25</v>
      </c>
      <c r="B11" s="2" t="s">
        <v>125</v>
      </c>
      <c r="C11" s="2" t="s">
        <v>126</v>
      </c>
      <c r="D11" s="2" t="s">
        <v>127</v>
      </c>
      <c r="E11" s="2" t="s">
        <v>128</v>
      </c>
      <c r="F11" s="2" t="s">
        <v>129</v>
      </c>
      <c r="G11" s="2" t="s">
        <v>130</v>
      </c>
      <c r="H11" s="2" t="s">
        <v>131</v>
      </c>
      <c r="I11" s="2" t="s">
        <v>132</v>
      </c>
      <c r="J11" s="2" t="s">
        <v>133</v>
      </c>
      <c r="K11" s="2" t="s">
        <v>134</v>
      </c>
    </row>
    <row r="12" spans="1:11" ht="60" customHeight="1" x14ac:dyDescent="0.25">
      <c r="A12" s="4" t="s">
        <v>28</v>
      </c>
      <c r="B12" s="2" t="s">
        <v>135</v>
      </c>
      <c r="C12" s="2" t="s">
        <v>136</v>
      </c>
      <c r="D12" s="2" t="s">
        <v>137</v>
      </c>
      <c r="E12" s="2" t="s">
        <v>138</v>
      </c>
      <c r="F12" s="2" t="s">
        <v>139</v>
      </c>
      <c r="G12" s="2" t="s">
        <v>140</v>
      </c>
      <c r="H12" s="2" t="s">
        <v>141</v>
      </c>
      <c r="I12" s="2" t="s">
        <v>142</v>
      </c>
      <c r="J12" s="2" t="s">
        <v>143</v>
      </c>
      <c r="K12" s="2" t="s">
        <v>144</v>
      </c>
    </row>
    <row r="13" spans="1:11" ht="60" customHeight="1" x14ac:dyDescent="0.25">
      <c r="A13" s="4" t="s">
        <v>30</v>
      </c>
      <c r="B13" s="2" t="s">
        <v>145</v>
      </c>
      <c r="C13" s="2" t="s">
        <v>146</v>
      </c>
      <c r="D13" s="2" t="s">
        <v>147</v>
      </c>
      <c r="E13" s="2" t="s">
        <v>148</v>
      </c>
      <c r="F13" s="2" t="s">
        <v>149</v>
      </c>
      <c r="G13" s="2" t="s">
        <v>150</v>
      </c>
      <c r="H13" s="2" t="s">
        <v>151</v>
      </c>
      <c r="I13" s="2" t="s">
        <v>152</v>
      </c>
      <c r="J13" s="2" t="s">
        <v>153</v>
      </c>
      <c r="K13" s="2" t="s">
        <v>154</v>
      </c>
    </row>
  </sheetData>
  <mergeCells count="2">
    <mergeCell ref="A2:K2"/>
    <mergeCell ref="A1:K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workbookViewId="0">
      <selection sqref="A1:F1"/>
    </sheetView>
  </sheetViews>
  <sheetFormatPr defaultRowHeight="15" x14ac:dyDescent="0.25"/>
  <cols>
    <col min="1" max="1" width="24" customWidth="1"/>
    <col min="2" max="2" width="30" customWidth="1"/>
    <col min="3" max="3" width="34" customWidth="1"/>
    <col min="4" max="4" width="28" customWidth="1"/>
    <col min="5" max="5" width="62" customWidth="1"/>
    <col min="6" max="6" width="50" customWidth="1"/>
  </cols>
  <sheetData>
    <row r="1" spans="1:6" ht="24" customHeight="1" x14ac:dyDescent="0.25">
      <c r="A1" s="17" t="s">
        <v>155</v>
      </c>
      <c r="B1" s="16"/>
      <c r="C1" s="16"/>
      <c r="D1" s="16"/>
      <c r="E1" s="16"/>
      <c r="F1" s="16"/>
    </row>
    <row r="2" spans="1:6" ht="33.950000000000003" customHeight="1" x14ac:dyDescent="0.25">
      <c r="A2" s="15" t="s">
        <v>156</v>
      </c>
      <c r="B2" s="16"/>
      <c r="C2" s="16"/>
      <c r="D2" s="16"/>
      <c r="E2" s="16"/>
      <c r="F2" s="16"/>
    </row>
    <row r="4" spans="1:6" ht="32.1" customHeight="1" x14ac:dyDescent="0.25">
      <c r="A4" s="6" t="s">
        <v>1</v>
      </c>
      <c r="B4" s="6" t="s">
        <v>157</v>
      </c>
      <c r="C4" s="6" t="s">
        <v>158</v>
      </c>
      <c r="D4" s="6" t="s">
        <v>159</v>
      </c>
      <c r="E4" s="6" t="s">
        <v>160</v>
      </c>
      <c r="F4" s="6" t="s">
        <v>161</v>
      </c>
    </row>
    <row r="5" spans="1:6" ht="51.95" customHeight="1" x14ac:dyDescent="0.25">
      <c r="A5" s="4" t="s">
        <v>5</v>
      </c>
      <c r="B5" s="2" t="s">
        <v>162</v>
      </c>
      <c r="C5" s="2" t="s">
        <v>163</v>
      </c>
      <c r="D5" s="2" t="s">
        <v>164</v>
      </c>
      <c r="E5" s="2" t="s">
        <v>165</v>
      </c>
      <c r="F5" s="2" t="s">
        <v>166</v>
      </c>
    </row>
    <row r="6" spans="1:6" ht="51.95" customHeight="1" x14ac:dyDescent="0.25">
      <c r="A6" s="4" t="s">
        <v>9</v>
      </c>
      <c r="B6" s="2" t="s">
        <v>167</v>
      </c>
      <c r="C6" s="2" t="s">
        <v>168</v>
      </c>
      <c r="D6" s="2" t="s">
        <v>169</v>
      </c>
      <c r="E6" s="2" t="s">
        <v>170</v>
      </c>
      <c r="F6" s="2" t="s">
        <v>171</v>
      </c>
    </row>
    <row r="7" spans="1:6" ht="51.95" customHeight="1" x14ac:dyDescent="0.25">
      <c r="A7" s="4" t="s">
        <v>13</v>
      </c>
      <c r="B7" s="2" t="s">
        <v>172</v>
      </c>
      <c r="C7" s="2" t="s">
        <v>173</v>
      </c>
      <c r="D7" s="2" t="s">
        <v>174</v>
      </c>
      <c r="E7" s="2" t="s">
        <v>175</v>
      </c>
      <c r="F7" s="2" t="s">
        <v>176</v>
      </c>
    </row>
    <row r="8" spans="1:6" ht="51.95" customHeight="1" x14ac:dyDescent="0.25">
      <c r="A8" s="4" t="s">
        <v>17</v>
      </c>
      <c r="B8" s="2" t="s">
        <v>177</v>
      </c>
      <c r="C8" s="2" t="s">
        <v>178</v>
      </c>
      <c r="D8" s="2" t="s">
        <v>179</v>
      </c>
      <c r="E8" s="2" t="s">
        <v>180</v>
      </c>
      <c r="F8" s="2" t="s">
        <v>181</v>
      </c>
    </row>
    <row r="9" spans="1:6" ht="51.95" customHeight="1" x14ac:dyDescent="0.25">
      <c r="A9" s="4" t="s">
        <v>20</v>
      </c>
      <c r="B9" s="2" t="s">
        <v>182</v>
      </c>
      <c r="C9" s="2" t="s">
        <v>183</v>
      </c>
      <c r="D9" s="2" t="s">
        <v>184</v>
      </c>
      <c r="E9" s="2" t="s">
        <v>185</v>
      </c>
      <c r="F9" s="2" t="s">
        <v>186</v>
      </c>
    </row>
    <row r="10" spans="1:6" ht="51.95" customHeight="1" x14ac:dyDescent="0.25">
      <c r="A10" s="4" t="s">
        <v>23</v>
      </c>
      <c r="B10" s="2" t="s">
        <v>187</v>
      </c>
      <c r="C10" s="2" t="s">
        <v>188</v>
      </c>
      <c r="D10" s="2" t="s">
        <v>189</v>
      </c>
      <c r="E10" s="2" t="s">
        <v>190</v>
      </c>
      <c r="F10" s="2" t="s">
        <v>191</v>
      </c>
    </row>
    <row r="11" spans="1:6" ht="51.95" customHeight="1" x14ac:dyDescent="0.25">
      <c r="A11" s="4" t="s">
        <v>26</v>
      </c>
      <c r="B11" s="2" t="s">
        <v>192</v>
      </c>
      <c r="C11" s="2" t="s">
        <v>193</v>
      </c>
      <c r="D11" s="2" t="s">
        <v>194</v>
      </c>
      <c r="E11" s="2" t="s">
        <v>195</v>
      </c>
      <c r="F11" s="2" t="s">
        <v>196</v>
      </c>
    </row>
  </sheetData>
  <mergeCells count="2">
    <mergeCell ref="A2:F2"/>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
  <sheetViews>
    <sheetView showGridLines="0" workbookViewId="0">
      <selection activeCell="A2" sqref="A2:V2"/>
    </sheetView>
  </sheetViews>
  <sheetFormatPr defaultRowHeight="15" x14ac:dyDescent="0.25"/>
  <cols>
    <col min="1" max="1" width="10" customWidth="1"/>
    <col min="2" max="2" width="24" customWidth="1"/>
    <col min="3" max="3" width="20" customWidth="1"/>
    <col min="4" max="4" width="21" customWidth="1"/>
    <col min="5" max="5" width="34" customWidth="1"/>
    <col min="6" max="6" width="28" customWidth="1"/>
    <col min="7" max="7" width="22" customWidth="1"/>
    <col min="8" max="8" width="14" customWidth="1"/>
    <col min="9" max="9" width="24" customWidth="1"/>
    <col min="10" max="10" width="18" customWidth="1"/>
    <col min="11" max="11" width="24" customWidth="1"/>
    <col min="12" max="13" width="12" customWidth="1"/>
    <col min="14" max="14" width="44" customWidth="1"/>
    <col min="15" max="15" width="36" customWidth="1"/>
    <col min="16" max="16" width="72" customWidth="1"/>
    <col min="17" max="17" width="66" customWidth="1"/>
    <col min="18" max="19" width="38" customWidth="1"/>
    <col min="20" max="20" width="12" customWidth="1"/>
    <col min="21" max="21" width="16" customWidth="1"/>
    <col min="22" max="22" width="38" customWidth="1"/>
  </cols>
  <sheetData>
    <row r="1" spans="1:22" ht="24" customHeight="1" x14ac:dyDescent="0.25">
      <c r="A1" s="17" t="s">
        <v>197</v>
      </c>
      <c r="B1" s="16"/>
      <c r="C1" s="16"/>
      <c r="D1" s="16"/>
      <c r="E1" s="16"/>
      <c r="F1" s="16"/>
      <c r="G1" s="16"/>
      <c r="H1" s="16"/>
      <c r="I1" s="16"/>
      <c r="J1" s="16"/>
      <c r="K1" s="16"/>
      <c r="L1" s="16"/>
      <c r="M1" s="16"/>
      <c r="N1" s="16"/>
      <c r="O1" s="16"/>
      <c r="P1" s="16"/>
      <c r="Q1" s="16"/>
      <c r="R1" s="16"/>
      <c r="S1" s="16"/>
      <c r="T1" s="16"/>
      <c r="U1" s="16"/>
      <c r="V1" s="16"/>
    </row>
    <row r="2" spans="1:22" ht="33.950000000000003" customHeight="1" x14ac:dyDescent="0.25">
      <c r="A2" s="15" t="s">
        <v>198</v>
      </c>
      <c r="B2" s="16"/>
      <c r="C2" s="16"/>
      <c r="D2" s="16"/>
      <c r="E2" s="16"/>
      <c r="F2" s="16"/>
      <c r="G2" s="16"/>
      <c r="H2" s="16"/>
      <c r="I2" s="16"/>
      <c r="J2" s="16"/>
      <c r="K2" s="16"/>
      <c r="L2" s="16"/>
      <c r="M2" s="16"/>
      <c r="N2" s="16"/>
      <c r="O2" s="16"/>
      <c r="P2" s="16"/>
      <c r="Q2" s="16"/>
      <c r="R2" s="16"/>
      <c r="S2" s="16"/>
      <c r="T2" s="16"/>
      <c r="U2" s="16"/>
      <c r="V2" s="16"/>
    </row>
    <row r="4" spans="1:22" ht="32.1" customHeight="1" x14ac:dyDescent="0.25">
      <c r="A4" s="6" t="s">
        <v>2</v>
      </c>
      <c r="B4" s="6" t="s">
        <v>199</v>
      </c>
      <c r="C4" s="6" t="s">
        <v>200</v>
      </c>
      <c r="D4" s="6" t="s">
        <v>201</v>
      </c>
      <c r="E4" s="6" t="s">
        <v>202</v>
      </c>
      <c r="F4" s="6" t="s">
        <v>0</v>
      </c>
      <c r="G4" s="6" t="s">
        <v>1</v>
      </c>
      <c r="H4" s="6" t="s">
        <v>203</v>
      </c>
      <c r="I4" s="6" t="s">
        <v>204</v>
      </c>
      <c r="J4" s="6" t="s">
        <v>205</v>
      </c>
      <c r="K4" s="6" t="s">
        <v>51</v>
      </c>
      <c r="L4" s="6" t="s">
        <v>206</v>
      </c>
      <c r="M4" s="6" t="s">
        <v>207</v>
      </c>
      <c r="N4" s="6" t="s">
        <v>208</v>
      </c>
      <c r="O4" s="6" t="s">
        <v>209</v>
      </c>
      <c r="P4" s="6" t="s">
        <v>210</v>
      </c>
      <c r="Q4" s="6" t="s">
        <v>211</v>
      </c>
      <c r="R4" s="6" t="s">
        <v>212</v>
      </c>
      <c r="S4" s="6" t="s">
        <v>213</v>
      </c>
      <c r="T4" s="6" t="s">
        <v>214</v>
      </c>
      <c r="U4" s="6" t="s">
        <v>3</v>
      </c>
      <c r="V4" s="6" t="s">
        <v>215</v>
      </c>
    </row>
    <row r="5" spans="1:22" ht="54" customHeight="1" x14ac:dyDescent="0.25">
      <c r="A5" s="7" t="s">
        <v>6</v>
      </c>
      <c r="B5" s="2" t="s">
        <v>216</v>
      </c>
      <c r="C5" s="2" t="s">
        <v>217</v>
      </c>
      <c r="D5" s="2" t="s">
        <v>218</v>
      </c>
      <c r="E5" s="2" t="s">
        <v>219</v>
      </c>
      <c r="F5" s="7" t="s">
        <v>12</v>
      </c>
      <c r="G5" s="7" t="s">
        <v>5</v>
      </c>
      <c r="H5" s="2" t="s">
        <v>220</v>
      </c>
      <c r="I5" s="8" t="s">
        <v>221</v>
      </c>
      <c r="J5" s="9" t="s">
        <v>222</v>
      </c>
      <c r="K5" s="2" t="s">
        <v>223</v>
      </c>
      <c r="L5" s="10" t="str">
        <f t="shared" ref="L5:L36" si="0">IF(LEN(I5)&gt;0,"Email",IF(LEN(J5)&gt;0,"Phone","Web form"))</f>
        <v>Email</v>
      </c>
      <c r="M5" s="11" t="s">
        <v>224</v>
      </c>
      <c r="N5" s="2" t="s">
        <v>225</v>
      </c>
      <c r="O5" s="10" t="str">
        <f>IFERROR(VLOOKUP(F5,Persona_Map!$A$5:$K$13,8,FALSE),"")&amp;" | "&amp;C5</f>
        <v>Track biofuel pull-through before it hits oils pricing | AAK</v>
      </c>
      <c r="P5" s="10" t="str">
        <f>IFERROR(VLOOKUP(F5,Persona_Map!$A$5:$K$13,9,FALSE),"")&amp;IF(LEN(G5)&gt;0,CHAR(10)&amp;CHAR(10)&amp;IFERROR(VLOOKUP(G5,Decision_Frames!$A$5:$F$11,5,FALSE),""),"")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5" s="10" t="str">
        <f>IFERROR(VLOOKUP(F5,Persona_Map!$A$5:$K$13,10,FALSE),"")&amp;IF(LEN(G5)&gt;0,CHAR(10)&amp;CHAR(10)&amp;"Frame tweak:"&amp;CHAR(10)&amp;IFERROR(VLOOKUP(G5,Decision_Frames!$A$5:$F$11,6,FALSE),""),"")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5" s="8" t="s">
        <v>226</v>
      </c>
      <c r="S5" s="8" t="s">
        <v>227</v>
      </c>
      <c r="T5" s="12">
        <v>46120</v>
      </c>
      <c r="U5" s="7" t="s">
        <v>7</v>
      </c>
      <c r="V5" s="13" t="s">
        <v>228</v>
      </c>
    </row>
    <row r="6" spans="1:22" ht="54" customHeight="1" x14ac:dyDescent="0.25">
      <c r="A6" s="7" t="s">
        <v>10</v>
      </c>
      <c r="B6" s="2" t="s">
        <v>216</v>
      </c>
      <c r="C6" s="2" t="s">
        <v>217</v>
      </c>
      <c r="D6" s="2" t="s">
        <v>229</v>
      </c>
      <c r="E6" s="2" t="s">
        <v>230</v>
      </c>
      <c r="F6" s="7" t="s">
        <v>28</v>
      </c>
      <c r="G6" s="7" t="s">
        <v>23</v>
      </c>
      <c r="H6" s="2" t="s">
        <v>231</v>
      </c>
      <c r="I6" s="8" t="s">
        <v>221</v>
      </c>
      <c r="J6" s="9" t="s">
        <v>222</v>
      </c>
      <c r="K6" s="2" t="s">
        <v>223</v>
      </c>
      <c r="L6" s="10" t="str">
        <f t="shared" si="0"/>
        <v>Email</v>
      </c>
      <c r="M6" s="11" t="s">
        <v>224</v>
      </c>
      <c r="N6" s="2" t="s">
        <v>232</v>
      </c>
      <c r="O6" s="10" t="str">
        <f>IFERROR(VLOOKUP(F6,Persona_Map!$A$5:$K$13,8,FALSE),"")&amp;" | "&amp;C6</f>
        <v>One market view for procurement, trading and leadership | AAK</v>
      </c>
      <c r="P6" s="10" t="str">
        <f>IFERROR(VLOOKUP(F6,Persona_Map!$A$5:$K$13,9,FALSE),"")&amp;IF(LEN(G6)&gt;0,CHAR(10)&amp;CHAR(10)&amp;IFERROR(VLOOKUP(G6,Decision_Frames!$A$5:$F$11,5,FALSE),""),"")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6" s="10" t="str">
        <f>IFERROR(VLOOKUP(F6,Persona_Map!$A$5:$K$13,10,FALSE),"")&amp;IF(LEN(G6)&gt;0,CHAR(10)&amp;CHAR(10)&amp;"Frame tweak:"&amp;CHAR(10)&amp;IFERROR(VLOOKUP(G6,Decision_Frames!$A$5:$F$11,6,FALSE),""),"")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6" s="8" t="s">
        <v>226</v>
      </c>
      <c r="S6" s="8" t="s">
        <v>227</v>
      </c>
      <c r="T6" s="12">
        <v>46120</v>
      </c>
      <c r="U6" s="7" t="s">
        <v>7</v>
      </c>
      <c r="V6" s="13" t="s">
        <v>228</v>
      </c>
    </row>
    <row r="7" spans="1:22" ht="54" customHeight="1" x14ac:dyDescent="0.25">
      <c r="A7" s="7" t="s">
        <v>10</v>
      </c>
      <c r="B7" s="2" t="s">
        <v>216</v>
      </c>
      <c r="C7" s="2" t="s">
        <v>217</v>
      </c>
      <c r="D7" s="2" t="s">
        <v>233</v>
      </c>
      <c r="E7" s="2" t="s">
        <v>234</v>
      </c>
      <c r="F7" s="7" t="s">
        <v>30</v>
      </c>
      <c r="G7" s="7" t="s">
        <v>20</v>
      </c>
      <c r="H7" s="2" t="s">
        <v>220</v>
      </c>
      <c r="I7" s="8" t="s">
        <v>221</v>
      </c>
      <c r="J7" s="9" t="s">
        <v>222</v>
      </c>
      <c r="K7" s="2" t="s">
        <v>223</v>
      </c>
      <c r="L7" s="10" t="str">
        <f t="shared" si="0"/>
        <v>Email</v>
      </c>
      <c r="M7" s="11" t="s">
        <v>224</v>
      </c>
      <c r="N7" s="2" t="s">
        <v>235</v>
      </c>
      <c r="O7" s="10" t="str">
        <f>IFERROR(VLOOKUP(F7,Persona_Map!$A$5:$K$13,8,FALSE),"")&amp;" | "&amp;C7</f>
        <v>A better market narrative for customer and partner conversations | AAK</v>
      </c>
      <c r="P7" s="10" t="str">
        <f>IFERROR(VLOOKUP(F7,Persona_Map!$A$5:$K$13,9,FALSE),"")&amp;IF(LEN(G7)&gt;0,CHAR(10)&amp;CHAR(10)&amp;IFERROR(VLOOKUP(G7,Decision_Frames!$A$5:$F$11,5,FALSE),""),"")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7" s="10" t="str">
        <f>IFERROR(VLOOKUP(F7,Persona_Map!$A$5:$K$13,10,FALSE),"")&amp;IF(LEN(G7)&gt;0,CHAR(10)&amp;CHAR(10)&amp;"Frame tweak:"&amp;CHAR(10)&amp;IFERROR(VLOOKUP(G7,Decision_Frames!$A$5:$F$11,6,FALSE),""),"")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7" s="8" t="s">
        <v>226</v>
      </c>
      <c r="S7" s="8" t="s">
        <v>227</v>
      </c>
      <c r="T7" s="12">
        <v>46120</v>
      </c>
      <c r="U7" s="7" t="s">
        <v>7</v>
      </c>
      <c r="V7" s="13" t="s">
        <v>228</v>
      </c>
    </row>
    <row r="8" spans="1:22" ht="54" customHeight="1" x14ac:dyDescent="0.25">
      <c r="A8" s="7" t="s">
        <v>10</v>
      </c>
      <c r="B8" s="2" t="s">
        <v>236</v>
      </c>
      <c r="C8" s="2" t="s">
        <v>237</v>
      </c>
      <c r="D8" s="2" t="s">
        <v>238</v>
      </c>
      <c r="E8" s="2" t="s">
        <v>239</v>
      </c>
      <c r="F8" s="7" t="s">
        <v>30</v>
      </c>
      <c r="G8" s="7" t="s">
        <v>20</v>
      </c>
      <c r="H8" s="2" t="s">
        <v>220</v>
      </c>
      <c r="I8" s="11" t="s">
        <v>228</v>
      </c>
      <c r="J8" s="9" t="s">
        <v>240</v>
      </c>
      <c r="K8" s="2" t="s">
        <v>241</v>
      </c>
      <c r="L8" s="10" t="str">
        <f t="shared" si="0"/>
        <v>Phone</v>
      </c>
      <c r="M8" s="14" t="s">
        <v>242</v>
      </c>
      <c r="N8" s="2" t="s">
        <v>235</v>
      </c>
      <c r="O8" s="10" t="str">
        <f>IFERROR(VLOOKUP(F8,Persona_Map!$A$5:$K$13,8,FALSE),"")&amp;" | "&amp;C8</f>
        <v>A better market narrative for customer and partner conversations | ADM</v>
      </c>
      <c r="P8" s="10" t="str">
        <f>IFERROR(VLOOKUP(F8,Persona_Map!$A$5:$K$13,9,FALSE),"")&amp;IF(LEN(G8)&gt;0,CHAR(10)&amp;CHAR(10)&amp;IFERROR(VLOOKUP(G8,Decision_Frames!$A$5:$F$11,5,FALSE),""),"")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8" s="10" t="str">
        <f>IFERROR(VLOOKUP(F8,Persona_Map!$A$5:$K$13,10,FALSE),"")&amp;IF(LEN(G8)&gt;0,CHAR(10)&amp;CHAR(10)&amp;"Frame tweak:"&amp;CHAR(10)&amp;IFERROR(VLOOKUP(G8,Decision_Frames!$A$5:$F$11,6,FALSE),""),"")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8" s="8" t="s">
        <v>226</v>
      </c>
      <c r="S8" s="8" t="s">
        <v>243</v>
      </c>
      <c r="T8" s="12">
        <v>46120</v>
      </c>
      <c r="U8" s="7" t="s">
        <v>7</v>
      </c>
      <c r="V8" s="13" t="s">
        <v>244</v>
      </c>
    </row>
    <row r="9" spans="1:22" ht="54" customHeight="1" x14ac:dyDescent="0.25">
      <c r="A9" s="7" t="s">
        <v>10</v>
      </c>
      <c r="B9" s="2" t="s">
        <v>236</v>
      </c>
      <c r="C9" s="2" t="s">
        <v>237</v>
      </c>
      <c r="D9" s="2" t="s">
        <v>245</v>
      </c>
      <c r="E9" s="2" t="s">
        <v>246</v>
      </c>
      <c r="F9" s="7" t="s">
        <v>28</v>
      </c>
      <c r="G9" s="7" t="s">
        <v>23</v>
      </c>
      <c r="H9" s="2" t="s">
        <v>220</v>
      </c>
      <c r="I9" s="11" t="s">
        <v>228</v>
      </c>
      <c r="J9" s="9" t="s">
        <v>240</v>
      </c>
      <c r="K9" s="2" t="s">
        <v>241</v>
      </c>
      <c r="L9" s="10" t="str">
        <f t="shared" si="0"/>
        <v>Phone</v>
      </c>
      <c r="M9" s="14" t="s">
        <v>242</v>
      </c>
      <c r="N9" s="2" t="s">
        <v>232</v>
      </c>
      <c r="O9" s="10" t="str">
        <f>IFERROR(VLOOKUP(F9,Persona_Map!$A$5:$K$13,8,FALSE),"")&amp;" | "&amp;C9</f>
        <v>One market view for procurement, trading and leadership | ADM</v>
      </c>
      <c r="P9" s="10" t="str">
        <f>IFERROR(VLOOKUP(F9,Persona_Map!$A$5:$K$13,9,FALSE),"")&amp;IF(LEN(G9)&gt;0,CHAR(10)&amp;CHAR(10)&amp;IFERROR(VLOOKUP(G9,Decision_Frames!$A$5:$F$11,5,FALSE),""),"")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9" s="10" t="str">
        <f>IFERROR(VLOOKUP(F9,Persona_Map!$A$5:$K$13,10,FALSE),"")&amp;IF(LEN(G9)&gt;0,CHAR(10)&amp;CHAR(10)&amp;"Frame tweak:"&amp;CHAR(10)&amp;IFERROR(VLOOKUP(G9,Decision_Frames!$A$5:$F$11,6,FALSE),""),"")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9" s="8" t="s">
        <v>226</v>
      </c>
      <c r="S9" s="8" t="s">
        <v>243</v>
      </c>
      <c r="T9" s="12">
        <v>46120</v>
      </c>
      <c r="U9" s="7" t="s">
        <v>7</v>
      </c>
      <c r="V9" s="13" t="s">
        <v>244</v>
      </c>
    </row>
    <row r="10" spans="1:22" ht="54" customHeight="1" x14ac:dyDescent="0.25">
      <c r="A10" s="7" t="s">
        <v>6</v>
      </c>
      <c r="B10" s="2" t="s">
        <v>236</v>
      </c>
      <c r="C10" s="2" t="s">
        <v>237</v>
      </c>
      <c r="D10" s="2" t="s">
        <v>247</v>
      </c>
      <c r="E10" s="2" t="s">
        <v>248</v>
      </c>
      <c r="F10" s="7" t="s">
        <v>12</v>
      </c>
      <c r="G10" s="7" t="s">
        <v>5</v>
      </c>
      <c r="H10" s="2" t="s">
        <v>220</v>
      </c>
      <c r="I10" s="11" t="s">
        <v>228</v>
      </c>
      <c r="J10" s="9" t="s">
        <v>240</v>
      </c>
      <c r="K10" s="2" t="s">
        <v>241</v>
      </c>
      <c r="L10" s="10" t="str">
        <f t="shared" si="0"/>
        <v>Phone</v>
      </c>
      <c r="M10" s="14" t="s">
        <v>242</v>
      </c>
      <c r="N10" s="2" t="s">
        <v>225</v>
      </c>
      <c r="O10" s="10" t="str">
        <f>IFERROR(VLOOKUP(F10,Persona_Map!$A$5:$K$13,8,FALSE),"")&amp;" | "&amp;C10</f>
        <v>Track biofuel pull-through before it hits oils pricing | ADM</v>
      </c>
      <c r="P10" s="10" t="str">
        <f>IFERROR(VLOOKUP(F10,Persona_Map!$A$5:$K$13,9,FALSE),"")&amp;IF(LEN(G10)&gt;0,CHAR(10)&amp;CHAR(10)&amp;IFERROR(VLOOKUP(G10,Decision_Frames!$A$5:$F$11,5,FALSE),""),"")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10" s="10" t="str">
        <f>IFERROR(VLOOKUP(F10,Persona_Map!$A$5:$K$13,10,FALSE),"")&amp;IF(LEN(G10)&gt;0,CHAR(10)&amp;CHAR(10)&amp;"Frame tweak:"&amp;CHAR(10)&amp;IFERROR(VLOOKUP(G10,Decision_Frames!$A$5:$F$11,6,FALSE),""),"")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10" s="8" t="s">
        <v>226</v>
      </c>
      <c r="S10" s="8" t="s">
        <v>243</v>
      </c>
      <c r="T10" s="12">
        <v>46120</v>
      </c>
      <c r="U10" s="7" t="s">
        <v>7</v>
      </c>
      <c r="V10" s="13" t="s">
        <v>244</v>
      </c>
    </row>
    <row r="11" spans="1:22" ht="54" customHeight="1" x14ac:dyDescent="0.25">
      <c r="A11" s="7" t="s">
        <v>6</v>
      </c>
      <c r="B11" s="2" t="s">
        <v>236</v>
      </c>
      <c r="C11" s="2" t="s">
        <v>237</v>
      </c>
      <c r="D11" s="2" t="s">
        <v>249</v>
      </c>
      <c r="E11" s="2" t="s">
        <v>250</v>
      </c>
      <c r="F11" s="7" t="s">
        <v>22</v>
      </c>
      <c r="G11" s="7" t="s">
        <v>13</v>
      </c>
      <c r="H11" s="2" t="s">
        <v>251</v>
      </c>
      <c r="I11" s="11" t="s">
        <v>228</v>
      </c>
      <c r="J11" s="9" t="s">
        <v>240</v>
      </c>
      <c r="K11" s="2" t="s">
        <v>241</v>
      </c>
      <c r="L11" s="10" t="str">
        <f t="shared" si="0"/>
        <v>Phone</v>
      </c>
      <c r="M11" s="14" t="s">
        <v>242</v>
      </c>
      <c r="N11" s="2" t="s">
        <v>252</v>
      </c>
      <c r="O11" s="10" t="str">
        <f>IFERROR(VLOOKUP(F11,Persona_Map!$A$5:$K$13,8,FALSE),"")&amp;" | "&amp;C11</f>
        <v>Scenario-ready coverage for BBD feedstocks and demand shocks | ADM</v>
      </c>
      <c r="P11" s="10" t="str">
        <f>IFERROR(VLOOKUP(F11,Persona_Map!$A$5:$K$13,9,FALSE),"")&amp;IF(LEN(G11)&gt;0,CHAR(10)&amp;CHAR(10)&amp;IFERROR(VLOOKUP(G11,Decision_Frames!$A$5:$F$11,5,FALSE),""),"")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position the report as an independent signal layer that helps separate structural market changes from noise, especially where broad commodity coverage misses niche feedstock shifts.</v>
      </c>
      <c r="Q11" s="10" t="str">
        <f>IFERROR(VLOOKUP(F11,Persona_Map!$A$5:$K$13,10,FALSE),"")&amp;IF(LEN(G11)&gt;0,CHAR(10)&amp;CHAR(10)&amp;"Frame tweak:"&amp;CHAR(10)&amp;IFERROR(VLOOKUP(G11,Decision_Frames!$A$5:$F$11,6,FALSE),""),"")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Ask which market inputs they trust and which still feel noisy
- Highlight signal quality over report length
- Position RLC as a fast interpretation layer</v>
      </c>
      <c r="R11" s="8" t="s">
        <v>253</v>
      </c>
      <c r="S11" s="8" t="s">
        <v>243</v>
      </c>
      <c r="T11" s="12">
        <v>46120</v>
      </c>
      <c r="U11" s="7" t="s">
        <v>7</v>
      </c>
      <c r="V11" s="13" t="s">
        <v>244</v>
      </c>
    </row>
    <row r="12" spans="1:22" ht="54" customHeight="1" x14ac:dyDescent="0.25">
      <c r="A12" s="7" t="s">
        <v>10</v>
      </c>
      <c r="B12" s="2" t="s">
        <v>254</v>
      </c>
      <c r="C12" s="2" t="s">
        <v>255</v>
      </c>
      <c r="D12" s="2" t="s">
        <v>256</v>
      </c>
      <c r="E12" s="2" t="s">
        <v>257</v>
      </c>
      <c r="F12" s="7" t="s">
        <v>28</v>
      </c>
      <c r="G12" s="7" t="s">
        <v>23</v>
      </c>
      <c r="H12" s="2" t="s">
        <v>220</v>
      </c>
      <c r="I12" s="11" t="s">
        <v>228</v>
      </c>
      <c r="J12" s="9" t="s">
        <v>258</v>
      </c>
      <c r="K12" s="2" t="s">
        <v>259</v>
      </c>
      <c r="L12" s="10" t="str">
        <f t="shared" si="0"/>
        <v>Phone</v>
      </c>
      <c r="M12" s="14" t="s">
        <v>242</v>
      </c>
      <c r="N12" s="2" t="s">
        <v>232</v>
      </c>
      <c r="O12" s="10" t="str">
        <f>IFERROR(VLOOKUP(F12,Persona_Map!$A$5:$K$13,8,FALSE),"")&amp;" | "&amp;C12</f>
        <v>One market view for procurement, trading and leadership | Ag Processing Inc.</v>
      </c>
      <c r="P12" s="10" t="str">
        <f>IFERROR(VLOOKUP(F12,Persona_Map!$A$5:$K$13,9,FALSE),"")&amp;IF(LEN(G12)&gt;0,CHAR(10)&amp;CHAR(10)&amp;IFERROR(VLOOKUP(G12,Decision_Frames!$A$5:$F$11,5,FALSE),""),"")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12" s="10" t="str">
        <f>IFERROR(VLOOKUP(F12,Persona_Map!$A$5:$K$13,10,FALSE),"")&amp;IF(LEN(G12)&gt;0,CHAR(10)&amp;CHAR(10)&amp;"Frame tweak:"&amp;CHAR(10)&amp;IFERROR(VLOOKUP(G12,Decision_Frames!$A$5:$F$11,6,FALSE),""),"")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12" s="8" t="s">
        <v>226</v>
      </c>
      <c r="S12" s="8" t="s">
        <v>260</v>
      </c>
      <c r="T12" s="12">
        <v>46120</v>
      </c>
      <c r="U12" s="7" t="s">
        <v>7</v>
      </c>
      <c r="V12" s="13" t="s">
        <v>244</v>
      </c>
    </row>
    <row r="13" spans="1:22" ht="54" customHeight="1" x14ac:dyDescent="0.25">
      <c r="A13" s="7" t="s">
        <v>10</v>
      </c>
      <c r="B13" s="2" t="s">
        <v>254</v>
      </c>
      <c r="C13" s="2" t="s">
        <v>255</v>
      </c>
      <c r="D13" s="2" t="s">
        <v>261</v>
      </c>
      <c r="E13" s="2" t="s">
        <v>262</v>
      </c>
      <c r="F13" s="7" t="s">
        <v>30</v>
      </c>
      <c r="G13" s="7" t="s">
        <v>20</v>
      </c>
      <c r="H13" s="2" t="s">
        <v>220</v>
      </c>
      <c r="I13" s="11" t="s">
        <v>228</v>
      </c>
      <c r="J13" s="9" t="s">
        <v>258</v>
      </c>
      <c r="K13" s="2" t="s">
        <v>259</v>
      </c>
      <c r="L13" s="10" t="str">
        <f t="shared" si="0"/>
        <v>Phone</v>
      </c>
      <c r="M13" s="14" t="s">
        <v>242</v>
      </c>
      <c r="N13" s="2" t="s">
        <v>235</v>
      </c>
      <c r="O13" s="10" t="str">
        <f>IFERROR(VLOOKUP(F13,Persona_Map!$A$5:$K$13,8,FALSE),"")&amp;" | "&amp;C13</f>
        <v>A better market narrative for customer and partner conversations | Ag Processing Inc.</v>
      </c>
      <c r="P13" s="10" t="str">
        <f>IFERROR(VLOOKUP(F13,Persona_Map!$A$5:$K$13,9,FALSE),"")&amp;IF(LEN(G13)&gt;0,CHAR(10)&amp;CHAR(10)&amp;IFERROR(VLOOKUP(G13,Decision_Frames!$A$5:$F$11,5,FALSE),""),"")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13" s="10" t="str">
        <f>IFERROR(VLOOKUP(F13,Persona_Map!$A$5:$K$13,10,FALSE),"")&amp;IF(LEN(G13)&gt;0,CHAR(10)&amp;CHAR(10)&amp;"Frame tweak:"&amp;CHAR(10)&amp;IFERROR(VLOOKUP(G13,Decision_Frames!$A$5:$F$11,6,FALSE),""),"")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13" s="8" t="s">
        <v>226</v>
      </c>
      <c r="S13" s="8" t="s">
        <v>260</v>
      </c>
      <c r="T13" s="12">
        <v>46120</v>
      </c>
      <c r="U13" s="7" t="s">
        <v>7</v>
      </c>
      <c r="V13" s="13" t="s">
        <v>244</v>
      </c>
    </row>
    <row r="14" spans="1:22" ht="54" customHeight="1" x14ac:dyDescent="0.25">
      <c r="A14" s="7" t="s">
        <v>10</v>
      </c>
      <c r="B14" s="2" t="s">
        <v>254</v>
      </c>
      <c r="C14" s="2" t="s">
        <v>255</v>
      </c>
      <c r="D14" s="2" t="s">
        <v>263</v>
      </c>
      <c r="E14" s="2" t="s">
        <v>264</v>
      </c>
      <c r="F14" s="7" t="s">
        <v>30</v>
      </c>
      <c r="G14" s="7" t="s">
        <v>20</v>
      </c>
      <c r="H14" s="2" t="s">
        <v>220</v>
      </c>
      <c r="I14" s="11" t="s">
        <v>228</v>
      </c>
      <c r="J14" s="9" t="s">
        <v>258</v>
      </c>
      <c r="K14" s="2" t="s">
        <v>259</v>
      </c>
      <c r="L14" s="10" t="str">
        <f t="shared" si="0"/>
        <v>Phone</v>
      </c>
      <c r="M14" s="14" t="s">
        <v>242</v>
      </c>
      <c r="N14" s="2" t="s">
        <v>235</v>
      </c>
      <c r="O14" s="10" t="str">
        <f>IFERROR(VLOOKUP(F14,Persona_Map!$A$5:$K$13,8,FALSE),"")&amp;" | "&amp;C14</f>
        <v>A better market narrative for customer and partner conversations | Ag Processing Inc.</v>
      </c>
      <c r="P14" s="10" t="str">
        <f>IFERROR(VLOOKUP(F14,Persona_Map!$A$5:$K$13,9,FALSE),"")&amp;IF(LEN(G14)&gt;0,CHAR(10)&amp;CHAR(10)&amp;IFERROR(VLOOKUP(G14,Decision_Frames!$A$5:$F$11,5,FALSE),""),"")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14" s="10" t="str">
        <f>IFERROR(VLOOKUP(F14,Persona_Map!$A$5:$K$13,10,FALSE),"")&amp;IF(LEN(G14)&gt;0,CHAR(10)&amp;CHAR(10)&amp;"Frame tweak:"&amp;CHAR(10)&amp;IFERROR(VLOOKUP(G14,Decision_Frames!$A$5:$F$11,6,FALSE),""),"")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14" s="8" t="s">
        <v>226</v>
      </c>
      <c r="S14" s="8" t="s">
        <v>260</v>
      </c>
      <c r="T14" s="12">
        <v>46120</v>
      </c>
      <c r="U14" s="7" t="s">
        <v>7</v>
      </c>
      <c r="V14" s="13" t="s">
        <v>244</v>
      </c>
    </row>
    <row r="15" spans="1:22" ht="54" customHeight="1" x14ac:dyDescent="0.25">
      <c r="A15" s="7" t="s">
        <v>6</v>
      </c>
      <c r="B15" s="2" t="s">
        <v>265</v>
      </c>
      <c r="C15" s="2" t="s">
        <v>266</v>
      </c>
      <c r="D15" s="2" t="s">
        <v>267</v>
      </c>
      <c r="E15" s="2" t="s">
        <v>268</v>
      </c>
      <c r="F15" s="7" t="s">
        <v>12</v>
      </c>
      <c r="G15" s="7" t="s">
        <v>5</v>
      </c>
      <c r="H15" s="2" t="s">
        <v>220</v>
      </c>
      <c r="I15" s="11" t="s">
        <v>228</v>
      </c>
      <c r="J15" s="9" t="s">
        <v>269</v>
      </c>
      <c r="K15" s="2" t="s">
        <v>259</v>
      </c>
      <c r="L15" s="10" t="str">
        <f t="shared" si="0"/>
        <v>Phone</v>
      </c>
      <c r="M15" s="14" t="s">
        <v>242</v>
      </c>
      <c r="N15" s="2" t="s">
        <v>225</v>
      </c>
      <c r="O15" s="10" t="str">
        <f>IFERROR(VLOOKUP(F15,Persona_Map!$A$5:$K$13,8,FALSE),"")&amp;" | "&amp;C15</f>
        <v>Track biofuel pull-through before it hits oils pricing | Bunge</v>
      </c>
      <c r="P15" s="10" t="str">
        <f>IFERROR(VLOOKUP(F15,Persona_Map!$A$5:$K$13,9,FALSE),"")&amp;IF(LEN(G15)&gt;0,CHAR(10)&amp;CHAR(10)&amp;IFERROR(VLOOKUP(G15,Decision_Frames!$A$5:$F$11,5,FALSE),""),"")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15" s="10" t="str">
        <f>IFERROR(VLOOKUP(F15,Persona_Map!$A$5:$K$13,10,FALSE),"")&amp;IF(LEN(G15)&gt;0,CHAR(10)&amp;CHAR(10)&amp;"Frame tweak:"&amp;CHAR(10)&amp;IFERROR(VLOOKUP(G15,Decision_Frames!$A$5:$F$11,6,FALSE),""),"")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15" s="8" t="s">
        <v>226</v>
      </c>
      <c r="S15" s="8" t="s">
        <v>270</v>
      </c>
      <c r="T15" s="12">
        <v>46120</v>
      </c>
      <c r="U15" s="7" t="s">
        <v>7</v>
      </c>
      <c r="V15" s="13" t="s">
        <v>244</v>
      </c>
    </row>
    <row r="16" spans="1:22" ht="54" customHeight="1" x14ac:dyDescent="0.25">
      <c r="A16" s="7" t="s">
        <v>6</v>
      </c>
      <c r="B16" s="2" t="s">
        <v>265</v>
      </c>
      <c r="C16" s="2" t="s">
        <v>266</v>
      </c>
      <c r="D16" s="2" t="s">
        <v>271</v>
      </c>
      <c r="E16" s="2" t="s">
        <v>272</v>
      </c>
      <c r="F16" s="7" t="s">
        <v>4</v>
      </c>
      <c r="G16" s="7" t="s">
        <v>9</v>
      </c>
      <c r="H16" s="2" t="s">
        <v>220</v>
      </c>
      <c r="I16" s="11" t="s">
        <v>228</v>
      </c>
      <c r="J16" s="9" t="s">
        <v>269</v>
      </c>
      <c r="K16" s="2" t="s">
        <v>259</v>
      </c>
      <c r="L16" s="10" t="str">
        <f t="shared" si="0"/>
        <v>Phone</v>
      </c>
      <c r="M16" s="14" t="s">
        <v>242</v>
      </c>
      <c r="N16" s="2" t="s">
        <v>273</v>
      </c>
      <c r="O16" s="10" t="str">
        <f>IFERROR(VLOOKUP(F16,Persona_Map!$A$5:$K$13,8,FALSE),"")&amp;" | "&amp;C16</f>
        <v>A cleaner read on BBD feedstock cost and availability | Bunge</v>
      </c>
      <c r="P16" s="10" t="str">
        <f>IFERROR(VLOOKUP(F16,Persona_Map!$A$5:$K$13,9,FALSE),"")&amp;IF(LEN(G16)&gt;0,CHAR(10)&amp;CHAR(10)&amp;IFERROR(VLOOKUP(G16,Decision_Frames!$A$5:$F$11,5,FALSE),""),"")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16" s="10" t="str">
        <f>IFERROR(VLOOKUP(F16,Persona_Map!$A$5:$K$13,10,FALSE),"")&amp;IF(LEN(G16)&gt;0,CHAR(10)&amp;CHAR(10)&amp;"Frame tweak:"&amp;CHAR(10)&amp;IFERROR(VLOOKUP(G16,Decision_Frames!$A$5:$F$11,6,FALSE),""),"")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16" s="8" t="s">
        <v>226</v>
      </c>
      <c r="S16" s="8" t="s">
        <v>270</v>
      </c>
      <c r="T16" s="12">
        <v>46120</v>
      </c>
      <c r="U16" s="7" t="s">
        <v>7</v>
      </c>
      <c r="V16" s="13" t="s">
        <v>244</v>
      </c>
    </row>
    <row r="17" spans="1:22" ht="54" customHeight="1" x14ac:dyDescent="0.25">
      <c r="A17" s="7" t="s">
        <v>10</v>
      </c>
      <c r="B17" s="2" t="s">
        <v>265</v>
      </c>
      <c r="C17" s="2" t="s">
        <v>266</v>
      </c>
      <c r="D17" s="2" t="s">
        <v>274</v>
      </c>
      <c r="E17" s="2" t="s">
        <v>275</v>
      </c>
      <c r="F17" s="7" t="s">
        <v>30</v>
      </c>
      <c r="G17" s="7" t="s">
        <v>20</v>
      </c>
      <c r="H17" s="2" t="s">
        <v>220</v>
      </c>
      <c r="I17" s="11" t="s">
        <v>228</v>
      </c>
      <c r="J17" s="9" t="s">
        <v>269</v>
      </c>
      <c r="K17" s="2" t="s">
        <v>259</v>
      </c>
      <c r="L17" s="10" t="str">
        <f t="shared" si="0"/>
        <v>Phone</v>
      </c>
      <c r="M17" s="14" t="s">
        <v>242</v>
      </c>
      <c r="N17" s="2" t="s">
        <v>235</v>
      </c>
      <c r="O17" s="10" t="str">
        <f>IFERROR(VLOOKUP(F17,Persona_Map!$A$5:$K$13,8,FALSE),"")&amp;" | "&amp;C17</f>
        <v>A better market narrative for customer and partner conversations | Bunge</v>
      </c>
      <c r="P17" s="10" t="str">
        <f>IFERROR(VLOOKUP(F17,Persona_Map!$A$5:$K$13,9,FALSE),"")&amp;IF(LEN(G17)&gt;0,CHAR(10)&amp;CHAR(10)&amp;IFERROR(VLOOKUP(G17,Decision_Frames!$A$5:$F$11,5,FALSE),""),"")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17" s="10" t="str">
        <f>IFERROR(VLOOKUP(F17,Persona_Map!$A$5:$K$13,10,FALSE),"")&amp;IF(LEN(G17)&gt;0,CHAR(10)&amp;CHAR(10)&amp;"Frame tweak:"&amp;CHAR(10)&amp;IFERROR(VLOOKUP(G17,Decision_Frames!$A$5:$F$11,6,FALSE),""),"")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17" s="8" t="s">
        <v>226</v>
      </c>
      <c r="S17" s="8" t="s">
        <v>270</v>
      </c>
      <c r="T17" s="12">
        <v>46120</v>
      </c>
      <c r="U17" s="7" t="s">
        <v>7</v>
      </c>
      <c r="V17" s="13" t="s">
        <v>244</v>
      </c>
    </row>
    <row r="18" spans="1:22" ht="54" customHeight="1" x14ac:dyDescent="0.25">
      <c r="A18" s="7" t="s">
        <v>6</v>
      </c>
      <c r="B18" s="2" t="s">
        <v>265</v>
      </c>
      <c r="C18" s="2" t="s">
        <v>266</v>
      </c>
      <c r="D18" s="2" t="s">
        <v>276</v>
      </c>
      <c r="E18" s="2" t="s">
        <v>277</v>
      </c>
      <c r="F18" s="7" t="s">
        <v>12</v>
      </c>
      <c r="G18" s="7" t="s">
        <v>13</v>
      </c>
      <c r="H18" s="2" t="s">
        <v>220</v>
      </c>
      <c r="I18" s="11" t="s">
        <v>228</v>
      </c>
      <c r="J18" s="9" t="s">
        <v>269</v>
      </c>
      <c r="K18" s="2" t="s">
        <v>259</v>
      </c>
      <c r="L18" s="10" t="str">
        <f t="shared" si="0"/>
        <v>Phone</v>
      </c>
      <c r="M18" s="14" t="s">
        <v>242</v>
      </c>
      <c r="N18" s="2" t="s">
        <v>225</v>
      </c>
      <c r="O18" s="10" t="str">
        <f>IFERROR(VLOOKUP(F18,Persona_Map!$A$5:$K$13,8,FALSE),"")&amp;" | "&amp;C18</f>
        <v>Track biofuel pull-through before it hits oils pricing | Bunge</v>
      </c>
      <c r="P18" s="10" t="str">
        <f>IFERROR(VLOOKUP(F18,Persona_Map!$A$5:$K$13,9,FALSE),"")&amp;IF(LEN(G18)&gt;0,CHAR(10)&amp;CHAR(10)&amp;IFERROR(VLOOKUP(G18,Decision_Frames!$A$5:$F$11,5,FALSE),""),"")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position the report as an independent signal layer that helps separate structural market changes from noise, especially where broad commodity coverage misses niche feedstock shifts.</v>
      </c>
      <c r="Q18" s="10" t="str">
        <f>IFERROR(VLOOKUP(F18,Persona_Map!$A$5:$K$13,10,FALSE),"")&amp;IF(LEN(G18)&gt;0,CHAR(10)&amp;CHAR(10)&amp;"Frame tweak:"&amp;CHAR(10)&amp;IFERROR(VLOOKUP(G18,Decision_Frames!$A$5:$F$11,6,FALSE),""),"")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Ask which market inputs they trust and which still feel noisy
- Highlight signal quality over report length
- Position RLC as a fast interpretation layer</v>
      </c>
      <c r="R18" s="8" t="s">
        <v>226</v>
      </c>
      <c r="S18" s="8" t="s">
        <v>270</v>
      </c>
      <c r="T18" s="12">
        <v>46120</v>
      </c>
      <c r="U18" s="7" t="s">
        <v>7</v>
      </c>
      <c r="V18" s="13" t="s">
        <v>244</v>
      </c>
    </row>
    <row r="19" spans="1:22" ht="54" customHeight="1" x14ac:dyDescent="0.25">
      <c r="A19" s="7" t="s">
        <v>10</v>
      </c>
      <c r="B19" s="2" t="s">
        <v>278</v>
      </c>
      <c r="C19" s="2" t="s">
        <v>279</v>
      </c>
      <c r="D19" s="2" t="s">
        <v>280</v>
      </c>
      <c r="E19" s="2" t="s">
        <v>281</v>
      </c>
      <c r="F19" s="7" t="s">
        <v>28</v>
      </c>
      <c r="G19" s="7" t="s">
        <v>23</v>
      </c>
      <c r="H19" s="2" t="s">
        <v>220</v>
      </c>
      <c r="I19" s="11" t="s">
        <v>228</v>
      </c>
      <c r="J19" s="9" t="s">
        <v>282</v>
      </c>
      <c r="K19" s="2" t="s">
        <v>283</v>
      </c>
      <c r="L19" s="10" t="str">
        <f t="shared" si="0"/>
        <v>Phone</v>
      </c>
      <c r="M19" s="14" t="s">
        <v>242</v>
      </c>
      <c r="N19" s="2" t="s">
        <v>232</v>
      </c>
      <c r="O19" s="10" t="str">
        <f>IFERROR(VLOOKUP(F19,Persona_Map!$A$5:$K$13,8,FALSE),"")&amp;" | "&amp;C19</f>
        <v>One market view for procurement, trading and leadership | Cargill</v>
      </c>
      <c r="P19" s="10" t="str">
        <f>IFERROR(VLOOKUP(F19,Persona_Map!$A$5:$K$13,9,FALSE),"")&amp;IF(LEN(G19)&gt;0,CHAR(10)&amp;CHAR(10)&amp;IFERROR(VLOOKUP(G19,Decision_Frames!$A$5:$F$11,5,FALSE),""),"")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19" s="10" t="str">
        <f>IFERROR(VLOOKUP(F19,Persona_Map!$A$5:$K$13,10,FALSE),"")&amp;IF(LEN(G19)&gt;0,CHAR(10)&amp;CHAR(10)&amp;"Frame tweak:"&amp;CHAR(10)&amp;IFERROR(VLOOKUP(G19,Decision_Frames!$A$5:$F$11,6,FALSE),""),"")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19" s="8" t="s">
        <v>226</v>
      </c>
      <c r="S19" s="8" t="s">
        <v>284</v>
      </c>
      <c r="T19" s="12">
        <v>46120</v>
      </c>
      <c r="U19" s="7" t="s">
        <v>7</v>
      </c>
      <c r="V19" s="13" t="s">
        <v>244</v>
      </c>
    </row>
    <row r="20" spans="1:22" ht="54" customHeight="1" x14ac:dyDescent="0.25">
      <c r="A20" s="7" t="s">
        <v>6</v>
      </c>
      <c r="B20" s="2" t="s">
        <v>278</v>
      </c>
      <c r="C20" s="2" t="s">
        <v>279</v>
      </c>
      <c r="D20" s="2" t="s">
        <v>285</v>
      </c>
      <c r="E20" s="2" t="s">
        <v>286</v>
      </c>
      <c r="F20" s="7" t="s">
        <v>22</v>
      </c>
      <c r="G20" s="7" t="s">
        <v>13</v>
      </c>
      <c r="H20" s="2" t="s">
        <v>220</v>
      </c>
      <c r="I20" s="11" t="s">
        <v>228</v>
      </c>
      <c r="J20" s="9" t="s">
        <v>282</v>
      </c>
      <c r="K20" s="2" t="s">
        <v>283</v>
      </c>
      <c r="L20" s="10" t="str">
        <f t="shared" si="0"/>
        <v>Phone</v>
      </c>
      <c r="M20" s="14" t="s">
        <v>242</v>
      </c>
      <c r="N20" s="2" t="s">
        <v>252</v>
      </c>
      <c r="O20" s="10" t="str">
        <f>IFERROR(VLOOKUP(F20,Persona_Map!$A$5:$K$13,8,FALSE),"")&amp;" | "&amp;C20</f>
        <v>Scenario-ready coverage for BBD feedstocks and demand shocks | Cargill</v>
      </c>
      <c r="P20" s="10" t="str">
        <f>IFERROR(VLOOKUP(F20,Persona_Map!$A$5:$K$13,9,FALSE),"")&amp;IF(LEN(G20)&gt;0,CHAR(10)&amp;CHAR(10)&amp;IFERROR(VLOOKUP(G20,Decision_Frames!$A$5:$F$11,5,FALSE),""),"")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position the report as an independent signal layer that helps separate structural market changes from noise, especially where broad commodity coverage misses niche feedstock shifts.</v>
      </c>
      <c r="Q20" s="10" t="str">
        <f>IFERROR(VLOOKUP(F20,Persona_Map!$A$5:$K$13,10,FALSE),"")&amp;IF(LEN(G20)&gt;0,CHAR(10)&amp;CHAR(10)&amp;"Frame tweak:"&amp;CHAR(10)&amp;IFERROR(VLOOKUP(G20,Decision_Frames!$A$5:$F$11,6,FALSE),""),"")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Ask which market inputs they trust and which still feel noisy
- Highlight signal quality over report length
- Position RLC as a fast interpretation layer</v>
      </c>
      <c r="R20" s="8" t="s">
        <v>226</v>
      </c>
      <c r="S20" s="8" t="s">
        <v>284</v>
      </c>
      <c r="T20" s="12">
        <v>46120</v>
      </c>
      <c r="U20" s="7" t="s">
        <v>7</v>
      </c>
      <c r="V20" s="13" t="s">
        <v>244</v>
      </c>
    </row>
    <row r="21" spans="1:22" ht="54" customHeight="1" x14ac:dyDescent="0.25">
      <c r="A21" s="7" t="s">
        <v>6</v>
      </c>
      <c r="B21" s="2" t="s">
        <v>278</v>
      </c>
      <c r="C21" s="2" t="s">
        <v>279</v>
      </c>
      <c r="D21" s="2" t="s">
        <v>287</v>
      </c>
      <c r="E21" s="2" t="s">
        <v>288</v>
      </c>
      <c r="F21" s="7" t="s">
        <v>12</v>
      </c>
      <c r="G21" s="7" t="s">
        <v>5</v>
      </c>
      <c r="H21" s="2" t="s">
        <v>220</v>
      </c>
      <c r="I21" s="11" t="s">
        <v>228</v>
      </c>
      <c r="J21" s="9" t="s">
        <v>282</v>
      </c>
      <c r="K21" s="2" t="s">
        <v>283</v>
      </c>
      <c r="L21" s="10" t="str">
        <f t="shared" si="0"/>
        <v>Phone</v>
      </c>
      <c r="M21" s="14" t="s">
        <v>242</v>
      </c>
      <c r="N21" s="2" t="s">
        <v>225</v>
      </c>
      <c r="O21" s="10" t="str">
        <f>IFERROR(VLOOKUP(F21,Persona_Map!$A$5:$K$13,8,FALSE),"")&amp;" | "&amp;C21</f>
        <v>Track biofuel pull-through before it hits oils pricing | Cargill</v>
      </c>
      <c r="P21" s="10" t="str">
        <f>IFERROR(VLOOKUP(F21,Persona_Map!$A$5:$K$13,9,FALSE),"")&amp;IF(LEN(G21)&gt;0,CHAR(10)&amp;CHAR(10)&amp;IFERROR(VLOOKUP(G21,Decision_Frames!$A$5:$F$11,5,FALSE),""),"")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21" s="10" t="str">
        <f>IFERROR(VLOOKUP(F21,Persona_Map!$A$5:$K$13,10,FALSE),"")&amp;IF(LEN(G21)&gt;0,CHAR(10)&amp;CHAR(10)&amp;"Frame tweak:"&amp;CHAR(10)&amp;IFERROR(VLOOKUP(G21,Decision_Frames!$A$5:$F$11,6,FALSE),""),"")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21" s="8" t="s">
        <v>226</v>
      </c>
      <c r="S21" s="8" t="s">
        <v>284</v>
      </c>
      <c r="T21" s="12">
        <v>46120</v>
      </c>
      <c r="U21" s="7" t="s">
        <v>7</v>
      </c>
      <c r="V21" s="13" t="s">
        <v>244</v>
      </c>
    </row>
    <row r="22" spans="1:22" ht="54" customHeight="1" x14ac:dyDescent="0.25">
      <c r="A22" s="7" t="s">
        <v>6</v>
      </c>
      <c r="B22" s="2" t="s">
        <v>278</v>
      </c>
      <c r="C22" s="2" t="s">
        <v>279</v>
      </c>
      <c r="D22" s="2" t="s">
        <v>289</v>
      </c>
      <c r="E22" s="2" t="s">
        <v>290</v>
      </c>
      <c r="F22" s="7" t="s">
        <v>12</v>
      </c>
      <c r="G22" s="7" t="s">
        <v>9</v>
      </c>
      <c r="H22" s="2" t="s">
        <v>220</v>
      </c>
      <c r="I22" s="11" t="s">
        <v>228</v>
      </c>
      <c r="J22" s="9" t="s">
        <v>282</v>
      </c>
      <c r="K22" s="2" t="s">
        <v>283</v>
      </c>
      <c r="L22" s="10" t="str">
        <f t="shared" si="0"/>
        <v>Phone</v>
      </c>
      <c r="M22" s="14" t="s">
        <v>242</v>
      </c>
      <c r="N22" s="2" t="s">
        <v>225</v>
      </c>
      <c r="O22" s="10" t="str">
        <f>IFERROR(VLOOKUP(F22,Persona_Map!$A$5:$K$13,8,FALSE),"")&amp;" | "&amp;C22</f>
        <v>Track biofuel pull-through before it hits oils pricing | Cargill</v>
      </c>
      <c r="P22" s="10" t="str">
        <f>IFERROR(VLOOKUP(F22,Persona_Map!$A$5:$K$13,9,FALSE),"")&amp;IF(LEN(G22)&gt;0,CHAR(10)&amp;CHAR(10)&amp;IFERROR(VLOOKUP(G22,Decision_Frames!$A$5:$F$11,5,FALSE),""),"")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emphasize that the value is not only price direction but earlier warning on tightness, import shifts, supplier behavior and which substitute feedstocks may become more or less viable next.</v>
      </c>
      <c r="Q22" s="10" t="str">
        <f>IFERROR(VLOOKUP(F22,Persona_Map!$A$5:$K$13,10,FALSE),"")&amp;IF(LEN(G22)&gt;0,CHAR(10)&amp;CHAR(10)&amp;"Frame tweak:"&amp;CHAR(10)&amp;IFERROR(VLOOKUP(G22,Decision_Frames!$A$5:$F$11,6,FALSE),""),"")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Ask where supply visibility breaks down today
- Focus on disruption risk and fallback options
- Tie the report to supplier negotiations and continuity planning</v>
      </c>
      <c r="R22" s="8" t="s">
        <v>226</v>
      </c>
      <c r="S22" s="8" t="s">
        <v>284</v>
      </c>
      <c r="T22" s="12">
        <v>46120</v>
      </c>
      <c r="U22" s="7" t="s">
        <v>7</v>
      </c>
      <c r="V22" s="13" t="s">
        <v>244</v>
      </c>
    </row>
    <row r="23" spans="1:22" ht="54" customHeight="1" x14ac:dyDescent="0.25">
      <c r="A23" s="7" t="s">
        <v>6</v>
      </c>
      <c r="B23" s="2" t="s">
        <v>291</v>
      </c>
      <c r="C23" s="2" t="s">
        <v>292</v>
      </c>
      <c r="D23" s="2" t="s">
        <v>293</v>
      </c>
      <c r="E23" s="2" t="s">
        <v>294</v>
      </c>
      <c r="F23" s="7" t="s">
        <v>12</v>
      </c>
      <c r="G23" s="7" t="s">
        <v>5</v>
      </c>
      <c r="H23" s="2" t="s">
        <v>220</v>
      </c>
      <c r="I23" s="11" t="s">
        <v>228</v>
      </c>
      <c r="J23" s="9" t="s">
        <v>295</v>
      </c>
      <c r="K23" s="2" t="s">
        <v>259</v>
      </c>
      <c r="L23" s="10" t="str">
        <f t="shared" si="0"/>
        <v>Phone</v>
      </c>
      <c r="M23" s="14" t="s">
        <v>242</v>
      </c>
      <c r="N23" s="2" t="s">
        <v>225</v>
      </c>
      <c r="O23" s="10" t="str">
        <f>IFERROR(VLOOKUP(F23,Persona_Map!$A$5:$K$13,8,FALSE),"")&amp;" | "&amp;C23</f>
        <v>Track biofuel pull-through before it hits oils pricing | CHS</v>
      </c>
      <c r="P23" s="10" t="str">
        <f>IFERROR(VLOOKUP(F23,Persona_Map!$A$5:$K$13,9,FALSE),"")&amp;IF(LEN(G23)&gt;0,CHAR(10)&amp;CHAR(10)&amp;IFERROR(VLOOKUP(G23,Decision_Frames!$A$5:$F$11,5,FALSE),""),"")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23" s="10" t="str">
        <f>IFERROR(VLOOKUP(F23,Persona_Map!$A$5:$K$13,10,FALSE),"")&amp;IF(LEN(G23)&gt;0,CHAR(10)&amp;CHAR(10)&amp;"Frame tweak:"&amp;CHAR(10)&amp;IFERROR(VLOOKUP(G23,Decision_Frames!$A$5:$F$11,6,FALSE),""),"")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23" s="8" t="s">
        <v>226</v>
      </c>
      <c r="S23" s="8" t="s">
        <v>296</v>
      </c>
      <c r="T23" s="12">
        <v>46120</v>
      </c>
      <c r="U23" s="7" t="s">
        <v>7</v>
      </c>
      <c r="V23" s="13" t="s">
        <v>244</v>
      </c>
    </row>
    <row r="24" spans="1:22" ht="54" customHeight="1" x14ac:dyDescent="0.25">
      <c r="A24" s="7" t="s">
        <v>10</v>
      </c>
      <c r="B24" s="2" t="s">
        <v>291</v>
      </c>
      <c r="C24" s="2" t="s">
        <v>292</v>
      </c>
      <c r="D24" s="2" t="s">
        <v>297</v>
      </c>
      <c r="E24" s="2" t="s">
        <v>298</v>
      </c>
      <c r="F24" s="7" t="s">
        <v>30</v>
      </c>
      <c r="G24" s="7" t="s">
        <v>20</v>
      </c>
      <c r="H24" s="2" t="s">
        <v>220</v>
      </c>
      <c r="I24" s="11" t="s">
        <v>228</v>
      </c>
      <c r="J24" s="9" t="s">
        <v>295</v>
      </c>
      <c r="K24" s="2" t="s">
        <v>259</v>
      </c>
      <c r="L24" s="10" t="str">
        <f t="shared" si="0"/>
        <v>Phone</v>
      </c>
      <c r="M24" s="14" t="s">
        <v>242</v>
      </c>
      <c r="N24" s="2" t="s">
        <v>235</v>
      </c>
      <c r="O24" s="10" t="str">
        <f>IFERROR(VLOOKUP(F24,Persona_Map!$A$5:$K$13,8,FALSE),"")&amp;" | "&amp;C24</f>
        <v>A better market narrative for customer and partner conversations | CHS</v>
      </c>
      <c r="P24" s="10" t="str">
        <f>IFERROR(VLOOKUP(F24,Persona_Map!$A$5:$K$13,9,FALSE),"")&amp;IF(LEN(G24)&gt;0,CHAR(10)&amp;CHAR(10)&amp;IFERROR(VLOOKUP(G24,Decision_Frames!$A$5:$F$11,5,FALSE),""),"")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24" s="10" t="str">
        <f>IFERROR(VLOOKUP(F24,Persona_Map!$A$5:$K$13,10,FALSE),"")&amp;IF(LEN(G24)&gt;0,CHAR(10)&amp;CHAR(10)&amp;"Frame tweak:"&amp;CHAR(10)&amp;IFERROR(VLOOKUP(G24,Decision_Frames!$A$5:$F$11,6,FALSE),""),"")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24" s="8" t="s">
        <v>226</v>
      </c>
      <c r="S24" s="8" t="s">
        <v>296</v>
      </c>
      <c r="T24" s="12">
        <v>46120</v>
      </c>
      <c r="U24" s="7" t="s">
        <v>7</v>
      </c>
      <c r="V24" s="13" t="s">
        <v>244</v>
      </c>
    </row>
    <row r="25" spans="1:22" ht="54" customHeight="1" x14ac:dyDescent="0.25">
      <c r="A25" s="7" t="s">
        <v>10</v>
      </c>
      <c r="B25" s="2" t="s">
        <v>299</v>
      </c>
      <c r="C25" s="2" t="s">
        <v>300</v>
      </c>
      <c r="D25" s="2" t="s">
        <v>301</v>
      </c>
      <c r="E25" s="2" t="s">
        <v>302</v>
      </c>
      <c r="F25" s="7" t="s">
        <v>30</v>
      </c>
      <c r="G25" s="7" t="s">
        <v>20</v>
      </c>
      <c r="H25" s="2" t="s">
        <v>220</v>
      </c>
      <c r="I25" s="8" t="s">
        <v>303</v>
      </c>
      <c r="J25" s="9" t="s">
        <v>304</v>
      </c>
      <c r="K25" s="2" t="s">
        <v>305</v>
      </c>
      <c r="L25" s="10" t="str">
        <f t="shared" si="0"/>
        <v>Email</v>
      </c>
      <c r="M25" s="11" t="s">
        <v>224</v>
      </c>
      <c r="N25" s="2" t="s">
        <v>235</v>
      </c>
      <c r="O25" s="10" t="str">
        <f>IFERROR(VLOOKUP(F25,Persona_Map!$A$5:$K$13,8,FALSE),"")&amp;" | "&amp;C25</f>
        <v>A better market narrative for customer and partner conversations | Darling Ingredients</v>
      </c>
      <c r="P25" s="10" t="str">
        <f>IFERROR(VLOOKUP(F25,Persona_Map!$A$5:$K$13,9,FALSE),"")&amp;IF(LEN(G25)&gt;0,CHAR(10)&amp;CHAR(10)&amp;IFERROR(VLOOKUP(G25,Decision_Frames!$A$5:$F$11,5,FALSE),""),"")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25" s="10" t="str">
        <f>IFERROR(VLOOKUP(F25,Persona_Map!$A$5:$K$13,10,FALSE),"")&amp;IF(LEN(G25)&gt;0,CHAR(10)&amp;CHAR(10)&amp;"Frame tweak:"&amp;CHAR(10)&amp;IFERROR(VLOOKUP(G25,Decision_Frames!$A$5:$F$11,6,FALSE),""),"")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25" s="8" t="s">
        <v>226</v>
      </c>
      <c r="S25" s="8" t="s">
        <v>306</v>
      </c>
      <c r="T25" s="12">
        <v>46120</v>
      </c>
      <c r="U25" s="7" t="s">
        <v>7</v>
      </c>
      <c r="V25" s="13" t="s">
        <v>228</v>
      </c>
    </row>
    <row r="26" spans="1:22" ht="54" customHeight="1" x14ac:dyDescent="0.25">
      <c r="A26" s="7" t="s">
        <v>6</v>
      </c>
      <c r="B26" s="2" t="s">
        <v>307</v>
      </c>
      <c r="C26" s="2" t="s">
        <v>308</v>
      </c>
      <c r="D26" s="2" t="s">
        <v>309</v>
      </c>
      <c r="E26" s="2" t="s">
        <v>310</v>
      </c>
      <c r="F26" s="7" t="s">
        <v>4</v>
      </c>
      <c r="G26" s="7" t="s">
        <v>9</v>
      </c>
      <c r="H26" s="2" t="s">
        <v>220</v>
      </c>
      <c r="I26" s="11" t="s">
        <v>228</v>
      </c>
      <c r="J26" s="9" t="s">
        <v>311</v>
      </c>
      <c r="K26" s="2" t="s">
        <v>312</v>
      </c>
      <c r="L26" s="10" t="str">
        <f t="shared" si="0"/>
        <v>Phone</v>
      </c>
      <c r="M26" s="14" t="s">
        <v>242</v>
      </c>
      <c r="N26" s="2" t="s">
        <v>273</v>
      </c>
      <c r="O26" s="10" t="str">
        <f>IFERROR(VLOOKUP(F26,Persona_Map!$A$5:$K$13,8,FALSE),"")&amp;" | "&amp;C26</f>
        <v>A cleaner read on BBD feedstock cost and availability | HF Sinclair</v>
      </c>
      <c r="P26" s="10" t="str">
        <f>IFERROR(VLOOKUP(F26,Persona_Map!$A$5:$K$13,9,FALSE),"")&amp;IF(LEN(G26)&gt;0,CHAR(10)&amp;CHAR(10)&amp;IFERROR(VLOOKUP(G26,Decision_Frames!$A$5:$F$11,5,FALSE),""),"")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26" s="10" t="str">
        <f>IFERROR(VLOOKUP(F26,Persona_Map!$A$5:$K$13,10,FALSE),"")&amp;IF(LEN(G26)&gt;0,CHAR(10)&amp;CHAR(10)&amp;"Frame tweak:"&amp;CHAR(10)&amp;IFERROR(VLOOKUP(G26,Decision_Frames!$A$5:$F$11,6,FALSE),""),"")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26" s="8" t="s">
        <v>226</v>
      </c>
      <c r="S26" s="8" t="s">
        <v>313</v>
      </c>
      <c r="T26" s="12">
        <v>46120</v>
      </c>
      <c r="U26" s="7" t="s">
        <v>7</v>
      </c>
      <c r="V26" s="13" t="s">
        <v>244</v>
      </c>
    </row>
    <row r="27" spans="1:22" ht="54" customHeight="1" x14ac:dyDescent="0.25">
      <c r="A27" s="7" t="s">
        <v>6</v>
      </c>
      <c r="B27" s="2" t="s">
        <v>307</v>
      </c>
      <c r="C27" s="2" t="s">
        <v>308</v>
      </c>
      <c r="D27" s="2" t="s">
        <v>314</v>
      </c>
      <c r="E27" s="2" t="s">
        <v>315</v>
      </c>
      <c r="F27" s="7" t="s">
        <v>22</v>
      </c>
      <c r="G27" s="7" t="s">
        <v>13</v>
      </c>
      <c r="H27" s="2" t="s">
        <v>220</v>
      </c>
      <c r="I27" s="11" t="s">
        <v>228</v>
      </c>
      <c r="J27" s="9" t="s">
        <v>311</v>
      </c>
      <c r="K27" s="2" t="s">
        <v>312</v>
      </c>
      <c r="L27" s="10" t="str">
        <f t="shared" si="0"/>
        <v>Phone</v>
      </c>
      <c r="M27" s="14" t="s">
        <v>242</v>
      </c>
      <c r="N27" s="2" t="s">
        <v>252</v>
      </c>
      <c r="O27" s="10" t="str">
        <f>IFERROR(VLOOKUP(F27,Persona_Map!$A$5:$K$13,8,FALSE),"")&amp;" | "&amp;C27</f>
        <v>Scenario-ready coverage for BBD feedstocks and demand shocks | HF Sinclair</v>
      </c>
      <c r="P27" s="10" t="str">
        <f>IFERROR(VLOOKUP(F27,Persona_Map!$A$5:$K$13,9,FALSE),"")&amp;IF(LEN(G27)&gt;0,CHAR(10)&amp;CHAR(10)&amp;IFERROR(VLOOKUP(G27,Decision_Frames!$A$5:$F$11,5,FALSE),""),"")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position the report as an independent signal layer that helps separate structural market changes from noise, especially where broad commodity coverage misses niche feedstock shifts.</v>
      </c>
      <c r="Q27" s="10" t="str">
        <f>IFERROR(VLOOKUP(F27,Persona_Map!$A$5:$K$13,10,FALSE),"")&amp;IF(LEN(G27)&gt;0,CHAR(10)&amp;CHAR(10)&amp;"Frame tweak:"&amp;CHAR(10)&amp;IFERROR(VLOOKUP(G27,Decision_Frames!$A$5:$F$11,6,FALSE),""),"")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Ask which market inputs they trust and which still feel noisy
- Highlight signal quality over report length
- Position RLC as a fast interpretation layer</v>
      </c>
      <c r="R27" s="8" t="s">
        <v>226</v>
      </c>
      <c r="S27" s="8" t="s">
        <v>313</v>
      </c>
      <c r="T27" s="12">
        <v>46120</v>
      </c>
      <c r="U27" s="7" t="s">
        <v>7</v>
      </c>
      <c r="V27" s="13" t="s">
        <v>244</v>
      </c>
    </row>
    <row r="28" spans="1:22" ht="54" customHeight="1" x14ac:dyDescent="0.25">
      <c r="A28" s="7" t="s">
        <v>10</v>
      </c>
      <c r="B28" s="2" t="s">
        <v>316</v>
      </c>
      <c r="C28" s="2" t="s">
        <v>317</v>
      </c>
      <c r="D28" s="2" t="s">
        <v>318</v>
      </c>
      <c r="E28" s="2" t="s">
        <v>319</v>
      </c>
      <c r="F28" s="7" t="s">
        <v>22</v>
      </c>
      <c r="G28" s="7" t="s">
        <v>5</v>
      </c>
      <c r="H28" s="2" t="s">
        <v>220</v>
      </c>
      <c r="I28" s="11" t="s">
        <v>228</v>
      </c>
      <c r="J28" s="9" t="s">
        <v>320</v>
      </c>
      <c r="K28" s="2" t="s">
        <v>321</v>
      </c>
      <c r="L28" s="10" t="str">
        <f t="shared" si="0"/>
        <v>Phone</v>
      </c>
      <c r="M28" s="14" t="s">
        <v>322</v>
      </c>
      <c r="N28" s="2" t="s">
        <v>252</v>
      </c>
      <c r="O28" s="10" t="str">
        <f>IFERROR(VLOOKUP(F28,Persona_Map!$A$5:$K$13,8,FALSE),"")&amp;" | "&amp;C28</f>
        <v>Scenario-ready coverage for BBD feedstocks and demand shocks | Kraft Heinz</v>
      </c>
      <c r="P28" s="10" t="str">
        <f>IFERROR(VLOOKUP(F28,Persona_Map!$A$5:$K$13,9,FALSE),"")&amp;IF(LEN(G28)&gt;0,CHAR(10)&amp;CHAR(10)&amp;IFERROR(VLOOKUP(G28,Decision_Frames!$A$5:$F$11,5,FALSE),""),"")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lead with the fact that the report helps protect margin by showing where feedstock pressure, substitution and product economics are moving before the full impact reaches budgets or bids.</v>
      </c>
      <c r="Q28" s="10" t="str">
        <f>IFERROR(VLOOKUP(F28,Persona_Map!$A$5:$K$13,10,FALSE),"")&amp;IF(LEN(G28)&gt;0,CHAR(10)&amp;CHAR(10)&amp;"Frame tweak:"&amp;CHAR(10)&amp;IFERROR(VLOOKUP(G28,Decision_Frames!$A$5:$F$11,6,FALSE),""),"")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Quantify cost or margin pain first
- Stay concrete on bid timing and replacement cost
- Keep the conversation tied to decisions, not theory</v>
      </c>
      <c r="R28" s="8" t="s">
        <v>226</v>
      </c>
      <c r="S28" s="8" t="s">
        <v>323</v>
      </c>
      <c r="T28" s="12">
        <v>46120</v>
      </c>
      <c r="U28" s="7" t="s">
        <v>7</v>
      </c>
      <c r="V28" s="13" t="s">
        <v>324</v>
      </c>
    </row>
    <row r="29" spans="1:22" ht="54" customHeight="1" x14ac:dyDescent="0.25">
      <c r="A29" s="7" t="s">
        <v>10</v>
      </c>
      <c r="B29" s="2" t="s">
        <v>316</v>
      </c>
      <c r="C29" s="2" t="s">
        <v>317</v>
      </c>
      <c r="D29" s="2" t="s">
        <v>325</v>
      </c>
      <c r="E29" s="2" t="s">
        <v>326</v>
      </c>
      <c r="F29" s="7" t="s">
        <v>19</v>
      </c>
      <c r="G29" s="7" t="s">
        <v>5</v>
      </c>
      <c r="H29" s="2" t="s">
        <v>220</v>
      </c>
      <c r="I29" s="11" t="s">
        <v>228</v>
      </c>
      <c r="J29" s="9" t="s">
        <v>320</v>
      </c>
      <c r="K29" s="2" t="s">
        <v>321</v>
      </c>
      <c r="L29" s="10" t="str">
        <f t="shared" si="0"/>
        <v>Phone</v>
      </c>
      <c r="M29" s="14" t="s">
        <v>322</v>
      </c>
      <c r="N29" s="2" t="s">
        <v>327</v>
      </c>
      <c r="O29" s="10" t="str">
        <f>IFERROR(VLOOKUP(F29,Persona_Map!$A$5:$K$13,8,FALSE),"")&amp;" | "&amp;C29</f>
        <v>Understand when biofuel demand is about to distort your oils budget | Kraft Heinz</v>
      </c>
      <c r="P29" s="10" t="str">
        <f>IFERROR(VLOOKUP(F29,Persona_Map!$A$5:$K$13,9,FALSE),"")&amp;IF(LEN(G29)&gt;0,CHAR(10)&amp;CHAR(10)&amp;IFERROR(VLOOKUP(G29,Decision_Frames!$A$5:$F$11,5,FALSE),""),"")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lead with the fact that the report helps protect margin by showing where feedstock pressure, substitution and product economics are moving before the full impact reaches budgets or bids.</v>
      </c>
      <c r="Q29" s="10" t="str">
        <f>IFERROR(VLOOKUP(F29,Persona_Map!$A$5:$K$13,10,FALSE),"")&amp;IF(LEN(G29)&gt;0,CHAR(10)&amp;CHAR(10)&amp;"Frame tweak:"&amp;CHAR(10)&amp;IFERROR(VLOOKUP(G29,Decision_Frames!$A$5:$F$11,6,FALSE),""),"")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Quantify cost or margin pain first
- Stay concrete on bid timing and replacement cost
- Keep the conversation tied to decisions, not theory</v>
      </c>
      <c r="R29" s="8" t="s">
        <v>226</v>
      </c>
      <c r="S29" s="8" t="s">
        <v>323</v>
      </c>
      <c r="T29" s="12">
        <v>46120</v>
      </c>
      <c r="U29" s="7" t="s">
        <v>7</v>
      </c>
      <c r="V29" s="13" t="s">
        <v>324</v>
      </c>
    </row>
    <row r="30" spans="1:22" ht="54" customHeight="1" x14ac:dyDescent="0.25">
      <c r="A30" s="7" t="s">
        <v>10</v>
      </c>
      <c r="B30" s="2" t="s">
        <v>316</v>
      </c>
      <c r="C30" s="2" t="s">
        <v>317</v>
      </c>
      <c r="D30" s="2" t="s">
        <v>328</v>
      </c>
      <c r="E30" s="2" t="s">
        <v>329</v>
      </c>
      <c r="F30" s="7" t="s">
        <v>19</v>
      </c>
      <c r="G30" s="7" t="s">
        <v>9</v>
      </c>
      <c r="H30" s="2" t="s">
        <v>220</v>
      </c>
      <c r="I30" s="11" t="s">
        <v>228</v>
      </c>
      <c r="J30" s="9" t="s">
        <v>320</v>
      </c>
      <c r="K30" s="2" t="s">
        <v>321</v>
      </c>
      <c r="L30" s="10" t="str">
        <f t="shared" si="0"/>
        <v>Phone</v>
      </c>
      <c r="M30" s="14" t="s">
        <v>322</v>
      </c>
      <c r="N30" s="2" t="s">
        <v>327</v>
      </c>
      <c r="O30" s="10" t="str">
        <f>IFERROR(VLOOKUP(F30,Persona_Map!$A$5:$K$13,8,FALSE),"")&amp;" | "&amp;C30</f>
        <v>Understand when biofuel demand is about to distort your oils budget | Kraft Heinz</v>
      </c>
      <c r="P30" s="10" t="str">
        <f>IFERROR(VLOOKUP(F30,Persona_Map!$A$5:$K$13,9,FALSE),"")&amp;IF(LEN(G30)&gt;0,CHAR(10)&amp;CHAR(10)&amp;IFERROR(VLOOKUP(G30,Decision_Frames!$A$5:$F$11,5,FALSE),""),"")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emphasize that the value is not only price direction but earlier warning on tightness, import shifts, supplier behavior and which substitute feedstocks may become more or less viable next.</v>
      </c>
      <c r="Q30" s="10" t="str">
        <f>IFERROR(VLOOKUP(F30,Persona_Map!$A$5:$K$13,10,FALSE),"")&amp;IF(LEN(G30)&gt;0,CHAR(10)&amp;CHAR(10)&amp;"Frame tweak:"&amp;CHAR(10)&amp;IFERROR(VLOOKUP(G30,Decision_Frames!$A$5:$F$11,6,FALSE),""),"")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Ask where supply visibility breaks down today
- Focus on disruption risk and fallback options
- Tie the report to supplier negotiations and continuity planning</v>
      </c>
      <c r="R30" s="8" t="s">
        <v>226</v>
      </c>
      <c r="S30" s="8" t="s">
        <v>323</v>
      </c>
      <c r="T30" s="12">
        <v>46120</v>
      </c>
      <c r="U30" s="7" t="s">
        <v>7</v>
      </c>
      <c r="V30" s="13" t="s">
        <v>324</v>
      </c>
    </row>
    <row r="31" spans="1:22" ht="54" customHeight="1" x14ac:dyDescent="0.25">
      <c r="A31" s="7" t="s">
        <v>10</v>
      </c>
      <c r="B31" s="2" t="s">
        <v>316</v>
      </c>
      <c r="C31" s="2" t="s">
        <v>317</v>
      </c>
      <c r="D31" s="2" t="s">
        <v>330</v>
      </c>
      <c r="E31" s="2" t="s">
        <v>331</v>
      </c>
      <c r="F31" s="7" t="s">
        <v>19</v>
      </c>
      <c r="G31" s="7" t="s">
        <v>5</v>
      </c>
      <c r="H31" s="2" t="s">
        <v>220</v>
      </c>
      <c r="I31" s="11" t="s">
        <v>228</v>
      </c>
      <c r="J31" s="9" t="s">
        <v>320</v>
      </c>
      <c r="K31" s="2" t="s">
        <v>321</v>
      </c>
      <c r="L31" s="10" t="str">
        <f t="shared" si="0"/>
        <v>Phone</v>
      </c>
      <c r="M31" s="14" t="s">
        <v>322</v>
      </c>
      <c r="N31" s="2" t="s">
        <v>327</v>
      </c>
      <c r="O31" s="10" t="str">
        <f>IFERROR(VLOOKUP(F31,Persona_Map!$A$5:$K$13,8,FALSE),"")&amp;" | "&amp;C31</f>
        <v>Understand when biofuel demand is about to distort your oils budget | Kraft Heinz</v>
      </c>
      <c r="P31" s="10" t="str">
        <f>IFERROR(VLOOKUP(F31,Persona_Map!$A$5:$K$13,9,FALSE),"")&amp;IF(LEN(G31)&gt;0,CHAR(10)&amp;CHAR(10)&amp;IFERROR(VLOOKUP(G31,Decision_Frames!$A$5:$F$11,5,FALSE),""),"")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lead with the fact that the report helps protect margin by showing where feedstock pressure, substitution and product economics are moving before the full impact reaches budgets or bids.</v>
      </c>
      <c r="Q31" s="10" t="str">
        <f>IFERROR(VLOOKUP(F31,Persona_Map!$A$5:$K$13,10,FALSE),"")&amp;IF(LEN(G31)&gt;0,CHAR(10)&amp;CHAR(10)&amp;"Frame tweak:"&amp;CHAR(10)&amp;IFERROR(VLOOKUP(G31,Decision_Frames!$A$5:$F$11,6,FALSE),""),"")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Quantify cost or margin pain first
- Stay concrete on bid timing and replacement cost
- Keep the conversation tied to decisions, not theory</v>
      </c>
      <c r="R31" s="8" t="s">
        <v>226</v>
      </c>
      <c r="S31" s="8" t="s">
        <v>323</v>
      </c>
      <c r="T31" s="12">
        <v>46120</v>
      </c>
      <c r="U31" s="7" t="s">
        <v>7</v>
      </c>
      <c r="V31" s="13" t="s">
        <v>324</v>
      </c>
    </row>
    <row r="32" spans="1:22" ht="54" customHeight="1" x14ac:dyDescent="0.25">
      <c r="A32" s="7" t="s">
        <v>6</v>
      </c>
      <c r="B32" s="2" t="s">
        <v>332</v>
      </c>
      <c r="C32" s="2" t="s">
        <v>333</v>
      </c>
      <c r="D32" s="2" t="s">
        <v>334</v>
      </c>
      <c r="E32" s="2" t="s">
        <v>335</v>
      </c>
      <c r="F32" s="7" t="s">
        <v>8</v>
      </c>
      <c r="G32" s="7" t="s">
        <v>5</v>
      </c>
      <c r="H32" s="2" t="s">
        <v>220</v>
      </c>
      <c r="I32" s="11" t="s">
        <v>228</v>
      </c>
      <c r="J32" s="9" t="s">
        <v>336</v>
      </c>
      <c r="K32" s="2" t="s">
        <v>259</v>
      </c>
      <c r="L32" s="10" t="str">
        <f t="shared" si="0"/>
        <v>Phone</v>
      </c>
      <c r="M32" s="14" t="s">
        <v>242</v>
      </c>
      <c r="N32" s="2" t="s">
        <v>337</v>
      </c>
      <c r="O32" s="10" t="str">
        <f>IFERROR(VLOOKUP(F32,Persona_Map!$A$5:$K$13,8,FALSE),"")&amp;" | "&amp;C32</f>
        <v>A faster way to read BBD feedstock and margin shifts | Marathon Petroleum</v>
      </c>
      <c r="P32" s="10" t="str">
        <f>IFERROR(VLOOKUP(F32,Persona_Map!$A$5:$K$13,9,FALSE),"")&amp;IF(LEN(G32)&gt;0,CHAR(10)&amp;CHAR(10)&amp;IFERROR(VLOOKUP(G32,Decision_Frames!$A$5:$F$11,5,FALSE),""),"")</f>
        <v>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
I would lead with the fact that the report helps protect margin by showing where feedstock pressure, substitution and product economics are moving before the full impact reaches budgets or bids.</v>
      </c>
      <c r="Q32" s="10" t="str">
        <f>IFERROR(VLOOKUP(F32,Persona_Map!$A$5:$K$13,10,FALSE),"")&amp;IF(LEN(G32)&gt;0,CHAR(10)&amp;CHAR(10)&amp;"Frame tweak:"&amp;CHAR(10)&amp;IFERROR(VLOOKUP(G32,Decision_Frames!$A$5:$F$11,6,FALSE),""),"")</f>
        <v>-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
Frame tweak:
- Quantify cost or margin pain first
- Stay concrete on bid timing and replacement cost
- Keep the conversation tied to decisions, not theory</v>
      </c>
      <c r="R32" s="8" t="s">
        <v>226</v>
      </c>
      <c r="S32" s="8" t="s">
        <v>338</v>
      </c>
      <c r="T32" s="12">
        <v>46120</v>
      </c>
      <c r="U32" s="7" t="s">
        <v>7</v>
      </c>
      <c r="V32" s="13" t="s">
        <v>244</v>
      </c>
    </row>
    <row r="33" spans="1:22" ht="54" customHeight="1" x14ac:dyDescent="0.25">
      <c r="A33" s="7" t="s">
        <v>6</v>
      </c>
      <c r="B33" s="2" t="s">
        <v>332</v>
      </c>
      <c r="C33" s="2" t="s">
        <v>333</v>
      </c>
      <c r="D33" s="2" t="s">
        <v>339</v>
      </c>
      <c r="E33" s="2" t="s">
        <v>340</v>
      </c>
      <c r="F33" s="7" t="s">
        <v>4</v>
      </c>
      <c r="G33" s="7" t="s">
        <v>9</v>
      </c>
      <c r="H33" s="2" t="s">
        <v>220</v>
      </c>
      <c r="I33" s="11" t="s">
        <v>228</v>
      </c>
      <c r="J33" s="9" t="s">
        <v>336</v>
      </c>
      <c r="K33" s="2" t="s">
        <v>259</v>
      </c>
      <c r="L33" s="10" t="str">
        <f t="shared" si="0"/>
        <v>Phone</v>
      </c>
      <c r="M33" s="14" t="s">
        <v>242</v>
      </c>
      <c r="N33" s="2" t="s">
        <v>273</v>
      </c>
      <c r="O33" s="10" t="str">
        <f>IFERROR(VLOOKUP(F33,Persona_Map!$A$5:$K$13,8,FALSE),"")&amp;" | "&amp;C33</f>
        <v>A cleaner read on BBD feedstock cost and availability | Marathon Petroleum</v>
      </c>
      <c r="P33" s="10" t="str">
        <f>IFERROR(VLOOKUP(F33,Persona_Map!$A$5:$K$13,9,FALSE),"")&amp;IF(LEN(G33)&gt;0,CHAR(10)&amp;CHAR(10)&amp;IFERROR(VLOOKUP(G33,Decision_Frames!$A$5:$F$11,5,FALSE),""),"")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33" s="10" t="str">
        <f>IFERROR(VLOOKUP(F33,Persona_Map!$A$5:$K$13,10,FALSE),"")&amp;IF(LEN(G33)&gt;0,CHAR(10)&amp;CHAR(10)&amp;"Frame tweak:"&amp;CHAR(10)&amp;IFERROR(VLOOKUP(G33,Decision_Frames!$A$5:$F$11,6,FALSE),""),"")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33" s="8" t="s">
        <v>226</v>
      </c>
      <c r="S33" s="8" t="s">
        <v>338</v>
      </c>
      <c r="T33" s="12">
        <v>46120</v>
      </c>
      <c r="U33" s="7" t="s">
        <v>7</v>
      </c>
      <c r="V33" s="13" t="s">
        <v>244</v>
      </c>
    </row>
    <row r="34" spans="1:22" ht="54" customHeight="1" x14ac:dyDescent="0.25">
      <c r="A34" s="7" t="s">
        <v>10</v>
      </c>
      <c r="B34" s="2" t="s">
        <v>332</v>
      </c>
      <c r="C34" s="2" t="s">
        <v>333</v>
      </c>
      <c r="D34" s="2" t="s">
        <v>341</v>
      </c>
      <c r="E34" s="2" t="s">
        <v>342</v>
      </c>
      <c r="F34" s="7" t="s">
        <v>28</v>
      </c>
      <c r="G34" s="7" t="s">
        <v>23</v>
      </c>
      <c r="H34" s="2" t="s">
        <v>220</v>
      </c>
      <c r="I34" s="11" t="s">
        <v>228</v>
      </c>
      <c r="J34" s="9" t="s">
        <v>336</v>
      </c>
      <c r="K34" s="2" t="s">
        <v>259</v>
      </c>
      <c r="L34" s="10" t="str">
        <f t="shared" si="0"/>
        <v>Phone</v>
      </c>
      <c r="M34" s="14" t="s">
        <v>242</v>
      </c>
      <c r="N34" s="2" t="s">
        <v>232</v>
      </c>
      <c r="O34" s="10" t="str">
        <f>IFERROR(VLOOKUP(F34,Persona_Map!$A$5:$K$13,8,FALSE),"")&amp;" | "&amp;C34</f>
        <v>One market view for procurement, trading and leadership | Marathon Petroleum</v>
      </c>
      <c r="P34" s="10" t="str">
        <f>IFERROR(VLOOKUP(F34,Persona_Map!$A$5:$K$13,9,FALSE),"")&amp;IF(LEN(G34)&gt;0,CHAR(10)&amp;CHAR(10)&amp;IFERROR(VLOOKUP(G34,Decision_Frames!$A$5:$F$11,5,FALSE),""),"")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34" s="10" t="str">
        <f>IFERROR(VLOOKUP(F34,Persona_Map!$A$5:$K$13,10,FALSE),"")&amp;IF(LEN(G34)&gt;0,CHAR(10)&amp;CHAR(10)&amp;"Frame tweak:"&amp;CHAR(10)&amp;IFERROR(VLOOKUP(G34,Decision_Frames!$A$5:$F$11,6,FALSE),""),"")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34" s="8" t="s">
        <v>226</v>
      </c>
      <c r="S34" s="8" t="s">
        <v>338</v>
      </c>
      <c r="T34" s="12">
        <v>46120</v>
      </c>
      <c r="U34" s="7" t="s">
        <v>7</v>
      </c>
      <c r="V34" s="13" t="s">
        <v>244</v>
      </c>
    </row>
    <row r="35" spans="1:22" ht="54" customHeight="1" x14ac:dyDescent="0.25">
      <c r="A35" s="7" t="s">
        <v>10</v>
      </c>
      <c r="B35" s="2" t="s">
        <v>343</v>
      </c>
      <c r="C35" s="2" t="s">
        <v>344</v>
      </c>
      <c r="D35" s="2" t="s">
        <v>345</v>
      </c>
      <c r="E35" s="2" t="s">
        <v>346</v>
      </c>
      <c r="F35" s="7" t="s">
        <v>28</v>
      </c>
      <c r="G35" s="7" t="s">
        <v>23</v>
      </c>
      <c r="H35" s="2" t="s">
        <v>220</v>
      </c>
      <c r="I35" s="8" t="s">
        <v>347</v>
      </c>
      <c r="J35" s="9" t="s">
        <v>348</v>
      </c>
      <c r="K35" s="2" t="s">
        <v>349</v>
      </c>
      <c r="L35" s="10" t="str">
        <f t="shared" si="0"/>
        <v>Email</v>
      </c>
      <c r="M35" s="14" t="s">
        <v>242</v>
      </c>
      <c r="N35" s="2" t="s">
        <v>232</v>
      </c>
      <c r="O35" s="10" t="str">
        <f>IFERROR(VLOOKUP(F35,Persona_Map!$A$5:$K$13,8,FALSE),"")&amp;" | "&amp;C35</f>
        <v>One market view for procurement, trading and leadership | Montana Renewables</v>
      </c>
      <c r="P35" s="10" t="str">
        <f>IFERROR(VLOOKUP(F35,Persona_Map!$A$5:$K$13,9,FALSE),"")&amp;IF(LEN(G35)&gt;0,CHAR(10)&amp;CHAR(10)&amp;IFERROR(VLOOKUP(G35,Decision_Frames!$A$5:$F$11,5,FALSE),""),"")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35" s="10" t="str">
        <f>IFERROR(VLOOKUP(F35,Persona_Map!$A$5:$K$13,10,FALSE),"")&amp;IF(LEN(G35)&gt;0,CHAR(10)&amp;CHAR(10)&amp;"Frame tweak:"&amp;CHAR(10)&amp;IFERROR(VLOOKUP(G35,Decision_Frames!$A$5:$F$11,6,FALSE),""),"")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35" s="8" t="s">
        <v>253</v>
      </c>
      <c r="S35" s="8" t="s">
        <v>350</v>
      </c>
      <c r="T35" s="12">
        <v>46120</v>
      </c>
      <c r="U35" s="7" t="s">
        <v>7</v>
      </c>
      <c r="V35" s="13" t="s">
        <v>228</v>
      </c>
    </row>
    <row r="36" spans="1:22" ht="54" customHeight="1" x14ac:dyDescent="0.25">
      <c r="A36" s="7" t="s">
        <v>6</v>
      </c>
      <c r="B36" s="2" t="s">
        <v>343</v>
      </c>
      <c r="C36" s="2" t="s">
        <v>344</v>
      </c>
      <c r="D36" s="2" t="s">
        <v>351</v>
      </c>
      <c r="E36" s="2" t="s">
        <v>352</v>
      </c>
      <c r="F36" s="7" t="s">
        <v>25</v>
      </c>
      <c r="G36" s="7" t="s">
        <v>17</v>
      </c>
      <c r="H36" s="2" t="s">
        <v>220</v>
      </c>
      <c r="I36" s="8" t="s">
        <v>347</v>
      </c>
      <c r="J36" s="9" t="s">
        <v>348</v>
      </c>
      <c r="K36" s="2" t="s">
        <v>349</v>
      </c>
      <c r="L36" s="10" t="str">
        <f t="shared" si="0"/>
        <v>Email</v>
      </c>
      <c r="M36" s="14" t="s">
        <v>242</v>
      </c>
      <c r="N36" s="2" t="s">
        <v>353</v>
      </c>
      <c r="O36" s="10" t="str">
        <f>IFERROR(VLOOKUP(F36,Persona_Map!$A$5:$K$13,8,FALSE),"")&amp;" | "&amp;C36</f>
        <v>Tie feedstock economics to policy and carbon market changes | Montana Renewables</v>
      </c>
      <c r="P36" s="10" t="str">
        <f>IFERROR(VLOOKUP(F36,Persona_Map!$A$5:$K$13,9,FALSE),"")&amp;IF(LEN(G36)&gt;0,CHAR(10)&amp;CHAR(10)&amp;IFERROR(VLOOKUP(G36,Decision_Frames!$A$5:$F$11,5,FALSE),""),"")</f>
        <v>Hi [Name] — one thing we hear from compliance and carbon-market teams is that the hardest part is translating policy movement into commercial relevance quickly. RLC’s biomass-based diesel fuel and feedstock report is built to connect those dots so that regulatory changes can be understood in terms of feedstock demand, pricing pressure and market behavior.
I would lead with the connection between policy movement and commercial reality: how credits, eligibility, carbon intensity and rule changes can alter feedstock demand and market pricing faster than internal teams can line up around the impact.</v>
      </c>
      <c r="Q36" s="10" t="str">
        <f>IFERROR(VLOOKUP(F36,Persona_Map!$A$5:$K$13,10,FALSE),"")&amp;IF(LEN(G36)&gt;0,CHAR(10)&amp;CHAR(10)&amp;"Frame tweak:"&amp;CHAR(10)&amp;IFERROR(VLOOKUP(G36,Decision_Frames!$A$5:$F$11,6,FALSE),""),"")</f>
        <v>- Ask which policy or credit signals are hardest to translate into commercial impact
- Ask who internally depends on them for market interpretation
- Position the report as a bridge from compliance insight to market action
- Offer a quick look at the policy-sensitive sections
Frame tweak:
- Start with the policy issues on their desk now
- Translate policy into demand, pricing and sourcing implications
- Emphasize cross-functional alignment between compliance and commercial teams</v>
      </c>
      <c r="R36" s="8" t="s">
        <v>253</v>
      </c>
      <c r="S36" s="8" t="s">
        <v>350</v>
      </c>
      <c r="T36" s="12">
        <v>46120</v>
      </c>
      <c r="U36" s="7" t="s">
        <v>7</v>
      </c>
      <c r="V36" s="13" t="s">
        <v>228</v>
      </c>
    </row>
    <row r="37" spans="1:22" ht="54" customHeight="1" x14ac:dyDescent="0.25">
      <c r="A37" s="7" t="s">
        <v>6</v>
      </c>
      <c r="B37" s="2" t="s">
        <v>343</v>
      </c>
      <c r="C37" s="2" t="s">
        <v>344</v>
      </c>
      <c r="D37" s="2" t="s">
        <v>354</v>
      </c>
      <c r="E37" s="2" t="s">
        <v>355</v>
      </c>
      <c r="F37" s="7" t="s">
        <v>4</v>
      </c>
      <c r="G37" s="7" t="s">
        <v>9</v>
      </c>
      <c r="H37" s="2" t="s">
        <v>220</v>
      </c>
      <c r="I37" s="8" t="s">
        <v>347</v>
      </c>
      <c r="J37" s="9" t="s">
        <v>348</v>
      </c>
      <c r="K37" s="2" t="s">
        <v>349</v>
      </c>
      <c r="L37" s="10" t="str">
        <f t="shared" ref="L37:L65" si="1">IF(LEN(I37)&gt;0,"Email",IF(LEN(J37)&gt;0,"Phone","Web form"))</f>
        <v>Email</v>
      </c>
      <c r="M37" s="14" t="s">
        <v>242</v>
      </c>
      <c r="N37" s="2" t="s">
        <v>273</v>
      </c>
      <c r="O37" s="10" t="str">
        <f>IFERROR(VLOOKUP(F37,Persona_Map!$A$5:$K$13,8,FALSE),"")&amp;" | "&amp;C37</f>
        <v>A cleaner read on BBD feedstock cost and availability | Montana Renewables</v>
      </c>
      <c r="P37" s="10" t="str">
        <f>IFERROR(VLOOKUP(F37,Persona_Map!$A$5:$K$13,9,FALSE),"")&amp;IF(LEN(G37)&gt;0,CHAR(10)&amp;CHAR(10)&amp;IFERROR(VLOOKUP(G37,Decision_Frames!$A$5:$F$11,5,FALSE),""),"")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37" s="10" t="str">
        <f>IFERROR(VLOOKUP(F37,Persona_Map!$A$5:$K$13,10,FALSE),"")&amp;IF(LEN(G37)&gt;0,CHAR(10)&amp;CHAR(10)&amp;"Frame tweak:"&amp;CHAR(10)&amp;IFERROR(VLOOKUP(G37,Decision_Frames!$A$5:$F$11,6,FALSE),""),"")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37" s="8" t="s">
        <v>226</v>
      </c>
      <c r="S37" s="8" t="s">
        <v>350</v>
      </c>
      <c r="T37" s="12">
        <v>46120</v>
      </c>
      <c r="U37" s="7" t="s">
        <v>7</v>
      </c>
      <c r="V37" s="13" t="s">
        <v>228</v>
      </c>
    </row>
    <row r="38" spans="1:22" ht="54" customHeight="1" x14ac:dyDescent="0.25">
      <c r="A38" s="7" t="s">
        <v>6</v>
      </c>
      <c r="B38" s="2" t="s">
        <v>343</v>
      </c>
      <c r="C38" s="2" t="s">
        <v>344</v>
      </c>
      <c r="D38" s="2" t="s">
        <v>356</v>
      </c>
      <c r="E38" s="2" t="s">
        <v>357</v>
      </c>
      <c r="F38" s="7" t="s">
        <v>8</v>
      </c>
      <c r="G38" s="7" t="s">
        <v>5</v>
      </c>
      <c r="H38" s="2" t="s">
        <v>220</v>
      </c>
      <c r="I38" s="8" t="s">
        <v>347</v>
      </c>
      <c r="J38" s="9" t="s">
        <v>348</v>
      </c>
      <c r="K38" s="2" t="s">
        <v>349</v>
      </c>
      <c r="L38" s="10" t="str">
        <f t="shared" si="1"/>
        <v>Email</v>
      </c>
      <c r="M38" s="14" t="s">
        <v>242</v>
      </c>
      <c r="N38" s="2" t="s">
        <v>337</v>
      </c>
      <c r="O38" s="10" t="str">
        <f>IFERROR(VLOOKUP(F38,Persona_Map!$A$5:$K$13,8,FALSE),"")&amp;" | "&amp;C38</f>
        <v>A faster way to read BBD feedstock and margin shifts | Montana Renewables</v>
      </c>
      <c r="P38" s="10" t="str">
        <f>IFERROR(VLOOKUP(F38,Persona_Map!$A$5:$K$13,9,FALSE),"")&amp;IF(LEN(G38)&gt;0,CHAR(10)&amp;CHAR(10)&amp;IFERROR(VLOOKUP(G38,Decision_Frames!$A$5:$F$11,5,FALSE),""),"")</f>
        <v>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
I would lead with the fact that the report helps protect margin by showing where feedstock pressure, substitution and product economics are moving before the full impact reaches budgets or bids.</v>
      </c>
      <c r="Q38" s="10" t="str">
        <f>IFERROR(VLOOKUP(F38,Persona_Map!$A$5:$K$13,10,FALSE),"")&amp;IF(LEN(G38)&gt;0,CHAR(10)&amp;CHAR(10)&amp;"Frame tweak:"&amp;CHAR(10)&amp;IFERROR(VLOOKUP(G38,Decision_Frames!$A$5:$F$11,6,FALSE),""),"")</f>
        <v>-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
Frame tweak:
- Quantify cost or margin pain first
- Stay concrete on bid timing and replacement cost
- Keep the conversation tied to decisions, not theory</v>
      </c>
      <c r="R38" s="8" t="s">
        <v>226</v>
      </c>
      <c r="S38" s="8" t="s">
        <v>350</v>
      </c>
      <c r="T38" s="12">
        <v>46120</v>
      </c>
      <c r="U38" s="7" t="s">
        <v>7</v>
      </c>
      <c r="V38" s="13" t="s">
        <v>228</v>
      </c>
    </row>
    <row r="39" spans="1:22" ht="54" customHeight="1" x14ac:dyDescent="0.25">
      <c r="A39" s="7" t="s">
        <v>10</v>
      </c>
      <c r="B39" s="2" t="s">
        <v>358</v>
      </c>
      <c r="C39" s="2" t="s">
        <v>359</v>
      </c>
      <c r="D39" s="2" t="s">
        <v>360</v>
      </c>
      <c r="E39" s="2" t="s">
        <v>361</v>
      </c>
      <c r="F39" s="7" t="s">
        <v>30</v>
      </c>
      <c r="G39" s="7" t="s">
        <v>20</v>
      </c>
      <c r="H39" s="2" t="s">
        <v>231</v>
      </c>
      <c r="I39" s="8" t="s">
        <v>362</v>
      </c>
      <c r="J39" s="9" t="s">
        <v>363</v>
      </c>
      <c r="K39" s="2" t="s">
        <v>364</v>
      </c>
      <c r="L39" s="10" t="str">
        <f t="shared" si="1"/>
        <v>Email</v>
      </c>
      <c r="M39" s="11" t="s">
        <v>224</v>
      </c>
      <c r="N39" s="2" t="s">
        <v>235</v>
      </c>
      <c r="O39" s="10" t="str">
        <f>IFERROR(VLOOKUP(F39,Persona_Map!$A$5:$K$13,8,FALSE),"")&amp;" | "&amp;C39</f>
        <v>A better market narrative for customer and partner conversations | Neste</v>
      </c>
      <c r="P39" s="10" t="str">
        <f>IFERROR(VLOOKUP(F39,Persona_Map!$A$5:$K$13,9,FALSE),"")&amp;IF(LEN(G39)&gt;0,CHAR(10)&amp;CHAR(10)&amp;IFERROR(VLOOKUP(G39,Decision_Frames!$A$5:$F$11,5,FALSE),""),"")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39" s="10" t="str">
        <f>IFERROR(VLOOKUP(F39,Persona_Map!$A$5:$K$13,10,FALSE),"")&amp;IF(LEN(G39)&gt;0,CHAR(10)&amp;CHAR(10)&amp;"Frame tweak:"&amp;CHAR(10)&amp;IFERROR(VLOOKUP(G39,Decision_Frames!$A$5:$F$11,6,FALSE),""),"")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39" s="8" t="s">
        <v>253</v>
      </c>
      <c r="S39" s="8" t="s">
        <v>365</v>
      </c>
      <c r="T39" s="12">
        <v>46120</v>
      </c>
      <c r="U39" s="7" t="s">
        <v>7</v>
      </c>
      <c r="V39" s="13" t="s">
        <v>228</v>
      </c>
    </row>
    <row r="40" spans="1:22" ht="54" customHeight="1" x14ac:dyDescent="0.25">
      <c r="A40" s="7" t="s">
        <v>6</v>
      </c>
      <c r="B40" s="2" t="s">
        <v>358</v>
      </c>
      <c r="C40" s="2" t="s">
        <v>359</v>
      </c>
      <c r="D40" s="2" t="s">
        <v>366</v>
      </c>
      <c r="E40" s="2" t="s">
        <v>367</v>
      </c>
      <c r="F40" s="7" t="s">
        <v>8</v>
      </c>
      <c r="G40" s="7" t="s">
        <v>5</v>
      </c>
      <c r="H40" s="2" t="s">
        <v>220</v>
      </c>
      <c r="I40" s="8" t="s">
        <v>362</v>
      </c>
      <c r="J40" s="9" t="s">
        <v>363</v>
      </c>
      <c r="K40" s="2" t="s">
        <v>364</v>
      </c>
      <c r="L40" s="10" t="str">
        <f t="shared" si="1"/>
        <v>Email</v>
      </c>
      <c r="M40" s="11" t="s">
        <v>224</v>
      </c>
      <c r="N40" s="2" t="s">
        <v>337</v>
      </c>
      <c r="O40" s="10" t="str">
        <f>IFERROR(VLOOKUP(F40,Persona_Map!$A$5:$K$13,8,FALSE),"")&amp;" | "&amp;C40</f>
        <v>A faster way to read BBD feedstock and margin shifts | Neste</v>
      </c>
      <c r="P40" s="10" t="str">
        <f>IFERROR(VLOOKUP(F40,Persona_Map!$A$5:$K$13,9,FALSE),"")&amp;IF(LEN(G40)&gt;0,CHAR(10)&amp;CHAR(10)&amp;IFERROR(VLOOKUP(G40,Decision_Frames!$A$5:$F$11,5,FALSE),""),"")</f>
        <v>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
I would lead with the fact that the report helps protect margin by showing where feedstock pressure, substitution and product economics are moving before the full impact reaches budgets or bids.</v>
      </c>
      <c r="Q40" s="10" t="str">
        <f>IFERROR(VLOOKUP(F40,Persona_Map!$A$5:$K$13,10,FALSE),"")&amp;IF(LEN(G40)&gt;0,CHAR(10)&amp;CHAR(10)&amp;"Frame tweak:"&amp;CHAR(10)&amp;IFERROR(VLOOKUP(G40,Decision_Frames!$A$5:$F$11,6,FALSE),""),"")</f>
        <v>-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
Frame tweak:
- Quantify cost or margin pain first
- Stay concrete on bid timing and replacement cost
- Keep the conversation tied to decisions, not theory</v>
      </c>
      <c r="R40" s="8" t="s">
        <v>226</v>
      </c>
      <c r="S40" s="8" t="s">
        <v>365</v>
      </c>
      <c r="T40" s="12">
        <v>46120</v>
      </c>
      <c r="U40" s="7" t="s">
        <v>7</v>
      </c>
      <c r="V40" s="13" t="s">
        <v>228</v>
      </c>
    </row>
    <row r="41" spans="1:22" ht="54" customHeight="1" x14ac:dyDescent="0.25">
      <c r="A41" s="7" t="s">
        <v>10</v>
      </c>
      <c r="B41" s="2" t="s">
        <v>343</v>
      </c>
      <c r="C41" s="2" t="s">
        <v>368</v>
      </c>
      <c r="D41" s="2" t="s">
        <v>369</v>
      </c>
      <c r="E41" s="2" t="s">
        <v>370</v>
      </c>
      <c r="F41" s="7" t="s">
        <v>28</v>
      </c>
      <c r="G41" s="7" t="s">
        <v>23</v>
      </c>
      <c r="H41" s="2" t="s">
        <v>220</v>
      </c>
      <c r="I41" s="8" t="s">
        <v>371</v>
      </c>
      <c r="J41" s="9" t="s">
        <v>372</v>
      </c>
      <c r="K41" s="2" t="s">
        <v>349</v>
      </c>
      <c r="L41" s="10" t="str">
        <f t="shared" si="1"/>
        <v>Email</v>
      </c>
      <c r="M41" s="14" t="s">
        <v>242</v>
      </c>
      <c r="N41" s="2" t="s">
        <v>232</v>
      </c>
      <c r="O41" s="10" t="str">
        <f>IFERROR(VLOOKUP(F41,Persona_Map!$A$5:$K$13,8,FALSE),"")&amp;" | "&amp;C41</f>
        <v>One market view for procurement, trading and leadership | St. Bernard Renewables</v>
      </c>
      <c r="P41" s="10" t="str">
        <f>IFERROR(VLOOKUP(F41,Persona_Map!$A$5:$K$13,9,FALSE),"")&amp;IF(LEN(G41)&gt;0,CHAR(10)&amp;CHAR(10)&amp;IFERROR(VLOOKUP(G41,Decision_Frames!$A$5:$F$11,5,FALSE),""),"")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41" s="10" t="str">
        <f>IFERROR(VLOOKUP(F41,Persona_Map!$A$5:$K$13,10,FALSE),"")&amp;IF(LEN(G41)&gt;0,CHAR(10)&amp;CHAR(10)&amp;"Frame tweak:"&amp;CHAR(10)&amp;IFERROR(VLOOKUP(G41,Decision_Frames!$A$5:$F$11,6,FALSE),""),"")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41" s="8" t="s">
        <v>226</v>
      </c>
      <c r="S41" s="8" t="s">
        <v>373</v>
      </c>
      <c r="T41" s="12">
        <v>46120</v>
      </c>
      <c r="U41" s="7" t="s">
        <v>7</v>
      </c>
      <c r="V41" s="13" t="s">
        <v>228</v>
      </c>
    </row>
    <row r="42" spans="1:22" ht="54" customHeight="1" x14ac:dyDescent="0.25">
      <c r="A42" s="7" t="s">
        <v>6</v>
      </c>
      <c r="B42" s="2" t="s">
        <v>343</v>
      </c>
      <c r="C42" s="2" t="s">
        <v>368</v>
      </c>
      <c r="D42" s="2" t="s">
        <v>374</v>
      </c>
      <c r="E42" s="2" t="s">
        <v>375</v>
      </c>
      <c r="F42" s="7" t="s">
        <v>22</v>
      </c>
      <c r="G42" s="7" t="s">
        <v>13</v>
      </c>
      <c r="H42" s="2" t="s">
        <v>220</v>
      </c>
      <c r="I42" s="8" t="s">
        <v>371</v>
      </c>
      <c r="J42" s="9" t="s">
        <v>372</v>
      </c>
      <c r="K42" s="2" t="s">
        <v>349</v>
      </c>
      <c r="L42" s="10" t="str">
        <f t="shared" si="1"/>
        <v>Email</v>
      </c>
      <c r="M42" s="14" t="s">
        <v>242</v>
      </c>
      <c r="N42" s="2" t="s">
        <v>252</v>
      </c>
      <c r="O42" s="10" t="str">
        <f>IFERROR(VLOOKUP(F42,Persona_Map!$A$5:$K$13,8,FALSE),"")&amp;" | "&amp;C42</f>
        <v>Scenario-ready coverage for BBD feedstocks and demand shocks | St. Bernard Renewables</v>
      </c>
      <c r="P42" s="10" t="str">
        <f>IFERROR(VLOOKUP(F42,Persona_Map!$A$5:$K$13,9,FALSE),"")&amp;IF(LEN(G42)&gt;0,CHAR(10)&amp;CHAR(10)&amp;IFERROR(VLOOKUP(G42,Decision_Frames!$A$5:$F$11,5,FALSE),""),"")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position the report as an independent signal layer that helps separate structural market changes from noise, especially where broad commodity coverage misses niche feedstock shifts.</v>
      </c>
      <c r="Q42" s="10" t="str">
        <f>IFERROR(VLOOKUP(F42,Persona_Map!$A$5:$K$13,10,FALSE),"")&amp;IF(LEN(G42)&gt;0,CHAR(10)&amp;CHAR(10)&amp;"Frame tweak:"&amp;CHAR(10)&amp;IFERROR(VLOOKUP(G42,Decision_Frames!$A$5:$F$11,6,FALSE),""),"")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Ask which market inputs they trust and which still feel noisy
- Highlight signal quality over report length
- Position RLC as a fast interpretation layer</v>
      </c>
      <c r="R42" s="8" t="s">
        <v>226</v>
      </c>
      <c r="S42" s="8" t="s">
        <v>373</v>
      </c>
      <c r="T42" s="12">
        <v>46120</v>
      </c>
      <c r="U42" s="7" t="s">
        <v>7</v>
      </c>
      <c r="V42" s="13" t="s">
        <v>228</v>
      </c>
    </row>
    <row r="43" spans="1:22" ht="54" customHeight="1" x14ac:dyDescent="0.25">
      <c r="A43" s="7" t="s">
        <v>10</v>
      </c>
      <c r="B43" s="2" t="s">
        <v>376</v>
      </c>
      <c r="C43" s="2" t="s">
        <v>377</v>
      </c>
      <c r="D43" s="2" t="s">
        <v>378</v>
      </c>
      <c r="E43" s="2" t="s">
        <v>370</v>
      </c>
      <c r="F43" s="7" t="s">
        <v>28</v>
      </c>
      <c r="G43" s="7" t="s">
        <v>23</v>
      </c>
      <c r="H43" s="2" t="s">
        <v>220</v>
      </c>
      <c r="I43" s="11" t="s">
        <v>228</v>
      </c>
      <c r="J43" s="9" t="s">
        <v>379</v>
      </c>
      <c r="K43" s="2" t="s">
        <v>283</v>
      </c>
      <c r="L43" s="10" t="str">
        <f t="shared" si="1"/>
        <v>Phone</v>
      </c>
      <c r="M43" s="14" t="s">
        <v>242</v>
      </c>
      <c r="N43" s="2" t="s">
        <v>232</v>
      </c>
      <c r="O43" s="10" t="str">
        <f>IFERROR(VLOOKUP(F43,Persona_Map!$A$5:$K$13,8,FALSE),"")&amp;" | "&amp;C43</f>
        <v>One market view for procurement, trading and leadership | Stratas Foods</v>
      </c>
      <c r="P43" s="10" t="str">
        <f>IFERROR(VLOOKUP(F43,Persona_Map!$A$5:$K$13,9,FALSE),"")&amp;IF(LEN(G43)&gt;0,CHAR(10)&amp;CHAR(10)&amp;IFERROR(VLOOKUP(G43,Decision_Frames!$A$5:$F$11,5,FALSE),""),"")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43" s="10" t="str">
        <f>IFERROR(VLOOKUP(F43,Persona_Map!$A$5:$K$13,10,FALSE),"")&amp;IF(LEN(G43)&gt;0,CHAR(10)&amp;CHAR(10)&amp;"Frame tweak:"&amp;CHAR(10)&amp;IFERROR(VLOOKUP(G43,Decision_Frames!$A$5:$F$11,6,FALSE),""),"")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43" s="8" t="s">
        <v>226</v>
      </c>
      <c r="S43" s="8" t="s">
        <v>380</v>
      </c>
      <c r="T43" s="12">
        <v>46120</v>
      </c>
      <c r="U43" s="7" t="s">
        <v>7</v>
      </c>
      <c r="V43" s="13" t="s">
        <v>244</v>
      </c>
    </row>
    <row r="44" spans="1:22" ht="54" customHeight="1" x14ac:dyDescent="0.25">
      <c r="A44" s="7" t="s">
        <v>6</v>
      </c>
      <c r="B44" s="2" t="s">
        <v>376</v>
      </c>
      <c r="C44" s="2" t="s">
        <v>377</v>
      </c>
      <c r="D44" s="2" t="s">
        <v>381</v>
      </c>
      <c r="E44" s="2" t="s">
        <v>382</v>
      </c>
      <c r="F44" s="7" t="s">
        <v>19</v>
      </c>
      <c r="G44" s="7" t="s">
        <v>5</v>
      </c>
      <c r="H44" s="2" t="s">
        <v>220</v>
      </c>
      <c r="I44" s="11" t="s">
        <v>228</v>
      </c>
      <c r="J44" s="9" t="s">
        <v>379</v>
      </c>
      <c r="K44" s="2" t="s">
        <v>283</v>
      </c>
      <c r="L44" s="10" t="str">
        <f t="shared" si="1"/>
        <v>Phone</v>
      </c>
      <c r="M44" s="14" t="s">
        <v>242</v>
      </c>
      <c r="N44" s="2" t="s">
        <v>327</v>
      </c>
      <c r="O44" s="10" t="str">
        <f>IFERROR(VLOOKUP(F44,Persona_Map!$A$5:$K$13,8,FALSE),"")&amp;" | "&amp;C44</f>
        <v>Understand when biofuel demand is about to distort your oils budget | Stratas Foods</v>
      </c>
      <c r="P44" s="10" t="str">
        <f>IFERROR(VLOOKUP(F44,Persona_Map!$A$5:$K$13,9,FALSE),"")&amp;IF(LEN(G44)&gt;0,CHAR(10)&amp;CHAR(10)&amp;IFERROR(VLOOKUP(G44,Decision_Frames!$A$5:$F$11,5,FALSE),""),"")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lead with the fact that the report helps protect margin by showing where feedstock pressure, substitution and product economics are moving before the full impact reaches budgets or bids.</v>
      </c>
      <c r="Q44" s="10" t="str">
        <f>IFERROR(VLOOKUP(F44,Persona_Map!$A$5:$K$13,10,FALSE),"")&amp;IF(LEN(G44)&gt;0,CHAR(10)&amp;CHAR(10)&amp;"Frame tweak:"&amp;CHAR(10)&amp;IFERROR(VLOOKUP(G44,Decision_Frames!$A$5:$F$11,6,FALSE),""),"")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Quantify cost or margin pain first
- Stay concrete on bid timing and replacement cost
- Keep the conversation tied to decisions, not theory</v>
      </c>
      <c r="R44" s="8" t="s">
        <v>226</v>
      </c>
      <c r="S44" s="8" t="s">
        <v>380</v>
      </c>
      <c r="T44" s="12">
        <v>46120</v>
      </c>
      <c r="U44" s="7" t="s">
        <v>7</v>
      </c>
      <c r="V44" s="13" t="s">
        <v>244</v>
      </c>
    </row>
    <row r="45" spans="1:22" ht="54" customHeight="1" x14ac:dyDescent="0.25">
      <c r="A45" s="7" t="s">
        <v>10</v>
      </c>
      <c r="B45" s="2" t="s">
        <v>376</v>
      </c>
      <c r="C45" s="2" t="s">
        <v>377</v>
      </c>
      <c r="D45" s="2" t="s">
        <v>383</v>
      </c>
      <c r="E45" s="2" t="s">
        <v>384</v>
      </c>
      <c r="F45" s="7" t="s">
        <v>28</v>
      </c>
      <c r="G45" s="7" t="s">
        <v>9</v>
      </c>
      <c r="H45" s="2" t="s">
        <v>220</v>
      </c>
      <c r="I45" s="11" t="s">
        <v>228</v>
      </c>
      <c r="J45" s="9" t="s">
        <v>379</v>
      </c>
      <c r="K45" s="2" t="s">
        <v>283</v>
      </c>
      <c r="L45" s="10" t="str">
        <f t="shared" si="1"/>
        <v>Phone</v>
      </c>
      <c r="M45" s="14" t="s">
        <v>242</v>
      </c>
      <c r="N45" s="2" t="s">
        <v>232</v>
      </c>
      <c r="O45" s="10" t="str">
        <f>IFERROR(VLOOKUP(F45,Persona_Map!$A$5:$K$13,8,FALSE),"")&amp;" | "&amp;C45</f>
        <v>One market view for procurement, trading and leadership | Stratas Foods</v>
      </c>
      <c r="P45" s="10" t="str">
        <f>IFERROR(VLOOKUP(F45,Persona_Map!$A$5:$K$13,9,FALSE),"")&amp;IF(LEN(G45)&gt;0,CHAR(10)&amp;CHAR(10)&amp;IFERROR(VLOOKUP(G45,Decision_Frames!$A$5:$F$11,5,FALSE),""),"")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value is not only price direction but earlier warning on tightness, import shifts, supplier behavior and which substitute feedstocks may become more or less viable next.</v>
      </c>
      <c r="Q45" s="10" t="str">
        <f>IFERROR(VLOOKUP(F45,Persona_Map!$A$5:$K$13,10,FALSE),"")&amp;IF(LEN(G45)&gt;0,CHAR(10)&amp;CHAR(10)&amp;"Frame tweak:"&amp;CHAR(10)&amp;IFERROR(VLOOKUP(G45,Decision_Frames!$A$5:$F$11,6,FALSE),""),"")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supply visibility breaks down today
- Focus on disruption risk and fallback options
- Tie the report to supplier negotiations and continuity planning</v>
      </c>
      <c r="R45" s="8" t="s">
        <v>226</v>
      </c>
      <c r="S45" s="8" t="s">
        <v>380</v>
      </c>
      <c r="T45" s="12">
        <v>46120</v>
      </c>
      <c r="U45" s="7" t="s">
        <v>7</v>
      </c>
      <c r="V45" s="13" t="s">
        <v>244</v>
      </c>
    </row>
    <row r="46" spans="1:22" ht="54" customHeight="1" x14ac:dyDescent="0.25">
      <c r="A46" s="7" t="s">
        <v>6</v>
      </c>
      <c r="B46" s="2" t="s">
        <v>376</v>
      </c>
      <c r="C46" s="2" t="s">
        <v>377</v>
      </c>
      <c r="D46" s="2" t="s">
        <v>385</v>
      </c>
      <c r="E46" s="2" t="s">
        <v>386</v>
      </c>
      <c r="F46" s="7" t="s">
        <v>19</v>
      </c>
      <c r="G46" s="7" t="s">
        <v>9</v>
      </c>
      <c r="H46" s="2" t="s">
        <v>220</v>
      </c>
      <c r="I46" s="11" t="s">
        <v>228</v>
      </c>
      <c r="J46" s="9" t="s">
        <v>379</v>
      </c>
      <c r="K46" s="2" t="s">
        <v>283</v>
      </c>
      <c r="L46" s="10" t="str">
        <f t="shared" si="1"/>
        <v>Phone</v>
      </c>
      <c r="M46" s="14" t="s">
        <v>242</v>
      </c>
      <c r="N46" s="2" t="s">
        <v>327</v>
      </c>
      <c r="O46" s="10" t="str">
        <f>IFERROR(VLOOKUP(F46,Persona_Map!$A$5:$K$13,8,FALSE),"")&amp;" | "&amp;C46</f>
        <v>Understand when biofuel demand is about to distort your oils budget | Stratas Foods</v>
      </c>
      <c r="P46" s="10" t="str">
        <f>IFERROR(VLOOKUP(F46,Persona_Map!$A$5:$K$13,9,FALSE),"")&amp;IF(LEN(G46)&gt;0,CHAR(10)&amp;CHAR(10)&amp;IFERROR(VLOOKUP(G46,Decision_Frames!$A$5:$F$11,5,FALSE),""),"")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emphasize that the value is not only price direction but earlier warning on tightness, import shifts, supplier behavior and which substitute feedstocks may become more or less viable next.</v>
      </c>
      <c r="Q46" s="10" t="str">
        <f>IFERROR(VLOOKUP(F46,Persona_Map!$A$5:$K$13,10,FALSE),"")&amp;IF(LEN(G46)&gt;0,CHAR(10)&amp;CHAR(10)&amp;"Frame tweak:"&amp;CHAR(10)&amp;IFERROR(VLOOKUP(G46,Decision_Frames!$A$5:$F$11,6,FALSE),""),"")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Ask where supply visibility breaks down today
- Focus on disruption risk and fallback options
- Tie the report to supplier negotiations and continuity planning</v>
      </c>
      <c r="R46" s="8" t="s">
        <v>226</v>
      </c>
      <c r="S46" s="8" t="s">
        <v>380</v>
      </c>
      <c r="T46" s="12">
        <v>46120</v>
      </c>
      <c r="U46" s="7" t="s">
        <v>7</v>
      </c>
      <c r="V46" s="13" t="s">
        <v>244</v>
      </c>
    </row>
    <row r="47" spans="1:22" ht="54" customHeight="1" x14ac:dyDescent="0.25">
      <c r="A47" s="7" t="s">
        <v>6</v>
      </c>
      <c r="B47" s="2" t="s">
        <v>387</v>
      </c>
      <c r="C47" s="2" t="s">
        <v>388</v>
      </c>
      <c r="D47" s="2" t="s">
        <v>389</v>
      </c>
      <c r="E47" s="2" t="s">
        <v>390</v>
      </c>
      <c r="F47" s="7" t="s">
        <v>4</v>
      </c>
      <c r="G47" s="7" t="s">
        <v>9</v>
      </c>
      <c r="H47" s="2" t="s">
        <v>220</v>
      </c>
      <c r="I47" s="11" t="s">
        <v>228</v>
      </c>
      <c r="J47" s="9" t="s">
        <v>391</v>
      </c>
      <c r="K47" s="2" t="s">
        <v>392</v>
      </c>
      <c r="L47" s="10" t="str">
        <f t="shared" si="1"/>
        <v>Phone</v>
      </c>
      <c r="M47" s="14" t="s">
        <v>242</v>
      </c>
      <c r="N47" s="2" t="s">
        <v>273</v>
      </c>
      <c r="O47" s="10" t="str">
        <f>IFERROR(VLOOKUP(F47,Persona_Map!$A$5:$K$13,8,FALSE),"")&amp;" | "&amp;C47</f>
        <v>A cleaner read on BBD feedstock cost and availability | Targray</v>
      </c>
      <c r="P47" s="10" t="str">
        <f>IFERROR(VLOOKUP(F47,Persona_Map!$A$5:$K$13,9,FALSE),"")&amp;IF(LEN(G47)&gt;0,CHAR(10)&amp;CHAR(10)&amp;IFERROR(VLOOKUP(G47,Decision_Frames!$A$5:$F$11,5,FALSE),""),"")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47" s="10" t="str">
        <f>IFERROR(VLOOKUP(F47,Persona_Map!$A$5:$K$13,10,FALSE),"")&amp;IF(LEN(G47)&gt;0,CHAR(10)&amp;CHAR(10)&amp;"Frame tweak:"&amp;CHAR(10)&amp;IFERROR(VLOOKUP(G47,Decision_Frames!$A$5:$F$11,6,FALSE),""),"")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47" s="8" t="s">
        <v>226</v>
      </c>
      <c r="S47" s="8" t="s">
        <v>393</v>
      </c>
      <c r="T47" s="12">
        <v>46120</v>
      </c>
      <c r="U47" s="7" t="s">
        <v>7</v>
      </c>
      <c r="V47" s="13" t="s">
        <v>244</v>
      </c>
    </row>
    <row r="48" spans="1:22" ht="54" customHeight="1" x14ac:dyDescent="0.25">
      <c r="A48" s="7" t="s">
        <v>6</v>
      </c>
      <c r="B48" s="2" t="s">
        <v>387</v>
      </c>
      <c r="C48" s="2" t="s">
        <v>388</v>
      </c>
      <c r="D48" s="2" t="s">
        <v>394</v>
      </c>
      <c r="E48" s="2" t="s">
        <v>367</v>
      </c>
      <c r="F48" s="7" t="s">
        <v>8</v>
      </c>
      <c r="G48" s="7" t="s">
        <v>13</v>
      </c>
      <c r="H48" s="2" t="s">
        <v>220</v>
      </c>
      <c r="I48" s="11" t="s">
        <v>228</v>
      </c>
      <c r="J48" s="9" t="s">
        <v>391</v>
      </c>
      <c r="K48" s="2" t="s">
        <v>392</v>
      </c>
      <c r="L48" s="10" t="str">
        <f t="shared" si="1"/>
        <v>Phone</v>
      </c>
      <c r="M48" s="14" t="s">
        <v>242</v>
      </c>
      <c r="N48" s="2" t="s">
        <v>337</v>
      </c>
      <c r="O48" s="10" t="str">
        <f>IFERROR(VLOOKUP(F48,Persona_Map!$A$5:$K$13,8,FALSE),"")&amp;" | "&amp;C48</f>
        <v>A faster way to read BBD feedstock and margin shifts | Targray</v>
      </c>
      <c r="P48" s="10" t="str">
        <f>IFERROR(VLOOKUP(F48,Persona_Map!$A$5:$K$13,9,FALSE),"")&amp;IF(LEN(G48)&gt;0,CHAR(10)&amp;CHAR(10)&amp;IFERROR(VLOOKUP(G48,Decision_Frames!$A$5:$F$11,5,FALSE),""),"")</f>
        <v>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
I would position the report as an independent signal layer that helps separate structural market changes from noise, especially where broad commodity coverage misses niche feedstock shifts.</v>
      </c>
      <c r="Q48" s="10" t="str">
        <f>IFERROR(VLOOKUP(F48,Persona_Map!$A$5:$K$13,10,FALSE),"")&amp;IF(LEN(G48)&gt;0,CHAR(10)&amp;CHAR(10)&amp;"Frame tweak:"&amp;CHAR(10)&amp;IFERROR(VLOOKUP(G48,Decision_Frames!$A$5:$F$11,6,FALSE),""),"")</f>
        <v>-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
Frame tweak:
- Ask which market inputs they trust and which still feel noisy
- Highlight signal quality over report length
- Position RLC as a fast interpretation layer</v>
      </c>
      <c r="R48" s="8" t="s">
        <v>226</v>
      </c>
      <c r="S48" s="8" t="s">
        <v>393</v>
      </c>
      <c r="T48" s="12">
        <v>46120</v>
      </c>
      <c r="U48" s="7" t="s">
        <v>7</v>
      </c>
      <c r="V48" s="13" t="s">
        <v>244</v>
      </c>
    </row>
    <row r="49" spans="1:22" ht="54" customHeight="1" x14ac:dyDescent="0.25">
      <c r="A49" s="7" t="s">
        <v>10</v>
      </c>
      <c r="B49" s="2" t="s">
        <v>395</v>
      </c>
      <c r="C49" s="2" t="s">
        <v>396</v>
      </c>
      <c r="D49" s="2" t="s">
        <v>397</v>
      </c>
      <c r="E49" s="2" t="s">
        <v>398</v>
      </c>
      <c r="F49" s="7" t="s">
        <v>28</v>
      </c>
      <c r="G49" s="7" t="s">
        <v>23</v>
      </c>
      <c r="H49" s="2" t="s">
        <v>220</v>
      </c>
      <c r="I49" s="11" t="s">
        <v>228</v>
      </c>
      <c r="J49" s="9" t="s">
        <v>399</v>
      </c>
      <c r="K49" s="2" t="s">
        <v>259</v>
      </c>
      <c r="L49" s="10" t="str">
        <f t="shared" si="1"/>
        <v>Phone</v>
      </c>
      <c r="M49" s="14" t="s">
        <v>242</v>
      </c>
      <c r="N49" s="2" t="s">
        <v>232</v>
      </c>
      <c r="O49" s="10" t="str">
        <f>IFERROR(VLOOKUP(F49,Persona_Map!$A$5:$K$13,8,FALSE),"")&amp;" | "&amp;C49</f>
        <v>One market view for procurement, trading and leadership | The Andersons</v>
      </c>
      <c r="P49" s="10" t="str">
        <f>IFERROR(VLOOKUP(F49,Persona_Map!$A$5:$K$13,9,FALSE),"")&amp;IF(LEN(G49)&gt;0,CHAR(10)&amp;CHAR(10)&amp;IFERROR(VLOOKUP(G49,Decision_Frames!$A$5:$F$11,5,FALSE),""),"")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49" s="10" t="str">
        <f>IFERROR(VLOOKUP(F49,Persona_Map!$A$5:$K$13,10,FALSE),"")&amp;IF(LEN(G49)&gt;0,CHAR(10)&amp;CHAR(10)&amp;"Frame tweak:"&amp;CHAR(10)&amp;IFERROR(VLOOKUP(G49,Decision_Frames!$A$5:$F$11,6,FALSE),""),"")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49" s="8" t="s">
        <v>226</v>
      </c>
      <c r="S49" s="8" t="s">
        <v>400</v>
      </c>
      <c r="T49" s="12">
        <v>46120</v>
      </c>
      <c r="U49" s="7" t="s">
        <v>7</v>
      </c>
      <c r="V49" s="13" t="s">
        <v>244</v>
      </c>
    </row>
    <row r="50" spans="1:22" ht="54" customHeight="1" x14ac:dyDescent="0.25">
      <c r="A50" s="7" t="s">
        <v>6</v>
      </c>
      <c r="B50" s="2" t="s">
        <v>395</v>
      </c>
      <c r="C50" s="2" t="s">
        <v>396</v>
      </c>
      <c r="D50" s="2" t="s">
        <v>401</v>
      </c>
      <c r="E50" s="2" t="s">
        <v>367</v>
      </c>
      <c r="F50" s="7" t="s">
        <v>8</v>
      </c>
      <c r="G50" s="7" t="s">
        <v>5</v>
      </c>
      <c r="H50" s="2" t="s">
        <v>220</v>
      </c>
      <c r="I50" s="11" t="s">
        <v>228</v>
      </c>
      <c r="J50" s="9" t="s">
        <v>399</v>
      </c>
      <c r="K50" s="2" t="s">
        <v>259</v>
      </c>
      <c r="L50" s="10" t="str">
        <f t="shared" si="1"/>
        <v>Phone</v>
      </c>
      <c r="M50" s="14" t="s">
        <v>242</v>
      </c>
      <c r="N50" s="2" t="s">
        <v>337</v>
      </c>
      <c r="O50" s="10" t="str">
        <f>IFERROR(VLOOKUP(F50,Persona_Map!$A$5:$K$13,8,FALSE),"")&amp;" | "&amp;C50</f>
        <v>A faster way to read BBD feedstock and margin shifts | The Andersons</v>
      </c>
      <c r="P50" s="10" t="str">
        <f>IFERROR(VLOOKUP(F50,Persona_Map!$A$5:$K$13,9,FALSE),"")&amp;IF(LEN(G50)&gt;0,CHAR(10)&amp;CHAR(10)&amp;IFERROR(VLOOKUP(G50,Decision_Frames!$A$5:$F$11,5,FALSE),""),"")</f>
        <v>Hi [Name] — RLC’s biomass-based diesel fuel and feedstock report is designed for people who need an integrated view of feedstocks, product economics and market shifts. I thought it might be relevant given your trading exposure, especially where feedstock moves and policy headlines are feeding directly into margin and positioning decisions.
I would lead with the fact that the report helps protect margin by showing where feedstock pressure, substitution and product economics are moving before the full impact reaches budgets or bids.</v>
      </c>
      <c r="Q50" s="10" t="str">
        <f>IFERROR(VLOOKUP(F50,Persona_Map!$A$5:$K$13,10,FALSE),"")&amp;IF(LEN(G50)&gt;0,CHAR(10)&amp;CHAR(10)&amp;"Frame tweak:"&amp;CHAR(10)&amp;IFERROR(VLOOKUP(G50,Decision_Frames!$A$5:$F$11,6,FALSE),""),"")</f>
        <v>- Ask which signals they trust most today for BBD and feedstock direction
- Ask where they still need faster confirmation or independent market color
- Position the report as a cross-market signal layer for feedstocks, margins and demand shifts
- Offer a short walk-through of the sections they would actually use
Frame tweak:
- Quantify cost or margin pain first
- Stay concrete on bid timing and replacement cost
- Keep the conversation tied to decisions, not theory</v>
      </c>
      <c r="R50" s="8" t="s">
        <v>226</v>
      </c>
      <c r="S50" s="8" t="s">
        <v>400</v>
      </c>
      <c r="T50" s="12">
        <v>46120</v>
      </c>
      <c r="U50" s="7" t="s">
        <v>7</v>
      </c>
      <c r="V50" s="13" t="s">
        <v>244</v>
      </c>
    </row>
    <row r="51" spans="1:22" ht="54" customHeight="1" x14ac:dyDescent="0.25">
      <c r="A51" s="7" t="s">
        <v>10</v>
      </c>
      <c r="B51" s="2" t="s">
        <v>402</v>
      </c>
      <c r="C51" s="2" t="s">
        <v>403</v>
      </c>
      <c r="D51" s="2" t="s">
        <v>404</v>
      </c>
      <c r="E51" s="2" t="s">
        <v>405</v>
      </c>
      <c r="F51" s="7" t="s">
        <v>19</v>
      </c>
      <c r="G51" s="7" t="s">
        <v>23</v>
      </c>
      <c r="H51" s="2" t="s">
        <v>220</v>
      </c>
      <c r="I51" s="11" t="s">
        <v>228</v>
      </c>
      <c r="J51" s="9" t="s">
        <v>406</v>
      </c>
      <c r="K51" s="2" t="s">
        <v>312</v>
      </c>
      <c r="L51" s="10" t="str">
        <f t="shared" si="1"/>
        <v>Phone</v>
      </c>
      <c r="M51" s="14" t="s">
        <v>322</v>
      </c>
      <c r="N51" s="2" t="s">
        <v>327</v>
      </c>
      <c r="O51" s="10" t="str">
        <f>IFERROR(VLOOKUP(F51,Persona_Map!$A$5:$K$13,8,FALSE),"")&amp;" | "&amp;C51</f>
        <v>Understand when biofuel demand is about to distort your oils budget | Unilever</v>
      </c>
      <c r="P51" s="10" t="str">
        <f>IFERROR(VLOOKUP(F51,Persona_Map!$A$5:$K$13,9,FALSE),"")&amp;IF(LEN(G51)&gt;0,CHAR(10)&amp;CHAR(10)&amp;IFERROR(VLOOKUP(G51,Decision_Frames!$A$5:$F$11,5,FALSE),""),"")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emphasize that the report can give procurement, trading, finance and leadership a common external frame of reference, which reduces internal misalignment when markets move fast.</v>
      </c>
      <c r="Q51" s="10" t="str">
        <f>IFERROR(VLOOKUP(F51,Persona_Map!$A$5:$K$13,10,FALSE),"")&amp;IF(LEN(G51)&gt;0,CHAR(10)&amp;CHAR(10)&amp;"Frame tweak:"&amp;CHAR(10)&amp;IFERROR(VLOOKUP(G51,Decision_Frames!$A$5:$F$11,6,FALSE),""),"")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Ask where internal market views diverge most today
- Keep the pitch high-level and decision-oriented
- Highlight speed of alignment, not just information volume</v>
      </c>
      <c r="R51" s="8" t="s">
        <v>226</v>
      </c>
      <c r="S51" s="8" t="s">
        <v>407</v>
      </c>
      <c r="T51" s="12">
        <v>46120</v>
      </c>
      <c r="U51" s="7" t="s">
        <v>7</v>
      </c>
      <c r="V51" s="13" t="s">
        <v>324</v>
      </c>
    </row>
    <row r="52" spans="1:22" ht="54" customHeight="1" x14ac:dyDescent="0.25">
      <c r="A52" s="7" t="s">
        <v>10</v>
      </c>
      <c r="B52" s="2" t="s">
        <v>402</v>
      </c>
      <c r="C52" s="2" t="s">
        <v>403</v>
      </c>
      <c r="D52" s="2" t="s">
        <v>408</v>
      </c>
      <c r="E52" s="2" t="s">
        <v>409</v>
      </c>
      <c r="F52" s="7" t="s">
        <v>19</v>
      </c>
      <c r="G52" s="7" t="s">
        <v>9</v>
      </c>
      <c r="H52" s="2" t="s">
        <v>220</v>
      </c>
      <c r="I52" s="11" t="s">
        <v>228</v>
      </c>
      <c r="J52" s="9" t="s">
        <v>406</v>
      </c>
      <c r="K52" s="2" t="s">
        <v>312</v>
      </c>
      <c r="L52" s="10" t="str">
        <f t="shared" si="1"/>
        <v>Phone</v>
      </c>
      <c r="M52" s="14" t="s">
        <v>322</v>
      </c>
      <c r="N52" s="2" t="s">
        <v>327</v>
      </c>
      <c r="O52" s="10" t="str">
        <f>IFERROR(VLOOKUP(F52,Persona_Map!$A$5:$K$13,8,FALSE),"")&amp;" | "&amp;C52</f>
        <v>Understand when biofuel demand is about to distort your oils budget | Unilever</v>
      </c>
      <c r="P52" s="10" t="str">
        <f>IFERROR(VLOOKUP(F52,Persona_Map!$A$5:$K$13,9,FALSE),"")&amp;IF(LEN(G52)&gt;0,CHAR(10)&amp;CHAR(10)&amp;IFERROR(VLOOKUP(G52,Decision_Frames!$A$5:$F$11,5,FALSE),""),"")</f>
        <v>Hi [Name] — we publish a biomass-based diesel fuel and feedstock report for buyers who need earlier visibility on the forces moving oils and fats costs. The report is especially useful when biofuel demand starts changing feedstock availability or supplier pricing faster than a normal food procurement cadence can absorb.
I would emphasize that the value is not only price direction but earlier warning on tightness, import shifts, supplier behavior and which substitute feedstocks may become more or less viable next.</v>
      </c>
      <c r="Q52" s="10" t="str">
        <f>IFERROR(VLOOKUP(F52,Persona_Map!$A$5:$K$13,10,FALSE),"")&amp;IF(LEN(G52)&gt;0,CHAR(10)&amp;CHAR(10)&amp;"Frame tweak:"&amp;CHAR(10)&amp;IFERROR(VLOOKUP(G52,Decision_Frames!$A$5:$F$11,6,FALSE),""),"")</f>
        <v>- Ask which oils/fats categories create the most budget pain today
- Ask whether biofuel pull-through is already showing up in supplier conversations
- Position the report as early warning and budget-defense support
- Offer a quick preview focused on the oils they buy most
Frame tweak:
- Ask where supply visibility breaks down today
- Focus on disruption risk and fallback options
- Tie the report to supplier negotiations and continuity planning</v>
      </c>
      <c r="R52" s="8" t="s">
        <v>226</v>
      </c>
      <c r="S52" s="8" t="s">
        <v>407</v>
      </c>
      <c r="T52" s="12">
        <v>46120</v>
      </c>
      <c r="U52" s="7" t="s">
        <v>7</v>
      </c>
      <c r="V52" s="13" t="s">
        <v>324</v>
      </c>
    </row>
    <row r="53" spans="1:22" ht="54" customHeight="1" x14ac:dyDescent="0.25">
      <c r="A53" s="7" t="s">
        <v>6</v>
      </c>
      <c r="B53" s="2" t="s">
        <v>410</v>
      </c>
      <c r="C53" s="2" t="s">
        <v>411</v>
      </c>
      <c r="D53" s="2" t="s">
        <v>412</v>
      </c>
      <c r="E53" s="2" t="s">
        <v>413</v>
      </c>
      <c r="F53" s="7" t="s">
        <v>12</v>
      </c>
      <c r="G53" s="7" t="s">
        <v>5</v>
      </c>
      <c r="H53" s="2" t="s">
        <v>220</v>
      </c>
      <c r="I53" s="11" t="s">
        <v>228</v>
      </c>
      <c r="J53" s="9" t="s">
        <v>414</v>
      </c>
      <c r="K53" s="2" t="s">
        <v>392</v>
      </c>
      <c r="L53" s="10" t="str">
        <f t="shared" si="1"/>
        <v>Phone</v>
      </c>
      <c r="M53" s="14" t="s">
        <v>242</v>
      </c>
      <c r="N53" s="2" t="s">
        <v>225</v>
      </c>
      <c r="O53" s="10" t="str">
        <f>IFERROR(VLOOKUP(F53,Persona_Map!$A$5:$K$13,8,FALSE),"")&amp;" | "&amp;C53</f>
        <v>Track biofuel pull-through before it hits oils pricing | Ventura Foods</v>
      </c>
      <c r="P53" s="10" t="str">
        <f>IFERROR(VLOOKUP(F53,Persona_Map!$A$5:$K$13,9,FALSE),"")&amp;IF(LEN(G53)&gt;0,CHAR(10)&amp;CHAR(10)&amp;IFERROR(VLOOKUP(G53,Decision_Frames!$A$5:$F$11,5,FALSE),""),"")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53" s="10" t="str">
        <f>IFERROR(VLOOKUP(F53,Persona_Map!$A$5:$K$13,10,FALSE),"")&amp;IF(LEN(G53)&gt;0,CHAR(10)&amp;CHAR(10)&amp;"Frame tweak:"&amp;CHAR(10)&amp;IFERROR(VLOOKUP(G53,Decision_Frames!$A$5:$F$11,6,FALSE),""),"")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53" s="8" t="s">
        <v>226</v>
      </c>
      <c r="S53" s="8" t="s">
        <v>415</v>
      </c>
      <c r="T53" s="12">
        <v>46120</v>
      </c>
      <c r="U53" s="7" t="s">
        <v>7</v>
      </c>
      <c r="V53" s="13" t="s">
        <v>244</v>
      </c>
    </row>
    <row r="54" spans="1:22" ht="54" customHeight="1" x14ac:dyDescent="0.25">
      <c r="A54" s="7" t="s">
        <v>10</v>
      </c>
      <c r="B54" s="2" t="s">
        <v>410</v>
      </c>
      <c r="C54" s="2" t="s">
        <v>411</v>
      </c>
      <c r="D54" s="2" t="s">
        <v>416</v>
      </c>
      <c r="E54" s="2" t="s">
        <v>417</v>
      </c>
      <c r="F54" s="7" t="s">
        <v>28</v>
      </c>
      <c r="G54" s="7" t="s">
        <v>23</v>
      </c>
      <c r="H54" s="2" t="s">
        <v>220</v>
      </c>
      <c r="I54" s="11" t="s">
        <v>228</v>
      </c>
      <c r="J54" s="9" t="s">
        <v>414</v>
      </c>
      <c r="K54" s="2" t="s">
        <v>392</v>
      </c>
      <c r="L54" s="10" t="str">
        <f t="shared" si="1"/>
        <v>Phone</v>
      </c>
      <c r="M54" s="14" t="s">
        <v>242</v>
      </c>
      <c r="N54" s="2" t="s">
        <v>232</v>
      </c>
      <c r="O54" s="10" t="str">
        <f>IFERROR(VLOOKUP(F54,Persona_Map!$A$5:$K$13,8,FALSE),"")&amp;" | "&amp;C54</f>
        <v>One market view for procurement, trading and leadership | Ventura Foods</v>
      </c>
      <c r="P54" s="10" t="str">
        <f>IFERROR(VLOOKUP(F54,Persona_Map!$A$5:$K$13,9,FALSE),"")&amp;IF(LEN(G54)&gt;0,CHAR(10)&amp;CHAR(10)&amp;IFERROR(VLOOKUP(G54,Decision_Frames!$A$5:$F$11,5,FALSE),""),"")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54" s="10" t="str">
        <f>IFERROR(VLOOKUP(F54,Persona_Map!$A$5:$K$13,10,FALSE),"")&amp;IF(LEN(G54)&gt;0,CHAR(10)&amp;CHAR(10)&amp;"Frame tweak:"&amp;CHAR(10)&amp;IFERROR(VLOOKUP(G54,Decision_Frames!$A$5:$F$11,6,FALSE),""),"")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54" s="8" t="s">
        <v>226</v>
      </c>
      <c r="S54" s="8" t="s">
        <v>415</v>
      </c>
      <c r="T54" s="12">
        <v>46120</v>
      </c>
      <c r="U54" s="7" t="s">
        <v>7</v>
      </c>
      <c r="V54" s="13" t="s">
        <v>244</v>
      </c>
    </row>
    <row r="55" spans="1:22" ht="54" customHeight="1" x14ac:dyDescent="0.25">
      <c r="A55" s="7" t="s">
        <v>6</v>
      </c>
      <c r="B55" s="2" t="s">
        <v>410</v>
      </c>
      <c r="C55" s="2" t="s">
        <v>411</v>
      </c>
      <c r="D55" s="2" t="s">
        <v>418</v>
      </c>
      <c r="E55" s="2" t="s">
        <v>419</v>
      </c>
      <c r="F55" s="7" t="s">
        <v>12</v>
      </c>
      <c r="G55" s="7" t="s">
        <v>13</v>
      </c>
      <c r="H55" s="2" t="s">
        <v>220</v>
      </c>
      <c r="I55" s="11" t="s">
        <v>228</v>
      </c>
      <c r="J55" s="9" t="s">
        <v>414</v>
      </c>
      <c r="K55" s="2" t="s">
        <v>392</v>
      </c>
      <c r="L55" s="10" t="str">
        <f t="shared" si="1"/>
        <v>Phone</v>
      </c>
      <c r="M55" s="14" t="s">
        <v>242</v>
      </c>
      <c r="N55" s="2" t="s">
        <v>225</v>
      </c>
      <c r="O55" s="10" t="str">
        <f>IFERROR(VLOOKUP(F55,Persona_Map!$A$5:$K$13,8,FALSE),"")&amp;" | "&amp;C55</f>
        <v>Track biofuel pull-through before it hits oils pricing | Ventura Foods</v>
      </c>
      <c r="P55" s="10" t="str">
        <f>IFERROR(VLOOKUP(F55,Persona_Map!$A$5:$K$13,9,FALSE),"")&amp;IF(LEN(G55)&gt;0,CHAR(10)&amp;CHAR(10)&amp;IFERROR(VLOOKUP(G55,Decision_Frames!$A$5:$F$11,5,FALSE),""),"")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position the report as an independent signal layer that helps separate structural market changes from noise, especially where broad commodity coverage misses niche feedstock shifts.</v>
      </c>
      <c r="Q55" s="10" t="str">
        <f>IFERROR(VLOOKUP(F55,Persona_Map!$A$5:$K$13,10,FALSE),"")&amp;IF(LEN(G55)&gt;0,CHAR(10)&amp;CHAR(10)&amp;"Frame tweak:"&amp;CHAR(10)&amp;IFERROR(VLOOKUP(G55,Decision_Frames!$A$5:$F$11,6,FALSE),""),"")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Ask which market inputs they trust and which still feel noisy
- Highlight signal quality over report length
- Position RLC as a fast interpretation layer</v>
      </c>
      <c r="R55" s="8" t="s">
        <v>226</v>
      </c>
      <c r="S55" s="8" t="s">
        <v>415</v>
      </c>
      <c r="T55" s="12">
        <v>46120</v>
      </c>
      <c r="U55" s="7" t="s">
        <v>7</v>
      </c>
      <c r="V55" s="13" t="s">
        <v>244</v>
      </c>
    </row>
    <row r="56" spans="1:22" ht="54" customHeight="1" x14ac:dyDescent="0.25">
      <c r="A56" s="7" t="s">
        <v>6</v>
      </c>
      <c r="B56" s="2" t="s">
        <v>410</v>
      </c>
      <c r="C56" s="2" t="s">
        <v>411</v>
      </c>
      <c r="D56" s="2" t="s">
        <v>420</v>
      </c>
      <c r="E56" s="2" t="s">
        <v>421</v>
      </c>
      <c r="F56" s="7" t="s">
        <v>22</v>
      </c>
      <c r="G56" s="7" t="s">
        <v>5</v>
      </c>
      <c r="H56" s="2" t="s">
        <v>220</v>
      </c>
      <c r="I56" s="11" t="s">
        <v>228</v>
      </c>
      <c r="J56" s="9" t="s">
        <v>414</v>
      </c>
      <c r="K56" s="2" t="s">
        <v>392</v>
      </c>
      <c r="L56" s="10" t="str">
        <f t="shared" si="1"/>
        <v>Phone</v>
      </c>
      <c r="M56" s="14" t="s">
        <v>242</v>
      </c>
      <c r="N56" s="2" t="s">
        <v>252</v>
      </c>
      <c r="O56" s="10" t="str">
        <f>IFERROR(VLOOKUP(F56,Persona_Map!$A$5:$K$13,8,FALSE),"")&amp;" | "&amp;C56</f>
        <v>Scenario-ready coverage for BBD feedstocks and demand shocks | Ventura Foods</v>
      </c>
      <c r="P56" s="10" t="str">
        <f>IFERROR(VLOOKUP(F56,Persona_Map!$A$5:$K$13,9,FALSE),"")&amp;IF(LEN(G56)&gt;0,CHAR(10)&amp;CHAR(10)&amp;IFERROR(VLOOKUP(G56,Decision_Frames!$A$5:$F$11,5,FALSE),""),"")</f>
        <v>Hi [Name] — RLC’s biomass-based diesel fuel and feedstock report is often most useful for risk teams that need sharper scenario inputs rather than just more news. The focus is on linking feedstock markets, demand shifts and biofuel economics in a way that helps explain what matters now versus what is just market noise.
I would lead with the fact that the report helps protect margin by showing where feedstock pressure, substitution and product economics are moving before the full impact reaches budgets or bids.</v>
      </c>
      <c r="Q56" s="10" t="str">
        <f>IFERROR(VLOOKUP(F56,Persona_Map!$A$5:$K$13,10,FALSE),"")&amp;IF(LEN(G56)&gt;0,CHAR(10)&amp;CHAR(10)&amp;"Frame tweak:"&amp;CHAR(10)&amp;IFERROR(VLOOKUP(G56,Decision_Frames!$A$5:$F$11,6,FALSE),""),"")</f>
        <v>- Ask what variables most often break their scenario assumptions
- Ask where independent market signal would improve hedge or budget discussions
- Explain that RLC helps connect feedstocks, demand centers and policy into usable context
- Offer a sample discussion around one recent market move
Frame tweak:
- Quantify cost or margin pain first
- Stay concrete on bid timing and replacement cost
- Keep the conversation tied to decisions, not theory</v>
      </c>
      <c r="R56" s="8" t="s">
        <v>226</v>
      </c>
      <c r="S56" s="8" t="s">
        <v>415</v>
      </c>
      <c r="T56" s="12">
        <v>46120</v>
      </c>
      <c r="U56" s="7" t="s">
        <v>7</v>
      </c>
      <c r="V56" s="13" t="s">
        <v>244</v>
      </c>
    </row>
    <row r="57" spans="1:22" ht="54" customHeight="1" x14ac:dyDescent="0.25">
      <c r="A57" s="7" t="s">
        <v>10</v>
      </c>
      <c r="B57" s="2" t="s">
        <v>422</v>
      </c>
      <c r="C57" s="2" t="s">
        <v>423</v>
      </c>
      <c r="D57" s="2" t="s">
        <v>424</v>
      </c>
      <c r="E57" s="2" t="s">
        <v>425</v>
      </c>
      <c r="F57" s="7" t="s">
        <v>28</v>
      </c>
      <c r="G57" s="7" t="s">
        <v>23</v>
      </c>
      <c r="H57" s="2" t="s">
        <v>231</v>
      </c>
      <c r="I57" s="8" t="s">
        <v>426</v>
      </c>
      <c r="J57" s="9" t="s">
        <v>427</v>
      </c>
      <c r="K57" s="2" t="s">
        <v>428</v>
      </c>
      <c r="L57" s="10" t="str">
        <f t="shared" si="1"/>
        <v>Email</v>
      </c>
      <c r="M57" s="11" t="s">
        <v>224</v>
      </c>
      <c r="N57" s="2" t="s">
        <v>232</v>
      </c>
      <c r="O57" s="10" t="str">
        <f>IFERROR(VLOOKUP(F57,Persona_Map!$A$5:$K$13,8,FALSE),"")&amp;" | "&amp;C57</f>
        <v>One market view for procurement, trading and leadership | Wilmar</v>
      </c>
      <c r="P57" s="10" t="str">
        <f>IFERROR(VLOOKUP(F57,Persona_Map!$A$5:$K$13,9,FALSE),"")&amp;IF(LEN(G57)&gt;0,CHAR(10)&amp;CHAR(10)&amp;IFERROR(VLOOKUP(G57,Decision_Frames!$A$5:$F$11,5,FALSE),""),"")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57" s="10" t="str">
        <f>IFERROR(VLOOKUP(F57,Persona_Map!$A$5:$K$13,10,FALSE),"")&amp;IF(LEN(G57)&gt;0,CHAR(10)&amp;CHAR(10)&amp;"Frame tweak:"&amp;CHAR(10)&amp;IFERROR(VLOOKUP(G57,Decision_Frames!$A$5:$F$11,6,FALSE),""),"")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57" s="8" t="s">
        <v>226</v>
      </c>
      <c r="S57" s="8" t="s">
        <v>429</v>
      </c>
      <c r="T57" s="12">
        <v>46120</v>
      </c>
      <c r="U57" s="7" t="s">
        <v>7</v>
      </c>
      <c r="V57" s="13" t="s">
        <v>228</v>
      </c>
    </row>
    <row r="58" spans="1:22" ht="54" customHeight="1" x14ac:dyDescent="0.25">
      <c r="A58" s="7" t="s">
        <v>10</v>
      </c>
      <c r="B58" s="2" t="s">
        <v>422</v>
      </c>
      <c r="C58" s="2" t="s">
        <v>423</v>
      </c>
      <c r="D58" s="2" t="s">
        <v>430</v>
      </c>
      <c r="E58" s="2" t="s">
        <v>431</v>
      </c>
      <c r="F58" s="7" t="s">
        <v>30</v>
      </c>
      <c r="G58" s="7" t="s">
        <v>20</v>
      </c>
      <c r="H58" s="2" t="s">
        <v>231</v>
      </c>
      <c r="I58" s="8" t="s">
        <v>426</v>
      </c>
      <c r="J58" s="9" t="s">
        <v>427</v>
      </c>
      <c r="K58" s="2" t="s">
        <v>428</v>
      </c>
      <c r="L58" s="10" t="str">
        <f t="shared" si="1"/>
        <v>Email</v>
      </c>
      <c r="M58" s="11" t="s">
        <v>224</v>
      </c>
      <c r="N58" s="2" t="s">
        <v>235</v>
      </c>
      <c r="O58" s="10" t="str">
        <f>IFERROR(VLOOKUP(F58,Persona_Map!$A$5:$K$13,8,FALSE),"")&amp;" | "&amp;C58</f>
        <v>A better market narrative for customer and partner conversations | Wilmar</v>
      </c>
      <c r="P58" s="10" t="str">
        <f>IFERROR(VLOOKUP(F58,Persona_Map!$A$5:$K$13,9,FALSE),"")&amp;IF(LEN(G58)&gt;0,CHAR(10)&amp;CHAR(10)&amp;IFERROR(VLOOKUP(G58,Decision_Frames!$A$5:$F$11,5,FALSE),""),"")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58" s="10" t="str">
        <f>IFERROR(VLOOKUP(F58,Persona_Map!$A$5:$K$13,10,FALSE),"")&amp;IF(LEN(G58)&gt;0,CHAR(10)&amp;CHAR(10)&amp;"Frame tweak:"&amp;CHAR(10)&amp;IFERROR(VLOOKUP(G58,Decision_Frames!$A$5:$F$11,6,FALSE),""),"")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58" s="8" t="s">
        <v>226</v>
      </c>
      <c r="S58" s="8" t="s">
        <v>429</v>
      </c>
      <c r="T58" s="12">
        <v>46120</v>
      </c>
      <c r="U58" s="7" t="s">
        <v>7</v>
      </c>
      <c r="V58" s="13" t="s">
        <v>228</v>
      </c>
    </row>
    <row r="59" spans="1:22" ht="54" customHeight="1" x14ac:dyDescent="0.25">
      <c r="A59" s="7" t="s">
        <v>6</v>
      </c>
      <c r="B59" s="2" t="s">
        <v>422</v>
      </c>
      <c r="C59" s="2" t="s">
        <v>423</v>
      </c>
      <c r="D59" s="2" t="s">
        <v>432</v>
      </c>
      <c r="E59" s="2" t="s">
        <v>433</v>
      </c>
      <c r="F59" s="7" t="s">
        <v>12</v>
      </c>
      <c r="G59" s="7" t="s">
        <v>5</v>
      </c>
      <c r="H59" s="2" t="s">
        <v>231</v>
      </c>
      <c r="I59" s="8" t="s">
        <v>426</v>
      </c>
      <c r="J59" s="9" t="s">
        <v>427</v>
      </c>
      <c r="K59" s="2" t="s">
        <v>428</v>
      </c>
      <c r="L59" s="10" t="str">
        <f t="shared" si="1"/>
        <v>Email</v>
      </c>
      <c r="M59" s="11" t="s">
        <v>224</v>
      </c>
      <c r="N59" s="2" t="s">
        <v>225</v>
      </c>
      <c r="O59" s="10" t="str">
        <f>IFERROR(VLOOKUP(F59,Persona_Map!$A$5:$K$13,8,FALSE),"")&amp;" | "&amp;C59</f>
        <v>Track biofuel pull-through before it hits oils pricing | Wilmar</v>
      </c>
      <c r="P59" s="10" t="str">
        <f>IFERROR(VLOOKUP(F59,Persona_Map!$A$5:$K$13,9,FALSE),"")&amp;IF(LEN(G59)&gt;0,CHAR(10)&amp;CHAR(10)&amp;IFERROR(VLOOKUP(G59,Decision_Frames!$A$5:$F$11,5,FALSE),""),"")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lead with the fact that the report helps protect margin by showing where feedstock pressure, substitution and product economics are moving before the full impact reaches budgets or bids.</v>
      </c>
      <c r="Q59" s="10" t="str">
        <f>IFERROR(VLOOKUP(F59,Persona_Map!$A$5:$K$13,10,FALSE),"")&amp;IF(LEN(G59)&gt;0,CHAR(10)&amp;CHAR(10)&amp;"Frame tweak:"&amp;CHAR(10)&amp;IFERROR(VLOOKUP(G59,Decision_Frames!$A$5:$F$11,6,FALSE),""),"")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Quantify cost or margin pain first
- Stay concrete on bid timing and replacement cost
- Keep the conversation tied to decisions, not theory</v>
      </c>
      <c r="R59" s="8" t="s">
        <v>226</v>
      </c>
      <c r="S59" s="8" t="s">
        <v>429</v>
      </c>
      <c r="T59" s="12">
        <v>46120</v>
      </c>
      <c r="U59" s="7" t="s">
        <v>7</v>
      </c>
      <c r="V59" s="13" t="s">
        <v>228</v>
      </c>
    </row>
    <row r="60" spans="1:22" ht="54" customHeight="1" x14ac:dyDescent="0.25">
      <c r="A60" s="7" t="s">
        <v>10</v>
      </c>
      <c r="B60" s="2" t="s">
        <v>434</v>
      </c>
      <c r="C60" s="2" t="s">
        <v>435</v>
      </c>
      <c r="D60" s="2" t="s">
        <v>436</v>
      </c>
      <c r="E60" s="2" t="s">
        <v>437</v>
      </c>
      <c r="F60" s="7" t="s">
        <v>16</v>
      </c>
      <c r="G60" s="7" t="s">
        <v>9</v>
      </c>
      <c r="H60" s="2" t="s">
        <v>220</v>
      </c>
      <c r="I60" s="8" t="s">
        <v>438</v>
      </c>
      <c r="J60" s="9" t="s">
        <v>439</v>
      </c>
      <c r="K60" s="2" t="s">
        <v>305</v>
      </c>
      <c r="L60" s="10" t="str">
        <f t="shared" si="1"/>
        <v>Email</v>
      </c>
      <c r="M60" s="14" t="s">
        <v>242</v>
      </c>
      <c r="N60" s="2" t="s">
        <v>440</v>
      </c>
      <c r="O60" s="10" t="str">
        <f>IFERROR(VLOOKUP(F60,Persona_Map!$A$5:$K$13,8,FALSE),"")&amp;" | "&amp;C60</f>
        <v>See biofuel pressure before it hits oleochemical input costs | Sovena</v>
      </c>
      <c r="P60" s="10" t="str">
        <f>IFERROR(VLOOKUP(F60,Persona_Map!$A$5:$K$13,9,FALSE),"")&amp;IF(LEN(G60)&gt;0,CHAR(10)&amp;CHAR(10)&amp;IFERROR(VLOOKUP(G60,Decision_Frames!$A$5:$F$11,5,FALSE),""),"")</f>
        <v>Hi [Name] — one reason buyers in oleo and specialty ingredients follow biomass-based diesel is that it can reprice the feedstocks they depend on long before the effect is obvious internally. RLC’s report is meant to make that linkage clearer so teams can explain cost moves earlier and act before suppliers reset the conversation.
I would emphasize that the value is not only price direction but earlier warning on tightness, import shifts, supplier behavior and which substitute feedstocks may become more or less viable next.</v>
      </c>
      <c r="Q60" s="10" t="str">
        <f>IFERROR(VLOOKUP(F60,Persona_Map!$A$5:$K$13,10,FALSE),"")&amp;IF(LEN(G60)&gt;0,CHAR(10)&amp;CHAR(10)&amp;"Frame tweak:"&amp;CHAR(10)&amp;IFERROR(VLOOKUP(G60,Decision_Frames!$A$5:$F$11,6,FALSE),""),"")</f>
        <v>- Ask which oils or by-products are most exposed to energy-linked demand
- Ask how early they usually get visibility on cost pressure
- Explain that the report connects biofuel activity to downstream feedstock cost risk
- Offer to tailor the conversation to their input basket
Frame tweak:
- Ask where supply visibility breaks down today
- Focus on disruption risk and fallback options
- Tie the report to supplier negotiations and continuity planning</v>
      </c>
      <c r="R60" s="8" t="s">
        <v>226</v>
      </c>
      <c r="S60" s="8" t="s">
        <v>441</v>
      </c>
      <c r="T60" s="12">
        <v>46120</v>
      </c>
      <c r="U60" s="7" t="s">
        <v>7</v>
      </c>
      <c r="V60" s="13" t="s">
        <v>228</v>
      </c>
    </row>
    <row r="61" spans="1:22" ht="54" customHeight="1" x14ac:dyDescent="0.25">
      <c r="A61" s="7" t="s">
        <v>10</v>
      </c>
      <c r="B61" s="2" t="s">
        <v>434</v>
      </c>
      <c r="C61" s="2" t="s">
        <v>435</v>
      </c>
      <c r="D61" s="2" t="s">
        <v>442</v>
      </c>
      <c r="E61" s="2" t="s">
        <v>443</v>
      </c>
      <c r="F61" s="7" t="s">
        <v>16</v>
      </c>
      <c r="G61" s="7" t="s">
        <v>9</v>
      </c>
      <c r="H61" s="2" t="s">
        <v>220</v>
      </c>
      <c r="I61" s="8" t="s">
        <v>438</v>
      </c>
      <c r="J61" s="9" t="s">
        <v>439</v>
      </c>
      <c r="K61" s="2" t="s">
        <v>305</v>
      </c>
      <c r="L61" s="10" t="str">
        <f t="shared" si="1"/>
        <v>Email</v>
      </c>
      <c r="M61" s="14" t="s">
        <v>242</v>
      </c>
      <c r="N61" s="2" t="s">
        <v>440</v>
      </c>
      <c r="O61" s="10" t="str">
        <f>IFERROR(VLOOKUP(F61,Persona_Map!$A$5:$K$13,8,FALSE),"")&amp;" | "&amp;C61</f>
        <v>See biofuel pressure before it hits oleochemical input costs | Sovena</v>
      </c>
      <c r="P61" s="10" t="str">
        <f>IFERROR(VLOOKUP(F61,Persona_Map!$A$5:$K$13,9,FALSE),"")&amp;IF(LEN(G61)&gt;0,CHAR(10)&amp;CHAR(10)&amp;IFERROR(VLOOKUP(G61,Decision_Frames!$A$5:$F$11,5,FALSE),""),"")</f>
        <v>Hi [Name] — one reason buyers in oleo and specialty ingredients follow biomass-based diesel is that it can reprice the feedstocks they depend on long before the effect is obvious internally. RLC’s report is meant to make that linkage clearer so teams can explain cost moves earlier and act before suppliers reset the conversation.
I would emphasize that the value is not only price direction but earlier warning on tightness, import shifts, supplier behavior and which substitute feedstocks may become more or less viable next.</v>
      </c>
      <c r="Q61" s="10" t="str">
        <f>IFERROR(VLOOKUP(F61,Persona_Map!$A$5:$K$13,10,FALSE),"")&amp;IF(LEN(G61)&gt;0,CHAR(10)&amp;CHAR(10)&amp;"Frame tweak:"&amp;CHAR(10)&amp;IFERROR(VLOOKUP(G61,Decision_Frames!$A$5:$F$11,6,FALSE),""),"")</f>
        <v>- Ask which oils or by-products are most exposed to energy-linked demand
- Ask how early they usually get visibility on cost pressure
- Explain that the report connects biofuel activity to downstream feedstock cost risk
- Offer to tailor the conversation to their input basket
Frame tweak:
- Ask where supply visibility breaks down today
- Focus on disruption risk and fallback options
- Tie the report to supplier negotiations and continuity planning</v>
      </c>
      <c r="R61" s="8" t="s">
        <v>226</v>
      </c>
      <c r="S61" s="8" t="s">
        <v>441</v>
      </c>
      <c r="T61" s="12">
        <v>46120</v>
      </c>
      <c r="U61" s="7" t="s">
        <v>7</v>
      </c>
      <c r="V61" s="13" t="s">
        <v>228</v>
      </c>
    </row>
    <row r="62" spans="1:22" ht="54" customHeight="1" x14ac:dyDescent="0.25">
      <c r="A62" s="7" t="s">
        <v>10</v>
      </c>
      <c r="B62" s="2" t="s">
        <v>444</v>
      </c>
      <c r="C62" s="2" t="s">
        <v>445</v>
      </c>
      <c r="D62" s="2" t="s">
        <v>446</v>
      </c>
      <c r="E62" s="2" t="s">
        <v>447</v>
      </c>
      <c r="F62" s="7" t="s">
        <v>30</v>
      </c>
      <c r="G62" s="7" t="s">
        <v>20</v>
      </c>
      <c r="H62" s="2" t="s">
        <v>251</v>
      </c>
      <c r="I62" s="8" t="s">
        <v>448</v>
      </c>
      <c r="J62" s="9" t="s">
        <v>449</v>
      </c>
      <c r="K62" s="2" t="s">
        <v>450</v>
      </c>
      <c r="L62" s="10" t="str">
        <f t="shared" si="1"/>
        <v>Email</v>
      </c>
      <c r="M62" s="11" t="s">
        <v>224</v>
      </c>
      <c r="N62" s="2" t="s">
        <v>235</v>
      </c>
      <c r="O62" s="10" t="str">
        <f>IFERROR(VLOOKUP(F62,Persona_Map!$A$5:$K$13,8,FALSE),"")&amp;" | "&amp;C62</f>
        <v>A better market narrative for customer and partner conversations | KLK OLEO</v>
      </c>
      <c r="P62" s="10" t="str">
        <f>IFERROR(VLOOKUP(F62,Persona_Map!$A$5:$K$13,9,FALSE),"")&amp;IF(LEN(G62)&gt;0,CHAR(10)&amp;CHAR(10)&amp;IFERROR(VLOOKUP(G62,Decision_Frames!$A$5:$F$11,5,FALSE),""),"")</f>
        <v>Hi [Name] — commercial teams often use our biomass-based diesel fuel and feedstock report to sharpen customer conversations around price, availability and market direction. The report gives sales and BD teams a more credible way to explain what is moving and why, especially when biofuel dynamics begin to alter customer expectations.
I would stress that the report gives commercial teams a more credible, evidence-based way to explain price moves and market conditions in customer and partner conversations.</v>
      </c>
      <c r="Q62" s="10" t="str">
        <f>IFERROR(VLOOKUP(F62,Persona_Map!$A$5:$K$13,10,FALSE),"")&amp;IF(LEN(G62)&gt;0,CHAR(10)&amp;CHAR(10)&amp;"Frame tweak:"&amp;CHAR(10)&amp;IFERROR(VLOOKUP(G62,Decision_Frames!$A$5:$F$11,6,FALSE),""),"")</f>
        <v>- Ask how often customers raise price or availability questions linked to oils or biofuels
- Ask whether the team has a strong external market narrative today
- Position the report as a credibility tool for commercial conversations
- Offer examples of how clients use it with customers and partners
Frame tweak:
- Ask which customer objections or questions come up most often
- Link the report to pricing discipline and account confidence
- Keep the example practical and client-facing</v>
      </c>
      <c r="R62" s="8" t="s">
        <v>226</v>
      </c>
      <c r="S62" s="8" t="s">
        <v>451</v>
      </c>
      <c r="T62" s="12">
        <v>46120</v>
      </c>
      <c r="U62" s="7" t="s">
        <v>7</v>
      </c>
      <c r="V62" s="13" t="s">
        <v>228</v>
      </c>
    </row>
    <row r="63" spans="1:22" ht="54" customHeight="1" x14ac:dyDescent="0.25">
      <c r="A63" s="7" t="s">
        <v>6</v>
      </c>
      <c r="B63" s="2" t="s">
        <v>444</v>
      </c>
      <c r="C63" s="2" t="s">
        <v>445</v>
      </c>
      <c r="D63" s="2" t="s">
        <v>452</v>
      </c>
      <c r="E63" s="2" t="s">
        <v>453</v>
      </c>
      <c r="F63" s="7" t="s">
        <v>12</v>
      </c>
      <c r="G63" s="7" t="s">
        <v>13</v>
      </c>
      <c r="H63" s="2" t="s">
        <v>251</v>
      </c>
      <c r="I63" s="8" t="s">
        <v>448</v>
      </c>
      <c r="J63" s="9" t="s">
        <v>449</v>
      </c>
      <c r="K63" s="2" t="s">
        <v>450</v>
      </c>
      <c r="L63" s="10" t="str">
        <f t="shared" si="1"/>
        <v>Email</v>
      </c>
      <c r="M63" s="11" t="s">
        <v>224</v>
      </c>
      <c r="N63" s="2" t="s">
        <v>225</v>
      </c>
      <c r="O63" s="10" t="str">
        <f>IFERROR(VLOOKUP(F63,Persona_Map!$A$5:$K$13,8,FALSE),"")&amp;" | "&amp;C63</f>
        <v>Track biofuel pull-through before it hits oils pricing | KLK OLEO</v>
      </c>
      <c r="P63" s="10" t="str">
        <f>IFERROR(VLOOKUP(F63,Persona_Map!$A$5:$K$13,9,FALSE),"")&amp;IF(LEN(G63)&gt;0,CHAR(10)&amp;CHAR(10)&amp;IFERROR(VLOOKUP(G63,Decision_Frames!$A$5:$F$11,5,FALSE),""),"")</f>
        <v>Hi [Name] — we put out a biomass-based diesel fuel and feedstock report aimed at people whose oils exposure is increasingly shaped by biofuel demand. For traders and commercial teams, the value is usually seeing where BBD demand is likely to tighten or redirect flows before that pressure shows up in customer conversations and replacement cost.
I would position the report as an independent signal layer that helps separate structural market changes from noise, especially where broad commodity coverage misses niche feedstock shifts.</v>
      </c>
      <c r="Q63" s="10" t="str">
        <f>IFERROR(VLOOKUP(F63,Persona_Map!$A$5:$K$13,10,FALSE),"")&amp;IF(LEN(G63)&gt;0,CHAR(10)&amp;CHAR(10)&amp;"Frame tweak:"&amp;CHAR(10)&amp;IFERROR(VLOOKUP(G63,Decision_Frames!$A$5:$F$11,6,FALSE),""),"")</f>
        <v>- Ask how often biofuel demand changes their oils view or customer pricing stance
- Probe which feedstocks matter most to their book
- Explain that RLC translates biofuel activity into oils-market implications
- Offer examples of how the report can support market calls and account coverage
Frame tweak:
- Ask which market inputs they trust and which still feel noisy
- Highlight signal quality over report length
- Position RLC as a fast interpretation layer</v>
      </c>
      <c r="R63" s="8" t="s">
        <v>226</v>
      </c>
      <c r="S63" s="8" t="s">
        <v>451</v>
      </c>
      <c r="T63" s="12">
        <v>46120</v>
      </c>
      <c r="U63" s="7" t="s">
        <v>7</v>
      </c>
      <c r="V63" s="13" t="s">
        <v>228</v>
      </c>
    </row>
    <row r="64" spans="1:22" ht="54" customHeight="1" x14ac:dyDescent="0.25">
      <c r="A64" s="7" t="s">
        <v>14</v>
      </c>
      <c r="B64" s="2" t="s">
        <v>454</v>
      </c>
      <c r="C64" s="2" t="s">
        <v>455</v>
      </c>
      <c r="D64" s="2" t="s">
        <v>456</v>
      </c>
      <c r="E64" s="2" t="s">
        <v>457</v>
      </c>
      <c r="F64" s="7" t="s">
        <v>28</v>
      </c>
      <c r="G64" s="7" t="s">
        <v>23</v>
      </c>
      <c r="H64" s="2" t="s">
        <v>220</v>
      </c>
      <c r="I64" s="8" t="s">
        <v>458</v>
      </c>
      <c r="J64" s="9" t="s">
        <v>228</v>
      </c>
      <c r="K64" s="2" t="s">
        <v>459</v>
      </c>
      <c r="L64" s="10" t="str">
        <f t="shared" si="1"/>
        <v>Email</v>
      </c>
      <c r="M64" s="14" t="s">
        <v>322</v>
      </c>
      <c r="N64" s="2" t="s">
        <v>232</v>
      </c>
      <c r="O64" s="10" t="str">
        <f>IFERROR(VLOOKUP(F64,Persona_Map!$A$5:$K$13,8,FALSE),"")&amp;" | "&amp;C64</f>
        <v>One market view for procurement, trading and leadership | World Energy</v>
      </c>
      <c r="P64" s="10" t="str">
        <f>IFERROR(VLOOKUP(F64,Persona_Map!$A$5:$K$13,9,FALSE),"")&amp;IF(LEN(G64)&gt;0,CHAR(10)&amp;CHAR(10)&amp;IFERROR(VLOOKUP(G64,Decision_Frames!$A$5:$F$11,5,FALSE),""),"")</f>
        <v>Hi [Name] — RLC’s biomass-based diesel fuel and feedstock report is most useful when leadership needs one external market view that procurement, trading and commercial teams can all work from. In fast markets, the value is often less about one headline and more about giving the organization a shared basis for action.
I would emphasize that the report can give procurement, trading, finance and leadership a common external frame of reference, which reduces internal misalignment when markets move fast.</v>
      </c>
      <c r="Q64" s="10" t="str">
        <f>IFERROR(VLOOKUP(F64,Persona_Map!$A$5:$K$13,10,FALSE),"")&amp;IF(LEN(G64)&gt;0,CHAR(10)&amp;CHAR(10)&amp;"Frame tweak:"&amp;CHAR(10)&amp;IFERROR(VLOOKUP(G64,Decision_Frames!$A$5:$F$11,6,FALSE),""),"")</f>
        <v>- Ask where market misalignment shows up most inside the business
- Ask which teams would benefit from a common external view
- Explain that RLC can shorten the path from market change to aligned response
- Offer a short leadership-oriented preview
Frame tweak:
- Ask where internal market views diverge most today
- Keep the pitch high-level and decision-oriented
- Highlight speed of alignment, not just information volume</v>
      </c>
      <c r="R64" s="8" t="s">
        <v>460</v>
      </c>
      <c r="S64" s="8" t="s">
        <v>461</v>
      </c>
      <c r="T64" s="12">
        <v>46120</v>
      </c>
      <c r="U64" s="7" t="s">
        <v>7</v>
      </c>
      <c r="V64" s="13" t="s">
        <v>324</v>
      </c>
    </row>
    <row r="65" spans="1:22" ht="54" customHeight="1" x14ac:dyDescent="0.25">
      <c r="A65" s="7" t="s">
        <v>10</v>
      </c>
      <c r="B65" s="2" t="s">
        <v>454</v>
      </c>
      <c r="C65" s="2" t="s">
        <v>455</v>
      </c>
      <c r="D65" s="2" t="s">
        <v>462</v>
      </c>
      <c r="E65" s="2" t="s">
        <v>463</v>
      </c>
      <c r="F65" s="7" t="s">
        <v>4</v>
      </c>
      <c r="G65" s="7" t="s">
        <v>9</v>
      </c>
      <c r="H65" s="2" t="s">
        <v>220</v>
      </c>
      <c r="I65" s="8" t="s">
        <v>458</v>
      </c>
      <c r="J65" s="9" t="s">
        <v>228</v>
      </c>
      <c r="K65" s="2" t="s">
        <v>459</v>
      </c>
      <c r="L65" s="10" t="str">
        <f t="shared" si="1"/>
        <v>Email</v>
      </c>
      <c r="M65" s="14" t="s">
        <v>322</v>
      </c>
      <c r="N65" s="2" t="s">
        <v>273</v>
      </c>
      <c r="O65" s="10" t="str">
        <f>IFERROR(VLOOKUP(F65,Persona_Map!$A$5:$K$13,8,FALSE),"")&amp;" | "&amp;C65</f>
        <v>A cleaner read on BBD feedstock cost and availability | World Energy</v>
      </c>
      <c r="P65" s="10" t="str">
        <f>IFERROR(VLOOKUP(F65,Persona_Map!$A$5:$K$13,9,FALSE),"")&amp;IF(LEN(G65)&gt;0,CHAR(10)&amp;CHAR(10)&amp;IFERROR(VLOOKUP(G65,Decision_Frames!$A$5:$F$11,5,FALSE),""),"")</f>
        <v>Hi [Name] — we publish a biomass-based diesel fuel and feedstock report built for teams that need a tighter read on feedstock pricing, availability and competitor demand. Your role looks close to feedstock coverage, so I thought the report could be useful when small changes in UCO, tallow, DCO, soy or canola economics start to move procurement decisions.
I would emphasize that the value is not only price direction but earlier warning on tightness, import shifts, supplier behavior and which substitute feedstocks may become more or less viable next.</v>
      </c>
      <c r="Q65" s="10" t="str">
        <f>IFERROR(VLOOKUP(F65,Persona_Map!$A$5:$K$13,10,FALSE),"")&amp;IF(LEN(G65)&gt;0,CHAR(10)&amp;CHAR(10)&amp;"Frame tweak:"&amp;CHAR(10)&amp;IFERROR(VLOOKUP(G65,Decision_Frames!$A$5:$F$11,6,FALSE),""),"")</f>
        <v>- Ask how they currently monitor BBD feedstock tightness and substitution
- Probe where visibility breaks down: bids, imports, policy, or competing demand
- Explain that RLC focuses on actionable market signals, not generic headlines
- Offer to show the sections most relevant to their feedstock slate
Frame tweak:
- Ask where supply visibility breaks down today
- Focus on disruption risk and fallback options
- Tie the report to supplier negotiations and continuity planning</v>
      </c>
      <c r="R65" s="8" t="s">
        <v>460</v>
      </c>
      <c r="S65" s="8" t="s">
        <v>461</v>
      </c>
      <c r="T65" s="12">
        <v>46120</v>
      </c>
      <c r="U65" s="7" t="s">
        <v>7</v>
      </c>
      <c r="V65" s="13" t="s">
        <v>324</v>
      </c>
    </row>
    <row r="67" spans="1:22" x14ac:dyDescent="0.25">
      <c r="A67" s="18" t="s">
        <v>464</v>
      </c>
      <c r="B67" s="16"/>
      <c r="C67" s="16"/>
      <c r="D67" s="16"/>
      <c r="E67" s="16"/>
      <c r="F67" s="16"/>
      <c r="G67" s="16"/>
      <c r="H67" s="16"/>
      <c r="I67" s="16"/>
      <c r="J67" s="16"/>
    </row>
  </sheetData>
  <mergeCells count="3">
    <mergeCell ref="A2:V2"/>
    <mergeCell ref="A1:V1"/>
    <mergeCell ref="A67:J67"/>
  </mergeCells>
  <dataValidations count="4">
    <dataValidation type="list" sqref="F5:F65" xr:uid="{00000000-0002-0000-0400-000000000000}">
      <formula1>PersonaOptions</formula1>
    </dataValidation>
    <dataValidation type="list" sqref="G5:G65" xr:uid="{00000000-0002-0000-0400-000001000000}">
      <formula1>FrameOptions</formula1>
    </dataValidation>
    <dataValidation type="list" sqref="A5:A65" xr:uid="{00000000-0002-0000-0400-000002000000}">
      <formula1>PriorityOptions</formula1>
    </dataValidation>
    <dataValidation type="list" sqref="U5:U65" xr:uid="{00000000-0002-0000-0400-000003000000}">
      <formula1>StatusOptions</formula1>
    </dataValidation>
  </dataValidations>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Lists</vt:lpstr>
      <vt:lpstr>README</vt:lpstr>
      <vt:lpstr>Persona_Map</vt:lpstr>
      <vt:lpstr>Decision_Frames</vt:lpstr>
      <vt:lpstr>Leads</vt:lpstr>
      <vt:lpstr>FrameOptions</vt:lpstr>
      <vt:lpstr>PersonaOptions</vt:lpstr>
      <vt:lpstr>PriorityOptions</vt:lpstr>
      <vt:lpstr>StatusOptions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rlc-admin</dc:creator>
  <cp:lastModifiedBy>Tore Alden</cp:lastModifiedBy>
  <dcterms:created xsi:type="dcterms:W3CDTF">2026-04-09T10:28:06Z</dcterms:created>
  <dcterms:modified xsi:type="dcterms:W3CDTF">2026-04-09T10:28:06Z</dcterms:modified>
</cp:coreProperties>
</file>