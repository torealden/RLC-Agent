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8_{7C4EE0E7-90FC-451F-A715-C49CFCE4E4C6}" xr6:coauthVersionLast="47" xr6:coauthVersionMax="47" xr10:uidLastSave="{00000000-0000-0000-0000-000000000000}"/>
  <bookViews>
    <workbookView xWindow="30270" yWindow="3015" windowWidth="21600" windowHeight="11835" tabRatio="500" xr2:uid="{00000000-000D-0000-FFFF-FFFF00000000}"/>
  </bookViews>
  <sheets>
    <sheet name="RIN Generation" sheetId="1" r:id="rId1"/>
    <sheet name="RIN Sep &amp; Available" sheetId="2" r:id="rId2"/>
    <sheet name="RIN Retirement" sheetId="3" r:id="rId3"/>
    <sheet name="Feedstock Consumption" sheetId="4" r:id="rId4"/>
    <sheet name="Feedstock by Plant Type" sheetId="5" r:id="rId5"/>
    <sheet name="Biofuel Production" sheetId="6" r:id="rId6"/>
    <sheet name="Biofuel Trade" sheetId="7" r:id="rId7"/>
    <sheet name="Capacity" sheetId="8" r:id="rId8"/>
    <sheet name="Blending Context" sheetId="9" r:id="rId9"/>
    <sheet name="Cross-Reference" sheetId="10" r:id="rId10"/>
  </sheets>
  <definedNames>
    <definedName name="_xlnm._FilterDatabase" localSheetId="7" hidden="1">Capacity!$A$5:$J$205</definedName>
    <definedName name="_xlnm._FilterDatabase" localSheetId="0" hidden="1">'RIN Generation'!$A$5:$P$81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1" i="9" l="1"/>
  <c r="E81" i="9"/>
  <c r="I80" i="9"/>
  <c r="E80" i="9"/>
  <c r="I79" i="9"/>
  <c r="E79" i="9"/>
  <c r="I78" i="9"/>
  <c r="E78" i="9"/>
  <c r="I77" i="9"/>
  <c r="E77" i="9"/>
  <c r="I76" i="9"/>
  <c r="E76" i="9"/>
  <c r="I75" i="9"/>
  <c r="E75" i="9"/>
  <c r="I74" i="9"/>
  <c r="E74" i="9"/>
  <c r="I73" i="9"/>
  <c r="E73" i="9"/>
  <c r="I72" i="9"/>
  <c r="E72" i="9"/>
  <c r="I71" i="9"/>
  <c r="E71" i="9"/>
  <c r="I70" i="9"/>
  <c r="E70" i="9"/>
  <c r="I69" i="9"/>
  <c r="E69" i="9"/>
  <c r="I68" i="9"/>
  <c r="E68" i="9"/>
  <c r="I67" i="9"/>
  <c r="E67" i="9"/>
  <c r="I66" i="9"/>
  <c r="E66" i="9"/>
  <c r="I65" i="9"/>
  <c r="E65" i="9"/>
  <c r="I64" i="9"/>
  <c r="E64" i="9"/>
  <c r="I63" i="9"/>
  <c r="E63" i="9"/>
  <c r="I62" i="9"/>
  <c r="E62" i="9"/>
  <c r="I61" i="9"/>
  <c r="E61" i="9"/>
  <c r="I60" i="9"/>
  <c r="E60" i="9"/>
  <c r="I59" i="9"/>
  <c r="E59" i="9"/>
  <c r="I58" i="9"/>
  <c r="E58" i="9"/>
  <c r="I57" i="9"/>
  <c r="E57" i="9"/>
  <c r="I56" i="9"/>
  <c r="E56" i="9"/>
  <c r="I55" i="9"/>
  <c r="E55" i="9"/>
  <c r="I54" i="9"/>
  <c r="E54" i="9"/>
  <c r="I53" i="9"/>
  <c r="E53" i="9"/>
  <c r="I52" i="9"/>
  <c r="E52" i="9"/>
  <c r="I51" i="9"/>
  <c r="E51" i="9"/>
  <c r="I50" i="9"/>
  <c r="E50" i="9"/>
  <c r="I49" i="9"/>
  <c r="E49" i="9"/>
  <c r="I48" i="9"/>
  <c r="E48" i="9"/>
  <c r="I47" i="9"/>
  <c r="E47" i="9"/>
  <c r="I46" i="9"/>
  <c r="E46" i="9"/>
  <c r="I45" i="9"/>
  <c r="E45" i="9"/>
  <c r="I44" i="9"/>
  <c r="E44" i="9"/>
  <c r="I43" i="9"/>
  <c r="E43" i="9"/>
  <c r="I42" i="9"/>
  <c r="E42" i="9"/>
  <c r="I41" i="9"/>
  <c r="E41" i="9"/>
  <c r="I40" i="9"/>
  <c r="E40" i="9"/>
  <c r="I39" i="9"/>
  <c r="E39" i="9"/>
  <c r="I38" i="9"/>
  <c r="E38" i="9"/>
  <c r="I37" i="9"/>
  <c r="E37" i="9"/>
  <c r="I36" i="9"/>
  <c r="E36" i="9"/>
  <c r="I35" i="9"/>
  <c r="E35" i="9"/>
  <c r="I34" i="9"/>
  <c r="E34" i="9"/>
  <c r="I33" i="9"/>
  <c r="E33" i="9"/>
  <c r="I32" i="9"/>
  <c r="E32" i="9"/>
  <c r="I31" i="9"/>
  <c r="E31" i="9"/>
  <c r="I30" i="9"/>
  <c r="E30" i="9"/>
  <c r="I29" i="9"/>
  <c r="E29" i="9"/>
  <c r="I28" i="9"/>
  <c r="E28" i="9"/>
  <c r="I27" i="9"/>
  <c r="E27" i="9"/>
  <c r="I26" i="9"/>
  <c r="E26" i="9"/>
  <c r="I25" i="9"/>
  <c r="E25" i="9"/>
  <c r="I24" i="9"/>
  <c r="E24" i="9"/>
  <c r="I23" i="9"/>
  <c r="E23" i="9"/>
  <c r="I22" i="9"/>
  <c r="E22" i="9"/>
  <c r="I21" i="9"/>
  <c r="E21" i="9"/>
  <c r="I20" i="9"/>
  <c r="E20" i="9"/>
  <c r="I19" i="9"/>
  <c r="E19" i="9"/>
  <c r="I18" i="9"/>
  <c r="E18" i="9"/>
  <c r="I17" i="9"/>
  <c r="E17" i="9"/>
  <c r="I16" i="9"/>
  <c r="E16" i="9"/>
  <c r="I15" i="9"/>
  <c r="E15" i="9"/>
  <c r="I14" i="9"/>
  <c r="E14" i="9"/>
  <c r="I13" i="9"/>
  <c r="E13" i="9"/>
  <c r="I12" i="9"/>
  <c r="E12" i="9"/>
  <c r="I11" i="9"/>
  <c r="E11" i="9"/>
  <c r="I10" i="9"/>
  <c r="E10" i="9"/>
  <c r="I9" i="9"/>
  <c r="E9" i="9"/>
  <c r="I8" i="9"/>
  <c r="E8" i="9"/>
  <c r="I7" i="9"/>
  <c r="E7" i="9"/>
  <c r="I6" i="9"/>
  <c r="E6" i="9"/>
  <c r="K81" i="7"/>
  <c r="J81" i="7"/>
  <c r="G81" i="7"/>
  <c r="D81" i="7"/>
  <c r="K80" i="7"/>
  <c r="J80" i="7"/>
  <c r="G80" i="7"/>
  <c r="D80" i="7"/>
  <c r="J79" i="7"/>
  <c r="G79" i="7"/>
  <c r="D79" i="7"/>
  <c r="K79" i="7" s="1"/>
  <c r="J78" i="7"/>
  <c r="K78" i="7" s="1"/>
  <c r="G78" i="7"/>
  <c r="D78" i="7"/>
  <c r="K77" i="7"/>
  <c r="J77" i="7"/>
  <c r="G77" i="7"/>
  <c r="D77" i="7"/>
  <c r="J76" i="7"/>
  <c r="G76" i="7"/>
  <c r="D76" i="7"/>
  <c r="K76" i="7" s="1"/>
  <c r="K75" i="7"/>
  <c r="J75" i="7"/>
  <c r="G75" i="7"/>
  <c r="D75" i="7"/>
  <c r="K74" i="7"/>
  <c r="J74" i="7"/>
  <c r="G74" i="7"/>
  <c r="D74" i="7"/>
  <c r="K73" i="7"/>
  <c r="J73" i="7"/>
  <c r="G73" i="7"/>
  <c r="D73" i="7"/>
  <c r="K72" i="7"/>
  <c r="J72" i="7"/>
  <c r="G72" i="7"/>
  <c r="D72" i="7"/>
  <c r="K71" i="7"/>
  <c r="J71" i="7"/>
  <c r="G71" i="7"/>
  <c r="D71" i="7"/>
  <c r="J70" i="7"/>
  <c r="G70" i="7"/>
  <c r="D70" i="7"/>
  <c r="K70" i="7" s="1"/>
  <c r="K69" i="7"/>
  <c r="J69" i="7"/>
  <c r="G69" i="7"/>
  <c r="D69" i="7"/>
  <c r="K68" i="7"/>
  <c r="J68" i="7"/>
  <c r="G68" i="7"/>
  <c r="D68" i="7"/>
  <c r="K67" i="7"/>
  <c r="J67" i="7"/>
  <c r="G67" i="7"/>
  <c r="D67" i="7"/>
  <c r="K66" i="7"/>
  <c r="J66" i="7"/>
  <c r="G66" i="7"/>
  <c r="D66" i="7"/>
  <c r="K65" i="7"/>
  <c r="J65" i="7"/>
  <c r="G65" i="7"/>
  <c r="D65" i="7"/>
  <c r="J64" i="7"/>
  <c r="G64" i="7"/>
  <c r="D64" i="7"/>
  <c r="K64" i="7" s="1"/>
  <c r="K63" i="7"/>
  <c r="J63" i="7"/>
  <c r="G63" i="7"/>
  <c r="D63" i="7"/>
  <c r="K62" i="7"/>
  <c r="J62" i="7"/>
  <c r="G62" i="7"/>
  <c r="D62" i="7"/>
  <c r="K61" i="7"/>
  <c r="J61" i="7"/>
  <c r="G61" i="7"/>
  <c r="D61" i="7"/>
  <c r="K60" i="7"/>
  <c r="J60" i="7"/>
  <c r="G60" i="7"/>
  <c r="D60" i="7"/>
  <c r="K59" i="7"/>
  <c r="J59" i="7"/>
  <c r="G59" i="7"/>
  <c r="D59" i="7"/>
  <c r="J58" i="7"/>
  <c r="G58" i="7"/>
  <c r="D58" i="7"/>
  <c r="K58" i="7" s="1"/>
  <c r="K57" i="7"/>
  <c r="J57" i="7"/>
  <c r="G57" i="7"/>
  <c r="D57" i="7"/>
  <c r="K56" i="7"/>
  <c r="J56" i="7"/>
  <c r="G56" i="7"/>
  <c r="D56" i="7"/>
  <c r="K55" i="7"/>
  <c r="J55" i="7"/>
  <c r="G55" i="7"/>
  <c r="D55" i="7"/>
  <c r="K54" i="7"/>
  <c r="J54" i="7"/>
  <c r="G54" i="7"/>
  <c r="D54" i="7"/>
  <c r="K53" i="7"/>
  <c r="J53" i="7"/>
  <c r="G53" i="7"/>
  <c r="D53" i="7"/>
  <c r="J52" i="7"/>
  <c r="G52" i="7"/>
  <c r="D52" i="7"/>
  <c r="K52" i="7" s="1"/>
  <c r="K51" i="7"/>
  <c r="J51" i="7"/>
  <c r="G51" i="7"/>
  <c r="D51" i="7"/>
  <c r="K50" i="7"/>
  <c r="J50" i="7"/>
  <c r="G50" i="7"/>
  <c r="D50" i="7"/>
  <c r="K49" i="7"/>
  <c r="J49" i="7"/>
  <c r="G49" i="7"/>
  <c r="D49" i="7"/>
  <c r="K48" i="7"/>
  <c r="J48" i="7"/>
  <c r="G48" i="7"/>
  <c r="D48" i="7"/>
  <c r="K47" i="7"/>
  <c r="J47" i="7"/>
  <c r="G47" i="7"/>
  <c r="D47" i="7"/>
  <c r="J46" i="7"/>
  <c r="G46" i="7"/>
  <c r="D46" i="7"/>
  <c r="K46" i="7" s="1"/>
  <c r="K45" i="7"/>
  <c r="J45" i="7"/>
  <c r="G45" i="7"/>
  <c r="D45" i="7"/>
  <c r="K44" i="7"/>
  <c r="J44" i="7"/>
  <c r="G44" i="7"/>
  <c r="D44" i="7"/>
  <c r="K43" i="7"/>
  <c r="J43" i="7"/>
  <c r="G43" i="7"/>
  <c r="D43" i="7"/>
  <c r="K42" i="7"/>
  <c r="J42" i="7"/>
  <c r="G42" i="7"/>
  <c r="D42" i="7"/>
  <c r="K41" i="7"/>
  <c r="J41" i="7"/>
  <c r="G41" i="7"/>
  <c r="D41" i="7"/>
  <c r="J40" i="7"/>
  <c r="G40" i="7"/>
  <c r="D40" i="7"/>
  <c r="K40" i="7" s="1"/>
  <c r="K39" i="7"/>
  <c r="J39" i="7"/>
  <c r="G39" i="7"/>
  <c r="D39" i="7"/>
  <c r="K38" i="7"/>
  <c r="J38" i="7"/>
  <c r="G38" i="7"/>
  <c r="D38" i="7"/>
  <c r="K37" i="7"/>
  <c r="J37" i="7"/>
  <c r="G37" i="7"/>
  <c r="D37" i="7"/>
  <c r="K36" i="7"/>
  <c r="J36" i="7"/>
  <c r="G36" i="7"/>
  <c r="D36" i="7"/>
  <c r="K35" i="7"/>
  <c r="J35" i="7"/>
  <c r="G35" i="7"/>
  <c r="D35" i="7"/>
  <c r="J34" i="7"/>
  <c r="G34" i="7"/>
  <c r="D34" i="7"/>
  <c r="K34" i="7" s="1"/>
  <c r="K33" i="7"/>
  <c r="J33" i="7"/>
  <c r="G33" i="7"/>
  <c r="D33" i="7"/>
  <c r="K32" i="7"/>
  <c r="J32" i="7"/>
  <c r="G32" i="7"/>
  <c r="D32" i="7"/>
  <c r="K31" i="7"/>
  <c r="J31" i="7"/>
  <c r="G31" i="7"/>
  <c r="D31" i="7"/>
  <c r="K30" i="7"/>
  <c r="J30" i="7"/>
  <c r="G30" i="7"/>
  <c r="D30" i="7"/>
  <c r="K29" i="7"/>
  <c r="J29" i="7"/>
  <c r="G29" i="7"/>
  <c r="D29" i="7"/>
  <c r="J28" i="7"/>
  <c r="G28" i="7"/>
  <c r="D28" i="7"/>
  <c r="K28" i="7" s="1"/>
  <c r="K27" i="7"/>
  <c r="J27" i="7"/>
  <c r="G27" i="7"/>
  <c r="D27" i="7"/>
  <c r="K26" i="7"/>
  <c r="J26" i="7"/>
  <c r="G26" i="7"/>
  <c r="D26" i="7"/>
  <c r="K25" i="7"/>
  <c r="J25" i="7"/>
  <c r="G25" i="7"/>
  <c r="D25" i="7"/>
  <c r="K24" i="7"/>
  <c r="J24" i="7"/>
  <c r="G24" i="7"/>
  <c r="D24" i="7"/>
  <c r="K23" i="7"/>
  <c r="J23" i="7"/>
  <c r="G23" i="7"/>
  <c r="D23" i="7"/>
  <c r="J22" i="7"/>
  <c r="G22" i="7"/>
  <c r="D22" i="7"/>
  <c r="K22" i="7" s="1"/>
  <c r="K21" i="7"/>
  <c r="J21" i="7"/>
  <c r="G21" i="7"/>
  <c r="D21" i="7"/>
  <c r="K20" i="7"/>
  <c r="J20" i="7"/>
  <c r="G20" i="7"/>
  <c r="D20" i="7"/>
  <c r="K19" i="7"/>
  <c r="J19" i="7"/>
  <c r="G19" i="7"/>
  <c r="D19" i="7"/>
  <c r="K18" i="7"/>
  <c r="J18" i="7"/>
  <c r="G18" i="7"/>
  <c r="D18" i="7"/>
  <c r="K17" i="7"/>
  <c r="J17" i="7"/>
  <c r="G17" i="7"/>
  <c r="D17" i="7"/>
  <c r="J16" i="7"/>
  <c r="G16" i="7"/>
  <c r="D16" i="7"/>
  <c r="K16" i="7" s="1"/>
  <c r="K15" i="7"/>
  <c r="J15" i="7"/>
  <c r="G15" i="7"/>
  <c r="D15" i="7"/>
  <c r="K14" i="7"/>
  <c r="J14" i="7"/>
  <c r="G14" i="7"/>
  <c r="D14" i="7"/>
  <c r="K13" i="7"/>
  <c r="J13" i="7"/>
  <c r="G13" i="7"/>
  <c r="D13" i="7"/>
  <c r="K12" i="7"/>
  <c r="J12" i="7"/>
  <c r="G12" i="7"/>
  <c r="D12" i="7"/>
  <c r="K11" i="7"/>
  <c r="J11" i="7"/>
  <c r="G11" i="7"/>
  <c r="D11" i="7"/>
  <c r="J10" i="7"/>
  <c r="G10" i="7"/>
  <c r="D10" i="7"/>
  <c r="K10" i="7" s="1"/>
  <c r="K9" i="7"/>
  <c r="J9" i="7"/>
  <c r="G9" i="7"/>
  <c r="D9" i="7"/>
  <c r="K8" i="7"/>
  <c r="J8" i="7"/>
  <c r="G8" i="7"/>
  <c r="D8" i="7"/>
  <c r="K7" i="7"/>
  <c r="J7" i="7"/>
  <c r="G7" i="7"/>
  <c r="D7" i="7"/>
  <c r="K6" i="7"/>
  <c r="J6" i="7"/>
  <c r="G6" i="7"/>
  <c r="D6" i="7"/>
  <c r="N81" i="6"/>
  <c r="M81" i="6"/>
  <c r="I81" i="6"/>
  <c r="G81" i="6"/>
  <c r="E81" i="6"/>
  <c r="C81" i="6"/>
  <c r="N80" i="6"/>
  <c r="M80" i="6"/>
  <c r="I80" i="6"/>
  <c r="G80" i="6"/>
  <c r="E80" i="6"/>
  <c r="C80" i="6"/>
  <c r="N79" i="6"/>
  <c r="M79" i="6"/>
  <c r="I79" i="6"/>
  <c r="G79" i="6"/>
  <c r="E79" i="6"/>
  <c r="C79" i="6"/>
  <c r="N78" i="6"/>
  <c r="M78" i="6"/>
  <c r="I78" i="6"/>
  <c r="G78" i="6"/>
  <c r="E78" i="6"/>
  <c r="C78" i="6"/>
  <c r="N77" i="6"/>
  <c r="M77" i="6"/>
  <c r="I77" i="6"/>
  <c r="G77" i="6"/>
  <c r="E77" i="6"/>
  <c r="C77" i="6"/>
  <c r="N76" i="6"/>
  <c r="M76" i="6"/>
  <c r="I76" i="6"/>
  <c r="G76" i="6"/>
  <c r="E76" i="6"/>
  <c r="C76" i="6"/>
  <c r="N75" i="6"/>
  <c r="M75" i="6"/>
  <c r="I75" i="6"/>
  <c r="G75" i="6"/>
  <c r="E75" i="6"/>
  <c r="C75" i="6"/>
  <c r="N74" i="6"/>
  <c r="M74" i="6"/>
  <c r="I74" i="6"/>
  <c r="G74" i="6"/>
  <c r="E74" i="6"/>
  <c r="C74" i="6"/>
  <c r="N73" i="6"/>
  <c r="M73" i="6"/>
  <c r="I73" i="6"/>
  <c r="G73" i="6"/>
  <c r="E73" i="6"/>
  <c r="C73" i="6"/>
  <c r="N72" i="6"/>
  <c r="M72" i="6"/>
  <c r="I72" i="6"/>
  <c r="G72" i="6"/>
  <c r="E72" i="6"/>
  <c r="C72" i="6"/>
  <c r="N71" i="6"/>
  <c r="M71" i="6"/>
  <c r="I71" i="6"/>
  <c r="G71" i="6"/>
  <c r="E71" i="6"/>
  <c r="C71" i="6"/>
  <c r="N70" i="6"/>
  <c r="M70" i="6"/>
  <c r="I70" i="6"/>
  <c r="G70" i="6"/>
  <c r="E70" i="6"/>
  <c r="C70" i="6"/>
  <c r="N69" i="6"/>
  <c r="M69" i="6"/>
  <c r="I69" i="6"/>
  <c r="G69" i="6"/>
  <c r="E69" i="6"/>
  <c r="C69" i="6"/>
  <c r="N68" i="6"/>
  <c r="M68" i="6"/>
  <c r="I68" i="6"/>
  <c r="G68" i="6"/>
  <c r="E68" i="6"/>
  <c r="C68" i="6"/>
  <c r="N67" i="6"/>
  <c r="M67" i="6"/>
  <c r="I67" i="6"/>
  <c r="G67" i="6"/>
  <c r="E67" i="6"/>
  <c r="C67" i="6"/>
  <c r="N66" i="6"/>
  <c r="M66" i="6"/>
  <c r="I66" i="6"/>
  <c r="G66" i="6"/>
  <c r="E66" i="6"/>
  <c r="C66" i="6"/>
  <c r="N65" i="6"/>
  <c r="M65" i="6"/>
  <c r="I65" i="6"/>
  <c r="G65" i="6"/>
  <c r="E65" i="6"/>
  <c r="C65" i="6"/>
  <c r="N64" i="6"/>
  <c r="M64" i="6"/>
  <c r="I64" i="6"/>
  <c r="G64" i="6"/>
  <c r="E64" i="6"/>
  <c r="C64" i="6"/>
  <c r="N63" i="6"/>
  <c r="M63" i="6"/>
  <c r="I63" i="6"/>
  <c r="G63" i="6"/>
  <c r="E63" i="6"/>
  <c r="C63" i="6"/>
  <c r="N62" i="6"/>
  <c r="M62" i="6"/>
  <c r="I62" i="6"/>
  <c r="G62" i="6"/>
  <c r="E62" i="6"/>
  <c r="C62" i="6"/>
  <c r="N61" i="6"/>
  <c r="M61" i="6"/>
  <c r="I61" i="6"/>
  <c r="G61" i="6"/>
  <c r="E61" i="6"/>
  <c r="C61" i="6"/>
  <c r="N60" i="6"/>
  <c r="M60" i="6"/>
  <c r="I60" i="6"/>
  <c r="G60" i="6"/>
  <c r="E60" i="6"/>
  <c r="C60" i="6"/>
  <c r="N59" i="6"/>
  <c r="M59" i="6"/>
  <c r="I59" i="6"/>
  <c r="G59" i="6"/>
  <c r="E59" i="6"/>
  <c r="C59" i="6"/>
  <c r="N58" i="6"/>
  <c r="M58" i="6"/>
  <c r="I58" i="6"/>
  <c r="G58" i="6"/>
  <c r="E58" i="6"/>
  <c r="C58" i="6"/>
  <c r="N57" i="6"/>
  <c r="M57" i="6"/>
  <c r="I57" i="6"/>
  <c r="G57" i="6"/>
  <c r="E57" i="6"/>
  <c r="C57" i="6"/>
  <c r="N56" i="6"/>
  <c r="M56" i="6"/>
  <c r="I56" i="6"/>
  <c r="G56" i="6"/>
  <c r="E56" i="6"/>
  <c r="C56" i="6"/>
  <c r="N55" i="6"/>
  <c r="M55" i="6"/>
  <c r="I55" i="6"/>
  <c r="G55" i="6"/>
  <c r="E55" i="6"/>
  <c r="C55" i="6"/>
  <c r="N54" i="6"/>
  <c r="M54" i="6"/>
  <c r="I54" i="6"/>
  <c r="G54" i="6"/>
  <c r="E54" i="6"/>
  <c r="C54" i="6"/>
  <c r="N53" i="6"/>
  <c r="M53" i="6"/>
  <c r="I53" i="6"/>
  <c r="G53" i="6"/>
  <c r="E53" i="6"/>
  <c r="C53" i="6"/>
  <c r="N52" i="6"/>
  <c r="M52" i="6"/>
  <c r="I52" i="6"/>
  <c r="G52" i="6"/>
  <c r="E52" i="6"/>
  <c r="C52" i="6"/>
  <c r="N51" i="6"/>
  <c r="M51" i="6"/>
  <c r="I51" i="6"/>
  <c r="G51" i="6"/>
  <c r="E51" i="6"/>
  <c r="C51" i="6"/>
  <c r="N50" i="6"/>
  <c r="M50" i="6"/>
  <c r="I50" i="6"/>
  <c r="G50" i="6"/>
  <c r="E50" i="6"/>
  <c r="C50" i="6"/>
  <c r="N49" i="6"/>
  <c r="M49" i="6"/>
  <c r="I49" i="6"/>
  <c r="G49" i="6"/>
  <c r="E49" i="6"/>
  <c r="C49" i="6"/>
  <c r="N48" i="6"/>
  <c r="M48" i="6"/>
  <c r="I48" i="6"/>
  <c r="G48" i="6"/>
  <c r="E48" i="6"/>
  <c r="C48" i="6"/>
  <c r="N47" i="6"/>
  <c r="M47" i="6"/>
  <c r="I47" i="6"/>
  <c r="G47" i="6"/>
  <c r="E47" i="6"/>
  <c r="C47" i="6"/>
  <c r="N46" i="6"/>
  <c r="M46" i="6"/>
  <c r="I46" i="6"/>
  <c r="G46" i="6"/>
  <c r="E46" i="6"/>
  <c r="C46" i="6"/>
  <c r="N45" i="6"/>
  <c r="M45" i="6"/>
  <c r="I45" i="6"/>
  <c r="G45" i="6"/>
  <c r="E45" i="6"/>
  <c r="C45" i="6"/>
  <c r="N44" i="6"/>
  <c r="M44" i="6"/>
  <c r="I44" i="6"/>
  <c r="G44" i="6"/>
  <c r="E44" i="6"/>
  <c r="C44" i="6"/>
  <c r="N43" i="6"/>
  <c r="M43" i="6"/>
  <c r="I43" i="6"/>
  <c r="G43" i="6"/>
  <c r="E43" i="6"/>
  <c r="C43" i="6"/>
  <c r="N42" i="6"/>
  <c r="M42" i="6"/>
  <c r="I42" i="6"/>
  <c r="G42" i="6"/>
  <c r="E42" i="6"/>
  <c r="C42" i="6"/>
  <c r="N41" i="6"/>
  <c r="M41" i="6"/>
  <c r="I41" i="6"/>
  <c r="G41" i="6"/>
  <c r="E41" i="6"/>
  <c r="C41" i="6"/>
  <c r="N40" i="6"/>
  <c r="M40" i="6"/>
  <c r="I40" i="6"/>
  <c r="G40" i="6"/>
  <c r="E40" i="6"/>
  <c r="C40" i="6"/>
  <c r="N39" i="6"/>
  <c r="M39" i="6"/>
  <c r="I39" i="6"/>
  <c r="G39" i="6"/>
  <c r="E39" i="6"/>
  <c r="C39" i="6"/>
  <c r="N38" i="6"/>
  <c r="M38" i="6"/>
  <c r="I38" i="6"/>
  <c r="G38" i="6"/>
  <c r="E38" i="6"/>
  <c r="C38" i="6"/>
  <c r="N37" i="6"/>
  <c r="M37" i="6"/>
  <c r="I37" i="6"/>
  <c r="G37" i="6"/>
  <c r="E37" i="6"/>
  <c r="C37" i="6"/>
  <c r="N36" i="6"/>
  <c r="M36" i="6"/>
  <c r="I36" i="6"/>
  <c r="G36" i="6"/>
  <c r="E36" i="6"/>
  <c r="C36" i="6"/>
  <c r="N35" i="6"/>
  <c r="M35" i="6"/>
  <c r="I35" i="6"/>
  <c r="G35" i="6"/>
  <c r="E35" i="6"/>
  <c r="C35" i="6"/>
  <c r="N34" i="6"/>
  <c r="M34" i="6"/>
  <c r="I34" i="6"/>
  <c r="G34" i="6"/>
  <c r="E34" i="6"/>
  <c r="C34" i="6"/>
  <c r="N33" i="6"/>
  <c r="M33" i="6"/>
  <c r="I33" i="6"/>
  <c r="G33" i="6"/>
  <c r="E33" i="6"/>
  <c r="C33" i="6"/>
  <c r="N32" i="6"/>
  <c r="M32" i="6"/>
  <c r="I32" i="6"/>
  <c r="G32" i="6"/>
  <c r="E32" i="6"/>
  <c r="C32" i="6"/>
  <c r="N31" i="6"/>
  <c r="M31" i="6"/>
  <c r="I31" i="6"/>
  <c r="G31" i="6"/>
  <c r="E31" i="6"/>
  <c r="C31" i="6"/>
  <c r="N30" i="6"/>
  <c r="M30" i="6"/>
  <c r="I30" i="6"/>
  <c r="G30" i="6"/>
  <c r="E30" i="6"/>
  <c r="C30" i="6"/>
  <c r="N29" i="6"/>
  <c r="M29" i="6"/>
  <c r="I29" i="6"/>
  <c r="G29" i="6"/>
  <c r="E29" i="6"/>
  <c r="C29" i="6"/>
  <c r="N28" i="6"/>
  <c r="M28" i="6"/>
  <c r="I28" i="6"/>
  <c r="G28" i="6"/>
  <c r="E28" i="6"/>
  <c r="C28" i="6"/>
  <c r="N27" i="6"/>
  <c r="M27" i="6"/>
  <c r="I27" i="6"/>
  <c r="G27" i="6"/>
  <c r="E27" i="6"/>
  <c r="C27" i="6"/>
  <c r="N26" i="6"/>
  <c r="M26" i="6"/>
  <c r="I26" i="6"/>
  <c r="G26" i="6"/>
  <c r="E26" i="6"/>
  <c r="C26" i="6"/>
  <c r="N25" i="6"/>
  <c r="M25" i="6"/>
  <c r="I25" i="6"/>
  <c r="G25" i="6"/>
  <c r="E25" i="6"/>
  <c r="C25" i="6"/>
  <c r="N24" i="6"/>
  <c r="M24" i="6"/>
  <c r="I24" i="6"/>
  <c r="G24" i="6"/>
  <c r="E24" i="6"/>
  <c r="C24" i="6"/>
  <c r="N23" i="6"/>
  <c r="M23" i="6"/>
  <c r="I23" i="6"/>
  <c r="G23" i="6"/>
  <c r="E23" i="6"/>
  <c r="C23" i="6"/>
  <c r="N22" i="6"/>
  <c r="M22" i="6"/>
  <c r="I22" i="6"/>
  <c r="G22" i="6"/>
  <c r="E22" i="6"/>
  <c r="C22" i="6"/>
  <c r="N21" i="6"/>
  <c r="M21" i="6"/>
  <c r="I21" i="6"/>
  <c r="G21" i="6"/>
  <c r="E21" i="6"/>
  <c r="C21" i="6"/>
  <c r="N20" i="6"/>
  <c r="M20" i="6"/>
  <c r="I20" i="6"/>
  <c r="G20" i="6"/>
  <c r="E20" i="6"/>
  <c r="C20" i="6"/>
  <c r="N19" i="6"/>
  <c r="M19" i="6"/>
  <c r="I19" i="6"/>
  <c r="G19" i="6"/>
  <c r="E19" i="6"/>
  <c r="C19" i="6"/>
  <c r="N18" i="6"/>
  <c r="M18" i="6"/>
  <c r="I18" i="6"/>
  <c r="G18" i="6"/>
  <c r="E18" i="6"/>
  <c r="C18" i="6"/>
  <c r="I17" i="6"/>
  <c r="G17" i="6"/>
  <c r="E17" i="6"/>
  <c r="C17" i="6"/>
  <c r="I16" i="6"/>
  <c r="G16" i="6"/>
  <c r="E16" i="6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I8" i="6"/>
  <c r="G8" i="6"/>
  <c r="E8" i="6"/>
  <c r="C8" i="6"/>
  <c r="I7" i="6"/>
  <c r="G7" i="6"/>
  <c r="E7" i="6"/>
  <c r="C7" i="6"/>
  <c r="I6" i="6"/>
  <c r="G6" i="6"/>
  <c r="E6" i="6"/>
  <c r="C6" i="6"/>
  <c r="P81" i="5"/>
  <c r="M81" i="5"/>
  <c r="J81" i="5"/>
  <c r="G81" i="5"/>
  <c r="D81" i="5"/>
  <c r="P80" i="5"/>
  <c r="M80" i="5"/>
  <c r="J80" i="5"/>
  <c r="G80" i="5"/>
  <c r="D80" i="5"/>
  <c r="P79" i="5"/>
  <c r="M79" i="5"/>
  <c r="J79" i="5"/>
  <c r="G79" i="5"/>
  <c r="D79" i="5"/>
  <c r="P78" i="5"/>
  <c r="M78" i="5"/>
  <c r="J78" i="5"/>
  <c r="G78" i="5"/>
  <c r="D78" i="5"/>
  <c r="P77" i="5"/>
  <c r="M77" i="5"/>
  <c r="J77" i="5"/>
  <c r="G77" i="5"/>
  <c r="D77" i="5"/>
  <c r="P76" i="5"/>
  <c r="M76" i="5"/>
  <c r="J76" i="5"/>
  <c r="G76" i="5"/>
  <c r="D76" i="5"/>
  <c r="P75" i="5"/>
  <c r="M75" i="5"/>
  <c r="J75" i="5"/>
  <c r="G75" i="5"/>
  <c r="D75" i="5"/>
  <c r="P74" i="5"/>
  <c r="M74" i="5"/>
  <c r="J74" i="5"/>
  <c r="G74" i="5"/>
  <c r="D74" i="5"/>
  <c r="P73" i="5"/>
  <c r="M73" i="5"/>
  <c r="J73" i="5"/>
  <c r="G73" i="5"/>
  <c r="D73" i="5"/>
  <c r="P72" i="5"/>
  <c r="M72" i="5"/>
  <c r="J72" i="5"/>
  <c r="G72" i="5"/>
  <c r="D72" i="5"/>
  <c r="P71" i="5"/>
  <c r="M71" i="5"/>
  <c r="J71" i="5"/>
  <c r="G71" i="5"/>
  <c r="D71" i="5"/>
  <c r="P70" i="5"/>
  <c r="M70" i="5"/>
  <c r="J70" i="5"/>
  <c r="G70" i="5"/>
  <c r="D70" i="5"/>
  <c r="P69" i="5"/>
  <c r="M69" i="5"/>
  <c r="J69" i="5"/>
  <c r="G69" i="5"/>
  <c r="D69" i="5"/>
  <c r="P68" i="5"/>
  <c r="M68" i="5"/>
  <c r="J68" i="5"/>
  <c r="G68" i="5"/>
  <c r="D68" i="5"/>
  <c r="P67" i="5"/>
  <c r="M67" i="5"/>
  <c r="J67" i="5"/>
  <c r="G67" i="5"/>
  <c r="D67" i="5"/>
  <c r="P66" i="5"/>
  <c r="M66" i="5"/>
  <c r="J66" i="5"/>
  <c r="G66" i="5"/>
  <c r="D66" i="5"/>
  <c r="P65" i="5"/>
  <c r="M65" i="5"/>
  <c r="J65" i="5"/>
  <c r="G65" i="5"/>
  <c r="D65" i="5"/>
  <c r="P64" i="5"/>
  <c r="M64" i="5"/>
  <c r="J64" i="5"/>
  <c r="G64" i="5"/>
  <c r="D64" i="5"/>
  <c r="P63" i="5"/>
  <c r="M63" i="5"/>
  <c r="J63" i="5"/>
  <c r="G63" i="5"/>
  <c r="D63" i="5"/>
  <c r="P62" i="5"/>
  <c r="M62" i="5"/>
  <c r="J62" i="5"/>
  <c r="G62" i="5"/>
  <c r="D62" i="5"/>
  <c r="P61" i="5"/>
  <c r="M61" i="5"/>
  <c r="J61" i="5"/>
  <c r="G61" i="5"/>
  <c r="D61" i="5"/>
  <c r="P60" i="5"/>
  <c r="M60" i="5"/>
  <c r="J60" i="5"/>
  <c r="G60" i="5"/>
  <c r="D60" i="5"/>
  <c r="P59" i="5"/>
  <c r="M59" i="5"/>
  <c r="J59" i="5"/>
  <c r="G59" i="5"/>
  <c r="D59" i="5"/>
  <c r="P58" i="5"/>
  <c r="M58" i="5"/>
  <c r="J58" i="5"/>
  <c r="G58" i="5"/>
  <c r="D58" i="5"/>
  <c r="P57" i="5"/>
  <c r="M57" i="5"/>
  <c r="J57" i="5"/>
  <c r="G57" i="5"/>
  <c r="D57" i="5"/>
  <c r="P56" i="5"/>
  <c r="M56" i="5"/>
  <c r="J56" i="5"/>
  <c r="G56" i="5"/>
  <c r="D56" i="5"/>
  <c r="P55" i="5"/>
  <c r="M55" i="5"/>
  <c r="J55" i="5"/>
  <c r="G55" i="5"/>
  <c r="D55" i="5"/>
  <c r="P54" i="5"/>
  <c r="M54" i="5"/>
  <c r="J54" i="5"/>
  <c r="G54" i="5"/>
  <c r="D54" i="5"/>
  <c r="P53" i="5"/>
  <c r="M53" i="5"/>
  <c r="J53" i="5"/>
  <c r="G53" i="5"/>
  <c r="D53" i="5"/>
  <c r="P52" i="5"/>
  <c r="M52" i="5"/>
  <c r="J52" i="5"/>
  <c r="G52" i="5"/>
  <c r="D52" i="5"/>
  <c r="P51" i="5"/>
  <c r="M51" i="5"/>
  <c r="J51" i="5"/>
  <c r="G51" i="5"/>
  <c r="D51" i="5"/>
  <c r="P50" i="5"/>
  <c r="M50" i="5"/>
  <c r="J50" i="5"/>
  <c r="G50" i="5"/>
  <c r="D50" i="5"/>
  <c r="P49" i="5"/>
  <c r="M49" i="5"/>
  <c r="J49" i="5"/>
  <c r="G49" i="5"/>
  <c r="D49" i="5"/>
  <c r="P48" i="5"/>
  <c r="M48" i="5"/>
  <c r="J48" i="5"/>
  <c r="G48" i="5"/>
  <c r="D48" i="5"/>
  <c r="P47" i="5"/>
  <c r="M47" i="5"/>
  <c r="J47" i="5"/>
  <c r="G47" i="5"/>
  <c r="D47" i="5"/>
  <c r="P46" i="5"/>
  <c r="M46" i="5"/>
  <c r="J46" i="5"/>
  <c r="G46" i="5"/>
  <c r="D46" i="5"/>
  <c r="P45" i="5"/>
  <c r="M45" i="5"/>
  <c r="J45" i="5"/>
  <c r="G45" i="5"/>
  <c r="D45" i="5"/>
  <c r="P44" i="5"/>
  <c r="M44" i="5"/>
  <c r="J44" i="5"/>
  <c r="G44" i="5"/>
  <c r="D44" i="5"/>
  <c r="P43" i="5"/>
  <c r="M43" i="5"/>
  <c r="J43" i="5"/>
  <c r="G43" i="5"/>
  <c r="D43" i="5"/>
  <c r="P42" i="5"/>
  <c r="M42" i="5"/>
  <c r="J42" i="5"/>
  <c r="G42" i="5"/>
  <c r="D42" i="5"/>
  <c r="P41" i="5"/>
  <c r="M41" i="5"/>
  <c r="J41" i="5"/>
  <c r="G41" i="5"/>
  <c r="D41" i="5"/>
  <c r="P40" i="5"/>
  <c r="M40" i="5"/>
  <c r="J40" i="5"/>
  <c r="G40" i="5"/>
  <c r="D40" i="5"/>
  <c r="P39" i="5"/>
  <c r="M39" i="5"/>
  <c r="J39" i="5"/>
  <c r="G39" i="5"/>
  <c r="D39" i="5"/>
  <c r="P38" i="5"/>
  <c r="M38" i="5"/>
  <c r="J38" i="5"/>
  <c r="G38" i="5"/>
  <c r="D38" i="5"/>
  <c r="P37" i="5"/>
  <c r="M37" i="5"/>
  <c r="J37" i="5"/>
  <c r="G37" i="5"/>
  <c r="D37" i="5"/>
  <c r="P36" i="5"/>
  <c r="M36" i="5"/>
  <c r="J36" i="5"/>
  <c r="G36" i="5"/>
  <c r="D36" i="5"/>
  <c r="P35" i="5"/>
  <c r="M35" i="5"/>
  <c r="J35" i="5"/>
  <c r="G35" i="5"/>
  <c r="D35" i="5"/>
  <c r="P34" i="5"/>
  <c r="M34" i="5"/>
  <c r="J34" i="5"/>
  <c r="G34" i="5"/>
  <c r="D34" i="5"/>
  <c r="P33" i="5"/>
  <c r="M33" i="5"/>
  <c r="J33" i="5"/>
  <c r="G33" i="5"/>
  <c r="D33" i="5"/>
  <c r="P32" i="5"/>
  <c r="M32" i="5"/>
  <c r="J32" i="5"/>
  <c r="G32" i="5"/>
  <c r="D32" i="5"/>
  <c r="P31" i="5"/>
  <c r="M31" i="5"/>
  <c r="J31" i="5"/>
  <c r="G31" i="5"/>
  <c r="D31" i="5"/>
  <c r="P30" i="5"/>
  <c r="M30" i="5"/>
  <c r="J30" i="5"/>
  <c r="G30" i="5"/>
  <c r="D30" i="5"/>
  <c r="P29" i="5"/>
  <c r="M29" i="5"/>
  <c r="J29" i="5"/>
  <c r="G29" i="5"/>
  <c r="D29" i="5"/>
  <c r="P28" i="5"/>
  <c r="M28" i="5"/>
  <c r="J28" i="5"/>
  <c r="G28" i="5"/>
  <c r="D28" i="5"/>
  <c r="P27" i="5"/>
  <c r="M27" i="5"/>
  <c r="J27" i="5"/>
  <c r="G27" i="5"/>
  <c r="D27" i="5"/>
  <c r="P26" i="5"/>
  <c r="M26" i="5"/>
  <c r="J26" i="5"/>
  <c r="G26" i="5"/>
  <c r="D26" i="5"/>
  <c r="P25" i="5"/>
  <c r="M25" i="5"/>
  <c r="J25" i="5"/>
  <c r="G25" i="5"/>
  <c r="D25" i="5"/>
  <c r="P24" i="5"/>
  <c r="M24" i="5"/>
  <c r="J24" i="5"/>
  <c r="G24" i="5"/>
  <c r="D24" i="5"/>
  <c r="P23" i="5"/>
  <c r="M23" i="5"/>
  <c r="J23" i="5"/>
  <c r="G23" i="5"/>
  <c r="D23" i="5"/>
  <c r="P22" i="5"/>
  <c r="M22" i="5"/>
  <c r="J22" i="5"/>
  <c r="G22" i="5"/>
  <c r="D22" i="5"/>
  <c r="P21" i="5"/>
  <c r="M21" i="5"/>
  <c r="J21" i="5"/>
  <c r="G21" i="5"/>
  <c r="D21" i="5"/>
  <c r="P20" i="5"/>
  <c r="M20" i="5"/>
  <c r="J20" i="5"/>
  <c r="G20" i="5"/>
  <c r="D20" i="5"/>
  <c r="P19" i="5"/>
  <c r="M19" i="5"/>
  <c r="J19" i="5"/>
  <c r="G19" i="5"/>
  <c r="D19" i="5"/>
  <c r="P18" i="5"/>
  <c r="M18" i="5"/>
  <c r="J18" i="5"/>
  <c r="G18" i="5"/>
  <c r="D18" i="5"/>
  <c r="P17" i="5"/>
  <c r="M17" i="5"/>
  <c r="J17" i="5"/>
  <c r="G17" i="5"/>
  <c r="D17" i="5"/>
  <c r="P16" i="5"/>
  <c r="M16" i="5"/>
  <c r="J16" i="5"/>
  <c r="G16" i="5"/>
  <c r="D16" i="5"/>
  <c r="P15" i="5"/>
  <c r="M15" i="5"/>
  <c r="J15" i="5"/>
  <c r="G15" i="5"/>
  <c r="D15" i="5"/>
  <c r="P14" i="5"/>
  <c r="M14" i="5"/>
  <c r="J14" i="5"/>
  <c r="G14" i="5"/>
  <c r="D14" i="5"/>
  <c r="P13" i="5"/>
  <c r="M13" i="5"/>
  <c r="J13" i="5"/>
  <c r="G13" i="5"/>
  <c r="D13" i="5"/>
  <c r="P12" i="5"/>
  <c r="M12" i="5"/>
  <c r="J12" i="5"/>
  <c r="G12" i="5"/>
  <c r="D12" i="5"/>
  <c r="P11" i="5"/>
  <c r="M11" i="5"/>
  <c r="J11" i="5"/>
  <c r="G11" i="5"/>
  <c r="D11" i="5"/>
  <c r="P10" i="5"/>
  <c r="M10" i="5"/>
  <c r="J10" i="5"/>
  <c r="G10" i="5"/>
  <c r="D10" i="5"/>
  <c r="P9" i="5"/>
  <c r="M9" i="5"/>
  <c r="J9" i="5"/>
  <c r="G9" i="5"/>
  <c r="D9" i="5"/>
  <c r="P8" i="5"/>
  <c r="M8" i="5"/>
  <c r="J8" i="5"/>
  <c r="G8" i="5"/>
  <c r="D8" i="5"/>
  <c r="P7" i="5"/>
  <c r="M7" i="5"/>
  <c r="J7" i="5"/>
  <c r="G7" i="5"/>
  <c r="D7" i="5"/>
  <c r="P6" i="5"/>
  <c r="M6" i="5"/>
  <c r="J6" i="5"/>
  <c r="G6" i="5"/>
  <c r="D6" i="5"/>
  <c r="S82" i="4"/>
  <c r="R82" i="4"/>
  <c r="R81" i="4"/>
  <c r="S80" i="4"/>
  <c r="R80" i="4"/>
  <c r="S79" i="4"/>
  <c r="R79" i="4"/>
  <c r="R78" i="4"/>
  <c r="S77" i="4"/>
  <c r="R77" i="4"/>
  <c r="S76" i="4"/>
  <c r="R76" i="4"/>
  <c r="R75" i="4"/>
  <c r="S74" i="4"/>
  <c r="R74" i="4"/>
  <c r="R73" i="4"/>
  <c r="S72" i="4"/>
  <c r="R72" i="4"/>
  <c r="R71" i="4"/>
  <c r="S70" i="4"/>
  <c r="R70" i="4"/>
  <c r="R69" i="4"/>
  <c r="S81" i="4" s="1"/>
  <c r="S68" i="4"/>
  <c r="R68" i="4"/>
  <c r="S67" i="4"/>
  <c r="R67" i="4"/>
  <c r="R66" i="4"/>
  <c r="S78" i="4" s="1"/>
  <c r="S65" i="4"/>
  <c r="R65" i="4"/>
  <c r="S64" i="4"/>
  <c r="R64" i="4"/>
  <c r="R63" i="4"/>
  <c r="S75" i="4" s="1"/>
  <c r="S62" i="4"/>
  <c r="R62" i="4"/>
  <c r="S61" i="4"/>
  <c r="R61" i="4"/>
  <c r="S73" i="4" s="1"/>
  <c r="S60" i="4"/>
  <c r="R60" i="4"/>
  <c r="R59" i="4"/>
  <c r="S71" i="4" s="1"/>
  <c r="S58" i="4"/>
  <c r="R58" i="4"/>
  <c r="R57" i="4"/>
  <c r="S69" i="4" s="1"/>
  <c r="S56" i="4"/>
  <c r="R56" i="4"/>
  <c r="S55" i="4"/>
  <c r="R55" i="4"/>
  <c r="R54" i="4"/>
  <c r="S66" i="4" s="1"/>
  <c r="S53" i="4"/>
  <c r="R53" i="4"/>
  <c r="S52" i="4"/>
  <c r="R52" i="4"/>
  <c r="R51" i="4"/>
  <c r="S63" i="4" s="1"/>
  <c r="S50" i="4"/>
  <c r="R50" i="4"/>
  <c r="S49" i="4"/>
  <c r="R49" i="4"/>
  <c r="S48" i="4"/>
  <c r="R48" i="4"/>
  <c r="R47" i="4"/>
  <c r="S59" i="4" s="1"/>
  <c r="S46" i="4"/>
  <c r="R46" i="4"/>
  <c r="R45" i="4"/>
  <c r="S57" i="4" s="1"/>
  <c r="S44" i="4"/>
  <c r="R44" i="4"/>
  <c r="S43" i="4"/>
  <c r="R43" i="4"/>
  <c r="R42" i="4"/>
  <c r="S54" i="4" s="1"/>
  <c r="S41" i="4"/>
  <c r="R41" i="4"/>
  <c r="S40" i="4"/>
  <c r="R40" i="4"/>
  <c r="R39" i="4"/>
  <c r="S51" i="4" s="1"/>
  <c r="S38" i="4"/>
  <c r="R38" i="4"/>
  <c r="S37" i="4"/>
  <c r="R37" i="4"/>
  <c r="S36" i="4"/>
  <c r="R36" i="4"/>
  <c r="R35" i="4"/>
  <c r="S47" i="4" s="1"/>
  <c r="S34" i="4"/>
  <c r="R34" i="4"/>
  <c r="R33" i="4"/>
  <c r="S45" i="4" s="1"/>
  <c r="S32" i="4"/>
  <c r="R32" i="4"/>
  <c r="S31" i="4"/>
  <c r="R31" i="4"/>
  <c r="R30" i="4"/>
  <c r="S42" i="4" s="1"/>
  <c r="S29" i="4"/>
  <c r="R29" i="4"/>
  <c r="R28" i="4"/>
  <c r="R27" i="4"/>
  <c r="S39" i="4" s="1"/>
  <c r="R26" i="4"/>
  <c r="R25" i="4"/>
  <c r="R24" i="4"/>
  <c r="R23" i="4"/>
  <c r="S35" i="4" s="1"/>
  <c r="R22" i="4"/>
  <c r="R21" i="4"/>
  <c r="S33" i="4" s="1"/>
  <c r="R20" i="4"/>
  <c r="R19" i="4"/>
  <c r="R18" i="4"/>
  <c r="S30" i="4" s="1"/>
  <c r="R17" i="4"/>
  <c r="R16" i="4"/>
  <c r="S28" i="4" s="1"/>
  <c r="R15" i="4"/>
  <c r="S27" i="4" s="1"/>
  <c r="R14" i="4"/>
  <c r="S26" i="4" s="1"/>
  <c r="R13" i="4"/>
  <c r="S25" i="4" s="1"/>
  <c r="R12" i="4"/>
  <c r="S24" i="4" s="1"/>
  <c r="R11" i="4"/>
  <c r="S23" i="4" s="1"/>
  <c r="R10" i="4"/>
  <c r="S22" i="4" s="1"/>
  <c r="R9" i="4"/>
  <c r="S21" i="4" s="1"/>
  <c r="R8" i="4"/>
  <c r="S20" i="4" s="1"/>
  <c r="R7" i="4"/>
  <c r="S19" i="4" s="1"/>
  <c r="M81" i="3"/>
  <c r="L81" i="3"/>
  <c r="K81" i="3"/>
  <c r="J81" i="3"/>
  <c r="I81" i="3"/>
  <c r="H81" i="3"/>
  <c r="G81" i="3"/>
  <c r="L80" i="3"/>
  <c r="K80" i="3"/>
  <c r="J80" i="3"/>
  <c r="I80" i="3"/>
  <c r="H80" i="3"/>
  <c r="M80" i="3" s="1"/>
  <c r="G80" i="3"/>
  <c r="M79" i="3"/>
  <c r="L79" i="3"/>
  <c r="K79" i="3"/>
  <c r="J79" i="3"/>
  <c r="I79" i="3"/>
  <c r="H79" i="3"/>
  <c r="G79" i="3"/>
  <c r="L78" i="3"/>
  <c r="K78" i="3"/>
  <c r="J78" i="3"/>
  <c r="M78" i="3" s="1"/>
  <c r="I78" i="3"/>
  <c r="H78" i="3"/>
  <c r="G78" i="3"/>
  <c r="L77" i="3"/>
  <c r="K77" i="3"/>
  <c r="J77" i="3"/>
  <c r="M77" i="3" s="1"/>
  <c r="I77" i="3"/>
  <c r="H77" i="3"/>
  <c r="G77" i="3"/>
  <c r="L76" i="3"/>
  <c r="K76" i="3"/>
  <c r="J76" i="3"/>
  <c r="I76" i="3"/>
  <c r="H76" i="3"/>
  <c r="M76" i="3" s="1"/>
  <c r="G76" i="3"/>
  <c r="L75" i="3"/>
  <c r="K75" i="3"/>
  <c r="J75" i="3"/>
  <c r="M75" i="3" s="1"/>
  <c r="I75" i="3"/>
  <c r="H75" i="3"/>
  <c r="G75" i="3"/>
  <c r="L74" i="3"/>
  <c r="K74" i="3"/>
  <c r="J74" i="3"/>
  <c r="I74" i="3"/>
  <c r="H74" i="3"/>
  <c r="M74" i="3" s="1"/>
  <c r="G74" i="3"/>
  <c r="L73" i="3"/>
  <c r="K73" i="3"/>
  <c r="J73" i="3"/>
  <c r="I73" i="3"/>
  <c r="H73" i="3"/>
  <c r="M73" i="3" s="1"/>
  <c r="G73" i="3"/>
  <c r="L72" i="3"/>
  <c r="K72" i="3"/>
  <c r="J72" i="3"/>
  <c r="M72" i="3" s="1"/>
  <c r="I72" i="3"/>
  <c r="H72" i="3"/>
  <c r="G72" i="3"/>
  <c r="L71" i="3"/>
  <c r="K71" i="3"/>
  <c r="J71" i="3"/>
  <c r="M71" i="3" s="1"/>
  <c r="I71" i="3"/>
  <c r="H71" i="3"/>
  <c r="G71" i="3"/>
  <c r="L70" i="3"/>
  <c r="K70" i="3"/>
  <c r="J70" i="3"/>
  <c r="I70" i="3"/>
  <c r="H70" i="3"/>
  <c r="M70" i="3" s="1"/>
  <c r="G70" i="3"/>
  <c r="L69" i="3"/>
  <c r="K69" i="3"/>
  <c r="J69" i="3"/>
  <c r="I69" i="3"/>
  <c r="H69" i="3"/>
  <c r="M69" i="3" s="1"/>
  <c r="G69" i="3"/>
  <c r="L68" i="3"/>
  <c r="K68" i="3"/>
  <c r="J68" i="3"/>
  <c r="M68" i="3" s="1"/>
  <c r="I68" i="3"/>
  <c r="H68" i="3"/>
  <c r="G68" i="3"/>
  <c r="L67" i="3"/>
  <c r="K67" i="3"/>
  <c r="J67" i="3"/>
  <c r="I67" i="3"/>
  <c r="H67" i="3"/>
  <c r="M67" i="3" s="1"/>
  <c r="G67" i="3"/>
  <c r="L66" i="3"/>
  <c r="K66" i="3"/>
  <c r="J66" i="3"/>
  <c r="I66" i="3"/>
  <c r="H66" i="3"/>
  <c r="M66" i="3" s="1"/>
  <c r="G66" i="3"/>
  <c r="L65" i="3"/>
  <c r="K65" i="3"/>
  <c r="J65" i="3"/>
  <c r="M65" i="3" s="1"/>
  <c r="I65" i="3"/>
  <c r="H65" i="3"/>
  <c r="G65" i="3"/>
  <c r="L64" i="3"/>
  <c r="K64" i="3"/>
  <c r="J64" i="3"/>
  <c r="I64" i="3"/>
  <c r="H64" i="3"/>
  <c r="M64" i="3" s="1"/>
  <c r="G64" i="3"/>
  <c r="L63" i="3"/>
  <c r="K63" i="3"/>
  <c r="J63" i="3"/>
  <c r="I63" i="3"/>
  <c r="H63" i="3"/>
  <c r="M63" i="3" s="1"/>
  <c r="G63" i="3"/>
  <c r="L62" i="3"/>
  <c r="K62" i="3"/>
  <c r="J62" i="3"/>
  <c r="I62" i="3"/>
  <c r="H62" i="3"/>
  <c r="M62" i="3" s="1"/>
  <c r="G62" i="3"/>
  <c r="L61" i="3"/>
  <c r="K61" i="3"/>
  <c r="J61" i="3"/>
  <c r="I61" i="3"/>
  <c r="H61" i="3"/>
  <c r="M61" i="3" s="1"/>
  <c r="G61" i="3"/>
  <c r="L60" i="3"/>
  <c r="K60" i="3"/>
  <c r="J60" i="3"/>
  <c r="I60" i="3"/>
  <c r="H60" i="3"/>
  <c r="M60" i="3" s="1"/>
  <c r="G60" i="3"/>
  <c r="L59" i="3"/>
  <c r="K59" i="3"/>
  <c r="J59" i="3"/>
  <c r="I59" i="3"/>
  <c r="M59" i="3" s="1"/>
  <c r="H59" i="3"/>
  <c r="G59" i="3"/>
  <c r="L58" i="3"/>
  <c r="K58" i="3"/>
  <c r="J58" i="3"/>
  <c r="I58" i="3"/>
  <c r="H58" i="3"/>
  <c r="M58" i="3" s="1"/>
  <c r="G58" i="3"/>
  <c r="L57" i="3"/>
  <c r="K57" i="3"/>
  <c r="J57" i="3"/>
  <c r="I57" i="3"/>
  <c r="H57" i="3"/>
  <c r="M57" i="3" s="1"/>
  <c r="G57" i="3"/>
  <c r="L56" i="3"/>
  <c r="K56" i="3"/>
  <c r="J56" i="3"/>
  <c r="I56" i="3"/>
  <c r="M56" i="3" s="1"/>
  <c r="H56" i="3"/>
  <c r="G56" i="3"/>
  <c r="M55" i="3"/>
  <c r="L55" i="3"/>
  <c r="K55" i="3"/>
  <c r="J55" i="3"/>
  <c r="I55" i="3"/>
  <c r="H55" i="3"/>
  <c r="G55" i="3"/>
  <c r="L54" i="3"/>
  <c r="K54" i="3"/>
  <c r="J54" i="3"/>
  <c r="I54" i="3"/>
  <c r="H54" i="3"/>
  <c r="M54" i="3" s="1"/>
  <c r="G54" i="3"/>
  <c r="L53" i="3"/>
  <c r="K53" i="3"/>
  <c r="J53" i="3"/>
  <c r="I53" i="3"/>
  <c r="H53" i="3"/>
  <c r="M53" i="3" s="1"/>
  <c r="G53" i="3"/>
  <c r="L52" i="3"/>
  <c r="K52" i="3"/>
  <c r="J52" i="3"/>
  <c r="M52" i="3" s="1"/>
  <c r="I52" i="3"/>
  <c r="H52" i="3"/>
  <c r="G52" i="3"/>
  <c r="M51" i="3"/>
  <c r="L51" i="3"/>
  <c r="K51" i="3"/>
  <c r="J51" i="3"/>
  <c r="I51" i="3"/>
  <c r="H51" i="3"/>
  <c r="G51" i="3"/>
  <c r="L50" i="3"/>
  <c r="K50" i="3"/>
  <c r="J50" i="3"/>
  <c r="I50" i="3"/>
  <c r="M50" i="3" s="1"/>
  <c r="H50" i="3"/>
  <c r="G50" i="3"/>
  <c r="L49" i="3"/>
  <c r="K49" i="3"/>
  <c r="M49" i="3" s="1"/>
  <c r="J49" i="3"/>
  <c r="I49" i="3"/>
  <c r="H49" i="3"/>
  <c r="G49" i="3"/>
  <c r="L48" i="3"/>
  <c r="K48" i="3"/>
  <c r="J48" i="3"/>
  <c r="I48" i="3"/>
  <c r="M48" i="3" s="1"/>
  <c r="H48" i="3"/>
  <c r="G48" i="3"/>
  <c r="L47" i="3"/>
  <c r="K47" i="3"/>
  <c r="J47" i="3"/>
  <c r="I47" i="3"/>
  <c r="H47" i="3"/>
  <c r="M47" i="3" s="1"/>
  <c r="G47" i="3"/>
  <c r="L46" i="3"/>
  <c r="K46" i="3"/>
  <c r="J46" i="3"/>
  <c r="I46" i="3"/>
  <c r="H46" i="3"/>
  <c r="M46" i="3" s="1"/>
  <c r="G46" i="3"/>
  <c r="L45" i="3"/>
  <c r="K45" i="3"/>
  <c r="J45" i="3"/>
  <c r="I45" i="3"/>
  <c r="H45" i="3"/>
  <c r="M45" i="3" s="1"/>
  <c r="G45" i="3"/>
  <c r="L44" i="3"/>
  <c r="K44" i="3"/>
  <c r="J44" i="3"/>
  <c r="M44" i="3" s="1"/>
  <c r="I44" i="3"/>
  <c r="H44" i="3"/>
  <c r="G44" i="3"/>
  <c r="L43" i="3"/>
  <c r="K43" i="3"/>
  <c r="J43" i="3"/>
  <c r="I43" i="3"/>
  <c r="H43" i="3"/>
  <c r="M43" i="3" s="1"/>
  <c r="G43" i="3"/>
  <c r="L42" i="3"/>
  <c r="K42" i="3"/>
  <c r="J42" i="3"/>
  <c r="I42" i="3"/>
  <c r="H42" i="3"/>
  <c r="M42" i="3" s="1"/>
  <c r="G42" i="3"/>
  <c r="L41" i="3"/>
  <c r="K41" i="3"/>
  <c r="J41" i="3"/>
  <c r="M41" i="3" s="1"/>
  <c r="I41" i="3"/>
  <c r="H41" i="3"/>
  <c r="G41" i="3"/>
  <c r="L40" i="3"/>
  <c r="K40" i="3"/>
  <c r="J40" i="3"/>
  <c r="I40" i="3"/>
  <c r="H40" i="3"/>
  <c r="M40" i="3" s="1"/>
  <c r="G40" i="3"/>
  <c r="L39" i="3"/>
  <c r="K39" i="3"/>
  <c r="J39" i="3"/>
  <c r="I39" i="3"/>
  <c r="H39" i="3"/>
  <c r="M39" i="3" s="1"/>
  <c r="G39" i="3"/>
  <c r="L38" i="3"/>
  <c r="K38" i="3"/>
  <c r="J38" i="3"/>
  <c r="I38" i="3"/>
  <c r="H38" i="3"/>
  <c r="M38" i="3" s="1"/>
  <c r="G38" i="3"/>
  <c r="L37" i="3"/>
  <c r="K37" i="3"/>
  <c r="J37" i="3"/>
  <c r="I37" i="3"/>
  <c r="H37" i="3"/>
  <c r="M37" i="3" s="1"/>
  <c r="G37" i="3"/>
  <c r="L36" i="3"/>
  <c r="K36" i="3"/>
  <c r="J36" i="3"/>
  <c r="I36" i="3"/>
  <c r="H36" i="3"/>
  <c r="M36" i="3" s="1"/>
  <c r="G36" i="3"/>
  <c r="L35" i="3"/>
  <c r="K35" i="3"/>
  <c r="J35" i="3"/>
  <c r="I35" i="3"/>
  <c r="M35" i="3" s="1"/>
  <c r="H35" i="3"/>
  <c r="G35" i="3"/>
  <c r="L34" i="3"/>
  <c r="K34" i="3"/>
  <c r="J34" i="3"/>
  <c r="I34" i="3"/>
  <c r="H34" i="3"/>
  <c r="M34" i="3" s="1"/>
  <c r="G34" i="3"/>
  <c r="L33" i="3"/>
  <c r="K33" i="3"/>
  <c r="J33" i="3"/>
  <c r="I33" i="3"/>
  <c r="H33" i="3"/>
  <c r="M33" i="3" s="1"/>
  <c r="G33" i="3"/>
  <c r="L32" i="3"/>
  <c r="K32" i="3"/>
  <c r="J32" i="3"/>
  <c r="I32" i="3"/>
  <c r="M32" i="3" s="1"/>
  <c r="H32" i="3"/>
  <c r="G32" i="3"/>
  <c r="M31" i="3"/>
  <c r="L31" i="3"/>
  <c r="K31" i="3"/>
  <c r="J31" i="3"/>
  <c r="I31" i="3"/>
  <c r="H31" i="3"/>
  <c r="G31" i="3"/>
  <c r="L30" i="3"/>
  <c r="K30" i="3"/>
  <c r="J30" i="3"/>
  <c r="I30" i="3"/>
  <c r="H30" i="3"/>
  <c r="M30" i="3" s="1"/>
  <c r="G30" i="3"/>
  <c r="L29" i="3"/>
  <c r="K29" i="3"/>
  <c r="J29" i="3"/>
  <c r="I29" i="3"/>
  <c r="M29" i="3" s="1"/>
  <c r="H29" i="3"/>
  <c r="G29" i="3"/>
  <c r="L28" i="3"/>
  <c r="K28" i="3"/>
  <c r="J28" i="3"/>
  <c r="M28" i="3" s="1"/>
  <c r="I28" i="3"/>
  <c r="H28" i="3"/>
  <c r="G28" i="3"/>
  <c r="M27" i="3"/>
  <c r="L27" i="3"/>
  <c r="K27" i="3"/>
  <c r="J27" i="3"/>
  <c r="I27" i="3"/>
  <c r="H27" i="3"/>
  <c r="G27" i="3"/>
  <c r="L26" i="3"/>
  <c r="K26" i="3"/>
  <c r="J26" i="3"/>
  <c r="I26" i="3"/>
  <c r="M26" i="3" s="1"/>
  <c r="H26" i="3"/>
  <c r="G26" i="3"/>
  <c r="L25" i="3"/>
  <c r="K25" i="3"/>
  <c r="M25" i="3" s="1"/>
  <c r="J25" i="3"/>
  <c r="I25" i="3"/>
  <c r="H25" i="3"/>
  <c r="G25" i="3"/>
  <c r="L24" i="3"/>
  <c r="K24" i="3"/>
  <c r="J24" i="3"/>
  <c r="I24" i="3"/>
  <c r="H24" i="3"/>
  <c r="M24" i="3" s="1"/>
  <c r="G24" i="3"/>
  <c r="L23" i="3"/>
  <c r="K23" i="3"/>
  <c r="J23" i="3"/>
  <c r="I23" i="3"/>
  <c r="H23" i="3"/>
  <c r="M23" i="3" s="1"/>
  <c r="G23" i="3"/>
  <c r="L22" i="3"/>
  <c r="K22" i="3"/>
  <c r="J22" i="3"/>
  <c r="I22" i="3"/>
  <c r="H22" i="3"/>
  <c r="M22" i="3" s="1"/>
  <c r="G22" i="3"/>
  <c r="L21" i="3"/>
  <c r="K21" i="3"/>
  <c r="J21" i="3"/>
  <c r="I21" i="3"/>
  <c r="H21" i="3"/>
  <c r="M21" i="3" s="1"/>
  <c r="G21" i="3"/>
  <c r="L20" i="3"/>
  <c r="K20" i="3"/>
  <c r="J20" i="3"/>
  <c r="M20" i="3" s="1"/>
  <c r="I20" i="3"/>
  <c r="H20" i="3"/>
  <c r="G20" i="3"/>
  <c r="L19" i="3"/>
  <c r="K19" i="3"/>
  <c r="J19" i="3"/>
  <c r="I19" i="3"/>
  <c r="H19" i="3"/>
  <c r="M19" i="3" s="1"/>
  <c r="G19" i="3"/>
  <c r="L18" i="3"/>
  <c r="K18" i="3"/>
  <c r="J18" i="3"/>
  <c r="I18" i="3"/>
  <c r="H18" i="3"/>
  <c r="M18" i="3" s="1"/>
  <c r="G18" i="3"/>
  <c r="L17" i="3"/>
  <c r="K17" i="3"/>
  <c r="J17" i="3"/>
  <c r="M17" i="3" s="1"/>
  <c r="I17" i="3"/>
  <c r="H17" i="3"/>
  <c r="G17" i="3"/>
  <c r="L16" i="3"/>
  <c r="K16" i="3"/>
  <c r="J16" i="3"/>
  <c r="I16" i="3"/>
  <c r="H16" i="3"/>
  <c r="M16" i="3" s="1"/>
  <c r="G16" i="3"/>
  <c r="L15" i="3"/>
  <c r="K15" i="3"/>
  <c r="J15" i="3"/>
  <c r="I15" i="3"/>
  <c r="H15" i="3"/>
  <c r="M15" i="3" s="1"/>
  <c r="G15" i="3"/>
  <c r="L14" i="3"/>
  <c r="K14" i="3"/>
  <c r="J14" i="3"/>
  <c r="I14" i="3"/>
  <c r="H14" i="3"/>
  <c r="M14" i="3" s="1"/>
  <c r="G14" i="3"/>
  <c r="L13" i="3"/>
  <c r="K13" i="3"/>
  <c r="J13" i="3"/>
  <c r="I13" i="3"/>
  <c r="H13" i="3"/>
  <c r="M13" i="3" s="1"/>
  <c r="G13" i="3"/>
  <c r="L12" i="3"/>
  <c r="K12" i="3"/>
  <c r="J12" i="3"/>
  <c r="I12" i="3"/>
  <c r="H12" i="3"/>
  <c r="M12" i="3" s="1"/>
  <c r="G12" i="3"/>
  <c r="L11" i="3"/>
  <c r="K11" i="3"/>
  <c r="J11" i="3"/>
  <c r="I11" i="3"/>
  <c r="M11" i="3" s="1"/>
  <c r="H11" i="3"/>
  <c r="G11" i="3"/>
  <c r="L10" i="3"/>
  <c r="K10" i="3"/>
  <c r="J10" i="3"/>
  <c r="I10" i="3"/>
  <c r="H10" i="3"/>
  <c r="M10" i="3" s="1"/>
  <c r="G10" i="3"/>
  <c r="L9" i="3"/>
  <c r="K9" i="3"/>
  <c r="J9" i="3"/>
  <c r="I9" i="3"/>
  <c r="H9" i="3"/>
  <c r="M9" i="3" s="1"/>
  <c r="G9" i="3"/>
  <c r="L8" i="3"/>
  <c r="K8" i="3"/>
  <c r="J8" i="3"/>
  <c r="I8" i="3"/>
  <c r="M8" i="3" s="1"/>
  <c r="H8" i="3"/>
  <c r="G8" i="3"/>
  <c r="M7" i="3"/>
  <c r="L7" i="3"/>
  <c r="K7" i="3"/>
  <c r="J7" i="3"/>
  <c r="I7" i="3"/>
  <c r="H7" i="3"/>
  <c r="G7" i="3"/>
  <c r="L6" i="3"/>
  <c r="K6" i="3"/>
  <c r="J6" i="3"/>
  <c r="I6" i="3"/>
  <c r="H6" i="3"/>
  <c r="M6" i="3" s="1"/>
  <c r="G6" i="3"/>
  <c r="M81" i="2"/>
  <c r="G81" i="2"/>
  <c r="M80" i="2"/>
  <c r="G80" i="2"/>
  <c r="N79" i="2"/>
  <c r="M79" i="2"/>
  <c r="G79" i="2"/>
  <c r="M78" i="2"/>
  <c r="G78" i="2"/>
  <c r="M77" i="2"/>
  <c r="G77" i="2"/>
  <c r="N76" i="2"/>
  <c r="M76" i="2"/>
  <c r="G76" i="2"/>
  <c r="M75" i="2"/>
  <c r="G75" i="2"/>
  <c r="N74" i="2"/>
  <c r="M74" i="2"/>
  <c r="G74" i="2"/>
  <c r="M73" i="2"/>
  <c r="G73" i="2"/>
  <c r="M72" i="2"/>
  <c r="G72" i="2"/>
  <c r="N71" i="2"/>
  <c r="M71" i="2"/>
  <c r="G71" i="2"/>
  <c r="N70" i="2"/>
  <c r="M70" i="2"/>
  <c r="G70" i="2"/>
  <c r="M69" i="2"/>
  <c r="G69" i="2"/>
  <c r="M68" i="2"/>
  <c r="G68" i="2"/>
  <c r="M67" i="2"/>
  <c r="G67" i="2"/>
  <c r="N66" i="2"/>
  <c r="M66" i="2"/>
  <c r="G66" i="2"/>
  <c r="M65" i="2"/>
  <c r="G65" i="2"/>
  <c r="N64" i="2"/>
  <c r="M64" i="2"/>
  <c r="G64" i="2"/>
  <c r="N63" i="2"/>
  <c r="M63" i="2"/>
  <c r="G63" i="2"/>
  <c r="N62" i="2"/>
  <c r="M62" i="2"/>
  <c r="G62" i="2"/>
  <c r="M61" i="2"/>
  <c r="G61" i="2"/>
  <c r="M60" i="2"/>
  <c r="G60" i="2"/>
  <c r="M59" i="2"/>
  <c r="G59" i="2"/>
  <c r="N58" i="2"/>
  <c r="M58" i="2"/>
  <c r="G58" i="2"/>
  <c r="M57" i="2"/>
  <c r="G57" i="2"/>
  <c r="M56" i="2"/>
  <c r="G56" i="2"/>
  <c r="N55" i="2"/>
  <c r="M55" i="2"/>
  <c r="G55" i="2"/>
  <c r="M54" i="2"/>
  <c r="G54" i="2"/>
  <c r="M53" i="2"/>
  <c r="G53" i="2"/>
  <c r="N52" i="2"/>
  <c r="M52" i="2"/>
  <c r="G52" i="2"/>
  <c r="M51" i="2"/>
  <c r="G51" i="2"/>
  <c r="N50" i="2"/>
  <c r="M50" i="2"/>
  <c r="G50" i="2"/>
  <c r="M49" i="2"/>
  <c r="G49" i="2"/>
  <c r="M48" i="2"/>
  <c r="G48" i="2"/>
  <c r="N47" i="2"/>
  <c r="M47" i="2"/>
  <c r="G47" i="2"/>
  <c r="N46" i="2"/>
  <c r="M46" i="2"/>
  <c r="G46" i="2"/>
  <c r="M45" i="2"/>
  <c r="G45" i="2"/>
  <c r="M44" i="2"/>
  <c r="G44" i="2"/>
  <c r="M43" i="2"/>
  <c r="G43" i="2"/>
  <c r="N42" i="2"/>
  <c r="M42" i="2"/>
  <c r="G42" i="2"/>
  <c r="M41" i="2"/>
  <c r="G41" i="2"/>
  <c r="N40" i="2"/>
  <c r="M40" i="2"/>
  <c r="G40" i="2"/>
  <c r="N39" i="2"/>
  <c r="M39" i="2"/>
  <c r="G39" i="2"/>
  <c r="N38" i="2"/>
  <c r="M38" i="2"/>
  <c r="G38" i="2"/>
  <c r="M37" i="2"/>
  <c r="G37" i="2"/>
  <c r="M36" i="2"/>
  <c r="G36" i="2"/>
  <c r="M35" i="2"/>
  <c r="G35" i="2"/>
  <c r="N34" i="2"/>
  <c r="M34" i="2"/>
  <c r="G34" i="2"/>
  <c r="M33" i="2"/>
  <c r="G33" i="2"/>
  <c r="M32" i="2"/>
  <c r="G32" i="2"/>
  <c r="N31" i="2"/>
  <c r="M31" i="2"/>
  <c r="G31" i="2"/>
  <c r="M30" i="2"/>
  <c r="G30" i="2"/>
  <c r="M29" i="2"/>
  <c r="G29" i="2"/>
  <c r="N28" i="2"/>
  <c r="M28" i="2"/>
  <c r="G28" i="2"/>
  <c r="M27" i="2"/>
  <c r="G27" i="2"/>
  <c r="N26" i="2"/>
  <c r="M26" i="2"/>
  <c r="G26" i="2"/>
  <c r="M25" i="2"/>
  <c r="G25" i="2"/>
  <c r="M24" i="2"/>
  <c r="G24" i="2"/>
  <c r="N23" i="2"/>
  <c r="M23" i="2"/>
  <c r="G23" i="2"/>
  <c r="N22" i="2"/>
  <c r="M22" i="2"/>
  <c r="G22" i="2"/>
  <c r="M21" i="2"/>
  <c r="G21" i="2"/>
  <c r="M20" i="2"/>
  <c r="G20" i="2"/>
  <c r="M19" i="2"/>
  <c r="G19" i="2"/>
  <c r="N18" i="2"/>
  <c r="M18" i="2"/>
  <c r="G18" i="2"/>
  <c r="M17" i="2"/>
  <c r="G17" i="2"/>
  <c r="M16" i="2"/>
  <c r="G16" i="2"/>
  <c r="M15" i="2"/>
  <c r="G15" i="2"/>
  <c r="M14" i="2"/>
  <c r="G14" i="2"/>
  <c r="M13" i="2"/>
  <c r="G13" i="2"/>
  <c r="M12" i="2"/>
  <c r="G12" i="2"/>
  <c r="M11" i="2"/>
  <c r="G11" i="2"/>
  <c r="N10" i="2"/>
  <c r="M10" i="2"/>
  <c r="G10" i="2"/>
  <c r="M9" i="2"/>
  <c r="G9" i="2"/>
  <c r="M8" i="2"/>
  <c r="G8" i="2"/>
  <c r="N7" i="2"/>
  <c r="M7" i="2"/>
  <c r="G7" i="2"/>
  <c r="M6" i="2"/>
  <c r="G6" i="2"/>
  <c r="P81" i="1"/>
  <c r="O81" i="1"/>
  <c r="N81" i="1"/>
  <c r="G81" i="1"/>
  <c r="N81" i="2" s="1"/>
  <c r="P80" i="1"/>
  <c r="O80" i="1"/>
  <c r="N80" i="1"/>
  <c r="G80" i="1"/>
  <c r="N80" i="2" s="1"/>
  <c r="P79" i="1"/>
  <c r="O79" i="1"/>
  <c r="G79" i="1"/>
  <c r="P78" i="1"/>
  <c r="O78" i="1"/>
  <c r="G78" i="1"/>
  <c r="N78" i="2" s="1"/>
  <c r="P77" i="1"/>
  <c r="O77" i="1"/>
  <c r="N77" i="1"/>
  <c r="G77" i="1"/>
  <c r="N77" i="2" s="1"/>
  <c r="P76" i="1"/>
  <c r="O76" i="1"/>
  <c r="N76" i="1"/>
  <c r="G76" i="1"/>
  <c r="P75" i="1"/>
  <c r="O75" i="1"/>
  <c r="N75" i="1"/>
  <c r="G75" i="1"/>
  <c r="N75" i="2" s="1"/>
  <c r="P74" i="1"/>
  <c r="O74" i="1"/>
  <c r="N74" i="1"/>
  <c r="G74" i="1"/>
  <c r="P73" i="1"/>
  <c r="O73" i="1"/>
  <c r="G73" i="1"/>
  <c r="N73" i="2" s="1"/>
  <c r="P72" i="1"/>
  <c r="O72" i="1"/>
  <c r="G72" i="1"/>
  <c r="N72" i="2" s="1"/>
  <c r="P71" i="1"/>
  <c r="O71" i="1"/>
  <c r="N71" i="1"/>
  <c r="G71" i="1"/>
  <c r="P70" i="1"/>
  <c r="O70" i="1"/>
  <c r="N70" i="1"/>
  <c r="G70" i="1"/>
  <c r="P69" i="1"/>
  <c r="O69" i="1"/>
  <c r="N69" i="1"/>
  <c r="G69" i="1"/>
  <c r="N69" i="2" s="1"/>
  <c r="P68" i="1"/>
  <c r="O68" i="1"/>
  <c r="N68" i="1"/>
  <c r="G68" i="1"/>
  <c r="N68" i="2" s="1"/>
  <c r="P67" i="1"/>
  <c r="O67" i="1"/>
  <c r="G67" i="1"/>
  <c r="N67" i="2" s="1"/>
  <c r="P66" i="1"/>
  <c r="O66" i="1"/>
  <c r="G66" i="1"/>
  <c r="N78" i="1" s="1"/>
  <c r="P65" i="1"/>
  <c r="O65" i="1"/>
  <c r="N65" i="1"/>
  <c r="G65" i="1"/>
  <c r="N65" i="2" s="1"/>
  <c r="P64" i="1"/>
  <c r="O64" i="1"/>
  <c r="N64" i="1"/>
  <c r="G64" i="1"/>
  <c r="P63" i="1"/>
  <c r="O63" i="1"/>
  <c r="N63" i="1"/>
  <c r="G63" i="1"/>
  <c r="P62" i="1"/>
  <c r="O62" i="1"/>
  <c r="N62" i="1"/>
  <c r="G62" i="1"/>
  <c r="P61" i="1"/>
  <c r="O61" i="1"/>
  <c r="G61" i="1"/>
  <c r="N61" i="2" s="1"/>
  <c r="P60" i="1"/>
  <c r="O60" i="1"/>
  <c r="G60" i="1"/>
  <c r="N60" i="2" s="1"/>
  <c r="P59" i="1"/>
  <c r="O59" i="1"/>
  <c r="N59" i="1"/>
  <c r="G59" i="1"/>
  <c r="N59" i="2" s="1"/>
  <c r="P58" i="1"/>
  <c r="O58" i="1"/>
  <c r="N58" i="1"/>
  <c r="G58" i="1"/>
  <c r="P57" i="1"/>
  <c r="O57" i="1"/>
  <c r="N57" i="1"/>
  <c r="G57" i="1"/>
  <c r="N57" i="2" s="1"/>
  <c r="P56" i="1"/>
  <c r="O56" i="1"/>
  <c r="N56" i="1"/>
  <c r="G56" i="1"/>
  <c r="N56" i="2" s="1"/>
  <c r="P55" i="1"/>
  <c r="O55" i="1"/>
  <c r="G55" i="1"/>
  <c r="N67" i="1" s="1"/>
  <c r="P54" i="1"/>
  <c r="O54" i="1"/>
  <c r="G54" i="1"/>
  <c r="N54" i="2" s="1"/>
  <c r="P53" i="1"/>
  <c r="O53" i="1"/>
  <c r="N53" i="1"/>
  <c r="G53" i="1"/>
  <c r="N53" i="2" s="1"/>
  <c r="P52" i="1"/>
  <c r="O52" i="1"/>
  <c r="N52" i="1"/>
  <c r="G52" i="1"/>
  <c r="P51" i="1"/>
  <c r="O51" i="1"/>
  <c r="N51" i="1"/>
  <c r="G51" i="1"/>
  <c r="N51" i="2" s="1"/>
  <c r="P50" i="1"/>
  <c r="O50" i="1"/>
  <c r="N50" i="1"/>
  <c r="G50" i="1"/>
  <c r="P49" i="1"/>
  <c r="O49" i="1"/>
  <c r="G49" i="1"/>
  <c r="N61" i="1" s="1"/>
  <c r="P48" i="1"/>
  <c r="O48" i="1"/>
  <c r="G48" i="1"/>
  <c r="N60" i="1" s="1"/>
  <c r="P47" i="1"/>
  <c r="O47" i="1"/>
  <c r="N47" i="1"/>
  <c r="G47" i="1"/>
  <c r="P46" i="1"/>
  <c r="O46" i="1"/>
  <c r="N46" i="1"/>
  <c r="G46" i="1"/>
  <c r="P45" i="1"/>
  <c r="O45" i="1"/>
  <c r="N45" i="1"/>
  <c r="G45" i="1"/>
  <c r="N45" i="2" s="1"/>
  <c r="P44" i="1"/>
  <c r="O44" i="1"/>
  <c r="N44" i="1"/>
  <c r="G44" i="1"/>
  <c r="N44" i="2" s="1"/>
  <c r="P43" i="1"/>
  <c r="O43" i="1"/>
  <c r="G43" i="1"/>
  <c r="N43" i="2" s="1"/>
  <c r="P42" i="1"/>
  <c r="O42" i="1"/>
  <c r="G42" i="1"/>
  <c r="N54" i="1" s="1"/>
  <c r="P41" i="1"/>
  <c r="O41" i="1"/>
  <c r="N41" i="1"/>
  <c r="G41" i="1"/>
  <c r="N41" i="2" s="1"/>
  <c r="P40" i="1"/>
  <c r="O40" i="1"/>
  <c r="N40" i="1"/>
  <c r="G40" i="1"/>
  <c r="P39" i="1"/>
  <c r="O39" i="1"/>
  <c r="N39" i="1"/>
  <c r="G39" i="1"/>
  <c r="P38" i="1"/>
  <c r="O38" i="1"/>
  <c r="N38" i="1"/>
  <c r="G38" i="1"/>
  <c r="P37" i="1"/>
  <c r="O37" i="1"/>
  <c r="G37" i="1"/>
  <c r="N37" i="2" s="1"/>
  <c r="P36" i="1"/>
  <c r="O36" i="1"/>
  <c r="G36" i="1"/>
  <c r="N36" i="2" s="1"/>
  <c r="P35" i="1"/>
  <c r="O35" i="1"/>
  <c r="N35" i="1"/>
  <c r="G35" i="1"/>
  <c r="N35" i="2" s="1"/>
  <c r="P34" i="1"/>
  <c r="O34" i="1"/>
  <c r="N34" i="1"/>
  <c r="G34" i="1"/>
  <c r="P33" i="1"/>
  <c r="O33" i="1"/>
  <c r="N33" i="1"/>
  <c r="G33" i="1"/>
  <c r="N33" i="2" s="1"/>
  <c r="P32" i="1"/>
  <c r="O32" i="1"/>
  <c r="N32" i="1"/>
  <c r="G32" i="1"/>
  <c r="N32" i="2" s="1"/>
  <c r="P31" i="1"/>
  <c r="O31" i="1"/>
  <c r="G31" i="1"/>
  <c r="N43" i="1" s="1"/>
  <c r="P30" i="1"/>
  <c r="O30" i="1"/>
  <c r="G30" i="1"/>
  <c r="N30" i="2" s="1"/>
  <c r="P29" i="1"/>
  <c r="O29" i="1"/>
  <c r="N29" i="1"/>
  <c r="G29" i="1"/>
  <c r="N29" i="2" s="1"/>
  <c r="P28" i="1"/>
  <c r="O28" i="1"/>
  <c r="N28" i="1"/>
  <c r="G28" i="1"/>
  <c r="P27" i="1"/>
  <c r="O27" i="1"/>
  <c r="G27" i="1"/>
  <c r="N27" i="2" s="1"/>
  <c r="P26" i="1"/>
  <c r="O26" i="1"/>
  <c r="G26" i="1"/>
  <c r="P25" i="1"/>
  <c r="O25" i="1"/>
  <c r="G25" i="1"/>
  <c r="N37" i="1" s="1"/>
  <c r="P24" i="1"/>
  <c r="O24" i="1"/>
  <c r="G24" i="1"/>
  <c r="N36" i="1" s="1"/>
  <c r="P23" i="1"/>
  <c r="O23" i="1"/>
  <c r="G23" i="1"/>
  <c r="P22" i="1"/>
  <c r="O22" i="1"/>
  <c r="N22" i="1"/>
  <c r="G22" i="1"/>
  <c r="P21" i="1"/>
  <c r="O21" i="1"/>
  <c r="N21" i="1"/>
  <c r="G21" i="1"/>
  <c r="N21" i="2" s="1"/>
  <c r="P20" i="1"/>
  <c r="O20" i="1"/>
  <c r="G20" i="1"/>
  <c r="N20" i="2" s="1"/>
  <c r="P19" i="1"/>
  <c r="O19" i="1"/>
  <c r="G19" i="1"/>
  <c r="N19" i="2" s="1"/>
  <c r="P18" i="1"/>
  <c r="O18" i="1"/>
  <c r="G18" i="1"/>
  <c r="N30" i="1" s="1"/>
  <c r="G17" i="1"/>
  <c r="N17" i="2" s="1"/>
  <c r="G16" i="1"/>
  <c r="N16" i="2" s="1"/>
  <c r="G15" i="1"/>
  <c r="N27" i="1" s="1"/>
  <c r="G14" i="1"/>
  <c r="N14" i="2" s="1"/>
  <c r="G13" i="1"/>
  <c r="N13" i="2" s="1"/>
  <c r="G12" i="1"/>
  <c r="N12" i="2" s="1"/>
  <c r="G11" i="1"/>
  <c r="N11" i="2" s="1"/>
  <c r="G10" i="1"/>
  <c r="G9" i="1"/>
  <c r="N9" i="2" s="1"/>
  <c r="G8" i="1"/>
  <c r="N20" i="1" s="1"/>
  <c r="G7" i="1"/>
  <c r="N19" i="1" s="1"/>
  <c r="G6" i="1"/>
  <c r="N6" i="2" s="1"/>
  <c r="N8" i="2" l="1"/>
  <c r="N24" i="2"/>
  <c r="N48" i="2"/>
  <c r="N18" i="1"/>
  <c r="N24" i="1"/>
  <c r="N42" i="1"/>
  <c r="N48" i="1"/>
  <c r="N66" i="1"/>
  <c r="N72" i="1"/>
  <c r="N25" i="2"/>
  <c r="N49" i="2"/>
  <c r="N25" i="1"/>
  <c r="N31" i="1"/>
  <c r="N49" i="1"/>
  <c r="N55" i="1"/>
  <c r="N73" i="1"/>
  <c r="N79" i="1"/>
  <c r="N23" i="1"/>
  <c r="N15" i="2"/>
  <c r="N26" i="1"/>
</calcChain>
</file>

<file path=xl/sharedStrings.xml><?xml version="1.0" encoding="utf-8"?>
<sst xmlns="http://schemas.openxmlformats.org/spreadsheetml/2006/main" count="300" uniqueCount="231">
  <si>
    <t>US Renewable Fuel RIN Generation — Monthly by D-Code</t>
  </si>
  <si>
    <t>Renewable Identification Numbers (millions)</t>
  </si>
  <si>
    <t>Source: EPA EMTS  |  Updated monthly, 30-60 day lag</t>
  </si>
  <si>
    <t>Period</t>
  </si>
  <si>
    <t>D3
Cellulosic
Biofuel</t>
  </si>
  <si>
    <t>D4
Biomass-Based
Diesel</t>
  </si>
  <si>
    <t>D5
Advanced
Biofuel</t>
  </si>
  <si>
    <t>D6
Renewable
Fuel</t>
  </si>
  <si>
    <t>D7
Cellulosic
Diesel</t>
  </si>
  <si>
    <t>Total
RINs</t>
  </si>
  <si>
    <t>D4
Biodiesel</t>
  </si>
  <si>
    <t>D4
Renew. Diesel</t>
  </si>
  <si>
    <t>D4
Other</t>
  </si>
  <si>
    <t>Phys. Vol.
Total
(mil gal)</t>
  </si>
  <si>
    <t>D4 Phys.
Biodiesel
(mil gal)</t>
  </si>
  <si>
    <t>D4 Phys.
RD
(mil gal)</t>
  </si>
  <si>
    <t>Total
YoY %</t>
  </si>
  <si>
    <t>D4
YoY %</t>
  </si>
  <si>
    <t>D6
YoY %</t>
  </si>
  <si>
    <t>US RIN Separation &amp; Available RINs — Monthly by D-Code</t>
  </si>
  <si>
    <t>Source: EPA EMTS  |  Separation = assigned to obligated party  |  Available = in market</t>
  </si>
  <si>
    <t>Sep D3</t>
  </si>
  <si>
    <t>Sep D4</t>
  </si>
  <si>
    <t>Sep D5</t>
  </si>
  <si>
    <t>Sep D6</t>
  </si>
  <si>
    <t>Sep D7</t>
  </si>
  <si>
    <t>Sep Total</t>
  </si>
  <si>
    <t>Avail D3</t>
  </si>
  <si>
    <t>Avail D4</t>
  </si>
  <si>
    <t>Avail D5</t>
  </si>
  <si>
    <t>Avail D6</t>
  </si>
  <si>
    <t>Avail D7</t>
  </si>
  <si>
    <t>Avail Total</t>
  </si>
  <si>
    <t>Sep/Gen
Ratio</t>
  </si>
  <si>
    <t>US RIN Retirement &amp; Net Balance — Monthly by D-Code</t>
  </si>
  <si>
    <t>Source: EPA EMTS  |  Balance = Cumulative Available − Cumulative Retired</t>
  </si>
  <si>
    <t>Ret D3</t>
  </si>
  <si>
    <t>Ret D4</t>
  </si>
  <si>
    <t>Ret D5</t>
  </si>
  <si>
    <t>Ret D6</t>
  </si>
  <si>
    <t>Ret D7</t>
  </si>
  <si>
    <t>Ret Total</t>
  </si>
  <si>
    <t>Bal D3</t>
  </si>
  <si>
    <t>Bal D4</t>
  </si>
  <si>
    <t>Bal D5</t>
  </si>
  <si>
    <t>Bal D6</t>
  </si>
  <si>
    <t>Bal D7</t>
  </si>
  <si>
    <t>Bal Total</t>
  </si>
  <si>
    <t>Compliance
Year</t>
  </si>
  <si>
    <t>RVO
Target
(bil gal)</t>
  </si>
  <si>
    <t>US Biofuel Feedstock Consumption — Monthly</t>
  </si>
  <si>
    <t>Million pounds per month, by feedstock type and plant type</t>
  </si>
  <si>
    <t>Source: EIA Form 819, Table 2  |  Published monthly as PDF</t>
  </si>
  <si>
    <t>Vegetable Oils (mil lbs)</t>
  </si>
  <si>
    <t>Animal Fats &amp; Greases (mil lbs)</t>
  </si>
  <si>
    <t>Other Feedstocks (mil lbs)</t>
  </si>
  <si>
    <t>Totals (mil lbs)</t>
  </si>
  <si>
    <t>Soybean
Oil</t>
  </si>
  <si>
    <t>Corn
Oil</t>
  </si>
  <si>
    <t>Canola
Oil</t>
  </si>
  <si>
    <t>Palm
Oil</t>
  </si>
  <si>
    <t>Other
Veg Oil</t>
  </si>
  <si>
    <t>Tallow</t>
  </si>
  <si>
    <t>Poultry
Fat</t>
  </si>
  <si>
    <t>White
Grease</t>
  </si>
  <si>
    <t>Yellow Grease
/ UCO</t>
  </si>
  <si>
    <t>Other
Animal</t>
  </si>
  <si>
    <t>Distillers
Corn Oil</t>
  </si>
  <si>
    <t>Tall
Oil</t>
  </si>
  <si>
    <t>Waste Oils
&amp; Fats</t>
  </si>
  <si>
    <t>Other
Biomass</t>
  </si>
  <si>
    <t>Total
Biodiesel</t>
  </si>
  <si>
    <t>Total
Renew Diesel</t>
  </si>
  <si>
    <t>Total
All Plants</t>
  </si>
  <si>
    <t>US Biofuel Feedstock — Biodiesel vs. Renewable Diesel Plant Split</t>
  </si>
  <si>
    <t>Million pounds per month — Key feedstocks only</t>
  </si>
  <si>
    <t>Source: EIA Form 819, Table 2  |  Critical for oilseed demand forecasting</t>
  </si>
  <si>
    <t>SBO
Biodiesel</t>
  </si>
  <si>
    <t>SBO
Renew Diesel</t>
  </si>
  <si>
    <t>SBO
Total</t>
  </si>
  <si>
    <t>Corn Oil
Biodiesel</t>
  </si>
  <si>
    <t>Corn Oil
Renew Diesel</t>
  </si>
  <si>
    <t>Corn Oil
Total</t>
  </si>
  <si>
    <t>Tallow
Biodiesel</t>
  </si>
  <si>
    <t>Tallow
Renew Diesel</t>
  </si>
  <si>
    <t>Tallow
Total</t>
  </si>
  <si>
    <t>UCO/YG
Biodiesel</t>
  </si>
  <si>
    <t>UCO/YG
Renew Diesel</t>
  </si>
  <si>
    <t>UCO/YG
Total</t>
  </si>
  <si>
    <t>All Feeds
Biodiesel</t>
  </si>
  <si>
    <t>All Feeds
Renew Diesel</t>
  </si>
  <si>
    <t>All Feeds
Total</t>
  </si>
  <si>
    <t>US Biofuel Production — Monthly</t>
  </si>
  <si>
    <t>Thousand barrels per day (kbd) and million gallons</t>
  </si>
  <si>
    <t>Source: EIA Petroleum Supply Monthly + Weekly Petroleum Status Report</t>
  </si>
  <si>
    <t>Ethanol
Prod
(kbd)</t>
  </si>
  <si>
    <t>Ethanol
Prod
(mil gal)</t>
  </si>
  <si>
    <t>Biodiesel
Prod
(kbd)</t>
  </si>
  <si>
    <t>Biodiesel
Prod
(mil gal)</t>
  </si>
  <si>
    <t>Renew Diesel
Prod
(kbd)</t>
  </si>
  <si>
    <t>Renew Diesel
Prod
(mil gal)</t>
  </si>
  <si>
    <t>Other Biofuel
Prod
(kbd)</t>
  </si>
  <si>
    <t>Total Biofuel
Prod
(kbd)</t>
  </si>
  <si>
    <t>Ethanol
Stocks
(k bbl)</t>
  </si>
  <si>
    <t>Biodiesel
Stocks
(k bbl)</t>
  </si>
  <si>
    <t>RD
Stocks
(k bbl)</t>
  </si>
  <si>
    <t>Ethanol
YoY %</t>
  </si>
  <si>
    <t>BBD
YoY %</t>
  </si>
  <si>
    <t>US Biofuel Imports &amp; Exports — Monthly</t>
  </si>
  <si>
    <t>Thousand barrels (k bbl)</t>
  </si>
  <si>
    <t>Source: EIA Petroleum Supply Monthly</t>
  </si>
  <si>
    <t>Ethanol
Imports</t>
  </si>
  <si>
    <t>Ethanol
Exports</t>
  </si>
  <si>
    <t>Ethanol
Net Imp</t>
  </si>
  <si>
    <t>Biodiesel
Imports</t>
  </si>
  <si>
    <t>Biodiesel
Exports</t>
  </si>
  <si>
    <t>Biodiesel
Net Imp</t>
  </si>
  <si>
    <t>Renew Diesel
Imports</t>
  </si>
  <si>
    <t>Renew Diesel
Exports</t>
  </si>
  <si>
    <t>RD
Net Imp</t>
  </si>
  <si>
    <t>Total Biofuel
Net Imports</t>
  </si>
  <si>
    <t>US Biofuel Plant Capacity — Current Nameplate</t>
  </si>
  <si>
    <t>Million gallons per year (MMgy)  |  Plant-level detail</t>
  </si>
  <si>
    <t>Source: EIA Biodiesel, Ethanol, and Renewable Diesel capacity reports (annual)</t>
  </si>
  <si>
    <t>Company</t>
  </si>
  <si>
    <t>Plant
Location</t>
  </si>
  <si>
    <t>State</t>
  </si>
  <si>
    <t>PADD</t>
  </si>
  <si>
    <t>Fuel
Type</t>
  </si>
  <si>
    <t>Nameplate
Capacity
(MMgy)</t>
  </si>
  <si>
    <t>Operable
Status</t>
  </si>
  <si>
    <t>Year
Online</t>
  </si>
  <si>
    <t>Feedstock
Primary</t>
  </si>
  <si>
    <t>Notes</t>
  </si>
  <si>
    <t>US Gasoline &amp; Diesel Context for Biofuel Blending</t>
  </si>
  <si>
    <t>Thousand barrels per day (kbd)</t>
  </si>
  <si>
    <t>Source: EIA Weekly Petroleum Status Report + Monthly</t>
  </si>
  <si>
    <t>Gasoline
Production
(kbd)</t>
  </si>
  <si>
    <t>Gasoline
Demand
(kbd)</t>
  </si>
  <si>
    <t>Gasoline
Stocks
(k bbl)</t>
  </si>
  <si>
    <t>Ethanol
Blend Rate
%</t>
  </si>
  <si>
    <t>Diesel
Production
(kbd)</t>
  </si>
  <si>
    <t>Diesel
Demand
(kbd)</t>
  </si>
  <si>
    <t>Diesel
Stocks
(k bbl)</t>
  </si>
  <si>
    <t>BBD
Blend Rate
%</t>
  </si>
  <si>
    <t>Cross-Reference: EPA D-Codes ↔ EIA Products ↔ Feedstocks</t>
  </si>
  <si>
    <t>Maps data sources across EPA EMTS, EIA Petroleum, and RLC internal codes</t>
  </si>
  <si>
    <t>EPA D-Code Reference</t>
  </si>
  <si>
    <t>D-Code</t>
  </si>
  <si>
    <t>Category</t>
  </si>
  <si>
    <t>Fuel Types</t>
  </si>
  <si>
    <t>EV</t>
  </si>
  <si>
    <t>Nesting</t>
  </si>
  <si>
    <t>EIA Product Code</t>
  </si>
  <si>
    <t>D3</t>
  </si>
  <si>
    <t>Cellulosic Biofuel</t>
  </si>
  <si>
    <t>CNG/LNG from biogas, cellulosic ethanol</t>
  </si>
  <si>
    <t>1.0-1.7</t>
  </si>
  <si>
    <t>D3→D4→D5→D7→Renewable</t>
  </si>
  <si>
    <t>N/A (not in petroleum data)</t>
  </si>
  <si>
    <t>D4</t>
  </si>
  <si>
    <t>Biomass-Based Diesel</t>
  </si>
  <si>
    <t>Biodiesel (FAME), Renewable Diesel (HVO)</t>
  </si>
  <si>
    <t>1.5 (BD), 1.7 (RD)</t>
  </si>
  <si>
    <t>D4→D5→Renewable</t>
  </si>
  <si>
    <t>EPOORDB (BD), EPOORDO (RD)</t>
  </si>
  <si>
    <t>D5</t>
  </si>
  <si>
    <t>Advanced Biofuel</t>
  </si>
  <si>
    <t>Sugarcane ethanol, naphtha, butanol</t>
  </si>
  <si>
    <t>D5→Renewable</t>
  </si>
  <si>
    <t>Various</t>
  </si>
  <si>
    <t>D6</t>
  </si>
  <si>
    <t>Renewable Fuel</t>
  </si>
  <si>
    <t>Corn ethanol (conventional)</t>
  </si>
  <si>
    <t>1.0</t>
  </si>
  <si>
    <t>Renewable only</t>
  </si>
  <si>
    <t>EPOOXE</t>
  </si>
  <si>
    <t>D7</t>
  </si>
  <si>
    <t>Cellulosic Diesel</t>
  </si>
  <si>
    <t>RD from cellulosic feedstock, SAF</t>
  </si>
  <si>
    <t>1.5-1.7</t>
  </si>
  <si>
    <t>D7→D3→D4→D5→Renewable</t>
  </si>
  <si>
    <t>EPOORDO (subset)</t>
  </si>
  <si>
    <t>Feedstock Conversion Factors</t>
  </si>
  <si>
    <t>Feedstock</t>
  </si>
  <si>
    <t>EIA Table</t>
  </si>
  <si>
    <t>Unit</t>
  </si>
  <si>
    <t>Approx lbs/gal BD</t>
  </si>
  <si>
    <t>Approx lbs/gal RD</t>
  </si>
  <si>
    <t>Primary D-Code</t>
  </si>
  <si>
    <t>Soybean Oil</t>
  </si>
  <si>
    <t>2a</t>
  </si>
  <si>
    <t>mil lbs</t>
  </si>
  <si>
    <t>7.5</t>
  </si>
  <si>
    <t>7.0</t>
  </si>
  <si>
    <t>Corn Oil</t>
  </si>
  <si>
    <t>D4/D5</t>
  </si>
  <si>
    <t>Canola Oil</t>
  </si>
  <si>
    <t>Palm Oil</t>
  </si>
  <si>
    <t>2b</t>
  </si>
  <si>
    <t>8.0</t>
  </si>
  <si>
    <t>Poultry Fat</t>
  </si>
  <si>
    <t>White Grease</t>
  </si>
  <si>
    <t>Yellow Grease / UCO</t>
  </si>
  <si>
    <t>Distillers Corn Oil</t>
  </si>
  <si>
    <t>2d</t>
  </si>
  <si>
    <t>Tall Oil</t>
  </si>
  <si>
    <t>—</t>
  </si>
  <si>
    <t>D4/D7</t>
  </si>
  <si>
    <t>Waste Oils &amp; Fats</t>
  </si>
  <si>
    <t>Key EIA Series IDs</t>
  </si>
  <si>
    <t>Series ID</t>
  </si>
  <si>
    <t>Description</t>
  </si>
  <si>
    <t>Frequency</t>
  </si>
  <si>
    <t>PET.W_EPOOXE_YOP_NUS_MBBLD.W</t>
  </si>
  <si>
    <t>Ethanol Production</t>
  </si>
  <si>
    <t>Weekly</t>
  </si>
  <si>
    <t>kbd</t>
  </si>
  <si>
    <t>PET.M_EPOOXE_YOP_NUS_1.M</t>
  </si>
  <si>
    <t>Monthly</t>
  </si>
  <si>
    <t>k bbl</t>
  </si>
  <si>
    <t>PET.MCREXUS1.M</t>
  </si>
  <si>
    <t>Ethanol Stocks</t>
  </si>
  <si>
    <t>PET.M_EPOORDB_YOP_NUS_1.M</t>
  </si>
  <si>
    <t>Biodiesel Production</t>
  </si>
  <si>
    <t>PET.M_EPOORDO_YOP_NUS_1.M</t>
  </si>
  <si>
    <t>Renewable Diesel Production</t>
  </si>
  <si>
    <t>PET.WGFUPUS2.W</t>
  </si>
  <si>
    <t>Gasoline Production</t>
  </si>
  <si>
    <t>PET.WDIUPUS2.W</t>
  </si>
  <si>
    <t>Distillate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</si>
</sst>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#,##0.0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2"/>
      <color rgb="FF2F5496"/>
      <name val="Arial"/>
      <family val="2"/>
    </font>
    <font>
      <b/>
      <sz val="10"/>
      <color rgb="FF2F5496"/>
      <name val="Arial"/>
      <family val="2"/>
    </font>
    <font>
      <i/>
      <sz val="8"/>
      <color rgb="FF80808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70C0"/>
      <name val="Arial"/>
      <family val="2"/>
    </font>
    <font>
      <b/>
      <sz val="9"/>
      <color rgb="FF2F549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64" fontId="5" fillId="0" borderId="2" xfId="0" applyNumberFormat="1" applyFont="1" applyBorder="1"/>
    <xf numFmtId="165" fontId="5" fillId="0" borderId="2" xfId="0" applyNumberFormat="1" applyFont="1" applyBorder="1"/>
    <xf numFmtId="165" fontId="6" fillId="3" borderId="2" xfId="0" applyNumberFormat="1" applyFont="1" applyFill="1" applyBorder="1"/>
    <xf numFmtId="166" fontId="7" fillId="0" borderId="2" xfId="0" applyNumberFormat="1" applyFont="1" applyBorder="1"/>
    <xf numFmtId="0" fontId="6" fillId="3" borderId="2" xfId="0" applyFont="1" applyFill="1" applyBorder="1"/>
    <xf numFmtId="0" fontId="5" fillId="0" borderId="2" xfId="0" applyFont="1" applyBorder="1"/>
    <xf numFmtId="0" fontId="4" fillId="2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3" fontId="5" fillId="0" borderId="2" xfId="0" applyNumberFormat="1" applyFont="1" applyBorder="1"/>
    <xf numFmtId="3" fontId="6" fillId="0" borderId="2" xfId="0" applyNumberFormat="1" applyFont="1" applyBorder="1"/>
    <xf numFmtId="3" fontId="6" fillId="3" borderId="2" xfId="0" applyNumberFormat="1" applyFont="1" applyFill="1" applyBorder="1"/>
    <xf numFmtId="0" fontId="5" fillId="0" borderId="0" xfId="0" applyFont="1"/>
    <xf numFmtId="165" fontId="5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2" customWidth="1"/>
    <col min="2" max="16" width="13" customWidth="1"/>
  </cols>
  <sheetData>
    <row r="1" spans="1:16" ht="15.75" x14ac:dyDescent="0.25">
      <c r="A1" s="2" t="s">
        <v>0</v>
      </c>
    </row>
    <row r="2" spans="1:16" x14ac:dyDescent="0.25">
      <c r="A2" s="3" t="s">
        <v>1</v>
      </c>
    </row>
    <row r="3" spans="1:16" x14ac:dyDescent="0.25">
      <c r="A3" s="4" t="s">
        <v>2</v>
      </c>
    </row>
    <row r="5" spans="1:16" ht="51.7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x14ac:dyDescent="0.25">
      <c r="A6" s="6">
        <v>43831</v>
      </c>
      <c r="B6" s="7"/>
      <c r="C6" s="7"/>
      <c r="D6" s="7"/>
      <c r="E6" s="7"/>
      <c r="F6" s="7"/>
      <c r="G6" s="8">
        <f t="shared" ref="G6:G37" si="0">SUM(B6:F6)</f>
        <v>0</v>
      </c>
      <c r="H6" s="7"/>
      <c r="I6" s="7"/>
      <c r="J6" s="7"/>
      <c r="K6" s="7"/>
      <c r="L6" s="7"/>
      <c r="M6" s="7"/>
      <c r="N6" s="9"/>
      <c r="O6" s="9"/>
      <c r="P6" s="9"/>
    </row>
    <row r="7" spans="1:16" x14ac:dyDescent="0.25">
      <c r="A7" s="6">
        <v>43862</v>
      </c>
      <c r="B7" s="7"/>
      <c r="C7" s="7"/>
      <c r="D7" s="7"/>
      <c r="E7" s="7"/>
      <c r="F7" s="7"/>
      <c r="G7" s="8">
        <f t="shared" si="0"/>
        <v>0</v>
      </c>
      <c r="H7" s="7"/>
      <c r="I7" s="7"/>
      <c r="J7" s="7"/>
      <c r="K7" s="7"/>
      <c r="L7" s="7"/>
      <c r="M7" s="7"/>
      <c r="N7" s="9"/>
      <c r="O7" s="9"/>
      <c r="P7" s="9"/>
    </row>
    <row r="8" spans="1:16" x14ac:dyDescent="0.25">
      <c r="A8" s="6">
        <v>43891</v>
      </c>
      <c r="B8" s="7"/>
      <c r="C8" s="7"/>
      <c r="D8" s="7"/>
      <c r="E8" s="7"/>
      <c r="F8" s="7"/>
      <c r="G8" s="8">
        <f t="shared" si="0"/>
        <v>0</v>
      </c>
      <c r="H8" s="7"/>
      <c r="I8" s="7"/>
      <c r="J8" s="7"/>
      <c r="K8" s="7"/>
      <c r="L8" s="7"/>
      <c r="M8" s="7"/>
      <c r="N8" s="9"/>
      <c r="O8" s="9"/>
      <c r="P8" s="9"/>
    </row>
    <row r="9" spans="1:16" x14ac:dyDescent="0.25">
      <c r="A9" s="6">
        <v>43922</v>
      </c>
      <c r="B9" s="7"/>
      <c r="C9" s="7"/>
      <c r="D9" s="7"/>
      <c r="E9" s="7"/>
      <c r="F9" s="7"/>
      <c r="G9" s="8">
        <f t="shared" si="0"/>
        <v>0</v>
      </c>
      <c r="H9" s="7"/>
      <c r="I9" s="7"/>
      <c r="J9" s="7"/>
      <c r="K9" s="7"/>
      <c r="L9" s="7"/>
      <c r="M9" s="7"/>
      <c r="N9" s="9"/>
      <c r="O9" s="9"/>
      <c r="P9" s="9"/>
    </row>
    <row r="10" spans="1:16" x14ac:dyDescent="0.25">
      <c r="A10" s="6">
        <v>43952</v>
      </c>
      <c r="B10" s="7"/>
      <c r="C10" s="7"/>
      <c r="D10" s="7"/>
      <c r="E10" s="7"/>
      <c r="F10" s="7"/>
      <c r="G10" s="8">
        <f t="shared" si="0"/>
        <v>0</v>
      </c>
      <c r="H10" s="7"/>
      <c r="I10" s="7"/>
      <c r="J10" s="7"/>
      <c r="K10" s="7"/>
      <c r="L10" s="7"/>
      <c r="M10" s="7"/>
      <c r="N10" s="9"/>
      <c r="O10" s="9"/>
      <c r="P10" s="9"/>
    </row>
    <row r="11" spans="1:16" x14ac:dyDescent="0.25">
      <c r="A11" s="6">
        <v>43983</v>
      </c>
      <c r="B11" s="7"/>
      <c r="C11" s="7"/>
      <c r="D11" s="7"/>
      <c r="E11" s="7"/>
      <c r="F11" s="7"/>
      <c r="G11" s="8">
        <f t="shared" si="0"/>
        <v>0</v>
      </c>
      <c r="H11" s="7"/>
      <c r="I11" s="7"/>
      <c r="J11" s="7"/>
      <c r="K11" s="7"/>
      <c r="L11" s="7"/>
      <c r="M11" s="7"/>
      <c r="N11" s="9"/>
      <c r="O11" s="9"/>
      <c r="P11" s="9"/>
    </row>
    <row r="12" spans="1:16" x14ac:dyDescent="0.25">
      <c r="A12" s="6">
        <v>44013</v>
      </c>
      <c r="B12" s="7"/>
      <c r="C12" s="7"/>
      <c r="D12" s="7"/>
      <c r="E12" s="7"/>
      <c r="F12" s="7"/>
      <c r="G12" s="8">
        <f t="shared" si="0"/>
        <v>0</v>
      </c>
      <c r="H12" s="7"/>
      <c r="I12" s="7"/>
      <c r="J12" s="7"/>
      <c r="K12" s="7"/>
      <c r="L12" s="7"/>
      <c r="M12" s="7"/>
      <c r="N12" s="9"/>
      <c r="O12" s="9"/>
      <c r="P12" s="9"/>
    </row>
    <row r="13" spans="1:16" x14ac:dyDescent="0.25">
      <c r="A13" s="6">
        <v>44044</v>
      </c>
      <c r="B13" s="7"/>
      <c r="C13" s="7"/>
      <c r="D13" s="7"/>
      <c r="E13" s="7"/>
      <c r="F13" s="7"/>
      <c r="G13" s="8">
        <f t="shared" si="0"/>
        <v>0</v>
      </c>
      <c r="H13" s="7"/>
      <c r="I13" s="7"/>
      <c r="J13" s="7"/>
      <c r="K13" s="7"/>
      <c r="L13" s="7"/>
      <c r="M13" s="7"/>
      <c r="N13" s="9"/>
      <c r="O13" s="9"/>
      <c r="P13" s="9"/>
    </row>
    <row r="14" spans="1:16" x14ac:dyDescent="0.25">
      <c r="A14" s="6">
        <v>44075</v>
      </c>
      <c r="B14" s="7"/>
      <c r="C14" s="7"/>
      <c r="D14" s="7"/>
      <c r="E14" s="7"/>
      <c r="F14" s="7"/>
      <c r="G14" s="8">
        <f t="shared" si="0"/>
        <v>0</v>
      </c>
      <c r="H14" s="7"/>
      <c r="I14" s="7"/>
      <c r="J14" s="7"/>
      <c r="K14" s="7"/>
      <c r="L14" s="7"/>
      <c r="M14" s="7"/>
      <c r="N14" s="9"/>
      <c r="O14" s="9"/>
      <c r="P14" s="9"/>
    </row>
    <row r="15" spans="1:16" x14ac:dyDescent="0.25">
      <c r="A15" s="6">
        <v>44105</v>
      </c>
      <c r="B15" s="7"/>
      <c r="C15" s="7"/>
      <c r="D15" s="7"/>
      <c r="E15" s="7"/>
      <c r="F15" s="7"/>
      <c r="G15" s="8">
        <f t="shared" si="0"/>
        <v>0</v>
      </c>
      <c r="H15" s="7"/>
      <c r="I15" s="7"/>
      <c r="J15" s="7"/>
      <c r="K15" s="7"/>
      <c r="L15" s="7"/>
      <c r="M15" s="7"/>
      <c r="N15" s="9"/>
      <c r="O15" s="9"/>
      <c r="P15" s="9"/>
    </row>
    <row r="16" spans="1:16" x14ac:dyDescent="0.25">
      <c r="A16" s="6">
        <v>44136</v>
      </c>
      <c r="B16" s="7"/>
      <c r="C16" s="7"/>
      <c r="D16" s="7"/>
      <c r="E16" s="7"/>
      <c r="F16" s="7"/>
      <c r="G16" s="8">
        <f t="shared" si="0"/>
        <v>0</v>
      </c>
      <c r="H16" s="7"/>
      <c r="I16" s="7"/>
      <c r="J16" s="7"/>
      <c r="K16" s="7"/>
      <c r="L16" s="7"/>
      <c r="M16" s="7"/>
      <c r="N16" s="9"/>
      <c r="O16" s="9"/>
      <c r="P16" s="9"/>
    </row>
    <row r="17" spans="1:16" x14ac:dyDescent="0.25">
      <c r="A17" s="6">
        <v>44166</v>
      </c>
      <c r="B17" s="7"/>
      <c r="C17" s="7"/>
      <c r="D17" s="7"/>
      <c r="E17" s="7"/>
      <c r="F17" s="7"/>
      <c r="G17" s="8">
        <f t="shared" si="0"/>
        <v>0</v>
      </c>
      <c r="H17" s="7"/>
      <c r="I17" s="7"/>
      <c r="J17" s="7"/>
      <c r="K17" s="7"/>
      <c r="L17" s="7"/>
      <c r="M17" s="7"/>
      <c r="N17" s="9"/>
      <c r="O17" s="9"/>
      <c r="P17" s="9"/>
    </row>
    <row r="18" spans="1:16" x14ac:dyDescent="0.25">
      <c r="A18" s="6">
        <v>44197</v>
      </c>
      <c r="B18" s="7"/>
      <c r="C18" s="7"/>
      <c r="D18" s="7"/>
      <c r="E18" s="7"/>
      <c r="F18" s="7"/>
      <c r="G18" s="8">
        <f t="shared" si="0"/>
        <v>0</v>
      </c>
      <c r="H18" s="7"/>
      <c r="I18" s="7"/>
      <c r="J18" s="7"/>
      <c r="K18" s="7"/>
      <c r="L18" s="7"/>
      <c r="M18" s="7"/>
      <c r="N18" s="9" t="str">
        <f t="shared" ref="N18:N49" si="1">IF(G6=0,"",G18/G6-1)</f>
        <v/>
      </c>
      <c r="O18" s="9" t="str">
        <f t="shared" ref="O18:O49" si="2">IF(C6=0,"",C18/C6-1)</f>
        <v/>
      </c>
      <c r="P18" s="9" t="str">
        <f t="shared" ref="P18:P49" si="3">IF(E6=0,"",E18/E6-1)</f>
        <v/>
      </c>
    </row>
    <row r="19" spans="1:16" x14ac:dyDescent="0.25">
      <c r="A19" s="6">
        <v>44228</v>
      </c>
      <c r="B19" s="7"/>
      <c r="C19" s="7"/>
      <c r="D19" s="7"/>
      <c r="E19" s="7"/>
      <c r="F19" s="7"/>
      <c r="G19" s="8">
        <f t="shared" si="0"/>
        <v>0</v>
      </c>
      <c r="H19" s="7"/>
      <c r="I19" s="7"/>
      <c r="J19" s="7"/>
      <c r="K19" s="7"/>
      <c r="L19" s="7"/>
      <c r="M19" s="7"/>
      <c r="N19" s="9" t="str">
        <f t="shared" si="1"/>
        <v/>
      </c>
      <c r="O19" s="9" t="str">
        <f t="shared" si="2"/>
        <v/>
      </c>
      <c r="P19" s="9" t="str">
        <f t="shared" si="3"/>
        <v/>
      </c>
    </row>
    <row r="20" spans="1:16" x14ac:dyDescent="0.25">
      <c r="A20" s="6">
        <v>44256</v>
      </c>
      <c r="B20" s="7"/>
      <c r="C20" s="7"/>
      <c r="D20" s="7"/>
      <c r="E20" s="7"/>
      <c r="F20" s="7"/>
      <c r="G20" s="8">
        <f t="shared" si="0"/>
        <v>0</v>
      </c>
      <c r="H20" s="7"/>
      <c r="I20" s="7"/>
      <c r="J20" s="7"/>
      <c r="K20" s="7"/>
      <c r="L20" s="7"/>
      <c r="M20" s="7"/>
      <c r="N20" s="9" t="str">
        <f t="shared" si="1"/>
        <v/>
      </c>
      <c r="O20" s="9" t="str">
        <f t="shared" si="2"/>
        <v/>
      </c>
      <c r="P20" s="9" t="str">
        <f t="shared" si="3"/>
        <v/>
      </c>
    </row>
    <row r="21" spans="1:16" x14ac:dyDescent="0.25">
      <c r="A21" s="6">
        <v>44287</v>
      </c>
      <c r="B21" s="7"/>
      <c r="C21" s="7"/>
      <c r="D21" s="7"/>
      <c r="E21" s="7"/>
      <c r="F21" s="7"/>
      <c r="G21" s="8">
        <f t="shared" si="0"/>
        <v>0</v>
      </c>
      <c r="H21" s="7"/>
      <c r="I21" s="7"/>
      <c r="J21" s="7"/>
      <c r="K21" s="7"/>
      <c r="L21" s="7"/>
      <c r="M21" s="7"/>
      <c r="N21" s="9" t="str">
        <f t="shared" si="1"/>
        <v/>
      </c>
      <c r="O21" s="9" t="str">
        <f t="shared" si="2"/>
        <v/>
      </c>
      <c r="P21" s="9" t="str">
        <f t="shared" si="3"/>
        <v/>
      </c>
    </row>
    <row r="22" spans="1:16" x14ac:dyDescent="0.25">
      <c r="A22" s="6">
        <v>44317</v>
      </c>
      <c r="B22" s="7"/>
      <c r="C22" s="7"/>
      <c r="D22" s="7"/>
      <c r="E22" s="7"/>
      <c r="F22" s="7"/>
      <c r="G22" s="8">
        <f t="shared" si="0"/>
        <v>0</v>
      </c>
      <c r="H22" s="7"/>
      <c r="I22" s="7"/>
      <c r="J22" s="7"/>
      <c r="K22" s="7"/>
      <c r="L22" s="7"/>
      <c r="M22" s="7"/>
      <c r="N22" s="9" t="str">
        <f t="shared" si="1"/>
        <v/>
      </c>
      <c r="O22" s="9" t="str">
        <f t="shared" si="2"/>
        <v/>
      </c>
      <c r="P22" s="9" t="str">
        <f t="shared" si="3"/>
        <v/>
      </c>
    </row>
    <row r="23" spans="1:16" x14ac:dyDescent="0.25">
      <c r="A23" s="6">
        <v>44348</v>
      </c>
      <c r="B23" s="7"/>
      <c r="C23" s="7"/>
      <c r="D23" s="7"/>
      <c r="E23" s="7"/>
      <c r="F23" s="7"/>
      <c r="G23" s="8">
        <f t="shared" si="0"/>
        <v>0</v>
      </c>
      <c r="H23" s="7"/>
      <c r="I23" s="7"/>
      <c r="J23" s="7"/>
      <c r="K23" s="7"/>
      <c r="L23" s="7"/>
      <c r="M23" s="7"/>
      <c r="N23" s="9" t="str">
        <f t="shared" si="1"/>
        <v/>
      </c>
      <c r="O23" s="9" t="str">
        <f t="shared" si="2"/>
        <v/>
      </c>
      <c r="P23" s="9" t="str">
        <f t="shared" si="3"/>
        <v/>
      </c>
    </row>
    <row r="24" spans="1:16" x14ac:dyDescent="0.25">
      <c r="A24" s="6">
        <v>44378</v>
      </c>
      <c r="B24" s="7"/>
      <c r="C24" s="7"/>
      <c r="D24" s="7"/>
      <c r="E24" s="7"/>
      <c r="F24" s="7"/>
      <c r="G24" s="8">
        <f t="shared" si="0"/>
        <v>0</v>
      </c>
      <c r="H24" s="7"/>
      <c r="I24" s="7"/>
      <c r="J24" s="7"/>
      <c r="K24" s="7"/>
      <c r="L24" s="7"/>
      <c r="M24" s="7"/>
      <c r="N24" s="9" t="str">
        <f t="shared" si="1"/>
        <v/>
      </c>
      <c r="O24" s="9" t="str">
        <f t="shared" si="2"/>
        <v/>
      </c>
      <c r="P24" s="9" t="str">
        <f t="shared" si="3"/>
        <v/>
      </c>
    </row>
    <row r="25" spans="1:16" x14ac:dyDescent="0.25">
      <c r="A25" s="6">
        <v>44409</v>
      </c>
      <c r="B25" s="7"/>
      <c r="C25" s="7"/>
      <c r="D25" s="7"/>
      <c r="E25" s="7"/>
      <c r="F25" s="7"/>
      <c r="G25" s="8">
        <f t="shared" si="0"/>
        <v>0</v>
      </c>
      <c r="H25" s="7"/>
      <c r="I25" s="7"/>
      <c r="J25" s="7"/>
      <c r="K25" s="7"/>
      <c r="L25" s="7"/>
      <c r="M25" s="7"/>
      <c r="N25" s="9" t="str">
        <f t="shared" si="1"/>
        <v/>
      </c>
      <c r="O25" s="9" t="str">
        <f t="shared" si="2"/>
        <v/>
      </c>
      <c r="P25" s="9" t="str">
        <f t="shared" si="3"/>
        <v/>
      </c>
    </row>
    <row r="26" spans="1:16" x14ac:dyDescent="0.25">
      <c r="A26" s="6">
        <v>44440</v>
      </c>
      <c r="B26" s="7"/>
      <c r="C26" s="7"/>
      <c r="D26" s="7"/>
      <c r="E26" s="7"/>
      <c r="F26" s="7"/>
      <c r="G26" s="8">
        <f t="shared" si="0"/>
        <v>0</v>
      </c>
      <c r="H26" s="7"/>
      <c r="I26" s="7"/>
      <c r="J26" s="7"/>
      <c r="K26" s="7"/>
      <c r="L26" s="7"/>
      <c r="M26" s="7"/>
      <c r="N26" s="9" t="str">
        <f t="shared" si="1"/>
        <v/>
      </c>
      <c r="O26" s="9" t="str">
        <f t="shared" si="2"/>
        <v/>
      </c>
      <c r="P26" s="9" t="str">
        <f t="shared" si="3"/>
        <v/>
      </c>
    </row>
    <row r="27" spans="1:16" x14ac:dyDescent="0.25">
      <c r="A27" s="6">
        <v>44470</v>
      </c>
      <c r="B27" s="7"/>
      <c r="C27" s="7"/>
      <c r="D27" s="7"/>
      <c r="E27" s="7"/>
      <c r="F27" s="7"/>
      <c r="G27" s="8">
        <f t="shared" si="0"/>
        <v>0</v>
      </c>
      <c r="H27" s="7"/>
      <c r="I27" s="7"/>
      <c r="J27" s="7"/>
      <c r="K27" s="7"/>
      <c r="L27" s="7"/>
      <c r="M27" s="7"/>
      <c r="N27" s="9" t="str">
        <f t="shared" si="1"/>
        <v/>
      </c>
      <c r="O27" s="9" t="str">
        <f t="shared" si="2"/>
        <v/>
      </c>
      <c r="P27" s="9" t="str">
        <f t="shared" si="3"/>
        <v/>
      </c>
    </row>
    <row r="28" spans="1:16" x14ac:dyDescent="0.25">
      <c r="A28" s="6">
        <v>44501</v>
      </c>
      <c r="B28" s="7"/>
      <c r="C28" s="7"/>
      <c r="D28" s="7"/>
      <c r="E28" s="7"/>
      <c r="F28" s="7"/>
      <c r="G28" s="8">
        <f t="shared" si="0"/>
        <v>0</v>
      </c>
      <c r="H28" s="7"/>
      <c r="I28" s="7"/>
      <c r="J28" s="7"/>
      <c r="K28" s="7"/>
      <c r="L28" s="7"/>
      <c r="M28" s="7"/>
      <c r="N28" s="9" t="str">
        <f t="shared" si="1"/>
        <v/>
      </c>
      <c r="O28" s="9" t="str">
        <f t="shared" si="2"/>
        <v/>
      </c>
      <c r="P28" s="9" t="str">
        <f t="shared" si="3"/>
        <v/>
      </c>
    </row>
    <row r="29" spans="1:16" x14ac:dyDescent="0.25">
      <c r="A29" s="6">
        <v>44531</v>
      </c>
      <c r="B29" s="7"/>
      <c r="C29" s="7"/>
      <c r="D29" s="7"/>
      <c r="E29" s="7"/>
      <c r="F29" s="7"/>
      <c r="G29" s="8">
        <f t="shared" si="0"/>
        <v>0</v>
      </c>
      <c r="H29" s="7"/>
      <c r="I29" s="7"/>
      <c r="J29" s="7"/>
      <c r="K29" s="7"/>
      <c r="L29" s="7"/>
      <c r="M29" s="7"/>
      <c r="N29" s="9" t="str">
        <f t="shared" si="1"/>
        <v/>
      </c>
      <c r="O29" s="9" t="str">
        <f t="shared" si="2"/>
        <v/>
      </c>
      <c r="P29" s="9" t="str">
        <f t="shared" si="3"/>
        <v/>
      </c>
    </row>
    <row r="30" spans="1:16" x14ac:dyDescent="0.25">
      <c r="A30" s="6">
        <v>44562</v>
      </c>
      <c r="B30" s="7"/>
      <c r="C30" s="7"/>
      <c r="D30" s="7"/>
      <c r="E30" s="7"/>
      <c r="F30" s="7"/>
      <c r="G30" s="8">
        <f t="shared" si="0"/>
        <v>0</v>
      </c>
      <c r="H30" s="7"/>
      <c r="I30" s="7"/>
      <c r="J30" s="7"/>
      <c r="K30" s="7"/>
      <c r="L30" s="7"/>
      <c r="M30" s="7"/>
      <c r="N30" s="9" t="str">
        <f t="shared" si="1"/>
        <v/>
      </c>
      <c r="O30" s="9" t="str">
        <f t="shared" si="2"/>
        <v/>
      </c>
      <c r="P30" s="9" t="str">
        <f t="shared" si="3"/>
        <v/>
      </c>
    </row>
    <row r="31" spans="1:16" x14ac:dyDescent="0.25">
      <c r="A31" s="6">
        <v>44593</v>
      </c>
      <c r="B31" s="7"/>
      <c r="C31" s="7"/>
      <c r="D31" s="7"/>
      <c r="E31" s="7"/>
      <c r="F31" s="7"/>
      <c r="G31" s="8">
        <f t="shared" si="0"/>
        <v>0</v>
      </c>
      <c r="H31" s="7"/>
      <c r="I31" s="7"/>
      <c r="J31" s="7"/>
      <c r="K31" s="7"/>
      <c r="L31" s="7"/>
      <c r="M31" s="7"/>
      <c r="N31" s="9" t="str">
        <f t="shared" si="1"/>
        <v/>
      </c>
      <c r="O31" s="9" t="str">
        <f t="shared" si="2"/>
        <v/>
      </c>
      <c r="P31" s="9" t="str">
        <f t="shared" si="3"/>
        <v/>
      </c>
    </row>
    <row r="32" spans="1:16" x14ac:dyDescent="0.25">
      <c r="A32" s="6">
        <v>44621</v>
      </c>
      <c r="B32" s="7"/>
      <c r="C32" s="7"/>
      <c r="D32" s="7"/>
      <c r="E32" s="7"/>
      <c r="F32" s="7"/>
      <c r="G32" s="8">
        <f t="shared" si="0"/>
        <v>0</v>
      </c>
      <c r="H32" s="7"/>
      <c r="I32" s="7"/>
      <c r="J32" s="7"/>
      <c r="K32" s="7"/>
      <c r="L32" s="7"/>
      <c r="M32" s="7"/>
      <c r="N32" s="9" t="str">
        <f t="shared" si="1"/>
        <v/>
      </c>
      <c r="O32" s="9" t="str">
        <f t="shared" si="2"/>
        <v/>
      </c>
      <c r="P32" s="9" t="str">
        <f t="shared" si="3"/>
        <v/>
      </c>
    </row>
    <row r="33" spans="1:16" x14ac:dyDescent="0.25">
      <c r="A33" s="6">
        <v>44652</v>
      </c>
      <c r="B33" s="7"/>
      <c r="C33" s="7"/>
      <c r="D33" s="7"/>
      <c r="E33" s="7"/>
      <c r="F33" s="7"/>
      <c r="G33" s="8">
        <f t="shared" si="0"/>
        <v>0</v>
      </c>
      <c r="H33" s="7"/>
      <c r="I33" s="7"/>
      <c r="J33" s="7"/>
      <c r="K33" s="7"/>
      <c r="L33" s="7"/>
      <c r="M33" s="7"/>
      <c r="N33" s="9" t="str">
        <f t="shared" si="1"/>
        <v/>
      </c>
      <c r="O33" s="9" t="str">
        <f t="shared" si="2"/>
        <v/>
      </c>
      <c r="P33" s="9" t="str">
        <f t="shared" si="3"/>
        <v/>
      </c>
    </row>
    <row r="34" spans="1:16" x14ac:dyDescent="0.25">
      <c r="A34" s="6">
        <v>44682</v>
      </c>
      <c r="B34" s="7"/>
      <c r="C34" s="7"/>
      <c r="D34" s="7"/>
      <c r="E34" s="7"/>
      <c r="F34" s="7"/>
      <c r="G34" s="8">
        <f t="shared" si="0"/>
        <v>0</v>
      </c>
      <c r="H34" s="7"/>
      <c r="I34" s="7"/>
      <c r="J34" s="7"/>
      <c r="K34" s="7"/>
      <c r="L34" s="7"/>
      <c r="M34" s="7"/>
      <c r="N34" s="9" t="str">
        <f t="shared" si="1"/>
        <v/>
      </c>
      <c r="O34" s="9" t="str">
        <f t="shared" si="2"/>
        <v/>
      </c>
      <c r="P34" s="9" t="str">
        <f t="shared" si="3"/>
        <v/>
      </c>
    </row>
    <row r="35" spans="1:16" x14ac:dyDescent="0.25">
      <c r="A35" s="6">
        <v>44713</v>
      </c>
      <c r="B35" s="7"/>
      <c r="C35" s="7"/>
      <c r="D35" s="7"/>
      <c r="E35" s="7"/>
      <c r="F35" s="7"/>
      <c r="G35" s="8">
        <f t="shared" si="0"/>
        <v>0</v>
      </c>
      <c r="H35" s="7"/>
      <c r="I35" s="7"/>
      <c r="J35" s="7"/>
      <c r="K35" s="7"/>
      <c r="L35" s="7"/>
      <c r="M35" s="7"/>
      <c r="N35" s="9" t="str">
        <f t="shared" si="1"/>
        <v/>
      </c>
      <c r="O35" s="9" t="str">
        <f t="shared" si="2"/>
        <v/>
      </c>
      <c r="P35" s="9" t="str">
        <f t="shared" si="3"/>
        <v/>
      </c>
    </row>
    <row r="36" spans="1:16" x14ac:dyDescent="0.25">
      <c r="A36" s="6">
        <v>44743</v>
      </c>
      <c r="B36" s="7"/>
      <c r="C36" s="7"/>
      <c r="D36" s="7"/>
      <c r="E36" s="7"/>
      <c r="F36" s="7"/>
      <c r="G36" s="8">
        <f t="shared" si="0"/>
        <v>0</v>
      </c>
      <c r="H36" s="7"/>
      <c r="I36" s="7"/>
      <c r="J36" s="7"/>
      <c r="K36" s="7"/>
      <c r="L36" s="7"/>
      <c r="M36" s="7"/>
      <c r="N36" s="9" t="str">
        <f t="shared" si="1"/>
        <v/>
      </c>
      <c r="O36" s="9" t="str">
        <f t="shared" si="2"/>
        <v/>
      </c>
      <c r="P36" s="9" t="str">
        <f t="shared" si="3"/>
        <v/>
      </c>
    </row>
    <row r="37" spans="1:16" x14ac:dyDescent="0.25">
      <c r="A37" s="6">
        <v>44774</v>
      </c>
      <c r="B37" s="7"/>
      <c r="C37" s="7"/>
      <c r="D37" s="7"/>
      <c r="E37" s="7"/>
      <c r="F37" s="7"/>
      <c r="G37" s="8">
        <f t="shared" si="0"/>
        <v>0</v>
      </c>
      <c r="H37" s="7"/>
      <c r="I37" s="7"/>
      <c r="J37" s="7"/>
      <c r="K37" s="7"/>
      <c r="L37" s="7"/>
      <c r="M37" s="7"/>
      <c r="N37" s="9" t="str">
        <f t="shared" si="1"/>
        <v/>
      </c>
      <c r="O37" s="9" t="str">
        <f t="shared" si="2"/>
        <v/>
      </c>
      <c r="P37" s="9" t="str">
        <f t="shared" si="3"/>
        <v/>
      </c>
    </row>
    <row r="38" spans="1:16" x14ac:dyDescent="0.25">
      <c r="A38" s="6">
        <v>44805</v>
      </c>
      <c r="B38" s="7"/>
      <c r="C38" s="7"/>
      <c r="D38" s="7"/>
      <c r="E38" s="7"/>
      <c r="F38" s="7"/>
      <c r="G38" s="8">
        <f t="shared" ref="G38:G69" si="4">SUM(B38:F38)</f>
        <v>0</v>
      </c>
      <c r="H38" s="7"/>
      <c r="I38" s="7"/>
      <c r="J38" s="7"/>
      <c r="K38" s="7"/>
      <c r="L38" s="7"/>
      <c r="M38" s="7"/>
      <c r="N38" s="9" t="str">
        <f t="shared" si="1"/>
        <v/>
      </c>
      <c r="O38" s="9" t="str">
        <f t="shared" si="2"/>
        <v/>
      </c>
      <c r="P38" s="9" t="str">
        <f t="shared" si="3"/>
        <v/>
      </c>
    </row>
    <row r="39" spans="1:16" x14ac:dyDescent="0.25">
      <c r="A39" s="6">
        <v>44835</v>
      </c>
      <c r="B39" s="7"/>
      <c r="C39" s="7"/>
      <c r="D39" s="7"/>
      <c r="E39" s="7"/>
      <c r="F39" s="7"/>
      <c r="G39" s="8">
        <f t="shared" si="4"/>
        <v>0</v>
      </c>
      <c r="H39" s="7"/>
      <c r="I39" s="7"/>
      <c r="J39" s="7"/>
      <c r="K39" s="7"/>
      <c r="L39" s="7"/>
      <c r="M39" s="7"/>
      <c r="N39" s="9" t="str">
        <f t="shared" si="1"/>
        <v/>
      </c>
      <c r="O39" s="9" t="str">
        <f t="shared" si="2"/>
        <v/>
      </c>
      <c r="P39" s="9" t="str">
        <f t="shared" si="3"/>
        <v/>
      </c>
    </row>
    <row r="40" spans="1:16" x14ac:dyDescent="0.25">
      <c r="A40" s="6">
        <v>44866</v>
      </c>
      <c r="B40" s="7"/>
      <c r="C40" s="7"/>
      <c r="D40" s="7"/>
      <c r="E40" s="7"/>
      <c r="F40" s="7"/>
      <c r="G40" s="8">
        <f t="shared" si="4"/>
        <v>0</v>
      </c>
      <c r="H40" s="7"/>
      <c r="I40" s="7"/>
      <c r="J40" s="7"/>
      <c r="K40" s="7"/>
      <c r="L40" s="7"/>
      <c r="M40" s="7"/>
      <c r="N40" s="9" t="str">
        <f t="shared" si="1"/>
        <v/>
      </c>
      <c r="O40" s="9" t="str">
        <f t="shared" si="2"/>
        <v/>
      </c>
      <c r="P40" s="9" t="str">
        <f t="shared" si="3"/>
        <v/>
      </c>
    </row>
    <row r="41" spans="1:16" x14ac:dyDescent="0.25">
      <c r="A41" s="6">
        <v>44896</v>
      </c>
      <c r="B41" s="7"/>
      <c r="C41" s="7"/>
      <c r="D41" s="7"/>
      <c r="E41" s="7"/>
      <c r="F41" s="7"/>
      <c r="G41" s="8">
        <f t="shared" si="4"/>
        <v>0</v>
      </c>
      <c r="H41" s="7"/>
      <c r="I41" s="7"/>
      <c r="J41" s="7"/>
      <c r="K41" s="7"/>
      <c r="L41" s="7"/>
      <c r="M41" s="7"/>
      <c r="N41" s="9" t="str">
        <f t="shared" si="1"/>
        <v/>
      </c>
      <c r="O41" s="9" t="str">
        <f t="shared" si="2"/>
        <v/>
      </c>
      <c r="P41" s="9" t="str">
        <f t="shared" si="3"/>
        <v/>
      </c>
    </row>
    <row r="42" spans="1:16" x14ac:dyDescent="0.25">
      <c r="A42" s="6">
        <v>44927</v>
      </c>
      <c r="B42" s="7"/>
      <c r="C42" s="7"/>
      <c r="D42" s="7"/>
      <c r="E42" s="7"/>
      <c r="F42" s="7"/>
      <c r="G42" s="8">
        <f t="shared" si="4"/>
        <v>0</v>
      </c>
      <c r="H42" s="7"/>
      <c r="I42" s="7"/>
      <c r="J42" s="7"/>
      <c r="K42" s="7"/>
      <c r="L42" s="7"/>
      <c r="M42" s="7"/>
      <c r="N42" s="9" t="str">
        <f t="shared" si="1"/>
        <v/>
      </c>
      <c r="O42" s="9" t="str">
        <f t="shared" si="2"/>
        <v/>
      </c>
      <c r="P42" s="9" t="str">
        <f t="shared" si="3"/>
        <v/>
      </c>
    </row>
    <row r="43" spans="1:16" x14ac:dyDescent="0.25">
      <c r="A43" s="6">
        <v>44958</v>
      </c>
      <c r="B43" s="7"/>
      <c r="C43" s="7"/>
      <c r="D43" s="7"/>
      <c r="E43" s="7"/>
      <c r="F43" s="7"/>
      <c r="G43" s="8">
        <f t="shared" si="4"/>
        <v>0</v>
      </c>
      <c r="H43" s="7"/>
      <c r="I43" s="7"/>
      <c r="J43" s="7"/>
      <c r="K43" s="7"/>
      <c r="L43" s="7"/>
      <c r="M43" s="7"/>
      <c r="N43" s="9" t="str">
        <f t="shared" si="1"/>
        <v/>
      </c>
      <c r="O43" s="9" t="str">
        <f t="shared" si="2"/>
        <v/>
      </c>
      <c r="P43" s="9" t="str">
        <f t="shared" si="3"/>
        <v/>
      </c>
    </row>
    <row r="44" spans="1:16" x14ac:dyDescent="0.25">
      <c r="A44" s="6">
        <v>44986</v>
      </c>
      <c r="B44" s="7"/>
      <c r="C44" s="7"/>
      <c r="D44" s="7"/>
      <c r="E44" s="7"/>
      <c r="F44" s="7"/>
      <c r="G44" s="8">
        <f t="shared" si="4"/>
        <v>0</v>
      </c>
      <c r="H44" s="7"/>
      <c r="I44" s="7"/>
      <c r="J44" s="7"/>
      <c r="K44" s="7"/>
      <c r="L44" s="7"/>
      <c r="M44" s="7"/>
      <c r="N44" s="9" t="str">
        <f t="shared" si="1"/>
        <v/>
      </c>
      <c r="O44" s="9" t="str">
        <f t="shared" si="2"/>
        <v/>
      </c>
      <c r="P44" s="9" t="str">
        <f t="shared" si="3"/>
        <v/>
      </c>
    </row>
    <row r="45" spans="1:16" x14ac:dyDescent="0.25">
      <c r="A45" s="6">
        <v>45017</v>
      </c>
      <c r="B45" s="7"/>
      <c r="C45" s="7"/>
      <c r="D45" s="7"/>
      <c r="E45" s="7"/>
      <c r="F45" s="7"/>
      <c r="G45" s="8">
        <f t="shared" si="4"/>
        <v>0</v>
      </c>
      <c r="H45" s="7"/>
      <c r="I45" s="7"/>
      <c r="J45" s="7"/>
      <c r="K45" s="7"/>
      <c r="L45" s="7"/>
      <c r="M45" s="7"/>
      <c r="N45" s="9" t="str">
        <f t="shared" si="1"/>
        <v/>
      </c>
      <c r="O45" s="9" t="str">
        <f t="shared" si="2"/>
        <v/>
      </c>
      <c r="P45" s="9" t="str">
        <f t="shared" si="3"/>
        <v/>
      </c>
    </row>
    <row r="46" spans="1:16" x14ac:dyDescent="0.25">
      <c r="A46" s="6">
        <v>45047</v>
      </c>
      <c r="B46" s="7"/>
      <c r="C46" s="7"/>
      <c r="D46" s="7"/>
      <c r="E46" s="7"/>
      <c r="F46" s="7"/>
      <c r="G46" s="8">
        <f t="shared" si="4"/>
        <v>0</v>
      </c>
      <c r="H46" s="7"/>
      <c r="I46" s="7"/>
      <c r="J46" s="7"/>
      <c r="K46" s="7"/>
      <c r="L46" s="7"/>
      <c r="M46" s="7"/>
      <c r="N46" s="9" t="str">
        <f t="shared" si="1"/>
        <v/>
      </c>
      <c r="O46" s="9" t="str">
        <f t="shared" si="2"/>
        <v/>
      </c>
      <c r="P46" s="9" t="str">
        <f t="shared" si="3"/>
        <v/>
      </c>
    </row>
    <row r="47" spans="1:16" x14ac:dyDescent="0.25">
      <c r="A47" s="6">
        <v>45078</v>
      </c>
      <c r="B47" s="7"/>
      <c r="C47" s="7"/>
      <c r="D47" s="7"/>
      <c r="E47" s="7"/>
      <c r="F47" s="7"/>
      <c r="G47" s="8">
        <f t="shared" si="4"/>
        <v>0</v>
      </c>
      <c r="H47" s="7"/>
      <c r="I47" s="7"/>
      <c r="J47" s="7"/>
      <c r="K47" s="7"/>
      <c r="L47" s="7"/>
      <c r="M47" s="7"/>
      <c r="N47" s="9" t="str">
        <f t="shared" si="1"/>
        <v/>
      </c>
      <c r="O47" s="9" t="str">
        <f t="shared" si="2"/>
        <v/>
      </c>
      <c r="P47" s="9" t="str">
        <f t="shared" si="3"/>
        <v/>
      </c>
    </row>
    <row r="48" spans="1:16" x14ac:dyDescent="0.25">
      <c r="A48" s="6">
        <v>45108</v>
      </c>
      <c r="B48" s="7"/>
      <c r="C48" s="7"/>
      <c r="D48" s="7"/>
      <c r="E48" s="7"/>
      <c r="F48" s="7"/>
      <c r="G48" s="8">
        <f t="shared" si="4"/>
        <v>0</v>
      </c>
      <c r="H48" s="7"/>
      <c r="I48" s="7"/>
      <c r="J48" s="7"/>
      <c r="K48" s="7"/>
      <c r="L48" s="7"/>
      <c r="M48" s="7"/>
      <c r="N48" s="9" t="str">
        <f t="shared" si="1"/>
        <v/>
      </c>
      <c r="O48" s="9" t="str">
        <f t="shared" si="2"/>
        <v/>
      </c>
      <c r="P48" s="9" t="str">
        <f t="shared" si="3"/>
        <v/>
      </c>
    </row>
    <row r="49" spans="1:16" x14ac:dyDescent="0.25">
      <c r="A49" s="6">
        <v>45139</v>
      </c>
      <c r="B49" s="7"/>
      <c r="C49" s="7"/>
      <c r="D49" s="7"/>
      <c r="E49" s="7"/>
      <c r="F49" s="7"/>
      <c r="G49" s="8">
        <f t="shared" si="4"/>
        <v>0</v>
      </c>
      <c r="H49" s="7"/>
      <c r="I49" s="7"/>
      <c r="J49" s="7"/>
      <c r="K49" s="7"/>
      <c r="L49" s="7"/>
      <c r="M49" s="7"/>
      <c r="N49" s="9" t="str">
        <f t="shared" si="1"/>
        <v/>
      </c>
      <c r="O49" s="9" t="str">
        <f t="shared" si="2"/>
        <v/>
      </c>
      <c r="P49" s="9" t="str">
        <f t="shared" si="3"/>
        <v/>
      </c>
    </row>
    <row r="50" spans="1:16" x14ac:dyDescent="0.25">
      <c r="A50" s="6">
        <v>45170</v>
      </c>
      <c r="B50" s="7"/>
      <c r="C50" s="7"/>
      <c r="D50" s="7"/>
      <c r="E50" s="7"/>
      <c r="F50" s="7"/>
      <c r="G50" s="8">
        <f t="shared" si="4"/>
        <v>0</v>
      </c>
      <c r="H50" s="7"/>
      <c r="I50" s="7"/>
      <c r="J50" s="7"/>
      <c r="K50" s="7"/>
      <c r="L50" s="7"/>
      <c r="M50" s="7"/>
      <c r="N50" s="9" t="str">
        <f t="shared" ref="N50:N81" si="5">IF(G38=0,"",G50/G38-1)</f>
        <v/>
      </c>
      <c r="O50" s="9" t="str">
        <f t="shared" ref="O50:O81" si="6">IF(C38=0,"",C50/C38-1)</f>
        <v/>
      </c>
      <c r="P50" s="9" t="str">
        <f t="shared" ref="P50:P81" si="7">IF(E38=0,"",E50/E38-1)</f>
        <v/>
      </c>
    </row>
    <row r="51" spans="1:16" x14ac:dyDescent="0.25">
      <c r="A51" s="6">
        <v>45200</v>
      </c>
      <c r="B51" s="7"/>
      <c r="C51" s="7"/>
      <c r="D51" s="7"/>
      <c r="E51" s="7"/>
      <c r="F51" s="7"/>
      <c r="G51" s="8">
        <f t="shared" si="4"/>
        <v>0</v>
      </c>
      <c r="H51" s="7"/>
      <c r="I51" s="7"/>
      <c r="J51" s="7"/>
      <c r="K51" s="7"/>
      <c r="L51" s="7"/>
      <c r="M51" s="7"/>
      <c r="N51" s="9" t="str">
        <f t="shared" si="5"/>
        <v/>
      </c>
      <c r="O51" s="9" t="str">
        <f t="shared" si="6"/>
        <v/>
      </c>
      <c r="P51" s="9" t="str">
        <f t="shared" si="7"/>
        <v/>
      </c>
    </row>
    <row r="52" spans="1:16" x14ac:dyDescent="0.25">
      <c r="A52" s="6">
        <v>45231</v>
      </c>
      <c r="B52" s="7"/>
      <c r="C52" s="7"/>
      <c r="D52" s="7"/>
      <c r="E52" s="7"/>
      <c r="F52" s="7"/>
      <c r="G52" s="8">
        <f t="shared" si="4"/>
        <v>0</v>
      </c>
      <c r="H52" s="7"/>
      <c r="I52" s="7"/>
      <c r="J52" s="7"/>
      <c r="K52" s="7"/>
      <c r="L52" s="7"/>
      <c r="M52" s="7"/>
      <c r="N52" s="9" t="str">
        <f t="shared" si="5"/>
        <v/>
      </c>
      <c r="O52" s="9" t="str">
        <f t="shared" si="6"/>
        <v/>
      </c>
      <c r="P52" s="9" t="str">
        <f t="shared" si="7"/>
        <v/>
      </c>
    </row>
    <row r="53" spans="1:16" x14ac:dyDescent="0.25">
      <c r="A53" s="6">
        <v>45261</v>
      </c>
      <c r="B53" s="7"/>
      <c r="C53" s="7"/>
      <c r="D53" s="7"/>
      <c r="E53" s="7"/>
      <c r="F53" s="7"/>
      <c r="G53" s="8">
        <f t="shared" si="4"/>
        <v>0</v>
      </c>
      <c r="H53" s="7"/>
      <c r="I53" s="7"/>
      <c r="J53" s="7"/>
      <c r="K53" s="7"/>
      <c r="L53" s="7"/>
      <c r="M53" s="7"/>
      <c r="N53" s="9" t="str">
        <f t="shared" si="5"/>
        <v/>
      </c>
      <c r="O53" s="9" t="str">
        <f t="shared" si="6"/>
        <v/>
      </c>
      <c r="P53" s="9" t="str">
        <f t="shared" si="7"/>
        <v/>
      </c>
    </row>
    <row r="54" spans="1:16" x14ac:dyDescent="0.25">
      <c r="A54" s="6">
        <v>45292</v>
      </c>
      <c r="B54" s="7"/>
      <c r="C54" s="7"/>
      <c r="D54" s="7"/>
      <c r="E54" s="7"/>
      <c r="F54" s="7"/>
      <c r="G54" s="8">
        <f t="shared" si="4"/>
        <v>0</v>
      </c>
      <c r="H54" s="7"/>
      <c r="I54" s="7"/>
      <c r="J54" s="7"/>
      <c r="K54" s="7"/>
      <c r="L54" s="7"/>
      <c r="M54" s="7"/>
      <c r="N54" s="9" t="str">
        <f t="shared" si="5"/>
        <v/>
      </c>
      <c r="O54" s="9" t="str">
        <f t="shared" si="6"/>
        <v/>
      </c>
      <c r="P54" s="9" t="str">
        <f t="shared" si="7"/>
        <v/>
      </c>
    </row>
    <row r="55" spans="1:16" x14ac:dyDescent="0.25">
      <c r="A55" s="6">
        <v>45323</v>
      </c>
      <c r="B55" s="7"/>
      <c r="C55" s="7"/>
      <c r="D55" s="7"/>
      <c r="E55" s="7"/>
      <c r="F55" s="7"/>
      <c r="G55" s="8">
        <f t="shared" si="4"/>
        <v>0</v>
      </c>
      <c r="H55" s="7"/>
      <c r="I55" s="7"/>
      <c r="J55" s="7"/>
      <c r="K55" s="7"/>
      <c r="L55" s="7"/>
      <c r="M55" s="7"/>
      <c r="N55" s="9" t="str">
        <f t="shared" si="5"/>
        <v/>
      </c>
      <c r="O55" s="9" t="str">
        <f t="shared" si="6"/>
        <v/>
      </c>
      <c r="P55" s="9" t="str">
        <f t="shared" si="7"/>
        <v/>
      </c>
    </row>
    <row r="56" spans="1:16" x14ac:dyDescent="0.25">
      <c r="A56" s="6">
        <v>45352</v>
      </c>
      <c r="B56" s="7"/>
      <c r="C56" s="7"/>
      <c r="D56" s="7"/>
      <c r="E56" s="7"/>
      <c r="F56" s="7"/>
      <c r="G56" s="8">
        <f t="shared" si="4"/>
        <v>0</v>
      </c>
      <c r="H56" s="7"/>
      <c r="I56" s="7"/>
      <c r="J56" s="7"/>
      <c r="K56" s="7"/>
      <c r="L56" s="7"/>
      <c r="M56" s="7"/>
      <c r="N56" s="9" t="str">
        <f t="shared" si="5"/>
        <v/>
      </c>
      <c r="O56" s="9" t="str">
        <f t="shared" si="6"/>
        <v/>
      </c>
      <c r="P56" s="9" t="str">
        <f t="shared" si="7"/>
        <v/>
      </c>
    </row>
    <row r="57" spans="1:16" x14ac:dyDescent="0.25">
      <c r="A57" s="6">
        <v>45383</v>
      </c>
      <c r="B57" s="7"/>
      <c r="C57" s="7"/>
      <c r="D57" s="7"/>
      <c r="E57" s="7"/>
      <c r="F57" s="7"/>
      <c r="G57" s="8">
        <f t="shared" si="4"/>
        <v>0</v>
      </c>
      <c r="H57" s="7"/>
      <c r="I57" s="7"/>
      <c r="J57" s="7"/>
      <c r="K57" s="7"/>
      <c r="L57" s="7"/>
      <c r="M57" s="7"/>
      <c r="N57" s="9" t="str">
        <f t="shared" si="5"/>
        <v/>
      </c>
      <c r="O57" s="9" t="str">
        <f t="shared" si="6"/>
        <v/>
      </c>
      <c r="P57" s="9" t="str">
        <f t="shared" si="7"/>
        <v/>
      </c>
    </row>
    <row r="58" spans="1:16" x14ac:dyDescent="0.25">
      <c r="A58" s="6">
        <v>45413</v>
      </c>
      <c r="B58" s="7"/>
      <c r="C58" s="7"/>
      <c r="D58" s="7"/>
      <c r="E58" s="7"/>
      <c r="F58" s="7"/>
      <c r="G58" s="8">
        <f t="shared" si="4"/>
        <v>0</v>
      </c>
      <c r="H58" s="7"/>
      <c r="I58" s="7"/>
      <c r="J58" s="7"/>
      <c r="K58" s="7"/>
      <c r="L58" s="7"/>
      <c r="M58" s="7"/>
      <c r="N58" s="9" t="str">
        <f t="shared" si="5"/>
        <v/>
      </c>
      <c r="O58" s="9" t="str">
        <f t="shared" si="6"/>
        <v/>
      </c>
      <c r="P58" s="9" t="str">
        <f t="shared" si="7"/>
        <v/>
      </c>
    </row>
    <row r="59" spans="1:16" x14ac:dyDescent="0.25">
      <c r="A59" s="6">
        <v>45444</v>
      </c>
      <c r="B59" s="7"/>
      <c r="C59" s="7"/>
      <c r="D59" s="7"/>
      <c r="E59" s="7"/>
      <c r="F59" s="7"/>
      <c r="G59" s="8">
        <f t="shared" si="4"/>
        <v>0</v>
      </c>
      <c r="H59" s="7"/>
      <c r="I59" s="7"/>
      <c r="J59" s="7"/>
      <c r="K59" s="7"/>
      <c r="L59" s="7"/>
      <c r="M59" s="7"/>
      <c r="N59" s="9" t="str">
        <f t="shared" si="5"/>
        <v/>
      </c>
      <c r="O59" s="9" t="str">
        <f t="shared" si="6"/>
        <v/>
      </c>
      <c r="P59" s="9" t="str">
        <f t="shared" si="7"/>
        <v/>
      </c>
    </row>
    <row r="60" spans="1:16" x14ac:dyDescent="0.25">
      <c r="A60" s="6">
        <v>45474</v>
      </c>
      <c r="B60" s="7"/>
      <c r="C60" s="7"/>
      <c r="D60" s="7"/>
      <c r="E60" s="7"/>
      <c r="F60" s="7"/>
      <c r="G60" s="8">
        <f t="shared" si="4"/>
        <v>0</v>
      </c>
      <c r="H60" s="7"/>
      <c r="I60" s="7"/>
      <c r="J60" s="7"/>
      <c r="K60" s="7"/>
      <c r="L60" s="7"/>
      <c r="M60" s="7"/>
      <c r="N60" s="9" t="str">
        <f t="shared" si="5"/>
        <v/>
      </c>
      <c r="O60" s="9" t="str">
        <f t="shared" si="6"/>
        <v/>
      </c>
      <c r="P60" s="9" t="str">
        <f t="shared" si="7"/>
        <v/>
      </c>
    </row>
    <row r="61" spans="1:16" x14ac:dyDescent="0.25">
      <c r="A61" s="6">
        <v>45505</v>
      </c>
      <c r="B61" s="7"/>
      <c r="C61" s="7"/>
      <c r="D61" s="7"/>
      <c r="E61" s="7"/>
      <c r="F61" s="7"/>
      <c r="G61" s="8">
        <f t="shared" si="4"/>
        <v>0</v>
      </c>
      <c r="H61" s="7"/>
      <c r="I61" s="7"/>
      <c r="J61" s="7"/>
      <c r="K61" s="7"/>
      <c r="L61" s="7"/>
      <c r="M61" s="7"/>
      <c r="N61" s="9" t="str">
        <f t="shared" si="5"/>
        <v/>
      </c>
      <c r="O61" s="9" t="str">
        <f t="shared" si="6"/>
        <v/>
      </c>
      <c r="P61" s="9" t="str">
        <f t="shared" si="7"/>
        <v/>
      </c>
    </row>
    <row r="62" spans="1:16" x14ac:dyDescent="0.25">
      <c r="A62" s="6">
        <v>45536</v>
      </c>
      <c r="B62" s="7"/>
      <c r="C62" s="7"/>
      <c r="D62" s="7"/>
      <c r="E62" s="7"/>
      <c r="F62" s="7"/>
      <c r="G62" s="8">
        <f t="shared" si="4"/>
        <v>0</v>
      </c>
      <c r="H62" s="7"/>
      <c r="I62" s="7"/>
      <c r="J62" s="7"/>
      <c r="K62" s="7"/>
      <c r="L62" s="7"/>
      <c r="M62" s="7"/>
      <c r="N62" s="9" t="str">
        <f t="shared" si="5"/>
        <v/>
      </c>
      <c r="O62" s="9" t="str">
        <f t="shared" si="6"/>
        <v/>
      </c>
      <c r="P62" s="9" t="str">
        <f t="shared" si="7"/>
        <v/>
      </c>
    </row>
    <row r="63" spans="1:16" x14ac:dyDescent="0.25">
      <c r="A63" s="6">
        <v>45566</v>
      </c>
      <c r="B63" s="7"/>
      <c r="C63" s="7"/>
      <c r="D63" s="7"/>
      <c r="E63" s="7"/>
      <c r="F63" s="7"/>
      <c r="G63" s="8">
        <f t="shared" si="4"/>
        <v>0</v>
      </c>
      <c r="H63" s="7"/>
      <c r="I63" s="7"/>
      <c r="J63" s="7"/>
      <c r="K63" s="7"/>
      <c r="L63" s="7"/>
      <c r="M63" s="7"/>
      <c r="N63" s="9" t="str">
        <f t="shared" si="5"/>
        <v/>
      </c>
      <c r="O63" s="9" t="str">
        <f t="shared" si="6"/>
        <v/>
      </c>
      <c r="P63" s="9" t="str">
        <f t="shared" si="7"/>
        <v/>
      </c>
    </row>
    <row r="64" spans="1:16" x14ac:dyDescent="0.25">
      <c r="A64" s="6">
        <v>45597</v>
      </c>
      <c r="B64" s="7"/>
      <c r="C64" s="7"/>
      <c r="D64" s="7"/>
      <c r="E64" s="7"/>
      <c r="F64" s="7"/>
      <c r="G64" s="8">
        <f t="shared" si="4"/>
        <v>0</v>
      </c>
      <c r="H64" s="7"/>
      <c r="I64" s="7"/>
      <c r="J64" s="7"/>
      <c r="K64" s="7"/>
      <c r="L64" s="7"/>
      <c r="M64" s="7"/>
      <c r="N64" s="9" t="str">
        <f t="shared" si="5"/>
        <v/>
      </c>
      <c r="O64" s="9" t="str">
        <f t="shared" si="6"/>
        <v/>
      </c>
      <c r="P64" s="9" t="str">
        <f t="shared" si="7"/>
        <v/>
      </c>
    </row>
    <row r="65" spans="1:16" x14ac:dyDescent="0.25">
      <c r="A65" s="6">
        <v>45627</v>
      </c>
      <c r="B65" s="7"/>
      <c r="C65" s="7"/>
      <c r="D65" s="7"/>
      <c r="E65" s="7"/>
      <c r="F65" s="7"/>
      <c r="G65" s="8">
        <f t="shared" si="4"/>
        <v>0</v>
      </c>
      <c r="H65" s="7"/>
      <c r="I65" s="7"/>
      <c r="J65" s="7"/>
      <c r="K65" s="7"/>
      <c r="L65" s="7"/>
      <c r="M65" s="7"/>
      <c r="N65" s="9" t="str">
        <f t="shared" si="5"/>
        <v/>
      </c>
      <c r="O65" s="9" t="str">
        <f t="shared" si="6"/>
        <v/>
      </c>
      <c r="P65" s="9" t="str">
        <f t="shared" si="7"/>
        <v/>
      </c>
    </row>
    <row r="66" spans="1:16" x14ac:dyDescent="0.25">
      <c r="A66" s="6">
        <v>45658</v>
      </c>
      <c r="B66" s="7"/>
      <c r="C66" s="7"/>
      <c r="D66" s="7"/>
      <c r="E66" s="7"/>
      <c r="F66" s="7"/>
      <c r="G66" s="8">
        <f t="shared" si="4"/>
        <v>0</v>
      </c>
      <c r="H66" s="7"/>
      <c r="I66" s="7"/>
      <c r="J66" s="7"/>
      <c r="K66" s="7"/>
      <c r="L66" s="7"/>
      <c r="M66" s="7"/>
      <c r="N66" s="9" t="str">
        <f t="shared" si="5"/>
        <v/>
      </c>
      <c r="O66" s="9" t="str">
        <f t="shared" si="6"/>
        <v/>
      </c>
      <c r="P66" s="9" t="str">
        <f t="shared" si="7"/>
        <v/>
      </c>
    </row>
    <row r="67" spans="1:16" x14ac:dyDescent="0.25">
      <c r="A67" s="6">
        <v>45689</v>
      </c>
      <c r="B67" s="7"/>
      <c r="C67" s="7"/>
      <c r="D67" s="7"/>
      <c r="E67" s="7"/>
      <c r="F67" s="7"/>
      <c r="G67" s="8">
        <f t="shared" si="4"/>
        <v>0</v>
      </c>
      <c r="H67" s="7"/>
      <c r="I67" s="7"/>
      <c r="J67" s="7"/>
      <c r="K67" s="7"/>
      <c r="L67" s="7"/>
      <c r="M67" s="7"/>
      <c r="N67" s="9" t="str">
        <f t="shared" si="5"/>
        <v/>
      </c>
      <c r="O67" s="9" t="str">
        <f t="shared" si="6"/>
        <v/>
      </c>
      <c r="P67" s="9" t="str">
        <f t="shared" si="7"/>
        <v/>
      </c>
    </row>
    <row r="68" spans="1:16" x14ac:dyDescent="0.25">
      <c r="A68" s="6">
        <v>45717</v>
      </c>
      <c r="B68" s="7"/>
      <c r="C68" s="7"/>
      <c r="D68" s="7"/>
      <c r="E68" s="7"/>
      <c r="F68" s="7"/>
      <c r="G68" s="8">
        <f t="shared" si="4"/>
        <v>0</v>
      </c>
      <c r="H68" s="7"/>
      <c r="I68" s="7"/>
      <c r="J68" s="7"/>
      <c r="K68" s="7"/>
      <c r="L68" s="7"/>
      <c r="M68" s="7"/>
      <c r="N68" s="9" t="str">
        <f t="shared" si="5"/>
        <v/>
      </c>
      <c r="O68" s="9" t="str">
        <f t="shared" si="6"/>
        <v/>
      </c>
      <c r="P68" s="9" t="str">
        <f t="shared" si="7"/>
        <v/>
      </c>
    </row>
    <row r="69" spans="1:16" x14ac:dyDescent="0.25">
      <c r="A69" s="6">
        <v>45748</v>
      </c>
      <c r="B69" s="7"/>
      <c r="C69" s="7"/>
      <c r="D69" s="7"/>
      <c r="E69" s="7"/>
      <c r="F69" s="7"/>
      <c r="G69" s="8">
        <f t="shared" si="4"/>
        <v>0</v>
      </c>
      <c r="H69" s="7"/>
      <c r="I69" s="7"/>
      <c r="J69" s="7"/>
      <c r="K69" s="7"/>
      <c r="L69" s="7"/>
      <c r="M69" s="7"/>
      <c r="N69" s="9" t="str">
        <f t="shared" si="5"/>
        <v/>
      </c>
      <c r="O69" s="9" t="str">
        <f t="shared" si="6"/>
        <v/>
      </c>
      <c r="P69" s="9" t="str">
        <f t="shared" si="7"/>
        <v/>
      </c>
    </row>
    <row r="70" spans="1:16" x14ac:dyDescent="0.25">
      <c r="A70" s="6">
        <v>45778</v>
      </c>
      <c r="B70" s="7"/>
      <c r="C70" s="7"/>
      <c r="D70" s="7"/>
      <c r="E70" s="7"/>
      <c r="F70" s="7"/>
      <c r="G70" s="8">
        <f t="shared" ref="G70:G101" si="8">SUM(B70:F70)</f>
        <v>0</v>
      </c>
      <c r="H70" s="7"/>
      <c r="I70" s="7"/>
      <c r="J70" s="7"/>
      <c r="K70" s="7"/>
      <c r="L70" s="7"/>
      <c r="M70" s="7"/>
      <c r="N70" s="9" t="str">
        <f t="shared" si="5"/>
        <v/>
      </c>
      <c r="O70" s="9" t="str">
        <f t="shared" si="6"/>
        <v/>
      </c>
      <c r="P70" s="9" t="str">
        <f t="shared" si="7"/>
        <v/>
      </c>
    </row>
    <row r="71" spans="1:16" x14ac:dyDescent="0.25">
      <c r="A71" s="6">
        <v>45809</v>
      </c>
      <c r="B71" s="7"/>
      <c r="C71" s="7"/>
      <c r="D71" s="7"/>
      <c r="E71" s="7"/>
      <c r="F71" s="7"/>
      <c r="G71" s="8">
        <f t="shared" si="8"/>
        <v>0</v>
      </c>
      <c r="H71" s="7"/>
      <c r="I71" s="7"/>
      <c r="J71" s="7"/>
      <c r="K71" s="7"/>
      <c r="L71" s="7"/>
      <c r="M71" s="7"/>
      <c r="N71" s="9" t="str">
        <f t="shared" si="5"/>
        <v/>
      </c>
      <c r="O71" s="9" t="str">
        <f t="shared" si="6"/>
        <v/>
      </c>
      <c r="P71" s="9" t="str">
        <f t="shared" si="7"/>
        <v/>
      </c>
    </row>
    <row r="72" spans="1:16" x14ac:dyDescent="0.25">
      <c r="A72" s="6">
        <v>45839</v>
      </c>
      <c r="B72" s="7"/>
      <c r="C72" s="7"/>
      <c r="D72" s="7"/>
      <c r="E72" s="7"/>
      <c r="F72" s="7"/>
      <c r="G72" s="8">
        <f t="shared" si="8"/>
        <v>0</v>
      </c>
      <c r="H72" s="7"/>
      <c r="I72" s="7"/>
      <c r="J72" s="7"/>
      <c r="K72" s="7"/>
      <c r="L72" s="7"/>
      <c r="M72" s="7"/>
      <c r="N72" s="9" t="str">
        <f t="shared" si="5"/>
        <v/>
      </c>
      <c r="O72" s="9" t="str">
        <f t="shared" si="6"/>
        <v/>
      </c>
      <c r="P72" s="9" t="str">
        <f t="shared" si="7"/>
        <v/>
      </c>
    </row>
    <row r="73" spans="1:16" x14ac:dyDescent="0.25">
      <c r="A73" s="6">
        <v>45870</v>
      </c>
      <c r="B73" s="7"/>
      <c r="C73" s="7"/>
      <c r="D73" s="7"/>
      <c r="E73" s="7"/>
      <c r="F73" s="7"/>
      <c r="G73" s="8">
        <f t="shared" si="8"/>
        <v>0</v>
      </c>
      <c r="H73" s="7"/>
      <c r="I73" s="7"/>
      <c r="J73" s="7"/>
      <c r="K73" s="7"/>
      <c r="L73" s="7"/>
      <c r="M73" s="7"/>
      <c r="N73" s="9" t="str">
        <f t="shared" si="5"/>
        <v/>
      </c>
      <c r="O73" s="9" t="str">
        <f t="shared" si="6"/>
        <v/>
      </c>
      <c r="P73" s="9" t="str">
        <f t="shared" si="7"/>
        <v/>
      </c>
    </row>
    <row r="74" spans="1:16" x14ac:dyDescent="0.25">
      <c r="A74" s="6">
        <v>45901</v>
      </c>
      <c r="B74" s="7"/>
      <c r="C74" s="7"/>
      <c r="D74" s="7"/>
      <c r="E74" s="7"/>
      <c r="F74" s="7"/>
      <c r="G74" s="8">
        <f t="shared" si="8"/>
        <v>0</v>
      </c>
      <c r="H74" s="7"/>
      <c r="I74" s="7"/>
      <c r="J74" s="7"/>
      <c r="K74" s="7"/>
      <c r="L74" s="7"/>
      <c r="M74" s="7"/>
      <c r="N74" s="9" t="str">
        <f t="shared" si="5"/>
        <v/>
      </c>
      <c r="O74" s="9" t="str">
        <f t="shared" si="6"/>
        <v/>
      </c>
      <c r="P74" s="9" t="str">
        <f t="shared" si="7"/>
        <v/>
      </c>
    </row>
    <row r="75" spans="1:16" x14ac:dyDescent="0.25">
      <c r="A75" s="6">
        <v>45931</v>
      </c>
      <c r="B75" s="7"/>
      <c r="C75" s="7"/>
      <c r="D75" s="7"/>
      <c r="E75" s="7"/>
      <c r="F75" s="7"/>
      <c r="G75" s="8">
        <f t="shared" si="8"/>
        <v>0</v>
      </c>
      <c r="H75" s="7"/>
      <c r="I75" s="7"/>
      <c r="J75" s="7"/>
      <c r="K75" s="7"/>
      <c r="L75" s="7"/>
      <c r="M75" s="7"/>
      <c r="N75" s="9" t="str">
        <f t="shared" si="5"/>
        <v/>
      </c>
      <c r="O75" s="9" t="str">
        <f t="shared" si="6"/>
        <v/>
      </c>
      <c r="P75" s="9" t="str">
        <f t="shared" si="7"/>
        <v/>
      </c>
    </row>
    <row r="76" spans="1:16" x14ac:dyDescent="0.25">
      <c r="A76" s="6">
        <v>45962</v>
      </c>
      <c r="B76" s="7"/>
      <c r="C76" s="7"/>
      <c r="D76" s="7"/>
      <c r="E76" s="7"/>
      <c r="F76" s="7"/>
      <c r="G76" s="8">
        <f t="shared" si="8"/>
        <v>0</v>
      </c>
      <c r="H76" s="7"/>
      <c r="I76" s="7"/>
      <c r="J76" s="7"/>
      <c r="K76" s="7"/>
      <c r="L76" s="7"/>
      <c r="M76" s="7"/>
      <c r="N76" s="9" t="str">
        <f t="shared" si="5"/>
        <v/>
      </c>
      <c r="O76" s="9" t="str">
        <f t="shared" si="6"/>
        <v/>
      </c>
      <c r="P76" s="9" t="str">
        <f t="shared" si="7"/>
        <v/>
      </c>
    </row>
    <row r="77" spans="1:16" x14ac:dyDescent="0.25">
      <c r="A77" s="6">
        <v>45992</v>
      </c>
      <c r="B77" s="7"/>
      <c r="C77" s="7"/>
      <c r="D77" s="7"/>
      <c r="E77" s="7"/>
      <c r="F77" s="7"/>
      <c r="G77" s="8">
        <f t="shared" si="8"/>
        <v>0</v>
      </c>
      <c r="H77" s="7"/>
      <c r="I77" s="7"/>
      <c r="J77" s="7"/>
      <c r="K77" s="7"/>
      <c r="L77" s="7"/>
      <c r="M77" s="7"/>
      <c r="N77" s="9" t="str">
        <f t="shared" si="5"/>
        <v/>
      </c>
      <c r="O77" s="9" t="str">
        <f t="shared" si="6"/>
        <v/>
      </c>
      <c r="P77" s="9" t="str">
        <f t="shared" si="7"/>
        <v/>
      </c>
    </row>
    <row r="78" spans="1:16" x14ac:dyDescent="0.25">
      <c r="A78" s="6">
        <v>46023</v>
      </c>
      <c r="B78" s="7"/>
      <c r="C78" s="7"/>
      <c r="D78" s="7"/>
      <c r="E78" s="7"/>
      <c r="F78" s="7"/>
      <c r="G78" s="8">
        <f t="shared" si="8"/>
        <v>0</v>
      </c>
      <c r="H78" s="7"/>
      <c r="I78" s="7"/>
      <c r="J78" s="7"/>
      <c r="K78" s="7"/>
      <c r="L78" s="7"/>
      <c r="M78" s="7"/>
      <c r="N78" s="9" t="str">
        <f t="shared" si="5"/>
        <v/>
      </c>
      <c r="O78" s="9" t="str">
        <f t="shared" si="6"/>
        <v/>
      </c>
      <c r="P78" s="9" t="str">
        <f t="shared" si="7"/>
        <v/>
      </c>
    </row>
    <row r="79" spans="1:16" x14ac:dyDescent="0.25">
      <c r="A79" s="6">
        <v>46054</v>
      </c>
      <c r="B79" s="7"/>
      <c r="C79" s="7"/>
      <c r="D79" s="7"/>
      <c r="E79" s="7"/>
      <c r="F79" s="7"/>
      <c r="G79" s="8">
        <f t="shared" si="8"/>
        <v>0</v>
      </c>
      <c r="H79" s="7"/>
      <c r="I79" s="7"/>
      <c r="J79" s="7"/>
      <c r="K79" s="7"/>
      <c r="L79" s="7"/>
      <c r="M79" s="7"/>
      <c r="N79" s="9" t="str">
        <f t="shared" si="5"/>
        <v/>
      </c>
      <c r="O79" s="9" t="str">
        <f t="shared" si="6"/>
        <v/>
      </c>
      <c r="P79" s="9" t="str">
        <f t="shared" si="7"/>
        <v/>
      </c>
    </row>
    <row r="80" spans="1:16" x14ac:dyDescent="0.25">
      <c r="A80" s="6">
        <v>46082</v>
      </c>
      <c r="B80" s="7"/>
      <c r="C80" s="7"/>
      <c r="D80" s="7"/>
      <c r="E80" s="7"/>
      <c r="F80" s="7"/>
      <c r="G80" s="8">
        <f t="shared" si="8"/>
        <v>0</v>
      </c>
      <c r="H80" s="7"/>
      <c r="I80" s="7"/>
      <c r="J80" s="7"/>
      <c r="K80" s="7"/>
      <c r="L80" s="7"/>
      <c r="M80" s="7"/>
      <c r="N80" s="9" t="str">
        <f t="shared" si="5"/>
        <v/>
      </c>
      <c r="O80" s="9" t="str">
        <f t="shared" si="6"/>
        <v/>
      </c>
      <c r="P80" s="9" t="str">
        <f t="shared" si="7"/>
        <v/>
      </c>
    </row>
    <row r="81" spans="1:16" x14ac:dyDescent="0.25">
      <c r="A81" s="6">
        <v>46113</v>
      </c>
      <c r="B81" s="7"/>
      <c r="C81" s="7"/>
      <c r="D81" s="7"/>
      <c r="E81" s="7"/>
      <c r="F81" s="7"/>
      <c r="G81" s="8">
        <f t="shared" si="8"/>
        <v>0</v>
      </c>
      <c r="H81" s="7"/>
      <c r="I81" s="7"/>
      <c r="J81" s="7"/>
      <c r="K81" s="7"/>
      <c r="L81" s="7"/>
      <c r="M81" s="7"/>
      <c r="N81" s="9" t="str">
        <f t="shared" si="5"/>
        <v/>
      </c>
      <c r="O81" s="9" t="str">
        <f t="shared" si="6"/>
        <v/>
      </c>
      <c r="P81" s="9" t="str">
        <f t="shared" si="7"/>
        <v/>
      </c>
    </row>
  </sheetData>
  <autoFilter ref="A5:P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4" width="12" customWidth="1"/>
  </cols>
  <sheetData>
    <row r="1" spans="1:14" ht="15.75" x14ac:dyDescent="0.25">
      <c r="A1" s="2" t="s">
        <v>19</v>
      </c>
    </row>
    <row r="2" spans="1:14" x14ac:dyDescent="0.25">
      <c r="A2" s="3" t="s">
        <v>1</v>
      </c>
    </row>
    <row r="3" spans="1:14" x14ac:dyDescent="0.25">
      <c r="A3" s="4" t="s">
        <v>20</v>
      </c>
    </row>
    <row r="5" spans="1:14" ht="26.25" x14ac:dyDescent="0.25">
      <c r="A5" s="5" t="s">
        <v>3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</row>
    <row r="6" spans="1:14" x14ac:dyDescent="0.25">
      <c r="A6" s="6">
        <v>43831</v>
      </c>
      <c r="B6" s="7"/>
      <c r="C6" s="7"/>
      <c r="D6" s="7"/>
      <c r="E6" s="7"/>
      <c r="F6" s="7"/>
      <c r="G6" s="8">
        <f t="shared" ref="G6:G37" si="0">SUM(B6:F6)</f>
        <v>0</v>
      </c>
      <c r="H6" s="7"/>
      <c r="I6" s="7"/>
      <c r="J6" s="7"/>
      <c r="K6" s="7"/>
      <c r="L6" s="7"/>
      <c r="M6" s="8">
        <f t="shared" ref="M6:M37" si="1">SUM(H6:L6)</f>
        <v>0</v>
      </c>
      <c r="N6" s="9" t="str">
        <f>IF('RIN Generation'!G6=0,"",G6/'RIN Generation'!G6)</f>
        <v/>
      </c>
    </row>
    <row r="7" spans="1:14" x14ac:dyDescent="0.25">
      <c r="A7" s="6">
        <v>43862</v>
      </c>
      <c r="B7" s="7"/>
      <c r="C7" s="7"/>
      <c r="D7" s="7"/>
      <c r="E7" s="7"/>
      <c r="F7" s="7"/>
      <c r="G7" s="8">
        <f t="shared" si="0"/>
        <v>0</v>
      </c>
      <c r="H7" s="7"/>
      <c r="I7" s="7"/>
      <c r="J7" s="7"/>
      <c r="K7" s="7"/>
      <c r="L7" s="7"/>
      <c r="M7" s="8">
        <f t="shared" si="1"/>
        <v>0</v>
      </c>
      <c r="N7" s="9" t="str">
        <f>IF('RIN Generation'!G7=0,"",G7/'RIN Generation'!G7)</f>
        <v/>
      </c>
    </row>
    <row r="8" spans="1:14" x14ac:dyDescent="0.25">
      <c r="A8" s="6">
        <v>43891</v>
      </c>
      <c r="B8" s="7"/>
      <c r="C8" s="7"/>
      <c r="D8" s="7"/>
      <c r="E8" s="7"/>
      <c r="F8" s="7"/>
      <c r="G8" s="8">
        <f t="shared" si="0"/>
        <v>0</v>
      </c>
      <c r="H8" s="7"/>
      <c r="I8" s="7"/>
      <c r="J8" s="7"/>
      <c r="K8" s="7"/>
      <c r="L8" s="7"/>
      <c r="M8" s="8">
        <f t="shared" si="1"/>
        <v>0</v>
      </c>
      <c r="N8" s="9" t="str">
        <f>IF('RIN Generation'!G8=0,"",G8/'RIN Generation'!G8)</f>
        <v/>
      </c>
    </row>
    <row r="9" spans="1:14" x14ac:dyDescent="0.25">
      <c r="A9" s="6">
        <v>43922</v>
      </c>
      <c r="B9" s="7"/>
      <c r="C9" s="7"/>
      <c r="D9" s="7"/>
      <c r="E9" s="7"/>
      <c r="F9" s="7"/>
      <c r="G9" s="8">
        <f t="shared" si="0"/>
        <v>0</v>
      </c>
      <c r="H9" s="7"/>
      <c r="I9" s="7"/>
      <c r="J9" s="7"/>
      <c r="K9" s="7"/>
      <c r="L9" s="7"/>
      <c r="M9" s="8">
        <f t="shared" si="1"/>
        <v>0</v>
      </c>
      <c r="N9" s="9" t="str">
        <f>IF('RIN Generation'!G9=0,"",G9/'RIN Generation'!G9)</f>
        <v/>
      </c>
    </row>
    <row r="10" spans="1:14" x14ac:dyDescent="0.25">
      <c r="A10" s="6">
        <v>43952</v>
      </c>
      <c r="B10" s="7"/>
      <c r="C10" s="7"/>
      <c r="D10" s="7"/>
      <c r="E10" s="7"/>
      <c r="F10" s="7"/>
      <c r="G10" s="8">
        <f t="shared" si="0"/>
        <v>0</v>
      </c>
      <c r="H10" s="7"/>
      <c r="I10" s="7"/>
      <c r="J10" s="7"/>
      <c r="K10" s="7"/>
      <c r="L10" s="7"/>
      <c r="M10" s="8">
        <f t="shared" si="1"/>
        <v>0</v>
      </c>
      <c r="N10" s="9" t="str">
        <f>IF('RIN Generation'!G10=0,"",G10/'RIN Generation'!G10)</f>
        <v/>
      </c>
    </row>
    <row r="11" spans="1:14" x14ac:dyDescent="0.25">
      <c r="A11" s="6">
        <v>43983</v>
      </c>
      <c r="B11" s="7"/>
      <c r="C11" s="7"/>
      <c r="D11" s="7"/>
      <c r="E11" s="7"/>
      <c r="F11" s="7"/>
      <c r="G11" s="8">
        <f t="shared" si="0"/>
        <v>0</v>
      </c>
      <c r="H11" s="7"/>
      <c r="I11" s="7"/>
      <c r="J11" s="7"/>
      <c r="K11" s="7"/>
      <c r="L11" s="7"/>
      <c r="M11" s="8">
        <f t="shared" si="1"/>
        <v>0</v>
      </c>
      <c r="N11" s="9" t="str">
        <f>IF('RIN Generation'!G11=0,"",G11/'RIN Generation'!G11)</f>
        <v/>
      </c>
    </row>
    <row r="12" spans="1:14" x14ac:dyDescent="0.25">
      <c r="A12" s="6">
        <v>44013</v>
      </c>
      <c r="B12" s="7"/>
      <c r="C12" s="7"/>
      <c r="D12" s="7"/>
      <c r="E12" s="7"/>
      <c r="F12" s="7"/>
      <c r="G12" s="8">
        <f t="shared" si="0"/>
        <v>0</v>
      </c>
      <c r="H12" s="7"/>
      <c r="I12" s="7"/>
      <c r="J12" s="7"/>
      <c r="K12" s="7"/>
      <c r="L12" s="7"/>
      <c r="M12" s="8">
        <f t="shared" si="1"/>
        <v>0</v>
      </c>
      <c r="N12" s="9" t="str">
        <f>IF('RIN Generation'!G12=0,"",G12/'RIN Generation'!G12)</f>
        <v/>
      </c>
    </row>
    <row r="13" spans="1:14" x14ac:dyDescent="0.25">
      <c r="A13" s="6">
        <v>44044</v>
      </c>
      <c r="B13" s="7"/>
      <c r="C13" s="7"/>
      <c r="D13" s="7"/>
      <c r="E13" s="7"/>
      <c r="F13" s="7"/>
      <c r="G13" s="8">
        <f t="shared" si="0"/>
        <v>0</v>
      </c>
      <c r="H13" s="7"/>
      <c r="I13" s="7"/>
      <c r="J13" s="7"/>
      <c r="K13" s="7"/>
      <c r="L13" s="7"/>
      <c r="M13" s="8">
        <f t="shared" si="1"/>
        <v>0</v>
      </c>
      <c r="N13" s="9" t="str">
        <f>IF('RIN Generation'!G13=0,"",G13/'RIN Generation'!G13)</f>
        <v/>
      </c>
    </row>
    <row r="14" spans="1:14" x14ac:dyDescent="0.25">
      <c r="A14" s="6">
        <v>44075</v>
      </c>
      <c r="B14" s="7"/>
      <c r="C14" s="7"/>
      <c r="D14" s="7"/>
      <c r="E14" s="7"/>
      <c r="F14" s="7"/>
      <c r="G14" s="8">
        <f t="shared" si="0"/>
        <v>0</v>
      </c>
      <c r="H14" s="7"/>
      <c r="I14" s="7"/>
      <c r="J14" s="7"/>
      <c r="K14" s="7"/>
      <c r="L14" s="7"/>
      <c r="M14" s="8">
        <f t="shared" si="1"/>
        <v>0</v>
      </c>
      <c r="N14" s="9" t="str">
        <f>IF('RIN Generation'!G14=0,"",G14/'RIN Generation'!G14)</f>
        <v/>
      </c>
    </row>
    <row r="15" spans="1:14" x14ac:dyDescent="0.25">
      <c r="A15" s="6">
        <v>44105</v>
      </c>
      <c r="B15" s="7"/>
      <c r="C15" s="7"/>
      <c r="D15" s="7"/>
      <c r="E15" s="7"/>
      <c r="F15" s="7"/>
      <c r="G15" s="8">
        <f t="shared" si="0"/>
        <v>0</v>
      </c>
      <c r="H15" s="7"/>
      <c r="I15" s="7"/>
      <c r="J15" s="7"/>
      <c r="K15" s="7"/>
      <c r="L15" s="7"/>
      <c r="M15" s="8">
        <f t="shared" si="1"/>
        <v>0</v>
      </c>
      <c r="N15" s="9" t="str">
        <f>IF('RIN Generation'!G15=0,"",G15/'RIN Generation'!G15)</f>
        <v/>
      </c>
    </row>
    <row r="16" spans="1:14" x14ac:dyDescent="0.25">
      <c r="A16" s="6">
        <v>44136</v>
      </c>
      <c r="B16" s="7"/>
      <c r="C16" s="7"/>
      <c r="D16" s="7"/>
      <c r="E16" s="7"/>
      <c r="F16" s="7"/>
      <c r="G16" s="8">
        <f t="shared" si="0"/>
        <v>0</v>
      </c>
      <c r="H16" s="7"/>
      <c r="I16" s="7"/>
      <c r="J16" s="7"/>
      <c r="K16" s="7"/>
      <c r="L16" s="7"/>
      <c r="M16" s="8">
        <f t="shared" si="1"/>
        <v>0</v>
      </c>
      <c r="N16" s="9" t="str">
        <f>IF('RIN Generation'!G16=0,"",G16/'RIN Generation'!G16)</f>
        <v/>
      </c>
    </row>
    <row r="17" spans="1:14" x14ac:dyDescent="0.25">
      <c r="A17" s="6">
        <v>44166</v>
      </c>
      <c r="B17" s="7"/>
      <c r="C17" s="7"/>
      <c r="D17" s="7"/>
      <c r="E17" s="7"/>
      <c r="F17" s="7"/>
      <c r="G17" s="8">
        <f t="shared" si="0"/>
        <v>0</v>
      </c>
      <c r="H17" s="7"/>
      <c r="I17" s="7"/>
      <c r="J17" s="7"/>
      <c r="K17" s="7"/>
      <c r="L17" s="7"/>
      <c r="M17" s="8">
        <f t="shared" si="1"/>
        <v>0</v>
      </c>
      <c r="N17" s="9" t="str">
        <f>IF('RIN Generation'!G17=0,"",G17/'RIN Generation'!G17)</f>
        <v/>
      </c>
    </row>
    <row r="18" spans="1:14" x14ac:dyDescent="0.25">
      <c r="A18" s="6">
        <v>44197</v>
      </c>
      <c r="B18" s="7"/>
      <c r="C18" s="7"/>
      <c r="D18" s="7"/>
      <c r="E18" s="7"/>
      <c r="F18" s="7"/>
      <c r="G18" s="8">
        <f t="shared" si="0"/>
        <v>0</v>
      </c>
      <c r="H18" s="7"/>
      <c r="I18" s="7"/>
      <c r="J18" s="7"/>
      <c r="K18" s="7"/>
      <c r="L18" s="7"/>
      <c r="M18" s="8">
        <f t="shared" si="1"/>
        <v>0</v>
      </c>
      <c r="N18" s="9" t="str">
        <f>IF('RIN Generation'!G18=0,"",G18/'RIN Generation'!G18)</f>
        <v/>
      </c>
    </row>
    <row r="19" spans="1:14" x14ac:dyDescent="0.25">
      <c r="A19" s="6">
        <v>44228</v>
      </c>
      <c r="B19" s="7"/>
      <c r="C19" s="7"/>
      <c r="D19" s="7"/>
      <c r="E19" s="7"/>
      <c r="F19" s="7"/>
      <c r="G19" s="8">
        <f t="shared" si="0"/>
        <v>0</v>
      </c>
      <c r="H19" s="7"/>
      <c r="I19" s="7"/>
      <c r="J19" s="7"/>
      <c r="K19" s="7"/>
      <c r="L19" s="7"/>
      <c r="M19" s="8">
        <f t="shared" si="1"/>
        <v>0</v>
      </c>
      <c r="N19" s="9" t="str">
        <f>IF('RIN Generation'!G19=0,"",G19/'RIN Generation'!G19)</f>
        <v/>
      </c>
    </row>
    <row r="20" spans="1:14" x14ac:dyDescent="0.25">
      <c r="A20" s="6">
        <v>44256</v>
      </c>
      <c r="B20" s="7"/>
      <c r="C20" s="7"/>
      <c r="D20" s="7"/>
      <c r="E20" s="7"/>
      <c r="F20" s="7"/>
      <c r="G20" s="8">
        <f t="shared" si="0"/>
        <v>0</v>
      </c>
      <c r="H20" s="7"/>
      <c r="I20" s="7"/>
      <c r="J20" s="7"/>
      <c r="K20" s="7"/>
      <c r="L20" s="7"/>
      <c r="M20" s="8">
        <f t="shared" si="1"/>
        <v>0</v>
      </c>
      <c r="N20" s="9" t="str">
        <f>IF('RIN Generation'!G20=0,"",G20/'RIN Generation'!G20)</f>
        <v/>
      </c>
    </row>
    <row r="21" spans="1:14" x14ac:dyDescent="0.25">
      <c r="A21" s="6">
        <v>44287</v>
      </c>
      <c r="B21" s="7"/>
      <c r="C21" s="7"/>
      <c r="D21" s="7"/>
      <c r="E21" s="7"/>
      <c r="F21" s="7"/>
      <c r="G21" s="8">
        <f t="shared" si="0"/>
        <v>0</v>
      </c>
      <c r="H21" s="7"/>
      <c r="I21" s="7"/>
      <c r="J21" s="7"/>
      <c r="K21" s="7"/>
      <c r="L21" s="7"/>
      <c r="M21" s="8">
        <f t="shared" si="1"/>
        <v>0</v>
      </c>
      <c r="N21" s="9" t="str">
        <f>IF('RIN Generation'!G21=0,"",G21/'RIN Generation'!G21)</f>
        <v/>
      </c>
    </row>
    <row r="22" spans="1:14" x14ac:dyDescent="0.25">
      <c r="A22" s="6">
        <v>44317</v>
      </c>
      <c r="B22" s="7"/>
      <c r="C22" s="7"/>
      <c r="D22" s="7"/>
      <c r="E22" s="7"/>
      <c r="F22" s="7"/>
      <c r="G22" s="8">
        <f t="shared" si="0"/>
        <v>0</v>
      </c>
      <c r="H22" s="7"/>
      <c r="I22" s="7"/>
      <c r="J22" s="7"/>
      <c r="K22" s="7"/>
      <c r="L22" s="7"/>
      <c r="M22" s="8">
        <f t="shared" si="1"/>
        <v>0</v>
      </c>
      <c r="N22" s="9" t="str">
        <f>IF('RIN Generation'!G22=0,"",G22/'RIN Generation'!G22)</f>
        <v/>
      </c>
    </row>
    <row r="23" spans="1:14" x14ac:dyDescent="0.25">
      <c r="A23" s="6">
        <v>44348</v>
      </c>
      <c r="B23" s="7"/>
      <c r="C23" s="7"/>
      <c r="D23" s="7"/>
      <c r="E23" s="7"/>
      <c r="F23" s="7"/>
      <c r="G23" s="8">
        <f t="shared" si="0"/>
        <v>0</v>
      </c>
      <c r="H23" s="7"/>
      <c r="I23" s="7"/>
      <c r="J23" s="7"/>
      <c r="K23" s="7"/>
      <c r="L23" s="7"/>
      <c r="M23" s="8">
        <f t="shared" si="1"/>
        <v>0</v>
      </c>
      <c r="N23" s="9" t="str">
        <f>IF('RIN Generation'!G23=0,"",G23/'RIN Generation'!G23)</f>
        <v/>
      </c>
    </row>
    <row r="24" spans="1:14" x14ac:dyDescent="0.25">
      <c r="A24" s="6">
        <v>44378</v>
      </c>
      <c r="B24" s="7"/>
      <c r="C24" s="7"/>
      <c r="D24" s="7"/>
      <c r="E24" s="7"/>
      <c r="F24" s="7"/>
      <c r="G24" s="8">
        <f t="shared" si="0"/>
        <v>0</v>
      </c>
      <c r="H24" s="7"/>
      <c r="I24" s="7"/>
      <c r="J24" s="7"/>
      <c r="K24" s="7"/>
      <c r="L24" s="7"/>
      <c r="M24" s="8">
        <f t="shared" si="1"/>
        <v>0</v>
      </c>
      <c r="N24" s="9" t="str">
        <f>IF('RIN Generation'!G24=0,"",G24/'RIN Generation'!G24)</f>
        <v/>
      </c>
    </row>
    <row r="25" spans="1:14" x14ac:dyDescent="0.25">
      <c r="A25" s="6">
        <v>44409</v>
      </c>
      <c r="B25" s="7"/>
      <c r="C25" s="7"/>
      <c r="D25" s="7"/>
      <c r="E25" s="7"/>
      <c r="F25" s="7"/>
      <c r="G25" s="8">
        <f t="shared" si="0"/>
        <v>0</v>
      </c>
      <c r="H25" s="7"/>
      <c r="I25" s="7"/>
      <c r="J25" s="7"/>
      <c r="K25" s="7"/>
      <c r="L25" s="7"/>
      <c r="M25" s="8">
        <f t="shared" si="1"/>
        <v>0</v>
      </c>
      <c r="N25" s="9" t="str">
        <f>IF('RIN Generation'!G25=0,"",G25/'RIN Generation'!G25)</f>
        <v/>
      </c>
    </row>
    <row r="26" spans="1:14" x14ac:dyDescent="0.25">
      <c r="A26" s="6">
        <v>44440</v>
      </c>
      <c r="B26" s="7"/>
      <c r="C26" s="7"/>
      <c r="D26" s="7"/>
      <c r="E26" s="7"/>
      <c r="F26" s="7"/>
      <c r="G26" s="8">
        <f t="shared" si="0"/>
        <v>0</v>
      </c>
      <c r="H26" s="7"/>
      <c r="I26" s="7"/>
      <c r="J26" s="7"/>
      <c r="K26" s="7"/>
      <c r="L26" s="7"/>
      <c r="M26" s="8">
        <f t="shared" si="1"/>
        <v>0</v>
      </c>
      <c r="N26" s="9" t="str">
        <f>IF('RIN Generation'!G26=0,"",G26/'RIN Generation'!G26)</f>
        <v/>
      </c>
    </row>
    <row r="27" spans="1:14" x14ac:dyDescent="0.25">
      <c r="A27" s="6">
        <v>44470</v>
      </c>
      <c r="B27" s="7"/>
      <c r="C27" s="7"/>
      <c r="D27" s="7"/>
      <c r="E27" s="7"/>
      <c r="F27" s="7"/>
      <c r="G27" s="8">
        <f t="shared" si="0"/>
        <v>0</v>
      </c>
      <c r="H27" s="7"/>
      <c r="I27" s="7"/>
      <c r="J27" s="7"/>
      <c r="K27" s="7"/>
      <c r="L27" s="7"/>
      <c r="M27" s="8">
        <f t="shared" si="1"/>
        <v>0</v>
      </c>
      <c r="N27" s="9" t="str">
        <f>IF('RIN Generation'!G27=0,"",G27/'RIN Generation'!G27)</f>
        <v/>
      </c>
    </row>
    <row r="28" spans="1:14" x14ac:dyDescent="0.25">
      <c r="A28" s="6">
        <v>44501</v>
      </c>
      <c r="B28" s="7"/>
      <c r="C28" s="7"/>
      <c r="D28" s="7"/>
      <c r="E28" s="7"/>
      <c r="F28" s="7"/>
      <c r="G28" s="8">
        <f t="shared" si="0"/>
        <v>0</v>
      </c>
      <c r="H28" s="7"/>
      <c r="I28" s="7"/>
      <c r="J28" s="7"/>
      <c r="K28" s="7"/>
      <c r="L28" s="7"/>
      <c r="M28" s="8">
        <f t="shared" si="1"/>
        <v>0</v>
      </c>
      <c r="N28" s="9" t="str">
        <f>IF('RIN Generation'!G28=0,"",G28/'RIN Generation'!G28)</f>
        <v/>
      </c>
    </row>
    <row r="29" spans="1:14" x14ac:dyDescent="0.25">
      <c r="A29" s="6">
        <v>44531</v>
      </c>
      <c r="B29" s="7"/>
      <c r="C29" s="7"/>
      <c r="D29" s="7"/>
      <c r="E29" s="7"/>
      <c r="F29" s="7"/>
      <c r="G29" s="8">
        <f t="shared" si="0"/>
        <v>0</v>
      </c>
      <c r="H29" s="7"/>
      <c r="I29" s="7"/>
      <c r="J29" s="7"/>
      <c r="K29" s="7"/>
      <c r="L29" s="7"/>
      <c r="M29" s="8">
        <f t="shared" si="1"/>
        <v>0</v>
      </c>
      <c r="N29" s="9" t="str">
        <f>IF('RIN Generation'!G29=0,"",G29/'RIN Generation'!G29)</f>
        <v/>
      </c>
    </row>
    <row r="30" spans="1:14" x14ac:dyDescent="0.25">
      <c r="A30" s="6">
        <v>44562</v>
      </c>
      <c r="B30" s="7"/>
      <c r="C30" s="7"/>
      <c r="D30" s="7"/>
      <c r="E30" s="7"/>
      <c r="F30" s="7"/>
      <c r="G30" s="8">
        <f t="shared" si="0"/>
        <v>0</v>
      </c>
      <c r="H30" s="7"/>
      <c r="I30" s="7"/>
      <c r="J30" s="7"/>
      <c r="K30" s="7"/>
      <c r="L30" s="7"/>
      <c r="M30" s="8">
        <f t="shared" si="1"/>
        <v>0</v>
      </c>
      <c r="N30" s="9" t="str">
        <f>IF('RIN Generation'!G30=0,"",G30/'RIN Generation'!G30)</f>
        <v/>
      </c>
    </row>
    <row r="31" spans="1:14" x14ac:dyDescent="0.25">
      <c r="A31" s="6">
        <v>44593</v>
      </c>
      <c r="B31" s="7"/>
      <c r="C31" s="7"/>
      <c r="D31" s="7"/>
      <c r="E31" s="7"/>
      <c r="F31" s="7"/>
      <c r="G31" s="8">
        <f t="shared" si="0"/>
        <v>0</v>
      </c>
      <c r="H31" s="7"/>
      <c r="I31" s="7"/>
      <c r="J31" s="7"/>
      <c r="K31" s="7"/>
      <c r="L31" s="7"/>
      <c r="M31" s="8">
        <f t="shared" si="1"/>
        <v>0</v>
      </c>
      <c r="N31" s="9" t="str">
        <f>IF('RIN Generation'!G31=0,"",G31/'RIN Generation'!G31)</f>
        <v/>
      </c>
    </row>
    <row r="32" spans="1:14" x14ac:dyDescent="0.25">
      <c r="A32" s="6">
        <v>44621</v>
      </c>
      <c r="B32" s="7"/>
      <c r="C32" s="7"/>
      <c r="D32" s="7"/>
      <c r="E32" s="7"/>
      <c r="F32" s="7"/>
      <c r="G32" s="8">
        <f t="shared" si="0"/>
        <v>0</v>
      </c>
      <c r="H32" s="7"/>
      <c r="I32" s="7"/>
      <c r="J32" s="7"/>
      <c r="K32" s="7"/>
      <c r="L32" s="7"/>
      <c r="M32" s="8">
        <f t="shared" si="1"/>
        <v>0</v>
      </c>
      <c r="N32" s="9" t="str">
        <f>IF('RIN Generation'!G32=0,"",G32/'RIN Generation'!G32)</f>
        <v/>
      </c>
    </row>
    <row r="33" spans="1:14" x14ac:dyDescent="0.25">
      <c r="A33" s="6">
        <v>44652</v>
      </c>
      <c r="B33" s="7"/>
      <c r="C33" s="7"/>
      <c r="D33" s="7"/>
      <c r="E33" s="7"/>
      <c r="F33" s="7"/>
      <c r="G33" s="8">
        <f t="shared" si="0"/>
        <v>0</v>
      </c>
      <c r="H33" s="7"/>
      <c r="I33" s="7"/>
      <c r="J33" s="7"/>
      <c r="K33" s="7"/>
      <c r="L33" s="7"/>
      <c r="M33" s="8">
        <f t="shared" si="1"/>
        <v>0</v>
      </c>
      <c r="N33" s="9" t="str">
        <f>IF('RIN Generation'!G33=0,"",G33/'RIN Generation'!G33)</f>
        <v/>
      </c>
    </row>
    <row r="34" spans="1:14" x14ac:dyDescent="0.25">
      <c r="A34" s="6">
        <v>44682</v>
      </c>
      <c r="B34" s="7"/>
      <c r="C34" s="7"/>
      <c r="D34" s="7"/>
      <c r="E34" s="7"/>
      <c r="F34" s="7"/>
      <c r="G34" s="8">
        <f t="shared" si="0"/>
        <v>0</v>
      </c>
      <c r="H34" s="7"/>
      <c r="I34" s="7"/>
      <c r="J34" s="7"/>
      <c r="K34" s="7"/>
      <c r="L34" s="7"/>
      <c r="M34" s="8">
        <f t="shared" si="1"/>
        <v>0</v>
      </c>
      <c r="N34" s="9" t="str">
        <f>IF('RIN Generation'!G34=0,"",G34/'RIN Generation'!G34)</f>
        <v/>
      </c>
    </row>
    <row r="35" spans="1:14" x14ac:dyDescent="0.25">
      <c r="A35" s="6">
        <v>44713</v>
      </c>
      <c r="B35" s="7"/>
      <c r="C35" s="7"/>
      <c r="D35" s="7"/>
      <c r="E35" s="7"/>
      <c r="F35" s="7"/>
      <c r="G35" s="8">
        <f t="shared" si="0"/>
        <v>0</v>
      </c>
      <c r="H35" s="7"/>
      <c r="I35" s="7"/>
      <c r="J35" s="7"/>
      <c r="K35" s="7"/>
      <c r="L35" s="7"/>
      <c r="M35" s="8">
        <f t="shared" si="1"/>
        <v>0</v>
      </c>
      <c r="N35" s="9" t="str">
        <f>IF('RIN Generation'!G35=0,"",G35/'RIN Generation'!G35)</f>
        <v/>
      </c>
    </row>
    <row r="36" spans="1:14" x14ac:dyDescent="0.25">
      <c r="A36" s="6">
        <v>44743</v>
      </c>
      <c r="B36" s="7"/>
      <c r="C36" s="7"/>
      <c r="D36" s="7"/>
      <c r="E36" s="7"/>
      <c r="F36" s="7"/>
      <c r="G36" s="8">
        <f t="shared" si="0"/>
        <v>0</v>
      </c>
      <c r="H36" s="7"/>
      <c r="I36" s="7"/>
      <c r="J36" s="7"/>
      <c r="K36" s="7"/>
      <c r="L36" s="7"/>
      <c r="M36" s="8">
        <f t="shared" si="1"/>
        <v>0</v>
      </c>
      <c r="N36" s="9" t="str">
        <f>IF('RIN Generation'!G36=0,"",G36/'RIN Generation'!G36)</f>
        <v/>
      </c>
    </row>
    <row r="37" spans="1:14" x14ac:dyDescent="0.25">
      <c r="A37" s="6">
        <v>44774</v>
      </c>
      <c r="B37" s="7"/>
      <c r="C37" s="7"/>
      <c r="D37" s="7"/>
      <c r="E37" s="7"/>
      <c r="F37" s="7"/>
      <c r="G37" s="8">
        <f t="shared" si="0"/>
        <v>0</v>
      </c>
      <c r="H37" s="7"/>
      <c r="I37" s="7"/>
      <c r="J37" s="7"/>
      <c r="K37" s="7"/>
      <c r="L37" s="7"/>
      <c r="M37" s="8">
        <f t="shared" si="1"/>
        <v>0</v>
      </c>
      <c r="N37" s="9" t="str">
        <f>IF('RIN Generation'!G37=0,"",G37/'RIN Generation'!G37)</f>
        <v/>
      </c>
    </row>
    <row r="38" spans="1:14" x14ac:dyDescent="0.25">
      <c r="A38" s="6">
        <v>44805</v>
      </c>
      <c r="B38" s="7"/>
      <c r="C38" s="7"/>
      <c r="D38" s="7"/>
      <c r="E38" s="7"/>
      <c r="F38" s="7"/>
      <c r="G38" s="8">
        <f t="shared" ref="G38:G69" si="2">SUM(B38:F38)</f>
        <v>0</v>
      </c>
      <c r="H38" s="7"/>
      <c r="I38" s="7"/>
      <c r="J38" s="7"/>
      <c r="K38" s="7"/>
      <c r="L38" s="7"/>
      <c r="M38" s="8">
        <f t="shared" ref="M38:M69" si="3">SUM(H38:L38)</f>
        <v>0</v>
      </c>
      <c r="N38" s="9" t="str">
        <f>IF('RIN Generation'!G38=0,"",G38/'RIN Generation'!G38)</f>
        <v/>
      </c>
    </row>
    <row r="39" spans="1:14" x14ac:dyDescent="0.25">
      <c r="A39" s="6">
        <v>44835</v>
      </c>
      <c r="B39" s="7"/>
      <c r="C39" s="7"/>
      <c r="D39" s="7"/>
      <c r="E39" s="7"/>
      <c r="F39" s="7"/>
      <c r="G39" s="8">
        <f t="shared" si="2"/>
        <v>0</v>
      </c>
      <c r="H39" s="7"/>
      <c r="I39" s="7"/>
      <c r="J39" s="7"/>
      <c r="K39" s="7"/>
      <c r="L39" s="7"/>
      <c r="M39" s="8">
        <f t="shared" si="3"/>
        <v>0</v>
      </c>
      <c r="N39" s="9" t="str">
        <f>IF('RIN Generation'!G39=0,"",G39/'RIN Generation'!G39)</f>
        <v/>
      </c>
    </row>
    <row r="40" spans="1:14" x14ac:dyDescent="0.25">
      <c r="A40" s="6">
        <v>44866</v>
      </c>
      <c r="B40" s="7"/>
      <c r="C40" s="7"/>
      <c r="D40" s="7"/>
      <c r="E40" s="7"/>
      <c r="F40" s="7"/>
      <c r="G40" s="8">
        <f t="shared" si="2"/>
        <v>0</v>
      </c>
      <c r="H40" s="7"/>
      <c r="I40" s="7"/>
      <c r="J40" s="7"/>
      <c r="K40" s="7"/>
      <c r="L40" s="7"/>
      <c r="M40" s="8">
        <f t="shared" si="3"/>
        <v>0</v>
      </c>
      <c r="N40" s="9" t="str">
        <f>IF('RIN Generation'!G40=0,"",G40/'RIN Generation'!G40)</f>
        <v/>
      </c>
    </row>
    <row r="41" spans="1:14" x14ac:dyDescent="0.25">
      <c r="A41" s="6">
        <v>44896</v>
      </c>
      <c r="B41" s="7"/>
      <c r="C41" s="7"/>
      <c r="D41" s="7"/>
      <c r="E41" s="7"/>
      <c r="F41" s="7"/>
      <c r="G41" s="8">
        <f t="shared" si="2"/>
        <v>0</v>
      </c>
      <c r="H41" s="7"/>
      <c r="I41" s="7"/>
      <c r="J41" s="7"/>
      <c r="K41" s="7"/>
      <c r="L41" s="7"/>
      <c r="M41" s="8">
        <f t="shared" si="3"/>
        <v>0</v>
      </c>
      <c r="N41" s="9" t="str">
        <f>IF('RIN Generation'!G41=0,"",G41/'RIN Generation'!G41)</f>
        <v/>
      </c>
    </row>
    <row r="42" spans="1:14" x14ac:dyDescent="0.25">
      <c r="A42" s="6">
        <v>44927</v>
      </c>
      <c r="B42" s="7"/>
      <c r="C42" s="7"/>
      <c r="D42" s="7"/>
      <c r="E42" s="7"/>
      <c r="F42" s="7"/>
      <c r="G42" s="8">
        <f t="shared" si="2"/>
        <v>0</v>
      </c>
      <c r="H42" s="7"/>
      <c r="I42" s="7"/>
      <c r="J42" s="7"/>
      <c r="K42" s="7"/>
      <c r="L42" s="7"/>
      <c r="M42" s="8">
        <f t="shared" si="3"/>
        <v>0</v>
      </c>
      <c r="N42" s="9" t="str">
        <f>IF('RIN Generation'!G42=0,"",G42/'RIN Generation'!G42)</f>
        <v/>
      </c>
    </row>
    <row r="43" spans="1:14" x14ac:dyDescent="0.25">
      <c r="A43" s="6">
        <v>44958</v>
      </c>
      <c r="B43" s="7"/>
      <c r="C43" s="7"/>
      <c r="D43" s="7"/>
      <c r="E43" s="7"/>
      <c r="F43" s="7"/>
      <c r="G43" s="8">
        <f t="shared" si="2"/>
        <v>0</v>
      </c>
      <c r="H43" s="7"/>
      <c r="I43" s="7"/>
      <c r="J43" s="7"/>
      <c r="K43" s="7"/>
      <c r="L43" s="7"/>
      <c r="M43" s="8">
        <f t="shared" si="3"/>
        <v>0</v>
      </c>
      <c r="N43" s="9" t="str">
        <f>IF('RIN Generation'!G43=0,"",G43/'RIN Generation'!G43)</f>
        <v/>
      </c>
    </row>
    <row r="44" spans="1:14" x14ac:dyDescent="0.25">
      <c r="A44" s="6">
        <v>44986</v>
      </c>
      <c r="B44" s="7"/>
      <c r="C44" s="7"/>
      <c r="D44" s="7"/>
      <c r="E44" s="7"/>
      <c r="F44" s="7"/>
      <c r="G44" s="8">
        <f t="shared" si="2"/>
        <v>0</v>
      </c>
      <c r="H44" s="7"/>
      <c r="I44" s="7"/>
      <c r="J44" s="7"/>
      <c r="K44" s="7"/>
      <c r="L44" s="7"/>
      <c r="M44" s="8">
        <f t="shared" si="3"/>
        <v>0</v>
      </c>
      <c r="N44" s="9" t="str">
        <f>IF('RIN Generation'!G44=0,"",G44/'RIN Generation'!G44)</f>
        <v/>
      </c>
    </row>
    <row r="45" spans="1:14" x14ac:dyDescent="0.25">
      <c r="A45" s="6">
        <v>45017</v>
      </c>
      <c r="B45" s="7"/>
      <c r="C45" s="7"/>
      <c r="D45" s="7"/>
      <c r="E45" s="7"/>
      <c r="F45" s="7"/>
      <c r="G45" s="8">
        <f t="shared" si="2"/>
        <v>0</v>
      </c>
      <c r="H45" s="7"/>
      <c r="I45" s="7"/>
      <c r="J45" s="7"/>
      <c r="K45" s="7"/>
      <c r="L45" s="7"/>
      <c r="M45" s="8">
        <f t="shared" si="3"/>
        <v>0</v>
      </c>
      <c r="N45" s="9" t="str">
        <f>IF('RIN Generation'!G45=0,"",G45/'RIN Generation'!G45)</f>
        <v/>
      </c>
    </row>
    <row r="46" spans="1:14" x14ac:dyDescent="0.25">
      <c r="A46" s="6">
        <v>45047</v>
      </c>
      <c r="B46" s="7"/>
      <c r="C46" s="7"/>
      <c r="D46" s="7"/>
      <c r="E46" s="7"/>
      <c r="F46" s="7"/>
      <c r="G46" s="8">
        <f t="shared" si="2"/>
        <v>0</v>
      </c>
      <c r="H46" s="7"/>
      <c r="I46" s="7"/>
      <c r="J46" s="7"/>
      <c r="K46" s="7"/>
      <c r="L46" s="7"/>
      <c r="M46" s="8">
        <f t="shared" si="3"/>
        <v>0</v>
      </c>
      <c r="N46" s="9" t="str">
        <f>IF('RIN Generation'!G46=0,"",G46/'RIN Generation'!G46)</f>
        <v/>
      </c>
    </row>
    <row r="47" spans="1:14" x14ac:dyDescent="0.25">
      <c r="A47" s="6">
        <v>45078</v>
      </c>
      <c r="B47" s="7"/>
      <c r="C47" s="7"/>
      <c r="D47" s="7"/>
      <c r="E47" s="7"/>
      <c r="F47" s="7"/>
      <c r="G47" s="8">
        <f t="shared" si="2"/>
        <v>0</v>
      </c>
      <c r="H47" s="7"/>
      <c r="I47" s="7"/>
      <c r="J47" s="7"/>
      <c r="K47" s="7"/>
      <c r="L47" s="7"/>
      <c r="M47" s="8">
        <f t="shared" si="3"/>
        <v>0</v>
      </c>
      <c r="N47" s="9" t="str">
        <f>IF('RIN Generation'!G47=0,"",G47/'RIN Generation'!G47)</f>
        <v/>
      </c>
    </row>
    <row r="48" spans="1:14" x14ac:dyDescent="0.25">
      <c r="A48" s="6">
        <v>45108</v>
      </c>
      <c r="B48" s="7"/>
      <c r="C48" s="7"/>
      <c r="D48" s="7"/>
      <c r="E48" s="7"/>
      <c r="F48" s="7"/>
      <c r="G48" s="8">
        <f t="shared" si="2"/>
        <v>0</v>
      </c>
      <c r="H48" s="7"/>
      <c r="I48" s="7"/>
      <c r="J48" s="7"/>
      <c r="K48" s="7"/>
      <c r="L48" s="7"/>
      <c r="M48" s="8">
        <f t="shared" si="3"/>
        <v>0</v>
      </c>
      <c r="N48" s="9" t="str">
        <f>IF('RIN Generation'!G48=0,"",G48/'RIN Generation'!G48)</f>
        <v/>
      </c>
    </row>
    <row r="49" spans="1:14" x14ac:dyDescent="0.25">
      <c r="A49" s="6">
        <v>45139</v>
      </c>
      <c r="B49" s="7"/>
      <c r="C49" s="7"/>
      <c r="D49" s="7"/>
      <c r="E49" s="7"/>
      <c r="F49" s="7"/>
      <c r="G49" s="8">
        <f t="shared" si="2"/>
        <v>0</v>
      </c>
      <c r="H49" s="7"/>
      <c r="I49" s="7"/>
      <c r="J49" s="7"/>
      <c r="K49" s="7"/>
      <c r="L49" s="7"/>
      <c r="M49" s="8">
        <f t="shared" si="3"/>
        <v>0</v>
      </c>
      <c r="N49" s="9" t="str">
        <f>IF('RIN Generation'!G49=0,"",G49/'RIN Generation'!G49)</f>
        <v/>
      </c>
    </row>
    <row r="50" spans="1:14" x14ac:dyDescent="0.25">
      <c r="A50" s="6">
        <v>45170</v>
      </c>
      <c r="B50" s="7"/>
      <c r="C50" s="7"/>
      <c r="D50" s="7"/>
      <c r="E50" s="7"/>
      <c r="F50" s="7"/>
      <c r="G50" s="8">
        <f t="shared" si="2"/>
        <v>0</v>
      </c>
      <c r="H50" s="7"/>
      <c r="I50" s="7"/>
      <c r="J50" s="7"/>
      <c r="K50" s="7"/>
      <c r="L50" s="7"/>
      <c r="M50" s="8">
        <f t="shared" si="3"/>
        <v>0</v>
      </c>
      <c r="N50" s="9" t="str">
        <f>IF('RIN Generation'!G50=0,"",G50/'RIN Generation'!G50)</f>
        <v/>
      </c>
    </row>
    <row r="51" spans="1:14" x14ac:dyDescent="0.25">
      <c r="A51" s="6">
        <v>45200</v>
      </c>
      <c r="B51" s="7"/>
      <c r="C51" s="7"/>
      <c r="D51" s="7"/>
      <c r="E51" s="7"/>
      <c r="F51" s="7"/>
      <c r="G51" s="8">
        <f t="shared" si="2"/>
        <v>0</v>
      </c>
      <c r="H51" s="7"/>
      <c r="I51" s="7"/>
      <c r="J51" s="7"/>
      <c r="K51" s="7"/>
      <c r="L51" s="7"/>
      <c r="M51" s="8">
        <f t="shared" si="3"/>
        <v>0</v>
      </c>
      <c r="N51" s="9" t="str">
        <f>IF('RIN Generation'!G51=0,"",G51/'RIN Generation'!G51)</f>
        <v/>
      </c>
    </row>
    <row r="52" spans="1:14" x14ac:dyDescent="0.25">
      <c r="A52" s="6">
        <v>45231</v>
      </c>
      <c r="B52" s="7"/>
      <c r="C52" s="7"/>
      <c r="D52" s="7"/>
      <c r="E52" s="7"/>
      <c r="F52" s="7"/>
      <c r="G52" s="8">
        <f t="shared" si="2"/>
        <v>0</v>
      </c>
      <c r="H52" s="7"/>
      <c r="I52" s="7"/>
      <c r="J52" s="7"/>
      <c r="K52" s="7"/>
      <c r="L52" s="7"/>
      <c r="M52" s="8">
        <f t="shared" si="3"/>
        <v>0</v>
      </c>
      <c r="N52" s="9" t="str">
        <f>IF('RIN Generation'!G52=0,"",G52/'RIN Generation'!G52)</f>
        <v/>
      </c>
    </row>
    <row r="53" spans="1:14" x14ac:dyDescent="0.25">
      <c r="A53" s="6">
        <v>45261</v>
      </c>
      <c r="B53" s="7"/>
      <c r="C53" s="7"/>
      <c r="D53" s="7"/>
      <c r="E53" s="7"/>
      <c r="F53" s="7"/>
      <c r="G53" s="8">
        <f t="shared" si="2"/>
        <v>0</v>
      </c>
      <c r="H53" s="7"/>
      <c r="I53" s="7"/>
      <c r="J53" s="7"/>
      <c r="K53" s="7"/>
      <c r="L53" s="7"/>
      <c r="M53" s="8">
        <f t="shared" si="3"/>
        <v>0</v>
      </c>
      <c r="N53" s="9" t="str">
        <f>IF('RIN Generation'!G53=0,"",G53/'RIN Generation'!G53)</f>
        <v/>
      </c>
    </row>
    <row r="54" spans="1:14" x14ac:dyDescent="0.25">
      <c r="A54" s="6">
        <v>45292</v>
      </c>
      <c r="B54" s="7"/>
      <c r="C54" s="7"/>
      <c r="D54" s="7"/>
      <c r="E54" s="7"/>
      <c r="F54" s="7"/>
      <c r="G54" s="8">
        <f t="shared" si="2"/>
        <v>0</v>
      </c>
      <c r="H54" s="7"/>
      <c r="I54" s="7"/>
      <c r="J54" s="7"/>
      <c r="K54" s="7"/>
      <c r="L54" s="7"/>
      <c r="M54" s="8">
        <f t="shared" si="3"/>
        <v>0</v>
      </c>
      <c r="N54" s="9" t="str">
        <f>IF('RIN Generation'!G54=0,"",G54/'RIN Generation'!G54)</f>
        <v/>
      </c>
    </row>
    <row r="55" spans="1:14" x14ac:dyDescent="0.25">
      <c r="A55" s="6">
        <v>45323</v>
      </c>
      <c r="B55" s="7"/>
      <c r="C55" s="7"/>
      <c r="D55" s="7"/>
      <c r="E55" s="7"/>
      <c r="F55" s="7"/>
      <c r="G55" s="8">
        <f t="shared" si="2"/>
        <v>0</v>
      </c>
      <c r="H55" s="7"/>
      <c r="I55" s="7"/>
      <c r="J55" s="7"/>
      <c r="K55" s="7"/>
      <c r="L55" s="7"/>
      <c r="M55" s="8">
        <f t="shared" si="3"/>
        <v>0</v>
      </c>
      <c r="N55" s="9" t="str">
        <f>IF('RIN Generation'!G55=0,"",G55/'RIN Generation'!G55)</f>
        <v/>
      </c>
    </row>
    <row r="56" spans="1:14" x14ac:dyDescent="0.25">
      <c r="A56" s="6">
        <v>45352</v>
      </c>
      <c r="B56" s="7"/>
      <c r="C56" s="7"/>
      <c r="D56" s="7"/>
      <c r="E56" s="7"/>
      <c r="F56" s="7"/>
      <c r="G56" s="8">
        <f t="shared" si="2"/>
        <v>0</v>
      </c>
      <c r="H56" s="7"/>
      <c r="I56" s="7"/>
      <c r="J56" s="7"/>
      <c r="K56" s="7"/>
      <c r="L56" s="7"/>
      <c r="M56" s="8">
        <f t="shared" si="3"/>
        <v>0</v>
      </c>
      <c r="N56" s="9" t="str">
        <f>IF('RIN Generation'!G56=0,"",G56/'RIN Generation'!G56)</f>
        <v/>
      </c>
    </row>
    <row r="57" spans="1:14" x14ac:dyDescent="0.25">
      <c r="A57" s="6">
        <v>45383</v>
      </c>
      <c r="B57" s="7"/>
      <c r="C57" s="7"/>
      <c r="D57" s="7"/>
      <c r="E57" s="7"/>
      <c r="F57" s="7"/>
      <c r="G57" s="8">
        <f t="shared" si="2"/>
        <v>0</v>
      </c>
      <c r="H57" s="7"/>
      <c r="I57" s="7"/>
      <c r="J57" s="7"/>
      <c r="K57" s="7"/>
      <c r="L57" s="7"/>
      <c r="M57" s="8">
        <f t="shared" si="3"/>
        <v>0</v>
      </c>
      <c r="N57" s="9" t="str">
        <f>IF('RIN Generation'!G57=0,"",G57/'RIN Generation'!G57)</f>
        <v/>
      </c>
    </row>
    <row r="58" spans="1:14" x14ac:dyDescent="0.25">
      <c r="A58" s="6">
        <v>45413</v>
      </c>
      <c r="B58" s="7"/>
      <c r="C58" s="7"/>
      <c r="D58" s="7"/>
      <c r="E58" s="7"/>
      <c r="F58" s="7"/>
      <c r="G58" s="8">
        <f t="shared" si="2"/>
        <v>0</v>
      </c>
      <c r="H58" s="7"/>
      <c r="I58" s="7"/>
      <c r="J58" s="7"/>
      <c r="K58" s="7"/>
      <c r="L58" s="7"/>
      <c r="M58" s="8">
        <f t="shared" si="3"/>
        <v>0</v>
      </c>
      <c r="N58" s="9" t="str">
        <f>IF('RIN Generation'!G58=0,"",G58/'RIN Generation'!G58)</f>
        <v/>
      </c>
    </row>
    <row r="59" spans="1:14" x14ac:dyDescent="0.25">
      <c r="A59" s="6">
        <v>45444</v>
      </c>
      <c r="B59" s="7"/>
      <c r="C59" s="7"/>
      <c r="D59" s="7"/>
      <c r="E59" s="7"/>
      <c r="F59" s="7"/>
      <c r="G59" s="8">
        <f t="shared" si="2"/>
        <v>0</v>
      </c>
      <c r="H59" s="7"/>
      <c r="I59" s="7"/>
      <c r="J59" s="7"/>
      <c r="K59" s="7"/>
      <c r="L59" s="7"/>
      <c r="M59" s="8">
        <f t="shared" si="3"/>
        <v>0</v>
      </c>
      <c r="N59" s="9" t="str">
        <f>IF('RIN Generation'!G59=0,"",G59/'RIN Generation'!G59)</f>
        <v/>
      </c>
    </row>
    <row r="60" spans="1:14" x14ac:dyDescent="0.25">
      <c r="A60" s="6">
        <v>45474</v>
      </c>
      <c r="B60" s="7"/>
      <c r="C60" s="7"/>
      <c r="D60" s="7"/>
      <c r="E60" s="7"/>
      <c r="F60" s="7"/>
      <c r="G60" s="8">
        <f t="shared" si="2"/>
        <v>0</v>
      </c>
      <c r="H60" s="7"/>
      <c r="I60" s="7"/>
      <c r="J60" s="7"/>
      <c r="K60" s="7"/>
      <c r="L60" s="7"/>
      <c r="M60" s="8">
        <f t="shared" si="3"/>
        <v>0</v>
      </c>
      <c r="N60" s="9" t="str">
        <f>IF('RIN Generation'!G60=0,"",G60/'RIN Generation'!G60)</f>
        <v/>
      </c>
    </row>
    <row r="61" spans="1:14" x14ac:dyDescent="0.25">
      <c r="A61" s="6">
        <v>45505</v>
      </c>
      <c r="B61" s="7"/>
      <c r="C61" s="7"/>
      <c r="D61" s="7"/>
      <c r="E61" s="7"/>
      <c r="F61" s="7"/>
      <c r="G61" s="8">
        <f t="shared" si="2"/>
        <v>0</v>
      </c>
      <c r="H61" s="7"/>
      <c r="I61" s="7"/>
      <c r="J61" s="7"/>
      <c r="K61" s="7"/>
      <c r="L61" s="7"/>
      <c r="M61" s="8">
        <f t="shared" si="3"/>
        <v>0</v>
      </c>
      <c r="N61" s="9" t="str">
        <f>IF('RIN Generation'!G61=0,"",G61/'RIN Generation'!G61)</f>
        <v/>
      </c>
    </row>
    <row r="62" spans="1:14" x14ac:dyDescent="0.25">
      <c r="A62" s="6">
        <v>45536</v>
      </c>
      <c r="B62" s="7"/>
      <c r="C62" s="7"/>
      <c r="D62" s="7"/>
      <c r="E62" s="7"/>
      <c r="F62" s="7"/>
      <c r="G62" s="8">
        <f t="shared" si="2"/>
        <v>0</v>
      </c>
      <c r="H62" s="7"/>
      <c r="I62" s="7"/>
      <c r="J62" s="7"/>
      <c r="K62" s="7"/>
      <c r="L62" s="7"/>
      <c r="M62" s="8">
        <f t="shared" si="3"/>
        <v>0</v>
      </c>
      <c r="N62" s="9" t="str">
        <f>IF('RIN Generation'!G62=0,"",G62/'RIN Generation'!G62)</f>
        <v/>
      </c>
    </row>
    <row r="63" spans="1:14" x14ac:dyDescent="0.25">
      <c r="A63" s="6">
        <v>45566</v>
      </c>
      <c r="B63" s="7"/>
      <c r="C63" s="7"/>
      <c r="D63" s="7"/>
      <c r="E63" s="7"/>
      <c r="F63" s="7"/>
      <c r="G63" s="8">
        <f t="shared" si="2"/>
        <v>0</v>
      </c>
      <c r="H63" s="7"/>
      <c r="I63" s="7"/>
      <c r="J63" s="7"/>
      <c r="K63" s="7"/>
      <c r="L63" s="7"/>
      <c r="M63" s="8">
        <f t="shared" si="3"/>
        <v>0</v>
      </c>
      <c r="N63" s="9" t="str">
        <f>IF('RIN Generation'!G63=0,"",G63/'RIN Generation'!G63)</f>
        <v/>
      </c>
    </row>
    <row r="64" spans="1:14" x14ac:dyDescent="0.25">
      <c r="A64" s="6">
        <v>45597</v>
      </c>
      <c r="B64" s="7"/>
      <c r="C64" s="7"/>
      <c r="D64" s="7"/>
      <c r="E64" s="7"/>
      <c r="F64" s="7"/>
      <c r="G64" s="8">
        <f t="shared" si="2"/>
        <v>0</v>
      </c>
      <c r="H64" s="7"/>
      <c r="I64" s="7"/>
      <c r="J64" s="7"/>
      <c r="K64" s="7"/>
      <c r="L64" s="7"/>
      <c r="M64" s="8">
        <f t="shared" si="3"/>
        <v>0</v>
      </c>
      <c r="N64" s="9" t="str">
        <f>IF('RIN Generation'!G64=0,"",G64/'RIN Generation'!G64)</f>
        <v/>
      </c>
    </row>
    <row r="65" spans="1:14" x14ac:dyDescent="0.25">
      <c r="A65" s="6">
        <v>45627</v>
      </c>
      <c r="B65" s="7"/>
      <c r="C65" s="7"/>
      <c r="D65" s="7"/>
      <c r="E65" s="7"/>
      <c r="F65" s="7"/>
      <c r="G65" s="8">
        <f t="shared" si="2"/>
        <v>0</v>
      </c>
      <c r="H65" s="7"/>
      <c r="I65" s="7"/>
      <c r="J65" s="7"/>
      <c r="K65" s="7"/>
      <c r="L65" s="7"/>
      <c r="M65" s="8">
        <f t="shared" si="3"/>
        <v>0</v>
      </c>
      <c r="N65" s="9" t="str">
        <f>IF('RIN Generation'!G65=0,"",G65/'RIN Generation'!G65)</f>
        <v/>
      </c>
    </row>
    <row r="66" spans="1:14" x14ac:dyDescent="0.25">
      <c r="A66" s="6">
        <v>45658</v>
      </c>
      <c r="B66" s="7"/>
      <c r="C66" s="7"/>
      <c r="D66" s="7"/>
      <c r="E66" s="7"/>
      <c r="F66" s="7"/>
      <c r="G66" s="8">
        <f t="shared" si="2"/>
        <v>0</v>
      </c>
      <c r="H66" s="7"/>
      <c r="I66" s="7"/>
      <c r="J66" s="7"/>
      <c r="K66" s="7"/>
      <c r="L66" s="7"/>
      <c r="M66" s="8">
        <f t="shared" si="3"/>
        <v>0</v>
      </c>
      <c r="N66" s="9" t="str">
        <f>IF('RIN Generation'!G66=0,"",G66/'RIN Generation'!G66)</f>
        <v/>
      </c>
    </row>
    <row r="67" spans="1:14" x14ac:dyDescent="0.25">
      <c r="A67" s="6">
        <v>45689</v>
      </c>
      <c r="B67" s="7"/>
      <c r="C67" s="7"/>
      <c r="D67" s="7"/>
      <c r="E67" s="7"/>
      <c r="F67" s="7"/>
      <c r="G67" s="8">
        <f t="shared" si="2"/>
        <v>0</v>
      </c>
      <c r="H67" s="7"/>
      <c r="I67" s="7"/>
      <c r="J67" s="7"/>
      <c r="K67" s="7"/>
      <c r="L67" s="7"/>
      <c r="M67" s="8">
        <f t="shared" si="3"/>
        <v>0</v>
      </c>
      <c r="N67" s="9" t="str">
        <f>IF('RIN Generation'!G67=0,"",G67/'RIN Generation'!G67)</f>
        <v/>
      </c>
    </row>
    <row r="68" spans="1:14" x14ac:dyDescent="0.25">
      <c r="A68" s="6">
        <v>45717</v>
      </c>
      <c r="B68" s="7"/>
      <c r="C68" s="7"/>
      <c r="D68" s="7"/>
      <c r="E68" s="7"/>
      <c r="F68" s="7"/>
      <c r="G68" s="8">
        <f t="shared" si="2"/>
        <v>0</v>
      </c>
      <c r="H68" s="7"/>
      <c r="I68" s="7"/>
      <c r="J68" s="7"/>
      <c r="K68" s="7"/>
      <c r="L68" s="7"/>
      <c r="M68" s="8">
        <f t="shared" si="3"/>
        <v>0</v>
      </c>
      <c r="N68" s="9" t="str">
        <f>IF('RIN Generation'!G68=0,"",G68/'RIN Generation'!G68)</f>
        <v/>
      </c>
    </row>
    <row r="69" spans="1:14" x14ac:dyDescent="0.25">
      <c r="A69" s="6">
        <v>45748</v>
      </c>
      <c r="B69" s="7"/>
      <c r="C69" s="7"/>
      <c r="D69" s="7"/>
      <c r="E69" s="7"/>
      <c r="F69" s="7"/>
      <c r="G69" s="8">
        <f t="shared" si="2"/>
        <v>0</v>
      </c>
      <c r="H69" s="7"/>
      <c r="I69" s="7"/>
      <c r="J69" s="7"/>
      <c r="K69" s="7"/>
      <c r="L69" s="7"/>
      <c r="M69" s="8">
        <f t="shared" si="3"/>
        <v>0</v>
      </c>
      <c r="N69" s="9" t="str">
        <f>IF('RIN Generation'!G69=0,"",G69/'RIN Generation'!G69)</f>
        <v/>
      </c>
    </row>
    <row r="70" spans="1:14" x14ac:dyDescent="0.25">
      <c r="A70" s="6">
        <v>45778</v>
      </c>
      <c r="B70" s="7"/>
      <c r="C70" s="7"/>
      <c r="D70" s="7"/>
      <c r="E70" s="7"/>
      <c r="F70" s="7"/>
      <c r="G70" s="8">
        <f t="shared" ref="G70:G101" si="4">SUM(B70:F70)</f>
        <v>0</v>
      </c>
      <c r="H70" s="7"/>
      <c r="I70" s="7"/>
      <c r="J70" s="7"/>
      <c r="K70" s="7"/>
      <c r="L70" s="7"/>
      <c r="M70" s="8">
        <f t="shared" ref="M70:M101" si="5">SUM(H70:L70)</f>
        <v>0</v>
      </c>
      <c r="N70" s="9" t="str">
        <f>IF('RIN Generation'!G70=0,"",G70/'RIN Generation'!G70)</f>
        <v/>
      </c>
    </row>
    <row r="71" spans="1:14" x14ac:dyDescent="0.25">
      <c r="A71" s="6">
        <v>45809</v>
      </c>
      <c r="B71" s="7"/>
      <c r="C71" s="7"/>
      <c r="D71" s="7"/>
      <c r="E71" s="7"/>
      <c r="F71" s="7"/>
      <c r="G71" s="8">
        <f t="shared" si="4"/>
        <v>0</v>
      </c>
      <c r="H71" s="7"/>
      <c r="I71" s="7"/>
      <c r="J71" s="7"/>
      <c r="K71" s="7"/>
      <c r="L71" s="7"/>
      <c r="M71" s="8">
        <f t="shared" si="5"/>
        <v>0</v>
      </c>
      <c r="N71" s="9" t="str">
        <f>IF('RIN Generation'!G71=0,"",G71/'RIN Generation'!G71)</f>
        <v/>
      </c>
    </row>
    <row r="72" spans="1:14" x14ac:dyDescent="0.25">
      <c r="A72" s="6">
        <v>45839</v>
      </c>
      <c r="B72" s="7"/>
      <c r="C72" s="7"/>
      <c r="D72" s="7"/>
      <c r="E72" s="7"/>
      <c r="F72" s="7"/>
      <c r="G72" s="8">
        <f t="shared" si="4"/>
        <v>0</v>
      </c>
      <c r="H72" s="7"/>
      <c r="I72" s="7"/>
      <c r="J72" s="7"/>
      <c r="K72" s="7"/>
      <c r="L72" s="7"/>
      <c r="M72" s="8">
        <f t="shared" si="5"/>
        <v>0</v>
      </c>
      <c r="N72" s="9" t="str">
        <f>IF('RIN Generation'!G72=0,"",G72/'RIN Generation'!G72)</f>
        <v/>
      </c>
    </row>
    <row r="73" spans="1:14" x14ac:dyDescent="0.25">
      <c r="A73" s="6">
        <v>45870</v>
      </c>
      <c r="B73" s="7"/>
      <c r="C73" s="7"/>
      <c r="D73" s="7"/>
      <c r="E73" s="7"/>
      <c r="F73" s="7"/>
      <c r="G73" s="8">
        <f t="shared" si="4"/>
        <v>0</v>
      </c>
      <c r="H73" s="7"/>
      <c r="I73" s="7"/>
      <c r="J73" s="7"/>
      <c r="K73" s="7"/>
      <c r="L73" s="7"/>
      <c r="M73" s="8">
        <f t="shared" si="5"/>
        <v>0</v>
      </c>
      <c r="N73" s="9" t="str">
        <f>IF('RIN Generation'!G73=0,"",G73/'RIN Generation'!G73)</f>
        <v/>
      </c>
    </row>
    <row r="74" spans="1:14" x14ac:dyDescent="0.25">
      <c r="A74" s="6">
        <v>45901</v>
      </c>
      <c r="B74" s="7"/>
      <c r="C74" s="7"/>
      <c r="D74" s="7"/>
      <c r="E74" s="7"/>
      <c r="F74" s="7"/>
      <c r="G74" s="8">
        <f t="shared" si="4"/>
        <v>0</v>
      </c>
      <c r="H74" s="7"/>
      <c r="I74" s="7"/>
      <c r="J74" s="7"/>
      <c r="K74" s="7"/>
      <c r="L74" s="7"/>
      <c r="M74" s="8">
        <f t="shared" si="5"/>
        <v>0</v>
      </c>
      <c r="N74" s="9" t="str">
        <f>IF('RIN Generation'!G74=0,"",G74/'RIN Generation'!G74)</f>
        <v/>
      </c>
    </row>
    <row r="75" spans="1:14" x14ac:dyDescent="0.25">
      <c r="A75" s="6">
        <v>45931</v>
      </c>
      <c r="B75" s="7"/>
      <c r="C75" s="7"/>
      <c r="D75" s="7"/>
      <c r="E75" s="7"/>
      <c r="F75" s="7"/>
      <c r="G75" s="8">
        <f t="shared" si="4"/>
        <v>0</v>
      </c>
      <c r="H75" s="7"/>
      <c r="I75" s="7"/>
      <c r="J75" s="7"/>
      <c r="K75" s="7"/>
      <c r="L75" s="7"/>
      <c r="M75" s="8">
        <f t="shared" si="5"/>
        <v>0</v>
      </c>
      <c r="N75" s="9" t="str">
        <f>IF('RIN Generation'!G75=0,"",G75/'RIN Generation'!G75)</f>
        <v/>
      </c>
    </row>
    <row r="76" spans="1:14" x14ac:dyDescent="0.25">
      <c r="A76" s="6">
        <v>45962</v>
      </c>
      <c r="B76" s="7"/>
      <c r="C76" s="7"/>
      <c r="D76" s="7"/>
      <c r="E76" s="7"/>
      <c r="F76" s="7"/>
      <c r="G76" s="8">
        <f t="shared" si="4"/>
        <v>0</v>
      </c>
      <c r="H76" s="7"/>
      <c r="I76" s="7"/>
      <c r="J76" s="7"/>
      <c r="K76" s="7"/>
      <c r="L76" s="7"/>
      <c r="M76" s="8">
        <f t="shared" si="5"/>
        <v>0</v>
      </c>
      <c r="N76" s="9" t="str">
        <f>IF('RIN Generation'!G76=0,"",G76/'RIN Generation'!G76)</f>
        <v/>
      </c>
    </row>
    <row r="77" spans="1:14" x14ac:dyDescent="0.25">
      <c r="A77" s="6">
        <v>45992</v>
      </c>
      <c r="B77" s="7"/>
      <c r="C77" s="7"/>
      <c r="D77" s="7"/>
      <c r="E77" s="7"/>
      <c r="F77" s="7"/>
      <c r="G77" s="8">
        <f t="shared" si="4"/>
        <v>0</v>
      </c>
      <c r="H77" s="7"/>
      <c r="I77" s="7"/>
      <c r="J77" s="7"/>
      <c r="K77" s="7"/>
      <c r="L77" s="7"/>
      <c r="M77" s="8">
        <f t="shared" si="5"/>
        <v>0</v>
      </c>
      <c r="N77" s="9" t="str">
        <f>IF('RIN Generation'!G77=0,"",G77/'RIN Generation'!G77)</f>
        <v/>
      </c>
    </row>
    <row r="78" spans="1:14" x14ac:dyDescent="0.25">
      <c r="A78" s="6">
        <v>46023</v>
      </c>
      <c r="B78" s="7"/>
      <c r="C78" s="7"/>
      <c r="D78" s="7"/>
      <c r="E78" s="7"/>
      <c r="F78" s="7"/>
      <c r="G78" s="8">
        <f t="shared" si="4"/>
        <v>0</v>
      </c>
      <c r="H78" s="7"/>
      <c r="I78" s="7"/>
      <c r="J78" s="7"/>
      <c r="K78" s="7"/>
      <c r="L78" s="7"/>
      <c r="M78" s="8">
        <f t="shared" si="5"/>
        <v>0</v>
      </c>
      <c r="N78" s="9" t="str">
        <f>IF('RIN Generation'!G78=0,"",G78/'RIN Generation'!G78)</f>
        <v/>
      </c>
    </row>
    <row r="79" spans="1:14" x14ac:dyDescent="0.25">
      <c r="A79" s="6">
        <v>46054</v>
      </c>
      <c r="B79" s="7"/>
      <c r="C79" s="7"/>
      <c r="D79" s="7"/>
      <c r="E79" s="7"/>
      <c r="F79" s="7"/>
      <c r="G79" s="8">
        <f t="shared" si="4"/>
        <v>0</v>
      </c>
      <c r="H79" s="7"/>
      <c r="I79" s="7"/>
      <c r="J79" s="7"/>
      <c r="K79" s="7"/>
      <c r="L79" s="7"/>
      <c r="M79" s="8">
        <f t="shared" si="5"/>
        <v>0</v>
      </c>
      <c r="N79" s="9" t="str">
        <f>IF('RIN Generation'!G79=0,"",G79/'RIN Generation'!G79)</f>
        <v/>
      </c>
    </row>
    <row r="80" spans="1:14" x14ac:dyDescent="0.25">
      <c r="A80" s="6">
        <v>46082</v>
      </c>
      <c r="B80" s="7"/>
      <c r="C80" s="7"/>
      <c r="D80" s="7"/>
      <c r="E80" s="7"/>
      <c r="F80" s="7"/>
      <c r="G80" s="8">
        <f t="shared" si="4"/>
        <v>0</v>
      </c>
      <c r="H80" s="7"/>
      <c r="I80" s="7"/>
      <c r="J80" s="7"/>
      <c r="K80" s="7"/>
      <c r="L80" s="7"/>
      <c r="M80" s="8">
        <f t="shared" si="5"/>
        <v>0</v>
      </c>
      <c r="N80" s="9" t="str">
        <f>IF('RIN Generation'!G80=0,"",G80/'RIN Generation'!G80)</f>
        <v/>
      </c>
    </row>
    <row r="81" spans="1:14" x14ac:dyDescent="0.25">
      <c r="A81" s="6">
        <v>46113</v>
      </c>
      <c r="B81" s="7"/>
      <c r="C81" s="7"/>
      <c r="D81" s="7"/>
      <c r="E81" s="7"/>
      <c r="F81" s="7"/>
      <c r="G81" s="8">
        <f t="shared" si="4"/>
        <v>0</v>
      </c>
      <c r="H81" s="7"/>
      <c r="I81" s="7"/>
      <c r="J81" s="7"/>
      <c r="K81" s="7"/>
      <c r="L81" s="7"/>
      <c r="M81" s="8">
        <f t="shared" si="5"/>
        <v>0</v>
      </c>
      <c r="N81" s="9" t="str">
        <f>IF('RIN Generation'!G81=0,"",G81/'RIN Generation'!G81)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5" width="12" customWidth="1"/>
  </cols>
  <sheetData>
    <row r="1" spans="1:15" ht="15.75" x14ac:dyDescent="0.25">
      <c r="A1" s="2" t="s">
        <v>34</v>
      </c>
    </row>
    <row r="2" spans="1:15" x14ac:dyDescent="0.25">
      <c r="A2" s="3" t="s">
        <v>1</v>
      </c>
    </row>
    <row r="3" spans="1:15" x14ac:dyDescent="0.25">
      <c r="A3" s="4" t="s">
        <v>35</v>
      </c>
    </row>
    <row r="5" spans="1:15" ht="39" x14ac:dyDescent="0.25">
      <c r="A5" s="5" t="s">
        <v>3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</row>
    <row r="6" spans="1:15" x14ac:dyDescent="0.25">
      <c r="A6" s="6">
        <v>43831</v>
      </c>
      <c r="B6" s="7"/>
      <c r="C6" s="7"/>
      <c r="D6" s="7"/>
      <c r="E6" s="7"/>
      <c r="F6" s="7"/>
      <c r="G6" s="8">
        <f t="shared" ref="G6:G37" si="0">SUM(B6:F6)</f>
        <v>0</v>
      </c>
      <c r="H6" s="7">
        <f>'RIN Sep &amp; Available'!H6-B6</f>
        <v>0</v>
      </c>
      <c r="I6" s="7">
        <f>'RIN Sep &amp; Available'!I6-C6</f>
        <v>0</v>
      </c>
      <c r="J6" s="7">
        <f>'RIN Sep &amp; Available'!J6-D6</f>
        <v>0</v>
      </c>
      <c r="K6" s="7">
        <f>'RIN Sep &amp; Available'!K6-E6</f>
        <v>0</v>
      </c>
      <c r="L6" s="7">
        <f>'RIN Sep &amp; Available'!L6-F6</f>
        <v>0</v>
      </c>
      <c r="M6" s="10">
        <f t="shared" ref="M6:M37" si="1">SUM(H6:L6)</f>
        <v>0</v>
      </c>
      <c r="N6" s="11">
        <v>2020</v>
      </c>
      <c r="O6" s="7"/>
    </row>
    <row r="7" spans="1:15" x14ac:dyDescent="0.25">
      <c r="A7" s="6">
        <v>43862</v>
      </c>
      <c r="B7" s="7"/>
      <c r="C7" s="7"/>
      <c r="D7" s="7"/>
      <c r="E7" s="7"/>
      <c r="F7" s="7"/>
      <c r="G7" s="8">
        <f t="shared" si="0"/>
        <v>0</v>
      </c>
      <c r="H7" s="7">
        <f>'RIN Sep &amp; Available'!H7-B7</f>
        <v>0</v>
      </c>
      <c r="I7" s="7">
        <f>'RIN Sep &amp; Available'!I7-C7</f>
        <v>0</v>
      </c>
      <c r="J7" s="7">
        <f>'RIN Sep &amp; Available'!J7-D7</f>
        <v>0</v>
      </c>
      <c r="K7" s="7">
        <f>'RIN Sep &amp; Available'!K7-E7</f>
        <v>0</v>
      </c>
      <c r="L7" s="7">
        <f>'RIN Sep &amp; Available'!L7-F7</f>
        <v>0</v>
      </c>
      <c r="M7" s="10">
        <f t="shared" si="1"/>
        <v>0</v>
      </c>
      <c r="N7" s="11">
        <v>2020</v>
      </c>
      <c r="O7" s="7"/>
    </row>
    <row r="8" spans="1:15" x14ac:dyDescent="0.25">
      <c r="A8" s="6">
        <v>43891</v>
      </c>
      <c r="B8" s="7"/>
      <c r="C8" s="7"/>
      <c r="D8" s="7"/>
      <c r="E8" s="7"/>
      <c r="F8" s="7"/>
      <c r="G8" s="8">
        <f t="shared" si="0"/>
        <v>0</v>
      </c>
      <c r="H8" s="7">
        <f>'RIN Sep &amp; Available'!H8-B8</f>
        <v>0</v>
      </c>
      <c r="I8" s="7">
        <f>'RIN Sep &amp; Available'!I8-C8</f>
        <v>0</v>
      </c>
      <c r="J8" s="7">
        <f>'RIN Sep &amp; Available'!J8-D8</f>
        <v>0</v>
      </c>
      <c r="K8" s="7">
        <f>'RIN Sep &amp; Available'!K8-E8</f>
        <v>0</v>
      </c>
      <c r="L8" s="7">
        <f>'RIN Sep &amp; Available'!L8-F8</f>
        <v>0</v>
      </c>
      <c r="M8" s="10">
        <f t="shared" si="1"/>
        <v>0</v>
      </c>
      <c r="N8" s="11">
        <v>2020</v>
      </c>
      <c r="O8" s="7"/>
    </row>
    <row r="9" spans="1:15" x14ac:dyDescent="0.25">
      <c r="A9" s="6">
        <v>43922</v>
      </c>
      <c r="B9" s="7"/>
      <c r="C9" s="7"/>
      <c r="D9" s="7"/>
      <c r="E9" s="7"/>
      <c r="F9" s="7"/>
      <c r="G9" s="8">
        <f t="shared" si="0"/>
        <v>0</v>
      </c>
      <c r="H9" s="7">
        <f>'RIN Sep &amp; Available'!H9-B9</f>
        <v>0</v>
      </c>
      <c r="I9" s="7">
        <f>'RIN Sep &amp; Available'!I9-C9</f>
        <v>0</v>
      </c>
      <c r="J9" s="7">
        <f>'RIN Sep &amp; Available'!J9-D9</f>
        <v>0</v>
      </c>
      <c r="K9" s="7">
        <f>'RIN Sep &amp; Available'!K9-E9</f>
        <v>0</v>
      </c>
      <c r="L9" s="7">
        <f>'RIN Sep &amp; Available'!L9-F9</f>
        <v>0</v>
      </c>
      <c r="M9" s="10">
        <f t="shared" si="1"/>
        <v>0</v>
      </c>
      <c r="N9" s="11">
        <v>2020</v>
      </c>
      <c r="O9" s="7"/>
    </row>
    <row r="10" spans="1:15" x14ac:dyDescent="0.25">
      <c r="A10" s="6">
        <v>43952</v>
      </c>
      <c r="B10" s="7"/>
      <c r="C10" s="7"/>
      <c r="D10" s="7"/>
      <c r="E10" s="7"/>
      <c r="F10" s="7"/>
      <c r="G10" s="8">
        <f t="shared" si="0"/>
        <v>0</v>
      </c>
      <c r="H10" s="7">
        <f>'RIN Sep &amp; Available'!H10-B10</f>
        <v>0</v>
      </c>
      <c r="I10" s="7">
        <f>'RIN Sep &amp; Available'!I10-C10</f>
        <v>0</v>
      </c>
      <c r="J10" s="7">
        <f>'RIN Sep &amp; Available'!J10-D10</f>
        <v>0</v>
      </c>
      <c r="K10" s="7">
        <f>'RIN Sep &amp; Available'!K10-E10</f>
        <v>0</v>
      </c>
      <c r="L10" s="7">
        <f>'RIN Sep &amp; Available'!L10-F10</f>
        <v>0</v>
      </c>
      <c r="M10" s="10">
        <f t="shared" si="1"/>
        <v>0</v>
      </c>
      <c r="N10" s="11">
        <v>2020</v>
      </c>
      <c r="O10" s="7"/>
    </row>
    <row r="11" spans="1:15" x14ac:dyDescent="0.25">
      <c r="A11" s="6">
        <v>43983</v>
      </c>
      <c r="B11" s="7"/>
      <c r="C11" s="7"/>
      <c r="D11" s="7"/>
      <c r="E11" s="7"/>
      <c r="F11" s="7"/>
      <c r="G11" s="8">
        <f t="shared" si="0"/>
        <v>0</v>
      </c>
      <c r="H11" s="7">
        <f>'RIN Sep &amp; Available'!H11-B11</f>
        <v>0</v>
      </c>
      <c r="I11" s="7">
        <f>'RIN Sep &amp; Available'!I11-C11</f>
        <v>0</v>
      </c>
      <c r="J11" s="7">
        <f>'RIN Sep &amp; Available'!J11-D11</f>
        <v>0</v>
      </c>
      <c r="K11" s="7">
        <f>'RIN Sep &amp; Available'!K11-E11</f>
        <v>0</v>
      </c>
      <c r="L11" s="7">
        <f>'RIN Sep &amp; Available'!L11-F11</f>
        <v>0</v>
      </c>
      <c r="M11" s="10">
        <f t="shared" si="1"/>
        <v>0</v>
      </c>
      <c r="N11" s="11">
        <v>2020</v>
      </c>
      <c r="O11" s="7"/>
    </row>
    <row r="12" spans="1:15" x14ac:dyDescent="0.25">
      <c r="A12" s="6">
        <v>44013</v>
      </c>
      <c r="B12" s="7"/>
      <c r="C12" s="7"/>
      <c r="D12" s="7"/>
      <c r="E12" s="7"/>
      <c r="F12" s="7"/>
      <c r="G12" s="8">
        <f t="shared" si="0"/>
        <v>0</v>
      </c>
      <c r="H12" s="7">
        <f>'RIN Sep &amp; Available'!H12-B12</f>
        <v>0</v>
      </c>
      <c r="I12" s="7">
        <f>'RIN Sep &amp; Available'!I12-C12</f>
        <v>0</v>
      </c>
      <c r="J12" s="7">
        <f>'RIN Sep &amp; Available'!J12-D12</f>
        <v>0</v>
      </c>
      <c r="K12" s="7">
        <f>'RIN Sep &amp; Available'!K12-E12</f>
        <v>0</v>
      </c>
      <c r="L12" s="7">
        <f>'RIN Sep &amp; Available'!L12-F12</f>
        <v>0</v>
      </c>
      <c r="M12" s="10">
        <f t="shared" si="1"/>
        <v>0</v>
      </c>
      <c r="N12" s="11">
        <v>2020</v>
      </c>
      <c r="O12" s="7"/>
    </row>
    <row r="13" spans="1:15" x14ac:dyDescent="0.25">
      <c r="A13" s="6">
        <v>44044</v>
      </c>
      <c r="B13" s="7"/>
      <c r="C13" s="7"/>
      <c r="D13" s="7"/>
      <c r="E13" s="7"/>
      <c r="F13" s="7"/>
      <c r="G13" s="8">
        <f t="shared" si="0"/>
        <v>0</v>
      </c>
      <c r="H13" s="7">
        <f>'RIN Sep &amp; Available'!H13-B13</f>
        <v>0</v>
      </c>
      <c r="I13" s="7">
        <f>'RIN Sep &amp; Available'!I13-C13</f>
        <v>0</v>
      </c>
      <c r="J13" s="7">
        <f>'RIN Sep &amp; Available'!J13-D13</f>
        <v>0</v>
      </c>
      <c r="K13" s="7">
        <f>'RIN Sep &amp; Available'!K13-E13</f>
        <v>0</v>
      </c>
      <c r="L13" s="7">
        <f>'RIN Sep &amp; Available'!L13-F13</f>
        <v>0</v>
      </c>
      <c r="M13" s="10">
        <f t="shared" si="1"/>
        <v>0</v>
      </c>
      <c r="N13" s="11">
        <v>2020</v>
      </c>
      <c r="O13" s="7"/>
    </row>
    <row r="14" spans="1:15" x14ac:dyDescent="0.25">
      <c r="A14" s="6">
        <v>44075</v>
      </c>
      <c r="B14" s="7"/>
      <c r="C14" s="7"/>
      <c r="D14" s="7"/>
      <c r="E14" s="7"/>
      <c r="F14" s="7"/>
      <c r="G14" s="8">
        <f t="shared" si="0"/>
        <v>0</v>
      </c>
      <c r="H14" s="7">
        <f>'RIN Sep &amp; Available'!H14-B14</f>
        <v>0</v>
      </c>
      <c r="I14" s="7">
        <f>'RIN Sep &amp; Available'!I14-C14</f>
        <v>0</v>
      </c>
      <c r="J14" s="7">
        <f>'RIN Sep &amp; Available'!J14-D14</f>
        <v>0</v>
      </c>
      <c r="K14" s="7">
        <f>'RIN Sep &amp; Available'!K14-E14</f>
        <v>0</v>
      </c>
      <c r="L14" s="7">
        <f>'RIN Sep &amp; Available'!L14-F14</f>
        <v>0</v>
      </c>
      <c r="M14" s="10">
        <f t="shared" si="1"/>
        <v>0</v>
      </c>
      <c r="N14" s="11">
        <v>2020</v>
      </c>
      <c r="O14" s="7"/>
    </row>
    <row r="15" spans="1:15" x14ac:dyDescent="0.25">
      <c r="A15" s="6">
        <v>44105</v>
      </c>
      <c r="B15" s="7"/>
      <c r="C15" s="7"/>
      <c r="D15" s="7"/>
      <c r="E15" s="7"/>
      <c r="F15" s="7"/>
      <c r="G15" s="8">
        <f t="shared" si="0"/>
        <v>0</v>
      </c>
      <c r="H15" s="7">
        <f>'RIN Sep &amp; Available'!H15-B15</f>
        <v>0</v>
      </c>
      <c r="I15" s="7">
        <f>'RIN Sep &amp; Available'!I15-C15</f>
        <v>0</v>
      </c>
      <c r="J15" s="7">
        <f>'RIN Sep &amp; Available'!J15-D15</f>
        <v>0</v>
      </c>
      <c r="K15" s="7">
        <f>'RIN Sep &amp; Available'!K15-E15</f>
        <v>0</v>
      </c>
      <c r="L15" s="7">
        <f>'RIN Sep &amp; Available'!L15-F15</f>
        <v>0</v>
      </c>
      <c r="M15" s="10">
        <f t="shared" si="1"/>
        <v>0</v>
      </c>
      <c r="N15" s="11">
        <v>2020</v>
      </c>
      <c r="O15" s="7"/>
    </row>
    <row r="16" spans="1:15" x14ac:dyDescent="0.25">
      <c r="A16" s="6">
        <v>44136</v>
      </c>
      <c r="B16" s="7"/>
      <c r="C16" s="7"/>
      <c r="D16" s="7"/>
      <c r="E16" s="7"/>
      <c r="F16" s="7"/>
      <c r="G16" s="8">
        <f t="shared" si="0"/>
        <v>0</v>
      </c>
      <c r="H16" s="7">
        <f>'RIN Sep &amp; Available'!H16-B16</f>
        <v>0</v>
      </c>
      <c r="I16" s="7">
        <f>'RIN Sep &amp; Available'!I16-C16</f>
        <v>0</v>
      </c>
      <c r="J16" s="7">
        <f>'RIN Sep &amp; Available'!J16-D16</f>
        <v>0</v>
      </c>
      <c r="K16" s="7">
        <f>'RIN Sep &amp; Available'!K16-E16</f>
        <v>0</v>
      </c>
      <c r="L16" s="7">
        <f>'RIN Sep &amp; Available'!L16-F16</f>
        <v>0</v>
      </c>
      <c r="M16" s="10">
        <f t="shared" si="1"/>
        <v>0</v>
      </c>
      <c r="N16" s="11">
        <v>2020</v>
      </c>
      <c r="O16" s="7"/>
    </row>
    <row r="17" spans="1:15" x14ac:dyDescent="0.25">
      <c r="A17" s="6">
        <v>44166</v>
      </c>
      <c r="B17" s="7"/>
      <c r="C17" s="7"/>
      <c r="D17" s="7"/>
      <c r="E17" s="7"/>
      <c r="F17" s="7"/>
      <c r="G17" s="8">
        <f t="shared" si="0"/>
        <v>0</v>
      </c>
      <c r="H17" s="7">
        <f>'RIN Sep &amp; Available'!H17-B17</f>
        <v>0</v>
      </c>
      <c r="I17" s="7">
        <f>'RIN Sep &amp; Available'!I17-C17</f>
        <v>0</v>
      </c>
      <c r="J17" s="7">
        <f>'RIN Sep &amp; Available'!J17-D17</f>
        <v>0</v>
      </c>
      <c r="K17" s="7">
        <f>'RIN Sep &amp; Available'!K17-E17</f>
        <v>0</v>
      </c>
      <c r="L17" s="7">
        <f>'RIN Sep &amp; Available'!L17-F17</f>
        <v>0</v>
      </c>
      <c r="M17" s="10">
        <f t="shared" si="1"/>
        <v>0</v>
      </c>
      <c r="N17" s="11">
        <v>2020</v>
      </c>
      <c r="O17" s="7"/>
    </row>
    <row r="18" spans="1:15" x14ac:dyDescent="0.25">
      <c r="A18" s="6">
        <v>44197</v>
      </c>
      <c r="B18" s="7"/>
      <c r="C18" s="7"/>
      <c r="D18" s="7"/>
      <c r="E18" s="7"/>
      <c r="F18" s="7"/>
      <c r="G18" s="8">
        <f t="shared" si="0"/>
        <v>0</v>
      </c>
      <c r="H18" s="7">
        <f>'RIN Sep &amp; Available'!H18-B18</f>
        <v>0</v>
      </c>
      <c r="I18" s="7">
        <f>'RIN Sep &amp; Available'!I18-C18</f>
        <v>0</v>
      </c>
      <c r="J18" s="7">
        <f>'RIN Sep &amp; Available'!J18-D18</f>
        <v>0</v>
      </c>
      <c r="K18" s="7">
        <f>'RIN Sep &amp; Available'!K18-E18</f>
        <v>0</v>
      </c>
      <c r="L18" s="7">
        <f>'RIN Sep &amp; Available'!L18-F18</f>
        <v>0</v>
      </c>
      <c r="M18" s="10">
        <f t="shared" si="1"/>
        <v>0</v>
      </c>
      <c r="N18" s="11">
        <v>2021</v>
      </c>
      <c r="O18" s="7"/>
    </row>
    <row r="19" spans="1:15" x14ac:dyDescent="0.25">
      <c r="A19" s="6">
        <v>44228</v>
      </c>
      <c r="B19" s="7"/>
      <c r="C19" s="7"/>
      <c r="D19" s="7"/>
      <c r="E19" s="7"/>
      <c r="F19" s="7"/>
      <c r="G19" s="8">
        <f t="shared" si="0"/>
        <v>0</v>
      </c>
      <c r="H19" s="7">
        <f>'RIN Sep &amp; Available'!H19-B19</f>
        <v>0</v>
      </c>
      <c r="I19" s="7">
        <f>'RIN Sep &amp; Available'!I19-C19</f>
        <v>0</v>
      </c>
      <c r="J19" s="7">
        <f>'RIN Sep &amp; Available'!J19-D19</f>
        <v>0</v>
      </c>
      <c r="K19" s="7">
        <f>'RIN Sep &amp; Available'!K19-E19</f>
        <v>0</v>
      </c>
      <c r="L19" s="7">
        <f>'RIN Sep &amp; Available'!L19-F19</f>
        <v>0</v>
      </c>
      <c r="M19" s="10">
        <f t="shared" si="1"/>
        <v>0</v>
      </c>
      <c r="N19" s="11">
        <v>2021</v>
      </c>
      <c r="O19" s="7"/>
    </row>
    <row r="20" spans="1:15" x14ac:dyDescent="0.25">
      <c r="A20" s="6">
        <v>44256</v>
      </c>
      <c r="B20" s="7"/>
      <c r="C20" s="7"/>
      <c r="D20" s="7"/>
      <c r="E20" s="7"/>
      <c r="F20" s="7"/>
      <c r="G20" s="8">
        <f t="shared" si="0"/>
        <v>0</v>
      </c>
      <c r="H20" s="7">
        <f>'RIN Sep &amp; Available'!H20-B20</f>
        <v>0</v>
      </c>
      <c r="I20" s="7">
        <f>'RIN Sep &amp; Available'!I20-C20</f>
        <v>0</v>
      </c>
      <c r="J20" s="7">
        <f>'RIN Sep &amp; Available'!J20-D20</f>
        <v>0</v>
      </c>
      <c r="K20" s="7">
        <f>'RIN Sep &amp; Available'!K20-E20</f>
        <v>0</v>
      </c>
      <c r="L20" s="7">
        <f>'RIN Sep &amp; Available'!L20-F20</f>
        <v>0</v>
      </c>
      <c r="M20" s="10">
        <f t="shared" si="1"/>
        <v>0</v>
      </c>
      <c r="N20" s="11">
        <v>2021</v>
      </c>
      <c r="O20" s="7"/>
    </row>
    <row r="21" spans="1:15" x14ac:dyDescent="0.25">
      <c r="A21" s="6">
        <v>44287</v>
      </c>
      <c r="B21" s="7"/>
      <c r="C21" s="7"/>
      <c r="D21" s="7"/>
      <c r="E21" s="7"/>
      <c r="F21" s="7"/>
      <c r="G21" s="8">
        <f t="shared" si="0"/>
        <v>0</v>
      </c>
      <c r="H21" s="7">
        <f>'RIN Sep &amp; Available'!H21-B21</f>
        <v>0</v>
      </c>
      <c r="I21" s="7">
        <f>'RIN Sep &amp; Available'!I21-C21</f>
        <v>0</v>
      </c>
      <c r="J21" s="7">
        <f>'RIN Sep &amp; Available'!J21-D21</f>
        <v>0</v>
      </c>
      <c r="K21" s="7">
        <f>'RIN Sep &amp; Available'!K21-E21</f>
        <v>0</v>
      </c>
      <c r="L21" s="7">
        <f>'RIN Sep &amp; Available'!L21-F21</f>
        <v>0</v>
      </c>
      <c r="M21" s="10">
        <f t="shared" si="1"/>
        <v>0</v>
      </c>
      <c r="N21" s="11">
        <v>2021</v>
      </c>
      <c r="O21" s="7"/>
    </row>
    <row r="22" spans="1:15" x14ac:dyDescent="0.25">
      <c r="A22" s="6">
        <v>44317</v>
      </c>
      <c r="B22" s="7"/>
      <c r="C22" s="7"/>
      <c r="D22" s="7"/>
      <c r="E22" s="7"/>
      <c r="F22" s="7"/>
      <c r="G22" s="8">
        <f t="shared" si="0"/>
        <v>0</v>
      </c>
      <c r="H22" s="7">
        <f>'RIN Sep &amp; Available'!H22-B22</f>
        <v>0</v>
      </c>
      <c r="I22" s="7">
        <f>'RIN Sep &amp; Available'!I22-C22</f>
        <v>0</v>
      </c>
      <c r="J22" s="7">
        <f>'RIN Sep &amp; Available'!J22-D22</f>
        <v>0</v>
      </c>
      <c r="K22" s="7">
        <f>'RIN Sep &amp; Available'!K22-E22</f>
        <v>0</v>
      </c>
      <c r="L22" s="7">
        <f>'RIN Sep &amp; Available'!L22-F22</f>
        <v>0</v>
      </c>
      <c r="M22" s="10">
        <f t="shared" si="1"/>
        <v>0</v>
      </c>
      <c r="N22" s="11">
        <v>2021</v>
      </c>
      <c r="O22" s="7"/>
    </row>
    <row r="23" spans="1:15" x14ac:dyDescent="0.25">
      <c r="A23" s="6">
        <v>44348</v>
      </c>
      <c r="B23" s="7"/>
      <c r="C23" s="7"/>
      <c r="D23" s="7"/>
      <c r="E23" s="7"/>
      <c r="F23" s="7"/>
      <c r="G23" s="8">
        <f t="shared" si="0"/>
        <v>0</v>
      </c>
      <c r="H23" s="7">
        <f>'RIN Sep &amp; Available'!H23-B23</f>
        <v>0</v>
      </c>
      <c r="I23" s="7">
        <f>'RIN Sep &amp; Available'!I23-C23</f>
        <v>0</v>
      </c>
      <c r="J23" s="7">
        <f>'RIN Sep &amp; Available'!J23-D23</f>
        <v>0</v>
      </c>
      <c r="K23" s="7">
        <f>'RIN Sep &amp; Available'!K23-E23</f>
        <v>0</v>
      </c>
      <c r="L23" s="7">
        <f>'RIN Sep &amp; Available'!L23-F23</f>
        <v>0</v>
      </c>
      <c r="M23" s="10">
        <f t="shared" si="1"/>
        <v>0</v>
      </c>
      <c r="N23" s="11">
        <v>2021</v>
      </c>
      <c r="O23" s="7"/>
    </row>
    <row r="24" spans="1:15" x14ac:dyDescent="0.25">
      <c r="A24" s="6">
        <v>44378</v>
      </c>
      <c r="B24" s="7"/>
      <c r="C24" s="7"/>
      <c r="D24" s="7"/>
      <c r="E24" s="7"/>
      <c r="F24" s="7"/>
      <c r="G24" s="8">
        <f t="shared" si="0"/>
        <v>0</v>
      </c>
      <c r="H24" s="7">
        <f>'RIN Sep &amp; Available'!H24-B24</f>
        <v>0</v>
      </c>
      <c r="I24" s="7">
        <f>'RIN Sep &amp; Available'!I24-C24</f>
        <v>0</v>
      </c>
      <c r="J24" s="7">
        <f>'RIN Sep &amp; Available'!J24-D24</f>
        <v>0</v>
      </c>
      <c r="K24" s="7">
        <f>'RIN Sep &amp; Available'!K24-E24</f>
        <v>0</v>
      </c>
      <c r="L24" s="7">
        <f>'RIN Sep &amp; Available'!L24-F24</f>
        <v>0</v>
      </c>
      <c r="M24" s="10">
        <f t="shared" si="1"/>
        <v>0</v>
      </c>
      <c r="N24" s="11">
        <v>2021</v>
      </c>
      <c r="O24" s="7"/>
    </row>
    <row r="25" spans="1:15" x14ac:dyDescent="0.25">
      <c r="A25" s="6">
        <v>44409</v>
      </c>
      <c r="B25" s="7"/>
      <c r="C25" s="7"/>
      <c r="D25" s="7"/>
      <c r="E25" s="7"/>
      <c r="F25" s="7"/>
      <c r="G25" s="8">
        <f t="shared" si="0"/>
        <v>0</v>
      </c>
      <c r="H25" s="7">
        <f>'RIN Sep &amp; Available'!H25-B25</f>
        <v>0</v>
      </c>
      <c r="I25" s="7">
        <f>'RIN Sep &amp; Available'!I25-C25</f>
        <v>0</v>
      </c>
      <c r="J25" s="7">
        <f>'RIN Sep &amp; Available'!J25-D25</f>
        <v>0</v>
      </c>
      <c r="K25" s="7">
        <f>'RIN Sep &amp; Available'!K25-E25</f>
        <v>0</v>
      </c>
      <c r="L25" s="7">
        <f>'RIN Sep &amp; Available'!L25-F25</f>
        <v>0</v>
      </c>
      <c r="M25" s="10">
        <f t="shared" si="1"/>
        <v>0</v>
      </c>
      <c r="N25" s="11">
        <v>2021</v>
      </c>
      <c r="O25" s="7"/>
    </row>
    <row r="26" spans="1:15" x14ac:dyDescent="0.25">
      <c r="A26" s="6">
        <v>44440</v>
      </c>
      <c r="B26" s="7"/>
      <c r="C26" s="7"/>
      <c r="D26" s="7"/>
      <c r="E26" s="7"/>
      <c r="F26" s="7"/>
      <c r="G26" s="8">
        <f t="shared" si="0"/>
        <v>0</v>
      </c>
      <c r="H26" s="7">
        <f>'RIN Sep &amp; Available'!H26-B26</f>
        <v>0</v>
      </c>
      <c r="I26" s="7">
        <f>'RIN Sep &amp; Available'!I26-C26</f>
        <v>0</v>
      </c>
      <c r="J26" s="7">
        <f>'RIN Sep &amp; Available'!J26-D26</f>
        <v>0</v>
      </c>
      <c r="K26" s="7">
        <f>'RIN Sep &amp; Available'!K26-E26</f>
        <v>0</v>
      </c>
      <c r="L26" s="7">
        <f>'RIN Sep &amp; Available'!L26-F26</f>
        <v>0</v>
      </c>
      <c r="M26" s="10">
        <f t="shared" si="1"/>
        <v>0</v>
      </c>
      <c r="N26" s="11">
        <v>2021</v>
      </c>
      <c r="O26" s="7"/>
    </row>
    <row r="27" spans="1:15" x14ac:dyDescent="0.25">
      <c r="A27" s="6">
        <v>44470</v>
      </c>
      <c r="B27" s="7"/>
      <c r="C27" s="7"/>
      <c r="D27" s="7"/>
      <c r="E27" s="7"/>
      <c r="F27" s="7"/>
      <c r="G27" s="8">
        <f t="shared" si="0"/>
        <v>0</v>
      </c>
      <c r="H27" s="7">
        <f>'RIN Sep &amp; Available'!H27-B27</f>
        <v>0</v>
      </c>
      <c r="I27" s="7">
        <f>'RIN Sep &amp; Available'!I27-C27</f>
        <v>0</v>
      </c>
      <c r="J27" s="7">
        <f>'RIN Sep &amp; Available'!J27-D27</f>
        <v>0</v>
      </c>
      <c r="K27" s="7">
        <f>'RIN Sep &amp; Available'!K27-E27</f>
        <v>0</v>
      </c>
      <c r="L27" s="7">
        <f>'RIN Sep &amp; Available'!L27-F27</f>
        <v>0</v>
      </c>
      <c r="M27" s="10">
        <f t="shared" si="1"/>
        <v>0</v>
      </c>
      <c r="N27" s="11">
        <v>2021</v>
      </c>
      <c r="O27" s="7"/>
    </row>
    <row r="28" spans="1:15" x14ac:dyDescent="0.25">
      <c r="A28" s="6">
        <v>44501</v>
      </c>
      <c r="B28" s="7"/>
      <c r="C28" s="7"/>
      <c r="D28" s="7"/>
      <c r="E28" s="7"/>
      <c r="F28" s="7"/>
      <c r="G28" s="8">
        <f t="shared" si="0"/>
        <v>0</v>
      </c>
      <c r="H28" s="7">
        <f>'RIN Sep &amp; Available'!H28-B28</f>
        <v>0</v>
      </c>
      <c r="I28" s="7">
        <f>'RIN Sep &amp; Available'!I28-C28</f>
        <v>0</v>
      </c>
      <c r="J28" s="7">
        <f>'RIN Sep &amp; Available'!J28-D28</f>
        <v>0</v>
      </c>
      <c r="K28" s="7">
        <f>'RIN Sep &amp; Available'!K28-E28</f>
        <v>0</v>
      </c>
      <c r="L28" s="7">
        <f>'RIN Sep &amp; Available'!L28-F28</f>
        <v>0</v>
      </c>
      <c r="M28" s="10">
        <f t="shared" si="1"/>
        <v>0</v>
      </c>
      <c r="N28" s="11">
        <v>2021</v>
      </c>
      <c r="O28" s="7"/>
    </row>
    <row r="29" spans="1:15" x14ac:dyDescent="0.25">
      <c r="A29" s="6">
        <v>44531</v>
      </c>
      <c r="B29" s="7"/>
      <c r="C29" s="7"/>
      <c r="D29" s="7"/>
      <c r="E29" s="7"/>
      <c r="F29" s="7"/>
      <c r="G29" s="8">
        <f t="shared" si="0"/>
        <v>0</v>
      </c>
      <c r="H29" s="7">
        <f>'RIN Sep &amp; Available'!H29-B29</f>
        <v>0</v>
      </c>
      <c r="I29" s="7">
        <f>'RIN Sep &amp; Available'!I29-C29</f>
        <v>0</v>
      </c>
      <c r="J29" s="7">
        <f>'RIN Sep &amp; Available'!J29-D29</f>
        <v>0</v>
      </c>
      <c r="K29" s="7">
        <f>'RIN Sep &amp; Available'!K29-E29</f>
        <v>0</v>
      </c>
      <c r="L29" s="7">
        <f>'RIN Sep &amp; Available'!L29-F29</f>
        <v>0</v>
      </c>
      <c r="M29" s="10">
        <f t="shared" si="1"/>
        <v>0</v>
      </c>
      <c r="N29" s="11">
        <v>2021</v>
      </c>
      <c r="O29" s="7"/>
    </row>
    <row r="30" spans="1:15" x14ac:dyDescent="0.25">
      <c r="A30" s="6">
        <v>44562</v>
      </c>
      <c r="B30" s="7"/>
      <c r="C30" s="7"/>
      <c r="D30" s="7"/>
      <c r="E30" s="7"/>
      <c r="F30" s="7"/>
      <c r="G30" s="8">
        <f t="shared" si="0"/>
        <v>0</v>
      </c>
      <c r="H30" s="7">
        <f>'RIN Sep &amp; Available'!H30-B30</f>
        <v>0</v>
      </c>
      <c r="I30" s="7">
        <f>'RIN Sep &amp; Available'!I30-C30</f>
        <v>0</v>
      </c>
      <c r="J30" s="7">
        <f>'RIN Sep &amp; Available'!J30-D30</f>
        <v>0</v>
      </c>
      <c r="K30" s="7">
        <f>'RIN Sep &amp; Available'!K30-E30</f>
        <v>0</v>
      </c>
      <c r="L30" s="7">
        <f>'RIN Sep &amp; Available'!L30-F30</f>
        <v>0</v>
      </c>
      <c r="M30" s="10">
        <f t="shared" si="1"/>
        <v>0</v>
      </c>
      <c r="N30" s="11">
        <v>2022</v>
      </c>
      <c r="O30" s="7"/>
    </row>
    <row r="31" spans="1:15" x14ac:dyDescent="0.25">
      <c r="A31" s="6">
        <v>44593</v>
      </c>
      <c r="B31" s="7"/>
      <c r="C31" s="7"/>
      <c r="D31" s="7"/>
      <c r="E31" s="7"/>
      <c r="F31" s="7"/>
      <c r="G31" s="8">
        <f t="shared" si="0"/>
        <v>0</v>
      </c>
      <c r="H31" s="7">
        <f>'RIN Sep &amp; Available'!H31-B31</f>
        <v>0</v>
      </c>
      <c r="I31" s="7">
        <f>'RIN Sep &amp; Available'!I31-C31</f>
        <v>0</v>
      </c>
      <c r="J31" s="7">
        <f>'RIN Sep &amp; Available'!J31-D31</f>
        <v>0</v>
      </c>
      <c r="K31" s="7">
        <f>'RIN Sep &amp; Available'!K31-E31</f>
        <v>0</v>
      </c>
      <c r="L31" s="7">
        <f>'RIN Sep &amp; Available'!L31-F31</f>
        <v>0</v>
      </c>
      <c r="M31" s="10">
        <f t="shared" si="1"/>
        <v>0</v>
      </c>
      <c r="N31" s="11">
        <v>2022</v>
      </c>
      <c r="O31" s="7"/>
    </row>
    <row r="32" spans="1:15" x14ac:dyDescent="0.25">
      <c r="A32" s="6">
        <v>44621</v>
      </c>
      <c r="B32" s="7"/>
      <c r="C32" s="7"/>
      <c r="D32" s="7"/>
      <c r="E32" s="7"/>
      <c r="F32" s="7"/>
      <c r="G32" s="8">
        <f t="shared" si="0"/>
        <v>0</v>
      </c>
      <c r="H32" s="7">
        <f>'RIN Sep &amp; Available'!H32-B32</f>
        <v>0</v>
      </c>
      <c r="I32" s="7">
        <f>'RIN Sep &amp; Available'!I32-C32</f>
        <v>0</v>
      </c>
      <c r="J32" s="7">
        <f>'RIN Sep &amp; Available'!J32-D32</f>
        <v>0</v>
      </c>
      <c r="K32" s="7">
        <f>'RIN Sep &amp; Available'!K32-E32</f>
        <v>0</v>
      </c>
      <c r="L32" s="7">
        <f>'RIN Sep &amp; Available'!L32-F32</f>
        <v>0</v>
      </c>
      <c r="M32" s="10">
        <f t="shared" si="1"/>
        <v>0</v>
      </c>
      <c r="N32" s="11">
        <v>2022</v>
      </c>
      <c r="O32" s="7"/>
    </row>
    <row r="33" spans="1:15" x14ac:dyDescent="0.25">
      <c r="A33" s="6">
        <v>44652</v>
      </c>
      <c r="B33" s="7"/>
      <c r="C33" s="7"/>
      <c r="D33" s="7"/>
      <c r="E33" s="7"/>
      <c r="F33" s="7"/>
      <c r="G33" s="8">
        <f t="shared" si="0"/>
        <v>0</v>
      </c>
      <c r="H33" s="7">
        <f>'RIN Sep &amp; Available'!H33-B33</f>
        <v>0</v>
      </c>
      <c r="I33" s="7">
        <f>'RIN Sep &amp; Available'!I33-C33</f>
        <v>0</v>
      </c>
      <c r="J33" s="7">
        <f>'RIN Sep &amp; Available'!J33-D33</f>
        <v>0</v>
      </c>
      <c r="K33" s="7">
        <f>'RIN Sep &amp; Available'!K33-E33</f>
        <v>0</v>
      </c>
      <c r="L33" s="7">
        <f>'RIN Sep &amp; Available'!L33-F33</f>
        <v>0</v>
      </c>
      <c r="M33" s="10">
        <f t="shared" si="1"/>
        <v>0</v>
      </c>
      <c r="N33" s="11">
        <v>2022</v>
      </c>
      <c r="O33" s="7"/>
    </row>
    <row r="34" spans="1:15" x14ac:dyDescent="0.25">
      <c r="A34" s="6">
        <v>44682</v>
      </c>
      <c r="B34" s="7"/>
      <c r="C34" s="7"/>
      <c r="D34" s="7"/>
      <c r="E34" s="7"/>
      <c r="F34" s="7"/>
      <c r="G34" s="8">
        <f t="shared" si="0"/>
        <v>0</v>
      </c>
      <c r="H34" s="7">
        <f>'RIN Sep &amp; Available'!H34-B34</f>
        <v>0</v>
      </c>
      <c r="I34" s="7">
        <f>'RIN Sep &amp; Available'!I34-C34</f>
        <v>0</v>
      </c>
      <c r="J34" s="7">
        <f>'RIN Sep &amp; Available'!J34-D34</f>
        <v>0</v>
      </c>
      <c r="K34" s="7">
        <f>'RIN Sep &amp; Available'!K34-E34</f>
        <v>0</v>
      </c>
      <c r="L34" s="7">
        <f>'RIN Sep &amp; Available'!L34-F34</f>
        <v>0</v>
      </c>
      <c r="M34" s="10">
        <f t="shared" si="1"/>
        <v>0</v>
      </c>
      <c r="N34" s="11">
        <v>2022</v>
      </c>
      <c r="O34" s="7"/>
    </row>
    <row r="35" spans="1:15" x14ac:dyDescent="0.25">
      <c r="A35" s="6">
        <v>44713</v>
      </c>
      <c r="B35" s="7"/>
      <c r="C35" s="7"/>
      <c r="D35" s="7"/>
      <c r="E35" s="7"/>
      <c r="F35" s="7"/>
      <c r="G35" s="8">
        <f t="shared" si="0"/>
        <v>0</v>
      </c>
      <c r="H35" s="7">
        <f>'RIN Sep &amp; Available'!H35-B35</f>
        <v>0</v>
      </c>
      <c r="I35" s="7">
        <f>'RIN Sep &amp; Available'!I35-C35</f>
        <v>0</v>
      </c>
      <c r="J35" s="7">
        <f>'RIN Sep &amp; Available'!J35-D35</f>
        <v>0</v>
      </c>
      <c r="K35" s="7">
        <f>'RIN Sep &amp; Available'!K35-E35</f>
        <v>0</v>
      </c>
      <c r="L35" s="7">
        <f>'RIN Sep &amp; Available'!L35-F35</f>
        <v>0</v>
      </c>
      <c r="M35" s="10">
        <f t="shared" si="1"/>
        <v>0</v>
      </c>
      <c r="N35" s="11">
        <v>2022</v>
      </c>
      <c r="O35" s="7"/>
    </row>
    <row r="36" spans="1:15" x14ac:dyDescent="0.25">
      <c r="A36" s="6">
        <v>44743</v>
      </c>
      <c r="B36" s="7"/>
      <c r="C36" s="7"/>
      <c r="D36" s="7"/>
      <c r="E36" s="7"/>
      <c r="F36" s="7"/>
      <c r="G36" s="8">
        <f t="shared" si="0"/>
        <v>0</v>
      </c>
      <c r="H36" s="7">
        <f>'RIN Sep &amp; Available'!H36-B36</f>
        <v>0</v>
      </c>
      <c r="I36" s="7">
        <f>'RIN Sep &amp; Available'!I36-C36</f>
        <v>0</v>
      </c>
      <c r="J36" s="7">
        <f>'RIN Sep &amp; Available'!J36-D36</f>
        <v>0</v>
      </c>
      <c r="K36" s="7">
        <f>'RIN Sep &amp; Available'!K36-E36</f>
        <v>0</v>
      </c>
      <c r="L36" s="7">
        <f>'RIN Sep &amp; Available'!L36-F36</f>
        <v>0</v>
      </c>
      <c r="M36" s="10">
        <f t="shared" si="1"/>
        <v>0</v>
      </c>
      <c r="N36" s="11">
        <v>2022</v>
      </c>
      <c r="O36" s="7"/>
    </row>
    <row r="37" spans="1:15" x14ac:dyDescent="0.25">
      <c r="A37" s="6">
        <v>44774</v>
      </c>
      <c r="B37" s="7"/>
      <c r="C37" s="7"/>
      <c r="D37" s="7"/>
      <c r="E37" s="7"/>
      <c r="F37" s="7"/>
      <c r="G37" s="8">
        <f t="shared" si="0"/>
        <v>0</v>
      </c>
      <c r="H37" s="7">
        <f>'RIN Sep &amp; Available'!H37-B37</f>
        <v>0</v>
      </c>
      <c r="I37" s="7">
        <f>'RIN Sep &amp; Available'!I37-C37</f>
        <v>0</v>
      </c>
      <c r="J37" s="7">
        <f>'RIN Sep &amp; Available'!J37-D37</f>
        <v>0</v>
      </c>
      <c r="K37" s="7">
        <f>'RIN Sep &amp; Available'!K37-E37</f>
        <v>0</v>
      </c>
      <c r="L37" s="7">
        <f>'RIN Sep &amp; Available'!L37-F37</f>
        <v>0</v>
      </c>
      <c r="M37" s="10">
        <f t="shared" si="1"/>
        <v>0</v>
      </c>
      <c r="N37" s="11">
        <v>2022</v>
      </c>
      <c r="O37" s="7"/>
    </row>
    <row r="38" spans="1:15" x14ac:dyDescent="0.25">
      <c r="A38" s="6">
        <v>44805</v>
      </c>
      <c r="B38" s="7"/>
      <c r="C38" s="7"/>
      <c r="D38" s="7"/>
      <c r="E38" s="7"/>
      <c r="F38" s="7"/>
      <c r="G38" s="8">
        <f t="shared" ref="G38:G69" si="2">SUM(B38:F38)</f>
        <v>0</v>
      </c>
      <c r="H38" s="7">
        <f>'RIN Sep &amp; Available'!H38-B38</f>
        <v>0</v>
      </c>
      <c r="I38" s="7">
        <f>'RIN Sep &amp; Available'!I38-C38</f>
        <v>0</v>
      </c>
      <c r="J38" s="7">
        <f>'RIN Sep &amp; Available'!J38-D38</f>
        <v>0</v>
      </c>
      <c r="K38" s="7">
        <f>'RIN Sep &amp; Available'!K38-E38</f>
        <v>0</v>
      </c>
      <c r="L38" s="7">
        <f>'RIN Sep &amp; Available'!L38-F38</f>
        <v>0</v>
      </c>
      <c r="M38" s="10">
        <f t="shared" ref="M38:M69" si="3">SUM(H38:L38)</f>
        <v>0</v>
      </c>
      <c r="N38" s="11">
        <v>2022</v>
      </c>
      <c r="O38" s="7"/>
    </row>
    <row r="39" spans="1:15" x14ac:dyDescent="0.25">
      <c r="A39" s="6">
        <v>44835</v>
      </c>
      <c r="B39" s="7"/>
      <c r="C39" s="7"/>
      <c r="D39" s="7"/>
      <c r="E39" s="7"/>
      <c r="F39" s="7"/>
      <c r="G39" s="8">
        <f t="shared" si="2"/>
        <v>0</v>
      </c>
      <c r="H39" s="7">
        <f>'RIN Sep &amp; Available'!H39-B39</f>
        <v>0</v>
      </c>
      <c r="I39" s="7">
        <f>'RIN Sep &amp; Available'!I39-C39</f>
        <v>0</v>
      </c>
      <c r="J39" s="7">
        <f>'RIN Sep &amp; Available'!J39-D39</f>
        <v>0</v>
      </c>
      <c r="K39" s="7">
        <f>'RIN Sep &amp; Available'!K39-E39</f>
        <v>0</v>
      </c>
      <c r="L39" s="7">
        <f>'RIN Sep &amp; Available'!L39-F39</f>
        <v>0</v>
      </c>
      <c r="M39" s="10">
        <f t="shared" si="3"/>
        <v>0</v>
      </c>
      <c r="N39" s="11">
        <v>2022</v>
      </c>
      <c r="O39" s="7"/>
    </row>
    <row r="40" spans="1:15" x14ac:dyDescent="0.25">
      <c r="A40" s="6">
        <v>44866</v>
      </c>
      <c r="B40" s="7"/>
      <c r="C40" s="7"/>
      <c r="D40" s="7"/>
      <c r="E40" s="7"/>
      <c r="F40" s="7"/>
      <c r="G40" s="8">
        <f t="shared" si="2"/>
        <v>0</v>
      </c>
      <c r="H40" s="7">
        <f>'RIN Sep &amp; Available'!H40-B40</f>
        <v>0</v>
      </c>
      <c r="I40" s="7">
        <f>'RIN Sep &amp; Available'!I40-C40</f>
        <v>0</v>
      </c>
      <c r="J40" s="7">
        <f>'RIN Sep &amp; Available'!J40-D40</f>
        <v>0</v>
      </c>
      <c r="K40" s="7">
        <f>'RIN Sep &amp; Available'!K40-E40</f>
        <v>0</v>
      </c>
      <c r="L40" s="7">
        <f>'RIN Sep &amp; Available'!L40-F40</f>
        <v>0</v>
      </c>
      <c r="M40" s="10">
        <f t="shared" si="3"/>
        <v>0</v>
      </c>
      <c r="N40" s="11">
        <v>2022</v>
      </c>
      <c r="O40" s="7"/>
    </row>
    <row r="41" spans="1:15" x14ac:dyDescent="0.25">
      <c r="A41" s="6">
        <v>44896</v>
      </c>
      <c r="B41" s="7"/>
      <c r="C41" s="7"/>
      <c r="D41" s="7"/>
      <c r="E41" s="7"/>
      <c r="F41" s="7"/>
      <c r="G41" s="8">
        <f t="shared" si="2"/>
        <v>0</v>
      </c>
      <c r="H41" s="7">
        <f>'RIN Sep &amp; Available'!H41-B41</f>
        <v>0</v>
      </c>
      <c r="I41" s="7">
        <f>'RIN Sep &amp; Available'!I41-C41</f>
        <v>0</v>
      </c>
      <c r="J41" s="7">
        <f>'RIN Sep &amp; Available'!J41-D41</f>
        <v>0</v>
      </c>
      <c r="K41" s="7">
        <f>'RIN Sep &amp; Available'!K41-E41</f>
        <v>0</v>
      </c>
      <c r="L41" s="7">
        <f>'RIN Sep &amp; Available'!L41-F41</f>
        <v>0</v>
      </c>
      <c r="M41" s="10">
        <f t="shared" si="3"/>
        <v>0</v>
      </c>
      <c r="N41" s="11">
        <v>2022</v>
      </c>
      <c r="O41" s="7"/>
    </row>
    <row r="42" spans="1:15" x14ac:dyDescent="0.25">
      <c r="A42" s="6">
        <v>44927</v>
      </c>
      <c r="B42" s="7"/>
      <c r="C42" s="7"/>
      <c r="D42" s="7"/>
      <c r="E42" s="7"/>
      <c r="F42" s="7"/>
      <c r="G42" s="8">
        <f t="shared" si="2"/>
        <v>0</v>
      </c>
      <c r="H42" s="7">
        <f>'RIN Sep &amp; Available'!H42-B42</f>
        <v>0</v>
      </c>
      <c r="I42" s="7">
        <f>'RIN Sep &amp; Available'!I42-C42</f>
        <v>0</v>
      </c>
      <c r="J42" s="7">
        <f>'RIN Sep &amp; Available'!J42-D42</f>
        <v>0</v>
      </c>
      <c r="K42" s="7">
        <f>'RIN Sep &amp; Available'!K42-E42</f>
        <v>0</v>
      </c>
      <c r="L42" s="7">
        <f>'RIN Sep &amp; Available'!L42-F42</f>
        <v>0</v>
      </c>
      <c r="M42" s="10">
        <f t="shared" si="3"/>
        <v>0</v>
      </c>
      <c r="N42" s="11">
        <v>2023</v>
      </c>
      <c r="O42" s="7"/>
    </row>
    <row r="43" spans="1:15" x14ac:dyDescent="0.25">
      <c r="A43" s="6">
        <v>44958</v>
      </c>
      <c r="B43" s="7"/>
      <c r="C43" s="7"/>
      <c r="D43" s="7"/>
      <c r="E43" s="7"/>
      <c r="F43" s="7"/>
      <c r="G43" s="8">
        <f t="shared" si="2"/>
        <v>0</v>
      </c>
      <c r="H43" s="7">
        <f>'RIN Sep &amp; Available'!H43-B43</f>
        <v>0</v>
      </c>
      <c r="I43" s="7">
        <f>'RIN Sep &amp; Available'!I43-C43</f>
        <v>0</v>
      </c>
      <c r="J43" s="7">
        <f>'RIN Sep &amp; Available'!J43-D43</f>
        <v>0</v>
      </c>
      <c r="K43" s="7">
        <f>'RIN Sep &amp; Available'!K43-E43</f>
        <v>0</v>
      </c>
      <c r="L43" s="7">
        <f>'RIN Sep &amp; Available'!L43-F43</f>
        <v>0</v>
      </c>
      <c r="M43" s="10">
        <f t="shared" si="3"/>
        <v>0</v>
      </c>
      <c r="N43" s="11">
        <v>2023</v>
      </c>
      <c r="O43" s="7"/>
    </row>
    <row r="44" spans="1:15" x14ac:dyDescent="0.25">
      <c r="A44" s="6">
        <v>44986</v>
      </c>
      <c r="B44" s="7"/>
      <c r="C44" s="7"/>
      <c r="D44" s="7"/>
      <c r="E44" s="7"/>
      <c r="F44" s="7"/>
      <c r="G44" s="8">
        <f t="shared" si="2"/>
        <v>0</v>
      </c>
      <c r="H44" s="7">
        <f>'RIN Sep &amp; Available'!H44-B44</f>
        <v>0</v>
      </c>
      <c r="I44" s="7">
        <f>'RIN Sep &amp; Available'!I44-C44</f>
        <v>0</v>
      </c>
      <c r="J44" s="7">
        <f>'RIN Sep &amp; Available'!J44-D44</f>
        <v>0</v>
      </c>
      <c r="K44" s="7">
        <f>'RIN Sep &amp; Available'!K44-E44</f>
        <v>0</v>
      </c>
      <c r="L44" s="7">
        <f>'RIN Sep &amp; Available'!L44-F44</f>
        <v>0</v>
      </c>
      <c r="M44" s="10">
        <f t="shared" si="3"/>
        <v>0</v>
      </c>
      <c r="N44" s="11">
        <v>2023</v>
      </c>
      <c r="O44" s="7"/>
    </row>
    <row r="45" spans="1:15" x14ac:dyDescent="0.25">
      <c r="A45" s="6">
        <v>45017</v>
      </c>
      <c r="B45" s="7"/>
      <c r="C45" s="7"/>
      <c r="D45" s="7"/>
      <c r="E45" s="7"/>
      <c r="F45" s="7"/>
      <c r="G45" s="8">
        <f t="shared" si="2"/>
        <v>0</v>
      </c>
      <c r="H45" s="7">
        <f>'RIN Sep &amp; Available'!H45-B45</f>
        <v>0</v>
      </c>
      <c r="I45" s="7">
        <f>'RIN Sep &amp; Available'!I45-C45</f>
        <v>0</v>
      </c>
      <c r="J45" s="7">
        <f>'RIN Sep &amp; Available'!J45-D45</f>
        <v>0</v>
      </c>
      <c r="K45" s="7">
        <f>'RIN Sep &amp; Available'!K45-E45</f>
        <v>0</v>
      </c>
      <c r="L45" s="7">
        <f>'RIN Sep &amp; Available'!L45-F45</f>
        <v>0</v>
      </c>
      <c r="M45" s="10">
        <f t="shared" si="3"/>
        <v>0</v>
      </c>
      <c r="N45" s="11">
        <v>2023</v>
      </c>
      <c r="O45" s="7"/>
    </row>
    <row r="46" spans="1:15" x14ac:dyDescent="0.25">
      <c r="A46" s="6">
        <v>45047</v>
      </c>
      <c r="B46" s="7"/>
      <c r="C46" s="7"/>
      <c r="D46" s="7"/>
      <c r="E46" s="7"/>
      <c r="F46" s="7"/>
      <c r="G46" s="8">
        <f t="shared" si="2"/>
        <v>0</v>
      </c>
      <c r="H46" s="7">
        <f>'RIN Sep &amp; Available'!H46-B46</f>
        <v>0</v>
      </c>
      <c r="I46" s="7">
        <f>'RIN Sep &amp; Available'!I46-C46</f>
        <v>0</v>
      </c>
      <c r="J46" s="7">
        <f>'RIN Sep &amp; Available'!J46-D46</f>
        <v>0</v>
      </c>
      <c r="K46" s="7">
        <f>'RIN Sep &amp; Available'!K46-E46</f>
        <v>0</v>
      </c>
      <c r="L46" s="7">
        <f>'RIN Sep &amp; Available'!L46-F46</f>
        <v>0</v>
      </c>
      <c r="M46" s="10">
        <f t="shared" si="3"/>
        <v>0</v>
      </c>
      <c r="N46" s="11">
        <v>2023</v>
      </c>
      <c r="O46" s="7"/>
    </row>
    <row r="47" spans="1:15" x14ac:dyDescent="0.25">
      <c r="A47" s="6">
        <v>45078</v>
      </c>
      <c r="B47" s="7"/>
      <c r="C47" s="7"/>
      <c r="D47" s="7"/>
      <c r="E47" s="7"/>
      <c r="F47" s="7"/>
      <c r="G47" s="8">
        <f t="shared" si="2"/>
        <v>0</v>
      </c>
      <c r="H47" s="7">
        <f>'RIN Sep &amp; Available'!H47-B47</f>
        <v>0</v>
      </c>
      <c r="I47" s="7">
        <f>'RIN Sep &amp; Available'!I47-C47</f>
        <v>0</v>
      </c>
      <c r="J47" s="7">
        <f>'RIN Sep &amp; Available'!J47-D47</f>
        <v>0</v>
      </c>
      <c r="K47" s="7">
        <f>'RIN Sep &amp; Available'!K47-E47</f>
        <v>0</v>
      </c>
      <c r="L47" s="7">
        <f>'RIN Sep &amp; Available'!L47-F47</f>
        <v>0</v>
      </c>
      <c r="M47" s="10">
        <f t="shared" si="3"/>
        <v>0</v>
      </c>
      <c r="N47" s="11">
        <v>2023</v>
      </c>
      <c r="O47" s="7"/>
    </row>
    <row r="48" spans="1:15" x14ac:dyDescent="0.25">
      <c r="A48" s="6">
        <v>45108</v>
      </c>
      <c r="B48" s="7"/>
      <c r="C48" s="7"/>
      <c r="D48" s="7"/>
      <c r="E48" s="7"/>
      <c r="F48" s="7"/>
      <c r="G48" s="8">
        <f t="shared" si="2"/>
        <v>0</v>
      </c>
      <c r="H48" s="7">
        <f>'RIN Sep &amp; Available'!H48-B48</f>
        <v>0</v>
      </c>
      <c r="I48" s="7">
        <f>'RIN Sep &amp; Available'!I48-C48</f>
        <v>0</v>
      </c>
      <c r="J48" s="7">
        <f>'RIN Sep &amp; Available'!J48-D48</f>
        <v>0</v>
      </c>
      <c r="K48" s="7">
        <f>'RIN Sep &amp; Available'!K48-E48</f>
        <v>0</v>
      </c>
      <c r="L48" s="7">
        <f>'RIN Sep &amp; Available'!L48-F48</f>
        <v>0</v>
      </c>
      <c r="M48" s="10">
        <f t="shared" si="3"/>
        <v>0</v>
      </c>
      <c r="N48" s="11">
        <v>2023</v>
      </c>
      <c r="O48" s="7"/>
    </row>
    <row r="49" spans="1:15" x14ac:dyDescent="0.25">
      <c r="A49" s="6">
        <v>45139</v>
      </c>
      <c r="B49" s="7"/>
      <c r="C49" s="7"/>
      <c r="D49" s="7"/>
      <c r="E49" s="7"/>
      <c r="F49" s="7"/>
      <c r="G49" s="8">
        <f t="shared" si="2"/>
        <v>0</v>
      </c>
      <c r="H49" s="7">
        <f>'RIN Sep &amp; Available'!H49-B49</f>
        <v>0</v>
      </c>
      <c r="I49" s="7">
        <f>'RIN Sep &amp; Available'!I49-C49</f>
        <v>0</v>
      </c>
      <c r="J49" s="7">
        <f>'RIN Sep &amp; Available'!J49-D49</f>
        <v>0</v>
      </c>
      <c r="K49" s="7">
        <f>'RIN Sep &amp; Available'!K49-E49</f>
        <v>0</v>
      </c>
      <c r="L49" s="7">
        <f>'RIN Sep &amp; Available'!L49-F49</f>
        <v>0</v>
      </c>
      <c r="M49" s="10">
        <f t="shared" si="3"/>
        <v>0</v>
      </c>
      <c r="N49" s="11">
        <v>2023</v>
      </c>
      <c r="O49" s="7"/>
    </row>
    <row r="50" spans="1:15" x14ac:dyDescent="0.25">
      <c r="A50" s="6">
        <v>45170</v>
      </c>
      <c r="B50" s="7"/>
      <c r="C50" s="7"/>
      <c r="D50" s="7"/>
      <c r="E50" s="7"/>
      <c r="F50" s="7"/>
      <c r="G50" s="8">
        <f t="shared" si="2"/>
        <v>0</v>
      </c>
      <c r="H50" s="7">
        <f>'RIN Sep &amp; Available'!H50-B50</f>
        <v>0</v>
      </c>
      <c r="I50" s="7">
        <f>'RIN Sep &amp; Available'!I50-C50</f>
        <v>0</v>
      </c>
      <c r="J50" s="7">
        <f>'RIN Sep &amp; Available'!J50-D50</f>
        <v>0</v>
      </c>
      <c r="K50" s="7">
        <f>'RIN Sep &amp; Available'!K50-E50</f>
        <v>0</v>
      </c>
      <c r="L50" s="7">
        <f>'RIN Sep &amp; Available'!L50-F50</f>
        <v>0</v>
      </c>
      <c r="M50" s="10">
        <f t="shared" si="3"/>
        <v>0</v>
      </c>
      <c r="N50" s="11">
        <v>2023</v>
      </c>
      <c r="O50" s="7"/>
    </row>
    <row r="51" spans="1:15" x14ac:dyDescent="0.25">
      <c r="A51" s="6">
        <v>45200</v>
      </c>
      <c r="B51" s="7"/>
      <c r="C51" s="7"/>
      <c r="D51" s="7"/>
      <c r="E51" s="7"/>
      <c r="F51" s="7"/>
      <c r="G51" s="8">
        <f t="shared" si="2"/>
        <v>0</v>
      </c>
      <c r="H51" s="7">
        <f>'RIN Sep &amp; Available'!H51-B51</f>
        <v>0</v>
      </c>
      <c r="I51" s="7">
        <f>'RIN Sep &amp; Available'!I51-C51</f>
        <v>0</v>
      </c>
      <c r="J51" s="7">
        <f>'RIN Sep &amp; Available'!J51-D51</f>
        <v>0</v>
      </c>
      <c r="K51" s="7">
        <f>'RIN Sep &amp; Available'!K51-E51</f>
        <v>0</v>
      </c>
      <c r="L51" s="7">
        <f>'RIN Sep &amp; Available'!L51-F51</f>
        <v>0</v>
      </c>
      <c r="M51" s="10">
        <f t="shared" si="3"/>
        <v>0</v>
      </c>
      <c r="N51" s="11">
        <v>2023</v>
      </c>
      <c r="O51" s="7"/>
    </row>
    <row r="52" spans="1:15" x14ac:dyDescent="0.25">
      <c r="A52" s="6">
        <v>45231</v>
      </c>
      <c r="B52" s="7"/>
      <c r="C52" s="7"/>
      <c r="D52" s="7"/>
      <c r="E52" s="7"/>
      <c r="F52" s="7"/>
      <c r="G52" s="8">
        <f t="shared" si="2"/>
        <v>0</v>
      </c>
      <c r="H52" s="7">
        <f>'RIN Sep &amp; Available'!H52-B52</f>
        <v>0</v>
      </c>
      <c r="I52" s="7">
        <f>'RIN Sep &amp; Available'!I52-C52</f>
        <v>0</v>
      </c>
      <c r="J52" s="7">
        <f>'RIN Sep &amp; Available'!J52-D52</f>
        <v>0</v>
      </c>
      <c r="K52" s="7">
        <f>'RIN Sep &amp; Available'!K52-E52</f>
        <v>0</v>
      </c>
      <c r="L52" s="7">
        <f>'RIN Sep &amp; Available'!L52-F52</f>
        <v>0</v>
      </c>
      <c r="M52" s="10">
        <f t="shared" si="3"/>
        <v>0</v>
      </c>
      <c r="N52" s="11">
        <v>2023</v>
      </c>
      <c r="O52" s="7"/>
    </row>
    <row r="53" spans="1:15" x14ac:dyDescent="0.25">
      <c r="A53" s="6">
        <v>45261</v>
      </c>
      <c r="B53" s="7"/>
      <c r="C53" s="7"/>
      <c r="D53" s="7"/>
      <c r="E53" s="7"/>
      <c r="F53" s="7"/>
      <c r="G53" s="8">
        <f t="shared" si="2"/>
        <v>0</v>
      </c>
      <c r="H53" s="7">
        <f>'RIN Sep &amp; Available'!H53-B53</f>
        <v>0</v>
      </c>
      <c r="I53" s="7">
        <f>'RIN Sep &amp; Available'!I53-C53</f>
        <v>0</v>
      </c>
      <c r="J53" s="7">
        <f>'RIN Sep &amp; Available'!J53-D53</f>
        <v>0</v>
      </c>
      <c r="K53" s="7">
        <f>'RIN Sep &amp; Available'!K53-E53</f>
        <v>0</v>
      </c>
      <c r="L53" s="7">
        <f>'RIN Sep &amp; Available'!L53-F53</f>
        <v>0</v>
      </c>
      <c r="M53" s="10">
        <f t="shared" si="3"/>
        <v>0</v>
      </c>
      <c r="N53" s="11">
        <v>2023</v>
      </c>
      <c r="O53" s="7"/>
    </row>
    <row r="54" spans="1:15" x14ac:dyDescent="0.25">
      <c r="A54" s="6">
        <v>45292</v>
      </c>
      <c r="B54" s="7"/>
      <c r="C54" s="7"/>
      <c r="D54" s="7"/>
      <c r="E54" s="7"/>
      <c r="F54" s="7"/>
      <c r="G54" s="8">
        <f t="shared" si="2"/>
        <v>0</v>
      </c>
      <c r="H54" s="7">
        <f>'RIN Sep &amp; Available'!H54-B54</f>
        <v>0</v>
      </c>
      <c r="I54" s="7">
        <f>'RIN Sep &amp; Available'!I54-C54</f>
        <v>0</v>
      </c>
      <c r="J54" s="7">
        <f>'RIN Sep &amp; Available'!J54-D54</f>
        <v>0</v>
      </c>
      <c r="K54" s="7">
        <f>'RIN Sep &amp; Available'!K54-E54</f>
        <v>0</v>
      </c>
      <c r="L54" s="7">
        <f>'RIN Sep &amp; Available'!L54-F54</f>
        <v>0</v>
      </c>
      <c r="M54" s="10">
        <f t="shared" si="3"/>
        <v>0</v>
      </c>
      <c r="N54" s="11">
        <v>2024</v>
      </c>
      <c r="O54" s="7"/>
    </row>
    <row r="55" spans="1:15" x14ac:dyDescent="0.25">
      <c r="A55" s="6">
        <v>45323</v>
      </c>
      <c r="B55" s="7"/>
      <c r="C55" s="7"/>
      <c r="D55" s="7"/>
      <c r="E55" s="7"/>
      <c r="F55" s="7"/>
      <c r="G55" s="8">
        <f t="shared" si="2"/>
        <v>0</v>
      </c>
      <c r="H55" s="7">
        <f>'RIN Sep &amp; Available'!H55-B55</f>
        <v>0</v>
      </c>
      <c r="I55" s="7">
        <f>'RIN Sep &amp; Available'!I55-C55</f>
        <v>0</v>
      </c>
      <c r="J55" s="7">
        <f>'RIN Sep &amp; Available'!J55-D55</f>
        <v>0</v>
      </c>
      <c r="K55" s="7">
        <f>'RIN Sep &amp; Available'!K55-E55</f>
        <v>0</v>
      </c>
      <c r="L55" s="7">
        <f>'RIN Sep &amp; Available'!L55-F55</f>
        <v>0</v>
      </c>
      <c r="M55" s="10">
        <f t="shared" si="3"/>
        <v>0</v>
      </c>
      <c r="N55" s="11">
        <v>2024</v>
      </c>
      <c r="O55" s="7"/>
    </row>
    <row r="56" spans="1:15" x14ac:dyDescent="0.25">
      <c r="A56" s="6">
        <v>45352</v>
      </c>
      <c r="B56" s="7"/>
      <c r="C56" s="7"/>
      <c r="D56" s="7"/>
      <c r="E56" s="7"/>
      <c r="F56" s="7"/>
      <c r="G56" s="8">
        <f t="shared" si="2"/>
        <v>0</v>
      </c>
      <c r="H56" s="7">
        <f>'RIN Sep &amp; Available'!H56-B56</f>
        <v>0</v>
      </c>
      <c r="I56" s="7">
        <f>'RIN Sep &amp; Available'!I56-C56</f>
        <v>0</v>
      </c>
      <c r="J56" s="7">
        <f>'RIN Sep &amp; Available'!J56-D56</f>
        <v>0</v>
      </c>
      <c r="K56" s="7">
        <f>'RIN Sep &amp; Available'!K56-E56</f>
        <v>0</v>
      </c>
      <c r="L56" s="7">
        <f>'RIN Sep &amp; Available'!L56-F56</f>
        <v>0</v>
      </c>
      <c r="M56" s="10">
        <f t="shared" si="3"/>
        <v>0</v>
      </c>
      <c r="N56" s="11">
        <v>2024</v>
      </c>
      <c r="O56" s="7"/>
    </row>
    <row r="57" spans="1:15" x14ac:dyDescent="0.25">
      <c r="A57" s="6">
        <v>45383</v>
      </c>
      <c r="B57" s="7"/>
      <c r="C57" s="7"/>
      <c r="D57" s="7"/>
      <c r="E57" s="7"/>
      <c r="F57" s="7"/>
      <c r="G57" s="8">
        <f t="shared" si="2"/>
        <v>0</v>
      </c>
      <c r="H57" s="7">
        <f>'RIN Sep &amp; Available'!H57-B57</f>
        <v>0</v>
      </c>
      <c r="I57" s="7">
        <f>'RIN Sep &amp; Available'!I57-C57</f>
        <v>0</v>
      </c>
      <c r="J57" s="7">
        <f>'RIN Sep &amp; Available'!J57-D57</f>
        <v>0</v>
      </c>
      <c r="K57" s="7">
        <f>'RIN Sep &amp; Available'!K57-E57</f>
        <v>0</v>
      </c>
      <c r="L57" s="7">
        <f>'RIN Sep &amp; Available'!L57-F57</f>
        <v>0</v>
      </c>
      <c r="M57" s="10">
        <f t="shared" si="3"/>
        <v>0</v>
      </c>
      <c r="N57" s="11">
        <v>2024</v>
      </c>
      <c r="O57" s="7"/>
    </row>
    <row r="58" spans="1:15" x14ac:dyDescent="0.25">
      <c r="A58" s="6">
        <v>45413</v>
      </c>
      <c r="B58" s="7"/>
      <c r="C58" s="7"/>
      <c r="D58" s="7"/>
      <c r="E58" s="7"/>
      <c r="F58" s="7"/>
      <c r="G58" s="8">
        <f t="shared" si="2"/>
        <v>0</v>
      </c>
      <c r="H58" s="7">
        <f>'RIN Sep &amp; Available'!H58-B58</f>
        <v>0</v>
      </c>
      <c r="I58" s="7">
        <f>'RIN Sep &amp; Available'!I58-C58</f>
        <v>0</v>
      </c>
      <c r="J58" s="7">
        <f>'RIN Sep &amp; Available'!J58-D58</f>
        <v>0</v>
      </c>
      <c r="K58" s="7">
        <f>'RIN Sep &amp; Available'!K58-E58</f>
        <v>0</v>
      </c>
      <c r="L58" s="7">
        <f>'RIN Sep &amp; Available'!L58-F58</f>
        <v>0</v>
      </c>
      <c r="M58" s="10">
        <f t="shared" si="3"/>
        <v>0</v>
      </c>
      <c r="N58" s="11">
        <v>2024</v>
      </c>
      <c r="O58" s="7"/>
    </row>
    <row r="59" spans="1:15" x14ac:dyDescent="0.25">
      <c r="A59" s="6">
        <v>45444</v>
      </c>
      <c r="B59" s="7"/>
      <c r="C59" s="7"/>
      <c r="D59" s="7"/>
      <c r="E59" s="7"/>
      <c r="F59" s="7"/>
      <c r="G59" s="8">
        <f t="shared" si="2"/>
        <v>0</v>
      </c>
      <c r="H59" s="7">
        <f>'RIN Sep &amp; Available'!H59-B59</f>
        <v>0</v>
      </c>
      <c r="I59" s="7">
        <f>'RIN Sep &amp; Available'!I59-C59</f>
        <v>0</v>
      </c>
      <c r="J59" s="7">
        <f>'RIN Sep &amp; Available'!J59-D59</f>
        <v>0</v>
      </c>
      <c r="K59" s="7">
        <f>'RIN Sep &amp; Available'!K59-E59</f>
        <v>0</v>
      </c>
      <c r="L59" s="7">
        <f>'RIN Sep &amp; Available'!L59-F59</f>
        <v>0</v>
      </c>
      <c r="M59" s="10">
        <f t="shared" si="3"/>
        <v>0</v>
      </c>
      <c r="N59" s="11">
        <v>2024</v>
      </c>
      <c r="O59" s="7"/>
    </row>
    <row r="60" spans="1:15" x14ac:dyDescent="0.25">
      <c r="A60" s="6">
        <v>45474</v>
      </c>
      <c r="B60" s="7"/>
      <c r="C60" s="7"/>
      <c r="D60" s="7"/>
      <c r="E60" s="7"/>
      <c r="F60" s="7"/>
      <c r="G60" s="8">
        <f t="shared" si="2"/>
        <v>0</v>
      </c>
      <c r="H60" s="7">
        <f>'RIN Sep &amp; Available'!H60-B60</f>
        <v>0</v>
      </c>
      <c r="I60" s="7">
        <f>'RIN Sep &amp; Available'!I60-C60</f>
        <v>0</v>
      </c>
      <c r="J60" s="7">
        <f>'RIN Sep &amp; Available'!J60-D60</f>
        <v>0</v>
      </c>
      <c r="K60" s="7">
        <f>'RIN Sep &amp; Available'!K60-E60</f>
        <v>0</v>
      </c>
      <c r="L60" s="7">
        <f>'RIN Sep &amp; Available'!L60-F60</f>
        <v>0</v>
      </c>
      <c r="M60" s="10">
        <f t="shared" si="3"/>
        <v>0</v>
      </c>
      <c r="N60" s="11">
        <v>2024</v>
      </c>
      <c r="O60" s="7"/>
    </row>
    <row r="61" spans="1:15" x14ac:dyDescent="0.25">
      <c r="A61" s="6">
        <v>45505</v>
      </c>
      <c r="B61" s="7"/>
      <c r="C61" s="7"/>
      <c r="D61" s="7"/>
      <c r="E61" s="7"/>
      <c r="F61" s="7"/>
      <c r="G61" s="8">
        <f t="shared" si="2"/>
        <v>0</v>
      </c>
      <c r="H61" s="7">
        <f>'RIN Sep &amp; Available'!H61-B61</f>
        <v>0</v>
      </c>
      <c r="I61" s="7">
        <f>'RIN Sep &amp; Available'!I61-C61</f>
        <v>0</v>
      </c>
      <c r="J61" s="7">
        <f>'RIN Sep &amp; Available'!J61-D61</f>
        <v>0</v>
      </c>
      <c r="K61" s="7">
        <f>'RIN Sep &amp; Available'!K61-E61</f>
        <v>0</v>
      </c>
      <c r="L61" s="7">
        <f>'RIN Sep &amp; Available'!L61-F61</f>
        <v>0</v>
      </c>
      <c r="M61" s="10">
        <f t="shared" si="3"/>
        <v>0</v>
      </c>
      <c r="N61" s="11">
        <v>2024</v>
      </c>
      <c r="O61" s="7"/>
    </row>
    <row r="62" spans="1:15" x14ac:dyDescent="0.25">
      <c r="A62" s="6">
        <v>45536</v>
      </c>
      <c r="B62" s="7"/>
      <c r="C62" s="7"/>
      <c r="D62" s="7"/>
      <c r="E62" s="7"/>
      <c r="F62" s="7"/>
      <c r="G62" s="8">
        <f t="shared" si="2"/>
        <v>0</v>
      </c>
      <c r="H62" s="7">
        <f>'RIN Sep &amp; Available'!H62-B62</f>
        <v>0</v>
      </c>
      <c r="I62" s="7">
        <f>'RIN Sep &amp; Available'!I62-C62</f>
        <v>0</v>
      </c>
      <c r="J62" s="7">
        <f>'RIN Sep &amp; Available'!J62-D62</f>
        <v>0</v>
      </c>
      <c r="K62" s="7">
        <f>'RIN Sep &amp; Available'!K62-E62</f>
        <v>0</v>
      </c>
      <c r="L62" s="7">
        <f>'RIN Sep &amp; Available'!L62-F62</f>
        <v>0</v>
      </c>
      <c r="M62" s="10">
        <f t="shared" si="3"/>
        <v>0</v>
      </c>
      <c r="N62" s="11">
        <v>2024</v>
      </c>
      <c r="O62" s="7"/>
    </row>
    <row r="63" spans="1:15" x14ac:dyDescent="0.25">
      <c r="A63" s="6">
        <v>45566</v>
      </c>
      <c r="B63" s="7"/>
      <c r="C63" s="7"/>
      <c r="D63" s="7"/>
      <c r="E63" s="7"/>
      <c r="F63" s="7"/>
      <c r="G63" s="8">
        <f t="shared" si="2"/>
        <v>0</v>
      </c>
      <c r="H63" s="7">
        <f>'RIN Sep &amp; Available'!H63-B63</f>
        <v>0</v>
      </c>
      <c r="I63" s="7">
        <f>'RIN Sep &amp; Available'!I63-C63</f>
        <v>0</v>
      </c>
      <c r="J63" s="7">
        <f>'RIN Sep &amp; Available'!J63-D63</f>
        <v>0</v>
      </c>
      <c r="K63" s="7">
        <f>'RIN Sep &amp; Available'!K63-E63</f>
        <v>0</v>
      </c>
      <c r="L63" s="7">
        <f>'RIN Sep &amp; Available'!L63-F63</f>
        <v>0</v>
      </c>
      <c r="M63" s="10">
        <f t="shared" si="3"/>
        <v>0</v>
      </c>
      <c r="N63" s="11">
        <v>2024</v>
      </c>
      <c r="O63" s="7"/>
    </row>
    <row r="64" spans="1:15" x14ac:dyDescent="0.25">
      <c r="A64" s="6">
        <v>45597</v>
      </c>
      <c r="B64" s="7"/>
      <c r="C64" s="7"/>
      <c r="D64" s="7"/>
      <c r="E64" s="7"/>
      <c r="F64" s="7"/>
      <c r="G64" s="8">
        <f t="shared" si="2"/>
        <v>0</v>
      </c>
      <c r="H64" s="7">
        <f>'RIN Sep &amp; Available'!H64-B64</f>
        <v>0</v>
      </c>
      <c r="I64" s="7">
        <f>'RIN Sep &amp; Available'!I64-C64</f>
        <v>0</v>
      </c>
      <c r="J64" s="7">
        <f>'RIN Sep &amp; Available'!J64-D64</f>
        <v>0</v>
      </c>
      <c r="K64" s="7">
        <f>'RIN Sep &amp; Available'!K64-E64</f>
        <v>0</v>
      </c>
      <c r="L64" s="7">
        <f>'RIN Sep &amp; Available'!L64-F64</f>
        <v>0</v>
      </c>
      <c r="M64" s="10">
        <f t="shared" si="3"/>
        <v>0</v>
      </c>
      <c r="N64" s="11">
        <v>2024</v>
      </c>
      <c r="O64" s="7"/>
    </row>
    <row r="65" spans="1:15" x14ac:dyDescent="0.25">
      <c r="A65" s="6">
        <v>45627</v>
      </c>
      <c r="B65" s="7"/>
      <c r="C65" s="7"/>
      <c r="D65" s="7"/>
      <c r="E65" s="7"/>
      <c r="F65" s="7"/>
      <c r="G65" s="8">
        <f t="shared" si="2"/>
        <v>0</v>
      </c>
      <c r="H65" s="7">
        <f>'RIN Sep &amp; Available'!H65-B65</f>
        <v>0</v>
      </c>
      <c r="I65" s="7">
        <f>'RIN Sep &amp; Available'!I65-C65</f>
        <v>0</v>
      </c>
      <c r="J65" s="7">
        <f>'RIN Sep &amp; Available'!J65-D65</f>
        <v>0</v>
      </c>
      <c r="K65" s="7">
        <f>'RIN Sep &amp; Available'!K65-E65</f>
        <v>0</v>
      </c>
      <c r="L65" s="7">
        <f>'RIN Sep &amp; Available'!L65-F65</f>
        <v>0</v>
      </c>
      <c r="M65" s="10">
        <f t="shared" si="3"/>
        <v>0</v>
      </c>
      <c r="N65" s="11">
        <v>2024</v>
      </c>
      <c r="O65" s="7"/>
    </row>
    <row r="66" spans="1:15" x14ac:dyDescent="0.25">
      <c r="A66" s="6">
        <v>45658</v>
      </c>
      <c r="B66" s="7"/>
      <c r="C66" s="7"/>
      <c r="D66" s="7"/>
      <c r="E66" s="7"/>
      <c r="F66" s="7"/>
      <c r="G66" s="8">
        <f t="shared" si="2"/>
        <v>0</v>
      </c>
      <c r="H66" s="7">
        <f>'RIN Sep &amp; Available'!H66-B66</f>
        <v>0</v>
      </c>
      <c r="I66" s="7">
        <f>'RIN Sep &amp; Available'!I66-C66</f>
        <v>0</v>
      </c>
      <c r="J66" s="7">
        <f>'RIN Sep &amp; Available'!J66-D66</f>
        <v>0</v>
      </c>
      <c r="K66" s="7">
        <f>'RIN Sep &amp; Available'!K66-E66</f>
        <v>0</v>
      </c>
      <c r="L66" s="7">
        <f>'RIN Sep &amp; Available'!L66-F66</f>
        <v>0</v>
      </c>
      <c r="M66" s="10">
        <f t="shared" si="3"/>
        <v>0</v>
      </c>
      <c r="N66" s="11">
        <v>2025</v>
      </c>
      <c r="O66" s="7"/>
    </row>
    <row r="67" spans="1:15" x14ac:dyDescent="0.25">
      <c r="A67" s="6">
        <v>45689</v>
      </c>
      <c r="B67" s="7"/>
      <c r="C67" s="7"/>
      <c r="D67" s="7"/>
      <c r="E67" s="7"/>
      <c r="F67" s="7"/>
      <c r="G67" s="8">
        <f t="shared" si="2"/>
        <v>0</v>
      </c>
      <c r="H67" s="7">
        <f>'RIN Sep &amp; Available'!H67-B67</f>
        <v>0</v>
      </c>
      <c r="I67" s="7">
        <f>'RIN Sep &amp; Available'!I67-C67</f>
        <v>0</v>
      </c>
      <c r="J67" s="7">
        <f>'RIN Sep &amp; Available'!J67-D67</f>
        <v>0</v>
      </c>
      <c r="K67" s="7">
        <f>'RIN Sep &amp; Available'!K67-E67</f>
        <v>0</v>
      </c>
      <c r="L67" s="7">
        <f>'RIN Sep &amp; Available'!L67-F67</f>
        <v>0</v>
      </c>
      <c r="M67" s="10">
        <f t="shared" si="3"/>
        <v>0</v>
      </c>
      <c r="N67" s="11">
        <v>2025</v>
      </c>
      <c r="O67" s="7"/>
    </row>
    <row r="68" spans="1:15" x14ac:dyDescent="0.25">
      <c r="A68" s="6">
        <v>45717</v>
      </c>
      <c r="B68" s="7"/>
      <c r="C68" s="7"/>
      <c r="D68" s="7"/>
      <c r="E68" s="7"/>
      <c r="F68" s="7"/>
      <c r="G68" s="8">
        <f t="shared" si="2"/>
        <v>0</v>
      </c>
      <c r="H68" s="7">
        <f>'RIN Sep &amp; Available'!H68-B68</f>
        <v>0</v>
      </c>
      <c r="I68" s="7">
        <f>'RIN Sep &amp; Available'!I68-C68</f>
        <v>0</v>
      </c>
      <c r="J68" s="7">
        <f>'RIN Sep &amp; Available'!J68-D68</f>
        <v>0</v>
      </c>
      <c r="K68" s="7">
        <f>'RIN Sep &amp; Available'!K68-E68</f>
        <v>0</v>
      </c>
      <c r="L68" s="7">
        <f>'RIN Sep &amp; Available'!L68-F68</f>
        <v>0</v>
      </c>
      <c r="M68" s="10">
        <f t="shared" si="3"/>
        <v>0</v>
      </c>
      <c r="N68" s="11">
        <v>2025</v>
      </c>
      <c r="O68" s="7"/>
    </row>
    <row r="69" spans="1:15" x14ac:dyDescent="0.25">
      <c r="A69" s="6">
        <v>45748</v>
      </c>
      <c r="B69" s="7"/>
      <c r="C69" s="7"/>
      <c r="D69" s="7"/>
      <c r="E69" s="7"/>
      <c r="F69" s="7"/>
      <c r="G69" s="8">
        <f t="shared" si="2"/>
        <v>0</v>
      </c>
      <c r="H69" s="7">
        <f>'RIN Sep &amp; Available'!H69-B69</f>
        <v>0</v>
      </c>
      <c r="I69" s="7">
        <f>'RIN Sep &amp; Available'!I69-C69</f>
        <v>0</v>
      </c>
      <c r="J69" s="7">
        <f>'RIN Sep &amp; Available'!J69-D69</f>
        <v>0</v>
      </c>
      <c r="K69" s="7">
        <f>'RIN Sep &amp; Available'!K69-E69</f>
        <v>0</v>
      </c>
      <c r="L69" s="7">
        <f>'RIN Sep &amp; Available'!L69-F69</f>
        <v>0</v>
      </c>
      <c r="M69" s="10">
        <f t="shared" si="3"/>
        <v>0</v>
      </c>
      <c r="N69" s="11">
        <v>2025</v>
      </c>
      <c r="O69" s="7"/>
    </row>
    <row r="70" spans="1:15" x14ac:dyDescent="0.25">
      <c r="A70" s="6">
        <v>45778</v>
      </c>
      <c r="B70" s="7"/>
      <c r="C70" s="7"/>
      <c r="D70" s="7"/>
      <c r="E70" s="7"/>
      <c r="F70" s="7"/>
      <c r="G70" s="8">
        <f t="shared" ref="G70:G101" si="4">SUM(B70:F70)</f>
        <v>0</v>
      </c>
      <c r="H70" s="7">
        <f>'RIN Sep &amp; Available'!H70-B70</f>
        <v>0</v>
      </c>
      <c r="I70" s="7">
        <f>'RIN Sep &amp; Available'!I70-C70</f>
        <v>0</v>
      </c>
      <c r="J70" s="7">
        <f>'RIN Sep &amp; Available'!J70-D70</f>
        <v>0</v>
      </c>
      <c r="K70" s="7">
        <f>'RIN Sep &amp; Available'!K70-E70</f>
        <v>0</v>
      </c>
      <c r="L70" s="7">
        <f>'RIN Sep &amp; Available'!L70-F70</f>
        <v>0</v>
      </c>
      <c r="M70" s="10">
        <f t="shared" ref="M70:M101" si="5">SUM(H70:L70)</f>
        <v>0</v>
      </c>
      <c r="N70" s="11">
        <v>2025</v>
      </c>
      <c r="O70" s="7"/>
    </row>
    <row r="71" spans="1:15" x14ac:dyDescent="0.25">
      <c r="A71" s="6">
        <v>45809</v>
      </c>
      <c r="B71" s="7"/>
      <c r="C71" s="7"/>
      <c r="D71" s="7"/>
      <c r="E71" s="7"/>
      <c r="F71" s="7"/>
      <c r="G71" s="8">
        <f t="shared" si="4"/>
        <v>0</v>
      </c>
      <c r="H71" s="7">
        <f>'RIN Sep &amp; Available'!H71-B71</f>
        <v>0</v>
      </c>
      <c r="I71" s="7">
        <f>'RIN Sep &amp; Available'!I71-C71</f>
        <v>0</v>
      </c>
      <c r="J71" s="7">
        <f>'RIN Sep &amp; Available'!J71-D71</f>
        <v>0</v>
      </c>
      <c r="K71" s="7">
        <f>'RIN Sep &amp; Available'!K71-E71</f>
        <v>0</v>
      </c>
      <c r="L71" s="7">
        <f>'RIN Sep &amp; Available'!L71-F71</f>
        <v>0</v>
      </c>
      <c r="M71" s="10">
        <f t="shared" si="5"/>
        <v>0</v>
      </c>
      <c r="N71" s="11">
        <v>2025</v>
      </c>
      <c r="O71" s="7"/>
    </row>
    <row r="72" spans="1:15" x14ac:dyDescent="0.25">
      <c r="A72" s="6">
        <v>45839</v>
      </c>
      <c r="B72" s="7"/>
      <c r="C72" s="7"/>
      <c r="D72" s="7"/>
      <c r="E72" s="7"/>
      <c r="F72" s="7"/>
      <c r="G72" s="8">
        <f t="shared" si="4"/>
        <v>0</v>
      </c>
      <c r="H72" s="7">
        <f>'RIN Sep &amp; Available'!H72-B72</f>
        <v>0</v>
      </c>
      <c r="I72" s="7">
        <f>'RIN Sep &amp; Available'!I72-C72</f>
        <v>0</v>
      </c>
      <c r="J72" s="7">
        <f>'RIN Sep &amp; Available'!J72-D72</f>
        <v>0</v>
      </c>
      <c r="K72" s="7">
        <f>'RIN Sep &amp; Available'!K72-E72</f>
        <v>0</v>
      </c>
      <c r="L72" s="7">
        <f>'RIN Sep &amp; Available'!L72-F72</f>
        <v>0</v>
      </c>
      <c r="M72" s="10">
        <f t="shared" si="5"/>
        <v>0</v>
      </c>
      <c r="N72" s="11">
        <v>2025</v>
      </c>
      <c r="O72" s="7"/>
    </row>
    <row r="73" spans="1:15" x14ac:dyDescent="0.25">
      <c r="A73" s="6">
        <v>45870</v>
      </c>
      <c r="B73" s="7"/>
      <c r="C73" s="7"/>
      <c r="D73" s="7"/>
      <c r="E73" s="7"/>
      <c r="F73" s="7"/>
      <c r="G73" s="8">
        <f t="shared" si="4"/>
        <v>0</v>
      </c>
      <c r="H73" s="7">
        <f>'RIN Sep &amp; Available'!H73-B73</f>
        <v>0</v>
      </c>
      <c r="I73" s="7">
        <f>'RIN Sep &amp; Available'!I73-C73</f>
        <v>0</v>
      </c>
      <c r="J73" s="7">
        <f>'RIN Sep &amp; Available'!J73-D73</f>
        <v>0</v>
      </c>
      <c r="K73" s="7">
        <f>'RIN Sep &amp; Available'!K73-E73</f>
        <v>0</v>
      </c>
      <c r="L73" s="7">
        <f>'RIN Sep &amp; Available'!L73-F73</f>
        <v>0</v>
      </c>
      <c r="M73" s="10">
        <f t="shared" si="5"/>
        <v>0</v>
      </c>
      <c r="N73" s="11">
        <v>2025</v>
      </c>
      <c r="O73" s="7"/>
    </row>
    <row r="74" spans="1:15" x14ac:dyDescent="0.25">
      <c r="A74" s="6">
        <v>45901</v>
      </c>
      <c r="B74" s="7"/>
      <c r="C74" s="7"/>
      <c r="D74" s="7"/>
      <c r="E74" s="7"/>
      <c r="F74" s="7"/>
      <c r="G74" s="8">
        <f t="shared" si="4"/>
        <v>0</v>
      </c>
      <c r="H74" s="7">
        <f>'RIN Sep &amp; Available'!H74-B74</f>
        <v>0</v>
      </c>
      <c r="I74" s="7">
        <f>'RIN Sep &amp; Available'!I74-C74</f>
        <v>0</v>
      </c>
      <c r="J74" s="7">
        <f>'RIN Sep &amp; Available'!J74-D74</f>
        <v>0</v>
      </c>
      <c r="K74" s="7">
        <f>'RIN Sep &amp; Available'!K74-E74</f>
        <v>0</v>
      </c>
      <c r="L74" s="7">
        <f>'RIN Sep &amp; Available'!L74-F74</f>
        <v>0</v>
      </c>
      <c r="M74" s="10">
        <f t="shared" si="5"/>
        <v>0</v>
      </c>
      <c r="N74" s="11">
        <v>2025</v>
      </c>
      <c r="O74" s="7"/>
    </row>
    <row r="75" spans="1:15" x14ac:dyDescent="0.25">
      <c r="A75" s="6">
        <v>45931</v>
      </c>
      <c r="B75" s="7"/>
      <c r="C75" s="7"/>
      <c r="D75" s="7"/>
      <c r="E75" s="7"/>
      <c r="F75" s="7"/>
      <c r="G75" s="8">
        <f t="shared" si="4"/>
        <v>0</v>
      </c>
      <c r="H75" s="7">
        <f>'RIN Sep &amp; Available'!H75-B75</f>
        <v>0</v>
      </c>
      <c r="I75" s="7">
        <f>'RIN Sep &amp; Available'!I75-C75</f>
        <v>0</v>
      </c>
      <c r="J75" s="7">
        <f>'RIN Sep &amp; Available'!J75-D75</f>
        <v>0</v>
      </c>
      <c r="K75" s="7">
        <f>'RIN Sep &amp; Available'!K75-E75</f>
        <v>0</v>
      </c>
      <c r="L75" s="7">
        <f>'RIN Sep &amp; Available'!L75-F75</f>
        <v>0</v>
      </c>
      <c r="M75" s="10">
        <f t="shared" si="5"/>
        <v>0</v>
      </c>
      <c r="N75" s="11">
        <v>2025</v>
      </c>
      <c r="O75" s="7"/>
    </row>
    <row r="76" spans="1:15" x14ac:dyDescent="0.25">
      <c r="A76" s="6">
        <v>45962</v>
      </c>
      <c r="B76" s="7"/>
      <c r="C76" s="7"/>
      <c r="D76" s="7"/>
      <c r="E76" s="7"/>
      <c r="F76" s="7"/>
      <c r="G76" s="8">
        <f t="shared" si="4"/>
        <v>0</v>
      </c>
      <c r="H76" s="7">
        <f>'RIN Sep &amp; Available'!H76-B76</f>
        <v>0</v>
      </c>
      <c r="I76" s="7">
        <f>'RIN Sep &amp; Available'!I76-C76</f>
        <v>0</v>
      </c>
      <c r="J76" s="7">
        <f>'RIN Sep &amp; Available'!J76-D76</f>
        <v>0</v>
      </c>
      <c r="K76" s="7">
        <f>'RIN Sep &amp; Available'!K76-E76</f>
        <v>0</v>
      </c>
      <c r="L76" s="7">
        <f>'RIN Sep &amp; Available'!L76-F76</f>
        <v>0</v>
      </c>
      <c r="M76" s="10">
        <f t="shared" si="5"/>
        <v>0</v>
      </c>
      <c r="N76" s="11">
        <v>2025</v>
      </c>
      <c r="O76" s="7"/>
    </row>
    <row r="77" spans="1:15" x14ac:dyDescent="0.25">
      <c r="A77" s="6">
        <v>45992</v>
      </c>
      <c r="B77" s="7"/>
      <c r="C77" s="7"/>
      <c r="D77" s="7"/>
      <c r="E77" s="7"/>
      <c r="F77" s="7"/>
      <c r="G77" s="8">
        <f t="shared" si="4"/>
        <v>0</v>
      </c>
      <c r="H77" s="7">
        <f>'RIN Sep &amp; Available'!H77-B77</f>
        <v>0</v>
      </c>
      <c r="I77" s="7">
        <f>'RIN Sep &amp; Available'!I77-C77</f>
        <v>0</v>
      </c>
      <c r="J77" s="7">
        <f>'RIN Sep &amp; Available'!J77-D77</f>
        <v>0</v>
      </c>
      <c r="K77" s="7">
        <f>'RIN Sep &amp; Available'!K77-E77</f>
        <v>0</v>
      </c>
      <c r="L77" s="7">
        <f>'RIN Sep &amp; Available'!L77-F77</f>
        <v>0</v>
      </c>
      <c r="M77" s="10">
        <f t="shared" si="5"/>
        <v>0</v>
      </c>
      <c r="N77" s="11">
        <v>2025</v>
      </c>
      <c r="O77" s="7"/>
    </row>
    <row r="78" spans="1:15" x14ac:dyDescent="0.25">
      <c r="A78" s="6">
        <v>46023</v>
      </c>
      <c r="B78" s="7"/>
      <c r="C78" s="7"/>
      <c r="D78" s="7"/>
      <c r="E78" s="7"/>
      <c r="F78" s="7"/>
      <c r="G78" s="8">
        <f t="shared" si="4"/>
        <v>0</v>
      </c>
      <c r="H78" s="7">
        <f>'RIN Sep &amp; Available'!H78-B78</f>
        <v>0</v>
      </c>
      <c r="I78" s="7">
        <f>'RIN Sep &amp; Available'!I78-C78</f>
        <v>0</v>
      </c>
      <c r="J78" s="7">
        <f>'RIN Sep &amp; Available'!J78-D78</f>
        <v>0</v>
      </c>
      <c r="K78" s="7">
        <f>'RIN Sep &amp; Available'!K78-E78</f>
        <v>0</v>
      </c>
      <c r="L78" s="7">
        <f>'RIN Sep &amp; Available'!L78-F78</f>
        <v>0</v>
      </c>
      <c r="M78" s="10">
        <f t="shared" si="5"/>
        <v>0</v>
      </c>
      <c r="N78" s="11">
        <v>2026</v>
      </c>
      <c r="O78" s="7"/>
    </row>
    <row r="79" spans="1:15" x14ac:dyDescent="0.25">
      <c r="A79" s="6">
        <v>46054</v>
      </c>
      <c r="B79" s="7"/>
      <c r="C79" s="7"/>
      <c r="D79" s="7"/>
      <c r="E79" s="7"/>
      <c r="F79" s="7"/>
      <c r="G79" s="8">
        <f t="shared" si="4"/>
        <v>0</v>
      </c>
      <c r="H79" s="7">
        <f>'RIN Sep &amp; Available'!H79-B79</f>
        <v>0</v>
      </c>
      <c r="I79" s="7">
        <f>'RIN Sep &amp; Available'!I79-C79</f>
        <v>0</v>
      </c>
      <c r="J79" s="7">
        <f>'RIN Sep &amp; Available'!J79-D79</f>
        <v>0</v>
      </c>
      <c r="K79" s="7">
        <f>'RIN Sep &amp; Available'!K79-E79</f>
        <v>0</v>
      </c>
      <c r="L79" s="7">
        <f>'RIN Sep &amp; Available'!L79-F79</f>
        <v>0</v>
      </c>
      <c r="M79" s="10">
        <f t="shared" si="5"/>
        <v>0</v>
      </c>
      <c r="N79" s="11">
        <v>2026</v>
      </c>
      <c r="O79" s="7"/>
    </row>
    <row r="80" spans="1:15" x14ac:dyDescent="0.25">
      <c r="A80" s="6">
        <v>46082</v>
      </c>
      <c r="B80" s="7"/>
      <c r="C80" s="7"/>
      <c r="D80" s="7"/>
      <c r="E80" s="7"/>
      <c r="F80" s="7"/>
      <c r="G80" s="8">
        <f t="shared" si="4"/>
        <v>0</v>
      </c>
      <c r="H80" s="7">
        <f>'RIN Sep &amp; Available'!H80-B80</f>
        <v>0</v>
      </c>
      <c r="I80" s="7">
        <f>'RIN Sep &amp; Available'!I80-C80</f>
        <v>0</v>
      </c>
      <c r="J80" s="7">
        <f>'RIN Sep &amp; Available'!J80-D80</f>
        <v>0</v>
      </c>
      <c r="K80" s="7">
        <f>'RIN Sep &amp; Available'!K80-E80</f>
        <v>0</v>
      </c>
      <c r="L80" s="7">
        <f>'RIN Sep &amp; Available'!L80-F80</f>
        <v>0</v>
      </c>
      <c r="M80" s="10">
        <f t="shared" si="5"/>
        <v>0</v>
      </c>
      <c r="N80" s="11">
        <v>2026</v>
      </c>
      <c r="O80" s="7"/>
    </row>
    <row r="81" spans="1:15" x14ac:dyDescent="0.25">
      <c r="A81" s="6">
        <v>46113</v>
      </c>
      <c r="B81" s="7"/>
      <c r="C81" s="7"/>
      <c r="D81" s="7"/>
      <c r="E81" s="7"/>
      <c r="F81" s="7"/>
      <c r="G81" s="8">
        <f t="shared" si="4"/>
        <v>0</v>
      </c>
      <c r="H81" s="7">
        <f>'RIN Sep &amp; Available'!H81-B81</f>
        <v>0</v>
      </c>
      <c r="I81" s="7">
        <f>'RIN Sep &amp; Available'!I81-C81</f>
        <v>0</v>
      </c>
      <c r="J81" s="7">
        <f>'RIN Sep &amp; Available'!J81-D81</f>
        <v>0</v>
      </c>
      <c r="K81" s="7">
        <f>'RIN Sep &amp; Available'!K81-E81</f>
        <v>0</v>
      </c>
      <c r="L81" s="7">
        <f>'RIN Sep &amp; Available'!L81-F81</f>
        <v>0</v>
      </c>
      <c r="M81" s="10">
        <f t="shared" si="5"/>
        <v>0</v>
      </c>
      <c r="N81" s="11">
        <v>2026</v>
      </c>
      <c r="O8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2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12" customWidth="1"/>
    <col min="2" max="19" width="13" customWidth="1"/>
  </cols>
  <sheetData>
    <row r="1" spans="1:19" ht="15.75" x14ac:dyDescent="0.25">
      <c r="A1" s="2" t="s">
        <v>50</v>
      </c>
    </row>
    <row r="2" spans="1:19" x14ac:dyDescent="0.25">
      <c r="A2" s="3" t="s">
        <v>51</v>
      </c>
    </row>
    <row r="3" spans="1:19" x14ac:dyDescent="0.25">
      <c r="A3" s="4" t="s">
        <v>52</v>
      </c>
    </row>
    <row r="5" spans="1:19" x14ac:dyDescent="0.25">
      <c r="A5" s="12"/>
      <c r="B5" s="1" t="s">
        <v>53</v>
      </c>
      <c r="C5" s="1"/>
      <c r="D5" s="1"/>
      <c r="E5" s="1"/>
      <c r="F5" s="1"/>
      <c r="G5" s="1" t="s">
        <v>54</v>
      </c>
      <c r="H5" s="1"/>
      <c r="I5" s="1"/>
      <c r="J5" s="1"/>
      <c r="K5" s="1"/>
      <c r="L5" s="1" t="s">
        <v>55</v>
      </c>
      <c r="M5" s="1"/>
      <c r="N5" s="1"/>
      <c r="O5" s="1"/>
      <c r="P5" s="1" t="s">
        <v>56</v>
      </c>
      <c r="Q5" s="1"/>
      <c r="R5" s="1"/>
      <c r="S5" s="1"/>
    </row>
    <row r="6" spans="1:19" ht="24.75" x14ac:dyDescent="0.25">
      <c r="A6" s="13" t="s">
        <v>3</v>
      </c>
      <c r="B6" s="13" t="s">
        <v>57</v>
      </c>
      <c r="C6" s="13" t="s">
        <v>58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63</v>
      </c>
      <c r="I6" s="13" t="s">
        <v>64</v>
      </c>
      <c r="J6" s="13" t="s">
        <v>65</v>
      </c>
      <c r="K6" s="13" t="s">
        <v>66</v>
      </c>
      <c r="L6" s="13" t="s">
        <v>67</v>
      </c>
      <c r="M6" s="13" t="s">
        <v>68</v>
      </c>
      <c r="N6" s="13" t="s">
        <v>69</v>
      </c>
      <c r="O6" s="13" t="s">
        <v>70</v>
      </c>
      <c r="P6" s="13" t="s">
        <v>71</v>
      </c>
      <c r="Q6" s="13" t="s">
        <v>72</v>
      </c>
      <c r="R6" s="13" t="s">
        <v>73</v>
      </c>
      <c r="S6" s="13" t="s">
        <v>16</v>
      </c>
    </row>
    <row r="7" spans="1:19" x14ac:dyDescent="0.25">
      <c r="A7" s="6">
        <v>43831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>
        <f t="shared" ref="R7:R38" si="0">SUM(B7:O7)</f>
        <v>0</v>
      </c>
      <c r="S7" s="9"/>
    </row>
    <row r="8" spans="1:19" x14ac:dyDescent="0.25">
      <c r="A8" s="6">
        <v>43862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f t="shared" si="0"/>
        <v>0</v>
      </c>
      <c r="S8" s="9"/>
    </row>
    <row r="9" spans="1:19" x14ac:dyDescent="0.25">
      <c r="A9" s="6">
        <v>43891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f t="shared" si="0"/>
        <v>0</v>
      </c>
      <c r="S9" s="9"/>
    </row>
    <row r="10" spans="1:19" x14ac:dyDescent="0.25">
      <c r="A10" s="6">
        <v>43922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>
        <f t="shared" si="0"/>
        <v>0</v>
      </c>
      <c r="S10" s="9"/>
    </row>
    <row r="11" spans="1:19" x14ac:dyDescent="0.25">
      <c r="A11" s="6">
        <v>43952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f t="shared" si="0"/>
        <v>0</v>
      </c>
      <c r="S11" s="9"/>
    </row>
    <row r="12" spans="1:19" x14ac:dyDescent="0.25">
      <c r="A12" s="6">
        <v>43983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f t="shared" si="0"/>
        <v>0</v>
      </c>
      <c r="S12" s="9"/>
    </row>
    <row r="13" spans="1:19" x14ac:dyDescent="0.25">
      <c r="A13" s="6">
        <v>44013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>
        <f t="shared" si="0"/>
        <v>0</v>
      </c>
      <c r="S13" s="9"/>
    </row>
    <row r="14" spans="1:19" x14ac:dyDescent="0.25">
      <c r="A14" s="6">
        <v>44044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f t="shared" si="0"/>
        <v>0</v>
      </c>
      <c r="S14" s="9"/>
    </row>
    <row r="15" spans="1:19" x14ac:dyDescent="0.25">
      <c r="A15" s="6">
        <v>44075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f t="shared" si="0"/>
        <v>0</v>
      </c>
      <c r="S15" s="9"/>
    </row>
    <row r="16" spans="1:19" x14ac:dyDescent="0.25">
      <c r="A16" s="6">
        <v>44105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f t="shared" si="0"/>
        <v>0</v>
      </c>
      <c r="S16" s="9"/>
    </row>
    <row r="17" spans="1:19" x14ac:dyDescent="0.25">
      <c r="A17" s="6">
        <v>44136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f t="shared" si="0"/>
        <v>0</v>
      </c>
      <c r="S17" s="9"/>
    </row>
    <row r="18" spans="1:19" x14ac:dyDescent="0.25">
      <c r="A18" s="6">
        <v>44166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f t="shared" si="0"/>
        <v>0</v>
      </c>
      <c r="S18" s="9"/>
    </row>
    <row r="19" spans="1:19" x14ac:dyDescent="0.25">
      <c r="A19" s="6">
        <v>44197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f t="shared" si="0"/>
        <v>0</v>
      </c>
      <c r="S19" s="9" t="str">
        <f t="shared" ref="S19:S50" si="1">IF(R7=0,"",R19/R7-1)</f>
        <v/>
      </c>
    </row>
    <row r="20" spans="1:19" x14ac:dyDescent="0.25">
      <c r="A20" s="6">
        <v>44228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>
        <f t="shared" si="0"/>
        <v>0</v>
      </c>
      <c r="S20" s="9" t="str">
        <f t="shared" si="1"/>
        <v/>
      </c>
    </row>
    <row r="21" spans="1:19" x14ac:dyDescent="0.25">
      <c r="A21" s="6">
        <v>44256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f t="shared" si="0"/>
        <v>0</v>
      </c>
      <c r="S21" s="9" t="str">
        <f t="shared" si="1"/>
        <v/>
      </c>
    </row>
    <row r="22" spans="1:19" x14ac:dyDescent="0.25">
      <c r="A22" s="6">
        <v>44287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f t="shared" si="0"/>
        <v>0</v>
      </c>
      <c r="S22" s="9" t="str">
        <f t="shared" si="1"/>
        <v/>
      </c>
    </row>
    <row r="23" spans="1:19" x14ac:dyDescent="0.25">
      <c r="A23" s="6">
        <v>44317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f t="shared" si="0"/>
        <v>0</v>
      </c>
      <c r="S23" s="9" t="str">
        <f t="shared" si="1"/>
        <v/>
      </c>
    </row>
    <row r="24" spans="1:19" x14ac:dyDescent="0.25">
      <c r="A24" s="6">
        <v>44348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>
        <f t="shared" si="0"/>
        <v>0</v>
      </c>
      <c r="S24" s="9" t="str">
        <f t="shared" si="1"/>
        <v/>
      </c>
    </row>
    <row r="25" spans="1:19" x14ac:dyDescent="0.25">
      <c r="A25" s="6">
        <v>44378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8">
        <f t="shared" si="0"/>
        <v>0</v>
      </c>
      <c r="S25" s="9" t="str">
        <f t="shared" si="1"/>
        <v/>
      </c>
    </row>
    <row r="26" spans="1:19" x14ac:dyDescent="0.25">
      <c r="A26" s="6">
        <v>44409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>
        <f t="shared" si="0"/>
        <v>0</v>
      </c>
      <c r="S26" s="9" t="str">
        <f t="shared" si="1"/>
        <v/>
      </c>
    </row>
    <row r="27" spans="1:19" x14ac:dyDescent="0.25">
      <c r="A27" s="6">
        <v>44440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">
        <f t="shared" si="0"/>
        <v>0</v>
      </c>
      <c r="S27" s="9" t="str">
        <f t="shared" si="1"/>
        <v/>
      </c>
    </row>
    <row r="28" spans="1:19" x14ac:dyDescent="0.25">
      <c r="A28" s="6">
        <v>44470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>
        <f t="shared" si="0"/>
        <v>0</v>
      </c>
      <c r="S28" s="9" t="str">
        <f t="shared" si="1"/>
        <v/>
      </c>
    </row>
    <row r="29" spans="1:19" x14ac:dyDescent="0.25">
      <c r="A29" s="6">
        <v>44501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f t="shared" si="0"/>
        <v>0</v>
      </c>
      <c r="S29" s="9" t="str">
        <f t="shared" si="1"/>
        <v/>
      </c>
    </row>
    <row r="30" spans="1:19" x14ac:dyDescent="0.25">
      <c r="A30" s="6">
        <v>44531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f t="shared" si="0"/>
        <v>0</v>
      </c>
      <c r="S30" s="9" t="str">
        <f t="shared" si="1"/>
        <v/>
      </c>
    </row>
    <row r="31" spans="1:19" x14ac:dyDescent="0.25">
      <c r="A31" s="6">
        <v>44562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8">
        <f t="shared" si="0"/>
        <v>0</v>
      </c>
      <c r="S31" s="9" t="str">
        <f t="shared" si="1"/>
        <v/>
      </c>
    </row>
    <row r="32" spans="1:19" x14ac:dyDescent="0.25">
      <c r="A32" s="6">
        <v>44593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>
        <f t="shared" si="0"/>
        <v>0</v>
      </c>
      <c r="S32" s="9" t="str">
        <f t="shared" si="1"/>
        <v/>
      </c>
    </row>
    <row r="33" spans="1:19" x14ac:dyDescent="0.25">
      <c r="A33" s="6">
        <v>44621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f t="shared" si="0"/>
        <v>0</v>
      </c>
      <c r="S33" s="9" t="str">
        <f t="shared" si="1"/>
        <v/>
      </c>
    </row>
    <row r="34" spans="1:19" x14ac:dyDescent="0.25">
      <c r="A34" s="6">
        <v>44652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f t="shared" si="0"/>
        <v>0</v>
      </c>
      <c r="S34" s="9" t="str">
        <f t="shared" si="1"/>
        <v/>
      </c>
    </row>
    <row r="35" spans="1:19" x14ac:dyDescent="0.25">
      <c r="A35" s="6">
        <v>44682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f t="shared" si="0"/>
        <v>0</v>
      </c>
      <c r="S35" s="9" t="str">
        <f t="shared" si="1"/>
        <v/>
      </c>
    </row>
    <row r="36" spans="1:19" x14ac:dyDescent="0.25">
      <c r="A36" s="6">
        <v>44713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8">
        <f t="shared" si="0"/>
        <v>0</v>
      </c>
      <c r="S36" s="9" t="str">
        <f t="shared" si="1"/>
        <v/>
      </c>
    </row>
    <row r="37" spans="1:19" x14ac:dyDescent="0.25">
      <c r="A37" s="6">
        <v>44743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>
        <f t="shared" si="0"/>
        <v>0</v>
      </c>
      <c r="S37" s="9" t="str">
        <f t="shared" si="1"/>
        <v/>
      </c>
    </row>
    <row r="38" spans="1:19" x14ac:dyDescent="0.25">
      <c r="A38" s="6">
        <v>44774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8">
        <f t="shared" si="0"/>
        <v>0</v>
      </c>
      <c r="S38" s="9" t="str">
        <f t="shared" si="1"/>
        <v/>
      </c>
    </row>
    <row r="39" spans="1:19" x14ac:dyDescent="0.25">
      <c r="A39" s="6">
        <v>44805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f t="shared" ref="R39:R70" si="2">SUM(B39:O39)</f>
        <v>0</v>
      </c>
      <c r="S39" s="9" t="str">
        <f t="shared" si="1"/>
        <v/>
      </c>
    </row>
    <row r="40" spans="1:19" x14ac:dyDescent="0.25">
      <c r="A40" s="6">
        <v>44835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f t="shared" si="2"/>
        <v>0</v>
      </c>
      <c r="S40" s="9" t="str">
        <f t="shared" si="1"/>
        <v/>
      </c>
    </row>
    <row r="41" spans="1:19" x14ac:dyDescent="0.25">
      <c r="A41" s="6">
        <v>44866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f t="shared" si="2"/>
        <v>0</v>
      </c>
      <c r="S41" s="9" t="str">
        <f t="shared" si="1"/>
        <v/>
      </c>
    </row>
    <row r="42" spans="1:19" x14ac:dyDescent="0.25">
      <c r="A42" s="6">
        <v>44896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f t="shared" si="2"/>
        <v>0</v>
      </c>
      <c r="S42" s="9" t="str">
        <f t="shared" si="1"/>
        <v/>
      </c>
    </row>
    <row r="43" spans="1:19" x14ac:dyDescent="0.25">
      <c r="A43" s="6">
        <v>44927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f t="shared" si="2"/>
        <v>0</v>
      </c>
      <c r="S43" s="9" t="str">
        <f t="shared" si="1"/>
        <v/>
      </c>
    </row>
    <row r="44" spans="1:19" x14ac:dyDescent="0.25">
      <c r="A44" s="6">
        <v>44958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f t="shared" si="2"/>
        <v>0</v>
      </c>
      <c r="S44" s="9" t="str">
        <f t="shared" si="1"/>
        <v/>
      </c>
    </row>
    <row r="45" spans="1:19" x14ac:dyDescent="0.25">
      <c r="A45" s="6">
        <v>44986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f t="shared" si="2"/>
        <v>0</v>
      </c>
      <c r="S45" s="9" t="str">
        <f t="shared" si="1"/>
        <v/>
      </c>
    </row>
    <row r="46" spans="1:19" x14ac:dyDescent="0.25">
      <c r="A46" s="6">
        <v>45017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f t="shared" si="2"/>
        <v>0</v>
      </c>
      <c r="S46" s="9" t="str">
        <f t="shared" si="1"/>
        <v/>
      </c>
    </row>
    <row r="47" spans="1:19" x14ac:dyDescent="0.25">
      <c r="A47" s="6">
        <v>45047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f t="shared" si="2"/>
        <v>0</v>
      </c>
      <c r="S47" s="9" t="str">
        <f t="shared" si="1"/>
        <v/>
      </c>
    </row>
    <row r="48" spans="1:19" x14ac:dyDescent="0.25">
      <c r="A48" s="6">
        <v>45078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f t="shared" si="2"/>
        <v>0</v>
      </c>
      <c r="S48" s="9" t="str">
        <f t="shared" si="1"/>
        <v/>
      </c>
    </row>
    <row r="49" spans="1:19" x14ac:dyDescent="0.25">
      <c r="A49" s="6">
        <v>45108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f t="shared" si="2"/>
        <v>0</v>
      </c>
      <c r="S49" s="9" t="str">
        <f t="shared" si="1"/>
        <v/>
      </c>
    </row>
    <row r="50" spans="1:19" x14ac:dyDescent="0.25">
      <c r="A50" s="6">
        <v>45139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>
        <f t="shared" si="2"/>
        <v>0</v>
      </c>
      <c r="S50" s="9" t="str">
        <f t="shared" si="1"/>
        <v/>
      </c>
    </row>
    <row r="51" spans="1:19" x14ac:dyDescent="0.25">
      <c r="A51" s="6">
        <v>45170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f t="shared" si="2"/>
        <v>0</v>
      </c>
      <c r="S51" s="9" t="str">
        <f t="shared" ref="S51:S82" si="3">IF(R39=0,"",R51/R39-1)</f>
        <v/>
      </c>
    </row>
    <row r="52" spans="1:19" x14ac:dyDescent="0.25">
      <c r="A52" s="6">
        <v>45200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8">
        <f t="shared" si="2"/>
        <v>0</v>
      </c>
      <c r="S52" s="9" t="str">
        <f t="shared" si="3"/>
        <v/>
      </c>
    </row>
    <row r="53" spans="1:19" x14ac:dyDescent="0.25">
      <c r="A53" s="6">
        <v>45231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f t="shared" si="2"/>
        <v>0</v>
      </c>
      <c r="S53" s="9" t="str">
        <f t="shared" si="3"/>
        <v/>
      </c>
    </row>
    <row r="54" spans="1:19" x14ac:dyDescent="0.25">
      <c r="A54" s="6">
        <v>45261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8">
        <f t="shared" si="2"/>
        <v>0</v>
      </c>
      <c r="S54" s="9" t="str">
        <f t="shared" si="3"/>
        <v/>
      </c>
    </row>
    <row r="55" spans="1:19" x14ac:dyDescent="0.25">
      <c r="A55" s="6">
        <v>45292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f t="shared" si="2"/>
        <v>0</v>
      </c>
      <c r="S55" s="9" t="str">
        <f t="shared" si="3"/>
        <v/>
      </c>
    </row>
    <row r="56" spans="1:19" x14ac:dyDescent="0.25">
      <c r="A56" s="6">
        <v>45323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f t="shared" si="2"/>
        <v>0</v>
      </c>
      <c r="S56" s="9" t="str">
        <f t="shared" si="3"/>
        <v/>
      </c>
    </row>
    <row r="57" spans="1:19" x14ac:dyDescent="0.25">
      <c r="A57" s="6">
        <v>45352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f t="shared" si="2"/>
        <v>0</v>
      </c>
      <c r="S57" s="9" t="str">
        <f t="shared" si="3"/>
        <v/>
      </c>
    </row>
    <row r="58" spans="1:19" x14ac:dyDescent="0.25">
      <c r="A58" s="6">
        <v>45383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f t="shared" si="2"/>
        <v>0</v>
      </c>
      <c r="S58" s="9" t="str">
        <f t="shared" si="3"/>
        <v/>
      </c>
    </row>
    <row r="59" spans="1:19" x14ac:dyDescent="0.25">
      <c r="A59" s="6">
        <v>45413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>
        <f t="shared" si="2"/>
        <v>0</v>
      </c>
      <c r="S59" s="9" t="str">
        <f t="shared" si="3"/>
        <v/>
      </c>
    </row>
    <row r="60" spans="1:19" x14ac:dyDescent="0.25">
      <c r="A60" s="6">
        <v>45444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f t="shared" si="2"/>
        <v>0</v>
      </c>
      <c r="S60" s="9" t="str">
        <f t="shared" si="3"/>
        <v/>
      </c>
    </row>
    <row r="61" spans="1:19" x14ac:dyDescent="0.25">
      <c r="A61" s="6">
        <v>45474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f t="shared" si="2"/>
        <v>0</v>
      </c>
      <c r="S61" s="9" t="str">
        <f t="shared" si="3"/>
        <v/>
      </c>
    </row>
    <row r="62" spans="1:19" x14ac:dyDescent="0.25">
      <c r="A62" s="6">
        <v>45505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f t="shared" si="2"/>
        <v>0</v>
      </c>
      <c r="S62" s="9" t="str">
        <f t="shared" si="3"/>
        <v/>
      </c>
    </row>
    <row r="63" spans="1:19" x14ac:dyDescent="0.25">
      <c r="A63" s="6">
        <v>45536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f t="shared" si="2"/>
        <v>0</v>
      </c>
      <c r="S63" s="9" t="str">
        <f t="shared" si="3"/>
        <v/>
      </c>
    </row>
    <row r="64" spans="1:19" x14ac:dyDescent="0.25">
      <c r="A64" s="6">
        <v>45566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f t="shared" si="2"/>
        <v>0</v>
      </c>
      <c r="S64" s="9" t="str">
        <f t="shared" si="3"/>
        <v/>
      </c>
    </row>
    <row r="65" spans="1:19" x14ac:dyDescent="0.25">
      <c r="A65" s="6">
        <v>45597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f t="shared" si="2"/>
        <v>0</v>
      </c>
      <c r="S65" s="9" t="str">
        <f t="shared" si="3"/>
        <v/>
      </c>
    </row>
    <row r="66" spans="1:19" x14ac:dyDescent="0.25">
      <c r="A66" s="6">
        <v>45627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f t="shared" si="2"/>
        <v>0</v>
      </c>
      <c r="S66" s="9" t="str">
        <f t="shared" si="3"/>
        <v/>
      </c>
    </row>
    <row r="67" spans="1:19" x14ac:dyDescent="0.25">
      <c r="A67" s="6">
        <v>45658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f t="shared" si="2"/>
        <v>0</v>
      </c>
      <c r="S67" s="9" t="str">
        <f t="shared" si="3"/>
        <v/>
      </c>
    </row>
    <row r="68" spans="1:19" x14ac:dyDescent="0.25">
      <c r="A68" s="6">
        <v>45689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8">
        <f t="shared" si="2"/>
        <v>0</v>
      </c>
      <c r="S68" s="9" t="str">
        <f t="shared" si="3"/>
        <v/>
      </c>
    </row>
    <row r="69" spans="1:19" x14ac:dyDescent="0.25">
      <c r="A69" s="6">
        <v>45717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f t="shared" si="2"/>
        <v>0</v>
      </c>
      <c r="S69" s="9" t="str">
        <f t="shared" si="3"/>
        <v/>
      </c>
    </row>
    <row r="70" spans="1:19" x14ac:dyDescent="0.25">
      <c r="A70" s="6">
        <v>45748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f t="shared" si="2"/>
        <v>0</v>
      </c>
      <c r="S70" s="9" t="str">
        <f t="shared" si="3"/>
        <v/>
      </c>
    </row>
    <row r="71" spans="1:19" x14ac:dyDescent="0.25">
      <c r="A71" s="6">
        <v>45778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8">
        <f t="shared" ref="R71:R82" si="4">SUM(B71:O71)</f>
        <v>0</v>
      </c>
      <c r="S71" s="9" t="str">
        <f t="shared" si="3"/>
        <v/>
      </c>
    </row>
    <row r="72" spans="1:19" x14ac:dyDescent="0.25">
      <c r="A72" s="6">
        <v>45809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8">
        <f t="shared" si="4"/>
        <v>0</v>
      </c>
      <c r="S72" s="9" t="str">
        <f t="shared" si="3"/>
        <v/>
      </c>
    </row>
    <row r="73" spans="1:19" x14ac:dyDescent="0.25">
      <c r="A73" s="6">
        <v>45839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f t="shared" si="4"/>
        <v>0</v>
      </c>
      <c r="S73" s="9" t="str">
        <f t="shared" si="3"/>
        <v/>
      </c>
    </row>
    <row r="74" spans="1:19" x14ac:dyDescent="0.25">
      <c r="A74" s="6">
        <v>45870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f t="shared" si="4"/>
        <v>0</v>
      </c>
      <c r="S74" s="9" t="str">
        <f t="shared" si="3"/>
        <v/>
      </c>
    </row>
    <row r="75" spans="1:19" x14ac:dyDescent="0.25">
      <c r="A75" s="6">
        <v>45901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f t="shared" si="4"/>
        <v>0</v>
      </c>
      <c r="S75" s="9" t="str">
        <f t="shared" si="3"/>
        <v/>
      </c>
    </row>
    <row r="76" spans="1:19" x14ac:dyDescent="0.25">
      <c r="A76" s="6">
        <v>45931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f t="shared" si="4"/>
        <v>0</v>
      </c>
      <c r="S76" s="9" t="str">
        <f t="shared" si="3"/>
        <v/>
      </c>
    </row>
    <row r="77" spans="1:19" x14ac:dyDescent="0.25">
      <c r="A77" s="6">
        <v>45962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f t="shared" si="4"/>
        <v>0</v>
      </c>
      <c r="S77" s="9" t="str">
        <f t="shared" si="3"/>
        <v/>
      </c>
    </row>
    <row r="78" spans="1:19" x14ac:dyDescent="0.25">
      <c r="A78" s="6">
        <v>45992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f t="shared" si="4"/>
        <v>0</v>
      </c>
      <c r="S78" s="9" t="str">
        <f t="shared" si="3"/>
        <v/>
      </c>
    </row>
    <row r="79" spans="1:19" x14ac:dyDescent="0.25">
      <c r="A79" s="6">
        <v>46023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f t="shared" si="4"/>
        <v>0</v>
      </c>
      <c r="S79" s="9" t="str">
        <f t="shared" si="3"/>
        <v/>
      </c>
    </row>
    <row r="80" spans="1:19" x14ac:dyDescent="0.25">
      <c r="A80" s="6">
        <v>46054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f t="shared" si="4"/>
        <v>0</v>
      </c>
      <c r="S80" s="9" t="str">
        <f t="shared" si="3"/>
        <v/>
      </c>
    </row>
    <row r="81" spans="1:19" x14ac:dyDescent="0.25">
      <c r="A81" s="6">
        <v>46082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f t="shared" si="4"/>
        <v>0</v>
      </c>
      <c r="S81" s="9" t="str">
        <f t="shared" si="3"/>
        <v/>
      </c>
    </row>
    <row r="82" spans="1:19" x14ac:dyDescent="0.25">
      <c r="A82" s="6">
        <v>46113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8">
        <f t="shared" si="4"/>
        <v>0</v>
      </c>
      <c r="S82" s="9" t="str">
        <f t="shared" si="3"/>
        <v/>
      </c>
    </row>
  </sheetData>
  <mergeCells count="4">
    <mergeCell ref="B5:F5"/>
    <mergeCell ref="G5:K5"/>
    <mergeCell ref="L5:O5"/>
    <mergeCell ref="P5:S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2" customWidth="1"/>
    <col min="2" max="16" width="13" customWidth="1"/>
  </cols>
  <sheetData>
    <row r="1" spans="1:16" ht="15.75" x14ac:dyDescent="0.25">
      <c r="A1" s="2" t="s">
        <v>74</v>
      </c>
    </row>
    <row r="2" spans="1:16" x14ac:dyDescent="0.25">
      <c r="A2" s="3" t="s">
        <v>75</v>
      </c>
    </row>
    <row r="3" spans="1:16" x14ac:dyDescent="0.25">
      <c r="A3" s="4" t="s">
        <v>76</v>
      </c>
    </row>
    <row r="5" spans="1:16" ht="39" x14ac:dyDescent="0.25">
      <c r="A5" s="5" t="s">
        <v>3</v>
      </c>
      <c r="B5" s="5" t="s">
        <v>77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5" t="s">
        <v>86</v>
      </c>
      <c r="L5" s="5" t="s">
        <v>87</v>
      </c>
      <c r="M5" s="5" t="s">
        <v>88</v>
      </c>
      <c r="N5" s="5" t="s">
        <v>89</v>
      </c>
      <c r="O5" s="5" t="s">
        <v>90</v>
      </c>
      <c r="P5" s="5" t="s">
        <v>91</v>
      </c>
    </row>
    <row r="6" spans="1:16" x14ac:dyDescent="0.25">
      <c r="A6" s="6">
        <v>43831</v>
      </c>
      <c r="B6" s="7"/>
      <c r="C6" s="7"/>
      <c r="D6" s="8">
        <f t="shared" ref="D6:D37" si="0">B6+C6</f>
        <v>0</v>
      </c>
      <c r="E6" s="7"/>
      <c r="F6" s="7"/>
      <c r="G6" s="8">
        <f t="shared" ref="G6:G37" si="1">E6+F6</f>
        <v>0</v>
      </c>
      <c r="H6" s="7"/>
      <c r="I6" s="7"/>
      <c r="J6" s="8">
        <f t="shared" ref="J6:J37" si="2">H6+I6</f>
        <v>0</v>
      </c>
      <c r="K6" s="7"/>
      <c r="L6" s="7"/>
      <c r="M6" s="8">
        <f t="shared" ref="M6:M37" si="3">K6+L6</f>
        <v>0</v>
      </c>
      <c r="N6" s="7"/>
      <c r="O6" s="7"/>
      <c r="P6" s="8">
        <f t="shared" ref="P6:P37" si="4">N6+O6</f>
        <v>0</v>
      </c>
    </row>
    <row r="7" spans="1:16" x14ac:dyDescent="0.25">
      <c r="A7" s="6">
        <v>43862</v>
      </c>
      <c r="B7" s="7"/>
      <c r="C7" s="7"/>
      <c r="D7" s="8">
        <f t="shared" si="0"/>
        <v>0</v>
      </c>
      <c r="E7" s="7"/>
      <c r="F7" s="7"/>
      <c r="G7" s="8">
        <f t="shared" si="1"/>
        <v>0</v>
      </c>
      <c r="H7" s="7"/>
      <c r="I7" s="7"/>
      <c r="J7" s="8">
        <f t="shared" si="2"/>
        <v>0</v>
      </c>
      <c r="K7" s="7"/>
      <c r="L7" s="7"/>
      <c r="M7" s="8">
        <f t="shared" si="3"/>
        <v>0</v>
      </c>
      <c r="N7" s="7"/>
      <c r="O7" s="7"/>
      <c r="P7" s="8">
        <f t="shared" si="4"/>
        <v>0</v>
      </c>
    </row>
    <row r="8" spans="1:16" x14ac:dyDescent="0.25">
      <c r="A8" s="6">
        <v>43891</v>
      </c>
      <c r="B8" s="7"/>
      <c r="C8" s="7"/>
      <c r="D8" s="8">
        <f t="shared" si="0"/>
        <v>0</v>
      </c>
      <c r="E8" s="7"/>
      <c r="F8" s="7"/>
      <c r="G8" s="8">
        <f t="shared" si="1"/>
        <v>0</v>
      </c>
      <c r="H8" s="7"/>
      <c r="I8" s="7"/>
      <c r="J8" s="8">
        <f t="shared" si="2"/>
        <v>0</v>
      </c>
      <c r="K8" s="7"/>
      <c r="L8" s="7"/>
      <c r="M8" s="8">
        <f t="shared" si="3"/>
        <v>0</v>
      </c>
      <c r="N8" s="7"/>
      <c r="O8" s="7"/>
      <c r="P8" s="8">
        <f t="shared" si="4"/>
        <v>0</v>
      </c>
    </row>
    <row r="9" spans="1:16" x14ac:dyDescent="0.25">
      <c r="A9" s="6">
        <v>43922</v>
      </c>
      <c r="B9" s="7"/>
      <c r="C9" s="7"/>
      <c r="D9" s="8">
        <f t="shared" si="0"/>
        <v>0</v>
      </c>
      <c r="E9" s="7"/>
      <c r="F9" s="7"/>
      <c r="G9" s="8">
        <f t="shared" si="1"/>
        <v>0</v>
      </c>
      <c r="H9" s="7"/>
      <c r="I9" s="7"/>
      <c r="J9" s="8">
        <f t="shared" si="2"/>
        <v>0</v>
      </c>
      <c r="K9" s="7"/>
      <c r="L9" s="7"/>
      <c r="M9" s="8">
        <f t="shared" si="3"/>
        <v>0</v>
      </c>
      <c r="N9" s="7"/>
      <c r="O9" s="7"/>
      <c r="P9" s="8">
        <f t="shared" si="4"/>
        <v>0</v>
      </c>
    </row>
    <row r="10" spans="1:16" x14ac:dyDescent="0.25">
      <c r="A10" s="6">
        <v>43952</v>
      </c>
      <c r="B10" s="7"/>
      <c r="C10" s="7"/>
      <c r="D10" s="8">
        <f t="shared" si="0"/>
        <v>0</v>
      </c>
      <c r="E10" s="7"/>
      <c r="F10" s="7"/>
      <c r="G10" s="8">
        <f t="shared" si="1"/>
        <v>0</v>
      </c>
      <c r="H10" s="7"/>
      <c r="I10" s="7"/>
      <c r="J10" s="8">
        <f t="shared" si="2"/>
        <v>0</v>
      </c>
      <c r="K10" s="7"/>
      <c r="L10" s="7"/>
      <c r="M10" s="8">
        <f t="shared" si="3"/>
        <v>0</v>
      </c>
      <c r="N10" s="7"/>
      <c r="O10" s="7"/>
      <c r="P10" s="8">
        <f t="shared" si="4"/>
        <v>0</v>
      </c>
    </row>
    <row r="11" spans="1:16" x14ac:dyDescent="0.25">
      <c r="A11" s="6">
        <v>43983</v>
      </c>
      <c r="B11" s="7"/>
      <c r="C11" s="7"/>
      <c r="D11" s="8">
        <f t="shared" si="0"/>
        <v>0</v>
      </c>
      <c r="E11" s="7"/>
      <c r="F11" s="7"/>
      <c r="G11" s="8">
        <f t="shared" si="1"/>
        <v>0</v>
      </c>
      <c r="H11" s="7"/>
      <c r="I11" s="7"/>
      <c r="J11" s="8">
        <f t="shared" si="2"/>
        <v>0</v>
      </c>
      <c r="K11" s="7"/>
      <c r="L11" s="7"/>
      <c r="M11" s="8">
        <f t="shared" si="3"/>
        <v>0</v>
      </c>
      <c r="N11" s="7"/>
      <c r="O11" s="7"/>
      <c r="P11" s="8">
        <f t="shared" si="4"/>
        <v>0</v>
      </c>
    </row>
    <row r="12" spans="1:16" x14ac:dyDescent="0.25">
      <c r="A12" s="6">
        <v>44013</v>
      </c>
      <c r="B12" s="7"/>
      <c r="C12" s="7"/>
      <c r="D12" s="8">
        <f t="shared" si="0"/>
        <v>0</v>
      </c>
      <c r="E12" s="7"/>
      <c r="F12" s="7"/>
      <c r="G12" s="8">
        <f t="shared" si="1"/>
        <v>0</v>
      </c>
      <c r="H12" s="7"/>
      <c r="I12" s="7"/>
      <c r="J12" s="8">
        <f t="shared" si="2"/>
        <v>0</v>
      </c>
      <c r="K12" s="7"/>
      <c r="L12" s="7"/>
      <c r="M12" s="8">
        <f t="shared" si="3"/>
        <v>0</v>
      </c>
      <c r="N12" s="7"/>
      <c r="O12" s="7"/>
      <c r="P12" s="8">
        <f t="shared" si="4"/>
        <v>0</v>
      </c>
    </row>
    <row r="13" spans="1:16" x14ac:dyDescent="0.25">
      <c r="A13" s="6">
        <v>44044</v>
      </c>
      <c r="B13" s="7"/>
      <c r="C13" s="7"/>
      <c r="D13" s="8">
        <f t="shared" si="0"/>
        <v>0</v>
      </c>
      <c r="E13" s="7"/>
      <c r="F13" s="7"/>
      <c r="G13" s="8">
        <f t="shared" si="1"/>
        <v>0</v>
      </c>
      <c r="H13" s="7"/>
      <c r="I13" s="7"/>
      <c r="J13" s="8">
        <f t="shared" si="2"/>
        <v>0</v>
      </c>
      <c r="K13" s="7"/>
      <c r="L13" s="7"/>
      <c r="M13" s="8">
        <f t="shared" si="3"/>
        <v>0</v>
      </c>
      <c r="N13" s="7"/>
      <c r="O13" s="7"/>
      <c r="P13" s="8">
        <f t="shared" si="4"/>
        <v>0</v>
      </c>
    </row>
    <row r="14" spans="1:16" x14ac:dyDescent="0.25">
      <c r="A14" s="6">
        <v>44075</v>
      </c>
      <c r="B14" s="7"/>
      <c r="C14" s="7"/>
      <c r="D14" s="8">
        <f t="shared" si="0"/>
        <v>0</v>
      </c>
      <c r="E14" s="7"/>
      <c r="F14" s="7"/>
      <c r="G14" s="8">
        <f t="shared" si="1"/>
        <v>0</v>
      </c>
      <c r="H14" s="7"/>
      <c r="I14" s="7"/>
      <c r="J14" s="8">
        <f t="shared" si="2"/>
        <v>0</v>
      </c>
      <c r="K14" s="7"/>
      <c r="L14" s="7"/>
      <c r="M14" s="8">
        <f t="shared" si="3"/>
        <v>0</v>
      </c>
      <c r="N14" s="7"/>
      <c r="O14" s="7"/>
      <c r="P14" s="8">
        <f t="shared" si="4"/>
        <v>0</v>
      </c>
    </row>
    <row r="15" spans="1:16" x14ac:dyDescent="0.25">
      <c r="A15" s="6">
        <v>44105</v>
      </c>
      <c r="B15" s="7"/>
      <c r="C15" s="7"/>
      <c r="D15" s="8">
        <f t="shared" si="0"/>
        <v>0</v>
      </c>
      <c r="E15" s="7"/>
      <c r="F15" s="7"/>
      <c r="G15" s="8">
        <f t="shared" si="1"/>
        <v>0</v>
      </c>
      <c r="H15" s="7"/>
      <c r="I15" s="7"/>
      <c r="J15" s="8">
        <f t="shared" si="2"/>
        <v>0</v>
      </c>
      <c r="K15" s="7"/>
      <c r="L15" s="7"/>
      <c r="M15" s="8">
        <f t="shared" si="3"/>
        <v>0</v>
      </c>
      <c r="N15" s="7"/>
      <c r="O15" s="7"/>
      <c r="P15" s="8">
        <f t="shared" si="4"/>
        <v>0</v>
      </c>
    </row>
    <row r="16" spans="1:16" x14ac:dyDescent="0.25">
      <c r="A16" s="6">
        <v>44136</v>
      </c>
      <c r="B16" s="7"/>
      <c r="C16" s="7"/>
      <c r="D16" s="8">
        <f t="shared" si="0"/>
        <v>0</v>
      </c>
      <c r="E16" s="7"/>
      <c r="F16" s="7"/>
      <c r="G16" s="8">
        <f t="shared" si="1"/>
        <v>0</v>
      </c>
      <c r="H16" s="7"/>
      <c r="I16" s="7"/>
      <c r="J16" s="8">
        <f t="shared" si="2"/>
        <v>0</v>
      </c>
      <c r="K16" s="7"/>
      <c r="L16" s="7"/>
      <c r="M16" s="8">
        <f t="shared" si="3"/>
        <v>0</v>
      </c>
      <c r="N16" s="7"/>
      <c r="O16" s="7"/>
      <c r="P16" s="8">
        <f t="shared" si="4"/>
        <v>0</v>
      </c>
    </row>
    <row r="17" spans="1:16" x14ac:dyDescent="0.25">
      <c r="A17" s="6">
        <v>44166</v>
      </c>
      <c r="B17" s="7"/>
      <c r="C17" s="7"/>
      <c r="D17" s="8">
        <f t="shared" si="0"/>
        <v>0</v>
      </c>
      <c r="E17" s="7"/>
      <c r="F17" s="7"/>
      <c r="G17" s="8">
        <f t="shared" si="1"/>
        <v>0</v>
      </c>
      <c r="H17" s="7"/>
      <c r="I17" s="7"/>
      <c r="J17" s="8">
        <f t="shared" si="2"/>
        <v>0</v>
      </c>
      <c r="K17" s="7"/>
      <c r="L17" s="7"/>
      <c r="M17" s="8">
        <f t="shared" si="3"/>
        <v>0</v>
      </c>
      <c r="N17" s="7"/>
      <c r="O17" s="7"/>
      <c r="P17" s="8">
        <f t="shared" si="4"/>
        <v>0</v>
      </c>
    </row>
    <row r="18" spans="1:16" x14ac:dyDescent="0.25">
      <c r="A18" s="6">
        <v>44197</v>
      </c>
      <c r="B18" s="7"/>
      <c r="C18" s="7"/>
      <c r="D18" s="8">
        <f t="shared" si="0"/>
        <v>0</v>
      </c>
      <c r="E18" s="7"/>
      <c r="F18" s="7"/>
      <c r="G18" s="8">
        <f t="shared" si="1"/>
        <v>0</v>
      </c>
      <c r="H18" s="7"/>
      <c r="I18" s="7"/>
      <c r="J18" s="8">
        <f t="shared" si="2"/>
        <v>0</v>
      </c>
      <c r="K18" s="7"/>
      <c r="L18" s="7"/>
      <c r="M18" s="8">
        <f t="shared" si="3"/>
        <v>0</v>
      </c>
      <c r="N18" s="7"/>
      <c r="O18" s="7"/>
      <c r="P18" s="8">
        <f t="shared" si="4"/>
        <v>0</v>
      </c>
    </row>
    <row r="19" spans="1:16" x14ac:dyDescent="0.25">
      <c r="A19" s="6">
        <v>44228</v>
      </c>
      <c r="B19" s="7"/>
      <c r="C19" s="7"/>
      <c r="D19" s="8">
        <f t="shared" si="0"/>
        <v>0</v>
      </c>
      <c r="E19" s="7"/>
      <c r="F19" s="7"/>
      <c r="G19" s="8">
        <f t="shared" si="1"/>
        <v>0</v>
      </c>
      <c r="H19" s="7"/>
      <c r="I19" s="7"/>
      <c r="J19" s="8">
        <f t="shared" si="2"/>
        <v>0</v>
      </c>
      <c r="K19" s="7"/>
      <c r="L19" s="7"/>
      <c r="M19" s="8">
        <f t="shared" si="3"/>
        <v>0</v>
      </c>
      <c r="N19" s="7"/>
      <c r="O19" s="7"/>
      <c r="P19" s="8">
        <f t="shared" si="4"/>
        <v>0</v>
      </c>
    </row>
    <row r="20" spans="1:16" x14ac:dyDescent="0.25">
      <c r="A20" s="6">
        <v>44256</v>
      </c>
      <c r="B20" s="7"/>
      <c r="C20" s="7"/>
      <c r="D20" s="8">
        <f t="shared" si="0"/>
        <v>0</v>
      </c>
      <c r="E20" s="7"/>
      <c r="F20" s="7"/>
      <c r="G20" s="8">
        <f t="shared" si="1"/>
        <v>0</v>
      </c>
      <c r="H20" s="7"/>
      <c r="I20" s="7"/>
      <c r="J20" s="8">
        <f t="shared" si="2"/>
        <v>0</v>
      </c>
      <c r="K20" s="7"/>
      <c r="L20" s="7"/>
      <c r="M20" s="8">
        <f t="shared" si="3"/>
        <v>0</v>
      </c>
      <c r="N20" s="7"/>
      <c r="O20" s="7"/>
      <c r="P20" s="8">
        <f t="shared" si="4"/>
        <v>0</v>
      </c>
    </row>
    <row r="21" spans="1:16" x14ac:dyDescent="0.25">
      <c r="A21" s="6">
        <v>44287</v>
      </c>
      <c r="B21" s="7"/>
      <c r="C21" s="7"/>
      <c r="D21" s="8">
        <f t="shared" si="0"/>
        <v>0</v>
      </c>
      <c r="E21" s="7"/>
      <c r="F21" s="7"/>
      <c r="G21" s="8">
        <f t="shared" si="1"/>
        <v>0</v>
      </c>
      <c r="H21" s="7"/>
      <c r="I21" s="7"/>
      <c r="J21" s="8">
        <f t="shared" si="2"/>
        <v>0</v>
      </c>
      <c r="K21" s="7"/>
      <c r="L21" s="7"/>
      <c r="M21" s="8">
        <f t="shared" si="3"/>
        <v>0</v>
      </c>
      <c r="N21" s="7"/>
      <c r="O21" s="7"/>
      <c r="P21" s="8">
        <f t="shared" si="4"/>
        <v>0</v>
      </c>
    </row>
    <row r="22" spans="1:16" x14ac:dyDescent="0.25">
      <c r="A22" s="6">
        <v>44317</v>
      </c>
      <c r="B22" s="7"/>
      <c r="C22" s="7"/>
      <c r="D22" s="8">
        <f t="shared" si="0"/>
        <v>0</v>
      </c>
      <c r="E22" s="7"/>
      <c r="F22" s="7"/>
      <c r="G22" s="8">
        <f t="shared" si="1"/>
        <v>0</v>
      </c>
      <c r="H22" s="7"/>
      <c r="I22" s="7"/>
      <c r="J22" s="8">
        <f t="shared" si="2"/>
        <v>0</v>
      </c>
      <c r="K22" s="7"/>
      <c r="L22" s="7"/>
      <c r="M22" s="8">
        <f t="shared" si="3"/>
        <v>0</v>
      </c>
      <c r="N22" s="7"/>
      <c r="O22" s="7"/>
      <c r="P22" s="8">
        <f t="shared" si="4"/>
        <v>0</v>
      </c>
    </row>
    <row r="23" spans="1:16" x14ac:dyDescent="0.25">
      <c r="A23" s="6">
        <v>44348</v>
      </c>
      <c r="B23" s="7"/>
      <c r="C23" s="7"/>
      <c r="D23" s="8">
        <f t="shared" si="0"/>
        <v>0</v>
      </c>
      <c r="E23" s="7"/>
      <c r="F23" s="7"/>
      <c r="G23" s="8">
        <f t="shared" si="1"/>
        <v>0</v>
      </c>
      <c r="H23" s="7"/>
      <c r="I23" s="7"/>
      <c r="J23" s="8">
        <f t="shared" si="2"/>
        <v>0</v>
      </c>
      <c r="K23" s="7"/>
      <c r="L23" s="7"/>
      <c r="M23" s="8">
        <f t="shared" si="3"/>
        <v>0</v>
      </c>
      <c r="N23" s="7"/>
      <c r="O23" s="7"/>
      <c r="P23" s="8">
        <f t="shared" si="4"/>
        <v>0</v>
      </c>
    </row>
    <row r="24" spans="1:16" x14ac:dyDescent="0.25">
      <c r="A24" s="6">
        <v>44378</v>
      </c>
      <c r="B24" s="7"/>
      <c r="C24" s="7"/>
      <c r="D24" s="8">
        <f t="shared" si="0"/>
        <v>0</v>
      </c>
      <c r="E24" s="7"/>
      <c r="F24" s="7"/>
      <c r="G24" s="8">
        <f t="shared" si="1"/>
        <v>0</v>
      </c>
      <c r="H24" s="7"/>
      <c r="I24" s="7"/>
      <c r="J24" s="8">
        <f t="shared" si="2"/>
        <v>0</v>
      </c>
      <c r="K24" s="7"/>
      <c r="L24" s="7"/>
      <c r="M24" s="8">
        <f t="shared" si="3"/>
        <v>0</v>
      </c>
      <c r="N24" s="7"/>
      <c r="O24" s="7"/>
      <c r="P24" s="8">
        <f t="shared" si="4"/>
        <v>0</v>
      </c>
    </row>
    <row r="25" spans="1:16" x14ac:dyDescent="0.25">
      <c r="A25" s="6">
        <v>44409</v>
      </c>
      <c r="B25" s="7"/>
      <c r="C25" s="7"/>
      <c r="D25" s="8">
        <f t="shared" si="0"/>
        <v>0</v>
      </c>
      <c r="E25" s="7"/>
      <c r="F25" s="7"/>
      <c r="G25" s="8">
        <f t="shared" si="1"/>
        <v>0</v>
      </c>
      <c r="H25" s="7"/>
      <c r="I25" s="7"/>
      <c r="J25" s="8">
        <f t="shared" si="2"/>
        <v>0</v>
      </c>
      <c r="K25" s="7"/>
      <c r="L25" s="7"/>
      <c r="M25" s="8">
        <f t="shared" si="3"/>
        <v>0</v>
      </c>
      <c r="N25" s="7"/>
      <c r="O25" s="7"/>
      <c r="P25" s="8">
        <f t="shared" si="4"/>
        <v>0</v>
      </c>
    </row>
    <row r="26" spans="1:16" x14ac:dyDescent="0.25">
      <c r="A26" s="6">
        <v>44440</v>
      </c>
      <c r="B26" s="7"/>
      <c r="C26" s="7"/>
      <c r="D26" s="8">
        <f t="shared" si="0"/>
        <v>0</v>
      </c>
      <c r="E26" s="7"/>
      <c r="F26" s="7"/>
      <c r="G26" s="8">
        <f t="shared" si="1"/>
        <v>0</v>
      </c>
      <c r="H26" s="7"/>
      <c r="I26" s="7"/>
      <c r="J26" s="8">
        <f t="shared" si="2"/>
        <v>0</v>
      </c>
      <c r="K26" s="7"/>
      <c r="L26" s="7"/>
      <c r="M26" s="8">
        <f t="shared" si="3"/>
        <v>0</v>
      </c>
      <c r="N26" s="7"/>
      <c r="O26" s="7"/>
      <c r="P26" s="8">
        <f t="shared" si="4"/>
        <v>0</v>
      </c>
    </row>
    <row r="27" spans="1:16" x14ac:dyDescent="0.25">
      <c r="A27" s="6">
        <v>44470</v>
      </c>
      <c r="B27" s="7"/>
      <c r="C27" s="7"/>
      <c r="D27" s="8">
        <f t="shared" si="0"/>
        <v>0</v>
      </c>
      <c r="E27" s="7"/>
      <c r="F27" s="7"/>
      <c r="G27" s="8">
        <f t="shared" si="1"/>
        <v>0</v>
      </c>
      <c r="H27" s="7"/>
      <c r="I27" s="7"/>
      <c r="J27" s="8">
        <f t="shared" si="2"/>
        <v>0</v>
      </c>
      <c r="K27" s="7"/>
      <c r="L27" s="7"/>
      <c r="M27" s="8">
        <f t="shared" si="3"/>
        <v>0</v>
      </c>
      <c r="N27" s="7"/>
      <c r="O27" s="7"/>
      <c r="P27" s="8">
        <f t="shared" si="4"/>
        <v>0</v>
      </c>
    </row>
    <row r="28" spans="1:16" x14ac:dyDescent="0.25">
      <c r="A28" s="6">
        <v>44501</v>
      </c>
      <c r="B28" s="7"/>
      <c r="C28" s="7"/>
      <c r="D28" s="8">
        <f t="shared" si="0"/>
        <v>0</v>
      </c>
      <c r="E28" s="7"/>
      <c r="F28" s="7"/>
      <c r="G28" s="8">
        <f t="shared" si="1"/>
        <v>0</v>
      </c>
      <c r="H28" s="7"/>
      <c r="I28" s="7"/>
      <c r="J28" s="8">
        <f t="shared" si="2"/>
        <v>0</v>
      </c>
      <c r="K28" s="7"/>
      <c r="L28" s="7"/>
      <c r="M28" s="8">
        <f t="shared" si="3"/>
        <v>0</v>
      </c>
      <c r="N28" s="7"/>
      <c r="O28" s="7"/>
      <c r="P28" s="8">
        <f t="shared" si="4"/>
        <v>0</v>
      </c>
    </row>
    <row r="29" spans="1:16" x14ac:dyDescent="0.25">
      <c r="A29" s="6">
        <v>44531</v>
      </c>
      <c r="B29" s="7"/>
      <c r="C29" s="7"/>
      <c r="D29" s="8">
        <f t="shared" si="0"/>
        <v>0</v>
      </c>
      <c r="E29" s="7"/>
      <c r="F29" s="7"/>
      <c r="G29" s="8">
        <f t="shared" si="1"/>
        <v>0</v>
      </c>
      <c r="H29" s="7"/>
      <c r="I29" s="7"/>
      <c r="J29" s="8">
        <f t="shared" si="2"/>
        <v>0</v>
      </c>
      <c r="K29" s="7"/>
      <c r="L29" s="7"/>
      <c r="M29" s="8">
        <f t="shared" si="3"/>
        <v>0</v>
      </c>
      <c r="N29" s="7"/>
      <c r="O29" s="7"/>
      <c r="P29" s="8">
        <f t="shared" si="4"/>
        <v>0</v>
      </c>
    </row>
    <row r="30" spans="1:16" x14ac:dyDescent="0.25">
      <c r="A30" s="6">
        <v>44562</v>
      </c>
      <c r="B30" s="7"/>
      <c r="C30" s="7"/>
      <c r="D30" s="8">
        <f t="shared" si="0"/>
        <v>0</v>
      </c>
      <c r="E30" s="7"/>
      <c r="F30" s="7"/>
      <c r="G30" s="8">
        <f t="shared" si="1"/>
        <v>0</v>
      </c>
      <c r="H30" s="7"/>
      <c r="I30" s="7"/>
      <c r="J30" s="8">
        <f t="shared" si="2"/>
        <v>0</v>
      </c>
      <c r="K30" s="7"/>
      <c r="L30" s="7"/>
      <c r="M30" s="8">
        <f t="shared" si="3"/>
        <v>0</v>
      </c>
      <c r="N30" s="7"/>
      <c r="O30" s="7"/>
      <c r="P30" s="8">
        <f t="shared" si="4"/>
        <v>0</v>
      </c>
    </row>
    <row r="31" spans="1:16" x14ac:dyDescent="0.25">
      <c r="A31" s="6">
        <v>44593</v>
      </c>
      <c r="B31" s="7"/>
      <c r="C31" s="7"/>
      <c r="D31" s="8">
        <f t="shared" si="0"/>
        <v>0</v>
      </c>
      <c r="E31" s="7"/>
      <c r="F31" s="7"/>
      <c r="G31" s="8">
        <f t="shared" si="1"/>
        <v>0</v>
      </c>
      <c r="H31" s="7"/>
      <c r="I31" s="7"/>
      <c r="J31" s="8">
        <f t="shared" si="2"/>
        <v>0</v>
      </c>
      <c r="K31" s="7"/>
      <c r="L31" s="7"/>
      <c r="M31" s="8">
        <f t="shared" si="3"/>
        <v>0</v>
      </c>
      <c r="N31" s="7"/>
      <c r="O31" s="7"/>
      <c r="P31" s="8">
        <f t="shared" si="4"/>
        <v>0</v>
      </c>
    </row>
    <row r="32" spans="1:16" x14ac:dyDescent="0.25">
      <c r="A32" s="6">
        <v>44621</v>
      </c>
      <c r="B32" s="7"/>
      <c r="C32" s="7"/>
      <c r="D32" s="8">
        <f t="shared" si="0"/>
        <v>0</v>
      </c>
      <c r="E32" s="7"/>
      <c r="F32" s="7"/>
      <c r="G32" s="8">
        <f t="shared" si="1"/>
        <v>0</v>
      </c>
      <c r="H32" s="7"/>
      <c r="I32" s="7"/>
      <c r="J32" s="8">
        <f t="shared" si="2"/>
        <v>0</v>
      </c>
      <c r="K32" s="7"/>
      <c r="L32" s="7"/>
      <c r="M32" s="8">
        <f t="shared" si="3"/>
        <v>0</v>
      </c>
      <c r="N32" s="7"/>
      <c r="O32" s="7"/>
      <c r="P32" s="8">
        <f t="shared" si="4"/>
        <v>0</v>
      </c>
    </row>
    <row r="33" spans="1:16" x14ac:dyDescent="0.25">
      <c r="A33" s="6">
        <v>44652</v>
      </c>
      <c r="B33" s="7"/>
      <c r="C33" s="7"/>
      <c r="D33" s="8">
        <f t="shared" si="0"/>
        <v>0</v>
      </c>
      <c r="E33" s="7"/>
      <c r="F33" s="7"/>
      <c r="G33" s="8">
        <f t="shared" si="1"/>
        <v>0</v>
      </c>
      <c r="H33" s="7"/>
      <c r="I33" s="7"/>
      <c r="J33" s="8">
        <f t="shared" si="2"/>
        <v>0</v>
      </c>
      <c r="K33" s="7"/>
      <c r="L33" s="7"/>
      <c r="M33" s="8">
        <f t="shared" si="3"/>
        <v>0</v>
      </c>
      <c r="N33" s="7"/>
      <c r="O33" s="7"/>
      <c r="P33" s="8">
        <f t="shared" si="4"/>
        <v>0</v>
      </c>
    </row>
    <row r="34" spans="1:16" x14ac:dyDescent="0.25">
      <c r="A34" s="6">
        <v>44682</v>
      </c>
      <c r="B34" s="7"/>
      <c r="C34" s="7"/>
      <c r="D34" s="8">
        <f t="shared" si="0"/>
        <v>0</v>
      </c>
      <c r="E34" s="7"/>
      <c r="F34" s="7"/>
      <c r="G34" s="8">
        <f t="shared" si="1"/>
        <v>0</v>
      </c>
      <c r="H34" s="7"/>
      <c r="I34" s="7"/>
      <c r="J34" s="8">
        <f t="shared" si="2"/>
        <v>0</v>
      </c>
      <c r="K34" s="7"/>
      <c r="L34" s="7"/>
      <c r="M34" s="8">
        <f t="shared" si="3"/>
        <v>0</v>
      </c>
      <c r="N34" s="7"/>
      <c r="O34" s="7"/>
      <c r="P34" s="8">
        <f t="shared" si="4"/>
        <v>0</v>
      </c>
    </row>
    <row r="35" spans="1:16" x14ac:dyDescent="0.25">
      <c r="A35" s="6">
        <v>44713</v>
      </c>
      <c r="B35" s="7"/>
      <c r="C35" s="7"/>
      <c r="D35" s="8">
        <f t="shared" si="0"/>
        <v>0</v>
      </c>
      <c r="E35" s="7"/>
      <c r="F35" s="7"/>
      <c r="G35" s="8">
        <f t="shared" si="1"/>
        <v>0</v>
      </c>
      <c r="H35" s="7"/>
      <c r="I35" s="7"/>
      <c r="J35" s="8">
        <f t="shared" si="2"/>
        <v>0</v>
      </c>
      <c r="K35" s="7"/>
      <c r="L35" s="7"/>
      <c r="M35" s="8">
        <f t="shared" si="3"/>
        <v>0</v>
      </c>
      <c r="N35" s="7"/>
      <c r="O35" s="7"/>
      <c r="P35" s="8">
        <f t="shared" si="4"/>
        <v>0</v>
      </c>
    </row>
    <row r="36" spans="1:16" x14ac:dyDescent="0.25">
      <c r="A36" s="6">
        <v>44743</v>
      </c>
      <c r="B36" s="7"/>
      <c r="C36" s="7"/>
      <c r="D36" s="8">
        <f t="shared" si="0"/>
        <v>0</v>
      </c>
      <c r="E36" s="7"/>
      <c r="F36" s="7"/>
      <c r="G36" s="8">
        <f t="shared" si="1"/>
        <v>0</v>
      </c>
      <c r="H36" s="7"/>
      <c r="I36" s="7"/>
      <c r="J36" s="8">
        <f t="shared" si="2"/>
        <v>0</v>
      </c>
      <c r="K36" s="7"/>
      <c r="L36" s="7"/>
      <c r="M36" s="8">
        <f t="shared" si="3"/>
        <v>0</v>
      </c>
      <c r="N36" s="7"/>
      <c r="O36" s="7"/>
      <c r="P36" s="8">
        <f t="shared" si="4"/>
        <v>0</v>
      </c>
    </row>
    <row r="37" spans="1:16" x14ac:dyDescent="0.25">
      <c r="A37" s="6">
        <v>44774</v>
      </c>
      <c r="B37" s="7"/>
      <c r="C37" s="7"/>
      <c r="D37" s="8">
        <f t="shared" si="0"/>
        <v>0</v>
      </c>
      <c r="E37" s="7"/>
      <c r="F37" s="7"/>
      <c r="G37" s="8">
        <f t="shared" si="1"/>
        <v>0</v>
      </c>
      <c r="H37" s="7"/>
      <c r="I37" s="7"/>
      <c r="J37" s="8">
        <f t="shared" si="2"/>
        <v>0</v>
      </c>
      <c r="K37" s="7"/>
      <c r="L37" s="7"/>
      <c r="M37" s="8">
        <f t="shared" si="3"/>
        <v>0</v>
      </c>
      <c r="N37" s="7"/>
      <c r="O37" s="7"/>
      <c r="P37" s="8">
        <f t="shared" si="4"/>
        <v>0</v>
      </c>
    </row>
    <row r="38" spans="1:16" x14ac:dyDescent="0.25">
      <c r="A38" s="6">
        <v>44805</v>
      </c>
      <c r="B38" s="7"/>
      <c r="C38" s="7"/>
      <c r="D38" s="8">
        <f t="shared" ref="D38:D69" si="5">B38+C38</f>
        <v>0</v>
      </c>
      <c r="E38" s="7"/>
      <c r="F38" s="7"/>
      <c r="G38" s="8">
        <f t="shared" ref="G38:G69" si="6">E38+F38</f>
        <v>0</v>
      </c>
      <c r="H38" s="7"/>
      <c r="I38" s="7"/>
      <c r="J38" s="8">
        <f t="shared" ref="J38:J69" si="7">H38+I38</f>
        <v>0</v>
      </c>
      <c r="K38" s="7"/>
      <c r="L38" s="7"/>
      <c r="M38" s="8">
        <f t="shared" ref="M38:M69" si="8">K38+L38</f>
        <v>0</v>
      </c>
      <c r="N38" s="7"/>
      <c r="O38" s="7"/>
      <c r="P38" s="8">
        <f t="shared" ref="P38:P69" si="9">N38+O38</f>
        <v>0</v>
      </c>
    </row>
    <row r="39" spans="1:16" x14ac:dyDescent="0.25">
      <c r="A39" s="6">
        <v>44835</v>
      </c>
      <c r="B39" s="7"/>
      <c r="C39" s="7"/>
      <c r="D39" s="8">
        <f t="shared" si="5"/>
        <v>0</v>
      </c>
      <c r="E39" s="7"/>
      <c r="F39" s="7"/>
      <c r="G39" s="8">
        <f t="shared" si="6"/>
        <v>0</v>
      </c>
      <c r="H39" s="7"/>
      <c r="I39" s="7"/>
      <c r="J39" s="8">
        <f t="shared" si="7"/>
        <v>0</v>
      </c>
      <c r="K39" s="7"/>
      <c r="L39" s="7"/>
      <c r="M39" s="8">
        <f t="shared" si="8"/>
        <v>0</v>
      </c>
      <c r="N39" s="7"/>
      <c r="O39" s="7"/>
      <c r="P39" s="8">
        <f t="shared" si="9"/>
        <v>0</v>
      </c>
    </row>
    <row r="40" spans="1:16" x14ac:dyDescent="0.25">
      <c r="A40" s="6">
        <v>44866</v>
      </c>
      <c r="B40" s="7"/>
      <c r="C40" s="7"/>
      <c r="D40" s="8">
        <f t="shared" si="5"/>
        <v>0</v>
      </c>
      <c r="E40" s="7"/>
      <c r="F40" s="7"/>
      <c r="G40" s="8">
        <f t="shared" si="6"/>
        <v>0</v>
      </c>
      <c r="H40" s="7"/>
      <c r="I40" s="7"/>
      <c r="J40" s="8">
        <f t="shared" si="7"/>
        <v>0</v>
      </c>
      <c r="K40" s="7"/>
      <c r="L40" s="7"/>
      <c r="M40" s="8">
        <f t="shared" si="8"/>
        <v>0</v>
      </c>
      <c r="N40" s="7"/>
      <c r="O40" s="7"/>
      <c r="P40" s="8">
        <f t="shared" si="9"/>
        <v>0</v>
      </c>
    </row>
    <row r="41" spans="1:16" x14ac:dyDescent="0.25">
      <c r="A41" s="6">
        <v>44896</v>
      </c>
      <c r="B41" s="7"/>
      <c r="C41" s="7"/>
      <c r="D41" s="8">
        <f t="shared" si="5"/>
        <v>0</v>
      </c>
      <c r="E41" s="7"/>
      <c r="F41" s="7"/>
      <c r="G41" s="8">
        <f t="shared" si="6"/>
        <v>0</v>
      </c>
      <c r="H41" s="7"/>
      <c r="I41" s="7"/>
      <c r="J41" s="8">
        <f t="shared" si="7"/>
        <v>0</v>
      </c>
      <c r="K41" s="7"/>
      <c r="L41" s="7"/>
      <c r="M41" s="8">
        <f t="shared" si="8"/>
        <v>0</v>
      </c>
      <c r="N41" s="7"/>
      <c r="O41" s="7"/>
      <c r="P41" s="8">
        <f t="shared" si="9"/>
        <v>0</v>
      </c>
    </row>
    <row r="42" spans="1:16" x14ac:dyDescent="0.25">
      <c r="A42" s="6">
        <v>44927</v>
      </c>
      <c r="B42" s="7"/>
      <c r="C42" s="7"/>
      <c r="D42" s="8">
        <f t="shared" si="5"/>
        <v>0</v>
      </c>
      <c r="E42" s="7"/>
      <c r="F42" s="7"/>
      <c r="G42" s="8">
        <f t="shared" si="6"/>
        <v>0</v>
      </c>
      <c r="H42" s="7"/>
      <c r="I42" s="7"/>
      <c r="J42" s="8">
        <f t="shared" si="7"/>
        <v>0</v>
      </c>
      <c r="K42" s="7"/>
      <c r="L42" s="7"/>
      <c r="M42" s="8">
        <f t="shared" si="8"/>
        <v>0</v>
      </c>
      <c r="N42" s="7"/>
      <c r="O42" s="7"/>
      <c r="P42" s="8">
        <f t="shared" si="9"/>
        <v>0</v>
      </c>
    </row>
    <row r="43" spans="1:16" x14ac:dyDescent="0.25">
      <c r="A43" s="6">
        <v>44958</v>
      </c>
      <c r="B43" s="7"/>
      <c r="C43" s="7"/>
      <c r="D43" s="8">
        <f t="shared" si="5"/>
        <v>0</v>
      </c>
      <c r="E43" s="7"/>
      <c r="F43" s="7"/>
      <c r="G43" s="8">
        <f t="shared" si="6"/>
        <v>0</v>
      </c>
      <c r="H43" s="7"/>
      <c r="I43" s="7"/>
      <c r="J43" s="8">
        <f t="shared" si="7"/>
        <v>0</v>
      </c>
      <c r="K43" s="7"/>
      <c r="L43" s="7"/>
      <c r="M43" s="8">
        <f t="shared" si="8"/>
        <v>0</v>
      </c>
      <c r="N43" s="7"/>
      <c r="O43" s="7"/>
      <c r="P43" s="8">
        <f t="shared" si="9"/>
        <v>0</v>
      </c>
    </row>
    <row r="44" spans="1:16" x14ac:dyDescent="0.25">
      <c r="A44" s="6">
        <v>44986</v>
      </c>
      <c r="B44" s="7"/>
      <c r="C44" s="7"/>
      <c r="D44" s="8">
        <f t="shared" si="5"/>
        <v>0</v>
      </c>
      <c r="E44" s="7"/>
      <c r="F44" s="7"/>
      <c r="G44" s="8">
        <f t="shared" si="6"/>
        <v>0</v>
      </c>
      <c r="H44" s="7"/>
      <c r="I44" s="7"/>
      <c r="J44" s="8">
        <f t="shared" si="7"/>
        <v>0</v>
      </c>
      <c r="K44" s="7"/>
      <c r="L44" s="7"/>
      <c r="M44" s="8">
        <f t="shared" si="8"/>
        <v>0</v>
      </c>
      <c r="N44" s="7"/>
      <c r="O44" s="7"/>
      <c r="P44" s="8">
        <f t="shared" si="9"/>
        <v>0</v>
      </c>
    </row>
    <row r="45" spans="1:16" x14ac:dyDescent="0.25">
      <c r="A45" s="6">
        <v>45017</v>
      </c>
      <c r="B45" s="7"/>
      <c r="C45" s="7"/>
      <c r="D45" s="8">
        <f t="shared" si="5"/>
        <v>0</v>
      </c>
      <c r="E45" s="7"/>
      <c r="F45" s="7"/>
      <c r="G45" s="8">
        <f t="shared" si="6"/>
        <v>0</v>
      </c>
      <c r="H45" s="7"/>
      <c r="I45" s="7"/>
      <c r="J45" s="8">
        <f t="shared" si="7"/>
        <v>0</v>
      </c>
      <c r="K45" s="7"/>
      <c r="L45" s="7"/>
      <c r="M45" s="8">
        <f t="shared" si="8"/>
        <v>0</v>
      </c>
      <c r="N45" s="7"/>
      <c r="O45" s="7"/>
      <c r="P45" s="8">
        <f t="shared" si="9"/>
        <v>0</v>
      </c>
    </row>
    <row r="46" spans="1:16" x14ac:dyDescent="0.25">
      <c r="A46" s="6">
        <v>45047</v>
      </c>
      <c r="B46" s="7"/>
      <c r="C46" s="7"/>
      <c r="D46" s="8">
        <f t="shared" si="5"/>
        <v>0</v>
      </c>
      <c r="E46" s="7"/>
      <c r="F46" s="7"/>
      <c r="G46" s="8">
        <f t="shared" si="6"/>
        <v>0</v>
      </c>
      <c r="H46" s="7"/>
      <c r="I46" s="7"/>
      <c r="J46" s="8">
        <f t="shared" si="7"/>
        <v>0</v>
      </c>
      <c r="K46" s="7"/>
      <c r="L46" s="7"/>
      <c r="M46" s="8">
        <f t="shared" si="8"/>
        <v>0</v>
      </c>
      <c r="N46" s="7"/>
      <c r="O46" s="7"/>
      <c r="P46" s="8">
        <f t="shared" si="9"/>
        <v>0</v>
      </c>
    </row>
    <row r="47" spans="1:16" x14ac:dyDescent="0.25">
      <c r="A47" s="6">
        <v>45078</v>
      </c>
      <c r="B47" s="7"/>
      <c r="C47" s="7"/>
      <c r="D47" s="8">
        <f t="shared" si="5"/>
        <v>0</v>
      </c>
      <c r="E47" s="7"/>
      <c r="F47" s="7"/>
      <c r="G47" s="8">
        <f t="shared" si="6"/>
        <v>0</v>
      </c>
      <c r="H47" s="7"/>
      <c r="I47" s="7"/>
      <c r="J47" s="8">
        <f t="shared" si="7"/>
        <v>0</v>
      </c>
      <c r="K47" s="7"/>
      <c r="L47" s="7"/>
      <c r="M47" s="8">
        <f t="shared" si="8"/>
        <v>0</v>
      </c>
      <c r="N47" s="7"/>
      <c r="O47" s="7"/>
      <c r="P47" s="8">
        <f t="shared" si="9"/>
        <v>0</v>
      </c>
    </row>
    <row r="48" spans="1:16" x14ac:dyDescent="0.25">
      <c r="A48" s="6">
        <v>45108</v>
      </c>
      <c r="B48" s="7"/>
      <c r="C48" s="7"/>
      <c r="D48" s="8">
        <f t="shared" si="5"/>
        <v>0</v>
      </c>
      <c r="E48" s="7"/>
      <c r="F48" s="7"/>
      <c r="G48" s="8">
        <f t="shared" si="6"/>
        <v>0</v>
      </c>
      <c r="H48" s="7"/>
      <c r="I48" s="7"/>
      <c r="J48" s="8">
        <f t="shared" si="7"/>
        <v>0</v>
      </c>
      <c r="K48" s="7"/>
      <c r="L48" s="7"/>
      <c r="M48" s="8">
        <f t="shared" si="8"/>
        <v>0</v>
      </c>
      <c r="N48" s="7"/>
      <c r="O48" s="7"/>
      <c r="P48" s="8">
        <f t="shared" si="9"/>
        <v>0</v>
      </c>
    </row>
    <row r="49" spans="1:16" x14ac:dyDescent="0.25">
      <c r="A49" s="6">
        <v>45139</v>
      </c>
      <c r="B49" s="7"/>
      <c r="C49" s="7"/>
      <c r="D49" s="8">
        <f t="shared" si="5"/>
        <v>0</v>
      </c>
      <c r="E49" s="7"/>
      <c r="F49" s="7"/>
      <c r="G49" s="8">
        <f t="shared" si="6"/>
        <v>0</v>
      </c>
      <c r="H49" s="7"/>
      <c r="I49" s="7"/>
      <c r="J49" s="8">
        <f t="shared" si="7"/>
        <v>0</v>
      </c>
      <c r="K49" s="7"/>
      <c r="L49" s="7"/>
      <c r="M49" s="8">
        <f t="shared" si="8"/>
        <v>0</v>
      </c>
      <c r="N49" s="7"/>
      <c r="O49" s="7"/>
      <c r="P49" s="8">
        <f t="shared" si="9"/>
        <v>0</v>
      </c>
    </row>
    <row r="50" spans="1:16" x14ac:dyDescent="0.25">
      <c r="A50" s="6">
        <v>45170</v>
      </c>
      <c r="B50" s="7"/>
      <c r="C50" s="7"/>
      <c r="D50" s="8">
        <f t="shared" si="5"/>
        <v>0</v>
      </c>
      <c r="E50" s="7"/>
      <c r="F50" s="7"/>
      <c r="G50" s="8">
        <f t="shared" si="6"/>
        <v>0</v>
      </c>
      <c r="H50" s="7"/>
      <c r="I50" s="7"/>
      <c r="J50" s="8">
        <f t="shared" si="7"/>
        <v>0</v>
      </c>
      <c r="K50" s="7"/>
      <c r="L50" s="7"/>
      <c r="M50" s="8">
        <f t="shared" si="8"/>
        <v>0</v>
      </c>
      <c r="N50" s="7"/>
      <c r="O50" s="7"/>
      <c r="P50" s="8">
        <f t="shared" si="9"/>
        <v>0</v>
      </c>
    </row>
    <row r="51" spans="1:16" x14ac:dyDescent="0.25">
      <c r="A51" s="6">
        <v>45200</v>
      </c>
      <c r="B51" s="7"/>
      <c r="C51" s="7"/>
      <c r="D51" s="8">
        <f t="shared" si="5"/>
        <v>0</v>
      </c>
      <c r="E51" s="7"/>
      <c r="F51" s="7"/>
      <c r="G51" s="8">
        <f t="shared" si="6"/>
        <v>0</v>
      </c>
      <c r="H51" s="7"/>
      <c r="I51" s="7"/>
      <c r="J51" s="8">
        <f t="shared" si="7"/>
        <v>0</v>
      </c>
      <c r="K51" s="7"/>
      <c r="L51" s="7"/>
      <c r="M51" s="8">
        <f t="shared" si="8"/>
        <v>0</v>
      </c>
      <c r="N51" s="7"/>
      <c r="O51" s="7"/>
      <c r="P51" s="8">
        <f t="shared" si="9"/>
        <v>0</v>
      </c>
    </row>
    <row r="52" spans="1:16" x14ac:dyDescent="0.25">
      <c r="A52" s="6">
        <v>45231</v>
      </c>
      <c r="B52" s="7"/>
      <c r="C52" s="7"/>
      <c r="D52" s="8">
        <f t="shared" si="5"/>
        <v>0</v>
      </c>
      <c r="E52" s="7"/>
      <c r="F52" s="7"/>
      <c r="G52" s="8">
        <f t="shared" si="6"/>
        <v>0</v>
      </c>
      <c r="H52" s="7"/>
      <c r="I52" s="7"/>
      <c r="J52" s="8">
        <f t="shared" si="7"/>
        <v>0</v>
      </c>
      <c r="K52" s="7"/>
      <c r="L52" s="7"/>
      <c r="M52" s="8">
        <f t="shared" si="8"/>
        <v>0</v>
      </c>
      <c r="N52" s="7"/>
      <c r="O52" s="7"/>
      <c r="P52" s="8">
        <f t="shared" si="9"/>
        <v>0</v>
      </c>
    </row>
    <row r="53" spans="1:16" x14ac:dyDescent="0.25">
      <c r="A53" s="6">
        <v>45261</v>
      </c>
      <c r="B53" s="7"/>
      <c r="C53" s="7"/>
      <c r="D53" s="8">
        <f t="shared" si="5"/>
        <v>0</v>
      </c>
      <c r="E53" s="7"/>
      <c r="F53" s="7"/>
      <c r="G53" s="8">
        <f t="shared" si="6"/>
        <v>0</v>
      </c>
      <c r="H53" s="7"/>
      <c r="I53" s="7"/>
      <c r="J53" s="8">
        <f t="shared" si="7"/>
        <v>0</v>
      </c>
      <c r="K53" s="7"/>
      <c r="L53" s="7"/>
      <c r="M53" s="8">
        <f t="shared" si="8"/>
        <v>0</v>
      </c>
      <c r="N53" s="7"/>
      <c r="O53" s="7"/>
      <c r="P53" s="8">
        <f t="shared" si="9"/>
        <v>0</v>
      </c>
    </row>
    <row r="54" spans="1:16" x14ac:dyDescent="0.25">
      <c r="A54" s="6">
        <v>45292</v>
      </c>
      <c r="B54" s="7"/>
      <c r="C54" s="7"/>
      <c r="D54" s="8">
        <f t="shared" si="5"/>
        <v>0</v>
      </c>
      <c r="E54" s="7"/>
      <c r="F54" s="7"/>
      <c r="G54" s="8">
        <f t="shared" si="6"/>
        <v>0</v>
      </c>
      <c r="H54" s="7"/>
      <c r="I54" s="7"/>
      <c r="J54" s="8">
        <f t="shared" si="7"/>
        <v>0</v>
      </c>
      <c r="K54" s="7"/>
      <c r="L54" s="7"/>
      <c r="M54" s="8">
        <f t="shared" si="8"/>
        <v>0</v>
      </c>
      <c r="N54" s="7"/>
      <c r="O54" s="7"/>
      <c r="P54" s="8">
        <f t="shared" si="9"/>
        <v>0</v>
      </c>
    </row>
    <row r="55" spans="1:16" x14ac:dyDescent="0.25">
      <c r="A55" s="6">
        <v>45323</v>
      </c>
      <c r="B55" s="7"/>
      <c r="C55" s="7"/>
      <c r="D55" s="8">
        <f t="shared" si="5"/>
        <v>0</v>
      </c>
      <c r="E55" s="7"/>
      <c r="F55" s="7"/>
      <c r="G55" s="8">
        <f t="shared" si="6"/>
        <v>0</v>
      </c>
      <c r="H55" s="7"/>
      <c r="I55" s="7"/>
      <c r="J55" s="8">
        <f t="shared" si="7"/>
        <v>0</v>
      </c>
      <c r="K55" s="7"/>
      <c r="L55" s="7"/>
      <c r="M55" s="8">
        <f t="shared" si="8"/>
        <v>0</v>
      </c>
      <c r="N55" s="7"/>
      <c r="O55" s="7"/>
      <c r="P55" s="8">
        <f t="shared" si="9"/>
        <v>0</v>
      </c>
    </row>
    <row r="56" spans="1:16" x14ac:dyDescent="0.25">
      <c r="A56" s="6">
        <v>45352</v>
      </c>
      <c r="B56" s="7"/>
      <c r="C56" s="7"/>
      <c r="D56" s="8">
        <f t="shared" si="5"/>
        <v>0</v>
      </c>
      <c r="E56" s="7"/>
      <c r="F56" s="7"/>
      <c r="G56" s="8">
        <f t="shared" si="6"/>
        <v>0</v>
      </c>
      <c r="H56" s="7"/>
      <c r="I56" s="7"/>
      <c r="J56" s="8">
        <f t="shared" si="7"/>
        <v>0</v>
      </c>
      <c r="K56" s="7"/>
      <c r="L56" s="7"/>
      <c r="M56" s="8">
        <f t="shared" si="8"/>
        <v>0</v>
      </c>
      <c r="N56" s="7"/>
      <c r="O56" s="7"/>
      <c r="P56" s="8">
        <f t="shared" si="9"/>
        <v>0</v>
      </c>
    </row>
    <row r="57" spans="1:16" x14ac:dyDescent="0.25">
      <c r="A57" s="6">
        <v>45383</v>
      </c>
      <c r="B57" s="7"/>
      <c r="C57" s="7"/>
      <c r="D57" s="8">
        <f t="shared" si="5"/>
        <v>0</v>
      </c>
      <c r="E57" s="7"/>
      <c r="F57" s="7"/>
      <c r="G57" s="8">
        <f t="shared" si="6"/>
        <v>0</v>
      </c>
      <c r="H57" s="7"/>
      <c r="I57" s="7"/>
      <c r="J57" s="8">
        <f t="shared" si="7"/>
        <v>0</v>
      </c>
      <c r="K57" s="7"/>
      <c r="L57" s="7"/>
      <c r="M57" s="8">
        <f t="shared" si="8"/>
        <v>0</v>
      </c>
      <c r="N57" s="7"/>
      <c r="O57" s="7"/>
      <c r="P57" s="8">
        <f t="shared" si="9"/>
        <v>0</v>
      </c>
    </row>
    <row r="58" spans="1:16" x14ac:dyDescent="0.25">
      <c r="A58" s="6">
        <v>45413</v>
      </c>
      <c r="B58" s="7"/>
      <c r="C58" s="7"/>
      <c r="D58" s="8">
        <f t="shared" si="5"/>
        <v>0</v>
      </c>
      <c r="E58" s="7"/>
      <c r="F58" s="7"/>
      <c r="G58" s="8">
        <f t="shared" si="6"/>
        <v>0</v>
      </c>
      <c r="H58" s="7"/>
      <c r="I58" s="7"/>
      <c r="J58" s="8">
        <f t="shared" si="7"/>
        <v>0</v>
      </c>
      <c r="K58" s="7"/>
      <c r="L58" s="7"/>
      <c r="M58" s="8">
        <f t="shared" si="8"/>
        <v>0</v>
      </c>
      <c r="N58" s="7"/>
      <c r="O58" s="7"/>
      <c r="P58" s="8">
        <f t="shared" si="9"/>
        <v>0</v>
      </c>
    </row>
    <row r="59" spans="1:16" x14ac:dyDescent="0.25">
      <c r="A59" s="6">
        <v>45444</v>
      </c>
      <c r="B59" s="7"/>
      <c r="C59" s="7"/>
      <c r="D59" s="8">
        <f t="shared" si="5"/>
        <v>0</v>
      </c>
      <c r="E59" s="7"/>
      <c r="F59" s="7"/>
      <c r="G59" s="8">
        <f t="shared" si="6"/>
        <v>0</v>
      </c>
      <c r="H59" s="7"/>
      <c r="I59" s="7"/>
      <c r="J59" s="8">
        <f t="shared" si="7"/>
        <v>0</v>
      </c>
      <c r="K59" s="7"/>
      <c r="L59" s="7"/>
      <c r="M59" s="8">
        <f t="shared" si="8"/>
        <v>0</v>
      </c>
      <c r="N59" s="7"/>
      <c r="O59" s="7"/>
      <c r="P59" s="8">
        <f t="shared" si="9"/>
        <v>0</v>
      </c>
    </row>
    <row r="60" spans="1:16" x14ac:dyDescent="0.25">
      <c r="A60" s="6">
        <v>45474</v>
      </c>
      <c r="B60" s="7"/>
      <c r="C60" s="7"/>
      <c r="D60" s="8">
        <f t="shared" si="5"/>
        <v>0</v>
      </c>
      <c r="E60" s="7"/>
      <c r="F60" s="7"/>
      <c r="G60" s="8">
        <f t="shared" si="6"/>
        <v>0</v>
      </c>
      <c r="H60" s="7"/>
      <c r="I60" s="7"/>
      <c r="J60" s="8">
        <f t="shared" si="7"/>
        <v>0</v>
      </c>
      <c r="K60" s="7"/>
      <c r="L60" s="7"/>
      <c r="M60" s="8">
        <f t="shared" si="8"/>
        <v>0</v>
      </c>
      <c r="N60" s="7"/>
      <c r="O60" s="7"/>
      <c r="P60" s="8">
        <f t="shared" si="9"/>
        <v>0</v>
      </c>
    </row>
    <row r="61" spans="1:16" x14ac:dyDescent="0.25">
      <c r="A61" s="6">
        <v>45505</v>
      </c>
      <c r="B61" s="7"/>
      <c r="C61" s="7"/>
      <c r="D61" s="8">
        <f t="shared" si="5"/>
        <v>0</v>
      </c>
      <c r="E61" s="7"/>
      <c r="F61" s="7"/>
      <c r="G61" s="8">
        <f t="shared" si="6"/>
        <v>0</v>
      </c>
      <c r="H61" s="7"/>
      <c r="I61" s="7"/>
      <c r="J61" s="8">
        <f t="shared" si="7"/>
        <v>0</v>
      </c>
      <c r="K61" s="7"/>
      <c r="L61" s="7"/>
      <c r="M61" s="8">
        <f t="shared" si="8"/>
        <v>0</v>
      </c>
      <c r="N61" s="7"/>
      <c r="O61" s="7"/>
      <c r="P61" s="8">
        <f t="shared" si="9"/>
        <v>0</v>
      </c>
    </row>
    <row r="62" spans="1:16" x14ac:dyDescent="0.25">
      <c r="A62" s="6">
        <v>45536</v>
      </c>
      <c r="B62" s="7"/>
      <c r="C62" s="7"/>
      <c r="D62" s="8">
        <f t="shared" si="5"/>
        <v>0</v>
      </c>
      <c r="E62" s="7"/>
      <c r="F62" s="7"/>
      <c r="G62" s="8">
        <f t="shared" si="6"/>
        <v>0</v>
      </c>
      <c r="H62" s="7"/>
      <c r="I62" s="7"/>
      <c r="J62" s="8">
        <f t="shared" si="7"/>
        <v>0</v>
      </c>
      <c r="K62" s="7"/>
      <c r="L62" s="7"/>
      <c r="M62" s="8">
        <f t="shared" si="8"/>
        <v>0</v>
      </c>
      <c r="N62" s="7"/>
      <c r="O62" s="7"/>
      <c r="P62" s="8">
        <f t="shared" si="9"/>
        <v>0</v>
      </c>
    </row>
    <row r="63" spans="1:16" x14ac:dyDescent="0.25">
      <c r="A63" s="6">
        <v>45566</v>
      </c>
      <c r="B63" s="7"/>
      <c r="C63" s="7"/>
      <c r="D63" s="8">
        <f t="shared" si="5"/>
        <v>0</v>
      </c>
      <c r="E63" s="7"/>
      <c r="F63" s="7"/>
      <c r="G63" s="8">
        <f t="shared" si="6"/>
        <v>0</v>
      </c>
      <c r="H63" s="7"/>
      <c r="I63" s="7"/>
      <c r="J63" s="8">
        <f t="shared" si="7"/>
        <v>0</v>
      </c>
      <c r="K63" s="7"/>
      <c r="L63" s="7"/>
      <c r="M63" s="8">
        <f t="shared" si="8"/>
        <v>0</v>
      </c>
      <c r="N63" s="7"/>
      <c r="O63" s="7"/>
      <c r="P63" s="8">
        <f t="shared" si="9"/>
        <v>0</v>
      </c>
    </row>
    <row r="64" spans="1:16" x14ac:dyDescent="0.25">
      <c r="A64" s="6">
        <v>45597</v>
      </c>
      <c r="B64" s="7"/>
      <c r="C64" s="7"/>
      <c r="D64" s="8">
        <f t="shared" si="5"/>
        <v>0</v>
      </c>
      <c r="E64" s="7"/>
      <c r="F64" s="7"/>
      <c r="G64" s="8">
        <f t="shared" si="6"/>
        <v>0</v>
      </c>
      <c r="H64" s="7"/>
      <c r="I64" s="7"/>
      <c r="J64" s="8">
        <f t="shared" si="7"/>
        <v>0</v>
      </c>
      <c r="K64" s="7"/>
      <c r="L64" s="7"/>
      <c r="M64" s="8">
        <f t="shared" si="8"/>
        <v>0</v>
      </c>
      <c r="N64" s="7"/>
      <c r="O64" s="7"/>
      <c r="P64" s="8">
        <f t="shared" si="9"/>
        <v>0</v>
      </c>
    </row>
    <row r="65" spans="1:16" x14ac:dyDescent="0.25">
      <c r="A65" s="6">
        <v>45627</v>
      </c>
      <c r="B65" s="7"/>
      <c r="C65" s="7"/>
      <c r="D65" s="8">
        <f t="shared" si="5"/>
        <v>0</v>
      </c>
      <c r="E65" s="7"/>
      <c r="F65" s="7"/>
      <c r="G65" s="8">
        <f t="shared" si="6"/>
        <v>0</v>
      </c>
      <c r="H65" s="7"/>
      <c r="I65" s="7"/>
      <c r="J65" s="8">
        <f t="shared" si="7"/>
        <v>0</v>
      </c>
      <c r="K65" s="7"/>
      <c r="L65" s="7"/>
      <c r="M65" s="8">
        <f t="shared" si="8"/>
        <v>0</v>
      </c>
      <c r="N65" s="7"/>
      <c r="O65" s="7"/>
      <c r="P65" s="8">
        <f t="shared" si="9"/>
        <v>0</v>
      </c>
    </row>
    <row r="66" spans="1:16" x14ac:dyDescent="0.25">
      <c r="A66" s="6">
        <v>45658</v>
      </c>
      <c r="B66" s="7"/>
      <c r="C66" s="7"/>
      <c r="D66" s="8">
        <f t="shared" si="5"/>
        <v>0</v>
      </c>
      <c r="E66" s="7"/>
      <c r="F66" s="7"/>
      <c r="G66" s="8">
        <f t="shared" si="6"/>
        <v>0</v>
      </c>
      <c r="H66" s="7"/>
      <c r="I66" s="7"/>
      <c r="J66" s="8">
        <f t="shared" si="7"/>
        <v>0</v>
      </c>
      <c r="K66" s="7"/>
      <c r="L66" s="7"/>
      <c r="M66" s="8">
        <f t="shared" si="8"/>
        <v>0</v>
      </c>
      <c r="N66" s="7"/>
      <c r="O66" s="7"/>
      <c r="P66" s="8">
        <f t="shared" si="9"/>
        <v>0</v>
      </c>
    </row>
    <row r="67" spans="1:16" x14ac:dyDescent="0.25">
      <c r="A67" s="6">
        <v>45689</v>
      </c>
      <c r="B67" s="7"/>
      <c r="C67" s="7"/>
      <c r="D67" s="8">
        <f t="shared" si="5"/>
        <v>0</v>
      </c>
      <c r="E67" s="7"/>
      <c r="F67" s="7"/>
      <c r="G67" s="8">
        <f t="shared" si="6"/>
        <v>0</v>
      </c>
      <c r="H67" s="7"/>
      <c r="I67" s="7"/>
      <c r="J67" s="8">
        <f t="shared" si="7"/>
        <v>0</v>
      </c>
      <c r="K67" s="7"/>
      <c r="L67" s="7"/>
      <c r="M67" s="8">
        <f t="shared" si="8"/>
        <v>0</v>
      </c>
      <c r="N67" s="7"/>
      <c r="O67" s="7"/>
      <c r="P67" s="8">
        <f t="shared" si="9"/>
        <v>0</v>
      </c>
    </row>
    <row r="68" spans="1:16" x14ac:dyDescent="0.25">
      <c r="A68" s="6">
        <v>45717</v>
      </c>
      <c r="B68" s="7"/>
      <c r="C68" s="7"/>
      <c r="D68" s="8">
        <f t="shared" si="5"/>
        <v>0</v>
      </c>
      <c r="E68" s="7"/>
      <c r="F68" s="7"/>
      <c r="G68" s="8">
        <f t="shared" si="6"/>
        <v>0</v>
      </c>
      <c r="H68" s="7"/>
      <c r="I68" s="7"/>
      <c r="J68" s="8">
        <f t="shared" si="7"/>
        <v>0</v>
      </c>
      <c r="K68" s="7"/>
      <c r="L68" s="7"/>
      <c r="M68" s="8">
        <f t="shared" si="8"/>
        <v>0</v>
      </c>
      <c r="N68" s="7"/>
      <c r="O68" s="7"/>
      <c r="P68" s="8">
        <f t="shared" si="9"/>
        <v>0</v>
      </c>
    </row>
    <row r="69" spans="1:16" x14ac:dyDescent="0.25">
      <c r="A69" s="6">
        <v>45748</v>
      </c>
      <c r="B69" s="7"/>
      <c r="C69" s="7"/>
      <c r="D69" s="8">
        <f t="shared" si="5"/>
        <v>0</v>
      </c>
      <c r="E69" s="7"/>
      <c r="F69" s="7"/>
      <c r="G69" s="8">
        <f t="shared" si="6"/>
        <v>0</v>
      </c>
      <c r="H69" s="7"/>
      <c r="I69" s="7"/>
      <c r="J69" s="8">
        <f t="shared" si="7"/>
        <v>0</v>
      </c>
      <c r="K69" s="7"/>
      <c r="L69" s="7"/>
      <c r="M69" s="8">
        <f t="shared" si="8"/>
        <v>0</v>
      </c>
      <c r="N69" s="7"/>
      <c r="O69" s="7"/>
      <c r="P69" s="8">
        <f t="shared" si="9"/>
        <v>0</v>
      </c>
    </row>
    <row r="70" spans="1:16" x14ac:dyDescent="0.25">
      <c r="A70" s="6">
        <v>45778</v>
      </c>
      <c r="B70" s="7"/>
      <c r="C70" s="7"/>
      <c r="D70" s="8">
        <f t="shared" ref="D70:D101" si="10">B70+C70</f>
        <v>0</v>
      </c>
      <c r="E70" s="7"/>
      <c r="F70" s="7"/>
      <c r="G70" s="8">
        <f t="shared" ref="G70:G101" si="11">E70+F70</f>
        <v>0</v>
      </c>
      <c r="H70" s="7"/>
      <c r="I70" s="7"/>
      <c r="J70" s="8">
        <f t="shared" ref="J70:J101" si="12">H70+I70</f>
        <v>0</v>
      </c>
      <c r="K70" s="7"/>
      <c r="L70" s="7"/>
      <c r="M70" s="8">
        <f t="shared" ref="M70:M101" si="13">K70+L70</f>
        <v>0</v>
      </c>
      <c r="N70" s="7"/>
      <c r="O70" s="7"/>
      <c r="P70" s="8">
        <f t="shared" ref="P70:P101" si="14">N70+O70</f>
        <v>0</v>
      </c>
    </row>
    <row r="71" spans="1:16" x14ac:dyDescent="0.25">
      <c r="A71" s="6">
        <v>45809</v>
      </c>
      <c r="B71" s="7"/>
      <c r="C71" s="7"/>
      <c r="D71" s="8">
        <f t="shared" si="10"/>
        <v>0</v>
      </c>
      <c r="E71" s="7"/>
      <c r="F71" s="7"/>
      <c r="G71" s="8">
        <f t="shared" si="11"/>
        <v>0</v>
      </c>
      <c r="H71" s="7"/>
      <c r="I71" s="7"/>
      <c r="J71" s="8">
        <f t="shared" si="12"/>
        <v>0</v>
      </c>
      <c r="K71" s="7"/>
      <c r="L71" s="7"/>
      <c r="M71" s="8">
        <f t="shared" si="13"/>
        <v>0</v>
      </c>
      <c r="N71" s="7"/>
      <c r="O71" s="7"/>
      <c r="P71" s="8">
        <f t="shared" si="14"/>
        <v>0</v>
      </c>
    </row>
    <row r="72" spans="1:16" x14ac:dyDescent="0.25">
      <c r="A72" s="6">
        <v>45839</v>
      </c>
      <c r="B72" s="7"/>
      <c r="C72" s="7"/>
      <c r="D72" s="8">
        <f t="shared" si="10"/>
        <v>0</v>
      </c>
      <c r="E72" s="7"/>
      <c r="F72" s="7"/>
      <c r="G72" s="8">
        <f t="shared" si="11"/>
        <v>0</v>
      </c>
      <c r="H72" s="7"/>
      <c r="I72" s="7"/>
      <c r="J72" s="8">
        <f t="shared" si="12"/>
        <v>0</v>
      </c>
      <c r="K72" s="7"/>
      <c r="L72" s="7"/>
      <c r="M72" s="8">
        <f t="shared" si="13"/>
        <v>0</v>
      </c>
      <c r="N72" s="7"/>
      <c r="O72" s="7"/>
      <c r="P72" s="8">
        <f t="shared" si="14"/>
        <v>0</v>
      </c>
    </row>
    <row r="73" spans="1:16" x14ac:dyDescent="0.25">
      <c r="A73" s="6">
        <v>45870</v>
      </c>
      <c r="B73" s="7"/>
      <c r="C73" s="7"/>
      <c r="D73" s="8">
        <f t="shared" si="10"/>
        <v>0</v>
      </c>
      <c r="E73" s="7"/>
      <c r="F73" s="7"/>
      <c r="G73" s="8">
        <f t="shared" si="11"/>
        <v>0</v>
      </c>
      <c r="H73" s="7"/>
      <c r="I73" s="7"/>
      <c r="J73" s="8">
        <f t="shared" si="12"/>
        <v>0</v>
      </c>
      <c r="K73" s="7"/>
      <c r="L73" s="7"/>
      <c r="M73" s="8">
        <f t="shared" si="13"/>
        <v>0</v>
      </c>
      <c r="N73" s="7"/>
      <c r="O73" s="7"/>
      <c r="P73" s="8">
        <f t="shared" si="14"/>
        <v>0</v>
      </c>
    </row>
    <row r="74" spans="1:16" x14ac:dyDescent="0.25">
      <c r="A74" s="6">
        <v>45901</v>
      </c>
      <c r="B74" s="7"/>
      <c r="C74" s="7"/>
      <c r="D74" s="8">
        <f t="shared" si="10"/>
        <v>0</v>
      </c>
      <c r="E74" s="7"/>
      <c r="F74" s="7"/>
      <c r="G74" s="8">
        <f t="shared" si="11"/>
        <v>0</v>
      </c>
      <c r="H74" s="7"/>
      <c r="I74" s="7"/>
      <c r="J74" s="8">
        <f t="shared" si="12"/>
        <v>0</v>
      </c>
      <c r="K74" s="7"/>
      <c r="L74" s="7"/>
      <c r="M74" s="8">
        <f t="shared" si="13"/>
        <v>0</v>
      </c>
      <c r="N74" s="7"/>
      <c r="O74" s="7"/>
      <c r="P74" s="8">
        <f t="shared" si="14"/>
        <v>0</v>
      </c>
    </row>
    <row r="75" spans="1:16" x14ac:dyDescent="0.25">
      <c r="A75" s="6">
        <v>45931</v>
      </c>
      <c r="B75" s="7"/>
      <c r="C75" s="7"/>
      <c r="D75" s="8">
        <f t="shared" si="10"/>
        <v>0</v>
      </c>
      <c r="E75" s="7"/>
      <c r="F75" s="7"/>
      <c r="G75" s="8">
        <f t="shared" si="11"/>
        <v>0</v>
      </c>
      <c r="H75" s="7"/>
      <c r="I75" s="7"/>
      <c r="J75" s="8">
        <f t="shared" si="12"/>
        <v>0</v>
      </c>
      <c r="K75" s="7"/>
      <c r="L75" s="7"/>
      <c r="M75" s="8">
        <f t="shared" si="13"/>
        <v>0</v>
      </c>
      <c r="N75" s="7"/>
      <c r="O75" s="7"/>
      <c r="P75" s="8">
        <f t="shared" si="14"/>
        <v>0</v>
      </c>
    </row>
    <row r="76" spans="1:16" x14ac:dyDescent="0.25">
      <c r="A76" s="6">
        <v>45962</v>
      </c>
      <c r="B76" s="7"/>
      <c r="C76" s="7"/>
      <c r="D76" s="8">
        <f t="shared" si="10"/>
        <v>0</v>
      </c>
      <c r="E76" s="7"/>
      <c r="F76" s="7"/>
      <c r="G76" s="8">
        <f t="shared" si="11"/>
        <v>0</v>
      </c>
      <c r="H76" s="7"/>
      <c r="I76" s="7"/>
      <c r="J76" s="8">
        <f t="shared" si="12"/>
        <v>0</v>
      </c>
      <c r="K76" s="7"/>
      <c r="L76" s="7"/>
      <c r="M76" s="8">
        <f t="shared" si="13"/>
        <v>0</v>
      </c>
      <c r="N76" s="7"/>
      <c r="O76" s="7"/>
      <c r="P76" s="8">
        <f t="shared" si="14"/>
        <v>0</v>
      </c>
    </row>
    <row r="77" spans="1:16" x14ac:dyDescent="0.25">
      <c r="A77" s="6">
        <v>45992</v>
      </c>
      <c r="B77" s="7"/>
      <c r="C77" s="7"/>
      <c r="D77" s="8">
        <f t="shared" si="10"/>
        <v>0</v>
      </c>
      <c r="E77" s="7"/>
      <c r="F77" s="7"/>
      <c r="G77" s="8">
        <f t="shared" si="11"/>
        <v>0</v>
      </c>
      <c r="H77" s="7"/>
      <c r="I77" s="7"/>
      <c r="J77" s="8">
        <f t="shared" si="12"/>
        <v>0</v>
      </c>
      <c r="K77" s="7"/>
      <c r="L77" s="7"/>
      <c r="M77" s="8">
        <f t="shared" si="13"/>
        <v>0</v>
      </c>
      <c r="N77" s="7"/>
      <c r="O77" s="7"/>
      <c r="P77" s="8">
        <f t="shared" si="14"/>
        <v>0</v>
      </c>
    </row>
    <row r="78" spans="1:16" x14ac:dyDescent="0.25">
      <c r="A78" s="6">
        <v>46023</v>
      </c>
      <c r="B78" s="7"/>
      <c r="C78" s="7"/>
      <c r="D78" s="8">
        <f t="shared" si="10"/>
        <v>0</v>
      </c>
      <c r="E78" s="7"/>
      <c r="F78" s="7"/>
      <c r="G78" s="8">
        <f t="shared" si="11"/>
        <v>0</v>
      </c>
      <c r="H78" s="7"/>
      <c r="I78" s="7"/>
      <c r="J78" s="8">
        <f t="shared" si="12"/>
        <v>0</v>
      </c>
      <c r="K78" s="7"/>
      <c r="L78" s="7"/>
      <c r="M78" s="8">
        <f t="shared" si="13"/>
        <v>0</v>
      </c>
      <c r="N78" s="7"/>
      <c r="O78" s="7"/>
      <c r="P78" s="8">
        <f t="shared" si="14"/>
        <v>0</v>
      </c>
    </row>
    <row r="79" spans="1:16" x14ac:dyDescent="0.25">
      <c r="A79" s="6">
        <v>46054</v>
      </c>
      <c r="B79" s="7"/>
      <c r="C79" s="7"/>
      <c r="D79" s="8">
        <f t="shared" si="10"/>
        <v>0</v>
      </c>
      <c r="E79" s="7"/>
      <c r="F79" s="7"/>
      <c r="G79" s="8">
        <f t="shared" si="11"/>
        <v>0</v>
      </c>
      <c r="H79" s="7"/>
      <c r="I79" s="7"/>
      <c r="J79" s="8">
        <f t="shared" si="12"/>
        <v>0</v>
      </c>
      <c r="K79" s="7"/>
      <c r="L79" s="7"/>
      <c r="M79" s="8">
        <f t="shared" si="13"/>
        <v>0</v>
      </c>
      <c r="N79" s="7"/>
      <c r="O79" s="7"/>
      <c r="P79" s="8">
        <f t="shared" si="14"/>
        <v>0</v>
      </c>
    </row>
    <row r="80" spans="1:16" x14ac:dyDescent="0.25">
      <c r="A80" s="6">
        <v>46082</v>
      </c>
      <c r="B80" s="7"/>
      <c r="C80" s="7"/>
      <c r="D80" s="8">
        <f t="shared" si="10"/>
        <v>0</v>
      </c>
      <c r="E80" s="7"/>
      <c r="F80" s="7"/>
      <c r="G80" s="8">
        <f t="shared" si="11"/>
        <v>0</v>
      </c>
      <c r="H80" s="7"/>
      <c r="I80" s="7"/>
      <c r="J80" s="8">
        <f t="shared" si="12"/>
        <v>0</v>
      </c>
      <c r="K80" s="7"/>
      <c r="L80" s="7"/>
      <c r="M80" s="8">
        <f t="shared" si="13"/>
        <v>0</v>
      </c>
      <c r="N80" s="7"/>
      <c r="O80" s="7"/>
      <c r="P80" s="8">
        <f t="shared" si="14"/>
        <v>0</v>
      </c>
    </row>
    <row r="81" spans="1:16" x14ac:dyDescent="0.25">
      <c r="A81" s="6">
        <v>46113</v>
      </c>
      <c r="B81" s="7"/>
      <c r="C81" s="7"/>
      <c r="D81" s="8">
        <f t="shared" si="10"/>
        <v>0</v>
      </c>
      <c r="E81" s="7"/>
      <c r="F81" s="7"/>
      <c r="G81" s="8">
        <f t="shared" si="11"/>
        <v>0</v>
      </c>
      <c r="H81" s="7"/>
      <c r="I81" s="7"/>
      <c r="J81" s="8">
        <f t="shared" si="12"/>
        <v>0</v>
      </c>
      <c r="K81" s="7"/>
      <c r="L81" s="7"/>
      <c r="M81" s="8">
        <f t="shared" si="13"/>
        <v>0</v>
      </c>
      <c r="N81" s="7"/>
      <c r="O81" s="7"/>
      <c r="P81" s="8">
        <f t="shared" si="1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2" customWidth="1"/>
    <col min="2" max="14" width="13" customWidth="1"/>
  </cols>
  <sheetData>
    <row r="1" spans="1:14" ht="15.75" x14ac:dyDescent="0.25">
      <c r="A1" s="2" t="s">
        <v>92</v>
      </c>
    </row>
    <row r="2" spans="1:14" x14ac:dyDescent="0.25">
      <c r="A2" s="3" t="s">
        <v>93</v>
      </c>
    </row>
    <row r="3" spans="1:14" x14ac:dyDescent="0.25">
      <c r="A3" s="4" t="s">
        <v>94</v>
      </c>
    </row>
    <row r="5" spans="1:14" ht="51.75" x14ac:dyDescent="0.25">
      <c r="A5" s="5" t="s">
        <v>3</v>
      </c>
      <c r="B5" s="5" t="s">
        <v>95</v>
      </c>
      <c r="C5" s="5" t="s">
        <v>96</v>
      </c>
      <c r="D5" s="5" t="s">
        <v>97</v>
      </c>
      <c r="E5" s="5" t="s">
        <v>98</v>
      </c>
      <c r="F5" s="5" t="s">
        <v>99</v>
      </c>
      <c r="G5" s="5" t="s">
        <v>100</v>
      </c>
      <c r="H5" s="5" t="s">
        <v>101</v>
      </c>
      <c r="I5" s="5" t="s">
        <v>102</v>
      </c>
      <c r="J5" s="5" t="s">
        <v>103</v>
      </c>
      <c r="K5" s="5" t="s">
        <v>104</v>
      </c>
      <c r="L5" s="5" t="s">
        <v>105</v>
      </c>
      <c r="M5" s="5" t="s">
        <v>106</v>
      </c>
      <c r="N5" s="5" t="s">
        <v>107</v>
      </c>
    </row>
    <row r="6" spans="1:14" x14ac:dyDescent="0.25">
      <c r="A6" s="6">
        <v>43831</v>
      </c>
      <c r="B6" s="7"/>
      <c r="C6" s="7">
        <f>B6*31*42/1000</f>
        <v>0</v>
      </c>
      <c r="D6" s="7"/>
      <c r="E6" s="7">
        <f>D6*31*42/1000</f>
        <v>0</v>
      </c>
      <c r="F6" s="7"/>
      <c r="G6" s="7">
        <f>F6*31*42/1000</f>
        <v>0</v>
      </c>
      <c r="H6" s="7"/>
      <c r="I6" s="8">
        <f t="shared" ref="I6:I37" si="0">B6+D6+F6+H6</f>
        <v>0</v>
      </c>
      <c r="J6" s="14"/>
      <c r="K6" s="14"/>
      <c r="L6" s="14"/>
      <c r="M6" s="9"/>
      <c r="N6" s="9"/>
    </row>
    <row r="7" spans="1:14" x14ac:dyDescent="0.25">
      <c r="A7" s="6">
        <v>43862</v>
      </c>
      <c r="B7" s="7"/>
      <c r="C7" s="7">
        <f>B7*29*42/1000</f>
        <v>0</v>
      </c>
      <c r="D7" s="7"/>
      <c r="E7" s="7">
        <f>D7*29*42/1000</f>
        <v>0</v>
      </c>
      <c r="F7" s="7"/>
      <c r="G7" s="7">
        <f>F7*29*42/1000</f>
        <v>0</v>
      </c>
      <c r="H7" s="7"/>
      <c r="I7" s="8">
        <f t="shared" si="0"/>
        <v>0</v>
      </c>
      <c r="J7" s="14"/>
      <c r="K7" s="14"/>
      <c r="L7" s="14"/>
      <c r="M7" s="9"/>
      <c r="N7" s="9"/>
    </row>
    <row r="8" spans="1:14" x14ac:dyDescent="0.25">
      <c r="A8" s="6">
        <v>43891</v>
      </c>
      <c r="B8" s="7"/>
      <c r="C8" s="7">
        <f>B8*31*42/1000</f>
        <v>0</v>
      </c>
      <c r="D8" s="7"/>
      <c r="E8" s="7">
        <f>D8*31*42/1000</f>
        <v>0</v>
      </c>
      <c r="F8" s="7"/>
      <c r="G8" s="7">
        <f>F8*31*42/1000</f>
        <v>0</v>
      </c>
      <c r="H8" s="7"/>
      <c r="I8" s="8">
        <f t="shared" si="0"/>
        <v>0</v>
      </c>
      <c r="J8" s="14"/>
      <c r="K8" s="14"/>
      <c r="L8" s="14"/>
      <c r="M8" s="9"/>
      <c r="N8" s="9"/>
    </row>
    <row r="9" spans="1:14" x14ac:dyDescent="0.25">
      <c r="A9" s="6">
        <v>43922</v>
      </c>
      <c r="B9" s="7"/>
      <c r="C9" s="7">
        <f>B9*30*42/1000</f>
        <v>0</v>
      </c>
      <c r="D9" s="7"/>
      <c r="E9" s="7">
        <f>D9*30*42/1000</f>
        <v>0</v>
      </c>
      <c r="F9" s="7"/>
      <c r="G9" s="7">
        <f>F9*30*42/1000</f>
        <v>0</v>
      </c>
      <c r="H9" s="7"/>
      <c r="I9" s="8">
        <f t="shared" si="0"/>
        <v>0</v>
      </c>
      <c r="J9" s="14"/>
      <c r="K9" s="14"/>
      <c r="L9" s="14"/>
      <c r="M9" s="9"/>
      <c r="N9" s="9"/>
    </row>
    <row r="10" spans="1:14" x14ac:dyDescent="0.25">
      <c r="A10" s="6">
        <v>43952</v>
      </c>
      <c r="B10" s="7"/>
      <c r="C10" s="7">
        <f>B10*31*42/1000</f>
        <v>0</v>
      </c>
      <c r="D10" s="7"/>
      <c r="E10" s="7">
        <f>D10*31*42/1000</f>
        <v>0</v>
      </c>
      <c r="F10" s="7"/>
      <c r="G10" s="7">
        <f>F10*31*42/1000</f>
        <v>0</v>
      </c>
      <c r="H10" s="7"/>
      <c r="I10" s="8">
        <f t="shared" si="0"/>
        <v>0</v>
      </c>
      <c r="J10" s="14"/>
      <c r="K10" s="14"/>
      <c r="L10" s="14"/>
      <c r="M10" s="9"/>
      <c r="N10" s="9"/>
    </row>
    <row r="11" spans="1:14" x14ac:dyDescent="0.25">
      <c r="A11" s="6">
        <v>43983</v>
      </c>
      <c r="B11" s="7"/>
      <c r="C11" s="7">
        <f>B11*30*42/1000</f>
        <v>0</v>
      </c>
      <c r="D11" s="7"/>
      <c r="E11" s="7">
        <f>D11*30*42/1000</f>
        <v>0</v>
      </c>
      <c r="F11" s="7"/>
      <c r="G11" s="7">
        <f>F11*30*42/1000</f>
        <v>0</v>
      </c>
      <c r="H11" s="7"/>
      <c r="I11" s="8">
        <f t="shared" si="0"/>
        <v>0</v>
      </c>
      <c r="J11" s="14"/>
      <c r="K11" s="14"/>
      <c r="L11" s="14"/>
      <c r="M11" s="9"/>
      <c r="N11" s="9"/>
    </row>
    <row r="12" spans="1:14" x14ac:dyDescent="0.25">
      <c r="A12" s="6">
        <v>44013</v>
      </c>
      <c r="B12" s="7"/>
      <c r="C12" s="7">
        <f>B12*31*42/1000</f>
        <v>0</v>
      </c>
      <c r="D12" s="7"/>
      <c r="E12" s="7">
        <f>D12*31*42/1000</f>
        <v>0</v>
      </c>
      <c r="F12" s="7"/>
      <c r="G12" s="7">
        <f>F12*31*42/1000</f>
        <v>0</v>
      </c>
      <c r="H12" s="7"/>
      <c r="I12" s="8">
        <f t="shared" si="0"/>
        <v>0</v>
      </c>
      <c r="J12" s="14"/>
      <c r="K12" s="14"/>
      <c r="L12" s="14"/>
      <c r="M12" s="9"/>
      <c r="N12" s="9"/>
    </row>
    <row r="13" spans="1:14" x14ac:dyDescent="0.25">
      <c r="A13" s="6">
        <v>44044</v>
      </c>
      <c r="B13" s="7"/>
      <c r="C13" s="7">
        <f>B13*31*42/1000</f>
        <v>0</v>
      </c>
      <c r="D13" s="7"/>
      <c r="E13" s="7">
        <f>D13*31*42/1000</f>
        <v>0</v>
      </c>
      <c r="F13" s="7"/>
      <c r="G13" s="7">
        <f>F13*31*42/1000</f>
        <v>0</v>
      </c>
      <c r="H13" s="7"/>
      <c r="I13" s="8">
        <f t="shared" si="0"/>
        <v>0</v>
      </c>
      <c r="J13" s="14"/>
      <c r="K13" s="14"/>
      <c r="L13" s="14"/>
      <c r="M13" s="9"/>
      <c r="N13" s="9"/>
    </row>
    <row r="14" spans="1:14" x14ac:dyDescent="0.25">
      <c r="A14" s="6">
        <v>44075</v>
      </c>
      <c r="B14" s="7"/>
      <c r="C14" s="7">
        <f>B14*30*42/1000</f>
        <v>0</v>
      </c>
      <c r="D14" s="7"/>
      <c r="E14" s="7">
        <f>D14*30*42/1000</f>
        <v>0</v>
      </c>
      <c r="F14" s="7"/>
      <c r="G14" s="7">
        <f>F14*30*42/1000</f>
        <v>0</v>
      </c>
      <c r="H14" s="7"/>
      <c r="I14" s="8">
        <f t="shared" si="0"/>
        <v>0</v>
      </c>
      <c r="J14" s="14"/>
      <c r="K14" s="14"/>
      <c r="L14" s="14"/>
      <c r="M14" s="9"/>
      <c r="N14" s="9"/>
    </row>
    <row r="15" spans="1:14" x14ac:dyDescent="0.25">
      <c r="A15" s="6">
        <v>44105</v>
      </c>
      <c r="B15" s="7"/>
      <c r="C15" s="7">
        <f>B15*31*42/1000</f>
        <v>0</v>
      </c>
      <c r="D15" s="7"/>
      <c r="E15" s="7">
        <f>D15*31*42/1000</f>
        <v>0</v>
      </c>
      <c r="F15" s="7"/>
      <c r="G15" s="7">
        <f>F15*31*42/1000</f>
        <v>0</v>
      </c>
      <c r="H15" s="7"/>
      <c r="I15" s="8">
        <f t="shared" si="0"/>
        <v>0</v>
      </c>
      <c r="J15" s="14"/>
      <c r="K15" s="14"/>
      <c r="L15" s="14"/>
      <c r="M15" s="9"/>
      <c r="N15" s="9"/>
    </row>
    <row r="16" spans="1:14" x14ac:dyDescent="0.25">
      <c r="A16" s="6">
        <v>44136</v>
      </c>
      <c r="B16" s="7"/>
      <c r="C16" s="7">
        <f>B16*30*42/1000</f>
        <v>0</v>
      </c>
      <c r="D16" s="7"/>
      <c r="E16" s="7">
        <f>D16*30*42/1000</f>
        <v>0</v>
      </c>
      <c r="F16" s="7"/>
      <c r="G16" s="7">
        <f>F16*30*42/1000</f>
        <v>0</v>
      </c>
      <c r="H16" s="7"/>
      <c r="I16" s="8">
        <f t="shared" si="0"/>
        <v>0</v>
      </c>
      <c r="J16" s="14"/>
      <c r="K16" s="14"/>
      <c r="L16" s="14"/>
      <c r="M16" s="9"/>
      <c r="N16" s="9"/>
    </row>
    <row r="17" spans="1:14" x14ac:dyDescent="0.25">
      <c r="A17" s="6">
        <v>44166</v>
      </c>
      <c r="B17" s="7"/>
      <c r="C17" s="7">
        <f>B17*31*42/1000</f>
        <v>0</v>
      </c>
      <c r="D17" s="7"/>
      <c r="E17" s="7">
        <f>D17*31*42/1000</f>
        <v>0</v>
      </c>
      <c r="F17" s="7"/>
      <c r="G17" s="7">
        <f>F17*31*42/1000</f>
        <v>0</v>
      </c>
      <c r="H17" s="7"/>
      <c r="I17" s="8">
        <f t="shared" si="0"/>
        <v>0</v>
      </c>
      <c r="J17" s="14"/>
      <c r="K17" s="14"/>
      <c r="L17" s="14"/>
      <c r="M17" s="9"/>
      <c r="N17" s="9"/>
    </row>
    <row r="18" spans="1:14" x14ac:dyDescent="0.25">
      <c r="A18" s="6">
        <v>44197</v>
      </c>
      <c r="B18" s="7"/>
      <c r="C18" s="7">
        <f>B18*31*42/1000</f>
        <v>0</v>
      </c>
      <c r="D18" s="7"/>
      <c r="E18" s="7">
        <f>D18*31*42/1000</f>
        <v>0</v>
      </c>
      <c r="F18" s="7"/>
      <c r="G18" s="7">
        <f>F18*31*42/1000</f>
        <v>0</v>
      </c>
      <c r="H18" s="7"/>
      <c r="I18" s="8">
        <f t="shared" si="0"/>
        <v>0</v>
      </c>
      <c r="J18" s="14"/>
      <c r="K18" s="14"/>
      <c r="L18" s="14"/>
      <c r="M18" s="9" t="str">
        <f t="shared" ref="M18:M49" si="1">IF(B6=0,"",B18/B6-1)</f>
        <v/>
      </c>
      <c r="N18" s="9" t="str">
        <f t="shared" ref="N18:N49" si="2">IF(D6+F6=0,"",(D18+F18)/(D6+F6)-1)</f>
        <v/>
      </c>
    </row>
    <row r="19" spans="1:14" x14ac:dyDescent="0.25">
      <c r="A19" s="6">
        <v>44228</v>
      </c>
      <c r="B19" s="7"/>
      <c r="C19" s="7">
        <f>B19*28*42/1000</f>
        <v>0</v>
      </c>
      <c r="D19" s="7"/>
      <c r="E19" s="7">
        <f>D19*28*42/1000</f>
        <v>0</v>
      </c>
      <c r="F19" s="7"/>
      <c r="G19" s="7">
        <f>F19*28*42/1000</f>
        <v>0</v>
      </c>
      <c r="H19" s="7"/>
      <c r="I19" s="8">
        <f t="shared" si="0"/>
        <v>0</v>
      </c>
      <c r="J19" s="14"/>
      <c r="K19" s="14"/>
      <c r="L19" s="14"/>
      <c r="M19" s="9" t="str">
        <f t="shared" si="1"/>
        <v/>
      </c>
      <c r="N19" s="9" t="str">
        <f t="shared" si="2"/>
        <v/>
      </c>
    </row>
    <row r="20" spans="1:14" x14ac:dyDescent="0.25">
      <c r="A20" s="6">
        <v>44256</v>
      </c>
      <c r="B20" s="7"/>
      <c r="C20" s="7">
        <f>B20*31*42/1000</f>
        <v>0</v>
      </c>
      <c r="D20" s="7"/>
      <c r="E20" s="7">
        <f>D20*31*42/1000</f>
        <v>0</v>
      </c>
      <c r="F20" s="7"/>
      <c r="G20" s="7">
        <f>F20*31*42/1000</f>
        <v>0</v>
      </c>
      <c r="H20" s="7"/>
      <c r="I20" s="8">
        <f t="shared" si="0"/>
        <v>0</v>
      </c>
      <c r="J20" s="14"/>
      <c r="K20" s="14"/>
      <c r="L20" s="14"/>
      <c r="M20" s="9" t="str">
        <f t="shared" si="1"/>
        <v/>
      </c>
      <c r="N20" s="9" t="str">
        <f t="shared" si="2"/>
        <v/>
      </c>
    </row>
    <row r="21" spans="1:14" x14ac:dyDescent="0.25">
      <c r="A21" s="6">
        <v>44287</v>
      </c>
      <c r="B21" s="7"/>
      <c r="C21" s="7">
        <f>B21*30*42/1000</f>
        <v>0</v>
      </c>
      <c r="D21" s="7"/>
      <c r="E21" s="7">
        <f>D21*30*42/1000</f>
        <v>0</v>
      </c>
      <c r="F21" s="7"/>
      <c r="G21" s="7">
        <f>F21*30*42/1000</f>
        <v>0</v>
      </c>
      <c r="H21" s="7"/>
      <c r="I21" s="8">
        <f t="shared" si="0"/>
        <v>0</v>
      </c>
      <c r="J21" s="14"/>
      <c r="K21" s="14"/>
      <c r="L21" s="14"/>
      <c r="M21" s="9" t="str">
        <f t="shared" si="1"/>
        <v/>
      </c>
      <c r="N21" s="9" t="str">
        <f t="shared" si="2"/>
        <v/>
      </c>
    </row>
    <row r="22" spans="1:14" x14ac:dyDescent="0.25">
      <c r="A22" s="6">
        <v>44317</v>
      </c>
      <c r="B22" s="7"/>
      <c r="C22" s="7">
        <f>B22*31*42/1000</f>
        <v>0</v>
      </c>
      <c r="D22" s="7"/>
      <c r="E22" s="7">
        <f>D22*31*42/1000</f>
        <v>0</v>
      </c>
      <c r="F22" s="7"/>
      <c r="G22" s="7">
        <f>F22*31*42/1000</f>
        <v>0</v>
      </c>
      <c r="H22" s="7"/>
      <c r="I22" s="8">
        <f t="shared" si="0"/>
        <v>0</v>
      </c>
      <c r="J22" s="14"/>
      <c r="K22" s="14"/>
      <c r="L22" s="14"/>
      <c r="M22" s="9" t="str">
        <f t="shared" si="1"/>
        <v/>
      </c>
      <c r="N22" s="9" t="str">
        <f t="shared" si="2"/>
        <v/>
      </c>
    </row>
    <row r="23" spans="1:14" x14ac:dyDescent="0.25">
      <c r="A23" s="6">
        <v>44348</v>
      </c>
      <c r="B23" s="7"/>
      <c r="C23" s="7">
        <f>B23*30*42/1000</f>
        <v>0</v>
      </c>
      <c r="D23" s="7"/>
      <c r="E23" s="7">
        <f>D23*30*42/1000</f>
        <v>0</v>
      </c>
      <c r="F23" s="7"/>
      <c r="G23" s="7">
        <f>F23*30*42/1000</f>
        <v>0</v>
      </c>
      <c r="H23" s="7"/>
      <c r="I23" s="8">
        <f t="shared" si="0"/>
        <v>0</v>
      </c>
      <c r="J23" s="14"/>
      <c r="K23" s="14"/>
      <c r="L23" s="14"/>
      <c r="M23" s="9" t="str">
        <f t="shared" si="1"/>
        <v/>
      </c>
      <c r="N23" s="9" t="str">
        <f t="shared" si="2"/>
        <v/>
      </c>
    </row>
    <row r="24" spans="1:14" x14ac:dyDescent="0.25">
      <c r="A24" s="6">
        <v>44378</v>
      </c>
      <c r="B24" s="7"/>
      <c r="C24" s="7">
        <f>B24*31*42/1000</f>
        <v>0</v>
      </c>
      <c r="D24" s="7"/>
      <c r="E24" s="7">
        <f>D24*31*42/1000</f>
        <v>0</v>
      </c>
      <c r="F24" s="7"/>
      <c r="G24" s="7">
        <f>F24*31*42/1000</f>
        <v>0</v>
      </c>
      <c r="H24" s="7"/>
      <c r="I24" s="8">
        <f t="shared" si="0"/>
        <v>0</v>
      </c>
      <c r="J24" s="14"/>
      <c r="K24" s="14"/>
      <c r="L24" s="14"/>
      <c r="M24" s="9" t="str">
        <f t="shared" si="1"/>
        <v/>
      </c>
      <c r="N24" s="9" t="str">
        <f t="shared" si="2"/>
        <v/>
      </c>
    </row>
    <row r="25" spans="1:14" x14ac:dyDescent="0.25">
      <c r="A25" s="6">
        <v>44409</v>
      </c>
      <c r="B25" s="7"/>
      <c r="C25" s="7">
        <f>B25*31*42/1000</f>
        <v>0</v>
      </c>
      <c r="D25" s="7"/>
      <c r="E25" s="7">
        <f>D25*31*42/1000</f>
        <v>0</v>
      </c>
      <c r="F25" s="7"/>
      <c r="G25" s="7">
        <f>F25*31*42/1000</f>
        <v>0</v>
      </c>
      <c r="H25" s="7"/>
      <c r="I25" s="8">
        <f t="shared" si="0"/>
        <v>0</v>
      </c>
      <c r="J25" s="14"/>
      <c r="K25" s="14"/>
      <c r="L25" s="14"/>
      <c r="M25" s="9" t="str">
        <f t="shared" si="1"/>
        <v/>
      </c>
      <c r="N25" s="9" t="str">
        <f t="shared" si="2"/>
        <v/>
      </c>
    </row>
    <row r="26" spans="1:14" x14ac:dyDescent="0.25">
      <c r="A26" s="6">
        <v>44440</v>
      </c>
      <c r="B26" s="7"/>
      <c r="C26" s="7">
        <f>B26*30*42/1000</f>
        <v>0</v>
      </c>
      <c r="D26" s="7"/>
      <c r="E26" s="7">
        <f>D26*30*42/1000</f>
        <v>0</v>
      </c>
      <c r="F26" s="7"/>
      <c r="G26" s="7">
        <f>F26*30*42/1000</f>
        <v>0</v>
      </c>
      <c r="H26" s="7"/>
      <c r="I26" s="8">
        <f t="shared" si="0"/>
        <v>0</v>
      </c>
      <c r="J26" s="14"/>
      <c r="K26" s="14"/>
      <c r="L26" s="14"/>
      <c r="M26" s="9" t="str">
        <f t="shared" si="1"/>
        <v/>
      </c>
      <c r="N26" s="9" t="str">
        <f t="shared" si="2"/>
        <v/>
      </c>
    </row>
    <row r="27" spans="1:14" x14ac:dyDescent="0.25">
      <c r="A27" s="6">
        <v>44470</v>
      </c>
      <c r="B27" s="7"/>
      <c r="C27" s="7">
        <f>B27*31*42/1000</f>
        <v>0</v>
      </c>
      <c r="D27" s="7"/>
      <c r="E27" s="7">
        <f>D27*31*42/1000</f>
        <v>0</v>
      </c>
      <c r="F27" s="7"/>
      <c r="G27" s="7">
        <f>F27*31*42/1000</f>
        <v>0</v>
      </c>
      <c r="H27" s="7"/>
      <c r="I27" s="8">
        <f t="shared" si="0"/>
        <v>0</v>
      </c>
      <c r="J27" s="14"/>
      <c r="K27" s="14"/>
      <c r="L27" s="14"/>
      <c r="M27" s="9" t="str">
        <f t="shared" si="1"/>
        <v/>
      </c>
      <c r="N27" s="9" t="str">
        <f t="shared" si="2"/>
        <v/>
      </c>
    </row>
    <row r="28" spans="1:14" x14ac:dyDescent="0.25">
      <c r="A28" s="6">
        <v>44501</v>
      </c>
      <c r="B28" s="7"/>
      <c r="C28" s="7">
        <f>B28*30*42/1000</f>
        <v>0</v>
      </c>
      <c r="D28" s="7"/>
      <c r="E28" s="7">
        <f>D28*30*42/1000</f>
        <v>0</v>
      </c>
      <c r="F28" s="7"/>
      <c r="G28" s="7">
        <f>F28*30*42/1000</f>
        <v>0</v>
      </c>
      <c r="H28" s="7"/>
      <c r="I28" s="8">
        <f t="shared" si="0"/>
        <v>0</v>
      </c>
      <c r="J28" s="14"/>
      <c r="K28" s="14"/>
      <c r="L28" s="14"/>
      <c r="M28" s="9" t="str">
        <f t="shared" si="1"/>
        <v/>
      </c>
      <c r="N28" s="9" t="str">
        <f t="shared" si="2"/>
        <v/>
      </c>
    </row>
    <row r="29" spans="1:14" x14ac:dyDescent="0.25">
      <c r="A29" s="6">
        <v>44531</v>
      </c>
      <c r="B29" s="7"/>
      <c r="C29" s="7">
        <f>B29*31*42/1000</f>
        <v>0</v>
      </c>
      <c r="D29" s="7"/>
      <c r="E29" s="7">
        <f>D29*31*42/1000</f>
        <v>0</v>
      </c>
      <c r="F29" s="7"/>
      <c r="G29" s="7">
        <f>F29*31*42/1000</f>
        <v>0</v>
      </c>
      <c r="H29" s="7"/>
      <c r="I29" s="8">
        <f t="shared" si="0"/>
        <v>0</v>
      </c>
      <c r="J29" s="14"/>
      <c r="K29" s="14"/>
      <c r="L29" s="14"/>
      <c r="M29" s="9" t="str">
        <f t="shared" si="1"/>
        <v/>
      </c>
      <c r="N29" s="9" t="str">
        <f t="shared" si="2"/>
        <v/>
      </c>
    </row>
    <row r="30" spans="1:14" x14ac:dyDescent="0.25">
      <c r="A30" s="6">
        <v>44562</v>
      </c>
      <c r="B30" s="7"/>
      <c r="C30" s="7">
        <f>B30*31*42/1000</f>
        <v>0</v>
      </c>
      <c r="D30" s="7"/>
      <c r="E30" s="7">
        <f>D30*31*42/1000</f>
        <v>0</v>
      </c>
      <c r="F30" s="7"/>
      <c r="G30" s="7">
        <f>F30*31*42/1000</f>
        <v>0</v>
      </c>
      <c r="H30" s="7"/>
      <c r="I30" s="8">
        <f t="shared" si="0"/>
        <v>0</v>
      </c>
      <c r="J30" s="14"/>
      <c r="K30" s="14"/>
      <c r="L30" s="14"/>
      <c r="M30" s="9" t="str">
        <f t="shared" si="1"/>
        <v/>
      </c>
      <c r="N30" s="9" t="str">
        <f t="shared" si="2"/>
        <v/>
      </c>
    </row>
    <row r="31" spans="1:14" x14ac:dyDescent="0.25">
      <c r="A31" s="6">
        <v>44593</v>
      </c>
      <c r="B31" s="7"/>
      <c r="C31" s="7">
        <f>B31*28*42/1000</f>
        <v>0</v>
      </c>
      <c r="D31" s="7"/>
      <c r="E31" s="7">
        <f>D31*28*42/1000</f>
        <v>0</v>
      </c>
      <c r="F31" s="7"/>
      <c r="G31" s="7">
        <f>F31*28*42/1000</f>
        <v>0</v>
      </c>
      <c r="H31" s="7"/>
      <c r="I31" s="8">
        <f t="shared" si="0"/>
        <v>0</v>
      </c>
      <c r="J31" s="14"/>
      <c r="K31" s="14"/>
      <c r="L31" s="14"/>
      <c r="M31" s="9" t="str">
        <f t="shared" si="1"/>
        <v/>
      </c>
      <c r="N31" s="9" t="str">
        <f t="shared" si="2"/>
        <v/>
      </c>
    </row>
    <row r="32" spans="1:14" x14ac:dyDescent="0.25">
      <c r="A32" s="6">
        <v>44621</v>
      </c>
      <c r="B32" s="7"/>
      <c r="C32" s="7">
        <f>B32*31*42/1000</f>
        <v>0</v>
      </c>
      <c r="D32" s="7"/>
      <c r="E32" s="7">
        <f>D32*31*42/1000</f>
        <v>0</v>
      </c>
      <c r="F32" s="7"/>
      <c r="G32" s="7">
        <f>F32*31*42/1000</f>
        <v>0</v>
      </c>
      <c r="H32" s="7"/>
      <c r="I32" s="8">
        <f t="shared" si="0"/>
        <v>0</v>
      </c>
      <c r="J32" s="14"/>
      <c r="K32" s="14"/>
      <c r="L32" s="14"/>
      <c r="M32" s="9" t="str">
        <f t="shared" si="1"/>
        <v/>
      </c>
      <c r="N32" s="9" t="str">
        <f t="shared" si="2"/>
        <v/>
      </c>
    </row>
    <row r="33" spans="1:14" x14ac:dyDescent="0.25">
      <c r="A33" s="6">
        <v>44652</v>
      </c>
      <c r="B33" s="7"/>
      <c r="C33" s="7">
        <f>B33*30*42/1000</f>
        <v>0</v>
      </c>
      <c r="D33" s="7"/>
      <c r="E33" s="7">
        <f>D33*30*42/1000</f>
        <v>0</v>
      </c>
      <c r="F33" s="7"/>
      <c r="G33" s="7">
        <f>F33*30*42/1000</f>
        <v>0</v>
      </c>
      <c r="H33" s="7"/>
      <c r="I33" s="8">
        <f t="shared" si="0"/>
        <v>0</v>
      </c>
      <c r="J33" s="14"/>
      <c r="K33" s="14"/>
      <c r="L33" s="14"/>
      <c r="M33" s="9" t="str">
        <f t="shared" si="1"/>
        <v/>
      </c>
      <c r="N33" s="9" t="str">
        <f t="shared" si="2"/>
        <v/>
      </c>
    </row>
    <row r="34" spans="1:14" x14ac:dyDescent="0.25">
      <c r="A34" s="6">
        <v>44682</v>
      </c>
      <c r="B34" s="7"/>
      <c r="C34" s="7">
        <f>B34*31*42/1000</f>
        <v>0</v>
      </c>
      <c r="D34" s="7"/>
      <c r="E34" s="7">
        <f>D34*31*42/1000</f>
        <v>0</v>
      </c>
      <c r="F34" s="7"/>
      <c r="G34" s="7">
        <f>F34*31*42/1000</f>
        <v>0</v>
      </c>
      <c r="H34" s="7"/>
      <c r="I34" s="8">
        <f t="shared" si="0"/>
        <v>0</v>
      </c>
      <c r="J34" s="14"/>
      <c r="K34" s="14"/>
      <c r="L34" s="14"/>
      <c r="M34" s="9" t="str">
        <f t="shared" si="1"/>
        <v/>
      </c>
      <c r="N34" s="9" t="str">
        <f t="shared" si="2"/>
        <v/>
      </c>
    </row>
    <row r="35" spans="1:14" x14ac:dyDescent="0.25">
      <c r="A35" s="6">
        <v>44713</v>
      </c>
      <c r="B35" s="7"/>
      <c r="C35" s="7">
        <f>B35*30*42/1000</f>
        <v>0</v>
      </c>
      <c r="D35" s="7"/>
      <c r="E35" s="7">
        <f>D35*30*42/1000</f>
        <v>0</v>
      </c>
      <c r="F35" s="7"/>
      <c r="G35" s="7">
        <f>F35*30*42/1000</f>
        <v>0</v>
      </c>
      <c r="H35" s="7"/>
      <c r="I35" s="8">
        <f t="shared" si="0"/>
        <v>0</v>
      </c>
      <c r="J35" s="14"/>
      <c r="K35" s="14"/>
      <c r="L35" s="14"/>
      <c r="M35" s="9" t="str">
        <f t="shared" si="1"/>
        <v/>
      </c>
      <c r="N35" s="9" t="str">
        <f t="shared" si="2"/>
        <v/>
      </c>
    </row>
    <row r="36" spans="1:14" x14ac:dyDescent="0.25">
      <c r="A36" s="6">
        <v>44743</v>
      </c>
      <c r="B36" s="7"/>
      <c r="C36" s="7">
        <f>B36*31*42/1000</f>
        <v>0</v>
      </c>
      <c r="D36" s="7"/>
      <c r="E36" s="7">
        <f>D36*31*42/1000</f>
        <v>0</v>
      </c>
      <c r="F36" s="7"/>
      <c r="G36" s="7">
        <f>F36*31*42/1000</f>
        <v>0</v>
      </c>
      <c r="H36" s="7"/>
      <c r="I36" s="8">
        <f t="shared" si="0"/>
        <v>0</v>
      </c>
      <c r="J36" s="14"/>
      <c r="K36" s="14"/>
      <c r="L36" s="14"/>
      <c r="M36" s="9" t="str">
        <f t="shared" si="1"/>
        <v/>
      </c>
      <c r="N36" s="9" t="str">
        <f t="shared" si="2"/>
        <v/>
      </c>
    </row>
    <row r="37" spans="1:14" x14ac:dyDescent="0.25">
      <c r="A37" s="6">
        <v>44774</v>
      </c>
      <c r="B37" s="7"/>
      <c r="C37" s="7">
        <f>B37*31*42/1000</f>
        <v>0</v>
      </c>
      <c r="D37" s="7"/>
      <c r="E37" s="7">
        <f>D37*31*42/1000</f>
        <v>0</v>
      </c>
      <c r="F37" s="7"/>
      <c r="G37" s="7">
        <f>F37*31*42/1000</f>
        <v>0</v>
      </c>
      <c r="H37" s="7"/>
      <c r="I37" s="8">
        <f t="shared" si="0"/>
        <v>0</v>
      </c>
      <c r="J37" s="14"/>
      <c r="K37" s="14"/>
      <c r="L37" s="14"/>
      <c r="M37" s="9" t="str">
        <f t="shared" si="1"/>
        <v/>
      </c>
      <c r="N37" s="9" t="str">
        <f t="shared" si="2"/>
        <v/>
      </c>
    </row>
    <row r="38" spans="1:14" x14ac:dyDescent="0.25">
      <c r="A38" s="6">
        <v>44805</v>
      </c>
      <c r="B38" s="7"/>
      <c r="C38" s="7">
        <f>B38*30*42/1000</f>
        <v>0</v>
      </c>
      <c r="D38" s="7"/>
      <c r="E38" s="7">
        <f>D38*30*42/1000</f>
        <v>0</v>
      </c>
      <c r="F38" s="7"/>
      <c r="G38" s="7">
        <f>F38*30*42/1000</f>
        <v>0</v>
      </c>
      <c r="H38" s="7"/>
      <c r="I38" s="8">
        <f t="shared" ref="I38:I69" si="3">B38+D38+F38+H38</f>
        <v>0</v>
      </c>
      <c r="J38" s="14"/>
      <c r="K38" s="14"/>
      <c r="L38" s="14"/>
      <c r="M38" s="9" t="str">
        <f t="shared" si="1"/>
        <v/>
      </c>
      <c r="N38" s="9" t="str">
        <f t="shared" si="2"/>
        <v/>
      </c>
    </row>
    <row r="39" spans="1:14" x14ac:dyDescent="0.25">
      <c r="A39" s="6">
        <v>44835</v>
      </c>
      <c r="B39" s="7"/>
      <c r="C39" s="7">
        <f>B39*31*42/1000</f>
        <v>0</v>
      </c>
      <c r="D39" s="7"/>
      <c r="E39" s="7">
        <f>D39*31*42/1000</f>
        <v>0</v>
      </c>
      <c r="F39" s="7"/>
      <c r="G39" s="7">
        <f>F39*31*42/1000</f>
        <v>0</v>
      </c>
      <c r="H39" s="7"/>
      <c r="I39" s="8">
        <f t="shared" si="3"/>
        <v>0</v>
      </c>
      <c r="J39" s="14"/>
      <c r="K39" s="14"/>
      <c r="L39" s="14"/>
      <c r="M39" s="9" t="str">
        <f t="shared" si="1"/>
        <v/>
      </c>
      <c r="N39" s="9" t="str">
        <f t="shared" si="2"/>
        <v/>
      </c>
    </row>
    <row r="40" spans="1:14" x14ac:dyDescent="0.25">
      <c r="A40" s="6">
        <v>44866</v>
      </c>
      <c r="B40" s="7"/>
      <c r="C40" s="7">
        <f>B40*30*42/1000</f>
        <v>0</v>
      </c>
      <c r="D40" s="7"/>
      <c r="E40" s="7">
        <f>D40*30*42/1000</f>
        <v>0</v>
      </c>
      <c r="F40" s="7"/>
      <c r="G40" s="7">
        <f>F40*30*42/1000</f>
        <v>0</v>
      </c>
      <c r="H40" s="7"/>
      <c r="I40" s="8">
        <f t="shared" si="3"/>
        <v>0</v>
      </c>
      <c r="J40" s="14"/>
      <c r="K40" s="14"/>
      <c r="L40" s="14"/>
      <c r="M40" s="9" t="str">
        <f t="shared" si="1"/>
        <v/>
      </c>
      <c r="N40" s="9" t="str">
        <f t="shared" si="2"/>
        <v/>
      </c>
    </row>
    <row r="41" spans="1:14" x14ac:dyDescent="0.25">
      <c r="A41" s="6">
        <v>44896</v>
      </c>
      <c r="B41" s="7"/>
      <c r="C41" s="7">
        <f>B41*31*42/1000</f>
        <v>0</v>
      </c>
      <c r="D41" s="7"/>
      <c r="E41" s="7">
        <f>D41*31*42/1000</f>
        <v>0</v>
      </c>
      <c r="F41" s="7"/>
      <c r="G41" s="7">
        <f>F41*31*42/1000</f>
        <v>0</v>
      </c>
      <c r="H41" s="7"/>
      <c r="I41" s="8">
        <f t="shared" si="3"/>
        <v>0</v>
      </c>
      <c r="J41" s="14"/>
      <c r="K41" s="14"/>
      <c r="L41" s="14"/>
      <c r="M41" s="9" t="str">
        <f t="shared" si="1"/>
        <v/>
      </c>
      <c r="N41" s="9" t="str">
        <f t="shared" si="2"/>
        <v/>
      </c>
    </row>
    <row r="42" spans="1:14" x14ac:dyDescent="0.25">
      <c r="A42" s="6">
        <v>44927</v>
      </c>
      <c r="B42" s="7"/>
      <c r="C42" s="7">
        <f>B42*31*42/1000</f>
        <v>0</v>
      </c>
      <c r="D42" s="7"/>
      <c r="E42" s="7">
        <f>D42*31*42/1000</f>
        <v>0</v>
      </c>
      <c r="F42" s="7"/>
      <c r="G42" s="7">
        <f>F42*31*42/1000</f>
        <v>0</v>
      </c>
      <c r="H42" s="7"/>
      <c r="I42" s="8">
        <f t="shared" si="3"/>
        <v>0</v>
      </c>
      <c r="J42" s="14"/>
      <c r="K42" s="14"/>
      <c r="L42" s="14"/>
      <c r="M42" s="9" t="str">
        <f t="shared" si="1"/>
        <v/>
      </c>
      <c r="N42" s="9" t="str">
        <f t="shared" si="2"/>
        <v/>
      </c>
    </row>
    <row r="43" spans="1:14" x14ac:dyDescent="0.25">
      <c r="A43" s="6">
        <v>44958</v>
      </c>
      <c r="B43" s="7"/>
      <c r="C43" s="7">
        <f>B43*28*42/1000</f>
        <v>0</v>
      </c>
      <c r="D43" s="7"/>
      <c r="E43" s="7">
        <f>D43*28*42/1000</f>
        <v>0</v>
      </c>
      <c r="F43" s="7"/>
      <c r="G43" s="7">
        <f>F43*28*42/1000</f>
        <v>0</v>
      </c>
      <c r="H43" s="7"/>
      <c r="I43" s="8">
        <f t="shared" si="3"/>
        <v>0</v>
      </c>
      <c r="J43" s="14"/>
      <c r="K43" s="14"/>
      <c r="L43" s="14"/>
      <c r="M43" s="9" t="str">
        <f t="shared" si="1"/>
        <v/>
      </c>
      <c r="N43" s="9" t="str">
        <f t="shared" si="2"/>
        <v/>
      </c>
    </row>
    <row r="44" spans="1:14" x14ac:dyDescent="0.25">
      <c r="A44" s="6">
        <v>44986</v>
      </c>
      <c r="B44" s="7"/>
      <c r="C44" s="7">
        <f>B44*31*42/1000</f>
        <v>0</v>
      </c>
      <c r="D44" s="7"/>
      <c r="E44" s="7">
        <f>D44*31*42/1000</f>
        <v>0</v>
      </c>
      <c r="F44" s="7"/>
      <c r="G44" s="7">
        <f>F44*31*42/1000</f>
        <v>0</v>
      </c>
      <c r="H44" s="7"/>
      <c r="I44" s="8">
        <f t="shared" si="3"/>
        <v>0</v>
      </c>
      <c r="J44" s="14"/>
      <c r="K44" s="14"/>
      <c r="L44" s="14"/>
      <c r="M44" s="9" t="str">
        <f t="shared" si="1"/>
        <v/>
      </c>
      <c r="N44" s="9" t="str">
        <f t="shared" si="2"/>
        <v/>
      </c>
    </row>
    <row r="45" spans="1:14" x14ac:dyDescent="0.25">
      <c r="A45" s="6">
        <v>45017</v>
      </c>
      <c r="B45" s="7"/>
      <c r="C45" s="7">
        <f>B45*30*42/1000</f>
        <v>0</v>
      </c>
      <c r="D45" s="7"/>
      <c r="E45" s="7">
        <f>D45*30*42/1000</f>
        <v>0</v>
      </c>
      <c r="F45" s="7"/>
      <c r="G45" s="7">
        <f>F45*30*42/1000</f>
        <v>0</v>
      </c>
      <c r="H45" s="7"/>
      <c r="I45" s="8">
        <f t="shared" si="3"/>
        <v>0</v>
      </c>
      <c r="J45" s="14"/>
      <c r="K45" s="14"/>
      <c r="L45" s="14"/>
      <c r="M45" s="9" t="str">
        <f t="shared" si="1"/>
        <v/>
      </c>
      <c r="N45" s="9" t="str">
        <f t="shared" si="2"/>
        <v/>
      </c>
    </row>
    <row r="46" spans="1:14" x14ac:dyDescent="0.25">
      <c r="A46" s="6">
        <v>45047</v>
      </c>
      <c r="B46" s="7"/>
      <c r="C46" s="7">
        <f>B46*31*42/1000</f>
        <v>0</v>
      </c>
      <c r="D46" s="7"/>
      <c r="E46" s="7">
        <f>D46*31*42/1000</f>
        <v>0</v>
      </c>
      <c r="F46" s="7"/>
      <c r="G46" s="7">
        <f>F46*31*42/1000</f>
        <v>0</v>
      </c>
      <c r="H46" s="7"/>
      <c r="I46" s="8">
        <f t="shared" si="3"/>
        <v>0</v>
      </c>
      <c r="J46" s="14"/>
      <c r="K46" s="14"/>
      <c r="L46" s="14"/>
      <c r="M46" s="9" t="str">
        <f t="shared" si="1"/>
        <v/>
      </c>
      <c r="N46" s="9" t="str">
        <f t="shared" si="2"/>
        <v/>
      </c>
    </row>
    <row r="47" spans="1:14" x14ac:dyDescent="0.25">
      <c r="A47" s="6">
        <v>45078</v>
      </c>
      <c r="B47" s="7"/>
      <c r="C47" s="7">
        <f>B47*30*42/1000</f>
        <v>0</v>
      </c>
      <c r="D47" s="7"/>
      <c r="E47" s="7">
        <f>D47*30*42/1000</f>
        <v>0</v>
      </c>
      <c r="F47" s="7"/>
      <c r="G47" s="7">
        <f>F47*30*42/1000</f>
        <v>0</v>
      </c>
      <c r="H47" s="7"/>
      <c r="I47" s="8">
        <f t="shared" si="3"/>
        <v>0</v>
      </c>
      <c r="J47" s="14"/>
      <c r="K47" s="14"/>
      <c r="L47" s="14"/>
      <c r="M47" s="9" t="str">
        <f t="shared" si="1"/>
        <v/>
      </c>
      <c r="N47" s="9" t="str">
        <f t="shared" si="2"/>
        <v/>
      </c>
    </row>
    <row r="48" spans="1:14" x14ac:dyDescent="0.25">
      <c r="A48" s="6">
        <v>45108</v>
      </c>
      <c r="B48" s="7"/>
      <c r="C48" s="7">
        <f>B48*31*42/1000</f>
        <v>0</v>
      </c>
      <c r="D48" s="7"/>
      <c r="E48" s="7">
        <f>D48*31*42/1000</f>
        <v>0</v>
      </c>
      <c r="F48" s="7"/>
      <c r="G48" s="7">
        <f>F48*31*42/1000</f>
        <v>0</v>
      </c>
      <c r="H48" s="7"/>
      <c r="I48" s="8">
        <f t="shared" si="3"/>
        <v>0</v>
      </c>
      <c r="J48" s="14"/>
      <c r="K48" s="14"/>
      <c r="L48" s="14"/>
      <c r="M48" s="9" t="str">
        <f t="shared" si="1"/>
        <v/>
      </c>
      <c r="N48" s="9" t="str">
        <f t="shared" si="2"/>
        <v/>
      </c>
    </row>
    <row r="49" spans="1:14" x14ac:dyDescent="0.25">
      <c r="A49" s="6">
        <v>45139</v>
      </c>
      <c r="B49" s="7"/>
      <c r="C49" s="7">
        <f>B49*31*42/1000</f>
        <v>0</v>
      </c>
      <c r="D49" s="7"/>
      <c r="E49" s="7">
        <f>D49*31*42/1000</f>
        <v>0</v>
      </c>
      <c r="F49" s="7"/>
      <c r="G49" s="7">
        <f>F49*31*42/1000</f>
        <v>0</v>
      </c>
      <c r="H49" s="7"/>
      <c r="I49" s="8">
        <f t="shared" si="3"/>
        <v>0</v>
      </c>
      <c r="J49" s="14"/>
      <c r="K49" s="14"/>
      <c r="L49" s="14"/>
      <c r="M49" s="9" t="str">
        <f t="shared" si="1"/>
        <v/>
      </c>
      <c r="N49" s="9" t="str">
        <f t="shared" si="2"/>
        <v/>
      </c>
    </row>
    <row r="50" spans="1:14" x14ac:dyDescent="0.25">
      <c r="A50" s="6">
        <v>45170</v>
      </c>
      <c r="B50" s="7"/>
      <c r="C50" s="7">
        <f>B50*30*42/1000</f>
        <v>0</v>
      </c>
      <c r="D50" s="7"/>
      <c r="E50" s="7">
        <f>D50*30*42/1000</f>
        <v>0</v>
      </c>
      <c r="F50" s="7"/>
      <c r="G50" s="7">
        <f>F50*30*42/1000</f>
        <v>0</v>
      </c>
      <c r="H50" s="7"/>
      <c r="I50" s="8">
        <f t="shared" si="3"/>
        <v>0</v>
      </c>
      <c r="J50" s="14"/>
      <c r="K50" s="14"/>
      <c r="L50" s="14"/>
      <c r="M50" s="9" t="str">
        <f t="shared" ref="M50:M81" si="4">IF(B38=0,"",B50/B38-1)</f>
        <v/>
      </c>
      <c r="N50" s="9" t="str">
        <f t="shared" ref="N50:N81" si="5">IF(D38+F38=0,"",(D50+F50)/(D38+F38)-1)</f>
        <v/>
      </c>
    </row>
    <row r="51" spans="1:14" x14ac:dyDescent="0.25">
      <c r="A51" s="6">
        <v>45200</v>
      </c>
      <c r="B51" s="7"/>
      <c r="C51" s="7">
        <f>B51*31*42/1000</f>
        <v>0</v>
      </c>
      <c r="D51" s="7"/>
      <c r="E51" s="7">
        <f>D51*31*42/1000</f>
        <v>0</v>
      </c>
      <c r="F51" s="7"/>
      <c r="G51" s="7">
        <f>F51*31*42/1000</f>
        <v>0</v>
      </c>
      <c r="H51" s="7"/>
      <c r="I51" s="8">
        <f t="shared" si="3"/>
        <v>0</v>
      </c>
      <c r="J51" s="14"/>
      <c r="K51" s="14"/>
      <c r="L51" s="14"/>
      <c r="M51" s="9" t="str">
        <f t="shared" si="4"/>
        <v/>
      </c>
      <c r="N51" s="9" t="str">
        <f t="shared" si="5"/>
        <v/>
      </c>
    </row>
    <row r="52" spans="1:14" x14ac:dyDescent="0.25">
      <c r="A52" s="6">
        <v>45231</v>
      </c>
      <c r="B52" s="7"/>
      <c r="C52" s="7">
        <f>B52*30*42/1000</f>
        <v>0</v>
      </c>
      <c r="D52" s="7"/>
      <c r="E52" s="7">
        <f>D52*30*42/1000</f>
        <v>0</v>
      </c>
      <c r="F52" s="7"/>
      <c r="G52" s="7">
        <f>F52*30*42/1000</f>
        <v>0</v>
      </c>
      <c r="H52" s="7"/>
      <c r="I52" s="8">
        <f t="shared" si="3"/>
        <v>0</v>
      </c>
      <c r="J52" s="14"/>
      <c r="K52" s="14"/>
      <c r="L52" s="14"/>
      <c r="M52" s="9" t="str">
        <f t="shared" si="4"/>
        <v/>
      </c>
      <c r="N52" s="9" t="str">
        <f t="shared" si="5"/>
        <v/>
      </c>
    </row>
    <row r="53" spans="1:14" x14ac:dyDescent="0.25">
      <c r="A53" s="6">
        <v>45261</v>
      </c>
      <c r="B53" s="7"/>
      <c r="C53" s="7">
        <f>B53*31*42/1000</f>
        <v>0</v>
      </c>
      <c r="D53" s="7"/>
      <c r="E53" s="7">
        <f>D53*31*42/1000</f>
        <v>0</v>
      </c>
      <c r="F53" s="7"/>
      <c r="G53" s="7">
        <f>F53*31*42/1000</f>
        <v>0</v>
      </c>
      <c r="H53" s="7"/>
      <c r="I53" s="8">
        <f t="shared" si="3"/>
        <v>0</v>
      </c>
      <c r="J53" s="14"/>
      <c r="K53" s="14"/>
      <c r="L53" s="14"/>
      <c r="M53" s="9" t="str">
        <f t="shared" si="4"/>
        <v/>
      </c>
      <c r="N53" s="9" t="str">
        <f t="shared" si="5"/>
        <v/>
      </c>
    </row>
    <row r="54" spans="1:14" x14ac:dyDescent="0.25">
      <c r="A54" s="6">
        <v>45292</v>
      </c>
      <c r="B54" s="7"/>
      <c r="C54" s="7">
        <f>B54*31*42/1000</f>
        <v>0</v>
      </c>
      <c r="D54" s="7"/>
      <c r="E54" s="7">
        <f>D54*31*42/1000</f>
        <v>0</v>
      </c>
      <c r="F54" s="7"/>
      <c r="G54" s="7">
        <f>F54*31*42/1000</f>
        <v>0</v>
      </c>
      <c r="H54" s="7"/>
      <c r="I54" s="8">
        <f t="shared" si="3"/>
        <v>0</v>
      </c>
      <c r="J54" s="14"/>
      <c r="K54" s="14"/>
      <c r="L54" s="14"/>
      <c r="M54" s="9" t="str">
        <f t="shared" si="4"/>
        <v/>
      </c>
      <c r="N54" s="9" t="str">
        <f t="shared" si="5"/>
        <v/>
      </c>
    </row>
    <row r="55" spans="1:14" x14ac:dyDescent="0.25">
      <c r="A55" s="6">
        <v>45323</v>
      </c>
      <c r="B55" s="7"/>
      <c r="C55" s="7">
        <f>B55*29*42/1000</f>
        <v>0</v>
      </c>
      <c r="D55" s="7"/>
      <c r="E55" s="7">
        <f>D55*29*42/1000</f>
        <v>0</v>
      </c>
      <c r="F55" s="7"/>
      <c r="G55" s="7">
        <f>F55*29*42/1000</f>
        <v>0</v>
      </c>
      <c r="H55" s="7"/>
      <c r="I55" s="8">
        <f t="shared" si="3"/>
        <v>0</v>
      </c>
      <c r="J55" s="14"/>
      <c r="K55" s="14"/>
      <c r="L55" s="14"/>
      <c r="M55" s="9" t="str">
        <f t="shared" si="4"/>
        <v/>
      </c>
      <c r="N55" s="9" t="str">
        <f t="shared" si="5"/>
        <v/>
      </c>
    </row>
    <row r="56" spans="1:14" x14ac:dyDescent="0.25">
      <c r="A56" s="6">
        <v>45352</v>
      </c>
      <c r="B56" s="7"/>
      <c r="C56" s="7">
        <f>B56*31*42/1000</f>
        <v>0</v>
      </c>
      <c r="D56" s="7"/>
      <c r="E56" s="7">
        <f>D56*31*42/1000</f>
        <v>0</v>
      </c>
      <c r="F56" s="7"/>
      <c r="G56" s="7">
        <f>F56*31*42/1000</f>
        <v>0</v>
      </c>
      <c r="H56" s="7"/>
      <c r="I56" s="8">
        <f t="shared" si="3"/>
        <v>0</v>
      </c>
      <c r="J56" s="14"/>
      <c r="K56" s="14"/>
      <c r="L56" s="14"/>
      <c r="M56" s="9" t="str">
        <f t="shared" si="4"/>
        <v/>
      </c>
      <c r="N56" s="9" t="str">
        <f t="shared" si="5"/>
        <v/>
      </c>
    </row>
    <row r="57" spans="1:14" x14ac:dyDescent="0.25">
      <c r="A57" s="6">
        <v>45383</v>
      </c>
      <c r="B57" s="7"/>
      <c r="C57" s="7">
        <f>B57*30*42/1000</f>
        <v>0</v>
      </c>
      <c r="D57" s="7"/>
      <c r="E57" s="7">
        <f>D57*30*42/1000</f>
        <v>0</v>
      </c>
      <c r="F57" s="7"/>
      <c r="G57" s="7">
        <f>F57*30*42/1000</f>
        <v>0</v>
      </c>
      <c r="H57" s="7"/>
      <c r="I57" s="8">
        <f t="shared" si="3"/>
        <v>0</v>
      </c>
      <c r="J57" s="14"/>
      <c r="K57" s="14"/>
      <c r="L57" s="14"/>
      <c r="M57" s="9" t="str">
        <f t="shared" si="4"/>
        <v/>
      </c>
      <c r="N57" s="9" t="str">
        <f t="shared" si="5"/>
        <v/>
      </c>
    </row>
    <row r="58" spans="1:14" x14ac:dyDescent="0.25">
      <c r="A58" s="6">
        <v>45413</v>
      </c>
      <c r="B58" s="7"/>
      <c r="C58" s="7">
        <f>B58*31*42/1000</f>
        <v>0</v>
      </c>
      <c r="D58" s="7"/>
      <c r="E58" s="7">
        <f>D58*31*42/1000</f>
        <v>0</v>
      </c>
      <c r="F58" s="7"/>
      <c r="G58" s="7">
        <f>F58*31*42/1000</f>
        <v>0</v>
      </c>
      <c r="H58" s="7"/>
      <c r="I58" s="8">
        <f t="shared" si="3"/>
        <v>0</v>
      </c>
      <c r="J58" s="14"/>
      <c r="K58" s="14"/>
      <c r="L58" s="14"/>
      <c r="M58" s="9" t="str">
        <f t="shared" si="4"/>
        <v/>
      </c>
      <c r="N58" s="9" t="str">
        <f t="shared" si="5"/>
        <v/>
      </c>
    </row>
    <row r="59" spans="1:14" x14ac:dyDescent="0.25">
      <c r="A59" s="6">
        <v>45444</v>
      </c>
      <c r="B59" s="7"/>
      <c r="C59" s="7">
        <f>B59*30*42/1000</f>
        <v>0</v>
      </c>
      <c r="D59" s="7"/>
      <c r="E59" s="7">
        <f>D59*30*42/1000</f>
        <v>0</v>
      </c>
      <c r="F59" s="7"/>
      <c r="G59" s="7">
        <f>F59*30*42/1000</f>
        <v>0</v>
      </c>
      <c r="H59" s="7"/>
      <c r="I59" s="8">
        <f t="shared" si="3"/>
        <v>0</v>
      </c>
      <c r="J59" s="14"/>
      <c r="K59" s="14"/>
      <c r="L59" s="14"/>
      <c r="M59" s="9" t="str">
        <f t="shared" si="4"/>
        <v/>
      </c>
      <c r="N59" s="9" t="str">
        <f t="shared" si="5"/>
        <v/>
      </c>
    </row>
    <row r="60" spans="1:14" x14ac:dyDescent="0.25">
      <c r="A60" s="6">
        <v>45474</v>
      </c>
      <c r="B60" s="7"/>
      <c r="C60" s="7">
        <f>B60*31*42/1000</f>
        <v>0</v>
      </c>
      <c r="D60" s="7"/>
      <c r="E60" s="7">
        <f>D60*31*42/1000</f>
        <v>0</v>
      </c>
      <c r="F60" s="7"/>
      <c r="G60" s="7">
        <f>F60*31*42/1000</f>
        <v>0</v>
      </c>
      <c r="H60" s="7"/>
      <c r="I60" s="8">
        <f t="shared" si="3"/>
        <v>0</v>
      </c>
      <c r="J60" s="14"/>
      <c r="K60" s="14"/>
      <c r="L60" s="14"/>
      <c r="M60" s="9" t="str">
        <f t="shared" si="4"/>
        <v/>
      </c>
      <c r="N60" s="9" t="str">
        <f t="shared" si="5"/>
        <v/>
      </c>
    </row>
    <row r="61" spans="1:14" x14ac:dyDescent="0.25">
      <c r="A61" s="6">
        <v>45505</v>
      </c>
      <c r="B61" s="7"/>
      <c r="C61" s="7">
        <f>B61*31*42/1000</f>
        <v>0</v>
      </c>
      <c r="D61" s="7"/>
      <c r="E61" s="7">
        <f>D61*31*42/1000</f>
        <v>0</v>
      </c>
      <c r="F61" s="7"/>
      <c r="G61" s="7">
        <f>F61*31*42/1000</f>
        <v>0</v>
      </c>
      <c r="H61" s="7"/>
      <c r="I61" s="8">
        <f t="shared" si="3"/>
        <v>0</v>
      </c>
      <c r="J61" s="14"/>
      <c r="K61" s="14"/>
      <c r="L61" s="14"/>
      <c r="M61" s="9" t="str">
        <f t="shared" si="4"/>
        <v/>
      </c>
      <c r="N61" s="9" t="str">
        <f t="shared" si="5"/>
        <v/>
      </c>
    </row>
    <row r="62" spans="1:14" x14ac:dyDescent="0.25">
      <c r="A62" s="6">
        <v>45536</v>
      </c>
      <c r="B62" s="7"/>
      <c r="C62" s="7">
        <f>B62*30*42/1000</f>
        <v>0</v>
      </c>
      <c r="D62" s="7"/>
      <c r="E62" s="7">
        <f>D62*30*42/1000</f>
        <v>0</v>
      </c>
      <c r="F62" s="7"/>
      <c r="G62" s="7">
        <f>F62*30*42/1000</f>
        <v>0</v>
      </c>
      <c r="H62" s="7"/>
      <c r="I62" s="8">
        <f t="shared" si="3"/>
        <v>0</v>
      </c>
      <c r="J62" s="14"/>
      <c r="K62" s="14"/>
      <c r="L62" s="14"/>
      <c r="M62" s="9" t="str">
        <f t="shared" si="4"/>
        <v/>
      </c>
      <c r="N62" s="9" t="str">
        <f t="shared" si="5"/>
        <v/>
      </c>
    </row>
    <row r="63" spans="1:14" x14ac:dyDescent="0.25">
      <c r="A63" s="6">
        <v>45566</v>
      </c>
      <c r="B63" s="7"/>
      <c r="C63" s="7">
        <f>B63*31*42/1000</f>
        <v>0</v>
      </c>
      <c r="D63" s="7"/>
      <c r="E63" s="7">
        <f>D63*31*42/1000</f>
        <v>0</v>
      </c>
      <c r="F63" s="7"/>
      <c r="G63" s="7">
        <f>F63*31*42/1000</f>
        <v>0</v>
      </c>
      <c r="H63" s="7"/>
      <c r="I63" s="8">
        <f t="shared" si="3"/>
        <v>0</v>
      </c>
      <c r="J63" s="14"/>
      <c r="K63" s="14"/>
      <c r="L63" s="14"/>
      <c r="M63" s="9" t="str">
        <f t="shared" si="4"/>
        <v/>
      </c>
      <c r="N63" s="9" t="str">
        <f t="shared" si="5"/>
        <v/>
      </c>
    </row>
    <row r="64" spans="1:14" x14ac:dyDescent="0.25">
      <c r="A64" s="6">
        <v>45597</v>
      </c>
      <c r="B64" s="7"/>
      <c r="C64" s="7">
        <f>B64*30*42/1000</f>
        <v>0</v>
      </c>
      <c r="D64" s="7"/>
      <c r="E64" s="7">
        <f>D64*30*42/1000</f>
        <v>0</v>
      </c>
      <c r="F64" s="7"/>
      <c r="G64" s="7">
        <f>F64*30*42/1000</f>
        <v>0</v>
      </c>
      <c r="H64" s="7"/>
      <c r="I64" s="8">
        <f t="shared" si="3"/>
        <v>0</v>
      </c>
      <c r="J64" s="14"/>
      <c r="K64" s="14"/>
      <c r="L64" s="14"/>
      <c r="M64" s="9" t="str">
        <f t="shared" si="4"/>
        <v/>
      </c>
      <c r="N64" s="9" t="str">
        <f t="shared" si="5"/>
        <v/>
      </c>
    </row>
    <row r="65" spans="1:14" x14ac:dyDescent="0.25">
      <c r="A65" s="6">
        <v>45627</v>
      </c>
      <c r="B65" s="7"/>
      <c r="C65" s="7">
        <f>B65*31*42/1000</f>
        <v>0</v>
      </c>
      <c r="D65" s="7"/>
      <c r="E65" s="7">
        <f>D65*31*42/1000</f>
        <v>0</v>
      </c>
      <c r="F65" s="7"/>
      <c r="G65" s="7">
        <f>F65*31*42/1000</f>
        <v>0</v>
      </c>
      <c r="H65" s="7"/>
      <c r="I65" s="8">
        <f t="shared" si="3"/>
        <v>0</v>
      </c>
      <c r="J65" s="14"/>
      <c r="K65" s="14"/>
      <c r="L65" s="14"/>
      <c r="M65" s="9" t="str">
        <f t="shared" si="4"/>
        <v/>
      </c>
      <c r="N65" s="9" t="str">
        <f t="shared" si="5"/>
        <v/>
      </c>
    </row>
    <row r="66" spans="1:14" x14ac:dyDescent="0.25">
      <c r="A66" s="6">
        <v>45658</v>
      </c>
      <c r="B66" s="7"/>
      <c r="C66" s="7">
        <f>B66*31*42/1000</f>
        <v>0</v>
      </c>
      <c r="D66" s="7"/>
      <c r="E66" s="7">
        <f>D66*31*42/1000</f>
        <v>0</v>
      </c>
      <c r="F66" s="7"/>
      <c r="G66" s="7">
        <f>F66*31*42/1000</f>
        <v>0</v>
      </c>
      <c r="H66" s="7"/>
      <c r="I66" s="8">
        <f t="shared" si="3"/>
        <v>0</v>
      </c>
      <c r="J66" s="14"/>
      <c r="K66" s="14"/>
      <c r="L66" s="14"/>
      <c r="M66" s="9" t="str">
        <f t="shared" si="4"/>
        <v/>
      </c>
      <c r="N66" s="9" t="str">
        <f t="shared" si="5"/>
        <v/>
      </c>
    </row>
    <row r="67" spans="1:14" x14ac:dyDescent="0.25">
      <c r="A67" s="6">
        <v>45689</v>
      </c>
      <c r="B67" s="7"/>
      <c r="C67" s="7">
        <f>B67*28*42/1000</f>
        <v>0</v>
      </c>
      <c r="D67" s="7"/>
      <c r="E67" s="7">
        <f>D67*28*42/1000</f>
        <v>0</v>
      </c>
      <c r="F67" s="7"/>
      <c r="G67" s="7">
        <f>F67*28*42/1000</f>
        <v>0</v>
      </c>
      <c r="H67" s="7"/>
      <c r="I67" s="8">
        <f t="shared" si="3"/>
        <v>0</v>
      </c>
      <c r="J67" s="14"/>
      <c r="K67" s="14"/>
      <c r="L67" s="14"/>
      <c r="M67" s="9" t="str">
        <f t="shared" si="4"/>
        <v/>
      </c>
      <c r="N67" s="9" t="str">
        <f t="shared" si="5"/>
        <v/>
      </c>
    </row>
    <row r="68" spans="1:14" x14ac:dyDescent="0.25">
      <c r="A68" s="6">
        <v>45717</v>
      </c>
      <c r="B68" s="7"/>
      <c r="C68" s="7">
        <f>B68*31*42/1000</f>
        <v>0</v>
      </c>
      <c r="D68" s="7"/>
      <c r="E68" s="7">
        <f>D68*31*42/1000</f>
        <v>0</v>
      </c>
      <c r="F68" s="7"/>
      <c r="G68" s="7">
        <f>F68*31*42/1000</f>
        <v>0</v>
      </c>
      <c r="H68" s="7"/>
      <c r="I68" s="8">
        <f t="shared" si="3"/>
        <v>0</v>
      </c>
      <c r="J68" s="14"/>
      <c r="K68" s="14"/>
      <c r="L68" s="14"/>
      <c r="M68" s="9" t="str">
        <f t="shared" si="4"/>
        <v/>
      </c>
      <c r="N68" s="9" t="str">
        <f t="shared" si="5"/>
        <v/>
      </c>
    </row>
    <row r="69" spans="1:14" x14ac:dyDescent="0.25">
      <c r="A69" s="6">
        <v>45748</v>
      </c>
      <c r="B69" s="7"/>
      <c r="C69" s="7">
        <f>B69*30*42/1000</f>
        <v>0</v>
      </c>
      <c r="D69" s="7"/>
      <c r="E69" s="7">
        <f>D69*30*42/1000</f>
        <v>0</v>
      </c>
      <c r="F69" s="7"/>
      <c r="G69" s="7">
        <f>F69*30*42/1000</f>
        <v>0</v>
      </c>
      <c r="H69" s="7"/>
      <c r="I69" s="8">
        <f t="shared" si="3"/>
        <v>0</v>
      </c>
      <c r="J69" s="14"/>
      <c r="K69" s="14"/>
      <c r="L69" s="14"/>
      <c r="M69" s="9" t="str">
        <f t="shared" si="4"/>
        <v/>
      </c>
      <c r="N69" s="9" t="str">
        <f t="shared" si="5"/>
        <v/>
      </c>
    </row>
    <row r="70" spans="1:14" x14ac:dyDescent="0.25">
      <c r="A70" s="6">
        <v>45778</v>
      </c>
      <c r="B70" s="7"/>
      <c r="C70" s="7">
        <f>B70*31*42/1000</f>
        <v>0</v>
      </c>
      <c r="D70" s="7"/>
      <c r="E70" s="7">
        <f>D70*31*42/1000</f>
        <v>0</v>
      </c>
      <c r="F70" s="7"/>
      <c r="G70" s="7">
        <f>F70*31*42/1000</f>
        <v>0</v>
      </c>
      <c r="H70" s="7"/>
      <c r="I70" s="8">
        <f t="shared" ref="I70:I101" si="6">B70+D70+F70+H70</f>
        <v>0</v>
      </c>
      <c r="J70" s="14"/>
      <c r="K70" s="14"/>
      <c r="L70" s="14"/>
      <c r="M70" s="9" t="str">
        <f t="shared" si="4"/>
        <v/>
      </c>
      <c r="N70" s="9" t="str">
        <f t="shared" si="5"/>
        <v/>
      </c>
    </row>
    <row r="71" spans="1:14" x14ac:dyDescent="0.25">
      <c r="A71" s="6">
        <v>45809</v>
      </c>
      <c r="B71" s="7"/>
      <c r="C71" s="7">
        <f>B71*30*42/1000</f>
        <v>0</v>
      </c>
      <c r="D71" s="7"/>
      <c r="E71" s="7">
        <f>D71*30*42/1000</f>
        <v>0</v>
      </c>
      <c r="F71" s="7"/>
      <c r="G71" s="7">
        <f>F71*30*42/1000</f>
        <v>0</v>
      </c>
      <c r="H71" s="7"/>
      <c r="I71" s="8">
        <f t="shared" si="6"/>
        <v>0</v>
      </c>
      <c r="J71" s="14"/>
      <c r="K71" s="14"/>
      <c r="L71" s="14"/>
      <c r="M71" s="9" t="str">
        <f t="shared" si="4"/>
        <v/>
      </c>
      <c r="N71" s="9" t="str">
        <f t="shared" si="5"/>
        <v/>
      </c>
    </row>
    <row r="72" spans="1:14" x14ac:dyDescent="0.25">
      <c r="A72" s="6">
        <v>45839</v>
      </c>
      <c r="B72" s="7"/>
      <c r="C72" s="7">
        <f>B72*31*42/1000</f>
        <v>0</v>
      </c>
      <c r="D72" s="7"/>
      <c r="E72" s="7">
        <f>D72*31*42/1000</f>
        <v>0</v>
      </c>
      <c r="F72" s="7"/>
      <c r="G72" s="7">
        <f>F72*31*42/1000</f>
        <v>0</v>
      </c>
      <c r="H72" s="7"/>
      <c r="I72" s="8">
        <f t="shared" si="6"/>
        <v>0</v>
      </c>
      <c r="J72" s="14"/>
      <c r="K72" s="14"/>
      <c r="L72" s="14"/>
      <c r="M72" s="9" t="str">
        <f t="shared" si="4"/>
        <v/>
      </c>
      <c r="N72" s="9" t="str">
        <f t="shared" si="5"/>
        <v/>
      </c>
    </row>
    <row r="73" spans="1:14" x14ac:dyDescent="0.25">
      <c r="A73" s="6">
        <v>45870</v>
      </c>
      <c r="B73" s="7"/>
      <c r="C73" s="7">
        <f>B73*31*42/1000</f>
        <v>0</v>
      </c>
      <c r="D73" s="7"/>
      <c r="E73" s="7">
        <f>D73*31*42/1000</f>
        <v>0</v>
      </c>
      <c r="F73" s="7"/>
      <c r="G73" s="7">
        <f>F73*31*42/1000</f>
        <v>0</v>
      </c>
      <c r="H73" s="7"/>
      <c r="I73" s="8">
        <f t="shared" si="6"/>
        <v>0</v>
      </c>
      <c r="J73" s="14"/>
      <c r="K73" s="14"/>
      <c r="L73" s="14"/>
      <c r="M73" s="9" t="str">
        <f t="shared" si="4"/>
        <v/>
      </c>
      <c r="N73" s="9" t="str">
        <f t="shared" si="5"/>
        <v/>
      </c>
    </row>
    <row r="74" spans="1:14" x14ac:dyDescent="0.25">
      <c r="A74" s="6">
        <v>45901</v>
      </c>
      <c r="B74" s="7"/>
      <c r="C74" s="7">
        <f>B74*30*42/1000</f>
        <v>0</v>
      </c>
      <c r="D74" s="7"/>
      <c r="E74" s="7">
        <f>D74*30*42/1000</f>
        <v>0</v>
      </c>
      <c r="F74" s="7"/>
      <c r="G74" s="7">
        <f>F74*30*42/1000</f>
        <v>0</v>
      </c>
      <c r="H74" s="7"/>
      <c r="I74" s="8">
        <f t="shared" si="6"/>
        <v>0</v>
      </c>
      <c r="J74" s="14"/>
      <c r="K74" s="14"/>
      <c r="L74" s="14"/>
      <c r="M74" s="9" t="str">
        <f t="shared" si="4"/>
        <v/>
      </c>
      <c r="N74" s="9" t="str">
        <f t="shared" si="5"/>
        <v/>
      </c>
    </row>
    <row r="75" spans="1:14" x14ac:dyDescent="0.25">
      <c r="A75" s="6">
        <v>45931</v>
      </c>
      <c r="B75" s="7"/>
      <c r="C75" s="7">
        <f>B75*31*42/1000</f>
        <v>0</v>
      </c>
      <c r="D75" s="7"/>
      <c r="E75" s="7">
        <f>D75*31*42/1000</f>
        <v>0</v>
      </c>
      <c r="F75" s="7"/>
      <c r="G75" s="7">
        <f>F75*31*42/1000</f>
        <v>0</v>
      </c>
      <c r="H75" s="7"/>
      <c r="I75" s="8">
        <f t="shared" si="6"/>
        <v>0</v>
      </c>
      <c r="J75" s="14"/>
      <c r="K75" s="14"/>
      <c r="L75" s="14"/>
      <c r="M75" s="9" t="str">
        <f t="shared" si="4"/>
        <v/>
      </c>
      <c r="N75" s="9" t="str">
        <f t="shared" si="5"/>
        <v/>
      </c>
    </row>
    <row r="76" spans="1:14" x14ac:dyDescent="0.25">
      <c r="A76" s="6">
        <v>45962</v>
      </c>
      <c r="B76" s="7"/>
      <c r="C76" s="7">
        <f>B76*30*42/1000</f>
        <v>0</v>
      </c>
      <c r="D76" s="7"/>
      <c r="E76" s="7">
        <f>D76*30*42/1000</f>
        <v>0</v>
      </c>
      <c r="F76" s="7"/>
      <c r="G76" s="7">
        <f>F76*30*42/1000</f>
        <v>0</v>
      </c>
      <c r="H76" s="7"/>
      <c r="I76" s="8">
        <f t="shared" si="6"/>
        <v>0</v>
      </c>
      <c r="J76" s="14"/>
      <c r="K76" s="14"/>
      <c r="L76" s="14"/>
      <c r="M76" s="9" t="str">
        <f t="shared" si="4"/>
        <v/>
      </c>
      <c r="N76" s="9" t="str">
        <f t="shared" si="5"/>
        <v/>
      </c>
    </row>
    <row r="77" spans="1:14" x14ac:dyDescent="0.25">
      <c r="A77" s="6">
        <v>45992</v>
      </c>
      <c r="B77" s="7"/>
      <c r="C77" s="7">
        <f>B77*31*42/1000</f>
        <v>0</v>
      </c>
      <c r="D77" s="7"/>
      <c r="E77" s="7">
        <f>D77*31*42/1000</f>
        <v>0</v>
      </c>
      <c r="F77" s="7"/>
      <c r="G77" s="7">
        <f>F77*31*42/1000</f>
        <v>0</v>
      </c>
      <c r="H77" s="7"/>
      <c r="I77" s="8">
        <f t="shared" si="6"/>
        <v>0</v>
      </c>
      <c r="J77" s="14"/>
      <c r="K77" s="14"/>
      <c r="L77" s="14"/>
      <c r="M77" s="9" t="str">
        <f t="shared" si="4"/>
        <v/>
      </c>
      <c r="N77" s="9" t="str">
        <f t="shared" si="5"/>
        <v/>
      </c>
    </row>
    <row r="78" spans="1:14" x14ac:dyDescent="0.25">
      <c r="A78" s="6">
        <v>46023</v>
      </c>
      <c r="B78" s="7"/>
      <c r="C78" s="7">
        <f>B78*31*42/1000</f>
        <v>0</v>
      </c>
      <c r="D78" s="7"/>
      <c r="E78" s="7">
        <f>D78*31*42/1000</f>
        <v>0</v>
      </c>
      <c r="F78" s="7"/>
      <c r="G78" s="7">
        <f>F78*31*42/1000</f>
        <v>0</v>
      </c>
      <c r="H78" s="7"/>
      <c r="I78" s="8">
        <f t="shared" si="6"/>
        <v>0</v>
      </c>
      <c r="J78" s="14"/>
      <c r="K78" s="14"/>
      <c r="L78" s="14"/>
      <c r="M78" s="9" t="str">
        <f t="shared" si="4"/>
        <v/>
      </c>
      <c r="N78" s="9" t="str">
        <f t="shared" si="5"/>
        <v/>
      </c>
    </row>
    <row r="79" spans="1:14" x14ac:dyDescent="0.25">
      <c r="A79" s="6">
        <v>46054</v>
      </c>
      <c r="B79" s="7"/>
      <c r="C79" s="7">
        <f>B79*28*42/1000</f>
        <v>0</v>
      </c>
      <c r="D79" s="7"/>
      <c r="E79" s="7">
        <f>D79*28*42/1000</f>
        <v>0</v>
      </c>
      <c r="F79" s="7"/>
      <c r="G79" s="7">
        <f>F79*28*42/1000</f>
        <v>0</v>
      </c>
      <c r="H79" s="7"/>
      <c r="I79" s="8">
        <f t="shared" si="6"/>
        <v>0</v>
      </c>
      <c r="J79" s="14"/>
      <c r="K79" s="14"/>
      <c r="L79" s="14"/>
      <c r="M79" s="9" t="str">
        <f t="shared" si="4"/>
        <v/>
      </c>
      <c r="N79" s="9" t="str">
        <f t="shared" si="5"/>
        <v/>
      </c>
    </row>
    <row r="80" spans="1:14" x14ac:dyDescent="0.25">
      <c r="A80" s="6">
        <v>46082</v>
      </c>
      <c r="B80" s="7"/>
      <c r="C80" s="7">
        <f>B80*31*42/1000</f>
        <v>0</v>
      </c>
      <c r="D80" s="7"/>
      <c r="E80" s="7">
        <f>D80*31*42/1000</f>
        <v>0</v>
      </c>
      <c r="F80" s="7"/>
      <c r="G80" s="7">
        <f>F80*31*42/1000</f>
        <v>0</v>
      </c>
      <c r="H80" s="7"/>
      <c r="I80" s="8">
        <f t="shared" si="6"/>
        <v>0</v>
      </c>
      <c r="J80" s="14"/>
      <c r="K80" s="14"/>
      <c r="L80" s="14"/>
      <c r="M80" s="9" t="str">
        <f t="shared" si="4"/>
        <v/>
      </c>
      <c r="N80" s="9" t="str">
        <f t="shared" si="5"/>
        <v/>
      </c>
    </row>
    <row r="81" spans="1:14" x14ac:dyDescent="0.25">
      <c r="A81" s="6">
        <v>46113</v>
      </c>
      <c r="B81" s="7"/>
      <c r="C81" s="7">
        <f>B81*30*42/1000</f>
        <v>0</v>
      </c>
      <c r="D81" s="7"/>
      <c r="E81" s="7">
        <f>D81*30*42/1000</f>
        <v>0</v>
      </c>
      <c r="F81" s="7"/>
      <c r="G81" s="7">
        <f>F81*30*42/1000</f>
        <v>0</v>
      </c>
      <c r="H81" s="7"/>
      <c r="I81" s="8">
        <f t="shared" si="6"/>
        <v>0</v>
      </c>
      <c r="J81" s="14"/>
      <c r="K81" s="14"/>
      <c r="L81" s="14"/>
      <c r="M81" s="9" t="str">
        <f t="shared" si="4"/>
        <v/>
      </c>
      <c r="N81" s="9" t="str">
        <f t="shared" si="5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2" customWidth="1"/>
    <col min="2" max="11" width="13" customWidth="1"/>
  </cols>
  <sheetData>
    <row r="1" spans="1:11" ht="15.75" x14ac:dyDescent="0.25">
      <c r="A1" s="2" t="s">
        <v>108</v>
      </c>
    </row>
    <row r="2" spans="1:11" x14ac:dyDescent="0.25">
      <c r="A2" s="3" t="s">
        <v>109</v>
      </c>
    </row>
    <row r="3" spans="1:11" x14ac:dyDescent="0.25">
      <c r="A3" s="4" t="s">
        <v>110</v>
      </c>
    </row>
    <row r="5" spans="1:11" ht="39" x14ac:dyDescent="0.25">
      <c r="A5" s="5" t="s">
        <v>3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115</v>
      </c>
      <c r="G5" s="5" t="s">
        <v>116</v>
      </c>
      <c r="H5" s="5" t="s">
        <v>117</v>
      </c>
      <c r="I5" s="5" t="s">
        <v>118</v>
      </c>
      <c r="J5" s="5" t="s">
        <v>119</v>
      </c>
      <c r="K5" s="5" t="s">
        <v>120</v>
      </c>
    </row>
    <row r="6" spans="1:11" x14ac:dyDescent="0.25">
      <c r="A6" s="6">
        <v>43831</v>
      </c>
      <c r="B6" s="14"/>
      <c r="C6" s="14"/>
      <c r="D6" s="15">
        <f t="shared" ref="D6:D37" si="0">B6-C6</f>
        <v>0</v>
      </c>
      <c r="E6" s="14"/>
      <c r="F6" s="14"/>
      <c r="G6" s="15">
        <f t="shared" ref="G6:G37" si="1">E6-F6</f>
        <v>0</v>
      </c>
      <c r="H6" s="14"/>
      <c r="I6" s="14"/>
      <c r="J6" s="15">
        <f t="shared" ref="J6:J37" si="2">H6-I6</f>
        <v>0</v>
      </c>
      <c r="K6" s="16">
        <f t="shared" ref="K6:K37" si="3">D6+G6+J6</f>
        <v>0</v>
      </c>
    </row>
    <row r="7" spans="1:11" x14ac:dyDescent="0.25">
      <c r="A7" s="6">
        <v>43862</v>
      </c>
      <c r="B7" s="14"/>
      <c r="C7" s="14"/>
      <c r="D7" s="15">
        <f t="shared" si="0"/>
        <v>0</v>
      </c>
      <c r="E7" s="14"/>
      <c r="F7" s="14"/>
      <c r="G7" s="15">
        <f t="shared" si="1"/>
        <v>0</v>
      </c>
      <c r="H7" s="14"/>
      <c r="I7" s="14"/>
      <c r="J7" s="15">
        <f t="shared" si="2"/>
        <v>0</v>
      </c>
      <c r="K7" s="16">
        <f t="shared" si="3"/>
        <v>0</v>
      </c>
    </row>
    <row r="8" spans="1:11" x14ac:dyDescent="0.25">
      <c r="A8" s="6">
        <v>43891</v>
      </c>
      <c r="B8" s="14"/>
      <c r="C8" s="14"/>
      <c r="D8" s="15">
        <f t="shared" si="0"/>
        <v>0</v>
      </c>
      <c r="E8" s="14"/>
      <c r="F8" s="14"/>
      <c r="G8" s="15">
        <f t="shared" si="1"/>
        <v>0</v>
      </c>
      <c r="H8" s="14"/>
      <c r="I8" s="14"/>
      <c r="J8" s="15">
        <f t="shared" si="2"/>
        <v>0</v>
      </c>
      <c r="K8" s="16">
        <f t="shared" si="3"/>
        <v>0</v>
      </c>
    </row>
    <row r="9" spans="1:11" x14ac:dyDescent="0.25">
      <c r="A9" s="6">
        <v>43922</v>
      </c>
      <c r="B9" s="14"/>
      <c r="C9" s="14"/>
      <c r="D9" s="15">
        <f t="shared" si="0"/>
        <v>0</v>
      </c>
      <c r="E9" s="14"/>
      <c r="F9" s="14"/>
      <c r="G9" s="15">
        <f t="shared" si="1"/>
        <v>0</v>
      </c>
      <c r="H9" s="14"/>
      <c r="I9" s="14"/>
      <c r="J9" s="15">
        <f t="shared" si="2"/>
        <v>0</v>
      </c>
      <c r="K9" s="16">
        <f t="shared" si="3"/>
        <v>0</v>
      </c>
    </row>
    <row r="10" spans="1:11" x14ac:dyDescent="0.25">
      <c r="A10" s="6">
        <v>43952</v>
      </c>
      <c r="B10" s="14"/>
      <c r="C10" s="14"/>
      <c r="D10" s="15">
        <f t="shared" si="0"/>
        <v>0</v>
      </c>
      <c r="E10" s="14"/>
      <c r="F10" s="14"/>
      <c r="G10" s="15">
        <f t="shared" si="1"/>
        <v>0</v>
      </c>
      <c r="H10" s="14"/>
      <c r="I10" s="14"/>
      <c r="J10" s="15">
        <f t="shared" si="2"/>
        <v>0</v>
      </c>
      <c r="K10" s="16">
        <f t="shared" si="3"/>
        <v>0</v>
      </c>
    </row>
    <row r="11" spans="1:11" x14ac:dyDescent="0.25">
      <c r="A11" s="6">
        <v>43983</v>
      </c>
      <c r="B11" s="14"/>
      <c r="C11" s="14"/>
      <c r="D11" s="15">
        <f t="shared" si="0"/>
        <v>0</v>
      </c>
      <c r="E11" s="14"/>
      <c r="F11" s="14"/>
      <c r="G11" s="15">
        <f t="shared" si="1"/>
        <v>0</v>
      </c>
      <c r="H11" s="14"/>
      <c r="I11" s="14"/>
      <c r="J11" s="15">
        <f t="shared" si="2"/>
        <v>0</v>
      </c>
      <c r="K11" s="16">
        <f t="shared" si="3"/>
        <v>0</v>
      </c>
    </row>
    <row r="12" spans="1:11" x14ac:dyDescent="0.25">
      <c r="A12" s="6">
        <v>44013</v>
      </c>
      <c r="B12" s="14"/>
      <c r="C12" s="14"/>
      <c r="D12" s="15">
        <f t="shared" si="0"/>
        <v>0</v>
      </c>
      <c r="E12" s="14"/>
      <c r="F12" s="14"/>
      <c r="G12" s="15">
        <f t="shared" si="1"/>
        <v>0</v>
      </c>
      <c r="H12" s="14"/>
      <c r="I12" s="14"/>
      <c r="J12" s="15">
        <f t="shared" si="2"/>
        <v>0</v>
      </c>
      <c r="K12" s="16">
        <f t="shared" si="3"/>
        <v>0</v>
      </c>
    </row>
    <row r="13" spans="1:11" x14ac:dyDescent="0.25">
      <c r="A13" s="6">
        <v>44044</v>
      </c>
      <c r="B13" s="14"/>
      <c r="C13" s="14"/>
      <c r="D13" s="15">
        <f t="shared" si="0"/>
        <v>0</v>
      </c>
      <c r="E13" s="14"/>
      <c r="F13" s="14"/>
      <c r="G13" s="15">
        <f t="shared" si="1"/>
        <v>0</v>
      </c>
      <c r="H13" s="14"/>
      <c r="I13" s="14"/>
      <c r="J13" s="15">
        <f t="shared" si="2"/>
        <v>0</v>
      </c>
      <c r="K13" s="16">
        <f t="shared" si="3"/>
        <v>0</v>
      </c>
    </row>
    <row r="14" spans="1:11" x14ac:dyDescent="0.25">
      <c r="A14" s="6">
        <v>44075</v>
      </c>
      <c r="B14" s="14"/>
      <c r="C14" s="14"/>
      <c r="D14" s="15">
        <f t="shared" si="0"/>
        <v>0</v>
      </c>
      <c r="E14" s="14"/>
      <c r="F14" s="14"/>
      <c r="G14" s="15">
        <f t="shared" si="1"/>
        <v>0</v>
      </c>
      <c r="H14" s="14"/>
      <c r="I14" s="14"/>
      <c r="J14" s="15">
        <f t="shared" si="2"/>
        <v>0</v>
      </c>
      <c r="K14" s="16">
        <f t="shared" si="3"/>
        <v>0</v>
      </c>
    </row>
    <row r="15" spans="1:11" x14ac:dyDescent="0.25">
      <c r="A15" s="6">
        <v>44105</v>
      </c>
      <c r="B15" s="14"/>
      <c r="C15" s="14"/>
      <c r="D15" s="15">
        <f t="shared" si="0"/>
        <v>0</v>
      </c>
      <c r="E15" s="14"/>
      <c r="F15" s="14"/>
      <c r="G15" s="15">
        <f t="shared" si="1"/>
        <v>0</v>
      </c>
      <c r="H15" s="14"/>
      <c r="I15" s="14"/>
      <c r="J15" s="15">
        <f t="shared" si="2"/>
        <v>0</v>
      </c>
      <c r="K15" s="16">
        <f t="shared" si="3"/>
        <v>0</v>
      </c>
    </row>
    <row r="16" spans="1:11" x14ac:dyDescent="0.25">
      <c r="A16" s="6">
        <v>44136</v>
      </c>
      <c r="B16" s="14"/>
      <c r="C16" s="14"/>
      <c r="D16" s="15">
        <f t="shared" si="0"/>
        <v>0</v>
      </c>
      <c r="E16" s="14"/>
      <c r="F16" s="14"/>
      <c r="G16" s="15">
        <f t="shared" si="1"/>
        <v>0</v>
      </c>
      <c r="H16" s="14"/>
      <c r="I16" s="14"/>
      <c r="J16" s="15">
        <f t="shared" si="2"/>
        <v>0</v>
      </c>
      <c r="K16" s="16">
        <f t="shared" si="3"/>
        <v>0</v>
      </c>
    </row>
    <row r="17" spans="1:11" x14ac:dyDescent="0.25">
      <c r="A17" s="6">
        <v>44166</v>
      </c>
      <c r="B17" s="14"/>
      <c r="C17" s="14"/>
      <c r="D17" s="15">
        <f t="shared" si="0"/>
        <v>0</v>
      </c>
      <c r="E17" s="14"/>
      <c r="F17" s="14"/>
      <c r="G17" s="15">
        <f t="shared" si="1"/>
        <v>0</v>
      </c>
      <c r="H17" s="14"/>
      <c r="I17" s="14"/>
      <c r="J17" s="15">
        <f t="shared" si="2"/>
        <v>0</v>
      </c>
      <c r="K17" s="16">
        <f t="shared" si="3"/>
        <v>0</v>
      </c>
    </row>
    <row r="18" spans="1:11" x14ac:dyDescent="0.25">
      <c r="A18" s="6">
        <v>44197</v>
      </c>
      <c r="B18" s="14"/>
      <c r="C18" s="14"/>
      <c r="D18" s="15">
        <f t="shared" si="0"/>
        <v>0</v>
      </c>
      <c r="E18" s="14"/>
      <c r="F18" s="14"/>
      <c r="G18" s="15">
        <f t="shared" si="1"/>
        <v>0</v>
      </c>
      <c r="H18" s="14"/>
      <c r="I18" s="14"/>
      <c r="J18" s="15">
        <f t="shared" si="2"/>
        <v>0</v>
      </c>
      <c r="K18" s="16">
        <f t="shared" si="3"/>
        <v>0</v>
      </c>
    </row>
    <row r="19" spans="1:11" x14ac:dyDescent="0.25">
      <c r="A19" s="6">
        <v>44228</v>
      </c>
      <c r="B19" s="14"/>
      <c r="C19" s="14"/>
      <c r="D19" s="15">
        <f t="shared" si="0"/>
        <v>0</v>
      </c>
      <c r="E19" s="14"/>
      <c r="F19" s="14"/>
      <c r="G19" s="15">
        <f t="shared" si="1"/>
        <v>0</v>
      </c>
      <c r="H19" s="14"/>
      <c r="I19" s="14"/>
      <c r="J19" s="15">
        <f t="shared" si="2"/>
        <v>0</v>
      </c>
      <c r="K19" s="16">
        <f t="shared" si="3"/>
        <v>0</v>
      </c>
    </row>
    <row r="20" spans="1:11" x14ac:dyDescent="0.25">
      <c r="A20" s="6">
        <v>44256</v>
      </c>
      <c r="B20" s="14"/>
      <c r="C20" s="14"/>
      <c r="D20" s="15">
        <f t="shared" si="0"/>
        <v>0</v>
      </c>
      <c r="E20" s="14"/>
      <c r="F20" s="14"/>
      <c r="G20" s="15">
        <f t="shared" si="1"/>
        <v>0</v>
      </c>
      <c r="H20" s="14"/>
      <c r="I20" s="14"/>
      <c r="J20" s="15">
        <f t="shared" si="2"/>
        <v>0</v>
      </c>
      <c r="K20" s="16">
        <f t="shared" si="3"/>
        <v>0</v>
      </c>
    </row>
    <row r="21" spans="1:11" x14ac:dyDescent="0.25">
      <c r="A21" s="6">
        <v>44287</v>
      </c>
      <c r="B21" s="14"/>
      <c r="C21" s="14"/>
      <c r="D21" s="15">
        <f t="shared" si="0"/>
        <v>0</v>
      </c>
      <c r="E21" s="14"/>
      <c r="F21" s="14"/>
      <c r="G21" s="15">
        <f t="shared" si="1"/>
        <v>0</v>
      </c>
      <c r="H21" s="14"/>
      <c r="I21" s="14"/>
      <c r="J21" s="15">
        <f t="shared" si="2"/>
        <v>0</v>
      </c>
      <c r="K21" s="16">
        <f t="shared" si="3"/>
        <v>0</v>
      </c>
    </row>
    <row r="22" spans="1:11" x14ac:dyDescent="0.25">
      <c r="A22" s="6">
        <v>44317</v>
      </c>
      <c r="B22" s="14"/>
      <c r="C22" s="14"/>
      <c r="D22" s="15">
        <f t="shared" si="0"/>
        <v>0</v>
      </c>
      <c r="E22" s="14"/>
      <c r="F22" s="14"/>
      <c r="G22" s="15">
        <f t="shared" si="1"/>
        <v>0</v>
      </c>
      <c r="H22" s="14"/>
      <c r="I22" s="14"/>
      <c r="J22" s="15">
        <f t="shared" si="2"/>
        <v>0</v>
      </c>
      <c r="K22" s="16">
        <f t="shared" si="3"/>
        <v>0</v>
      </c>
    </row>
    <row r="23" spans="1:11" x14ac:dyDescent="0.25">
      <c r="A23" s="6">
        <v>44348</v>
      </c>
      <c r="B23" s="14"/>
      <c r="C23" s="14"/>
      <c r="D23" s="15">
        <f t="shared" si="0"/>
        <v>0</v>
      </c>
      <c r="E23" s="14"/>
      <c r="F23" s="14"/>
      <c r="G23" s="15">
        <f t="shared" si="1"/>
        <v>0</v>
      </c>
      <c r="H23" s="14"/>
      <c r="I23" s="14"/>
      <c r="J23" s="15">
        <f t="shared" si="2"/>
        <v>0</v>
      </c>
      <c r="K23" s="16">
        <f t="shared" si="3"/>
        <v>0</v>
      </c>
    </row>
    <row r="24" spans="1:11" x14ac:dyDescent="0.25">
      <c r="A24" s="6">
        <v>44378</v>
      </c>
      <c r="B24" s="14"/>
      <c r="C24" s="14"/>
      <c r="D24" s="15">
        <f t="shared" si="0"/>
        <v>0</v>
      </c>
      <c r="E24" s="14"/>
      <c r="F24" s="14"/>
      <c r="G24" s="15">
        <f t="shared" si="1"/>
        <v>0</v>
      </c>
      <c r="H24" s="14"/>
      <c r="I24" s="14"/>
      <c r="J24" s="15">
        <f t="shared" si="2"/>
        <v>0</v>
      </c>
      <c r="K24" s="16">
        <f t="shared" si="3"/>
        <v>0</v>
      </c>
    </row>
    <row r="25" spans="1:11" x14ac:dyDescent="0.25">
      <c r="A25" s="6">
        <v>44409</v>
      </c>
      <c r="B25" s="14"/>
      <c r="C25" s="14"/>
      <c r="D25" s="15">
        <f t="shared" si="0"/>
        <v>0</v>
      </c>
      <c r="E25" s="14"/>
      <c r="F25" s="14"/>
      <c r="G25" s="15">
        <f t="shared" si="1"/>
        <v>0</v>
      </c>
      <c r="H25" s="14"/>
      <c r="I25" s="14"/>
      <c r="J25" s="15">
        <f t="shared" si="2"/>
        <v>0</v>
      </c>
      <c r="K25" s="16">
        <f t="shared" si="3"/>
        <v>0</v>
      </c>
    </row>
    <row r="26" spans="1:11" x14ac:dyDescent="0.25">
      <c r="A26" s="6">
        <v>44440</v>
      </c>
      <c r="B26" s="14"/>
      <c r="C26" s="14"/>
      <c r="D26" s="15">
        <f t="shared" si="0"/>
        <v>0</v>
      </c>
      <c r="E26" s="14"/>
      <c r="F26" s="14"/>
      <c r="G26" s="15">
        <f t="shared" si="1"/>
        <v>0</v>
      </c>
      <c r="H26" s="14"/>
      <c r="I26" s="14"/>
      <c r="J26" s="15">
        <f t="shared" si="2"/>
        <v>0</v>
      </c>
      <c r="K26" s="16">
        <f t="shared" si="3"/>
        <v>0</v>
      </c>
    </row>
    <row r="27" spans="1:11" x14ac:dyDescent="0.25">
      <c r="A27" s="6">
        <v>44470</v>
      </c>
      <c r="B27" s="14"/>
      <c r="C27" s="14"/>
      <c r="D27" s="15">
        <f t="shared" si="0"/>
        <v>0</v>
      </c>
      <c r="E27" s="14"/>
      <c r="F27" s="14"/>
      <c r="G27" s="15">
        <f t="shared" si="1"/>
        <v>0</v>
      </c>
      <c r="H27" s="14"/>
      <c r="I27" s="14"/>
      <c r="J27" s="15">
        <f t="shared" si="2"/>
        <v>0</v>
      </c>
      <c r="K27" s="16">
        <f t="shared" si="3"/>
        <v>0</v>
      </c>
    </row>
    <row r="28" spans="1:11" x14ac:dyDescent="0.25">
      <c r="A28" s="6">
        <v>44501</v>
      </c>
      <c r="B28" s="14"/>
      <c r="C28" s="14"/>
      <c r="D28" s="15">
        <f t="shared" si="0"/>
        <v>0</v>
      </c>
      <c r="E28" s="14"/>
      <c r="F28" s="14"/>
      <c r="G28" s="15">
        <f t="shared" si="1"/>
        <v>0</v>
      </c>
      <c r="H28" s="14"/>
      <c r="I28" s="14"/>
      <c r="J28" s="15">
        <f t="shared" si="2"/>
        <v>0</v>
      </c>
      <c r="K28" s="16">
        <f t="shared" si="3"/>
        <v>0</v>
      </c>
    </row>
    <row r="29" spans="1:11" x14ac:dyDescent="0.25">
      <c r="A29" s="6">
        <v>44531</v>
      </c>
      <c r="B29" s="14"/>
      <c r="C29" s="14"/>
      <c r="D29" s="15">
        <f t="shared" si="0"/>
        <v>0</v>
      </c>
      <c r="E29" s="14"/>
      <c r="F29" s="14"/>
      <c r="G29" s="15">
        <f t="shared" si="1"/>
        <v>0</v>
      </c>
      <c r="H29" s="14"/>
      <c r="I29" s="14"/>
      <c r="J29" s="15">
        <f t="shared" si="2"/>
        <v>0</v>
      </c>
      <c r="K29" s="16">
        <f t="shared" si="3"/>
        <v>0</v>
      </c>
    </row>
    <row r="30" spans="1:11" x14ac:dyDescent="0.25">
      <c r="A30" s="6">
        <v>44562</v>
      </c>
      <c r="B30" s="14"/>
      <c r="C30" s="14"/>
      <c r="D30" s="15">
        <f t="shared" si="0"/>
        <v>0</v>
      </c>
      <c r="E30" s="14"/>
      <c r="F30" s="14"/>
      <c r="G30" s="15">
        <f t="shared" si="1"/>
        <v>0</v>
      </c>
      <c r="H30" s="14"/>
      <c r="I30" s="14"/>
      <c r="J30" s="15">
        <f t="shared" si="2"/>
        <v>0</v>
      </c>
      <c r="K30" s="16">
        <f t="shared" si="3"/>
        <v>0</v>
      </c>
    </row>
    <row r="31" spans="1:11" x14ac:dyDescent="0.25">
      <c r="A31" s="6">
        <v>44593</v>
      </c>
      <c r="B31" s="14"/>
      <c r="C31" s="14"/>
      <c r="D31" s="15">
        <f t="shared" si="0"/>
        <v>0</v>
      </c>
      <c r="E31" s="14"/>
      <c r="F31" s="14"/>
      <c r="G31" s="15">
        <f t="shared" si="1"/>
        <v>0</v>
      </c>
      <c r="H31" s="14"/>
      <c r="I31" s="14"/>
      <c r="J31" s="15">
        <f t="shared" si="2"/>
        <v>0</v>
      </c>
      <c r="K31" s="16">
        <f t="shared" si="3"/>
        <v>0</v>
      </c>
    </row>
    <row r="32" spans="1:11" x14ac:dyDescent="0.25">
      <c r="A32" s="6">
        <v>44621</v>
      </c>
      <c r="B32" s="14"/>
      <c r="C32" s="14"/>
      <c r="D32" s="15">
        <f t="shared" si="0"/>
        <v>0</v>
      </c>
      <c r="E32" s="14"/>
      <c r="F32" s="14"/>
      <c r="G32" s="15">
        <f t="shared" si="1"/>
        <v>0</v>
      </c>
      <c r="H32" s="14"/>
      <c r="I32" s="14"/>
      <c r="J32" s="15">
        <f t="shared" si="2"/>
        <v>0</v>
      </c>
      <c r="K32" s="16">
        <f t="shared" si="3"/>
        <v>0</v>
      </c>
    </row>
    <row r="33" spans="1:11" x14ac:dyDescent="0.25">
      <c r="A33" s="6">
        <v>44652</v>
      </c>
      <c r="B33" s="14"/>
      <c r="C33" s="14"/>
      <c r="D33" s="15">
        <f t="shared" si="0"/>
        <v>0</v>
      </c>
      <c r="E33" s="14"/>
      <c r="F33" s="14"/>
      <c r="G33" s="15">
        <f t="shared" si="1"/>
        <v>0</v>
      </c>
      <c r="H33" s="14"/>
      <c r="I33" s="14"/>
      <c r="J33" s="15">
        <f t="shared" si="2"/>
        <v>0</v>
      </c>
      <c r="K33" s="16">
        <f t="shared" si="3"/>
        <v>0</v>
      </c>
    </row>
    <row r="34" spans="1:11" x14ac:dyDescent="0.25">
      <c r="A34" s="6">
        <v>44682</v>
      </c>
      <c r="B34" s="14"/>
      <c r="C34" s="14"/>
      <c r="D34" s="15">
        <f t="shared" si="0"/>
        <v>0</v>
      </c>
      <c r="E34" s="14"/>
      <c r="F34" s="14"/>
      <c r="G34" s="15">
        <f t="shared" si="1"/>
        <v>0</v>
      </c>
      <c r="H34" s="14"/>
      <c r="I34" s="14"/>
      <c r="J34" s="15">
        <f t="shared" si="2"/>
        <v>0</v>
      </c>
      <c r="K34" s="16">
        <f t="shared" si="3"/>
        <v>0</v>
      </c>
    </row>
    <row r="35" spans="1:11" x14ac:dyDescent="0.25">
      <c r="A35" s="6">
        <v>44713</v>
      </c>
      <c r="B35" s="14"/>
      <c r="C35" s="14"/>
      <c r="D35" s="15">
        <f t="shared" si="0"/>
        <v>0</v>
      </c>
      <c r="E35" s="14"/>
      <c r="F35" s="14"/>
      <c r="G35" s="15">
        <f t="shared" si="1"/>
        <v>0</v>
      </c>
      <c r="H35" s="14"/>
      <c r="I35" s="14"/>
      <c r="J35" s="15">
        <f t="shared" si="2"/>
        <v>0</v>
      </c>
      <c r="K35" s="16">
        <f t="shared" si="3"/>
        <v>0</v>
      </c>
    </row>
    <row r="36" spans="1:11" x14ac:dyDescent="0.25">
      <c r="A36" s="6">
        <v>44743</v>
      </c>
      <c r="B36" s="14"/>
      <c r="C36" s="14"/>
      <c r="D36" s="15">
        <f t="shared" si="0"/>
        <v>0</v>
      </c>
      <c r="E36" s="14"/>
      <c r="F36" s="14"/>
      <c r="G36" s="15">
        <f t="shared" si="1"/>
        <v>0</v>
      </c>
      <c r="H36" s="14"/>
      <c r="I36" s="14"/>
      <c r="J36" s="15">
        <f t="shared" si="2"/>
        <v>0</v>
      </c>
      <c r="K36" s="16">
        <f t="shared" si="3"/>
        <v>0</v>
      </c>
    </row>
    <row r="37" spans="1:11" x14ac:dyDescent="0.25">
      <c r="A37" s="6">
        <v>44774</v>
      </c>
      <c r="B37" s="14"/>
      <c r="C37" s="14"/>
      <c r="D37" s="15">
        <f t="shared" si="0"/>
        <v>0</v>
      </c>
      <c r="E37" s="14"/>
      <c r="F37" s="14"/>
      <c r="G37" s="15">
        <f t="shared" si="1"/>
        <v>0</v>
      </c>
      <c r="H37" s="14"/>
      <c r="I37" s="14"/>
      <c r="J37" s="15">
        <f t="shared" si="2"/>
        <v>0</v>
      </c>
      <c r="K37" s="16">
        <f t="shared" si="3"/>
        <v>0</v>
      </c>
    </row>
    <row r="38" spans="1:11" x14ac:dyDescent="0.25">
      <c r="A38" s="6">
        <v>44805</v>
      </c>
      <c r="B38" s="14"/>
      <c r="C38" s="14"/>
      <c r="D38" s="15">
        <f t="shared" ref="D38:D69" si="4">B38-C38</f>
        <v>0</v>
      </c>
      <c r="E38" s="14"/>
      <c r="F38" s="14"/>
      <c r="G38" s="15">
        <f t="shared" ref="G38:G69" si="5">E38-F38</f>
        <v>0</v>
      </c>
      <c r="H38" s="14"/>
      <c r="I38" s="14"/>
      <c r="J38" s="15">
        <f t="shared" ref="J38:J69" si="6">H38-I38</f>
        <v>0</v>
      </c>
      <c r="K38" s="16">
        <f t="shared" ref="K38:K69" si="7">D38+G38+J38</f>
        <v>0</v>
      </c>
    </row>
    <row r="39" spans="1:11" x14ac:dyDescent="0.25">
      <c r="A39" s="6">
        <v>44835</v>
      </c>
      <c r="B39" s="14"/>
      <c r="C39" s="14"/>
      <c r="D39" s="15">
        <f t="shared" si="4"/>
        <v>0</v>
      </c>
      <c r="E39" s="14"/>
      <c r="F39" s="14"/>
      <c r="G39" s="15">
        <f t="shared" si="5"/>
        <v>0</v>
      </c>
      <c r="H39" s="14"/>
      <c r="I39" s="14"/>
      <c r="J39" s="15">
        <f t="shared" si="6"/>
        <v>0</v>
      </c>
      <c r="K39" s="16">
        <f t="shared" si="7"/>
        <v>0</v>
      </c>
    </row>
    <row r="40" spans="1:11" x14ac:dyDescent="0.25">
      <c r="A40" s="6">
        <v>44866</v>
      </c>
      <c r="B40" s="14"/>
      <c r="C40" s="14"/>
      <c r="D40" s="15">
        <f t="shared" si="4"/>
        <v>0</v>
      </c>
      <c r="E40" s="14"/>
      <c r="F40" s="14"/>
      <c r="G40" s="15">
        <f t="shared" si="5"/>
        <v>0</v>
      </c>
      <c r="H40" s="14"/>
      <c r="I40" s="14"/>
      <c r="J40" s="15">
        <f t="shared" si="6"/>
        <v>0</v>
      </c>
      <c r="K40" s="16">
        <f t="shared" si="7"/>
        <v>0</v>
      </c>
    </row>
    <row r="41" spans="1:11" x14ac:dyDescent="0.25">
      <c r="A41" s="6">
        <v>44896</v>
      </c>
      <c r="B41" s="14"/>
      <c r="C41" s="14"/>
      <c r="D41" s="15">
        <f t="shared" si="4"/>
        <v>0</v>
      </c>
      <c r="E41" s="14"/>
      <c r="F41" s="14"/>
      <c r="G41" s="15">
        <f t="shared" si="5"/>
        <v>0</v>
      </c>
      <c r="H41" s="14"/>
      <c r="I41" s="14"/>
      <c r="J41" s="15">
        <f t="shared" si="6"/>
        <v>0</v>
      </c>
      <c r="K41" s="16">
        <f t="shared" si="7"/>
        <v>0</v>
      </c>
    </row>
    <row r="42" spans="1:11" x14ac:dyDescent="0.25">
      <c r="A42" s="6">
        <v>44927</v>
      </c>
      <c r="B42" s="14"/>
      <c r="C42" s="14"/>
      <c r="D42" s="15">
        <f t="shared" si="4"/>
        <v>0</v>
      </c>
      <c r="E42" s="14"/>
      <c r="F42" s="14"/>
      <c r="G42" s="15">
        <f t="shared" si="5"/>
        <v>0</v>
      </c>
      <c r="H42" s="14"/>
      <c r="I42" s="14"/>
      <c r="J42" s="15">
        <f t="shared" si="6"/>
        <v>0</v>
      </c>
      <c r="K42" s="16">
        <f t="shared" si="7"/>
        <v>0</v>
      </c>
    </row>
    <row r="43" spans="1:11" x14ac:dyDescent="0.25">
      <c r="A43" s="6">
        <v>44958</v>
      </c>
      <c r="B43" s="14"/>
      <c r="C43" s="14"/>
      <c r="D43" s="15">
        <f t="shared" si="4"/>
        <v>0</v>
      </c>
      <c r="E43" s="14"/>
      <c r="F43" s="14"/>
      <c r="G43" s="15">
        <f t="shared" si="5"/>
        <v>0</v>
      </c>
      <c r="H43" s="14"/>
      <c r="I43" s="14"/>
      <c r="J43" s="15">
        <f t="shared" si="6"/>
        <v>0</v>
      </c>
      <c r="K43" s="16">
        <f t="shared" si="7"/>
        <v>0</v>
      </c>
    </row>
    <row r="44" spans="1:11" x14ac:dyDescent="0.25">
      <c r="A44" s="6">
        <v>44986</v>
      </c>
      <c r="B44" s="14"/>
      <c r="C44" s="14"/>
      <c r="D44" s="15">
        <f t="shared" si="4"/>
        <v>0</v>
      </c>
      <c r="E44" s="14"/>
      <c r="F44" s="14"/>
      <c r="G44" s="15">
        <f t="shared" si="5"/>
        <v>0</v>
      </c>
      <c r="H44" s="14"/>
      <c r="I44" s="14"/>
      <c r="J44" s="15">
        <f t="shared" si="6"/>
        <v>0</v>
      </c>
      <c r="K44" s="16">
        <f t="shared" si="7"/>
        <v>0</v>
      </c>
    </row>
    <row r="45" spans="1:11" x14ac:dyDescent="0.25">
      <c r="A45" s="6">
        <v>45017</v>
      </c>
      <c r="B45" s="14"/>
      <c r="C45" s="14"/>
      <c r="D45" s="15">
        <f t="shared" si="4"/>
        <v>0</v>
      </c>
      <c r="E45" s="14"/>
      <c r="F45" s="14"/>
      <c r="G45" s="15">
        <f t="shared" si="5"/>
        <v>0</v>
      </c>
      <c r="H45" s="14"/>
      <c r="I45" s="14"/>
      <c r="J45" s="15">
        <f t="shared" si="6"/>
        <v>0</v>
      </c>
      <c r="K45" s="16">
        <f t="shared" si="7"/>
        <v>0</v>
      </c>
    </row>
    <row r="46" spans="1:11" x14ac:dyDescent="0.25">
      <c r="A46" s="6">
        <v>45047</v>
      </c>
      <c r="B46" s="14"/>
      <c r="C46" s="14"/>
      <c r="D46" s="15">
        <f t="shared" si="4"/>
        <v>0</v>
      </c>
      <c r="E46" s="14"/>
      <c r="F46" s="14"/>
      <c r="G46" s="15">
        <f t="shared" si="5"/>
        <v>0</v>
      </c>
      <c r="H46" s="14"/>
      <c r="I46" s="14"/>
      <c r="J46" s="15">
        <f t="shared" si="6"/>
        <v>0</v>
      </c>
      <c r="K46" s="16">
        <f t="shared" si="7"/>
        <v>0</v>
      </c>
    </row>
    <row r="47" spans="1:11" x14ac:dyDescent="0.25">
      <c r="A47" s="6">
        <v>45078</v>
      </c>
      <c r="B47" s="14"/>
      <c r="C47" s="14"/>
      <c r="D47" s="15">
        <f t="shared" si="4"/>
        <v>0</v>
      </c>
      <c r="E47" s="14"/>
      <c r="F47" s="14"/>
      <c r="G47" s="15">
        <f t="shared" si="5"/>
        <v>0</v>
      </c>
      <c r="H47" s="14"/>
      <c r="I47" s="14"/>
      <c r="J47" s="15">
        <f t="shared" si="6"/>
        <v>0</v>
      </c>
      <c r="K47" s="16">
        <f t="shared" si="7"/>
        <v>0</v>
      </c>
    </row>
    <row r="48" spans="1:11" x14ac:dyDescent="0.25">
      <c r="A48" s="6">
        <v>45108</v>
      </c>
      <c r="B48" s="14"/>
      <c r="C48" s="14"/>
      <c r="D48" s="15">
        <f t="shared" si="4"/>
        <v>0</v>
      </c>
      <c r="E48" s="14"/>
      <c r="F48" s="14"/>
      <c r="G48" s="15">
        <f t="shared" si="5"/>
        <v>0</v>
      </c>
      <c r="H48" s="14"/>
      <c r="I48" s="14"/>
      <c r="J48" s="15">
        <f t="shared" si="6"/>
        <v>0</v>
      </c>
      <c r="K48" s="16">
        <f t="shared" si="7"/>
        <v>0</v>
      </c>
    </row>
    <row r="49" spans="1:11" x14ac:dyDescent="0.25">
      <c r="A49" s="6">
        <v>45139</v>
      </c>
      <c r="B49" s="14"/>
      <c r="C49" s="14"/>
      <c r="D49" s="15">
        <f t="shared" si="4"/>
        <v>0</v>
      </c>
      <c r="E49" s="14"/>
      <c r="F49" s="14"/>
      <c r="G49" s="15">
        <f t="shared" si="5"/>
        <v>0</v>
      </c>
      <c r="H49" s="14"/>
      <c r="I49" s="14"/>
      <c r="J49" s="15">
        <f t="shared" si="6"/>
        <v>0</v>
      </c>
      <c r="K49" s="16">
        <f t="shared" si="7"/>
        <v>0</v>
      </c>
    </row>
    <row r="50" spans="1:11" x14ac:dyDescent="0.25">
      <c r="A50" s="6">
        <v>45170</v>
      </c>
      <c r="B50" s="14"/>
      <c r="C50" s="14"/>
      <c r="D50" s="15">
        <f t="shared" si="4"/>
        <v>0</v>
      </c>
      <c r="E50" s="14"/>
      <c r="F50" s="14"/>
      <c r="G50" s="15">
        <f t="shared" si="5"/>
        <v>0</v>
      </c>
      <c r="H50" s="14"/>
      <c r="I50" s="14"/>
      <c r="J50" s="15">
        <f t="shared" si="6"/>
        <v>0</v>
      </c>
      <c r="K50" s="16">
        <f t="shared" si="7"/>
        <v>0</v>
      </c>
    </row>
    <row r="51" spans="1:11" x14ac:dyDescent="0.25">
      <c r="A51" s="6">
        <v>45200</v>
      </c>
      <c r="B51" s="14"/>
      <c r="C51" s="14"/>
      <c r="D51" s="15">
        <f t="shared" si="4"/>
        <v>0</v>
      </c>
      <c r="E51" s="14"/>
      <c r="F51" s="14"/>
      <c r="G51" s="15">
        <f t="shared" si="5"/>
        <v>0</v>
      </c>
      <c r="H51" s="14"/>
      <c r="I51" s="14"/>
      <c r="J51" s="15">
        <f t="shared" si="6"/>
        <v>0</v>
      </c>
      <c r="K51" s="16">
        <f t="shared" si="7"/>
        <v>0</v>
      </c>
    </row>
    <row r="52" spans="1:11" x14ac:dyDescent="0.25">
      <c r="A52" s="6">
        <v>45231</v>
      </c>
      <c r="B52" s="14"/>
      <c r="C52" s="14"/>
      <c r="D52" s="15">
        <f t="shared" si="4"/>
        <v>0</v>
      </c>
      <c r="E52" s="14"/>
      <c r="F52" s="14"/>
      <c r="G52" s="15">
        <f t="shared" si="5"/>
        <v>0</v>
      </c>
      <c r="H52" s="14"/>
      <c r="I52" s="14"/>
      <c r="J52" s="15">
        <f t="shared" si="6"/>
        <v>0</v>
      </c>
      <c r="K52" s="16">
        <f t="shared" si="7"/>
        <v>0</v>
      </c>
    </row>
    <row r="53" spans="1:11" x14ac:dyDescent="0.25">
      <c r="A53" s="6">
        <v>45261</v>
      </c>
      <c r="B53" s="14"/>
      <c r="C53" s="14"/>
      <c r="D53" s="15">
        <f t="shared" si="4"/>
        <v>0</v>
      </c>
      <c r="E53" s="14"/>
      <c r="F53" s="14"/>
      <c r="G53" s="15">
        <f t="shared" si="5"/>
        <v>0</v>
      </c>
      <c r="H53" s="14"/>
      <c r="I53" s="14"/>
      <c r="J53" s="15">
        <f t="shared" si="6"/>
        <v>0</v>
      </c>
      <c r="K53" s="16">
        <f t="shared" si="7"/>
        <v>0</v>
      </c>
    </row>
    <row r="54" spans="1:11" x14ac:dyDescent="0.25">
      <c r="A54" s="6">
        <v>45292</v>
      </c>
      <c r="B54" s="14"/>
      <c r="C54" s="14"/>
      <c r="D54" s="15">
        <f t="shared" si="4"/>
        <v>0</v>
      </c>
      <c r="E54" s="14"/>
      <c r="F54" s="14"/>
      <c r="G54" s="15">
        <f t="shared" si="5"/>
        <v>0</v>
      </c>
      <c r="H54" s="14"/>
      <c r="I54" s="14"/>
      <c r="J54" s="15">
        <f t="shared" si="6"/>
        <v>0</v>
      </c>
      <c r="K54" s="16">
        <f t="shared" si="7"/>
        <v>0</v>
      </c>
    </row>
    <row r="55" spans="1:11" x14ac:dyDescent="0.25">
      <c r="A55" s="6">
        <v>45323</v>
      </c>
      <c r="B55" s="14"/>
      <c r="C55" s="14"/>
      <c r="D55" s="15">
        <f t="shared" si="4"/>
        <v>0</v>
      </c>
      <c r="E55" s="14"/>
      <c r="F55" s="14"/>
      <c r="G55" s="15">
        <f t="shared" si="5"/>
        <v>0</v>
      </c>
      <c r="H55" s="14"/>
      <c r="I55" s="14"/>
      <c r="J55" s="15">
        <f t="shared" si="6"/>
        <v>0</v>
      </c>
      <c r="K55" s="16">
        <f t="shared" si="7"/>
        <v>0</v>
      </c>
    </row>
    <row r="56" spans="1:11" x14ac:dyDescent="0.25">
      <c r="A56" s="6">
        <v>45352</v>
      </c>
      <c r="B56" s="14"/>
      <c r="C56" s="14"/>
      <c r="D56" s="15">
        <f t="shared" si="4"/>
        <v>0</v>
      </c>
      <c r="E56" s="14"/>
      <c r="F56" s="14"/>
      <c r="G56" s="15">
        <f t="shared" si="5"/>
        <v>0</v>
      </c>
      <c r="H56" s="14"/>
      <c r="I56" s="14"/>
      <c r="J56" s="15">
        <f t="shared" si="6"/>
        <v>0</v>
      </c>
      <c r="K56" s="16">
        <f t="shared" si="7"/>
        <v>0</v>
      </c>
    </row>
    <row r="57" spans="1:11" x14ac:dyDescent="0.25">
      <c r="A57" s="6">
        <v>45383</v>
      </c>
      <c r="B57" s="14"/>
      <c r="C57" s="14"/>
      <c r="D57" s="15">
        <f t="shared" si="4"/>
        <v>0</v>
      </c>
      <c r="E57" s="14"/>
      <c r="F57" s="14"/>
      <c r="G57" s="15">
        <f t="shared" si="5"/>
        <v>0</v>
      </c>
      <c r="H57" s="14"/>
      <c r="I57" s="14"/>
      <c r="J57" s="15">
        <f t="shared" si="6"/>
        <v>0</v>
      </c>
      <c r="K57" s="16">
        <f t="shared" si="7"/>
        <v>0</v>
      </c>
    </row>
    <row r="58" spans="1:11" x14ac:dyDescent="0.25">
      <c r="A58" s="6">
        <v>45413</v>
      </c>
      <c r="B58" s="14"/>
      <c r="C58" s="14"/>
      <c r="D58" s="15">
        <f t="shared" si="4"/>
        <v>0</v>
      </c>
      <c r="E58" s="14"/>
      <c r="F58" s="14"/>
      <c r="G58" s="15">
        <f t="shared" si="5"/>
        <v>0</v>
      </c>
      <c r="H58" s="14"/>
      <c r="I58" s="14"/>
      <c r="J58" s="15">
        <f t="shared" si="6"/>
        <v>0</v>
      </c>
      <c r="K58" s="16">
        <f t="shared" si="7"/>
        <v>0</v>
      </c>
    </row>
    <row r="59" spans="1:11" x14ac:dyDescent="0.25">
      <c r="A59" s="6">
        <v>45444</v>
      </c>
      <c r="B59" s="14"/>
      <c r="C59" s="14"/>
      <c r="D59" s="15">
        <f t="shared" si="4"/>
        <v>0</v>
      </c>
      <c r="E59" s="14"/>
      <c r="F59" s="14"/>
      <c r="G59" s="15">
        <f t="shared" si="5"/>
        <v>0</v>
      </c>
      <c r="H59" s="14"/>
      <c r="I59" s="14"/>
      <c r="J59" s="15">
        <f t="shared" si="6"/>
        <v>0</v>
      </c>
      <c r="K59" s="16">
        <f t="shared" si="7"/>
        <v>0</v>
      </c>
    </row>
    <row r="60" spans="1:11" x14ac:dyDescent="0.25">
      <c r="A60" s="6">
        <v>45474</v>
      </c>
      <c r="B60" s="14"/>
      <c r="C60" s="14"/>
      <c r="D60" s="15">
        <f t="shared" si="4"/>
        <v>0</v>
      </c>
      <c r="E60" s="14"/>
      <c r="F60" s="14"/>
      <c r="G60" s="15">
        <f t="shared" si="5"/>
        <v>0</v>
      </c>
      <c r="H60" s="14"/>
      <c r="I60" s="14"/>
      <c r="J60" s="15">
        <f t="shared" si="6"/>
        <v>0</v>
      </c>
      <c r="K60" s="16">
        <f t="shared" si="7"/>
        <v>0</v>
      </c>
    </row>
    <row r="61" spans="1:11" x14ac:dyDescent="0.25">
      <c r="A61" s="6">
        <v>45505</v>
      </c>
      <c r="B61" s="14"/>
      <c r="C61" s="14"/>
      <c r="D61" s="15">
        <f t="shared" si="4"/>
        <v>0</v>
      </c>
      <c r="E61" s="14"/>
      <c r="F61" s="14"/>
      <c r="G61" s="15">
        <f t="shared" si="5"/>
        <v>0</v>
      </c>
      <c r="H61" s="14"/>
      <c r="I61" s="14"/>
      <c r="J61" s="15">
        <f t="shared" si="6"/>
        <v>0</v>
      </c>
      <c r="K61" s="16">
        <f t="shared" si="7"/>
        <v>0</v>
      </c>
    </row>
    <row r="62" spans="1:11" x14ac:dyDescent="0.25">
      <c r="A62" s="6">
        <v>45536</v>
      </c>
      <c r="B62" s="14"/>
      <c r="C62" s="14"/>
      <c r="D62" s="15">
        <f t="shared" si="4"/>
        <v>0</v>
      </c>
      <c r="E62" s="14"/>
      <c r="F62" s="14"/>
      <c r="G62" s="15">
        <f t="shared" si="5"/>
        <v>0</v>
      </c>
      <c r="H62" s="14"/>
      <c r="I62" s="14"/>
      <c r="J62" s="15">
        <f t="shared" si="6"/>
        <v>0</v>
      </c>
      <c r="K62" s="16">
        <f t="shared" si="7"/>
        <v>0</v>
      </c>
    </row>
    <row r="63" spans="1:11" x14ac:dyDescent="0.25">
      <c r="A63" s="6">
        <v>45566</v>
      </c>
      <c r="B63" s="14"/>
      <c r="C63" s="14"/>
      <c r="D63" s="15">
        <f t="shared" si="4"/>
        <v>0</v>
      </c>
      <c r="E63" s="14"/>
      <c r="F63" s="14"/>
      <c r="G63" s="15">
        <f t="shared" si="5"/>
        <v>0</v>
      </c>
      <c r="H63" s="14"/>
      <c r="I63" s="14"/>
      <c r="J63" s="15">
        <f t="shared" si="6"/>
        <v>0</v>
      </c>
      <c r="K63" s="16">
        <f t="shared" si="7"/>
        <v>0</v>
      </c>
    </row>
    <row r="64" spans="1:11" x14ac:dyDescent="0.25">
      <c r="A64" s="6">
        <v>45597</v>
      </c>
      <c r="B64" s="14"/>
      <c r="C64" s="14"/>
      <c r="D64" s="15">
        <f t="shared" si="4"/>
        <v>0</v>
      </c>
      <c r="E64" s="14"/>
      <c r="F64" s="14"/>
      <c r="G64" s="15">
        <f t="shared" si="5"/>
        <v>0</v>
      </c>
      <c r="H64" s="14"/>
      <c r="I64" s="14"/>
      <c r="J64" s="15">
        <f t="shared" si="6"/>
        <v>0</v>
      </c>
      <c r="K64" s="16">
        <f t="shared" si="7"/>
        <v>0</v>
      </c>
    </row>
    <row r="65" spans="1:11" x14ac:dyDescent="0.25">
      <c r="A65" s="6">
        <v>45627</v>
      </c>
      <c r="B65" s="14"/>
      <c r="C65" s="14"/>
      <c r="D65" s="15">
        <f t="shared" si="4"/>
        <v>0</v>
      </c>
      <c r="E65" s="14"/>
      <c r="F65" s="14"/>
      <c r="G65" s="15">
        <f t="shared" si="5"/>
        <v>0</v>
      </c>
      <c r="H65" s="14"/>
      <c r="I65" s="14"/>
      <c r="J65" s="15">
        <f t="shared" si="6"/>
        <v>0</v>
      </c>
      <c r="K65" s="16">
        <f t="shared" si="7"/>
        <v>0</v>
      </c>
    </row>
    <row r="66" spans="1:11" x14ac:dyDescent="0.25">
      <c r="A66" s="6">
        <v>45658</v>
      </c>
      <c r="B66" s="14"/>
      <c r="C66" s="14"/>
      <c r="D66" s="15">
        <f t="shared" si="4"/>
        <v>0</v>
      </c>
      <c r="E66" s="14"/>
      <c r="F66" s="14"/>
      <c r="G66" s="15">
        <f t="shared" si="5"/>
        <v>0</v>
      </c>
      <c r="H66" s="14"/>
      <c r="I66" s="14"/>
      <c r="J66" s="15">
        <f t="shared" si="6"/>
        <v>0</v>
      </c>
      <c r="K66" s="16">
        <f t="shared" si="7"/>
        <v>0</v>
      </c>
    </row>
    <row r="67" spans="1:11" x14ac:dyDescent="0.25">
      <c r="A67" s="6">
        <v>45689</v>
      </c>
      <c r="B67" s="14"/>
      <c r="C67" s="14"/>
      <c r="D67" s="15">
        <f t="shared" si="4"/>
        <v>0</v>
      </c>
      <c r="E67" s="14"/>
      <c r="F67" s="14"/>
      <c r="G67" s="15">
        <f t="shared" si="5"/>
        <v>0</v>
      </c>
      <c r="H67" s="14"/>
      <c r="I67" s="14"/>
      <c r="J67" s="15">
        <f t="shared" si="6"/>
        <v>0</v>
      </c>
      <c r="K67" s="16">
        <f t="shared" si="7"/>
        <v>0</v>
      </c>
    </row>
    <row r="68" spans="1:11" x14ac:dyDescent="0.25">
      <c r="A68" s="6">
        <v>45717</v>
      </c>
      <c r="B68" s="14"/>
      <c r="C68" s="14"/>
      <c r="D68" s="15">
        <f t="shared" si="4"/>
        <v>0</v>
      </c>
      <c r="E68" s="14"/>
      <c r="F68" s="14"/>
      <c r="G68" s="15">
        <f t="shared" si="5"/>
        <v>0</v>
      </c>
      <c r="H68" s="14"/>
      <c r="I68" s="14"/>
      <c r="J68" s="15">
        <f t="shared" si="6"/>
        <v>0</v>
      </c>
      <c r="K68" s="16">
        <f t="shared" si="7"/>
        <v>0</v>
      </c>
    </row>
    <row r="69" spans="1:11" x14ac:dyDescent="0.25">
      <c r="A69" s="6">
        <v>45748</v>
      </c>
      <c r="B69" s="14"/>
      <c r="C69" s="14"/>
      <c r="D69" s="15">
        <f t="shared" si="4"/>
        <v>0</v>
      </c>
      <c r="E69" s="14"/>
      <c r="F69" s="14"/>
      <c r="G69" s="15">
        <f t="shared" si="5"/>
        <v>0</v>
      </c>
      <c r="H69" s="14"/>
      <c r="I69" s="14"/>
      <c r="J69" s="15">
        <f t="shared" si="6"/>
        <v>0</v>
      </c>
      <c r="K69" s="16">
        <f t="shared" si="7"/>
        <v>0</v>
      </c>
    </row>
    <row r="70" spans="1:11" x14ac:dyDescent="0.25">
      <c r="A70" s="6">
        <v>45778</v>
      </c>
      <c r="B70" s="14"/>
      <c r="C70" s="14"/>
      <c r="D70" s="15">
        <f t="shared" ref="D70:D101" si="8">B70-C70</f>
        <v>0</v>
      </c>
      <c r="E70" s="14"/>
      <c r="F70" s="14"/>
      <c r="G70" s="15">
        <f t="shared" ref="G70:G101" si="9">E70-F70</f>
        <v>0</v>
      </c>
      <c r="H70" s="14"/>
      <c r="I70" s="14"/>
      <c r="J70" s="15">
        <f t="shared" ref="J70:J101" si="10">H70-I70</f>
        <v>0</v>
      </c>
      <c r="K70" s="16">
        <f t="shared" ref="K70:K101" si="11">D70+G70+J70</f>
        <v>0</v>
      </c>
    </row>
    <row r="71" spans="1:11" x14ac:dyDescent="0.25">
      <c r="A71" s="6">
        <v>45809</v>
      </c>
      <c r="B71" s="14"/>
      <c r="C71" s="14"/>
      <c r="D71" s="15">
        <f t="shared" si="8"/>
        <v>0</v>
      </c>
      <c r="E71" s="14"/>
      <c r="F71" s="14"/>
      <c r="G71" s="15">
        <f t="shared" si="9"/>
        <v>0</v>
      </c>
      <c r="H71" s="14"/>
      <c r="I71" s="14"/>
      <c r="J71" s="15">
        <f t="shared" si="10"/>
        <v>0</v>
      </c>
      <c r="K71" s="16">
        <f t="shared" si="11"/>
        <v>0</v>
      </c>
    </row>
    <row r="72" spans="1:11" x14ac:dyDescent="0.25">
      <c r="A72" s="6">
        <v>45839</v>
      </c>
      <c r="B72" s="14"/>
      <c r="C72" s="14"/>
      <c r="D72" s="15">
        <f t="shared" si="8"/>
        <v>0</v>
      </c>
      <c r="E72" s="14"/>
      <c r="F72" s="14"/>
      <c r="G72" s="15">
        <f t="shared" si="9"/>
        <v>0</v>
      </c>
      <c r="H72" s="14"/>
      <c r="I72" s="14"/>
      <c r="J72" s="15">
        <f t="shared" si="10"/>
        <v>0</v>
      </c>
      <c r="K72" s="16">
        <f t="shared" si="11"/>
        <v>0</v>
      </c>
    </row>
    <row r="73" spans="1:11" x14ac:dyDescent="0.25">
      <c r="A73" s="6">
        <v>45870</v>
      </c>
      <c r="B73" s="14"/>
      <c r="C73" s="14"/>
      <c r="D73" s="15">
        <f t="shared" si="8"/>
        <v>0</v>
      </c>
      <c r="E73" s="14"/>
      <c r="F73" s="14"/>
      <c r="G73" s="15">
        <f t="shared" si="9"/>
        <v>0</v>
      </c>
      <c r="H73" s="14"/>
      <c r="I73" s="14"/>
      <c r="J73" s="15">
        <f t="shared" si="10"/>
        <v>0</v>
      </c>
      <c r="K73" s="16">
        <f t="shared" si="11"/>
        <v>0</v>
      </c>
    </row>
    <row r="74" spans="1:11" x14ac:dyDescent="0.25">
      <c r="A74" s="6">
        <v>45901</v>
      </c>
      <c r="B74" s="14"/>
      <c r="C74" s="14"/>
      <c r="D74" s="15">
        <f t="shared" si="8"/>
        <v>0</v>
      </c>
      <c r="E74" s="14"/>
      <c r="F74" s="14"/>
      <c r="G74" s="15">
        <f t="shared" si="9"/>
        <v>0</v>
      </c>
      <c r="H74" s="14"/>
      <c r="I74" s="14"/>
      <c r="J74" s="15">
        <f t="shared" si="10"/>
        <v>0</v>
      </c>
      <c r="K74" s="16">
        <f t="shared" si="11"/>
        <v>0</v>
      </c>
    </row>
    <row r="75" spans="1:11" x14ac:dyDescent="0.25">
      <c r="A75" s="6">
        <v>45931</v>
      </c>
      <c r="B75" s="14"/>
      <c r="C75" s="14"/>
      <c r="D75" s="15">
        <f t="shared" si="8"/>
        <v>0</v>
      </c>
      <c r="E75" s="14"/>
      <c r="F75" s="14"/>
      <c r="G75" s="15">
        <f t="shared" si="9"/>
        <v>0</v>
      </c>
      <c r="H75" s="14"/>
      <c r="I75" s="14"/>
      <c r="J75" s="15">
        <f t="shared" si="10"/>
        <v>0</v>
      </c>
      <c r="K75" s="16">
        <f t="shared" si="11"/>
        <v>0</v>
      </c>
    </row>
    <row r="76" spans="1:11" x14ac:dyDescent="0.25">
      <c r="A76" s="6">
        <v>45962</v>
      </c>
      <c r="B76" s="14"/>
      <c r="C76" s="14"/>
      <c r="D76" s="15">
        <f t="shared" si="8"/>
        <v>0</v>
      </c>
      <c r="E76" s="14"/>
      <c r="F76" s="14"/>
      <c r="G76" s="15">
        <f t="shared" si="9"/>
        <v>0</v>
      </c>
      <c r="H76" s="14"/>
      <c r="I76" s="14"/>
      <c r="J76" s="15">
        <f t="shared" si="10"/>
        <v>0</v>
      </c>
      <c r="K76" s="16">
        <f t="shared" si="11"/>
        <v>0</v>
      </c>
    </row>
    <row r="77" spans="1:11" x14ac:dyDescent="0.25">
      <c r="A77" s="6">
        <v>45992</v>
      </c>
      <c r="B77" s="14"/>
      <c r="C77" s="14"/>
      <c r="D77" s="15">
        <f t="shared" si="8"/>
        <v>0</v>
      </c>
      <c r="E77" s="14"/>
      <c r="F77" s="14"/>
      <c r="G77" s="15">
        <f t="shared" si="9"/>
        <v>0</v>
      </c>
      <c r="H77" s="14"/>
      <c r="I77" s="14"/>
      <c r="J77" s="15">
        <f t="shared" si="10"/>
        <v>0</v>
      </c>
      <c r="K77" s="16">
        <f t="shared" si="11"/>
        <v>0</v>
      </c>
    </row>
    <row r="78" spans="1:11" x14ac:dyDescent="0.25">
      <c r="A78" s="6">
        <v>46023</v>
      </c>
      <c r="B78" s="14"/>
      <c r="C78" s="14"/>
      <c r="D78" s="15">
        <f t="shared" si="8"/>
        <v>0</v>
      </c>
      <c r="E78" s="14"/>
      <c r="F78" s="14"/>
      <c r="G78" s="15">
        <f t="shared" si="9"/>
        <v>0</v>
      </c>
      <c r="H78" s="14"/>
      <c r="I78" s="14"/>
      <c r="J78" s="15">
        <f t="shared" si="10"/>
        <v>0</v>
      </c>
      <c r="K78" s="16">
        <f t="shared" si="11"/>
        <v>0</v>
      </c>
    </row>
    <row r="79" spans="1:11" x14ac:dyDescent="0.25">
      <c r="A79" s="6">
        <v>46054</v>
      </c>
      <c r="B79" s="14"/>
      <c r="C79" s="14"/>
      <c r="D79" s="15">
        <f t="shared" si="8"/>
        <v>0</v>
      </c>
      <c r="E79" s="14"/>
      <c r="F79" s="14"/>
      <c r="G79" s="15">
        <f t="shared" si="9"/>
        <v>0</v>
      </c>
      <c r="H79" s="14"/>
      <c r="I79" s="14"/>
      <c r="J79" s="15">
        <f t="shared" si="10"/>
        <v>0</v>
      </c>
      <c r="K79" s="16">
        <f t="shared" si="11"/>
        <v>0</v>
      </c>
    </row>
    <row r="80" spans="1:11" x14ac:dyDescent="0.25">
      <c r="A80" s="6">
        <v>46082</v>
      </c>
      <c r="B80" s="14"/>
      <c r="C80" s="14"/>
      <c r="D80" s="15">
        <f t="shared" si="8"/>
        <v>0</v>
      </c>
      <c r="E80" s="14"/>
      <c r="F80" s="14"/>
      <c r="G80" s="15">
        <f t="shared" si="9"/>
        <v>0</v>
      </c>
      <c r="H80" s="14"/>
      <c r="I80" s="14"/>
      <c r="J80" s="15">
        <f t="shared" si="10"/>
        <v>0</v>
      </c>
      <c r="K80" s="16">
        <f t="shared" si="11"/>
        <v>0</v>
      </c>
    </row>
    <row r="81" spans="1:11" x14ac:dyDescent="0.25">
      <c r="A81" s="6">
        <v>46113</v>
      </c>
      <c r="B81" s="14"/>
      <c r="C81" s="14"/>
      <c r="D81" s="15">
        <f t="shared" si="8"/>
        <v>0</v>
      </c>
      <c r="E81" s="14"/>
      <c r="F81" s="14"/>
      <c r="G81" s="15">
        <f t="shared" si="9"/>
        <v>0</v>
      </c>
      <c r="H81" s="14"/>
      <c r="I81" s="14"/>
      <c r="J81" s="15">
        <f t="shared" si="10"/>
        <v>0</v>
      </c>
      <c r="K81" s="16">
        <f t="shared" si="1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5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25" customWidth="1"/>
    <col min="2" max="2" width="20" customWidth="1"/>
    <col min="3" max="4" width="8" customWidth="1"/>
    <col min="5" max="5" width="15" customWidth="1"/>
    <col min="6" max="6" width="14" customWidth="1"/>
    <col min="7" max="7" width="12" customWidth="1"/>
    <col min="8" max="8" width="10" customWidth="1"/>
    <col min="9" max="9" width="15" customWidth="1"/>
    <col min="10" max="10" width="20" customWidth="1"/>
  </cols>
  <sheetData>
    <row r="1" spans="1:10" ht="15.75" x14ac:dyDescent="0.25">
      <c r="A1" s="2" t="s">
        <v>121</v>
      </c>
    </row>
    <row r="2" spans="1:10" x14ac:dyDescent="0.25">
      <c r="A2" s="3" t="s">
        <v>122</v>
      </c>
    </row>
    <row r="3" spans="1:10" x14ac:dyDescent="0.25">
      <c r="A3" s="4" t="s">
        <v>123</v>
      </c>
    </row>
    <row r="5" spans="1:10" ht="39" x14ac:dyDescent="0.25">
      <c r="A5" s="5" t="s">
        <v>124</v>
      </c>
      <c r="B5" s="5" t="s">
        <v>125</v>
      </c>
      <c r="C5" s="5" t="s">
        <v>126</v>
      </c>
      <c r="D5" s="5" t="s">
        <v>127</v>
      </c>
      <c r="E5" s="5" t="s">
        <v>128</v>
      </c>
      <c r="F5" s="5" t="s">
        <v>129</v>
      </c>
      <c r="G5" s="5" t="s">
        <v>130</v>
      </c>
      <c r="H5" s="5" t="s">
        <v>131</v>
      </c>
      <c r="I5" s="5" t="s">
        <v>132</v>
      </c>
      <c r="J5" s="5" t="s">
        <v>133</v>
      </c>
    </row>
    <row r="6" spans="1:10" x14ac:dyDescent="0.25">
      <c r="A6" s="17"/>
      <c r="B6" s="17"/>
      <c r="C6" s="17"/>
      <c r="D6" s="17"/>
      <c r="E6" s="17"/>
      <c r="F6" s="18"/>
      <c r="G6" s="17"/>
      <c r="H6" s="19"/>
      <c r="I6" s="17"/>
      <c r="J6" s="17"/>
    </row>
    <row r="7" spans="1:10" x14ac:dyDescent="0.25">
      <c r="A7" s="17"/>
      <c r="B7" s="17"/>
      <c r="C7" s="17"/>
      <c r="D7" s="17"/>
      <c r="E7" s="17"/>
      <c r="F7" s="18"/>
      <c r="G7" s="17"/>
      <c r="H7" s="19"/>
      <c r="I7" s="17"/>
      <c r="J7" s="17"/>
    </row>
    <row r="8" spans="1:10" x14ac:dyDescent="0.25">
      <c r="A8" s="17"/>
      <c r="B8" s="17"/>
      <c r="C8" s="17"/>
      <c r="D8" s="17"/>
      <c r="E8" s="17"/>
      <c r="F8" s="18"/>
      <c r="G8" s="17"/>
      <c r="H8" s="19"/>
      <c r="I8" s="17"/>
      <c r="J8" s="17"/>
    </row>
    <row r="9" spans="1:10" x14ac:dyDescent="0.25">
      <c r="A9" s="17"/>
      <c r="B9" s="17"/>
      <c r="C9" s="17"/>
      <c r="D9" s="17"/>
      <c r="E9" s="17"/>
      <c r="F9" s="18"/>
      <c r="G9" s="17"/>
      <c r="H9" s="19"/>
      <c r="I9" s="17"/>
      <c r="J9" s="17"/>
    </row>
    <row r="10" spans="1:10" x14ac:dyDescent="0.25">
      <c r="A10" s="17"/>
      <c r="B10" s="17"/>
      <c r="C10" s="17"/>
      <c r="D10" s="17"/>
      <c r="E10" s="17"/>
      <c r="F10" s="18"/>
      <c r="G10" s="17"/>
      <c r="H10" s="19"/>
      <c r="I10" s="17"/>
      <c r="J10" s="17"/>
    </row>
    <row r="11" spans="1:10" x14ac:dyDescent="0.25">
      <c r="A11" s="17"/>
      <c r="B11" s="17"/>
      <c r="C11" s="17"/>
      <c r="D11" s="17"/>
      <c r="E11" s="17"/>
      <c r="F11" s="18"/>
      <c r="G11" s="17"/>
      <c r="H11" s="19"/>
      <c r="I11" s="17"/>
      <c r="J11" s="17"/>
    </row>
    <row r="12" spans="1:10" x14ac:dyDescent="0.25">
      <c r="A12" s="17"/>
      <c r="B12" s="17"/>
      <c r="C12" s="17"/>
      <c r="D12" s="17"/>
      <c r="E12" s="17"/>
      <c r="F12" s="18"/>
      <c r="G12" s="17"/>
      <c r="H12" s="19"/>
      <c r="I12" s="17"/>
      <c r="J12" s="17"/>
    </row>
    <row r="13" spans="1:10" x14ac:dyDescent="0.25">
      <c r="A13" s="17"/>
      <c r="B13" s="17"/>
      <c r="C13" s="17"/>
      <c r="D13" s="17"/>
      <c r="E13" s="17"/>
      <c r="F13" s="18"/>
      <c r="G13" s="17"/>
      <c r="H13" s="19"/>
      <c r="I13" s="17"/>
      <c r="J13" s="17"/>
    </row>
    <row r="14" spans="1:10" x14ac:dyDescent="0.25">
      <c r="A14" s="17"/>
      <c r="B14" s="17"/>
      <c r="C14" s="17"/>
      <c r="D14" s="17"/>
      <c r="E14" s="17"/>
      <c r="F14" s="18"/>
      <c r="G14" s="17"/>
      <c r="H14" s="19"/>
      <c r="I14" s="17"/>
      <c r="J14" s="17"/>
    </row>
    <row r="15" spans="1:10" x14ac:dyDescent="0.25">
      <c r="A15" s="17"/>
      <c r="B15" s="17"/>
      <c r="C15" s="17"/>
      <c r="D15" s="17"/>
      <c r="E15" s="17"/>
      <c r="F15" s="18"/>
      <c r="G15" s="17"/>
      <c r="H15" s="19"/>
      <c r="I15" s="17"/>
      <c r="J15" s="17"/>
    </row>
    <row r="16" spans="1:10" x14ac:dyDescent="0.25">
      <c r="A16" s="17"/>
      <c r="B16" s="17"/>
      <c r="C16" s="17"/>
      <c r="D16" s="17"/>
      <c r="E16" s="17"/>
      <c r="F16" s="18"/>
      <c r="G16" s="17"/>
      <c r="H16" s="19"/>
      <c r="I16" s="17"/>
      <c r="J16" s="17"/>
    </row>
    <row r="17" spans="1:10" x14ac:dyDescent="0.25">
      <c r="A17" s="17"/>
      <c r="B17" s="17"/>
      <c r="C17" s="17"/>
      <c r="D17" s="17"/>
      <c r="E17" s="17"/>
      <c r="F17" s="18"/>
      <c r="G17" s="17"/>
      <c r="H17" s="19"/>
      <c r="I17" s="17"/>
      <c r="J17" s="17"/>
    </row>
    <row r="18" spans="1:10" x14ac:dyDescent="0.25">
      <c r="A18" s="17"/>
      <c r="B18" s="17"/>
      <c r="C18" s="17"/>
      <c r="D18" s="17"/>
      <c r="E18" s="17"/>
      <c r="F18" s="18"/>
      <c r="G18" s="17"/>
      <c r="H18" s="19"/>
      <c r="I18" s="17"/>
      <c r="J18" s="17"/>
    </row>
    <row r="19" spans="1:10" x14ac:dyDescent="0.25">
      <c r="A19" s="17"/>
      <c r="B19" s="17"/>
      <c r="C19" s="17"/>
      <c r="D19" s="17"/>
      <c r="E19" s="17"/>
      <c r="F19" s="18"/>
      <c r="G19" s="17"/>
      <c r="H19" s="19"/>
      <c r="I19" s="17"/>
      <c r="J19" s="17"/>
    </row>
    <row r="20" spans="1:10" x14ac:dyDescent="0.25">
      <c r="A20" s="17"/>
      <c r="B20" s="17"/>
      <c r="C20" s="17"/>
      <c r="D20" s="17"/>
      <c r="E20" s="17"/>
      <c r="F20" s="18"/>
      <c r="G20" s="17"/>
      <c r="H20" s="19"/>
      <c r="I20" s="17"/>
      <c r="J20" s="17"/>
    </row>
    <row r="21" spans="1:10" x14ac:dyDescent="0.25">
      <c r="A21" s="17"/>
      <c r="B21" s="17"/>
      <c r="C21" s="17"/>
      <c r="D21" s="17"/>
      <c r="E21" s="17"/>
      <c r="F21" s="18"/>
      <c r="G21" s="17"/>
      <c r="H21" s="19"/>
      <c r="I21" s="17"/>
      <c r="J21" s="17"/>
    </row>
    <row r="22" spans="1:10" x14ac:dyDescent="0.25">
      <c r="A22" s="17"/>
      <c r="B22" s="17"/>
      <c r="C22" s="17"/>
      <c r="D22" s="17"/>
      <c r="E22" s="17"/>
      <c r="F22" s="18"/>
      <c r="G22" s="17"/>
      <c r="H22" s="19"/>
      <c r="I22" s="17"/>
      <c r="J22" s="17"/>
    </row>
    <row r="23" spans="1:10" x14ac:dyDescent="0.25">
      <c r="A23" s="17"/>
      <c r="B23" s="17"/>
      <c r="C23" s="17"/>
      <c r="D23" s="17"/>
      <c r="E23" s="17"/>
      <c r="F23" s="18"/>
      <c r="G23" s="17"/>
      <c r="H23" s="19"/>
      <c r="I23" s="17"/>
      <c r="J23" s="17"/>
    </row>
    <row r="24" spans="1:10" x14ac:dyDescent="0.25">
      <c r="A24" s="17"/>
      <c r="B24" s="17"/>
      <c r="C24" s="17"/>
      <c r="D24" s="17"/>
      <c r="E24" s="17"/>
      <c r="F24" s="18"/>
      <c r="G24" s="17"/>
      <c r="H24" s="19"/>
      <c r="I24" s="17"/>
      <c r="J24" s="17"/>
    </row>
    <row r="25" spans="1:10" x14ac:dyDescent="0.25">
      <c r="A25" s="17"/>
      <c r="B25" s="17"/>
      <c r="C25" s="17"/>
      <c r="D25" s="17"/>
      <c r="E25" s="17"/>
      <c r="F25" s="18"/>
      <c r="G25" s="17"/>
      <c r="H25" s="19"/>
      <c r="I25" s="17"/>
      <c r="J25" s="17"/>
    </row>
    <row r="26" spans="1:10" x14ac:dyDescent="0.25">
      <c r="A26" s="17"/>
      <c r="B26" s="17"/>
      <c r="C26" s="17"/>
      <c r="D26" s="17"/>
      <c r="E26" s="17"/>
      <c r="F26" s="18"/>
      <c r="G26" s="17"/>
      <c r="H26" s="19"/>
      <c r="I26" s="17"/>
      <c r="J26" s="17"/>
    </row>
    <row r="27" spans="1:10" x14ac:dyDescent="0.25">
      <c r="A27" s="17"/>
      <c r="B27" s="17"/>
      <c r="C27" s="17"/>
      <c r="D27" s="17"/>
      <c r="E27" s="17"/>
      <c r="F27" s="18"/>
      <c r="G27" s="17"/>
      <c r="H27" s="19"/>
      <c r="I27" s="17"/>
      <c r="J27" s="17"/>
    </row>
    <row r="28" spans="1:10" x14ac:dyDescent="0.25">
      <c r="A28" s="17"/>
      <c r="B28" s="17"/>
      <c r="C28" s="17"/>
      <c r="D28" s="17"/>
      <c r="E28" s="17"/>
      <c r="F28" s="18"/>
      <c r="G28" s="17"/>
      <c r="H28" s="19"/>
      <c r="I28" s="17"/>
      <c r="J28" s="17"/>
    </row>
    <row r="29" spans="1:10" x14ac:dyDescent="0.25">
      <c r="A29" s="17"/>
      <c r="B29" s="17"/>
      <c r="C29" s="17"/>
      <c r="D29" s="17"/>
      <c r="E29" s="17"/>
      <c r="F29" s="18"/>
      <c r="G29" s="17"/>
      <c r="H29" s="19"/>
      <c r="I29" s="17"/>
      <c r="J29" s="17"/>
    </row>
    <row r="30" spans="1:10" x14ac:dyDescent="0.25">
      <c r="A30" s="17"/>
      <c r="B30" s="17"/>
      <c r="C30" s="17"/>
      <c r="D30" s="17"/>
      <c r="E30" s="17"/>
      <c r="F30" s="18"/>
      <c r="G30" s="17"/>
      <c r="H30" s="19"/>
      <c r="I30" s="17"/>
      <c r="J30" s="17"/>
    </row>
    <row r="31" spans="1:10" x14ac:dyDescent="0.25">
      <c r="A31" s="17"/>
      <c r="B31" s="17"/>
      <c r="C31" s="17"/>
      <c r="D31" s="17"/>
      <c r="E31" s="17"/>
      <c r="F31" s="18"/>
      <c r="G31" s="17"/>
      <c r="H31" s="19"/>
      <c r="I31" s="17"/>
      <c r="J31" s="17"/>
    </row>
    <row r="32" spans="1:10" x14ac:dyDescent="0.25">
      <c r="A32" s="17"/>
      <c r="B32" s="17"/>
      <c r="C32" s="17"/>
      <c r="D32" s="17"/>
      <c r="E32" s="17"/>
      <c r="F32" s="18"/>
      <c r="G32" s="17"/>
      <c r="H32" s="19"/>
      <c r="I32" s="17"/>
      <c r="J32" s="17"/>
    </row>
    <row r="33" spans="1:10" x14ac:dyDescent="0.25">
      <c r="A33" s="17"/>
      <c r="B33" s="17"/>
      <c r="C33" s="17"/>
      <c r="D33" s="17"/>
      <c r="E33" s="17"/>
      <c r="F33" s="18"/>
      <c r="G33" s="17"/>
      <c r="H33" s="19"/>
      <c r="I33" s="17"/>
      <c r="J33" s="17"/>
    </row>
    <row r="34" spans="1:10" x14ac:dyDescent="0.25">
      <c r="A34" s="17"/>
      <c r="B34" s="17"/>
      <c r="C34" s="17"/>
      <c r="D34" s="17"/>
      <c r="E34" s="17"/>
      <c r="F34" s="18"/>
      <c r="G34" s="17"/>
      <c r="H34" s="19"/>
      <c r="I34" s="17"/>
      <c r="J34" s="17"/>
    </row>
    <row r="35" spans="1:10" x14ac:dyDescent="0.25">
      <c r="A35" s="17"/>
      <c r="B35" s="17"/>
      <c r="C35" s="17"/>
      <c r="D35" s="17"/>
      <c r="E35" s="17"/>
      <c r="F35" s="18"/>
      <c r="G35" s="17"/>
      <c r="H35" s="19"/>
      <c r="I35" s="17"/>
      <c r="J35" s="17"/>
    </row>
    <row r="36" spans="1:10" x14ac:dyDescent="0.25">
      <c r="A36" s="17"/>
      <c r="B36" s="17"/>
      <c r="C36" s="17"/>
      <c r="D36" s="17"/>
      <c r="E36" s="17"/>
      <c r="F36" s="18"/>
      <c r="G36" s="17"/>
      <c r="H36" s="19"/>
      <c r="I36" s="17"/>
      <c r="J36" s="17"/>
    </row>
    <row r="37" spans="1:10" x14ac:dyDescent="0.25">
      <c r="A37" s="17"/>
      <c r="B37" s="17"/>
      <c r="C37" s="17"/>
      <c r="D37" s="17"/>
      <c r="E37" s="17"/>
      <c r="F37" s="18"/>
      <c r="G37" s="17"/>
      <c r="H37" s="19"/>
      <c r="I37" s="17"/>
      <c r="J37" s="17"/>
    </row>
    <row r="38" spans="1:10" x14ac:dyDescent="0.25">
      <c r="A38" s="17"/>
      <c r="B38" s="17"/>
      <c r="C38" s="17"/>
      <c r="D38" s="17"/>
      <c r="E38" s="17"/>
      <c r="F38" s="18"/>
      <c r="G38" s="17"/>
      <c r="H38" s="19"/>
      <c r="I38" s="17"/>
      <c r="J38" s="17"/>
    </row>
    <row r="39" spans="1:10" x14ac:dyDescent="0.25">
      <c r="A39" s="17"/>
      <c r="B39" s="17"/>
      <c r="C39" s="17"/>
      <c r="D39" s="17"/>
      <c r="E39" s="17"/>
      <c r="F39" s="18"/>
      <c r="G39" s="17"/>
      <c r="H39" s="19"/>
      <c r="I39" s="17"/>
      <c r="J39" s="17"/>
    </row>
    <row r="40" spans="1:10" x14ac:dyDescent="0.25">
      <c r="A40" s="17"/>
      <c r="B40" s="17"/>
      <c r="C40" s="17"/>
      <c r="D40" s="17"/>
      <c r="E40" s="17"/>
      <c r="F40" s="18"/>
      <c r="G40" s="17"/>
      <c r="H40" s="19"/>
      <c r="I40" s="17"/>
      <c r="J40" s="17"/>
    </row>
    <row r="41" spans="1:10" x14ac:dyDescent="0.25">
      <c r="A41" s="17"/>
      <c r="B41" s="17"/>
      <c r="C41" s="17"/>
      <c r="D41" s="17"/>
      <c r="E41" s="17"/>
      <c r="F41" s="18"/>
      <c r="G41" s="17"/>
      <c r="H41" s="19"/>
      <c r="I41" s="17"/>
      <c r="J41" s="17"/>
    </row>
    <row r="42" spans="1:10" x14ac:dyDescent="0.25">
      <c r="A42" s="17"/>
      <c r="B42" s="17"/>
      <c r="C42" s="17"/>
      <c r="D42" s="17"/>
      <c r="E42" s="17"/>
      <c r="F42" s="18"/>
      <c r="G42" s="17"/>
      <c r="H42" s="19"/>
      <c r="I42" s="17"/>
      <c r="J42" s="17"/>
    </row>
    <row r="43" spans="1:10" x14ac:dyDescent="0.25">
      <c r="A43" s="17"/>
      <c r="B43" s="17"/>
      <c r="C43" s="17"/>
      <c r="D43" s="17"/>
      <c r="E43" s="17"/>
      <c r="F43" s="18"/>
      <c r="G43" s="17"/>
      <c r="H43" s="19"/>
      <c r="I43" s="17"/>
      <c r="J43" s="17"/>
    </row>
    <row r="44" spans="1:10" x14ac:dyDescent="0.25">
      <c r="A44" s="17"/>
      <c r="B44" s="17"/>
      <c r="C44" s="17"/>
      <c r="D44" s="17"/>
      <c r="E44" s="17"/>
      <c r="F44" s="18"/>
      <c r="G44" s="17"/>
      <c r="H44" s="19"/>
      <c r="I44" s="17"/>
      <c r="J44" s="17"/>
    </row>
    <row r="45" spans="1:10" x14ac:dyDescent="0.25">
      <c r="A45" s="17"/>
      <c r="B45" s="17"/>
      <c r="C45" s="17"/>
      <c r="D45" s="17"/>
      <c r="E45" s="17"/>
      <c r="F45" s="18"/>
      <c r="G45" s="17"/>
      <c r="H45" s="19"/>
      <c r="I45" s="17"/>
      <c r="J45" s="17"/>
    </row>
    <row r="46" spans="1:10" x14ac:dyDescent="0.25">
      <c r="A46" s="17"/>
      <c r="B46" s="17"/>
      <c r="C46" s="17"/>
      <c r="D46" s="17"/>
      <c r="E46" s="17"/>
      <c r="F46" s="18"/>
      <c r="G46" s="17"/>
      <c r="H46" s="19"/>
      <c r="I46" s="17"/>
      <c r="J46" s="17"/>
    </row>
    <row r="47" spans="1:10" x14ac:dyDescent="0.25">
      <c r="A47" s="17"/>
      <c r="B47" s="17"/>
      <c r="C47" s="17"/>
      <c r="D47" s="17"/>
      <c r="E47" s="17"/>
      <c r="F47" s="18"/>
      <c r="G47" s="17"/>
      <c r="H47" s="19"/>
      <c r="I47" s="17"/>
      <c r="J47" s="17"/>
    </row>
    <row r="48" spans="1:10" x14ac:dyDescent="0.25">
      <c r="A48" s="17"/>
      <c r="B48" s="17"/>
      <c r="C48" s="17"/>
      <c r="D48" s="17"/>
      <c r="E48" s="17"/>
      <c r="F48" s="18"/>
      <c r="G48" s="17"/>
      <c r="H48" s="19"/>
      <c r="I48" s="17"/>
      <c r="J48" s="17"/>
    </row>
    <row r="49" spans="1:10" x14ac:dyDescent="0.25">
      <c r="A49" s="17"/>
      <c r="B49" s="17"/>
      <c r="C49" s="17"/>
      <c r="D49" s="17"/>
      <c r="E49" s="17"/>
      <c r="F49" s="18"/>
      <c r="G49" s="17"/>
      <c r="H49" s="19"/>
      <c r="I49" s="17"/>
      <c r="J49" s="17"/>
    </row>
    <row r="50" spans="1:10" x14ac:dyDescent="0.25">
      <c r="A50" s="17"/>
      <c r="B50" s="17"/>
      <c r="C50" s="17"/>
      <c r="D50" s="17"/>
      <c r="E50" s="17"/>
      <c r="F50" s="18"/>
      <c r="G50" s="17"/>
      <c r="H50" s="19"/>
      <c r="I50" s="17"/>
      <c r="J50" s="17"/>
    </row>
    <row r="51" spans="1:10" x14ac:dyDescent="0.25">
      <c r="A51" s="17"/>
      <c r="B51" s="17"/>
      <c r="C51" s="17"/>
      <c r="D51" s="17"/>
      <c r="E51" s="17"/>
      <c r="F51" s="18"/>
      <c r="G51" s="17"/>
      <c r="H51" s="19"/>
      <c r="I51" s="17"/>
      <c r="J51" s="17"/>
    </row>
    <row r="52" spans="1:10" x14ac:dyDescent="0.25">
      <c r="A52" s="17"/>
      <c r="B52" s="17"/>
      <c r="C52" s="17"/>
      <c r="D52" s="17"/>
      <c r="E52" s="17"/>
      <c r="F52" s="18"/>
      <c r="G52" s="17"/>
      <c r="H52" s="19"/>
      <c r="I52" s="17"/>
      <c r="J52" s="17"/>
    </row>
    <row r="53" spans="1:10" x14ac:dyDescent="0.25">
      <c r="A53" s="17"/>
      <c r="B53" s="17"/>
      <c r="C53" s="17"/>
      <c r="D53" s="17"/>
      <c r="E53" s="17"/>
      <c r="F53" s="18"/>
      <c r="G53" s="17"/>
      <c r="H53" s="19"/>
      <c r="I53" s="17"/>
      <c r="J53" s="17"/>
    </row>
    <row r="54" spans="1:10" x14ac:dyDescent="0.25">
      <c r="A54" s="17"/>
      <c r="B54" s="17"/>
      <c r="C54" s="17"/>
      <c r="D54" s="17"/>
      <c r="E54" s="17"/>
      <c r="F54" s="18"/>
      <c r="G54" s="17"/>
      <c r="H54" s="19"/>
      <c r="I54" s="17"/>
      <c r="J54" s="17"/>
    </row>
    <row r="55" spans="1:10" x14ac:dyDescent="0.25">
      <c r="A55" s="17"/>
      <c r="B55" s="17"/>
      <c r="C55" s="17"/>
      <c r="D55" s="17"/>
      <c r="E55" s="17"/>
      <c r="F55" s="18"/>
      <c r="G55" s="17"/>
      <c r="H55" s="19"/>
      <c r="I55" s="17"/>
      <c r="J55" s="17"/>
    </row>
    <row r="56" spans="1:10" x14ac:dyDescent="0.25">
      <c r="A56" s="17"/>
      <c r="B56" s="17"/>
      <c r="C56" s="17"/>
      <c r="D56" s="17"/>
      <c r="E56" s="17"/>
      <c r="F56" s="18"/>
      <c r="G56" s="17"/>
      <c r="H56" s="19"/>
      <c r="I56" s="17"/>
      <c r="J56" s="17"/>
    </row>
    <row r="57" spans="1:10" x14ac:dyDescent="0.25">
      <c r="A57" s="17"/>
      <c r="B57" s="17"/>
      <c r="C57" s="17"/>
      <c r="D57" s="17"/>
      <c r="E57" s="17"/>
      <c r="F57" s="18"/>
      <c r="G57" s="17"/>
      <c r="H57" s="19"/>
      <c r="I57" s="17"/>
      <c r="J57" s="17"/>
    </row>
    <row r="58" spans="1:10" x14ac:dyDescent="0.25">
      <c r="A58" s="17"/>
      <c r="B58" s="17"/>
      <c r="C58" s="17"/>
      <c r="D58" s="17"/>
      <c r="E58" s="17"/>
      <c r="F58" s="18"/>
      <c r="G58" s="17"/>
      <c r="H58" s="19"/>
      <c r="I58" s="17"/>
      <c r="J58" s="17"/>
    </row>
    <row r="59" spans="1:10" x14ac:dyDescent="0.25">
      <c r="A59" s="17"/>
      <c r="B59" s="17"/>
      <c r="C59" s="17"/>
      <c r="D59" s="17"/>
      <c r="E59" s="17"/>
      <c r="F59" s="18"/>
      <c r="G59" s="17"/>
      <c r="H59" s="19"/>
      <c r="I59" s="17"/>
      <c r="J59" s="17"/>
    </row>
    <row r="60" spans="1:10" x14ac:dyDescent="0.25">
      <c r="A60" s="17"/>
      <c r="B60" s="17"/>
      <c r="C60" s="17"/>
      <c r="D60" s="17"/>
      <c r="E60" s="17"/>
      <c r="F60" s="18"/>
      <c r="G60" s="17"/>
      <c r="H60" s="19"/>
      <c r="I60" s="17"/>
      <c r="J60" s="17"/>
    </row>
    <row r="61" spans="1:10" x14ac:dyDescent="0.25">
      <c r="A61" s="17"/>
      <c r="B61" s="17"/>
      <c r="C61" s="17"/>
      <c r="D61" s="17"/>
      <c r="E61" s="17"/>
      <c r="F61" s="18"/>
      <c r="G61" s="17"/>
      <c r="H61" s="19"/>
      <c r="I61" s="17"/>
      <c r="J61" s="17"/>
    </row>
    <row r="62" spans="1:10" x14ac:dyDescent="0.25">
      <c r="A62" s="17"/>
      <c r="B62" s="17"/>
      <c r="C62" s="17"/>
      <c r="D62" s="17"/>
      <c r="E62" s="17"/>
      <c r="F62" s="18"/>
      <c r="G62" s="17"/>
      <c r="H62" s="19"/>
      <c r="I62" s="17"/>
      <c r="J62" s="17"/>
    </row>
    <row r="63" spans="1:10" x14ac:dyDescent="0.25">
      <c r="A63" s="17"/>
      <c r="B63" s="17"/>
      <c r="C63" s="17"/>
      <c r="D63" s="17"/>
      <c r="E63" s="17"/>
      <c r="F63" s="18"/>
      <c r="G63" s="17"/>
      <c r="H63" s="19"/>
      <c r="I63" s="17"/>
      <c r="J63" s="17"/>
    </row>
    <row r="64" spans="1:10" x14ac:dyDescent="0.25">
      <c r="A64" s="17"/>
      <c r="B64" s="17"/>
      <c r="C64" s="17"/>
      <c r="D64" s="17"/>
      <c r="E64" s="17"/>
      <c r="F64" s="18"/>
      <c r="G64" s="17"/>
      <c r="H64" s="19"/>
      <c r="I64" s="17"/>
      <c r="J64" s="17"/>
    </row>
    <row r="65" spans="1:10" x14ac:dyDescent="0.25">
      <c r="A65" s="17"/>
      <c r="B65" s="17"/>
      <c r="C65" s="17"/>
      <c r="D65" s="17"/>
      <c r="E65" s="17"/>
      <c r="F65" s="18"/>
      <c r="G65" s="17"/>
      <c r="H65" s="19"/>
      <c r="I65" s="17"/>
      <c r="J65" s="17"/>
    </row>
    <row r="66" spans="1:10" x14ac:dyDescent="0.25">
      <c r="A66" s="17"/>
      <c r="B66" s="17"/>
      <c r="C66" s="17"/>
      <c r="D66" s="17"/>
      <c r="E66" s="17"/>
      <c r="F66" s="18"/>
      <c r="G66" s="17"/>
      <c r="H66" s="19"/>
      <c r="I66" s="17"/>
      <c r="J66" s="17"/>
    </row>
    <row r="67" spans="1:10" x14ac:dyDescent="0.25">
      <c r="A67" s="17"/>
      <c r="B67" s="17"/>
      <c r="C67" s="17"/>
      <c r="D67" s="17"/>
      <c r="E67" s="17"/>
      <c r="F67" s="18"/>
      <c r="G67" s="17"/>
      <c r="H67" s="19"/>
      <c r="I67" s="17"/>
      <c r="J67" s="17"/>
    </row>
    <row r="68" spans="1:10" x14ac:dyDescent="0.25">
      <c r="A68" s="17"/>
      <c r="B68" s="17"/>
      <c r="C68" s="17"/>
      <c r="D68" s="17"/>
      <c r="E68" s="17"/>
      <c r="F68" s="18"/>
      <c r="G68" s="17"/>
      <c r="H68" s="19"/>
      <c r="I68" s="17"/>
      <c r="J68" s="17"/>
    </row>
    <row r="69" spans="1:10" x14ac:dyDescent="0.25">
      <c r="A69" s="17"/>
      <c r="B69" s="17"/>
      <c r="C69" s="17"/>
      <c r="D69" s="17"/>
      <c r="E69" s="17"/>
      <c r="F69" s="18"/>
      <c r="G69" s="17"/>
      <c r="H69" s="19"/>
      <c r="I69" s="17"/>
      <c r="J69" s="17"/>
    </row>
    <row r="70" spans="1:10" x14ac:dyDescent="0.25">
      <c r="A70" s="17"/>
      <c r="B70" s="17"/>
      <c r="C70" s="17"/>
      <c r="D70" s="17"/>
      <c r="E70" s="17"/>
      <c r="F70" s="18"/>
      <c r="G70" s="17"/>
      <c r="H70" s="19"/>
      <c r="I70" s="17"/>
      <c r="J70" s="17"/>
    </row>
    <row r="71" spans="1:10" x14ac:dyDescent="0.25">
      <c r="A71" s="17"/>
      <c r="B71" s="17"/>
      <c r="C71" s="17"/>
      <c r="D71" s="17"/>
      <c r="E71" s="17"/>
      <c r="F71" s="18"/>
      <c r="G71" s="17"/>
      <c r="H71" s="19"/>
      <c r="I71" s="17"/>
      <c r="J71" s="17"/>
    </row>
    <row r="72" spans="1:10" x14ac:dyDescent="0.25">
      <c r="A72" s="17"/>
      <c r="B72" s="17"/>
      <c r="C72" s="17"/>
      <c r="D72" s="17"/>
      <c r="E72" s="17"/>
      <c r="F72" s="18"/>
      <c r="G72" s="17"/>
      <c r="H72" s="19"/>
      <c r="I72" s="17"/>
      <c r="J72" s="17"/>
    </row>
    <row r="73" spans="1:10" x14ac:dyDescent="0.25">
      <c r="A73" s="17"/>
      <c r="B73" s="17"/>
      <c r="C73" s="17"/>
      <c r="D73" s="17"/>
      <c r="E73" s="17"/>
      <c r="F73" s="18"/>
      <c r="G73" s="17"/>
      <c r="H73" s="19"/>
      <c r="I73" s="17"/>
      <c r="J73" s="17"/>
    </row>
    <row r="74" spans="1:10" x14ac:dyDescent="0.25">
      <c r="A74" s="17"/>
      <c r="B74" s="17"/>
      <c r="C74" s="17"/>
      <c r="D74" s="17"/>
      <c r="E74" s="17"/>
      <c r="F74" s="18"/>
      <c r="G74" s="17"/>
      <c r="H74" s="19"/>
      <c r="I74" s="17"/>
      <c r="J74" s="17"/>
    </row>
    <row r="75" spans="1:10" x14ac:dyDescent="0.25">
      <c r="A75" s="17"/>
      <c r="B75" s="17"/>
      <c r="C75" s="17"/>
      <c r="D75" s="17"/>
      <c r="E75" s="17"/>
      <c r="F75" s="18"/>
      <c r="G75" s="17"/>
      <c r="H75" s="19"/>
      <c r="I75" s="17"/>
      <c r="J75" s="17"/>
    </row>
    <row r="76" spans="1:10" x14ac:dyDescent="0.25">
      <c r="A76" s="17"/>
      <c r="B76" s="17"/>
      <c r="C76" s="17"/>
      <c r="D76" s="17"/>
      <c r="E76" s="17"/>
      <c r="F76" s="18"/>
      <c r="G76" s="17"/>
      <c r="H76" s="19"/>
      <c r="I76" s="17"/>
      <c r="J76" s="17"/>
    </row>
    <row r="77" spans="1:10" x14ac:dyDescent="0.25">
      <c r="A77" s="17"/>
      <c r="B77" s="17"/>
      <c r="C77" s="17"/>
      <c r="D77" s="17"/>
      <c r="E77" s="17"/>
      <c r="F77" s="18"/>
      <c r="G77" s="17"/>
      <c r="H77" s="19"/>
      <c r="I77" s="17"/>
      <c r="J77" s="17"/>
    </row>
    <row r="78" spans="1:10" x14ac:dyDescent="0.25">
      <c r="A78" s="17"/>
      <c r="B78" s="17"/>
      <c r="C78" s="17"/>
      <c r="D78" s="17"/>
      <c r="E78" s="17"/>
      <c r="F78" s="18"/>
      <c r="G78" s="17"/>
      <c r="H78" s="19"/>
      <c r="I78" s="17"/>
      <c r="J78" s="17"/>
    </row>
    <row r="79" spans="1:10" x14ac:dyDescent="0.25">
      <c r="A79" s="17"/>
      <c r="B79" s="17"/>
      <c r="C79" s="17"/>
      <c r="D79" s="17"/>
      <c r="E79" s="17"/>
      <c r="F79" s="18"/>
      <c r="G79" s="17"/>
      <c r="H79" s="19"/>
      <c r="I79" s="17"/>
      <c r="J79" s="17"/>
    </row>
    <row r="80" spans="1:10" x14ac:dyDescent="0.25">
      <c r="A80" s="17"/>
      <c r="B80" s="17"/>
      <c r="C80" s="17"/>
      <c r="D80" s="17"/>
      <c r="E80" s="17"/>
      <c r="F80" s="18"/>
      <c r="G80" s="17"/>
      <c r="H80" s="19"/>
      <c r="I80" s="17"/>
      <c r="J80" s="17"/>
    </row>
    <row r="81" spans="1:10" x14ac:dyDescent="0.25">
      <c r="A81" s="17"/>
      <c r="B81" s="17"/>
      <c r="C81" s="17"/>
      <c r="D81" s="17"/>
      <c r="E81" s="17"/>
      <c r="F81" s="18"/>
      <c r="G81" s="17"/>
      <c r="H81" s="19"/>
      <c r="I81" s="17"/>
      <c r="J81" s="17"/>
    </row>
    <row r="82" spans="1:10" x14ac:dyDescent="0.25">
      <c r="A82" s="17"/>
      <c r="B82" s="17"/>
      <c r="C82" s="17"/>
      <c r="D82" s="17"/>
      <c r="E82" s="17"/>
      <c r="F82" s="18"/>
      <c r="G82" s="17"/>
      <c r="H82" s="19"/>
      <c r="I82" s="17"/>
      <c r="J82" s="17"/>
    </row>
    <row r="83" spans="1:10" x14ac:dyDescent="0.25">
      <c r="A83" s="17"/>
      <c r="B83" s="17"/>
      <c r="C83" s="17"/>
      <c r="D83" s="17"/>
      <c r="E83" s="17"/>
      <c r="F83" s="18"/>
      <c r="G83" s="17"/>
      <c r="H83" s="19"/>
      <c r="I83" s="17"/>
      <c r="J83" s="17"/>
    </row>
    <row r="84" spans="1:10" x14ac:dyDescent="0.25">
      <c r="A84" s="17"/>
      <c r="B84" s="17"/>
      <c r="C84" s="17"/>
      <c r="D84" s="17"/>
      <c r="E84" s="17"/>
      <c r="F84" s="18"/>
      <c r="G84" s="17"/>
      <c r="H84" s="19"/>
      <c r="I84" s="17"/>
      <c r="J84" s="17"/>
    </row>
    <row r="85" spans="1:10" x14ac:dyDescent="0.25">
      <c r="A85" s="17"/>
      <c r="B85" s="17"/>
      <c r="C85" s="17"/>
      <c r="D85" s="17"/>
      <c r="E85" s="17"/>
      <c r="F85" s="18"/>
      <c r="G85" s="17"/>
      <c r="H85" s="19"/>
      <c r="I85" s="17"/>
      <c r="J85" s="17"/>
    </row>
    <row r="86" spans="1:10" x14ac:dyDescent="0.25">
      <c r="A86" s="17"/>
      <c r="B86" s="17"/>
      <c r="C86" s="17"/>
      <c r="D86" s="17"/>
      <c r="E86" s="17"/>
      <c r="F86" s="18"/>
      <c r="G86" s="17"/>
      <c r="H86" s="19"/>
      <c r="I86" s="17"/>
      <c r="J86" s="17"/>
    </row>
    <row r="87" spans="1:10" x14ac:dyDescent="0.25">
      <c r="A87" s="17"/>
      <c r="B87" s="17"/>
      <c r="C87" s="17"/>
      <c r="D87" s="17"/>
      <c r="E87" s="17"/>
      <c r="F87" s="18"/>
      <c r="G87" s="17"/>
      <c r="H87" s="19"/>
      <c r="I87" s="17"/>
      <c r="J87" s="17"/>
    </row>
    <row r="88" spans="1:10" x14ac:dyDescent="0.25">
      <c r="A88" s="17"/>
      <c r="B88" s="17"/>
      <c r="C88" s="17"/>
      <c r="D88" s="17"/>
      <c r="E88" s="17"/>
      <c r="F88" s="18"/>
      <c r="G88" s="17"/>
      <c r="H88" s="19"/>
      <c r="I88" s="17"/>
      <c r="J88" s="17"/>
    </row>
    <row r="89" spans="1:10" x14ac:dyDescent="0.25">
      <c r="A89" s="17"/>
      <c r="B89" s="17"/>
      <c r="C89" s="17"/>
      <c r="D89" s="17"/>
      <c r="E89" s="17"/>
      <c r="F89" s="18"/>
      <c r="G89" s="17"/>
      <c r="H89" s="19"/>
      <c r="I89" s="17"/>
      <c r="J89" s="17"/>
    </row>
    <row r="90" spans="1:10" x14ac:dyDescent="0.25">
      <c r="A90" s="17"/>
      <c r="B90" s="17"/>
      <c r="C90" s="17"/>
      <c r="D90" s="17"/>
      <c r="E90" s="17"/>
      <c r="F90" s="18"/>
      <c r="G90" s="17"/>
      <c r="H90" s="19"/>
      <c r="I90" s="17"/>
      <c r="J90" s="17"/>
    </row>
    <row r="91" spans="1:10" x14ac:dyDescent="0.25">
      <c r="A91" s="17"/>
      <c r="B91" s="17"/>
      <c r="C91" s="17"/>
      <c r="D91" s="17"/>
      <c r="E91" s="17"/>
      <c r="F91" s="18"/>
      <c r="G91" s="17"/>
      <c r="H91" s="19"/>
      <c r="I91" s="17"/>
      <c r="J91" s="17"/>
    </row>
    <row r="92" spans="1:10" x14ac:dyDescent="0.25">
      <c r="A92" s="17"/>
      <c r="B92" s="17"/>
      <c r="C92" s="17"/>
      <c r="D92" s="17"/>
      <c r="E92" s="17"/>
      <c r="F92" s="18"/>
      <c r="G92" s="17"/>
      <c r="H92" s="19"/>
      <c r="I92" s="17"/>
      <c r="J92" s="17"/>
    </row>
    <row r="93" spans="1:10" x14ac:dyDescent="0.25">
      <c r="A93" s="17"/>
      <c r="B93" s="17"/>
      <c r="C93" s="17"/>
      <c r="D93" s="17"/>
      <c r="E93" s="17"/>
      <c r="F93" s="18"/>
      <c r="G93" s="17"/>
      <c r="H93" s="19"/>
      <c r="I93" s="17"/>
      <c r="J93" s="17"/>
    </row>
    <row r="94" spans="1:10" x14ac:dyDescent="0.25">
      <c r="A94" s="17"/>
      <c r="B94" s="17"/>
      <c r="C94" s="17"/>
      <c r="D94" s="17"/>
      <c r="E94" s="17"/>
      <c r="F94" s="18"/>
      <c r="G94" s="17"/>
      <c r="H94" s="19"/>
      <c r="I94" s="17"/>
      <c r="J94" s="17"/>
    </row>
    <row r="95" spans="1:10" x14ac:dyDescent="0.25">
      <c r="A95" s="17"/>
      <c r="B95" s="17"/>
      <c r="C95" s="17"/>
      <c r="D95" s="17"/>
      <c r="E95" s="17"/>
      <c r="F95" s="18"/>
      <c r="G95" s="17"/>
      <c r="H95" s="19"/>
      <c r="I95" s="17"/>
      <c r="J95" s="17"/>
    </row>
    <row r="96" spans="1:10" x14ac:dyDescent="0.25">
      <c r="A96" s="17"/>
      <c r="B96" s="17"/>
      <c r="C96" s="17"/>
      <c r="D96" s="17"/>
      <c r="E96" s="17"/>
      <c r="F96" s="18"/>
      <c r="G96" s="17"/>
      <c r="H96" s="19"/>
      <c r="I96" s="17"/>
      <c r="J96" s="17"/>
    </row>
    <row r="97" spans="1:10" x14ac:dyDescent="0.25">
      <c r="A97" s="17"/>
      <c r="B97" s="17"/>
      <c r="C97" s="17"/>
      <c r="D97" s="17"/>
      <c r="E97" s="17"/>
      <c r="F97" s="18"/>
      <c r="G97" s="17"/>
      <c r="H97" s="19"/>
      <c r="I97" s="17"/>
      <c r="J97" s="17"/>
    </row>
    <row r="98" spans="1:10" x14ac:dyDescent="0.25">
      <c r="A98" s="17"/>
      <c r="B98" s="17"/>
      <c r="C98" s="17"/>
      <c r="D98" s="17"/>
      <c r="E98" s="17"/>
      <c r="F98" s="18"/>
      <c r="G98" s="17"/>
      <c r="H98" s="19"/>
      <c r="I98" s="17"/>
      <c r="J98" s="17"/>
    </row>
    <row r="99" spans="1:10" x14ac:dyDescent="0.25">
      <c r="A99" s="17"/>
      <c r="B99" s="17"/>
      <c r="C99" s="17"/>
      <c r="D99" s="17"/>
      <c r="E99" s="17"/>
      <c r="F99" s="18"/>
      <c r="G99" s="17"/>
      <c r="H99" s="19"/>
      <c r="I99" s="17"/>
      <c r="J99" s="17"/>
    </row>
    <row r="100" spans="1:10" x14ac:dyDescent="0.25">
      <c r="A100" s="17"/>
      <c r="B100" s="17"/>
      <c r="C100" s="17"/>
      <c r="D100" s="17"/>
      <c r="E100" s="17"/>
      <c r="F100" s="18"/>
      <c r="G100" s="17"/>
      <c r="H100" s="19"/>
      <c r="I100" s="17"/>
      <c r="J100" s="17"/>
    </row>
    <row r="101" spans="1:10" x14ac:dyDescent="0.25">
      <c r="A101" s="17"/>
      <c r="B101" s="17"/>
      <c r="C101" s="17"/>
      <c r="D101" s="17"/>
      <c r="E101" s="17"/>
      <c r="F101" s="18"/>
      <c r="G101" s="17"/>
      <c r="H101" s="19"/>
      <c r="I101" s="17"/>
      <c r="J101" s="17"/>
    </row>
    <row r="102" spans="1:10" x14ac:dyDescent="0.25">
      <c r="A102" s="17"/>
      <c r="B102" s="17"/>
      <c r="C102" s="17"/>
      <c r="D102" s="17"/>
      <c r="E102" s="17"/>
      <c r="F102" s="18"/>
      <c r="G102" s="17"/>
      <c r="H102" s="19"/>
      <c r="I102" s="17"/>
      <c r="J102" s="17"/>
    </row>
    <row r="103" spans="1:10" x14ac:dyDescent="0.25">
      <c r="A103" s="17"/>
      <c r="B103" s="17"/>
      <c r="C103" s="17"/>
      <c r="D103" s="17"/>
      <c r="E103" s="17"/>
      <c r="F103" s="18"/>
      <c r="G103" s="17"/>
      <c r="H103" s="19"/>
      <c r="I103" s="17"/>
      <c r="J103" s="17"/>
    </row>
    <row r="104" spans="1:10" x14ac:dyDescent="0.25">
      <c r="A104" s="17"/>
      <c r="B104" s="17"/>
      <c r="C104" s="17"/>
      <c r="D104" s="17"/>
      <c r="E104" s="17"/>
      <c r="F104" s="18"/>
      <c r="G104" s="17"/>
      <c r="H104" s="19"/>
      <c r="I104" s="17"/>
      <c r="J104" s="17"/>
    </row>
    <row r="105" spans="1:10" x14ac:dyDescent="0.25">
      <c r="A105" s="17"/>
      <c r="B105" s="17"/>
      <c r="C105" s="17"/>
      <c r="D105" s="17"/>
      <c r="E105" s="17"/>
      <c r="F105" s="18"/>
      <c r="G105" s="17"/>
      <c r="H105" s="19"/>
      <c r="I105" s="17"/>
      <c r="J105" s="17"/>
    </row>
    <row r="106" spans="1:10" x14ac:dyDescent="0.25">
      <c r="A106" s="17"/>
      <c r="B106" s="17"/>
      <c r="C106" s="17"/>
      <c r="D106" s="17"/>
      <c r="E106" s="17"/>
      <c r="F106" s="18"/>
      <c r="G106" s="17"/>
      <c r="H106" s="19"/>
      <c r="I106" s="17"/>
      <c r="J106" s="17"/>
    </row>
    <row r="107" spans="1:10" x14ac:dyDescent="0.25">
      <c r="A107" s="17"/>
      <c r="B107" s="17"/>
      <c r="C107" s="17"/>
      <c r="D107" s="17"/>
      <c r="E107" s="17"/>
      <c r="F107" s="18"/>
      <c r="G107" s="17"/>
      <c r="H107" s="19"/>
      <c r="I107" s="17"/>
      <c r="J107" s="17"/>
    </row>
    <row r="108" spans="1:10" x14ac:dyDescent="0.25">
      <c r="A108" s="17"/>
      <c r="B108" s="17"/>
      <c r="C108" s="17"/>
      <c r="D108" s="17"/>
      <c r="E108" s="17"/>
      <c r="F108" s="18"/>
      <c r="G108" s="17"/>
      <c r="H108" s="19"/>
      <c r="I108" s="17"/>
      <c r="J108" s="17"/>
    </row>
    <row r="109" spans="1:10" x14ac:dyDescent="0.25">
      <c r="A109" s="17"/>
      <c r="B109" s="17"/>
      <c r="C109" s="17"/>
      <c r="D109" s="17"/>
      <c r="E109" s="17"/>
      <c r="F109" s="18"/>
      <c r="G109" s="17"/>
      <c r="H109" s="19"/>
      <c r="I109" s="17"/>
      <c r="J109" s="17"/>
    </row>
    <row r="110" spans="1:10" x14ac:dyDescent="0.25">
      <c r="A110" s="17"/>
      <c r="B110" s="17"/>
      <c r="C110" s="17"/>
      <c r="D110" s="17"/>
      <c r="E110" s="17"/>
      <c r="F110" s="18"/>
      <c r="G110" s="17"/>
      <c r="H110" s="19"/>
      <c r="I110" s="17"/>
      <c r="J110" s="17"/>
    </row>
    <row r="111" spans="1:10" x14ac:dyDescent="0.25">
      <c r="A111" s="17"/>
      <c r="B111" s="17"/>
      <c r="C111" s="17"/>
      <c r="D111" s="17"/>
      <c r="E111" s="17"/>
      <c r="F111" s="18"/>
      <c r="G111" s="17"/>
      <c r="H111" s="19"/>
      <c r="I111" s="17"/>
      <c r="J111" s="17"/>
    </row>
    <row r="112" spans="1:10" x14ac:dyDescent="0.25">
      <c r="A112" s="17"/>
      <c r="B112" s="17"/>
      <c r="C112" s="17"/>
      <c r="D112" s="17"/>
      <c r="E112" s="17"/>
      <c r="F112" s="18"/>
      <c r="G112" s="17"/>
      <c r="H112" s="19"/>
      <c r="I112" s="17"/>
      <c r="J112" s="17"/>
    </row>
    <row r="113" spans="1:10" x14ac:dyDescent="0.25">
      <c r="A113" s="17"/>
      <c r="B113" s="17"/>
      <c r="C113" s="17"/>
      <c r="D113" s="17"/>
      <c r="E113" s="17"/>
      <c r="F113" s="18"/>
      <c r="G113" s="17"/>
      <c r="H113" s="19"/>
      <c r="I113" s="17"/>
      <c r="J113" s="17"/>
    </row>
    <row r="114" spans="1:10" x14ac:dyDescent="0.25">
      <c r="A114" s="17"/>
      <c r="B114" s="17"/>
      <c r="C114" s="17"/>
      <c r="D114" s="17"/>
      <c r="E114" s="17"/>
      <c r="F114" s="18"/>
      <c r="G114" s="17"/>
      <c r="H114" s="19"/>
      <c r="I114" s="17"/>
      <c r="J114" s="17"/>
    </row>
    <row r="115" spans="1:10" x14ac:dyDescent="0.25">
      <c r="A115" s="17"/>
      <c r="B115" s="17"/>
      <c r="C115" s="17"/>
      <c r="D115" s="17"/>
      <c r="E115" s="17"/>
      <c r="F115" s="18"/>
      <c r="G115" s="17"/>
      <c r="H115" s="19"/>
      <c r="I115" s="17"/>
      <c r="J115" s="17"/>
    </row>
    <row r="116" spans="1:10" x14ac:dyDescent="0.25">
      <c r="A116" s="17"/>
      <c r="B116" s="17"/>
      <c r="C116" s="17"/>
      <c r="D116" s="17"/>
      <c r="E116" s="17"/>
      <c r="F116" s="18"/>
      <c r="G116" s="17"/>
      <c r="H116" s="19"/>
      <c r="I116" s="17"/>
      <c r="J116" s="17"/>
    </row>
    <row r="117" spans="1:10" x14ac:dyDescent="0.25">
      <c r="A117" s="17"/>
      <c r="B117" s="17"/>
      <c r="C117" s="17"/>
      <c r="D117" s="17"/>
      <c r="E117" s="17"/>
      <c r="F117" s="18"/>
      <c r="G117" s="17"/>
      <c r="H117" s="19"/>
      <c r="I117" s="17"/>
      <c r="J117" s="17"/>
    </row>
    <row r="118" spans="1:10" x14ac:dyDescent="0.25">
      <c r="A118" s="17"/>
      <c r="B118" s="17"/>
      <c r="C118" s="17"/>
      <c r="D118" s="17"/>
      <c r="E118" s="17"/>
      <c r="F118" s="18"/>
      <c r="G118" s="17"/>
      <c r="H118" s="19"/>
      <c r="I118" s="17"/>
      <c r="J118" s="17"/>
    </row>
    <row r="119" spans="1:10" x14ac:dyDescent="0.25">
      <c r="A119" s="17"/>
      <c r="B119" s="17"/>
      <c r="C119" s="17"/>
      <c r="D119" s="17"/>
      <c r="E119" s="17"/>
      <c r="F119" s="18"/>
      <c r="G119" s="17"/>
      <c r="H119" s="19"/>
      <c r="I119" s="17"/>
      <c r="J119" s="17"/>
    </row>
    <row r="120" spans="1:10" x14ac:dyDescent="0.25">
      <c r="A120" s="17"/>
      <c r="B120" s="17"/>
      <c r="C120" s="17"/>
      <c r="D120" s="17"/>
      <c r="E120" s="17"/>
      <c r="F120" s="18"/>
      <c r="G120" s="17"/>
      <c r="H120" s="19"/>
      <c r="I120" s="17"/>
      <c r="J120" s="17"/>
    </row>
    <row r="121" spans="1:10" x14ac:dyDescent="0.25">
      <c r="A121" s="17"/>
      <c r="B121" s="17"/>
      <c r="C121" s="17"/>
      <c r="D121" s="17"/>
      <c r="E121" s="17"/>
      <c r="F121" s="18"/>
      <c r="G121" s="17"/>
      <c r="H121" s="19"/>
      <c r="I121" s="17"/>
      <c r="J121" s="17"/>
    </row>
    <row r="122" spans="1:10" x14ac:dyDescent="0.25">
      <c r="A122" s="17"/>
      <c r="B122" s="17"/>
      <c r="C122" s="17"/>
      <c r="D122" s="17"/>
      <c r="E122" s="17"/>
      <c r="F122" s="18"/>
      <c r="G122" s="17"/>
      <c r="H122" s="19"/>
      <c r="I122" s="17"/>
      <c r="J122" s="17"/>
    </row>
    <row r="123" spans="1:10" x14ac:dyDescent="0.25">
      <c r="A123" s="17"/>
      <c r="B123" s="17"/>
      <c r="C123" s="17"/>
      <c r="D123" s="17"/>
      <c r="E123" s="17"/>
      <c r="F123" s="18"/>
      <c r="G123" s="17"/>
      <c r="H123" s="19"/>
      <c r="I123" s="17"/>
      <c r="J123" s="17"/>
    </row>
    <row r="124" spans="1:10" x14ac:dyDescent="0.25">
      <c r="A124" s="17"/>
      <c r="B124" s="17"/>
      <c r="C124" s="17"/>
      <c r="D124" s="17"/>
      <c r="E124" s="17"/>
      <c r="F124" s="18"/>
      <c r="G124" s="17"/>
      <c r="H124" s="19"/>
      <c r="I124" s="17"/>
      <c r="J124" s="17"/>
    </row>
    <row r="125" spans="1:10" x14ac:dyDescent="0.25">
      <c r="A125" s="17"/>
      <c r="B125" s="17"/>
      <c r="C125" s="17"/>
      <c r="D125" s="17"/>
      <c r="E125" s="17"/>
      <c r="F125" s="18"/>
      <c r="G125" s="17"/>
      <c r="H125" s="19"/>
      <c r="I125" s="17"/>
      <c r="J125" s="17"/>
    </row>
    <row r="126" spans="1:10" x14ac:dyDescent="0.25">
      <c r="A126" s="17"/>
      <c r="B126" s="17"/>
      <c r="C126" s="17"/>
      <c r="D126" s="17"/>
      <c r="E126" s="17"/>
      <c r="F126" s="18"/>
      <c r="G126" s="17"/>
      <c r="H126" s="19"/>
      <c r="I126" s="17"/>
      <c r="J126" s="17"/>
    </row>
    <row r="127" spans="1:10" x14ac:dyDescent="0.25">
      <c r="A127" s="17"/>
      <c r="B127" s="17"/>
      <c r="C127" s="17"/>
      <c r="D127" s="17"/>
      <c r="E127" s="17"/>
      <c r="F127" s="18"/>
      <c r="G127" s="17"/>
      <c r="H127" s="19"/>
      <c r="I127" s="17"/>
      <c r="J127" s="17"/>
    </row>
    <row r="128" spans="1:10" x14ac:dyDescent="0.25">
      <c r="A128" s="17"/>
      <c r="B128" s="17"/>
      <c r="C128" s="17"/>
      <c r="D128" s="17"/>
      <c r="E128" s="17"/>
      <c r="F128" s="18"/>
      <c r="G128" s="17"/>
      <c r="H128" s="19"/>
      <c r="I128" s="17"/>
      <c r="J128" s="17"/>
    </row>
    <row r="129" spans="1:10" x14ac:dyDescent="0.25">
      <c r="A129" s="17"/>
      <c r="B129" s="17"/>
      <c r="C129" s="17"/>
      <c r="D129" s="17"/>
      <c r="E129" s="17"/>
      <c r="F129" s="18"/>
      <c r="G129" s="17"/>
      <c r="H129" s="19"/>
      <c r="I129" s="17"/>
      <c r="J129" s="17"/>
    </row>
    <row r="130" spans="1:10" x14ac:dyDescent="0.25">
      <c r="A130" s="17"/>
      <c r="B130" s="17"/>
      <c r="C130" s="17"/>
      <c r="D130" s="17"/>
      <c r="E130" s="17"/>
      <c r="F130" s="18"/>
      <c r="G130" s="17"/>
      <c r="H130" s="19"/>
      <c r="I130" s="17"/>
      <c r="J130" s="17"/>
    </row>
    <row r="131" spans="1:10" x14ac:dyDescent="0.25">
      <c r="A131" s="17"/>
      <c r="B131" s="17"/>
      <c r="C131" s="17"/>
      <c r="D131" s="17"/>
      <c r="E131" s="17"/>
      <c r="F131" s="18"/>
      <c r="G131" s="17"/>
      <c r="H131" s="19"/>
      <c r="I131" s="17"/>
      <c r="J131" s="17"/>
    </row>
    <row r="132" spans="1:10" x14ac:dyDescent="0.25">
      <c r="A132" s="17"/>
      <c r="B132" s="17"/>
      <c r="C132" s="17"/>
      <c r="D132" s="17"/>
      <c r="E132" s="17"/>
      <c r="F132" s="18"/>
      <c r="G132" s="17"/>
      <c r="H132" s="19"/>
      <c r="I132" s="17"/>
      <c r="J132" s="17"/>
    </row>
    <row r="133" spans="1:10" x14ac:dyDescent="0.25">
      <c r="A133" s="17"/>
      <c r="B133" s="17"/>
      <c r="C133" s="17"/>
      <c r="D133" s="17"/>
      <c r="E133" s="17"/>
      <c r="F133" s="18"/>
      <c r="G133" s="17"/>
      <c r="H133" s="19"/>
      <c r="I133" s="17"/>
      <c r="J133" s="17"/>
    </row>
    <row r="134" spans="1:10" x14ac:dyDescent="0.25">
      <c r="A134" s="17"/>
      <c r="B134" s="17"/>
      <c r="C134" s="17"/>
      <c r="D134" s="17"/>
      <c r="E134" s="17"/>
      <c r="F134" s="18"/>
      <c r="G134" s="17"/>
      <c r="H134" s="19"/>
      <c r="I134" s="17"/>
      <c r="J134" s="17"/>
    </row>
    <row r="135" spans="1:10" x14ac:dyDescent="0.25">
      <c r="A135" s="17"/>
      <c r="B135" s="17"/>
      <c r="C135" s="17"/>
      <c r="D135" s="17"/>
      <c r="E135" s="17"/>
      <c r="F135" s="18"/>
      <c r="G135" s="17"/>
      <c r="H135" s="19"/>
      <c r="I135" s="17"/>
      <c r="J135" s="17"/>
    </row>
    <row r="136" spans="1:10" x14ac:dyDescent="0.25">
      <c r="A136" s="17"/>
      <c r="B136" s="17"/>
      <c r="C136" s="17"/>
      <c r="D136" s="17"/>
      <c r="E136" s="17"/>
      <c r="F136" s="18"/>
      <c r="G136" s="17"/>
      <c r="H136" s="19"/>
      <c r="I136" s="17"/>
      <c r="J136" s="17"/>
    </row>
    <row r="137" spans="1:10" x14ac:dyDescent="0.25">
      <c r="A137" s="17"/>
      <c r="B137" s="17"/>
      <c r="C137" s="17"/>
      <c r="D137" s="17"/>
      <c r="E137" s="17"/>
      <c r="F137" s="18"/>
      <c r="G137" s="17"/>
      <c r="H137" s="19"/>
      <c r="I137" s="17"/>
      <c r="J137" s="17"/>
    </row>
    <row r="138" spans="1:10" x14ac:dyDescent="0.25">
      <c r="A138" s="17"/>
      <c r="B138" s="17"/>
      <c r="C138" s="17"/>
      <c r="D138" s="17"/>
      <c r="E138" s="17"/>
      <c r="F138" s="18"/>
      <c r="G138" s="17"/>
      <c r="H138" s="19"/>
      <c r="I138" s="17"/>
      <c r="J138" s="17"/>
    </row>
    <row r="139" spans="1:10" x14ac:dyDescent="0.25">
      <c r="A139" s="17"/>
      <c r="B139" s="17"/>
      <c r="C139" s="17"/>
      <c r="D139" s="17"/>
      <c r="E139" s="17"/>
      <c r="F139" s="18"/>
      <c r="G139" s="17"/>
      <c r="H139" s="19"/>
      <c r="I139" s="17"/>
      <c r="J139" s="17"/>
    </row>
    <row r="140" spans="1:10" x14ac:dyDescent="0.25">
      <c r="A140" s="17"/>
      <c r="B140" s="17"/>
      <c r="C140" s="17"/>
      <c r="D140" s="17"/>
      <c r="E140" s="17"/>
      <c r="F140" s="18"/>
      <c r="G140" s="17"/>
      <c r="H140" s="19"/>
      <c r="I140" s="17"/>
      <c r="J140" s="17"/>
    </row>
    <row r="141" spans="1:10" x14ac:dyDescent="0.25">
      <c r="A141" s="17"/>
      <c r="B141" s="17"/>
      <c r="C141" s="17"/>
      <c r="D141" s="17"/>
      <c r="E141" s="17"/>
      <c r="F141" s="18"/>
      <c r="G141" s="17"/>
      <c r="H141" s="19"/>
      <c r="I141" s="17"/>
      <c r="J141" s="17"/>
    </row>
    <row r="142" spans="1:10" x14ac:dyDescent="0.25">
      <c r="A142" s="17"/>
      <c r="B142" s="17"/>
      <c r="C142" s="17"/>
      <c r="D142" s="17"/>
      <c r="E142" s="17"/>
      <c r="F142" s="18"/>
      <c r="G142" s="17"/>
      <c r="H142" s="19"/>
      <c r="I142" s="17"/>
      <c r="J142" s="17"/>
    </row>
    <row r="143" spans="1:10" x14ac:dyDescent="0.25">
      <c r="A143" s="17"/>
      <c r="B143" s="17"/>
      <c r="C143" s="17"/>
      <c r="D143" s="17"/>
      <c r="E143" s="17"/>
      <c r="F143" s="18"/>
      <c r="G143" s="17"/>
      <c r="H143" s="19"/>
      <c r="I143" s="17"/>
      <c r="J143" s="17"/>
    </row>
    <row r="144" spans="1:10" x14ac:dyDescent="0.25">
      <c r="A144" s="17"/>
      <c r="B144" s="17"/>
      <c r="C144" s="17"/>
      <c r="D144" s="17"/>
      <c r="E144" s="17"/>
      <c r="F144" s="18"/>
      <c r="G144" s="17"/>
      <c r="H144" s="19"/>
      <c r="I144" s="17"/>
      <c r="J144" s="17"/>
    </row>
    <row r="145" spans="1:10" x14ac:dyDescent="0.25">
      <c r="A145" s="17"/>
      <c r="B145" s="17"/>
      <c r="C145" s="17"/>
      <c r="D145" s="17"/>
      <c r="E145" s="17"/>
      <c r="F145" s="18"/>
      <c r="G145" s="17"/>
      <c r="H145" s="19"/>
      <c r="I145" s="17"/>
      <c r="J145" s="17"/>
    </row>
    <row r="146" spans="1:10" x14ac:dyDescent="0.25">
      <c r="A146" s="17"/>
      <c r="B146" s="17"/>
      <c r="C146" s="17"/>
      <c r="D146" s="17"/>
      <c r="E146" s="17"/>
      <c r="F146" s="18"/>
      <c r="G146" s="17"/>
      <c r="H146" s="19"/>
      <c r="I146" s="17"/>
      <c r="J146" s="17"/>
    </row>
    <row r="147" spans="1:10" x14ac:dyDescent="0.25">
      <c r="A147" s="17"/>
      <c r="B147" s="17"/>
      <c r="C147" s="17"/>
      <c r="D147" s="17"/>
      <c r="E147" s="17"/>
      <c r="F147" s="18"/>
      <c r="G147" s="17"/>
      <c r="H147" s="19"/>
      <c r="I147" s="17"/>
      <c r="J147" s="17"/>
    </row>
    <row r="148" spans="1:10" x14ac:dyDescent="0.25">
      <c r="A148" s="17"/>
      <c r="B148" s="17"/>
      <c r="C148" s="17"/>
      <c r="D148" s="17"/>
      <c r="E148" s="17"/>
      <c r="F148" s="18"/>
      <c r="G148" s="17"/>
      <c r="H148" s="19"/>
      <c r="I148" s="17"/>
      <c r="J148" s="17"/>
    </row>
    <row r="149" spans="1:10" x14ac:dyDescent="0.25">
      <c r="A149" s="17"/>
      <c r="B149" s="17"/>
      <c r="C149" s="17"/>
      <c r="D149" s="17"/>
      <c r="E149" s="17"/>
      <c r="F149" s="18"/>
      <c r="G149" s="17"/>
      <c r="H149" s="19"/>
      <c r="I149" s="17"/>
      <c r="J149" s="17"/>
    </row>
    <row r="150" spans="1:10" x14ac:dyDescent="0.25">
      <c r="A150" s="17"/>
      <c r="B150" s="17"/>
      <c r="C150" s="17"/>
      <c r="D150" s="17"/>
      <c r="E150" s="17"/>
      <c r="F150" s="18"/>
      <c r="G150" s="17"/>
      <c r="H150" s="19"/>
      <c r="I150" s="17"/>
      <c r="J150" s="17"/>
    </row>
    <row r="151" spans="1:10" x14ac:dyDescent="0.25">
      <c r="A151" s="17"/>
      <c r="B151" s="17"/>
      <c r="C151" s="17"/>
      <c r="D151" s="17"/>
      <c r="E151" s="17"/>
      <c r="F151" s="18"/>
      <c r="G151" s="17"/>
      <c r="H151" s="19"/>
      <c r="I151" s="17"/>
      <c r="J151" s="17"/>
    </row>
    <row r="152" spans="1:10" x14ac:dyDescent="0.25">
      <c r="A152" s="17"/>
      <c r="B152" s="17"/>
      <c r="C152" s="17"/>
      <c r="D152" s="17"/>
      <c r="E152" s="17"/>
      <c r="F152" s="18"/>
      <c r="G152" s="17"/>
      <c r="H152" s="19"/>
      <c r="I152" s="17"/>
      <c r="J152" s="17"/>
    </row>
    <row r="153" spans="1:10" x14ac:dyDescent="0.25">
      <c r="A153" s="17"/>
      <c r="B153" s="17"/>
      <c r="C153" s="17"/>
      <c r="D153" s="17"/>
      <c r="E153" s="17"/>
      <c r="F153" s="18"/>
      <c r="G153" s="17"/>
      <c r="H153" s="19"/>
      <c r="I153" s="17"/>
      <c r="J153" s="17"/>
    </row>
    <row r="154" spans="1:10" x14ac:dyDescent="0.25">
      <c r="A154" s="17"/>
      <c r="B154" s="17"/>
      <c r="C154" s="17"/>
      <c r="D154" s="17"/>
      <c r="E154" s="17"/>
      <c r="F154" s="18"/>
      <c r="G154" s="17"/>
      <c r="H154" s="19"/>
      <c r="I154" s="17"/>
      <c r="J154" s="17"/>
    </row>
    <row r="155" spans="1:10" x14ac:dyDescent="0.25">
      <c r="A155" s="17"/>
      <c r="B155" s="17"/>
      <c r="C155" s="17"/>
      <c r="D155" s="17"/>
      <c r="E155" s="17"/>
      <c r="F155" s="18"/>
      <c r="G155" s="17"/>
      <c r="H155" s="19"/>
      <c r="I155" s="17"/>
      <c r="J155" s="17"/>
    </row>
    <row r="156" spans="1:10" x14ac:dyDescent="0.25">
      <c r="A156" s="17"/>
      <c r="B156" s="17"/>
      <c r="C156" s="17"/>
      <c r="D156" s="17"/>
      <c r="E156" s="17"/>
      <c r="F156" s="18"/>
      <c r="G156" s="17"/>
      <c r="H156" s="19"/>
      <c r="I156" s="17"/>
      <c r="J156" s="17"/>
    </row>
    <row r="157" spans="1:10" x14ac:dyDescent="0.25">
      <c r="A157" s="17"/>
      <c r="B157" s="17"/>
      <c r="C157" s="17"/>
      <c r="D157" s="17"/>
      <c r="E157" s="17"/>
      <c r="F157" s="18"/>
      <c r="G157" s="17"/>
      <c r="H157" s="19"/>
      <c r="I157" s="17"/>
      <c r="J157" s="17"/>
    </row>
    <row r="158" spans="1:10" x14ac:dyDescent="0.25">
      <c r="A158" s="17"/>
      <c r="B158" s="17"/>
      <c r="C158" s="17"/>
      <c r="D158" s="17"/>
      <c r="E158" s="17"/>
      <c r="F158" s="18"/>
      <c r="G158" s="17"/>
      <c r="H158" s="19"/>
      <c r="I158" s="17"/>
      <c r="J158" s="17"/>
    </row>
    <row r="159" spans="1:10" x14ac:dyDescent="0.25">
      <c r="A159" s="17"/>
      <c r="B159" s="17"/>
      <c r="C159" s="17"/>
      <c r="D159" s="17"/>
      <c r="E159" s="17"/>
      <c r="F159" s="18"/>
      <c r="G159" s="17"/>
      <c r="H159" s="19"/>
      <c r="I159" s="17"/>
      <c r="J159" s="17"/>
    </row>
    <row r="160" spans="1:10" x14ac:dyDescent="0.25">
      <c r="A160" s="17"/>
      <c r="B160" s="17"/>
      <c r="C160" s="17"/>
      <c r="D160" s="17"/>
      <c r="E160" s="17"/>
      <c r="F160" s="18"/>
      <c r="G160" s="17"/>
      <c r="H160" s="19"/>
      <c r="I160" s="17"/>
      <c r="J160" s="17"/>
    </row>
    <row r="161" spans="1:10" x14ac:dyDescent="0.25">
      <c r="A161" s="17"/>
      <c r="B161" s="17"/>
      <c r="C161" s="17"/>
      <c r="D161" s="17"/>
      <c r="E161" s="17"/>
      <c r="F161" s="18"/>
      <c r="G161" s="17"/>
      <c r="H161" s="19"/>
      <c r="I161" s="17"/>
      <c r="J161" s="17"/>
    </row>
    <row r="162" spans="1:10" x14ac:dyDescent="0.25">
      <c r="A162" s="17"/>
      <c r="B162" s="17"/>
      <c r="C162" s="17"/>
      <c r="D162" s="17"/>
      <c r="E162" s="17"/>
      <c r="F162" s="18"/>
      <c r="G162" s="17"/>
      <c r="H162" s="19"/>
      <c r="I162" s="17"/>
      <c r="J162" s="17"/>
    </row>
    <row r="163" spans="1:10" x14ac:dyDescent="0.25">
      <c r="A163" s="17"/>
      <c r="B163" s="17"/>
      <c r="C163" s="17"/>
      <c r="D163" s="17"/>
      <c r="E163" s="17"/>
      <c r="F163" s="18"/>
      <c r="G163" s="17"/>
      <c r="H163" s="19"/>
      <c r="I163" s="17"/>
      <c r="J163" s="17"/>
    </row>
    <row r="164" spans="1:10" x14ac:dyDescent="0.25">
      <c r="A164" s="17"/>
      <c r="B164" s="17"/>
      <c r="C164" s="17"/>
      <c r="D164" s="17"/>
      <c r="E164" s="17"/>
      <c r="F164" s="18"/>
      <c r="G164" s="17"/>
      <c r="H164" s="19"/>
      <c r="I164" s="17"/>
      <c r="J164" s="17"/>
    </row>
    <row r="165" spans="1:10" x14ac:dyDescent="0.25">
      <c r="A165" s="17"/>
      <c r="B165" s="17"/>
      <c r="C165" s="17"/>
      <c r="D165" s="17"/>
      <c r="E165" s="17"/>
      <c r="F165" s="18"/>
      <c r="G165" s="17"/>
      <c r="H165" s="19"/>
      <c r="I165" s="17"/>
      <c r="J165" s="17"/>
    </row>
    <row r="166" spans="1:10" x14ac:dyDescent="0.25">
      <c r="A166" s="17"/>
      <c r="B166" s="17"/>
      <c r="C166" s="17"/>
      <c r="D166" s="17"/>
      <c r="E166" s="17"/>
      <c r="F166" s="18"/>
      <c r="G166" s="17"/>
      <c r="H166" s="19"/>
      <c r="I166" s="17"/>
      <c r="J166" s="17"/>
    </row>
    <row r="167" spans="1:10" x14ac:dyDescent="0.25">
      <c r="A167" s="17"/>
      <c r="B167" s="17"/>
      <c r="C167" s="17"/>
      <c r="D167" s="17"/>
      <c r="E167" s="17"/>
      <c r="F167" s="18"/>
      <c r="G167" s="17"/>
      <c r="H167" s="19"/>
      <c r="I167" s="17"/>
      <c r="J167" s="17"/>
    </row>
    <row r="168" spans="1:10" x14ac:dyDescent="0.25">
      <c r="A168" s="17"/>
      <c r="B168" s="17"/>
      <c r="C168" s="17"/>
      <c r="D168" s="17"/>
      <c r="E168" s="17"/>
      <c r="F168" s="18"/>
      <c r="G168" s="17"/>
      <c r="H168" s="19"/>
      <c r="I168" s="17"/>
      <c r="J168" s="17"/>
    </row>
    <row r="169" spans="1:10" x14ac:dyDescent="0.25">
      <c r="A169" s="17"/>
      <c r="B169" s="17"/>
      <c r="C169" s="17"/>
      <c r="D169" s="17"/>
      <c r="E169" s="17"/>
      <c r="F169" s="18"/>
      <c r="G169" s="17"/>
      <c r="H169" s="19"/>
      <c r="I169" s="17"/>
      <c r="J169" s="17"/>
    </row>
    <row r="170" spans="1:10" x14ac:dyDescent="0.25">
      <c r="A170" s="17"/>
      <c r="B170" s="17"/>
      <c r="C170" s="17"/>
      <c r="D170" s="17"/>
      <c r="E170" s="17"/>
      <c r="F170" s="18"/>
      <c r="G170" s="17"/>
      <c r="H170" s="19"/>
      <c r="I170" s="17"/>
      <c r="J170" s="17"/>
    </row>
    <row r="171" spans="1:10" x14ac:dyDescent="0.25">
      <c r="A171" s="17"/>
      <c r="B171" s="17"/>
      <c r="C171" s="17"/>
      <c r="D171" s="17"/>
      <c r="E171" s="17"/>
      <c r="F171" s="18"/>
      <c r="G171" s="17"/>
      <c r="H171" s="19"/>
      <c r="I171" s="17"/>
      <c r="J171" s="17"/>
    </row>
    <row r="172" spans="1:10" x14ac:dyDescent="0.25">
      <c r="A172" s="17"/>
      <c r="B172" s="17"/>
      <c r="C172" s="17"/>
      <c r="D172" s="17"/>
      <c r="E172" s="17"/>
      <c r="F172" s="18"/>
      <c r="G172" s="17"/>
      <c r="H172" s="19"/>
      <c r="I172" s="17"/>
      <c r="J172" s="17"/>
    </row>
    <row r="173" spans="1:10" x14ac:dyDescent="0.25">
      <c r="A173" s="17"/>
      <c r="B173" s="17"/>
      <c r="C173" s="17"/>
      <c r="D173" s="17"/>
      <c r="E173" s="17"/>
      <c r="F173" s="18"/>
      <c r="G173" s="17"/>
      <c r="H173" s="19"/>
      <c r="I173" s="17"/>
      <c r="J173" s="17"/>
    </row>
    <row r="174" spans="1:10" x14ac:dyDescent="0.25">
      <c r="A174" s="17"/>
      <c r="B174" s="17"/>
      <c r="C174" s="17"/>
      <c r="D174" s="17"/>
      <c r="E174" s="17"/>
      <c r="F174" s="18"/>
      <c r="G174" s="17"/>
      <c r="H174" s="19"/>
      <c r="I174" s="17"/>
      <c r="J174" s="17"/>
    </row>
    <row r="175" spans="1:10" x14ac:dyDescent="0.25">
      <c r="A175" s="17"/>
      <c r="B175" s="17"/>
      <c r="C175" s="17"/>
      <c r="D175" s="17"/>
      <c r="E175" s="17"/>
      <c r="F175" s="18"/>
      <c r="G175" s="17"/>
      <c r="H175" s="19"/>
      <c r="I175" s="17"/>
      <c r="J175" s="17"/>
    </row>
    <row r="176" spans="1:10" x14ac:dyDescent="0.25">
      <c r="A176" s="17"/>
      <c r="B176" s="17"/>
      <c r="C176" s="17"/>
      <c r="D176" s="17"/>
      <c r="E176" s="17"/>
      <c r="F176" s="18"/>
      <c r="G176" s="17"/>
      <c r="H176" s="19"/>
      <c r="I176" s="17"/>
      <c r="J176" s="17"/>
    </row>
    <row r="177" spans="1:10" x14ac:dyDescent="0.25">
      <c r="A177" s="17"/>
      <c r="B177" s="17"/>
      <c r="C177" s="17"/>
      <c r="D177" s="17"/>
      <c r="E177" s="17"/>
      <c r="F177" s="18"/>
      <c r="G177" s="17"/>
      <c r="H177" s="19"/>
      <c r="I177" s="17"/>
      <c r="J177" s="17"/>
    </row>
    <row r="178" spans="1:10" x14ac:dyDescent="0.25">
      <c r="A178" s="17"/>
      <c r="B178" s="17"/>
      <c r="C178" s="17"/>
      <c r="D178" s="17"/>
      <c r="E178" s="17"/>
      <c r="F178" s="18"/>
      <c r="G178" s="17"/>
      <c r="H178" s="19"/>
      <c r="I178" s="17"/>
      <c r="J178" s="17"/>
    </row>
    <row r="179" spans="1:10" x14ac:dyDescent="0.25">
      <c r="A179" s="17"/>
      <c r="B179" s="17"/>
      <c r="C179" s="17"/>
      <c r="D179" s="17"/>
      <c r="E179" s="17"/>
      <c r="F179" s="18"/>
      <c r="G179" s="17"/>
      <c r="H179" s="19"/>
      <c r="I179" s="17"/>
      <c r="J179" s="17"/>
    </row>
    <row r="180" spans="1:10" x14ac:dyDescent="0.25">
      <c r="A180" s="17"/>
      <c r="B180" s="17"/>
      <c r="C180" s="17"/>
      <c r="D180" s="17"/>
      <c r="E180" s="17"/>
      <c r="F180" s="18"/>
      <c r="G180" s="17"/>
      <c r="H180" s="19"/>
      <c r="I180" s="17"/>
      <c r="J180" s="17"/>
    </row>
    <row r="181" spans="1:10" x14ac:dyDescent="0.25">
      <c r="A181" s="17"/>
      <c r="B181" s="17"/>
      <c r="C181" s="17"/>
      <c r="D181" s="17"/>
      <c r="E181" s="17"/>
      <c r="F181" s="18"/>
      <c r="G181" s="17"/>
      <c r="H181" s="19"/>
      <c r="I181" s="17"/>
      <c r="J181" s="17"/>
    </row>
    <row r="182" spans="1:10" x14ac:dyDescent="0.25">
      <c r="A182" s="17"/>
      <c r="B182" s="17"/>
      <c r="C182" s="17"/>
      <c r="D182" s="17"/>
      <c r="E182" s="17"/>
      <c r="F182" s="18"/>
      <c r="G182" s="17"/>
      <c r="H182" s="19"/>
      <c r="I182" s="17"/>
      <c r="J182" s="17"/>
    </row>
    <row r="183" spans="1:10" x14ac:dyDescent="0.25">
      <c r="A183" s="17"/>
      <c r="B183" s="17"/>
      <c r="C183" s="17"/>
      <c r="D183" s="17"/>
      <c r="E183" s="17"/>
      <c r="F183" s="18"/>
      <c r="G183" s="17"/>
      <c r="H183" s="19"/>
      <c r="I183" s="17"/>
      <c r="J183" s="17"/>
    </row>
    <row r="184" spans="1:10" x14ac:dyDescent="0.25">
      <c r="A184" s="17"/>
      <c r="B184" s="17"/>
      <c r="C184" s="17"/>
      <c r="D184" s="17"/>
      <c r="E184" s="17"/>
      <c r="F184" s="18"/>
      <c r="G184" s="17"/>
      <c r="H184" s="19"/>
      <c r="I184" s="17"/>
      <c r="J184" s="17"/>
    </row>
    <row r="185" spans="1:10" x14ac:dyDescent="0.25">
      <c r="A185" s="17"/>
      <c r="B185" s="17"/>
      <c r="C185" s="17"/>
      <c r="D185" s="17"/>
      <c r="E185" s="17"/>
      <c r="F185" s="18"/>
      <c r="G185" s="17"/>
      <c r="H185" s="19"/>
      <c r="I185" s="17"/>
      <c r="J185" s="17"/>
    </row>
    <row r="186" spans="1:10" x14ac:dyDescent="0.25">
      <c r="A186" s="17"/>
      <c r="B186" s="17"/>
      <c r="C186" s="17"/>
      <c r="D186" s="17"/>
      <c r="E186" s="17"/>
      <c r="F186" s="18"/>
      <c r="G186" s="17"/>
      <c r="H186" s="19"/>
      <c r="I186" s="17"/>
      <c r="J186" s="17"/>
    </row>
    <row r="187" spans="1:10" x14ac:dyDescent="0.25">
      <c r="A187" s="17"/>
      <c r="B187" s="17"/>
      <c r="C187" s="17"/>
      <c r="D187" s="17"/>
      <c r="E187" s="17"/>
      <c r="F187" s="18"/>
      <c r="G187" s="17"/>
      <c r="H187" s="19"/>
      <c r="I187" s="17"/>
      <c r="J187" s="17"/>
    </row>
    <row r="188" spans="1:10" x14ac:dyDescent="0.25">
      <c r="A188" s="17"/>
      <c r="B188" s="17"/>
      <c r="C188" s="17"/>
      <c r="D188" s="17"/>
      <c r="E188" s="17"/>
      <c r="F188" s="18"/>
      <c r="G188" s="17"/>
      <c r="H188" s="19"/>
      <c r="I188" s="17"/>
      <c r="J188" s="17"/>
    </row>
    <row r="189" spans="1:10" x14ac:dyDescent="0.25">
      <c r="A189" s="17"/>
      <c r="B189" s="17"/>
      <c r="C189" s="17"/>
      <c r="D189" s="17"/>
      <c r="E189" s="17"/>
      <c r="F189" s="18"/>
      <c r="G189" s="17"/>
      <c r="H189" s="19"/>
      <c r="I189" s="17"/>
      <c r="J189" s="17"/>
    </row>
    <row r="190" spans="1:10" x14ac:dyDescent="0.25">
      <c r="A190" s="17"/>
      <c r="B190" s="17"/>
      <c r="C190" s="17"/>
      <c r="D190" s="17"/>
      <c r="E190" s="17"/>
      <c r="F190" s="18"/>
      <c r="G190" s="17"/>
      <c r="H190" s="19"/>
      <c r="I190" s="17"/>
      <c r="J190" s="17"/>
    </row>
    <row r="191" spans="1:10" x14ac:dyDescent="0.25">
      <c r="A191" s="17"/>
      <c r="B191" s="17"/>
      <c r="C191" s="17"/>
      <c r="D191" s="17"/>
      <c r="E191" s="17"/>
      <c r="F191" s="18"/>
      <c r="G191" s="17"/>
      <c r="H191" s="19"/>
      <c r="I191" s="17"/>
      <c r="J191" s="17"/>
    </row>
    <row r="192" spans="1:10" x14ac:dyDescent="0.25">
      <c r="A192" s="17"/>
      <c r="B192" s="17"/>
      <c r="C192" s="17"/>
      <c r="D192" s="17"/>
      <c r="E192" s="17"/>
      <c r="F192" s="18"/>
      <c r="G192" s="17"/>
      <c r="H192" s="19"/>
      <c r="I192" s="17"/>
      <c r="J192" s="17"/>
    </row>
    <row r="193" spans="1:10" x14ac:dyDescent="0.25">
      <c r="A193" s="17"/>
      <c r="B193" s="17"/>
      <c r="C193" s="17"/>
      <c r="D193" s="17"/>
      <c r="E193" s="17"/>
      <c r="F193" s="18"/>
      <c r="G193" s="17"/>
      <c r="H193" s="19"/>
      <c r="I193" s="17"/>
      <c r="J193" s="17"/>
    </row>
    <row r="194" spans="1:10" x14ac:dyDescent="0.25">
      <c r="A194" s="17"/>
      <c r="B194" s="17"/>
      <c r="C194" s="17"/>
      <c r="D194" s="17"/>
      <c r="E194" s="17"/>
      <c r="F194" s="18"/>
      <c r="G194" s="17"/>
      <c r="H194" s="19"/>
      <c r="I194" s="17"/>
      <c r="J194" s="17"/>
    </row>
    <row r="195" spans="1:10" x14ac:dyDescent="0.25">
      <c r="A195" s="17"/>
      <c r="B195" s="17"/>
      <c r="C195" s="17"/>
      <c r="D195" s="17"/>
      <c r="E195" s="17"/>
      <c r="F195" s="18"/>
      <c r="G195" s="17"/>
      <c r="H195" s="19"/>
      <c r="I195" s="17"/>
      <c r="J195" s="17"/>
    </row>
    <row r="196" spans="1:10" x14ac:dyDescent="0.25">
      <c r="A196" s="17"/>
      <c r="B196" s="17"/>
      <c r="C196" s="17"/>
      <c r="D196" s="17"/>
      <c r="E196" s="17"/>
      <c r="F196" s="18"/>
      <c r="G196" s="17"/>
      <c r="H196" s="19"/>
      <c r="I196" s="17"/>
      <c r="J196" s="17"/>
    </row>
    <row r="197" spans="1:10" x14ac:dyDescent="0.25">
      <c r="A197" s="17"/>
      <c r="B197" s="17"/>
      <c r="C197" s="17"/>
      <c r="D197" s="17"/>
      <c r="E197" s="17"/>
      <c r="F197" s="18"/>
      <c r="G197" s="17"/>
      <c r="H197" s="19"/>
      <c r="I197" s="17"/>
      <c r="J197" s="17"/>
    </row>
    <row r="198" spans="1:10" x14ac:dyDescent="0.25">
      <c r="A198" s="17"/>
      <c r="B198" s="17"/>
      <c r="C198" s="17"/>
      <c r="D198" s="17"/>
      <c r="E198" s="17"/>
      <c r="F198" s="18"/>
      <c r="G198" s="17"/>
      <c r="H198" s="19"/>
      <c r="I198" s="17"/>
      <c r="J198" s="17"/>
    </row>
    <row r="199" spans="1:10" x14ac:dyDescent="0.25">
      <c r="A199" s="17"/>
      <c r="B199" s="17"/>
      <c r="C199" s="17"/>
      <c r="D199" s="17"/>
      <c r="E199" s="17"/>
      <c r="F199" s="18"/>
      <c r="G199" s="17"/>
      <c r="H199" s="19"/>
      <c r="I199" s="17"/>
      <c r="J199" s="17"/>
    </row>
    <row r="200" spans="1:10" x14ac:dyDescent="0.25">
      <c r="A200" s="17"/>
      <c r="B200" s="17"/>
      <c r="C200" s="17"/>
      <c r="D200" s="17"/>
      <c r="E200" s="17"/>
      <c r="F200" s="18"/>
      <c r="G200" s="17"/>
      <c r="H200" s="19"/>
      <c r="I200" s="17"/>
      <c r="J200" s="17"/>
    </row>
    <row r="201" spans="1:10" x14ac:dyDescent="0.25">
      <c r="A201" s="17"/>
      <c r="B201" s="17"/>
      <c r="C201" s="17"/>
      <c r="D201" s="17"/>
      <c r="E201" s="17"/>
      <c r="F201" s="18"/>
      <c r="G201" s="17"/>
      <c r="H201" s="19"/>
      <c r="I201" s="17"/>
      <c r="J201" s="17"/>
    </row>
    <row r="202" spans="1:10" x14ac:dyDescent="0.25">
      <c r="A202" s="17"/>
      <c r="B202" s="17"/>
      <c r="C202" s="17"/>
      <c r="D202" s="17"/>
      <c r="E202" s="17"/>
      <c r="F202" s="18"/>
      <c r="G202" s="17"/>
      <c r="H202" s="19"/>
      <c r="I202" s="17"/>
      <c r="J202" s="17"/>
    </row>
    <row r="203" spans="1:10" x14ac:dyDescent="0.25">
      <c r="A203" s="17"/>
      <c r="B203" s="17"/>
      <c r="C203" s="17"/>
      <c r="D203" s="17"/>
      <c r="E203" s="17"/>
      <c r="F203" s="18"/>
      <c r="G203" s="17"/>
      <c r="H203" s="19"/>
      <c r="I203" s="17"/>
      <c r="J203" s="17"/>
    </row>
    <row r="204" spans="1:10" x14ac:dyDescent="0.25">
      <c r="A204" s="17"/>
      <c r="B204" s="17"/>
      <c r="C204" s="17"/>
      <c r="D204" s="17"/>
      <c r="E204" s="17"/>
      <c r="F204" s="18"/>
      <c r="G204" s="17"/>
      <c r="H204" s="19"/>
      <c r="I204" s="17"/>
      <c r="J204" s="17"/>
    </row>
    <row r="205" spans="1:10" x14ac:dyDescent="0.25">
      <c r="A205" s="17"/>
      <c r="B205" s="17"/>
      <c r="C205" s="17"/>
      <c r="D205" s="17"/>
      <c r="E205" s="17"/>
      <c r="F205" s="18"/>
      <c r="G205" s="17"/>
      <c r="H205" s="19"/>
      <c r="I205" s="17"/>
      <c r="J205" s="17"/>
    </row>
  </sheetData>
  <autoFilter ref="A5:J20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2" customWidth="1"/>
    <col min="2" max="9" width="13" customWidth="1"/>
  </cols>
  <sheetData>
    <row r="1" spans="1:9" ht="15.75" x14ac:dyDescent="0.25">
      <c r="A1" s="2" t="s">
        <v>134</v>
      </c>
    </row>
    <row r="2" spans="1:9" x14ac:dyDescent="0.25">
      <c r="A2" s="3" t="s">
        <v>135</v>
      </c>
    </row>
    <row r="3" spans="1:9" x14ac:dyDescent="0.25">
      <c r="A3" s="4" t="s">
        <v>136</v>
      </c>
    </row>
    <row r="5" spans="1:9" ht="39" x14ac:dyDescent="0.25">
      <c r="A5" s="5" t="s">
        <v>3</v>
      </c>
      <c r="B5" s="5" t="s">
        <v>137</v>
      </c>
      <c r="C5" s="5" t="s">
        <v>138</v>
      </c>
      <c r="D5" s="5" t="s">
        <v>139</v>
      </c>
      <c r="E5" s="5" t="s">
        <v>140</v>
      </c>
      <c r="F5" s="5" t="s">
        <v>141</v>
      </c>
      <c r="G5" s="5" t="s">
        <v>142</v>
      </c>
      <c r="H5" s="5" t="s">
        <v>143</v>
      </c>
      <c r="I5" s="5" t="s">
        <v>144</v>
      </c>
    </row>
    <row r="6" spans="1:9" x14ac:dyDescent="0.25">
      <c r="A6" s="6">
        <v>43831</v>
      </c>
      <c r="B6" s="7"/>
      <c r="C6" s="7"/>
      <c r="D6" s="14"/>
      <c r="E6" s="9" t="str">
        <f>IF(B6=0,"",'Biofuel Production'!B6/B6)</f>
        <v/>
      </c>
      <c r="F6" s="7"/>
      <c r="G6" s="7"/>
      <c r="H6" s="14"/>
      <c r="I6" s="9" t="str">
        <f>IF(F6=0,"",('Biofuel Production'!D6+'Biofuel Production'!F6)/F6)</f>
        <v/>
      </c>
    </row>
    <row r="7" spans="1:9" x14ac:dyDescent="0.25">
      <c r="A7" s="6">
        <v>43862</v>
      </c>
      <c r="B7" s="7"/>
      <c r="C7" s="7"/>
      <c r="D7" s="14"/>
      <c r="E7" s="9" t="str">
        <f>IF(B7=0,"",'Biofuel Production'!B7/B7)</f>
        <v/>
      </c>
      <c r="F7" s="7"/>
      <c r="G7" s="7"/>
      <c r="H7" s="14"/>
      <c r="I7" s="9" t="str">
        <f>IF(F7=0,"",('Biofuel Production'!D7+'Biofuel Production'!F7)/F7)</f>
        <v/>
      </c>
    </row>
    <row r="8" spans="1:9" x14ac:dyDescent="0.25">
      <c r="A8" s="6">
        <v>43891</v>
      </c>
      <c r="B8" s="7"/>
      <c r="C8" s="7"/>
      <c r="D8" s="14"/>
      <c r="E8" s="9" t="str">
        <f>IF(B8=0,"",'Biofuel Production'!B8/B8)</f>
        <v/>
      </c>
      <c r="F8" s="7"/>
      <c r="G8" s="7"/>
      <c r="H8" s="14"/>
      <c r="I8" s="9" t="str">
        <f>IF(F8=0,"",('Biofuel Production'!D8+'Biofuel Production'!F8)/F8)</f>
        <v/>
      </c>
    </row>
    <row r="9" spans="1:9" x14ac:dyDescent="0.25">
      <c r="A9" s="6">
        <v>43922</v>
      </c>
      <c r="B9" s="7"/>
      <c r="C9" s="7"/>
      <c r="D9" s="14"/>
      <c r="E9" s="9" t="str">
        <f>IF(B9=0,"",'Biofuel Production'!B9/B9)</f>
        <v/>
      </c>
      <c r="F9" s="7"/>
      <c r="G9" s="7"/>
      <c r="H9" s="14"/>
      <c r="I9" s="9" t="str">
        <f>IF(F9=0,"",('Biofuel Production'!D9+'Biofuel Production'!F9)/F9)</f>
        <v/>
      </c>
    </row>
    <row r="10" spans="1:9" x14ac:dyDescent="0.25">
      <c r="A10" s="6">
        <v>43952</v>
      </c>
      <c r="B10" s="7"/>
      <c r="C10" s="7"/>
      <c r="D10" s="14"/>
      <c r="E10" s="9" t="str">
        <f>IF(B10=0,"",'Biofuel Production'!B10/B10)</f>
        <v/>
      </c>
      <c r="F10" s="7"/>
      <c r="G10" s="7"/>
      <c r="H10" s="14"/>
      <c r="I10" s="9" t="str">
        <f>IF(F10=0,"",('Biofuel Production'!D10+'Biofuel Production'!F10)/F10)</f>
        <v/>
      </c>
    </row>
    <row r="11" spans="1:9" x14ac:dyDescent="0.25">
      <c r="A11" s="6">
        <v>43983</v>
      </c>
      <c r="B11" s="7"/>
      <c r="C11" s="7"/>
      <c r="D11" s="14"/>
      <c r="E11" s="9" t="str">
        <f>IF(B11=0,"",'Biofuel Production'!B11/B11)</f>
        <v/>
      </c>
      <c r="F11" s="7"/>
      <c r="G11" s="7"/>
      <c r="H11" s="14"/>
      <c r="I11" s="9" t="str">
        <f>IF(F11=0,"",('Biofuel Production'!D11+'Biofuel Production'!F11)/F11)</f>
        <v/>
      </c>
    </row>
    <row r="12" spans="1:9" x14ac:dyDescent="0.25">
      <c r="A12" s="6">
        <v>44013</v>
      </c>
      <c r="B12" s="7"/>
      <c r="C12" s="7"/>
      <c r="D12" s="14"/>
      <c r="E12" s="9" t="str">
        <f>IF(B12=0,"",'Biofuel Production'!B12/B12)</f>
        <v/>
      </c>
      <c r="F12" s="7"/>
      <c r="G12" s="7"/>
      <c r="H12" s="14"/>
      <c r="I12" s="9" t="str">
        <f>IF(F12=0,"",('Biofuel Production'!D12+'Biofuel Production'!F12)/F12)</f>
        <v/>
      </c>
    </row>
    <row r="13" spans="1:9" x14ac:dyDescent="0.25">
      <c r="A13" s="6">
        <v>44044</v>
      </c>
      <c r="B13" s="7"/>
      <c r="C13" s="7"/>
      <c r="D13" s="14"/>
      <c r="E13" s="9" t="str">
        <f>IF(B13=0,"",'Biofuel Production'!B13/B13)</f>
        <v/>
      </c>
      <c r="F13" s="7"/>
      <c r="G13" s="7"/>
      <c r="H13" s="14"/>
      <c r="I13" s="9" t="str">
        <f>IF(F13=0,"",('Biofuel Production'!D13+'Biofuel Production'!F13)/F13)</f>
        <v/>
      </c>
    </row>
    <row r="14" spans="1:9" x14ac:dyDescent="0.25">
      <c r="A14" s="6">
        <v>44075</v>
      </c>
      <c r="B14" s="7"/>
      <c r="C14" s="7"/>
      <c r="D14" s="14"/>
      <c r="E14" s="9" t="str">
        <f>IF(B14=0,"",'Biofuel Production'!B14/B14)</f>
        <v/>
      </c>
      <c r="F14" s="7"/>
      <c r="G14" s="7"/>
      <c r="H14" s="14"/>
      <c r="I14" s="9" t="str">
        <f>IF(F14=0,"",('Biofuel Production'!D14+'Biofuel Production'!F14)/F14)</f>
        <v/>
      </c>
    </row>
    <row r="15" spans="1:9" x14ac:dyDescent="0.25">
      <c r="A15" s="6">
        <v>44105</v>
      </c>
      <c r="B15" s="7"/>
      <c r="C15" s="7"/>
      <c r="D15" s="14"/>
      <c r="E15" s="9" t="str">
        <f>IF(B15=0,"",'Biofuel Production'!B15/B15)</f>
        <v/>
      </c>
      <c r="F15" s="7"/>
      <c r="G15" s="7"/>
      <c r="H15" s="14"/>
      <c r="I15" s="9" t="str">
        <f>IF(F15=0,"",('Biofuel Production'!D15+'Biofuel Production'!F15)/F15)</f>
        <v/>
      </c>
    </row>
    <row r="16" spans="1:9" x14ac:dyDescent="0.25">
      <c r="A16" s="6">
        <v>44136</v>
      </c>
      <c r="B16" s="7"/>
      <c r="C16" s="7"/>
      <c r="D16" s="14"/>
      <c r="E16" s="9" t="str">
        <f>IF(B16=0,"",'Biofuel Production'!B16/B16)</f>
        <v/>
      </c>
      <c r="F16" s="7"/>
      <c r="G16" s="7"/>
      <c r="H16" s="14"/>
      <c r="I16" s="9" t="str">
        <f>IF(F16=0,"",('Biofuel Production'!D16+'Biofuel Production'!F16)/F16)</f>
        <v/>
      </c>
    </row>
    <row r="17" spans="1:9" x14ac:dyDescent="0.25">
      <c r="A17" s="6">
        <v>44166</v>
      </c>
      <c r="B17" s="7"/>
      <c r="C17" s="7"/>
      <c r="D17" s="14"/>
      <c r="E17" s="9" t="str">
        <f>IF(B17=0,"",'Biofuel Production'!B17/B17)</f>
        <v/>
      </c>
      <c r="F17" s="7"/>
      <c r="G17" s="7"/>
      <c r="H17" s="14"/>
      <c r="I17" s="9" t="str">
        <f>IF(F17=0,"",('Biofuel Production'!D17+'Biofuel Production'!F17)/F17)</f>
        <v/>
      </c>
    </row>
    <row r="18" spans="1:9" x14ac:dyDescent="0.25">
      <c r="A18" s="6">
        <v>44197</v>
      </c>
      <c r="B18" s="7"/>
      <c r="C18" s="7"/>
      <c r="D18" s="14"/>
      <c r="E18" s="9" t="str">
        <f>IF(B18=0,"",'Biofuel Production'!B18/B18)</f>
        <v/>
      </c>
      <c r="F18" s="7"/>
      <c r="G18" s="7"/>
      <c r="H18" s="14"/>
      <c r="I18" s="9" t="str">
        <f>IF(F18=0,"",('Biofuel Production'!D18+'Biofuel Production'!F18)/F18)</f>
        <v/>
      </c>
    </row>
    <row r="19" spans="1:9" x14ac:dyDescent="0.25">
      <c r="A19" s="6">
        <v>44228</v>
      </c>
      <c r="B19" s="7"/>
      <c r="C19" s="7"/>
      <c r="D19" s="14"/>
      <c r="E19" s="9" t="str">
        <f>IF(B19=0,"",'Biofuel Production'!B19/B19)</f>
        <v/>
      </c>
      <c r="F19" s="7"/>
      <c r="G19" s="7"/>
      <c r="H19" s="14"/>
      <c r="I19" s="9" t="str">
        <f>IF(F19=0,"",('Biofuel Production'!D19+'Biofuel Production'!F19)/F19)</f>
        <v/>
      </c>
    </row>
    <row r="20" spans="1:9" x14ac:dyDescent="0.25">
      <c r="A20" s="6">
        <v>44256</v>
      </c>
      <c r="B20" s="7"/>
      <c r="C20" s="7"/>
      <c r="D20" s="14"/>
      <c r="E20" s="9" t="str">
        <f>IF(B20=0,"",'Biofuel Production'!B20/B20)</f>
        <v/>
      </c>
      <c r="F20" s="7"/>
      <c r="G20" s="7"/>
      <c r="H20" s="14"/>
      <c r="I20" s="9" t="str">
        <f>IF(F20=0,"",('Biofuel Production'!D20+'Biofuel Production'!F20)/F20)</f>
        <v/>
      </c>
    </row>
    <row r="21" spans="1:9" x14ac:dyDescent="0.25">
      <c r="A21" s="6">
        <v>44287</v>
      </c>
      <c r="B21" s="7"/>
      <c r="C21" s="7"/>
      <c r="D21" s="14"/>
      <c r="E21" s="9" t="str">
        <f>IF(B21=0,"",'Biofuel Production'!B21/B21)</f>
        <v/>
      </c>
      <c r="F21" s="7"/>
      <c r="G21" s="7"/>
      <c r="H21" s="14"/>
      <c r="I21" s="9" t="str">
        <f>IF(F21=0,"",('Biofuel Production'!D21+'Biofuel Production'!F21)/F21)</f>
        <v/>
      </c>
    </row>
    <row r="22" spans="1:9" x14ac:dyDescent="0.25">
      <c r="A22" s="6">
        <v>44317</v>
      </c>
      <c r="B22" s="7"/>
      <c r="C22" s="7"/>
      <c r="D22" s="14"/>
      <c r="E22" s="9" t="str">
        <f>IF(B22=0,"",'Biofuel Production'!B22/B22)</f>
        <v/>
      </c>
      <c r="F22" s="7"/>
      <c r="G22" s="7"/>
      <c r="H22" s="14"/>
      <c r="I22" s="9" t="str">
        <f>IF(F22=0,"",('Biofuel Production'!D22+'Biofuel Production'!F22)/F22)</f>
        <v/>
      </c>
    </row>
    <row r="23" spans="1:9" x14ac:dyDescent="0.25">
      <c r="A23" s="6">
        <v>44348</v>
      </c>
      <c r="B23" s="7"/>
      <c r="C23" s="7"/>
      <c r="D23" s="14"/>
      <c r="E23" s="9" t="str">
        <f>IF(B23=0,"",'Biofuel Production'!B23/B23)</f>
        <v/>
      </c>
      <c r="F23" s="7"/>
      <c r="G23" s="7"/>
      <c r="H23" s="14"/>
      <c r="I23" s="9" t="str">
        <f>IF(F23=0,"",('Biofuel Production'!D23+'Biofuel Production'!F23)/F23)</f>
        <v/>
      </c>
    </row>
    <row r="24" spans="1:9" x14ac:dyDescent="0.25">
      <c r="A24" s="6">
        <v>44378</v>
      </c>
      <c r="B24" s="7"/>
      <c r="C24" s="7"/>
      <c r="D24" s="14"/>
      <c r="E24" s="9" t="str">
        <f>IF(B24=0,"",'Biofuel Production'!B24/B24)</f>
        <v/>
      </c>
      <c r="F24" s="7"/>
      <c r="G24" s="7"/>
      <c r="H24" s="14"/>
      <c r="I24" s="9" t="str">
        <f>IF(F24=0,"",('Biofuel Production'!D24+'Biofuel Production'!F24)/F24)</f>
        <v/>
      </c>
    </row>
    <row r="25" spans="1:9" x14ac:dyDescent="0.25">
      <c r="A25" s="6">
        <v>44409</v>
      </c>
      <c r="B25" s="7"/>
      <c r="C25" s="7"/>
      <c r="D25" s="14"/>
      <c r="E25" s="9" t="str">
        <f>IF(B25=0,"",'Biofuel Production'!B25/B25)</f>
        <v/>
      </c>
      <c r="F25" s="7"/>
      <c r="G25" s="7"/>
      <c r="H25" s="14"/>
      <c r="I25" s="9" t="str">
        <f>IF(F25=0,"",('Biofuel Production'!D25+'Biofuel Production'!F25)/F25)</f>
        <v/>
      </c>
    </row>
    <row r="26" spans="1:9" x14ac:dyDescent="0.25">
      <c r="A26" s="6">
        <v>44440</v>
      </c>
      <c r="B26" s="7"/>
      <c r="C26" s="7"/>
      <c r="D26" s="14"/>
      <c r="E26" s="9" t="str">
        <f>IF(B26=0,"",'Biofuel Production'!B26/B26)</f>
        <v/>
      </c>
      <c r="F26" s="7"/>
      <c r="G26" s="7"/>
      <c r="H26" s="14"/>
      <c r="I26" s="9" t="str">
        <f>IF(F26=0,"",('Biofuel Production'!D26+'Biofuel Production'!F26)/F26)</f>
        <v/>
      </c>
    </row>
    <row r="27" spans="1:9" x14ac:dyDescent="0.25">
      <c r="A27" s="6">
        <v>44470</v>
      </c>
      <c r="B27" s="7"/>
      <c r="C27" s="7"/>
      <c r="D27" s="14"/>
      <c r="E27" s="9" t="str">
        <f>IF(B27=0,"",'Biofuel Production'!B27/B27)</f>
        <v/>
      </c>
      <c r="F27" s="7"/>
      <c r="G27" s="7"/>
      <c r="H27" s="14"/>
      <c r="I27" s="9" t="str">
        <f>IF(F27=0,"",('Biofuel Production'!D27+'Biofuel Production'!F27)/F27)</f>
        <v/>
      </c>
    </row>
    <row r="28" spans="1:9" x14ac:dyDescent="0.25">
      <c r="A28" s="6">
        <v>44501</v>
      </c>
      <c r="B28" s="7"/>
      <c r="C28" s="7"/>
      <c r="D28" s="14"/>
      <c r="E28" s="9" t="str">
        <f>IF(B28=0,"",'Biofuel Production'!B28/B28)</f>
        <v/>
      </c>
      <c r="F28" s="7"/>
      <c r="G28" s="7"/>
      <c r="H28" s="14"/>
      <c r="I28" s="9" t="str">
        <f>IF(F28=0,"",('Biofuel Production'!D28+'Biofuel Production'!F28)/F28)</f>
        <v/>
      </c>
    </row>
    <row r="29" spans="1:9" x14ac:dyDescent="0.25">
      <c r="A29" s="6">
        <v>44531</v>
      </c>
      <c r="B29" s="7"/>
      <c r="C29" s="7"/>
      <c r="D29" s="14"/>
      <c r="E29" s="9" t="str">
        <f>IF(B29=0,"",'Biofuel Production'!B29/B29)</f>
        <v/>
      </c>
      <c r="F29" s="7"/>
      <c r="G29" s="7"/>
      <c r="H29" s="14"/>
      <c r="I29" s="9" t="str">
        <f>IF(F29=0,"",('Biofuel Production'!D29+'Biofuel Production'!F29)/F29)</f>
        <v/>
      </c>
    </row>
    <row r="30" spans="1:9" x14ac:dyDescent="0.25">
      <c r="A30" s="6">
        <v>44562</v>
      </c>
      <c r="B30" s="7"/>
      <c r="C30" s="7"/>
      <c r="D30" s="14"/>
      <c r="E30" s="9" t="str">
        <f>IF(B30=0,"",'Biofuel Production'!B30/B30)</f>
        <v/>
      </c>
      <c r="F30" s="7"/>
      <c r="G30" s="7"/>
      <c r="H30" s="14"/>
      <c r="I30" s="9" t="str">
        <f>IF(F30=0,"",('Biofuel Production'!D30+'Biofuel Production'!F30)/F30)</f>
        <v/>
      </c>
    </row>
    <row r="31" spans="1:9" x14ac:dyDescent="0.25">
      <c r="A31" s="6">
        <v>44593</v>
      </c>
      <c r="B31" s="7"/>
      <c r="C31" s="7"/>
      <c r="D31" s="14"/>
      <c r="E31" s="9" t="str">
        <f>IF(B31=0,"",'Biofuel Production'!B31/B31)</f>
        <v/>
      </c>
      <c r="F31" s="7"/>
      <c r="G31" s="7"/>
      <c r="H31" s="14"/>
      <c r="I31" s="9" t="str">
        <f>IF(F31=0,"",('Biofuel Production'!D31+'Biofuel Production'!F31)/F31)</f>
        <v/>
      </c>
    </row>
    <row r="32" spans="1:9" x14ac:dyDescent="0.25">
      <c r="A32" s="6">
        <v>44621</v>
      </c>
      <c r="B32" s="7"/>
      <c r="C32" s="7"/>
      <c r="D32" s="14"/>
      <c r="E32" s="9" t="str">
        <f>IF(B32=0,"",'Biofuel Production'!B32/B32)</f>
        <v/>
      </c>
      <c r="F32" s="7"/>
      <c r="G32" s="7"/>
      <c r="H32" s="14"/>
      <c r="I32" s="9" t="str">
        <f>IF(F32=0,"",('Biofuel Production'!D32+'Biofuel Production'!F32)/F32)</f>
        <v/>
      </c>
    </row>
    <row r="33" spans="1:9" x14ac:dyDescent="0.25">
      <c r="A33" s="6">
        <v>44652</v>
      </c>
      <c r="B33" s="7"/>
      <c r="C33" s="7"/>
      <c r="D33" s="14"/>
      <c r="E33" s="9" t="str">
        <f>IF(B33=0,"",'Biofuel Production'!B33/B33)</f>
        <v/>
      </c>
      <c r="F33" s="7"/>
      <c r="G33" s="7"/>
      <c r="H33" s="14"/>
      <c r="I33" s="9" t="str">
        <f>IF(F33=0,"",('Biofuel Production'!D33+'Biofuel Production'!F33)/F33)</f>
        <v/>
      </c>
    </row>
    <row r="34" spans="1:9" x14ac:dyDescent="0.25">
      <c r="A34" s="6">
        <v>44682</v>
      </c>
      <c r="B34" s="7"/>
      <c r="C34" s="7"/>
      <c r="D34" s="14"/>
      <c r="E34" s="9" t="str">
        <f>IF(B34=0,"",'Biofuel Production'!B34/B34)</f>
        <v/>
      </c>
      <c r="F34" s="7"/>
      <c r="G34" s="7"/>
      <c r="H34" s="14"/>
      <c r="I34" s="9" t="str">
        <f>IF(F34=0,"",('Biofuel Production'!D34+'Biofuel Production'!F34)/F34)</f>
        <v/>
      </c>
    </row>
    <row r="35" spans="1:9" x14ac:dyDescent="0.25">
      <c r="A35" s="6">
        <v>44713</v>
      </c>
      <c r="B35" s="7"/>
      <c r="C35" s="7"/>
      <c r="D35" s="14"/>
      <c r="E35" s="9" t="str">
        <f>IF(B35=0,"",'Biofuel Production'!B35/B35)</f>
        <v/>
      </c>
      <c r="F35" s="7"/>
      <c r="G35" s="7"/>
      <c r="H35" s="14"/>
      <c r="I35" s="9" t="str">
        <f>IF(F35=0,"",('Biofuel Production'!D35+'Biofuel Production'!F35)/F35)</f>
        <v/>
      </c>
    </row>
    <row r="36" spans="1:9" x14ac:dyDescent="0.25">
      <c r="A36" s="6">
        <v>44743</v>
      </c>
      <c r="B36" s="7"/>
      <c r="C36" s="7"/>
      <c r="D36" s="14"/>
      <c r="E36" s="9" t="str">
        <f>IF(B36=0,"",'Biofuel Production'!B36/B36)</f>
        <v/>
      </c>
      <c r="F36" s="7"/>
      <c r="G36" s="7"/>
      <c r="H36" s="14"/>
      <c r="I36" s="9" t="str">
        <f>IF(F36=0,"",('Biofuel Production'!D36+'Biofuel Production'!F36)/F36)</f>
        <v/>
      </c>
    </row>
    <row r="37" spans="1:9" x14ac:dyDescent="0.25">
      <c r="A37" s="6">
        <v>44774</v>
      </c>
      <c r="B37" s="7"/>
      <c r="C37" s="7"/>
      <c r="D37" s="14"/>
      <c r="E37" s="9" t="str">
        <f>IF(B37=0,"",'Biofuel Production'!B37/B37)</f>
        <v/>
      </c>
      <c r="F37" s="7"/>
      <c r="G37" s="7"/>
      <c r="H37" s="14"/>
      <c r="I37" s="9" t="str">
        <f>IF(F37=0,"",('Biofuel Production'!D37+'Biofuel Production'!F37)/F37)</f>
        <v/>
      </c>
    </row>
    <row r="38" spans="1:9" x14ac:dyDescent="0.25">
      <c r="A38" s="6">
        <v>44805</v>
      </c>
      <c r="B38" s="7"/>
      <c r="C38" s="7"/>
      <c r="D38" s="14"/>
      <c r="E38" s="9" t="str">
        <f>IF(B38=0,"",'Biofuel Production'!B38/B38)</f>
        <v/>
      </c>
      <c r="F38" s="7"/>
      <c r="G38" s="7"/>
      <c r="H38" s="14"/>
      <c r="I38" s="9" t="str">
        <f>IF(F38=0,"",('Biofuel Production'!D38+'Biofuel Production'!F38)/F38)</f>
        <v/>
      </c>
    </row>
    <row r="39" spans="1:9" x14ac:dyDescent="0.25">
      <c r="A39" s="6">
        <v>44835</v>
      </c>
      <c r="B39" s="7"/>
      <c r="C39" s="7"/>
      <c r="D39" s="14"/>
      <c r="E39" s="9" t="str">
        <f>IF(B39=0,"",'Biofuel Production'!B39/B39)</f>
        <v/>
      </c>
      <c r="F39" s="7"/>
      <c r="G39" s="7"/>
      <c r="H39" s="14"/>
      <c r="I39" s="9" t="str">
        <f>IF(F39=0,"",('Biofuel Production'!D39+'Biofuel Production'!F39)/F39)</f>
        <v/>
      </c>
    </row>
    <row r="40" spans="1:9" x14ac:dyDescent="0.25">
      <c r="A40" s="6">
        <v>44866</v>
      </c>
      <c r="B40" s="7"/>
      <c r="C40" s="7"/>
      <c r="D40" s="14"/>
      <c r="E40" s="9" t="str">
        <f>IF(B40=0,"",'Biofuel Production'!B40/B40)</f>
        <v/>
      </c>
      <c r="F40" s="7"/>
      <c r="G40" s="7"/>
      <c r="H40" s="14"/>
      <c r="I40" s="9" t="str">
        <f>IF(F40=0,"",('Biofuel Production'!D40+'Biofuel Production'!F40)/F40)</f>
        <v/>
      </c>
    </row>
    <row r="41" spans="1:9" x14ac:dyDescent="0.25">
      <c r="A41" s="6">
        <v>44896</v>
      </c>
      <c r="B41" s="7"/>
      <c r="C41" s="7"/>
      <c r="D41" s="14"/>
      <c r="E41" s="9" t="str">
        <f>IF(B41=0,"",'Biofuel Production'!B41/B41)</f>
        <v/>
      </c>
      <c r="F41" s="7"/>
      <c r="G41" s="7"/>
      <c r="H41" s="14"/>
      <c r="I41" s="9" t="str">
        <f>IF(F41=0,"",('Biofuel Production'!D41+'Biofuel Production'!F41)/F41)</f>
        <v/>
      </c>
    </row>
    <row r="42" spans="1:9" x14ac:dyDescent="0.25">
      <c r="A42" s="6">
        <v>44927</v>
      </c>
      <c r="B42" s="7"/>
      <c r="C42" s="7"/>
      <c r="D42" s="14"/>
      <c r="E42" s="9" t="str">
        <f>IF(B42=0,"",'Biofuel Production'!B42/B42)</f>
        <v/>
      </c>
      <c r="F42" s="7"/>
      <c r="G42" s="7"/>
      <c r="H42" s="14"/>
      <c r="I42" s="9" t="str">
        <f>IF(F42=0,"",('Biofuel Production'!D42+'Biofuel Production'!F42)/F42)</f>
        <v/>
      </c>
    </row>
    <row r="43" spans="1:9" x14ac:dyDescent="0.25">
      <c r="A43" s="6">
        <v>44958</v>
      </c>
      <c r="B43" s="7"/>
      <c r="C43" s="7"/>
      <c r="D43" s="14"/>
      <c r="E43" s="9" t="str">
        <f>IF(B43=0,"",'Biofuel Production'!B43/B43)</f>
        <v/>
      </c>
      <c r="F43" s="7"/>
      <c r="G43" s="7"/>
      <c r="H43" s="14"/>
      <c r="I43" s="9" t="str">
        <f>IF(F43=0,"",('Biofuel Production'!D43+'Biofuel Production'!F43)/F43)</f>
        <v/>
      </c>
    </row>
    <row r="44" spans="1:9" x14ac:dyDescent="0.25">
      <c r="A44" s="6">
        <v>44986</v>
      </c>
      <c r="B44" s="7"/>
      <c r="C44" s="7"/>
      <c r="D44" s="14"/>
      <c r="E44" s="9" t="str">
        <f>IF(B44=0,"",'Biofuel Production'!B44/B44)</f>
        <v/>
      </c>
      <c r="F44" s="7"/>
      <c r="G44" s="7"/>
      <c r="H44" s="14"/>
      <c r="I44" s="9" t="str">
        <f>IF(F44=0,"",('Biofuel Production'!D44+'Biofuel Production'!F44)/F44)</f>
        <v/>
      </c>
    </row>
    <row r="45" spans="1:9" x14ac:dyDescent="0.25">
      <c r="A45" s="6">
        <v>45017</v>
      </c>
      <c r="B45" s="7"/>
      <c r="C45" s="7"/>
      <c r="D45" s="14"/>
      <c r="E45" s="9" t="str">
        <f>IF(B45=0,"",'Biofuel Production'!B45/B45)</f>
        <v/>
      </c>
      <c r="F45" s="7"/>
      <c r="G45" s="7"/>
      <c r="H45" s="14"/>
      <c r="I45" s="9" t="str">
        <f>IF(F45=0,"",('Biofuel Production'!D45+'Biofuel Production'!F45)/F45)</f>
        <v/>
      </c>
    </row>
    <row r="46" spans="1:9" x14ac:dyDescent="0.25">
      <c r="A46" s="6">
        <v>45047</v>
      </c>
      <c r="B46" s="7"/>
      <c r="C46" s="7"/>
      <c r="D46" s="14"/>
      <c r="E46" s="9" t="str">
        <f>IF(B46=0,"",'Biofuel Production'!B46/B46)</f>
        <v/>
      </c>
      <c r="F46" s="7"/>
      <c r="G46" s="7"/>
      <c r="H46" s="14"/>
      <c r="I46" s="9" t="str">
        <f>IF(F46=0,"",('Biofuel Production'!D46+'Biofuel Production'!F46)/F46)</f>
        <v/>
      </c>
    </row>
    <row r="47" spans="1:9" x14ac:dyDescent="0.25">
      <c r="A47" s="6">
        <v>45078</v>
      </c>
      <c r="B47" s="7"/>
      <c r="C47" s="7"/>
      <c r="D47" s="14"/>
      <c r="E47" s="9" t="str">
        <f>IF(B47=0,"",'Biofuel Production'!B47/B47)</f>
        <v/>
      </c>
      <c r="F47" s="7"/>
      <c r="G47" s="7"/>
      <c r="H47" s="14"/>
      <c r="I47" s="9" t="str">
        <f>IF(F47=0,"",('Biofuel Production'!D47+'Biofuel Production'!F47)/F47)</f>
        <v/>
      </c>
    </row>
    <row r="48" spans="1:9" x14ac:dyDescent="0.25">
      <c r="A48" s="6">
        <v>45108</v>
      </c>
      <c r="B48" s="7"/>
      <c r="C48" s="7"/>
      <c r="D48" s="14"/>
      <c r="E48" s="9" t="str">
        <f>IF(B48=0,"",'Biofuel Production'!B48/B48)</f>
        <v/>
      </c>
      <c r="F48" s="7"/>
      <c r="G48" s="7"/>
      <c r="H48" s="14"/>
      <c r="I48" s="9" t="str">
        <f>IF(F48=0,"",('Biofuel Production'!D48+'Biofuel Production'!F48)/F48)</f>
        <v/>
      </c>
    </row>
    <row r="49" spans="1:9" x14ac:dyDescent="0.25">
      <c r="A49" s="6">
        <v>45139</v>
      </c>
      <c r="B49" s="7"/>
      <c r="C49" s="7"/>
      <c r="D49" s="14"/>
      <c r="E49" s="9" t="str">
        <f>IF(B49=0,"",'Biofuel Production'!B49/B49)</f>
        <v/>
      </c>
      <c r="F49" s="7"/>
      <c r="G49" s="7"/>
      <c r="H49" s="14"/>
      <c r="I49" s="9" t="str">
        <f>IF(F49=0,"",('Biofuel Production'!D49+'Biofuel Production'!F49)/F49)</f>
        <v/>
      </c>
    </row>
    <row r="50" spans="1:9" x14ac:dyDescent="0.25">
      <c r="A50" s="6">
        <v>45170</v>
      </c>
      <c r="B50" s="7"/>
      <c r="C50" s="7"/>
      <c r="D50" s="14"/>
      <c r="E50" s="9" t="str">
        <f>IF(B50=0,"",'Biofuel Production'!B50/B50)</f>
        <v/>
      </c>
      <c r="F50" s="7"/>
      <c r="G50" s="7"/>
      <c r="H50" s="14"/>
      <c r="I50" s="9" t="str">
        <f>IF(F50=0,"",('Biofuel Production'!D50+'Biofuel Production'!F50)/F50)</f>
        <v/>
      </c>
    </row>
    <row r="51" spans="1:9" x14ac:dyDescent="0.25">
      <c r="A51" s="6">
        <v>45200</v>
      </c>
      <c r="B51" s="7"/>
      <c r="C51" s="7"/>
      <c r="D51" s="14"/>
      <c r="E51" s="9" t="str">
        <f>IF(B51=0,"",'Biofuel Production'!B51/B51)</f>
        <v/>
      </c>
      <c r="F51" s="7"/>
      <c r="G51" s="7"/>
      <c r="H51" s="14"/>
      <c r="I51" s="9" t="str">
        <f>IF(F51=0,"",('Biofuel Production'!D51+'Biofuel Production'!F51)/F51)</f>
        <v/>
      </c>
    </row>
    <row r="52" spans="1:9" x14ac:dyDescent="0.25">
      <c r="A52" s="6">
        <v>45231</v>
      </c>
      <c r="B52" s="7"/>
      <c r="C52" s="7"/>
      <c r="D52" s="14"/>
      <c r="E52" s="9" t="str">
        <f>IF(B52=0,"",'Biofuel Production'!B52/B52)</f>
        <v/>
      </c>
      <c r="F52" s="7"/>
      <c r="G52" s="7"/>
      <c r="H52" s="14"/>
      <c r="I52" s="9" t="str">
        <f>IF(F52=0,"",('Biofuel Production'!D52+'Biofuel Production'!F52)/F52)</f>
        <v/>
      </c>
    </row>
    <row r="53" spans="1:9" x14ac:dyDescent="0.25">
      <c r="A53" s="6">
        <v>45261</v>
      </c>
      <c r="B53" s="7"/>
      <c r="C53" s="7"/>
      <c r="D53" s="14"/>
      <c r="E53" s="9" t="str">
        <f>IF(B53=0,"",'Biofuel Production'!B53/B53)</f>
        <v/>
      </c>
      <c r="F53" s="7"/>
      <c r="G53" s="7"/>
      <c r="H53" s="14"/>
      <c r="I53" s="9" t="str">
        <f>IF(F53=0,"",('Biofuel Production'!D53+'Biofuel Production'!F53)/F53)</f>
        <v/>
      </c>
    </row>
    <row r="54" spans="1:9" x14ac:dyDescent="0.25">
      <c r="A54" s="6">
        <v>45292</v>
      </c>
      <c r="B54" s="7"/>
      <c r="C54" s="7"/>
      <c r="D54" s="14"/>
      <c r="E54" s="9" t="str">
        <f>IF(B54=0,"",'Biofuel Production'!B54/B54)</f>
        <v/>
      </c>
      <c r="F54" s="7"/>
      <c r="G54" s="7"/>
      <c r="H54" s="14"/>
      <c r="I54" s="9" t="str">
        <f>IF(F54=0,"",('Biofuel Production'!D54+'Biofuel Production'!F54)/F54)</f>
        <v/>
      </c>
    </row>
    <row r="55" spans="1:9" x14ac:dyDescent="0.25">
      <c r="A55" s="6">
        <v>45323</v>
      </c>
      <c r="B55" s="7"/>
      <c r="C55" s="7"/>
      <c r="D55" s="14"/>
      <c r="E55" s="9" t="str">
        <f>IF(B55=0,"",'Biofuel Production'!B55/B55)</f>
        <v/>
      </c>
      <c r="F55" s="7"/>
      <c r="G55" s="7"/>
      <c r="H55" s="14"/>
      <c r="I55" s="9" t="str">
        <f>IF(F55=0,"",('Biofuel Production'!D55+'Biofuel Production'!F55)/F55)</f>
        <v/>
      </c>
    </row>
    <row r="56" spans="1:9" x14ac:dyDescent="0.25">
      <c r="A56" s="6">
        <v>45352</v>
      </c>
      <c r="B56" s="7"/>
      <c r="C56" s="7"/>
      <c r="D56" s="14"/>
      <c r="E56" s="9" t="str">
        <f>IF(B56=0,"",'Biofuel Production'!B56/B56)</f>
        <v/>
      </c>
      <c r="F56" s="7"/>
      <c r="G56" s="7"/>
      <c r="H56" s="14"/>
      <c r="I56" s="9" t="str">
        <f>IF(F56=0,"",('Biofuel Production'!D56+'Biofuel Production'!F56)/F56)</f>
        <v/>
      </c>
    </row>
    <row r="57" spans="1:9" x14ac:dyDescent="0.25">
      <c r="A57" s="6">
        <v>45383</v>
      </c>
      <c r="B57" s="7"/>
      <c r="C57" s="7"/>
      <c r="D57" s="14"/>
      <c r="E57" s="9" t="str">
        <f>IF(B57=0,"",'Biofuel Production'!B57/B57)</f>
        <v/>
      </c>
      <c r="F57" s="7"/>
      <c r="G57" s="7"/>
      <c r="H57" s="14"/>
      <c r="I57" s="9" t="str">
        <f>IF(F57=0,"",('Biofuel Production'!D57+'Biofuel Production'!F57)/F57)</f>
        <v/>
      </c>
    </row>
    <row r="58" spans="1:9" x14ac:dyDescent="0.25">
      <c r="A58" s="6">
        <v>45413</v>
      </c>
      <c r="B58" s="7"/>
      <c r="C58" s="7"/>
      <c r="D58" s="14"/>
      <c r="E58" s="9" t="str">
        <f>IF(B58=0,"",'Biofuel Production'!B58/B58)</f>
        <v/>
      </c>
      <c r="F58" s="7"/>
      <c r="G58" s="7"/>
      <c r="H58" s="14"/>
      <c r="I58" s="9" t="str">
        <f>IF(F58=0,"",('Biofuel Production'!D58+'Biofuel Production'!F58)/F58)</f>
        <v/>
      </c>
    </row>
    <row r="59" spans="1:9" x14ac:dyDescent="0.25">
      <c r="A59" s="6">
        <v>45444</v>
      </c>
      <c r="B59" s="7"/>
      <c r="C59" s="7"/>
      <c r="D59" s="14"/>
      <c r="E59" s="9" t="str">
        <f>IF(B59=0,"",'Biofuel Production'!B59/B59)</f>
        <v/>
      </c>
      <c r="F59" s="7"/>
      <c r="G59" s="7"/>
      <c r="H59" s="14"/>
      <c r="I59" s="9" t="str">
        <f>IF(F59=0,"",('Biofuel Production'!D59+'Biofuel Production'!F59)/F59)</f>
        <v/>
      </c>
    </row>
    <row r="60" spans="1:9" x14ac:dyDescent="0.25">
      <c r="A60" s="6">
        <v>45474</v>
      </c>
      <c r="B60" s="7"/>
      <c r="C60" s="7"/>
      <c r="D60" s="14"/>
      <c r="E60" s="9" t="str">
        <f>IF(B60=0,"",'Biofuel Production'!B60/B60)</f>
        <v/>
      </c>
      <c r="F60" s="7"/>
      <c r="G60" s="7"/>
      <c r="H60" s="14"/>
      <c r="I60" s="9" t="str">
        <f>IF(F60=0,"",('Biofuel Production'!D60+'Biofuel Production'!F60)/F60)</f>
        <v/>
      </c>
    </row>
    <row r="61" spans="1:9" x14ac:dyDescent="0.25">
      <c r="A61" s="6">
        <v>45505</v>
      </c>
      <c r="B61" s="7"/>
      <c r="C61" s="7"/>
      <c r="D61" s="14"/>
      <c r="E61" s="9" t="str">
        <f>IF(B61=0,"",'Biofuel Production'!B61/B61)</f>
        <v/>
      </c>
      <c r="F61" s="7"/>
      <c r="G61" s="7"/>
      <c r="H61" s="14"/>
      <c r="I61" s="9" t="str">
        <f>IF(F61=0,"",('Biofuel Production'!D61+'Biofuel Production'!F61)/F61)</f>
        <v/>
      </c>
    </row>
    <row r="62" spans="1:9" x14ac:dyDescent="0.25">
      <c r="A62" s="6">
        <v>45536</v>
      </c>
      <c r="B62" s="7"/>
      <c r="C62" s="7"/>
      <c r="D62" s="14"/>
      <c r="E62" s="9" t="str">
        <f>IF(B62=0,"",'Biofuel Production'!B62/B62)</f>
        <v/>
      </c>
      <c r="F62" s="7"/>
      <c r="G62" s="7"/>
      <c r="H62" s="14"/>
      <c r="I62" s="9" t="str">
        <f>IF(F62=0,"",('Biofuel Production'!D62+'Biofuel Production'!F62)/F62)</f>
        <v/>
      </c>
    </row>
    <row r="63" spans="1:9" x14ac:dyDescent="0.25">
      <c r="A63" s="6">
        <v>45566</v>
      </c>
      <c r="B63" s="7"/>
      <c r="C63" s="7"/>
      <c r="D63" s="14"/>
      <c r="E63" s="9" t="str">
        <f>IF(B63=0,"",'Biofuel Production'!B63/B63)</f>
        <v/>
      </c>
      <c r="F63" s="7"/>
      <c r="G63" s="7"/>
      <c r="H63" s="14"/>
      <c r="I63" s="9" t="str">
        <f>IF(F63=0,"",('Biofuel Production'!D63+'Biofuel Production'!F63)/F63)</f>
        <v/>
      </c>
    </row>
    <row r="64" spans="1:9" x14ac:dyDescent="0.25">
      <c r="A64" s="6">
        <v>45597</v>
      </c>
      <c r="B64" s="7"/>
      <c r="C64" s="7"/>
      <c r="D64" s="14"/>
      <c r="E64" s="9" t="str">
        <f>IF(B64=0,"",'Biofuel Production'!B64/B64)</f>
        <v/>
      </c>
      <c r="F64" s="7"/>
      <c r="G64" s="7"/>
      <c r="H64" s="14"/>
      <c r="I64" s="9" t="str">
        <f>IF(F64=0,"",('Biofuel Production'!D64+'Biofuel Production'!F64)/F64)</f>
        <v/>
      </c>
    </row>
    <row r="65" spans="1:9" x14ac:dyDescent="0.25">
      <c r="A65" s="6">
        <v>45627</v>
      </c>
      <c r="B65" s="7"/>
      <c r="C65" s="7"/>
      <c r="D65" s="14"/>
      <c r="E65" s="9" t="str">
        <f>IF(B65=0,"",'Biofuel Production'!B65/B65)</f>
        <v/>
      </c>
      <c r="F65" s="7"/>
      <c r="G65" s="7"/>
      <c r="H65" s="14"/>
      <c r="I65" s="9" t="str">
        <f>IF(F65=0,"",('Biofuel Production'!D65+'Biofuel Production'!F65)/F65)</f>
        <v/>
      </c>
    </row>
    <row r="66" spans="1:9" x14ac:dyDescent="0.25">
      <c r="A66" s="6">
        <v>45658</v>
      </c>
      <c r="B66" s="7"/>
      <c r="C66" s="7"/>
      <c r="D66" s="14"/>
      <c r="E66" s="9" t="str">
        <f>IF(B66=0,"",'Biofuel Production'!B66/B66)</f>
        <v/>
      </c>
      <c r="F66" s="7"/>
      <c r="G66" s="7"/>
      <c r="H66" s="14"/>
      <c r="I66" s="9" t="str">
        <f>IF(F66=0,"",('Biofuel Production'!D66+'Biofuel Production'!F66)/F66)</f>
        <v/>
      </c>
    </row>
    <row r="67" spans="1:9" x14ac:dyDescent="0.25">
      <c r="A67" s="6">
        <v>45689</v>
      </c>
      <c r="B67" s="7"/>
      <c r="C67" s="7"/>
      <c r="D67" s="14"/>
      <c r="E67" s="9" t="str">
        <f>IF(B67=0,"",'Biofuel Production'!B67/B67)</f>
        <v/>
      </c>
      <c r="F67" s="7"/>
      <c r="G67" s="7"/>
      <c r="H67" s="14"/>
      <c r="I67" s="9" t="str">
        <f>IF(F67=0,"",('Biofuel Production'!D67+'Biofuel Production'!F67)/F67)</f>
        <v/>
      </c>
    </row>
    <row r="68" spans="1:9" x14ac:dyDescent="0.25">
      <c r="A68" s="6">
        <v>45717</v>
      </c>
      <c r="B68" s="7"/>
      <c r="C68" s="7"/>
      <c r="D68" s="14"/>
      <c r="E68" s="9" t="str">
        <f>IF(B68=0,"",'Biofuel Production'!B68/B68)</f>
        <v/>
      </c>
      <c r="F68" s="7"/>
      <c r="G68" s="7"/>
      <c r="H68" s="14"/>
      <c r="I68" s="9" t="str">
        <f>IF(F68=0,"",('Biofuel Production'!D68+'Biofuel Production'!F68)/F68)</f>
        <v/>
      </c>
    </row>
    <row r="69" spans="1:9" x14ac:dyDescent="0.25">
      <c r="A69" s="6">
        <v>45748</v>
      </c>
      <c r="B69" s="7"/>
      <c r="C69" s="7"/>
      <c r="D69" s="14"/>
      <c r="E69" s="9" t="str">
        <f>IF(B69=0,"",'Biofuel Production'!B69/B69)</f>
        <v/>
      </c>
      <c r="F69" s="7"/>
      <c r="G69" s="7"/>
      <c r="H69" s="14"/>
      <c r="I69" s="9" t="str">
        <f>IF(F69=0,"",('Biofuel Production'!D69+'Biofuel Production'!F69)/F69)</f>
        <v/>
      </c>
    </row>
    <row r="70" spans="1:9" x14ac:dyDescent="0.25">
      <c r="A70" s="6">
        <v>45778</v>
      </c>
      <c r="B70" s="7"/>
      <c r="C70" s="7"/>
      <c r="D70" s="14"/>
      <c r="E70" s="9" t="str">
        <f>IF(B70=0,"",'Biofuel Production'!B70/B70)</f>
        <v/>
      </c>
      <c r="F70" s="7"/>
      <c r="G70" s="7"/>
      <c r="H70" s="14"/>
      <c r="I70" s="9" t="str">
        <f>IF(F70=0,"",('Biofuel Production'!D70+'Biofuel Production'!F70)/F70)</f>
        <v/>
      </c>
    </row>
    <row r="71" spans="1:9" x14ac:dyDescent="0.25">
      <c r="A71" s="6">
        <v>45809</v>
      </c>
      <c r="B71" s="7"/>
      <c r="C71" s="7"/>
      <c r="D71" s="14"/>
      <c r="E71" s="9" t="str">
        <f>IF(B71=0,"",'Biofuel Production'!B71/B71)</f>
        <v/>
      </c>
      <c r="F71" s="7"/>
      <c r="G71" s="7"/>
      <c r="H71" s="14"/>
      <c r="I71" s="9" t="str">
        <f>IF(F71=0,"",('Biofuel Production'!D71+'Biofuel Production'!F71)/F71)</f>
        <v/>
      </c>
    </row>
    <row r="72" spans="1:9" x14ac:dyDescent="0.25">
      <c r="A72" s="6">
        <v>45839</v>
      </c>
      <c r="B72" s="7"/>
      <c r="C72" s="7"/>
      <c r="D72" s="14"/>
      <c r="E72" s="9" t="str">
        <f>IF(B72=0,"",'Biofuel Production'!B72/B72)</f>
        <v/>
      </c>
      <c r="F72" s="7"/>
      <c r="G72" s="7"/>
      <c r="H72" s="14"/>
      <c r="I72" s="9" t="str">
        <f>IF(F72=0,"",('Biofuel Production'!D72+'Biofuel Production'!F72)/F72)</f>
        <v/>
      </c>
    </row>
    <row r="73" spans="1:9" x14ac:dyDescent="0.25">
      <c r="A73" s="6">
        <v>45870</v>
      </c>
      <c r="B73" s="7"/>
      <c r="C73" s="7"/>
      <c r="D73" s="14"/>
      <c r="E73" s="9" t="str">
        <f>IF(B73=0,"",'Biofuel Production'!B73/B73)</f>
        <v/>
      </c>
      <c r="F73" s="7"/>
      <c r="G73" s="7"/>
      <c r="H73" s="14"/>
      <c r="I73" s="9" t="str">
        <f>IF(F73=0,"",('Biofuel Production'!D73+'Biofuel Production'!F73)/F73)</f>
        <v/>
      </c>
    </row>
    <row r="74" spans="1:9" x14ac:dyDescent="0.25">
      <c r="A74" s="6">
        <v>45901</v>
      </c>
      <c r="B74" s="7"/>
      <c r="C74" s="7"/>
      <c r="D74" s="14"/>
      <c r="E74" s="9" t="str">
        <f>IF(B74=0,"",'Biofuel Production'!B74/B74)</f>
        <v/>
      </c>
      <c r="F74" s="7"/>
      <c r="G74" s="7"/>
      <c r="H74" s="14"/>
      <c r="I74" s="9" t="str">
        <f>IF(F74=0,"",('Biofuel Production'!D74+'Biofuel Production'!F74)/F74)</f>
        <v/>
      </c>
    </row>
    <row r="75" spans="1:9" x14ac:dyDescent="0.25">
      <c r="A75" s="6">
        <v>45931</v>
      </c>
      <c r="B75" s="7"/>
      <c r="C75" s="7"/>
      <c r="D75" s="14"/>
      <c r="E75" s="9" t="str">
        <f>IF(B75=0,"",'Biofuel Production'!B75/B75)</f>
        <v/>
      </c>
      <c r="F75" s="7"/>
      <c r="G75" s="7"/>
      <c r="H75" s="14"/>
      <c r="I75" s="9" t="str">
        <f>IF(F75=0,"",('Biofuel Production'!D75+'Biofuel Production'!F75)/F75)</f>
        <v/>
      </c>
    </row>
    <row r="76" spans="1:9" x14ac:dyDescent="0.25">
      <c r="A76" s="6">
        <v>45962</v>
      </c>
      <c r="B76" s="7"/>
      <c r="C76" s="7"/>
      <c r="D76" s="14"/>
      <c r="E76" s="9" t="str">
        <f>IF(B76=0,"",'Biofuel Production'!B76/B76)</f>
        <v/>
      </c>
      <c r="F76" s="7"/>
      <c r="G76" s="7"/>
      <c r="H76" s="14"/>
      <c r="I76" s="9" t="str">
        <f>IF(F76=0,"",('Biofuel Production'!D76+'Biofuel Production'!F76)/F76)</f>
        <v/>
      </c>
    </row>
    <row r="77" spans="1:9" x14ac:dyDescent="0.25">
      <c r="A77" s="6">
        <v>45992</v>
      </c>
      <c r="B77" s="7"/>
      <c r="C77" s="7"/>
      <c r="D77" s="14"/>
      <c r="E77" s="9" t="str">
        <f>IF(B77=0,"",'Biofuel Production'!B77/B77)</f>
        <v/>
      </c>
      <c r="F77" s="7"/>
      <c r="G77" s="7"/>
      <c r="H77" s="14"/>
      <c r="I77" s="9" t="str">
        <f>IF(F77=0,"",('Biofuel Production'!D77+'Biofuel Production'!F77)/F77)</f>
        <v/>
      </c>
    </row>
    <row r="78" spans="1:9" x14ac:dyDescent="0.25">
      <c r="A78" s="6">
        <v>46023</v>
      </c>
      <c r="B78" s="7"/>
      <c r="C78" s="7"/>
      <c r="D78" s="14"/>
      <c r="E78" s="9" t="str">
        <f>IF(B78=0,"",'Biofuel Production'!B78/B78)</f>
        <v/>
      </c>
      <c r="F78" s="7"/>
      <c r="G78" s="7"/>
      <c r="H78" s="14"/>
      <c r="I78" s="9" t="str">
        <f>IF(F78=0,"",('Biofuel Production'!D78+'Biofuel Production'!F78)/F78)</f>
        <v/>
      </c>
    </row>
    <row r="79" spans="1:9" x14ac:dyDescent="0.25">
      <c r="A79" s="6">
        <v>46054</v>
      </c>
      <c r="B79" s="7"/>
      <c r="C79" s="7"/>
      <c r="D79" s="14"/>
      <c r="E79" s="9" t="str">
        <f>IF(B79=0,"",'Biofuel Production'!B79/B79)</f>
        <v/>
      </c>
      <c r="F79" s="7"/>
      <c r="G79" s="7"/>
      <c r="H79" s="14"/>
      <c r="I79" s="9" t="str">
        <f>IF(F79=0,"",('Biofuel Production'!D79+'Biofuel Production'!F79)/F79)</f>
        <v/>
      </c>
    </row>
    <row r="80" spans="1:9" x14ac:dyDescent="0.25">
      <c r="A80" s="6">
        <v>46082</v>
      </c>
      <c r="B80" s="7"/>
      <c r="C80" s="7"/>
      <c r="D80" s="14"/>
      <c r="E80" s="9" t="str">
        <f>IF(B80=0,"",'Biofuel Production'!B80/B80)</f>
        <v/>
      </c>
      <c r="F80" s="7"/>
      <c r="G80" s="7"/>
      <c r="H80" s="14"/>
      <c r="I80" s="9" t="str">
        <f>IF(F80=0,"",('Biofuel Production'!D80+'Biofuel Production'!F80)/F80)</f>
        <v/>
      </c>
    </row>
    <row r="81" spans="1:9" x14ac:dyDescent="0.25">
      <c r="A81" s="6">
        <v>46113</v>
      </c>
      <c r="B81" s="7"/>
      <c r="C81" s="7"/>
      <c r="D81" s="14"/>
      <c r="E81" s="9" t="str">
        <f>IF(B81=0,"",'Biofuel Production'!B81/B81)</f>
        <v/>
      </c>
      <c r="F81" s="7"/>
      <c r="G81" s="7"/>
      <c r="H81" s="14"/>
      <c r="I81" s="9" t="str">
        <f>IF(F81=0,"",('Biofuel Production'!D81+'Biofuel Production'!F81)/F81)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zoomScaleNormal="100" workbookViewId="0"/>
  </sheetViews>
  <sheetFormatPr defaultColWidth="8.7109375" defaultRowHeight="15" x14ac:dyDescent="0.25"/>
  <cols>
    <col min="1" max="3" width="22" customWidth="1"/>
    <col min="4" max="6" width="18" customWidth="1"/>
  </cols>
  <sheetData>
    <row r="1" spans="1:6" ht="15.75" x14ac:dyDescent="0.25">
      <c r="A1" s="2" t="s">
        <v>145</v>
      </c>
    </row>
    <row r="2" spans="1:6" x14ac:dyDescent="0.25">
      <c r="A2" s="4" t="s">
        <v>146</v>
      </c>
    </row>
    <row r="5" spans="1:6" x14ac:dyDescent="0.25">
      <c r="A5" s="3" t="s">
        <v>147</v>
      </c>
    </row>
    <row r="6" spans="1:6" x14ac:dyDescent="0.25">
      <c r="A6" s="5" t="s">
        <v>148</v>
      </c>
      <c r="B6" s="5" t="s">
        <v>149</v>
      </c>
      <c r="C6" s="5" t="s">
        <v>150</v>
      </c>
      <c r="D6" s="5" t="s">
        <v>151</v>
      </c>
      <c r="E6" s="5" t="s">
        <v>152</v>
      </c>
      <c r="F6" s="5" t="s">
        <v>153</v>
      </c>
    </row>
    <row r="7" spans="1:6" x14ac:dyDescent="0.25">
      <c r="A7" s="17" t="s">
        <v>154</v>
      </c>
      <c r="B7" s="17" t="s">
        <v>155</v>
      </c>
      <c r="C7" s="17" t="s">
        <v>156</v>
      </c>
      <c r="D7" s="17" t="s">
        <v>157</v>
      </c>
      <c r="E7" s="17" t="s">
        <v>158</v>
      </c>
      <c r="F7" s="17" t="s">
        <v>159</v>
      </c>
    </row>
    <row r="8" spans="1:6" x14ac:dyDescent="0.25">
      <c r="A8" s="17" t="s">
        <v>160</v>
      </c>
      <c r="B8" s="17" t="s">
        <v>161</v>
      </c>
      <c r="C8" s="17" t="s">
        <v>162</v>
      </c>
      <c r="D8" s="17" t="s">
        <v>163</v>
      </c>
      <c r="E8" s="17" t="s">
        <v>164</v>
      </c>
      <c r="F8" s="17" t="s">
        <v>165</v>
      </c>
    </row>
    <row r="9" spans="1:6" x14ac:dyDescent="0.25">
      <c r="A9" s="17" t="s">
        <v>166</v>
      </c>
      <c r="B9" s="17" t="s">
        <v>167</v>
      </c>
      <c r="C9" s="17" t="s">
        <v>168</v>
      </c>
      <c r="D9" s="17" t="s">
        <v>157</v>
      </c>
      <c r="E9" s="17" t="s">
        <v>169</v>
      </c>
      <c r="F9" s="17" t="s">
        <v>170</v>
      </c>
    </row>
    <row r="10" spans="1:6" x14ac:dyDescent="0.25">
      <c r="A10" s="17" t="s">
        <v>171</v>
      </c>
      <c r="B10" s="17" t="s">
        <v>172</v>
      </c>
      <c r="C10" s="17" t="s">
        <v>173</v>
      </c>
      <c r="D10" s="17" t="s">
        <v>174</v>
      </c>
      <c r="E10" s="17" t="s">
        <v>175</v>
      </c>
      <c r="F10" s="17" t="s">
        <v>176</v>
      </c>
    </row>
    <row r="11" spans="1:6" x14ac:dyDescent="0.25">
      <c r="A11" s="17" t="s">
        <v>177</v>
      </c>
      <c r="B11" s="17" t="s">
        <v>178</v>
      </c>
      <c r="C11" s="17" t="s">
        <v>179</v>
      </c>
      <c r="D11" s="17" t="s">
        <v>180</v>
      </c>
      <c r="E11" s="17" t="s">
        <v>181</v>
      </c>
      <c r="F11" s="17" t="s">
        <v>182</v>
      </c>
    </row>
    <row r="14" spans="1:6" x14ac:dyDescent="0.25">
      <c r="A14" s="3" t="s">
        <v>183</v>
      </c>
    </row>
    <row r="15" spans="1:6" x14ac:dyDescent="0.25">
      <c r="A15" s="5" t="s">
        <v>184</v>
      </c>
      <c r="B15" s="5" t="s">
        <v>185</v>
      </c>
      <c r="C15" s="5" t="s">
        <v>186</v>
      </c>
      <c r="D15" s="5" t="s">
        <v>187</v>
      </c>
      <c r="E15" s="5" t="s">
        <v>188</v>
      </c>
      <c r="F15" s="5" t="s">
        <v>189</v>
      </c>
    </row>
    <row r="16" spans="1:6" x14ac:dyDescent="0.25">
      <c r="A16" s="17" t="s">
        <v>190</v>
      </c>
      <c r="B16" s="17" t="s">
        <v>191</v>
      </c>
      <c r="C16" s="17" t="s">
        <v>192</v>
      </c>
      <c r="D16" s="17" t="s">
        <v>193</v>
      </c>
      <c r="E16" s="17" t="s">
        <v>194</v>
      </c>
      <c r="F16" s="17" t="s">
        <v>160</v>
      </c>
    </row>
    <row r="17" spans="1:6" x14ac:dyDescent="0.25">
      <c r="A17" s="17" t="s">
        <v>195</v>
      </c>
      <c r="B17" s="17" t="s">
        <v>191</v>
      </c>
      <c r="C17" s="17" t="s">
        <v>192</v>
      </c>
      <c r="D17" s="17" t="s">
        <v>193</v>
      </c>
      <c r="E17" s="17" t="s">
        <v>194</v>
      </c>
      <c r="F17" s="17" t="s">
        <v>196</v>
      </c>
    </row>
    <row r="18" spans="1:6" x14ac:dyDescent="0.25">
      <c r="A18" s="17" t="s">
        <v>197</v>
      </c>
      <c r="B18" s="17" t="s">
        <v>191</v>
      </c>
      <c r="C18" s="17" t="s">
        <v>192</v>
      </c>
      <c r="D18" s="17" t="s">
        <v>193</v>
      </c>
      <c r="E18" s="17" t="s">
        <v>194</v>
      </c>
      <c r="F18" s="17" t="s">
        <v>160</v>
      </c>
    </row>
    <row r="19" spans="1:6" x14ac:dyDescent="0.25">
      <c r="A19" s="17" t="s">
        <v>198</v>
      </c>
      <c r="B19" s="17" t="s">
        <v>191</v>
      </c>
      <c r="C19" s="17" t="s">
        <v>192</v>
      </c>
      <c r="D19" s="17" t="s">
        <v>193</v>
      </c>
      <c r="E19" s="17" t="s">
        <v>194</v>
      </c>
      <c r="F19" s="17" t="s">
        <v>160</v>
      </c>
    </row>
    <row r="20" spans="1:6" x14ac:dyDescent="0.25">
      <c r="A20" s="17" t="s">
        <v>62</v>
      </c>
      <c r="B20" s="17" t="s">
        <v>199</v>
      </c>
      <c r="C20" s="17" t="s">
        <v>192</v>
      </c>
      <c r="D20" s="17" t="s">
        <v>200</v>
      </c>
      <c r="E20" s="17" t="s">
        <v>193</v>
      </c>
      <c r="F20" s="17" t="s">
        <v>160</v>
      </c>
    </row>
    <row r="21" spans="1:6" x14ac:dyDescent="0.25">
      <c r="A21" s="17" t="s">
        <v>201</v>
      </c>
      <c r="B21" s="17" t="s">
        <v>199</v>
      </c>
      <c r="C21" s="17" t="s">
        <v>192</v>
      </c>
      <c r="D21" s="17" t="s">
        <v>200</v>
      </c>
      <c r="E21" s="17" t="s">
        <v>193</v>
      </c>
      <c r="F21" s="17" t="s">
        <v>160</v>
      </c>
    </row>
    <row r="22" spans="1:6" x14ac:dyDescent="0.25">
      <c r="A22" s="17" t="s">
        <v>202</v>
      </c>
      <c r="B22" s="17" t="s">
        <v>199</v>
      </c>
      <c r="C22" s="17" t="s">
        <v>192</v>
      </c>
      <c r="D22" s="17" t="s">
        <v>200</v>
      </c>
      <c r="E22" s="17" t="s">
        <v>193</v>
      </c>
      <c r="F22" s="17" t="s">
        <v>160</v>
      </c>
    </row>
    <row r="23" spans="1:6" x14ac:dyDescent="0.25">
      <c r="A23" s="17" t="s">
        <v>203</v>
      </c>
      <c r="B23" s="17" t="s">
        <v>199</v>
      </c>
      <c r="C23" s="17" t="s">
        <v>192</v>
      </c>
      <c r="D23" s="17" t="s">
        <v>200</v>
      </c>
      <c r="E23" s="17" t="s">
        <v>193</v>
      </c>
      <c r="F23" s="17" t="s">
        <v>160</v>
      </c>
    </row>
    <row r="24" spans="1:6" x14ac:dyDescent="0.25">
      <c r="A24" s="17" t="s">
        <v>204</v>
      </c>
      <c r="B24" s="17" t="s">
        <v>205</v>
      </c>
      <c r="C24" s="17" t="s">
        <v>192</v>
      </c>
      <c r="D24" s="17" t="s">
        <v>193</v>
      </c>
      <c r="E24" s="17" t="s">
        <v>194</v>
      </c>
      <c r="F24" s="17" t="s">
        <v>196</v>
      </c>
    </row>
    <row r="25" spans="1:6" x14ac:dyDescent="0.25">
      <c r="A25" s="17" t="s">
        <v>206</v>
      </c>
      <c r="B25" s="17" t="s">
        <v>205</v>
      </c>
      <c r="C25" s="17" t="s">
        <v>192</v>
      </c>
      <c r="D25" s="17" t="s">
        <v>207</v>
      </c>
      <c r="E25" s="17" t="s">
        <v>193</v>
      </c>
      <c r="F25" s="17" t="s">
        <v>208</v>
      </c>
    </row>
    <row r="26" spans="1:6" x14ac:dyDescent="0.25">
      <c r="A26" s="17" t="s">
        <v>209</v>
      </c>
      <c r="B26" s="17" t="s">
        <v>205</v>
      </c>
      <c r="C26" s="17" t="s">
        <v>192</v>
      </c>
      <c r="D26" s="17" t="s">
        <v>200</v>
      </c>
      <c r="E26" s="17" t="s">
        <v>193</v>
      </c>
      <c r="F26" s="17" t="s">
        <v>208</v>
      </c>
    </row>
    <row r="29" spans="1:6" x14ac:dyDescent="0.25">
      <c r="A29" s="3" t="s">
        <v>210</v>
      </c>
    </row>
    <row r="30" spans="1:6" x14ac:dyDescent="0.25">
      <c r="A30" s="5" t="s">
        <v>211</v>
      </c>
      <c r="B30" s="5" t="s">
        <v>212</v>
      </c>
      <c r="C30" s="5" t="s">
        <v>213</v>
      </c>
      <c r="D30" s="5" t="s">
        <v>186</v>
      </c>
    </row>
    <row r="31" spans="1:6" x14ac:dyDescent="0.25">
      <c r="A31" s="17" t="s">
        <v>214</v>
      </c>
      <c r="B31" s="17" t="s">
        <v>215</v>
      </c>
      <c r="C31" s="17" t="s">
        <v>216</v>
      </c>
      <c r="D31" s="17" t="s">
        <v>217</v>
      </c>
    </row>
    <row r="32" spans="1:6" x14ac:dyDescent="0.25">
      <c r="A32" s="17" t="s">
        <v>218</v>
      </c>
      <c r="B32" s="17" t="s">
        <v>215</v>
      </c>
      <c r="C32" s="17" t="s">
        <v>219</v>
      </c>
      <c r="D32" s="17" t="s">
        <v>220</v>
      </c>
    </row>
    <row r="33" spans="1:4" x14ac:dyDescent="0.25">
      <c r="A33" s="17" t="s">
        <v>221</v>
      </c>
      <c r="B33" s="17" t="s">
        <v>222</v>
      </c>
      <c r="C33" s="17" t="s">
        <v>219</v>
      </c>
      <c r="D33" s="17" t="s">
        <v>220</v>
      </c>
    </row>
    <row r="34" spans="1:4" x14ac:dyDescent="0.25">
      <c r="A34" s="17" t="s">
        <v>223</v>
      </c>
      <c r="B34" s="17" t="s">
        <v>224</v>
      </c>
      <c r="C34" s="17" t="s">
        <v>219</v>
      </c>
      <c r="D34" s="17" t="s">
        <v>220</v>
      </c>
    </row>
    <row r="35" spans="1:4" x14ac:dyDescent="0.25">
      <c r="A35" s="17" t="s">
        <v>225</v>
      </c>
      <c r="B35" s="17" t="s">
        <v>226</v>
      </c>
      <c r="C35" s="17" t="s">
        <v>219</v>
      </c>
      <c r="D35" s="17" t="s">
        <v>220</v>
      </c>
    </row>
    <row r="36" spans="1:4" x14ac:dyDescent="0.25">
      <c r="A36" s="17" t="s">
        <v>227</v>
      </c>
      <c r="B36" s="17" t="s">
        <v>228</v>
      </c>
      <c r="C36" s="17" t="s">
        <v>216</v>
      </c>
      <c r="D36" s="17" t="s">
        <v>217</v>
      </c>
    </row>
    <row r="37" spans="1:4" x14ac:dyDescent="0.25">
      <c r="A37" s="17" t="s">
        <v>229</v>
      </c>
      <c r="B37" s="17" t="s">
        <v>230</v>
      </c>
      <c r="C37" s="17" t="s">
        <v>216</v>
      </c>
      <c r="D37" s="17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 Generation</vt:lpstr>
      <vt:lpstr>RIN Sep &amp; Available</vt:lpstr>
      <vt:lpstr>RIN Retirement</vt:lpstr>
      <vt:lpstr>Feedstock Consumption</vt:lpstr>
      <vt:lpstr>Feedstock by Plant Type</vt:lpstr>
      <vt:lpstr>Biofuel Production</vt:lpstr>
      <vt:lpstr>Biofuel Trade</vt:lpstr>
      <vt:lpstr>Capacity</vt:lpstr>
      <vt:lpstr>Blending Context</vt:lpstr>
      <vt:lpstr>Cross-Reference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Tore Alden</cp:lastModifiedBy>
  <cp:revision>0</cp:revision>
  <dcterms:created xsi:type="dcterms:W3CDTF">2026-02-12T14:39:48Z</dcterms:created>
  <dcterms:modified xsi:type="dcterms:W3CDTF">2026-02-12T14:43:28Z</dcterms:modified>
  <dc:language>en-US</dc:language>
</cp:coreProperties>
</file>